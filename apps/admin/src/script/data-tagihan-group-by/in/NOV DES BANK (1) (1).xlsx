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NOV"/>
    <sheet r:id="rId2" sheetId="2" name="DES"/>
  </sheets>
  <calcPr fullCalcOnLoad="1"/>
</workbook>
</file>

<file path=xl/sharedStrings.xml><?xml version="1.0" encoding="utf-8"?>
<sst xmlns="http://schemas.openxmlformats.org/spreadsheetml/2006/main" count="342" uniqueCount="215">
  <si>
    <t>TGL</t>
  </si>
  <si>
    <t>KETERANGAN</t>
  </si>
  <si>
    <t>MASUK</t>
  </si>
  <si>
    <t>KELUAR</t>
  </si>
  <si>
    <t>UTK KAS</t>
  </si>
  <si>
    <t>GAJI BRADY</t>
  </si>
  <si>
    <t>BIAYA TRF</t>
  </si>
  <si>
    <t>GAJI BRYAN</t>
  </si>
  <si>
    <t>U/ SERVIS IBE BESI BEHEL 200 X150,000</t>
  </si>
  <si>
    <t>U/ STOK IBE LEDGER 650X150000</t>
  </si>
  <si>
    <t>U/ SERVIS IBE BESI SIKU 150 X 125000</t>
  </si>
  <si>
    <t>CAT IBE CAT SILVER 20X 1,250,000</t>
  </si>
  <si>
    <t>U/ STOK IBE TIEBAR 800X25000</t>
  </si>
  <si>
    <t>TOKPED ATK TINTA</t>
  </si>
  <si>
    <t>BAN TRUK (6,423,423+706,576)+1</t>
  </si>
  <si>
    <t>BPJS KARYAWAN</t>
  </si>
  <si>
    <t>U/ STOK IMP 1022  2/8 (89,076,575+9,798,423)</t>
  </si>
  <si>
    <t>CAT MEYLIN</t>
  </si>
  <si>
    <t>U/ STOK IBE BON 28/11</t>
  </si>
  <si>
    <t xml:space="preserve">IBE 3 BON </t>
  </si>
  <si>
    <t>U/ GUDANG IMP CHANDRA LINARDI NON PPN</t>
  </si>
  <si>
    <t>U/ STOK IMP 1019 1/8 ( 59,887,386+6,587,612)</t>
  </si>
  <si>
    <t>STNK MOTOR</t>
  </si>
  <si>
    <t>FEE AKUNTAN NOVEMBER</t>
  </si>
  <si>
    <t>LISTRIK</t>
  </si>
  <si>
    <t>INTERNET</t>
  </si>
  <si>
    <t>BATU</t>
  </si>
  <si>
    <t>PPH 23 - 1</t>
  </si>
  <si>
    <t>PPH 23 - 2</t>
  </si>
  <si>
    <t>PPH 21</t>
  </si>
  <si>
    <t>PPH 25</t>
  </si>
  <si>
    <t>PPH UNIFIKASI</t>
  </si>
  <si>
    <t>PPH FINAL IBE</t>
  </si>
  <si>
    <t>IURAN PENSIUN CHENDY SURYA</t>
  </si>
  <si>
    <t>IURAN PENSIUN LINA</t>
  </si>
  <si>
    <t>U/ STOK IMP 1024 3/8 ( 20,900,900+2,299,099)</t>
  </si>
  <si>
    <t>CAT SOI (5,250,000+577,500)</t>
  </si>
  <si>
    <t xml:space="preserve">KAS </t>
  </si>
  <si>
    <t>SEWA SYAIFUL</t>
  </si>
  <si>
    <t>U/ STOK IBE LEDGER 450 X150000</t>
  </si>
  <si>
    <t>U/ STOK IBE VERTICAL 0.5 250X175000</t>
  </si>
  <si>
    <t>U/ STOK TEKNOMETAL TR1.2 - 384, POT LEBIH UANG 1,650,000</t>
  </si>
  <si>
    <t>BAN TRUK (1,609,909+177,090)+1</t>
  </si>
  <si>
    <t>U/ STOK BON BELI ANDREW 11/12 UH 360X62000</t>
  </si>
  <si>
    <t>CAT INKOTE (</t>
  </si>
  <si>
    <t>BPJS KULI DESEMBER 2024</t>
  </si>
  <si>
    <t>TINTA ATK</t>
  </si>
  <si>
    <t>U/ STOK TEKNOMETAL - DEPOSIT PEMBELIAN 20/12</t>
  </si>
  <si>
    <t>U/ SERVIS STEVANUS - BELI PEN CROSS ( ANDREAS JAGAT)</t>
  </si>
  <si>
    <t>STNK B 1 PU CRV</t>
  </si>
  <si>
    <t>MESIN LAS</t>
  </si>
  <si>
    <t>AC GUDANG</t>
  </si>
  <si>
    <t>U/ STOK IMP 1031 8/8 (21,283,783+2,341,216)</t>
  </si>
  <si>
    <t>U/ STOK IMP 1037 12/8 (32,846,395+3,613,103)</t>
  </si>
  <si>
    <t>U/ STOK IMP 1045 26/8 (42,793,193+4,707,251)</t>
  </si>
  <si>
    <t>U/ STOK IMP 1049 29/8 (15,855,856+1,744,144)</t>
  </si>
  <si>
    <t>U/ SERVIS IMP 4/9 U/ SERVIS FP 1052 (2,882,883+317,117)</t>
  </si>
  <si>
    <t>U/ STOK DAN SERVIS IMP 5/9 FP 1054 SERVIS: 8.648.650    STOK : 11,711,711 (20,360,361+2,239,639)</t>
  </si>
  <si>
    <t>U/ SERVIS IMP 27/9 FP 1072 U/SERVIS ( 2,306,306+253,693)</t>
  </si>
  <si>
    <t>CAT - MEYLIN</t>
  </si>
  <si>
    <t xml:space="preserve">U/JUAL IBE 11/12 PIPA 4= 39*225000 u. JUAL IDK </t>
  </si>
  <si>
    <t>U/JUAL IBE 1/12 FORM TIE 110X20000 LONGDRAT 220X29000 U/ JUAL IDK</t>
  </si>
  <si>
    <t>U/ JUAL IBE 14/12 PIPA2= 26X120000, PIPA4-26X225000 U/ JUAL IDK</t>
  </si>
  <si>
    <t>U/ STOK IBE 13/12 LEDGER 1.8 - 325X175000</t>
  </si>
  <si>
    <t>IBE SEWA TRUK 1/12,11/12, 14/12</t>
  </si>
  <si>
    <t>U/ STOK IBE 12/11 PIPA3=20X180.000, PIPA6=16X350.000</t>
  </si>
  <si>
    <t>U/ STOK IBE 31/10 PIPA 6= 46X350.000</t>
  </si>
  <si>
    <t>TEKNOMETAL U/ JUAL JO CSCODS TR1.5=500 POT DEPOSIT 12/12</t>
  </si>
  <si>
    <t>SEWA TRUK NUR</t>
  </si>
  <si>
    <t>U/ SERVIS IBE 13/12 PIN CROSS DAN FRAME</t>
  </si>
  <si>
    <t>U/ SERVIS IBE 9/12 BESI BEHEL 250 X 150,000</t>
  </si>
  <si>
    <t>U/ STOK IBE 3/12 PIPA 6 = 50X350,000</t>
  </si>
  <si>
    <r>
      <t>U/ STOK IBE</t>
    </r>
    <r>
      <rPr>
        <sz val="12"/>
        <color rgb="FF000000"/>
        <rFont val="Calibri"/>
        <family val="2"/>
        <scheme val="minor"/>
      </rPr>
      <t xml:space="preserve"> 12/11 </t>
    </r>
    <r>
      <rPr>
        <sz val="12"/>
        <color rgb="FF000000"/>
        <rFont val="Calibri"/>
        <family val="2"/>
        <scheme val="minor"/>
      </rPr>
      <t>TIEROD 1.5 - 20X 42000 , WINGNUT 40X16500</t>
    </r>
  </si>
  <si>
    <t xml:space="preserve">U/ STOK IBE 3/12 LEDGER 1.2M 500 X 150,000 </t>
  </si>
  <si>
    <t>U/ SERVIS IBE 3/12 KAWAT LAS 30 X 180,000</t>
  </si>
  <si>
    <t>U/ STOK IBE 4/12 LEDGER 0.6 M 700X90000</t>
  </si>
  <si>
    <t>CAT IBE 6/12 CAT</t>
  </si>
  <si>
    <t>CAT EDI OKTOBER 2024</t>
  </si>
  <si>
    <t>PARAMOUNT 13/19/60 ( 56,605,856+6,226,644)</t>
  </si>
  <si>
    <t>OLI TRUK</t>
  </si>
  <si>
    <t>CAT - ANDREAS</t>
  </si>
  <si>
    <t>U/SERVIS IBE 17/12 KAWAT LAS 30 X180000</t>
  </si>
  <si>
    <t>U/STOK IBE 16/10 VERTICAL 0.5=400 X175000</t>
  </si>
  <si>
    <t>U/STOK IBE 15/10 LEDGER 0.6M = 500X110,000</t>
  </si>
  <si>
    <t>U/STOK IMP 1094 14/10 ( 61,432,432+6,757,567)</t>
  </si>
  <si>
    <t>U/STOK IMP 1087 4/10 (52,338,737+5,757,261)</t>
  </si>
  <si>
    <t xml:space="preserve">CAT IBE 18/12 CAT </t>
  </si>
  <si>
    <t>U/GUDANG IBE 16/12 BATU 5 TRUK</t>
  </si>
  <si>
    <t>CAT IBE 18/12 THINNER 20 LITER = 40 X240000</t>
  </si>
  <si>
    <t>PPN NOVEMBER</t>
  </si>
  <si>
    <t>LAS TABUNG GAS CO</t>
  </si>
  <si>
    <t>SPAREPART TRUK UDIN</t>
  </si>
  <si>
    <t>SPAREPART MOTOR 99189 + SERVIS MOTOR87117 +PPN20494</t>
  </si>
  <si>
    <t>U/STOK IBE 6/11 LEDGER 0.9M = 580 X 125,000</t>
  </si>
  <si>
    <t>U/STOK IBE 7/11 TIEBAR 900 X 25,000</t>
  </si>
  <si>
    <t>LAS -IBE 4/12 JASA LAS</t>
  </si>
  <si>
    <t>U/STOK IMP 0704 18/10 (47,403,603+5,214,396)</t>
  </si>
  <si>
    <t>U/STOK IBE 9/11 LEDGER 0.6 M = 400 X 110.000</t>
  </si>
  <si>
    <t>U/SERVIS IBE 9//11 JACKNUT MUR 32= 800 X11.000 MUR KUPU BESAR 270 X100,000</t>
  </si>
  <si>
    <t>U/SERVIS IBE 27/11 GERINDA KECIL 200 X 45000, BESAR 60 X250000, MATA GERINDA 300X25000</t>
  </si>
  <si>
    <t>BRYAN SURYA -FEE MARKETING</t>
  </si>
  <si>
    <t>BRADY SURYA- FEE MARKETING</t>
  </si>
  <si>
    <t>BIAYA TF</t>
  </si>
  <si>
    <t>GAJI BRADY SURYA SIE DESEMBER 2024</t>
  </si>
  <si>
    <t>GAJI BRYAN SURYA DESEMBER 2024</t>
  </si>
  <si>
    <t>PARCEL MEYLIN</t>
  </si>
  <si>
    <t>ADM</t>
  </si>
  <si>
    <t>PAJAK BUNGA</t>
  </si>
  <si>
    <t>GAJI BRADY SURYA SIE</t>
  </si>
  <si>
    <t>GAJI BRYAN SURYA</t>
  </si>
  <si>
    <t>FEE AKUNTAN SEPTEMBER 2024</t>
  </si>
  <si>
    <t>U/ JUAL TEKNOMETAL PVC CONE U/ JUAL CSCODS TAISEI</t>
  </si>
  <si>
    <t>U/ JUAL KUS U/ JUAL BDX SC 100X 16650, FC 100X16650</t>
  </si>
  <si>
    <t>U/ STOK IMP 7333 15/6 (36,576,576+4,023,423)</t>
  </si>
  <si>
    <t>BPJS KARYAWAN 400000420298 OKT 24</t>
  </si>
  <si>
    <t>U/ SERVIS IBE KAWAT LAS 60*180,000</t>
  </si>
  <si>
    <t>U/ GUDANG IBE BATU SPLIT 8 TRUK X 1,500,000</t>
  </si>
  <si>
    <t>U/ SERVIS IBE PIPA  1 1/4INCH = 200 X 225,000 U/ SERVIS</t>
  </si>
  <si>
    <t>U/ GUDANG IBE BESI BETON POLOS 50 X 150,000</t>
  </si>
  <si>
    <t>U/ STOK IBE HOLLOW 50 X 100 = 200X 445.000</t>
  </si>
  <si>
    <t>IBE SEWA TRUK</t>
  </si>
  <si>
    <t>U/ JUAL KUS U/ JUAL BDX SC 50X 16650, FC 50X16650</t>
  </si>
  <si>
    <t>BPJS KULI OKT DAN NOV 2024</t>
  </si>
  <si>
    <t xml:space="preserve">SEWA SYAIFUL </t>
  </si>
  <si>
    <t>U/ STOK KUS STOK SC 150X 16650</t>
  </si>
  <si>
    <t>U/ JUAL TEKNOMETAL U/ JUAL ACSET BDX 6/11 TR2=114</t>
  </si>
  <si>
    <t>SEWA VIRTUAL OFFICE CAKUNG 4 JUTA</t>
  </si>
  <si>
    <t>STP PPH 23 2020 SP2DK</t>
  </si>
  <si>
    <t>SPT 2020 PEMB -2 TH 2020</t>
  </si>
  <si>
    <t>TILANG B 9760</t>
  </si>
  <si>
    <t>PPH FINAL SEWA GUDANG 2</t>
  </si>
  <si>
    <t>PPH 23 -2 OKTOBER 2024</t>
  </si>
  <si>
    <t>PPH 23 -1 OKTOBER 2024</t>
  </si>
  <si>
    <t>PPH 23 - 3 OKT IBE</t>
  </si>
  <si>
    <t>PPH 21 OKTOBER 2024</t>
  </si>
  <si>
    <t>IBE JASA LAS</t>
  </si>
  <si>
    <t>U/ SERVIS KAWAT LAS 47X180,000 DAN SIKAT 100 X25,000</t>
  </si>
  <si>
    <t>U/ SERVIS MATA GERINDA KECIL 150X 45000, GERINDA BESAR 30 X 250000, MATA GERINDA 100 X 25000</t>
  </si>
  <si>
    <t>BPJS KARYAWAN 400000420298 NOV 24</t>
  </si>
  <si>
    <t>FEE AKUNTAN OKT 2024</t>
  </si>
  <si>
    <t>SERVIS MOTOR ( + SPAREPART MOTOR + PPN</t>
  </si>
  <si>
    <t>U/ JUAL TEKNOMETAL U/ JUAL ACSET BDX 8/11 TR3= 100</t>
  </si>
  <si>
    <t>U/ JUAL TARSIM 6/11 U/JUAL ACSET BDX 6/11 WINGNUT 234X16500</t>
  </si>
  <si>
    <t>ASURANSI SUARDI 8803303007908487</t>
  </si>
  <si>
    <t>U/ STOK IMP 7331 14/6 ( 38,121,622+4,193,378(</t>
  </si>
  <si>
    <t>U/ STOK IMP 1017 31/7 (20,427,927+2,247,072)</t>
  </si>
  <si>
    <t>U/ STOK IMP 7375 22/7 (23,423,423+2,576,576)</t>
  </si>
  <si>
    <t>U/ STOK IMP 1012 25/7 (16,783,783+1,846,216)</t>
  </si>
  <si>
    <t>U/ STOK IMP 7358 8/7 (12,405,405+1,364,594)</t>
  </si>
  <si>
    <t>U/ STOK IMP 7362 10/7 (556,757+61,243)</t>
  </si>
  <si>
    <t>U/ STOK IMP 7352 4/7 (67,747,746+7,452,252)</t>
  </si>
  <si>
    <t>U/ STOK IMP 7350 3/7 ( 15,540,540+1,709,459)</t>
  </si>
  <si>
    <t>PPH 25 OKTOBER 2024</t>
  </si>
  <si>
    <t>CAT SOI 24/10 jt 21/11</t>
  </si>
  <si>
    <t>U/ STOK TEKNOMETAL U STOK TR1.2= 92 X30000</t>
  </si>
  <si>
    <t>IBE CAT  SILVER 20X 1,250,000</t>
  </si>
  <si>
    <t>IBE CAT SILVER 20X 1,250,000, PUTIH 35X900 HITAM 10X900</t>
  </si>
  <si>
    <t>U/ JUAL IBE BON 6/11 U/ JUAL TIEROD 21X42000 WINGNUT 50X16500</t>
  </si>
  <si>
    <t>U/ JUAL IBE BON 7/11 PIPA 2M = 40 X 80000</t>
  </si>
  <si>
    <t>U/ STOK IBE BON 7/11 JACKBASE 600X 65000</t>
  </si>
  <si>
    <t xml:space="preserve">U/ SERVIS TEKNOMETAL BELI MUR SEVIS </t>
  </si>
  <si>
    <t>U/ JUAL TEKNOMETAL U/ JUAL STEEL CONE  11/11200 BDX ,12/11 100 BDX ( TOTAL 300), 13/11 RUBI TIEROD 1.5 = 20</t>
  </si>
  <si>
    <t>U/ STOK 11/11 ANDREW BELI UHEAD 325x 62000</t>
  </si>
  <si>
    <t>U/ JUAL KUS U/ JUAL WINGNUT 200 X 17700</t>
  </si>
  <si>
    <t>U/ JUAL KUS U/ JUAL WINGNUT 300X17700</t>
  </si>
  <si>
    <t>ASURANSI KARYANTO 8803303007902130</t>
  </si>
  <si>
    <t>ASURANSI FRANS THOMAS 8803303007902148</t>
  </si>
  <si>
    <t>U/ JUAL 4,995,000, U STOK 3,330,000 KUS U/ JUAL SC 300 BDX  , U/ STOK SC 200 @16500</t>
  </si>
  <si>
    <t>U/ KAS</t>
  </si>
  <si>
    <t>STP SP2DK PPH BADAN</t>
  </si>
  <si>
    <t>FEE PENGACARA</t>
  </si>
  <si>
    <t>STP BUNGA 2020 SP2DK-1</t>
  </si>
  <si>
    <t>STP BUNGA 2020 SP2DK-2</t>
  </si>
  <si>
    <t xml:space="preserve">U/ STOK TARSIM 12/11 WINGNUT STOK </t>
  </si>
  <si>
    <t>CAT TARSIM 12/11 CAT 4 PAIL</t>
  </si>
  <si>
    <t>TARSIM 12/11 BAK CAT</t>
  </si>
  <si>
    <t>SEWA SYAIFUL 7/11 - 7/12</t>
  </si>
  <si>
    <t>U/ STOK IMP 1013 26/7 (15,675,675+1,724,324)</t>
  </si>
  <si>
    <t>RDM  KELEBIHAN BAYAR</t>
  </si>
  <si>
    <t>U/ GUDANG IBE BATU SPLIT 4 X1,500,000</t>
  </si>
  <si>
    <t>CAT IBE CAT SILVER 30 X 1,250,000</t>
  </si>
  <si>
    <t>BPJS KESEHATAN ARYANTO</t>
  </si>
  <si>
    <t>U/ STOK TARSIM BON - LEDGER 1.8 RL 26X155000</t>
  </si>
  <si>
    <t>CAT TARSIM BON CAT 5 XPAIL</t>
  </si>
  <si>
    <t>SPAREPART TRUK FETRICIA</t>
  </si>
  <si>
    <t>U/STOK IMP 7354 5/7 (13,824,319+1,520,675)</t>
  </si>
  <si>
    <t>CAT SOI 28/10</t>
  </si>
  <si>
    <t>STNK MOTOR TOMAS</t>
  </si>
  <si>
    <t>U/ JUAL TEKNOMETAL U/ JUAL ARUMAYA TIEROD 1=150</t>
  </si>
  <si>
    <t>U/ JUAL TEKNOMETAL U/ JUAL ARUMAYA WINGNUT 200</t>
  </si>
  <si>
    <t>MUR SINAR LAUT (</t>
  </si>
  <si>
    <t>U/ STOK IMP 7356 6/7 (64,180,178+7,059,819)</t>
  </si>
  <si>
    <t>ANDREW BON 21/11</t>
  </si>
  <si>
    <t>SPAREPART TRUK - UDIN</t>
  </si>
  <si>
    <t>SERVIS MOTOR ( 108,108)+ SPAREPART + OLI</t>
  </si>
  <si>
    <t>ATK TOKPED ATK TINTA</t>
  </si>
  <si>
    <t>PARAMOUNT 12/19/60 ( 56,605,856+6,226,644)</t>
  </si>
  <si>
    <t>PPN OKTOBER 2024</t>
  </si>
  <si>
    <t>U/ STOK IMP 7369 18/7 (66,477,476 + 7,312,522)</t>
  </si>
  <si>
    <t>U/ STOK IMP 1016 29/7 (12,432,432+1,367,567)</t>
  </si>
  <si>
    <t>SPAREPART TRUK -oli filter - UDIN</t>
  </si>
  <si>
    <t>FEE KONSULTAN SP2DK</t>
  </si>
  <si>
    <t>FEE MARKETING BRADY NOVEMBER</t>
  </si>
  <si>
    <t>U/ STOK IMP 1046 27/8 (432,432+47,567)</t>
  </si>
  <si>
    <t>U/ STOK IMP 1041 15/8 (4,180,180+459,819)</t>
  </si>
  <si>
    <t>U/ STOK IMP 1033 9/8 (10,450,450+1,149,549)</t>
  </si>
  <si>
    <t>IBE SEWA TRUK JABODETABEK</t>
  </si>
  <si>
    <t>IBE SPAREPART TRUK</t>
  </si>
  <si>
    <t>U/ STOK IBE LEDGER 800 X 150,000</t>
  </si>
  <si>
    <t>CAT EDI SEPT 2024</t>
  </si>
  <si>
    <t>U/ SERVIS IBE BESI SIKU 150 X 125,000</t>
  </si>
  <si>
    <t>U/ SERVIS IBE BESI BEHEL 200 X 150,000</t>
  </si>
  <si>
    <t>U/ STOK IBE LEDGER 300 X 150,000</t>
  </si>
  <si>
    <t>U/ STOK IMP 7372 19/7 (61,171,170+6,728,828)</t>
  </si>
  <si>
    <t>BIAYA 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</si>
</sst>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6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1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6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" applyNumberFormat="1" borderId="1" applyBorder="1" fontId="1" applyFont="1" fillId="0" applyAlignment="1">
      <alignment horizontal="right"/>
    </xf>
    <xf xfId="0" numFmtId="0" borderId="2" applyBorder="1" fontId="1" applyFont="1" fillId="0" applyAlignment="1">
      <alignment horizontal="right"/>
    </xf>
    <xf xfId="0" numFmtId="0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16" applyNumberFormat="1" borderId="1" applyBorder="1" fontId="2" applyFont="1" fillId="0" applyAlignment="1">
      <alignment horizontal="left"/>
    </xf>
    <xf xfId="0" numFmtId="0" borderId="1" applyBorder="1" fontId="1" applyFont="1" fillId="5" applyFill="1" applyAlignment="1">
      <alignment horizontal="left"/>
    </xf>
    <xf xfId="0" numFmtId="16" applyNumberFormat="1" borderId="1" applyBorder="1" fontId="4" applyFont="1" fillId="6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3" applyNumberFormat="1" borderId="1" applyBorder="1" fontId="4" applyFont="1" fillId="6" applyFill="1" applyAlignment="1">
      <alignment horizontal="right"/>
    </xf>
    <xf xfId="0" numFmtId="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3"/>
  <sheetViews>
    <sheetView workbookViewId="0"/>
  </sheetViews>
  <sheetFormatPr defaultRowHeight="15" x14ac:dyDescent="0.25"/>
  <cols>
    <col min="1" max="1" style="15" width="12.43357142857143" customWidth="1" bestFit="1"/>
    <col min="2" max="2" style="16" width="49.86214285714286" customWidth="1" bestFit="1"/>
    <col min="3" max="3" style="35" width="24.005" customWidth="1" bestFit="1"/>
    <col min="4" max="4" style="16" width="12.43357142857143" customWidth="1" bestFit="1"/>
    <col min="5" max="5" style="16" width="12.43357142857143" customWidth="1" bestFit="1"/>
  </cols>
  <sheetData>
    <row x14ac:dyDescent="0.25" r="1" customHeight="1" ht="17.25">
      <c r="A1" s="18" t="s">
        <v>0</v>
      </c>
      <c r="B1" s="19" t="s">
        <v>1</v>
      </c>
      <c r="C1" s="20" t="s">
        <v>3</v>
      </c>
      <c r="D1" s="21"/>
      <c r="E1" s="21"/>
    </row>
    <row x14ac:dyDescent="0.25" r="2" customHeight="1" ht="17.25">
      <c r="A2" s="22">
        <v>45597</v>
      </c>
      <c r="B2" s="6" t="s">
        <v>108</v>
      </c>
      <c r="C2" s="23">
        <v>35276500</v>
      </c>
      <c r="D2" s="21"/>
      <c r="E2" s="21"/>
    </row>
    <row x14ac:dyDescent="0.25" r="3" customHeight="1" ht="17.25">
      <c r="A3" s="22">
        <v>45597</v>
      </c>
      <c r="B3" s="19" t="s">
        <v>6</v>
      </c>
      <c r="C3" s="23">
        <v>2500</v>
      </c>
      <c r="D3" s="21"/>
      <c r="E3" s="21"/>
    </row>
    <row x14ac:dyDescent="0.25" r="4" customHeight="1" ht="17.25">
      <c r="A4" s="22">
        <v>45597</v>
      </c>
      <c r="B4" s="19" t="s">
        <v>4</v>
      </c>
      <c r="C4" s="23">
        <v>60000000</v>
      </c>
      <c r="D4" s="21"/>
      <c r="E4" s="21"/>
    </row>
    <row x14ac:dyDescent="0.25" r="5" customHeight="1" ht="17.25">
      <c r="A5" s="22">
        <v>45597</v>
      </c>
      <c r="B5" s="6" t="s">
        <v>109</v>
      </c>
      <c r="C5" s="23">
        <v>37276500</v>
      </c>
      <c r="D5" s="21"/>
      <c r="E5" s="21"/>
    </row>
    <row x14ac:dyDescent="0.25" r="6" customHeight="1" ht="17.25">
      <c r="A6" s="22">
        <v>45597</v>
      </c>
      <c r="B6" s="19" t="s">
        <v>6</v>
      </c>
      <c r="C6" s="23">
        <v>2500</v>
      </c>
      <c r="D6" s="21"/>
      <c r="E6" s="21"/>
    </row>
    <row x14ac:dyDescent="0.25" r="7" customHeight="1" ht="17.25">
      <c r="A7" s="22">
        <v>45597</v>
      </c>
      <c r="B7" s="7" t="s">
        <v>110</v>
      </c>
      <c r="C7" s="23">
        <v>4000000</v>
      </c>
      <c r="D7" s="21"/>
      <c r="E7" s="21"/>
    </row>
    <row x14ac:dyDescent="0.25" r="8" customHeight="1" ht="17.25">
      <c r="A8" s="22">
        <v>45597</v>
      </c>
      <c r="B8" s="19" t="s">
        <v>111</v>
      </c>
      <c r="C8" s="23">
        <v>10000000</v>
      </c>
      <c r="D8" s="21"/>
      <c r="E8" s="21"/>
    </row>
    <row x14ac:dyDescent="0.25" r="9" customHeight="1" ht="17.25">
      <c r="A9" s="22">
        <v>45597</v>
      </c>
      <c r="B9" s="6" t="s">
        <v>6</v>
      </c>
      <c r="C9" s="23">
        <v>2500</v>
      </c>
      <c r="D9" s="21"/>
      <c r="E9" s="21"/>
    </row>
    <row x14ac:dyDescent="0.25" r="10" customHeight="1" ht="17.25">
      <c r="A10" s="22">
        <v>45597</v>
      </c>
      <c r="B10" s="19" t="s">
        <v>112</v>
      </c>
      <c r="C10" s="23">
        <v>3330000</v>
      </c>
      <c r="D10" s="21"/>
      <c r="E10" s="21"/>
    </row>
    <row x14ac:dyDescent="0.25" r="11" customHeight="1" ht="17.25">
      <c r="A11" s="22">
        <v>45597</v>
      </c>
      <c r="B11" s="19" t="s">
        <v>6</v>
      </c>
      <c r="C11" s="23">
        <v>2500</v>
      </c>
      <c r="D11" s="21"/>
      <c r="E11" s="21"/>
    </row>
    <row x14ac:dyDescent="0.25" r="12" customHeight="1" ht="17.25">
      <c r="A12" s="22">
        <v>45597</v>
      </c>
      <c r="B12" s="2" t="s">
        <v>113</v>
      </c>
      <c r="C12" s="5">
        <v>40599999</v>
      </c>
      <c r="D12" s="21"/>
      <c r="E12" s="21"/>
    </row>
    <row x14ac:dyDescent="0.25" r="13" customHeight="1" ht="17.25">
      <c r="A13" s="22">
        <v>45598</v>
      </c>
      <c r="B13" s="19" t="s">
        <v>114</v>
      </c>
      <c r="C13" s="23">
        <v>4760028</v>
      </c>
      <c r="D13" s="21"/>
      <c r="E13" s="21"/>
    </row>
    <row x14ac:dyDescent="0.25" r="14" customHeight="1" ht="17.25">
      <c r="A14" s="22">
        <v>45598</v>
      </c>
      <c r="B14" s="19" t="s">
        <v>4</v>
      </c>
      <c r="C14" s="23">
        <v>15000000</v>
      </c>
      <c r="D14" s="21"/>
      <c r="E14" s="21"/>
    </row>
    <row x14ac:dyDescent="0.25" r="15" customHeight="1" ht="17.25">
      <c r="A15" s="22">
        <v>45598</v>
      </c>
      <c r="B15" s="19" t="s">
        <v>115</v>
      </c>
      <c r="C15" s="23">
        <f>60*180000</f>
      </c>
      <c r="D15" s="21"/>
      <c r="E15" s="21"/>
    </row>
    <row x14ac:dyDescent="0.25" r="16" customHeight="1" ht="17.25">
      <c r="A16" s="22">
        <v>45598</v>
      </c>
      <c r="B16" s="19" t="s">
        <v>6</v>
      </c>
      <c r="C16" s="23">
        <v>2500</v>
      </c>
      <c r="D16" s="21"/>
      <c r="E16" s="21"/>
    </row>
    <row x14ac:dyDescent="0.25" r="17" customHeight="1" ht="17.25">
      <c r="A17" s="22">
        <v>45598</v>
      </c>
      <c r="B17" s="19" t="s">
        <v>116</v>
      </c>
      <c r="C17" s="23">
        <f>8*1500000</f>
      </c>
      <c r="D17" s="21"/>
      <c r="E17" s="21"/>
    </row>
    <row x14ac:dyDescent="0.25" r="18" customHeight="1" ht="17.25">
      <c r="A18" s="22">
        <v>45598</v>
      </c>
      <c r="B18" s="19" t="s">
        <v>6</v>
      </c>
      <c r="C18" s="23">
        <v>2500</v>
      </c>
      <c r="D18" s="21"/>
      <c r="E18" s="21"/>
    </row>
    <row x14ac:dyDescent="0.25" r="19" customHeight="1" ht="17.25">
      <c r="A19" s="22">
        <v>45598</v>
      </c>
      <c r="B19" s="19" t="s">
        <v>117</v>
      </c>
      <c r="C19" s="23">
        <f>200*225000</f>
      </c>
      <c r="D19" s="21"/>
      <c r="E19" s="21"/>
    </row>
    <row x14ac:dyDescent="0.25" r="20" customHeight="1" ht="17.25">
      <c r="A20" s="22">
        <v>45598</v>
      </c>
      <c r="B20" s="19" t="s">
        <v>6</v>
      </c>
      <c r="C20" s="5">
        <v>2500</v>
      </c>
      <c r="D20" s="21"/>
      <c r="E20" s="21"/>
    </row>
    <row x14ac:dyDescent="0.25" r="21" customHeight="1" ht="17.25">
      <c r="A21" s="22">
        <v>45598</v>
      </c>
      <c r="B21" s="19" t="s">
        <v>118</v>
      </c>
      <c r="C21" s="5">
        <f>50*150000</f>
      </c>
      <c r="D21" s="21"/>
      <c r="E21" s="21"/>
    </row>
    <row x14ac:dyDescent="0.25" r="22" customHeight="1" ht="17.25">
      <c r="A22" s="22">
        <v>45598</v>
      </c>
      <c r="B22" s="2" t="s">
        <v>6</v>
      </c>
      <c r="C22" s="5">
        <v>2500</v>
      </c>
      <c r="D22" s="21"/>
      <c r="E22" s="21"/>
    </row>
    <row x14ac:dyDescent="0.25" r="23" customHeight="1" ht="17.25">
      <c r="A23" s="22">
        <v>45598</v>
      </c>
      <c r="B23" s="2" t="s">
        <v>119</v>
      </c>
      <c r="C23" s="5">
        <f>200*445000</f>
      </c>
      <c r="D23" s="21"/>
      <c r="E23" s="21"/>
    </row>
    <row x14ac:dyDescent="0.25" r="24" customHeight="1" ht="17.25">
      <c r="A24" s="22">
        <v>45598</v>
      </c>
      <c r="B24" s="19" t="s">
        <v>6</v>
      </c>
      <c r="C24" s="23">
        <v>2500</v>
      </c>
      <c r="D24" s="21"/>
      <c r="E24" s="21"/>
    </row>
    <row x14ac:dyDescent="0.25" r="25" customHeight="1" ht="17.25">
      <c r="A25" s="22">
        <v>45598</v>
      </c>
      <c r="B25" s="6" t="s">
        <v>120</v>
      </c>
      <c r="C25" s="24">
        <v>32835000</v>
      </c>
      <c r="D25" s="21"/>
      <c r="E25" s="21"/>
    </row>
    <row x14ac:dyDescent="0.25" r="26" customHeight="1" ht="17.25">
      <c r="A26" s="22">
        <v>45598</v>
      </c>
      <c r="B26" s="19" t="s">
        <v>6</v>
      </c>
      <c r="C26" s="23">
        <v>2500</v>
      </c>
      <c r="D26" s="21"/>
      <c r="E26" s="21"/>
    </row>
    <row x14ac:dyDescent="0.25" r="27" customHeight="1" ht="17.25">
      <c r="A27" s="4">
        <v>45600</v>
      </c>
      <c r="B27" s="2" t="s">
        <v>121</v>
      </c>
      <c r="C27" s="5">
        <v>1665000</v>
      </c>
      <c r="D27" s="21"/>
      <c r="E27" s="21"/>
    </row>
    <row x14ac:dyDescent="0.25" r="28" customHeight="1" ht="17.25">
      <c r="A28" s="4">
        <v>45600</v>
      </c>
      <c r="B28" s="19" t="s">
        <v>6</v>
      </c>
      <c r="C28" s="23">
        <v>2500</v>
      </c>
      <c r="D28" s="21"/>
      <c r="E28" s="21"/>
    </row>
    <row x14ac:dyDescent="0.25" r="29" customHeight="1" ht="17.25">
      <c r="A29" s="22">
        <v>45600</v>
      </c>
      <c r="B29" s="2" t="s">
        <v>122</v>
      </c>
      <c r="C29" s="5">
        <v>5300700</v>
      </c>
      <c r="D29" s="21"/>
      <c r="E29" s="21"/>
    </row>
    <row x14ac:dyDescent="0.25" r="30" customHeight="1" ht="17.25">
      <c r="A30" s="4">
        <v>45600</v>
      </c>
      <c r="B30" s="6" t="s">
        <v>123</v>
      </c>
      <c r="C30" s="23">
        <v>5150000</v>
      </c>
      <c r="D30" s="21"/>
      <c r="E30" s="21"/>
    </row>
    <row x14ac:dyDescent="0.25" r="31" customHeight="1" ht="17.25">
      <c r="A31" s="4">
        <v>45601</v>
      </c>
      <c r="B31" s="19" t="s">
        <v>124</v>
      </c>
      <c r="C31" s="23">
        <v>2497500</v>
      </c>
      <c r="D31" s="21"/>
      <c r="E31" s="21"/>
    </row>
    <row x14ac:dyDescent="0.25" r="32" customHeight="1" ht="17.25">
      <c r="A32" s="22">
        <v>45601</v>
      </c>
      <c r="B32" s="19" t="s">
        <v>6</v>
      </c>
      <c r="C32" s="5">
        <v>2500</v>
      </c>
      <c r="D32" s="21"/>
      <c r="E32" s="21"/>
    </row>
    <row x14ac:dyDescent="0.25" r="33" customHeight="1" ht="17.25">
      <c r="A33" s="4">
        <v>45601</v>
      </c>
      <c r="B33" s="19" t="s">
        <v>4</v>
      </c>
      <c r="C33" s="23">
        <v>60000000</v>
      </c>
      <c r="D33" s="21"/>
      <c r="E33" s="21"/>
    </row>
    <row x14ac:dyDescent="0.25" r="34" customHeight="1" ht="17.25">
      <c r="A34" s="22">
        <v>45601</v>
      </c>
      <c r="B34" s="19" t="s">
        <v>125</v>
      </c>
      <c r="C34" s="5">
        <f>114*50000</f>
      </c>
      <c r="D34" s="21"/>
      <c r="E34" s="21"/>
    </row>
    <row x14ac:dyDescent="0.25" r="35" customHeight="1" ht="17.25">
      <c r="A35" s="22">
        <v>45601</v>
      </c>
      <c r="B35" s="2" t="s">
        <v>6</v>
      </c>
      <c r="C35" s="5">
        <v>2500</v>
      </c>
      <c r="D35" s="21"/>
      <c r="E35" s="21"/>
    </row>
    <row x14ac:dyDescent="0.25" r="36" customHeight="1" ht="17.25">
      <c r="A36" s="4">
        <v>45601</v>
      </c>
      <c r="B36" s="6" t="s">
        <v>126</v>
      </c>
      <c r="C36" s="23">
        <f>4000000*98%+440000</f>
      </c>
      <c r="D36" s="21"/>
      <c r="E36" s="21"/>
    </row>
    <row x14ac:dyDescent="0.25" r="37" customHeight="1" ht="17.25">
      <c r="A37" s="22">
        <v>45601</v>
      </c>
      <c r="B37" s="19" t="s">
        <v>25</v>
      </c>
      <c r="C37" s="5">
        <v>363750</v>
      </c>
      <c r="D37" s="21"/>
      <c r="E37" s="21"/>
    </row>
    <row x14ac:dyDescent="0.25" r="38" customHeight="1" ht="17.25">
      <c r="A38" s="22">
        <v>45601</v>
      </c>
      <c r="B38" s="2" t="s">
        <v>24</v>
      </c>
      <c r="C38" s="5">
        <v>2043494</v>
      </c>
      <c r="D38" s="21"/>
      <c r="E38" s="21"/>
    </row>
    <row x14ac:dyDescent="0.25" r="39" customHeight="1" ht="17.25">
      <c r="A39" s="4">
        <v>45601</v>
      </c>
      <c r="B39" s="19" t="s">
        <v>127</v>
      </c>
      <c r="C39" s="23">
        <v>44921</v>
      </c>
      <c r="D39" s="21"/>
      <c r="E39" s="21"/>
    </row>
    <row x14ac:dyDescent="0.25" r="40" customHeight="1" ht="17.25">
      <c r="A40" s="4">
        <v>45601</v>
      </c>
      <c r="B40" s="2" t="s">
        <v>128</v>
      </c>
      <c r="C40" s="5">
        <v>63797</v>
      </c>
      <c r="D40" s="21"/>
      <c r="E40" s="21"/>
    </row>
    <row x14ac:dyDescent="0.25" r="41" customHeight="1" ht="17.25">
      <c r="A41" s="22">
        <v>45602</v>
      </c>
      <c r="B41" s="2" t="s">
        <v>129</v>
      </c>
      <c r="C41" s="5">
        <v>420000</v>
      </c>
      <c r="D41" s="21"/>
      <c r="E41" s="21"/>
    </row>
    <row x14ac:dyDescent="0.25" r="42" customHeight="1" ht="17.25">
      <c r="A42" s="22">
        <v>45602</v>
      </c>
      <c r="B42" s="19" t="s">
        <v>130</v>
      </c>
      <c r="C42" s="5">
        <v>66816666</v>
      </c>
      <c r="D42" s="21"/>
      <c r="E42" s="21"/>
    </row>
    <row x14ac:dyDescent="0.25" r="43" customHeight="1" ht="17.25">
      <c r="A43" s="4">
        <v>45602</v>
      </c>
      <c r="B43" s="2" t="s">
        <v>131</v>
      </c>
      <c r="C43" s="5">
        <v>447493</v>
      </c>
      <c r="D43" s="21"/>
      <c r="E43" s="21"/>
    </row>
    <row x14ac:dyDescent="0.25" r="44" customHeight="1" ht="17.25">
      <c r="A44" s="4">
        <v>45602</v>
      </c>
      <c r="B44" s="19" t="s">
        <v>132</v>
      </c>
      <c r="C44" s="23">
        <v>211632</v>
      </c>
      <c r="D44" s="21"/>
      <c r="E44" s="21"/>
    </row>
    <row x14ac:dyDescent="0.25" r="45" customHeight="1" ht="17.25">
      <c r="A45" s="4">
        <v>45602</v>
      </c>
      <c r="B45" s="2" t="s">
        <v>133</v>
      </c>
      <c r="C45" s="5">
        <v>1190000</v>
      </c>
      <c r="D45" s="21"/>
      <c r="E45" s="21"/>
    </row>
    <row x14ac:dyDescent="0.25" r="46" customHeight="1" ht="17.25">
      <c r="A46" s="4">
        <v>45602</v>
      </c>
      <c r="B46" s="2" t="s">
        <v>134</v>
      </c>
      <c r="C46" s="5">
        <v>101468356</v>
      </c>
      <c r="D46" s="21"/>
      <c r="E46" s="21"/>
    </row>
    <row x14ac:dyDescent="0.25" r="47" customHeight="1" ht="17.25">
      <c r="A47" s="4">
        <v>45602</v>
      </c>
      <c r="B47" s="6" t="s">
        <v>135</v>
      </c>
      <c r="C47" s="5">
        <v>44277500</v>
      </c>
      <c r="D47" s="21"/>
      <c r="E47" s="21"/>
    </row>
    <row x14ac:dyDescent="0.25" r="48" customHeight="1" ht="17.25">
      <c r="A48" s="4">
        <v>45602</v>
      </c>
      <c r="B48" s="2" t="s">
        <v>6</v>
      </c>
      <c r="C48" s="5">
        <v>2500</v>
      </c>
      <c r="D48" s="21"/>
      <c r="E48" s="21"/>
    </row>
    <row x14ac:dyDescent="0.25" r="49" customHeight="1" ht="17.25">
      <c r="A49" s="4">
        <v>45602</v>
      </c>
      <c r="B49" s="2" t="s">
        <v>136</v>
      </c>
      <c r="C49" s="5">
        <v>10960000</v>
      </c>
      <c r="D49" s="21"/>
      <c r="E49" s="21"/>
    </row>
    <row x14ac:dyDescent="0.25" r="50" customHeight="1" ht="17.25">
      <c r="A50" s="4">
        <v>45602</v>
      </c>
      <c r="B50" s="2" t="s">
        <v>6</v>
      </c>
      <c r="C50" s="5">
        <v>2500</v>
      </c>
      <c r="D50" s="21"/>
      <c r="E50" s="21"/>
    </row>
    <row x14ac:dyDescent="0.25" r="51" customHeight="1" ht="17.25">
      <c r="A51" s="4">
        <v>45602</v>
      </c>
      <c r="B51" s="2" t="s">
        <v>137</v>
      </c>
      <c r="C51" s="5">
        <v>16750000</v>
      </c>
      <c r="D51" s="21"/>
      <c r="E51" s="21"/>
    </row>
    <row x14ac:dyDescent="0.25" r="52" customHeight="1" ht="17.25">
      <c r="A52" s="4">
        <v>45602</v>
      </c>
      <c r="B52" s="19" t="s">
        <v>6</v>
      </c>
      <c r="C52" s="5">
        <v>2500</v>
      </c>
      <c r="D52" s="21"/>
      <c r="E52" s="21"/>
    </row>
    <row x14ac:dyDescent="0.25" r="53" customHeight="1" ht="17.25">
      <c r="A53" s="4">
        <v>45602</v>
      </c>
      <c r="B53" s="19" t="s">
        <v>138</v>
      </c>
      <c r="C53" s="23">
        <v>4760028</v>
      </c>
      <c r="D53" s="21"/>
      <c r="E53" s="21"/>
    </row>
    <row x14ac:dyDescent="0.25" r="54" customHeight="1" ht="17.25">
      <c r="A54" s="4">
        <v>45602</v>
      </c>
      <c r="B54" s="7" t="s">
        <v>139</v>
      </c>
      <c r="C54" s="5">
        <v>4000000</v>
      </c>
      <c r="D54" s="21"/>
      <c r="E54" s="21"/>
    </row>
    <row x14ac:dyDescent="0.25" r="55" customHeight="1" ht="17.25">
      <c r="A55" s="4">
        <v>45603</v>
      </c>
      <c r="B55" s="2" t="s">
        <v>140</v>
      </c>
      <c r="C55" s="5">
        <v>225000</v>
      </c>
      <c r="D55" s="21"/>
      <c r="E55" s="21"/>
    </row>
    <row x14ac:dyDescent="0.25" r="56" customHeight="1" ht="17.25">
      <c r="A56" s="22">
        <v>45603</v>
      </c>
      <c r="B56" s="2" t="s">
        <v>141</v>
      </c>
      <c r="C56" s="5">
        <f>100*75000</f>
      </c>
      <c r="D56" s="21"/>
      <c r="E56" s="21"/>
    </row>
    <row x14ac:dyDescent="0.25" r="57" customHeight="1" ht="17.25">
      <c r="A57" s="4">
        <v>45603</v>
      </c>
      <c r="B57" s="2" t="s">
        <v>6</v>
      </c>
      <c r="C57" s="5">
        <v>2500</v>
      </c>
      <c r="D57" s="21"/>
      <c r="E57" s="21"/>
    </row>
    <row x14ac:dyDescent="0.25" r="58" customHeight="1" ht="17.25">
      <c r="A58" s="4">
        <v>45603</v>
      </c>
      <c r="B58" s="2" t="s">
        <v>142</v>
      </c>
      <c r="C58" s="5">
        <v>3861000</v>
      </c>
      <c r="D58" s="21"/>
      <c r="E58" s="21"/>
    </row>
    <row x14ac:dyDescent="0.25" r="59" customHeight="1" ht="17.25">
      <c r="A59" s="4">
        <v>45603</v>
      </c>
      <c r="B59" s="2" t="s">
        <v>143</v>
      </c>
      <c r="C59" s="5">
        <v>12649900</v>
      </c>
      <c r="D59" s="21"/>
      <c r="E59" s="21"/>
    </row>
    <row x14ac:dyDescent="0.25" r="60" customHeight="1" ht="17.25">
      <c r="A60" s="22">
        <v>45603</v>
      </c>
      <c r="B60" s="2" t="s">
        <v>13</v>
      </c>
      <c r="C60" s="5">
        <v>260800</v>
      </c>
      <c r="D60" s="21"/>
      <c r="E60" s="21"/>
    </row>
    <row x14ac:dyDescent="0.25" r="61" customHeight="1" ht="17.25">
      <c r="A61" s="22">
        <v>45604</v>
      </c>
      <c r="B61" s="2" t="s">
        <v>144</v>
      </c>
      <c r="C61" s="23">
        <v>42315000</v>
      </c>
      <c r="D61" s="21"/>
      <c r="E61" s="21"/>
    </row>
    <row x14ac:dyDescent="0.25" r="62" customHeight="1" ht="17.25">
      <c r="A62" s="22">
        <v>45604</v>
      </c>
      <c r="B62" s="2" t="s">
        <v>145</v>
      </c>
      <c r="C62" s="5">
        <v>22674999</v>
      </c>
      <c r="D62" s="21"/>
      <c r="E62" s="21"/>
    </row>
    <row x14ac:dyDescent="0.25" r="63" customHeight="1" ht="17.25">
      <c r="A63" s="22">
        <v>45604</v>
      </c>
      <c r="B63" s="2" t="s">
        <v>146</v>
      </c>
      <c r="C63" s="5">
        <v>25999999</v>
      </c>
      <c r="D63" s="21"/>
      <c r="E63" s="21"/>
    </row>
    <row x14ac:dyDescent="0.25" r="64" customHeight="1" ht="17.25">
      <c r="A64" s="22">
        <v>45604</v>
      </c>
      <c r="B64" s="2" t="s">
        <v>147</v>
      </c>
      <c r="C64" s="5">
        <v>18629999</v>
      </c>
      <c r="D64" s="21"/>
      <c r="E64" s="21"/>
    </row>
    <row x14ac:dyDescent="0.25" r="65" customHeight="1" ht="17.25">
      <c r="A65" s="22">
        <v>45604</v>
      </c>
      <c r="B65" s="2" t="s">
        <v>148</v>
      </c>
      <c r="C65" s="5">
        <v>13769999</v>
      </c>
      <c r="D65" s="21"/>
      <c r="E65" s="21"/>
    </row>
    <row x14ac:dyDescent="0.25" r="66" customHeight="1" ht="17.25">
      <c r="A66" s="22">
        <v>45604</v>
      </c>
      <c r="B66" s="2" t="s">
        <v>149</v>
      </c>
      <c r="C66" s="5">
        <v>618000</v>
      </c>
      <c r="D66" s="21"/>
      <c r="E66" s="21"/>
    </row>
    <row x14ac:dyDescent="0.25" r="67" customHeight="1" ht="17.25">
      <c r="A67" s="22">
        <v>45604</v>
      </c>
      <c r="B67" s="2" t="s">
        <v>150</v>
      </c>
      <c r="C67" s="5">
        <v>75199998</v>
      </c>
      <c r="D67" s="21"/>
      <c r="E67" s="21"/>
    </row>
    <row x14ac:dyDescent="0.25" r="68" customHeight="1" ht="17.25">
      <c r="A68" s="22">
        <v>45604</v>
      </c>
      <c r="B68" s="2" t="s">
        <v>151</v>
      </c>
      <c r="C68" s="5">
        <v>17249999</v>
      </c>
      <c r="D68" s="21"/>
      <c r="E68" s="21"/>
    </row>
    <row x14ac:dyDescent="0.25" r="69" customHeight="1" ht="17.25">
      <c r="A69" s="22">
        <v>45604</v>
      </c>
      <c r="B69" s="2" t="s">
        <v>152</v>
      </c>
      <c r="C69" s="5">
        <v>47372836</v>
      </c>
      <c r="D69" s="21"/>
      <c r="E69" s="21"/>
    </row>
    <row x14ac:dyDescent="0.25" r="70" customHeight="1" ht="17.25">
      <c r="A70" s="22">
        <v>45604</v>
      </c>
      <c r="B70" s="2" t="s">
        <v>153</v>
      </c>
      <c r="C70" s="5">
        <v>5827500</v>
      </c>
      <c r="D70" s="21"/>
      <c r="E70" s="21"/>
    </row>
    <row x14ac:dyDescent="0.25" r="71" customHeight="1" ht="17.25">
      <c r="A71" s="22">
        <v>45605</v>
      </c>
      <c r="B71" s="2" t="s">
        <v>4</v>
      </c>
      <c r="C71" s="5">
        <v>35000000</v>
      </c>
      <c r="D71" s="21"/>
      <c r="E71" s="21"/>
    </row>
    <row x14ac:dyDescent="0.25" r="72" customHeight="1" ht="17.25">
      <c r="A72" s="22">
        <v>45605</v>
      </c>
      <c r="B72" s="2" t="s">
        <v>154</v>
      </c>
      <c r="C72" s="5">
        <f>92*30000</f>
      </c>
      <c r="D72" s="21"/>
      <c r="E72" s="21"/>
    </row>
    <row x14ac:dyDescent="0.25" r="73" customHeight="1" ht="17.25">
      <c r="A73" s="4">
        <v>45605</v>
      </c>
      <c r="B73" s="2" t="s">
        <v>6</v>
      </c>
      <c r="C73" s="5">
        <v>2500</v>
      </c>
      <c r="D73" s="21"/>
      <c r="E73" s="21"/>
    </row>
    <row x14ac:dyDescent="0.25" r="74" customHeight="1" ht="17.25">
      <c r="A74" s="4">
        <v>45605</v>
      </c>
      <c r="B74" s="6" t="s">
        <v>120</v>
      </c>
      <c r="C74" s="5">
        <f>17800000*0.995</f>
      </c>
      <c r="D74" s="21"/>
      <c r="E74" s="21"/>
    </row>
    <row x14ac:dyDescent="0.25" r="75" customHeight="1" ht="17.25">
      <c r="A75" s="4">
        <v>45605</v>
      </c>
      <c r="B75" s="19" t="s">
        <v>6</v>
      </c>
      <c r="C75" s="23">
        <v>2500</v>
      </c>
      <c r="D75" s="21"/>
      <c r="E75" s="21"/>
    </row>
    <row x14ac:dyDescent="0.25" r="76" customHeight="1" ht="17.25">
      <c r="A76" s="4">
        <v>45605</v>
      </c>
      <c r="B76" s="6" t="s">
        <v>135</v>
      </c>
      <c r="C76" s="5">
        <v>27860000</v>
      </c>
      <c r="D76" s="21"/>
      <c r="E76" s="21"/>
    </row>
    <row x14ac:dyDescent="0.25" r="77" customHeight="1" ht="17.25">
      <c r="A77" s="4">
        <v>45605</v>
      </c>
      <c r="B77" s="2" t="s">
        <v>6</v>
      </c>
      <c r="C77" s="5">
        <v>2500</v>
      </c>
      <c r="D77" s="21"/>
      <c r="E77" s="21"/>
    </row>
    <row x14ac:dyDescent="0.25" r="78" customHeight="1" ht="17.25">
      <c r="A78" s="4">
        <v>45605</v>
      </c>
      <c r="B78" s="2" t="s">
        <v>155</v>
      </c>
      <c r="C78" s="5">
        <v>25000000</v>
      </c>
      <c r="D78" s="21"/>
      <c r="E78" s="21"/>
    </row>
    <row x14ac:dyDescent="0.25" r="79" customHeight="1" ht="17.25">
      <c r="A79" s="4">
        <v>45605</v>
      </c>
      <c r="B79" s="2" t="s">
        <v>6</v>
      </c>
      <c r="C79" s="5">
        <v>2500</v>
      </c>
      <c r="D79" s="21"/>
      <c r="E79" s="21"/>
    </row>
    <row x14ac:dyDescent="0.25" r="80" customHeight="1" ht="17.25">
      <c r="A80" s="4">
        <v>45605</v>
      </c>
      <c r="B80" s="2" t="s">
        <v>156</v>
      </c>
      <c r="C80" s="5">
        <v>65500000</v>
      </c>
      <c r="D80" s="21"/>
      <c r="E80" s="21"/>
    </row>
    <row x14ac:dyDescent="0.25" r="81" customHeight="1" ht="17.25">
      <c r="A81" s="4">
        <v>45605</v>
      </c>
      <c r="B81" s="2" t="s">
        <v>6</v>
      </c>
      <c r="C81" s="5">
        <v>2500</v>
      </c>
      <c r="D81" s="21"/>
      <c r="E81" s="21"/>
    </row>
    <row x14ac:dyDescent="0.25" r="82" customHeight="1" ht="17.25">
      <c r="A82" s="4">
        <v>45605</v>
      </c>
      <c r="B82" s="2" t="s">
        <v>157</v>
      </c>
      <c r="C82" s="5">
        <v>1707000</v>
      </c>
      <c r="D82" s="21"/>
      <c r="E82" s="21"/>
    </row>
    <row x14ac:dyDescent="0.25" r="83" customHeight="1" ht="17.25">
      <c r="A83" s="4">
        <v>45605</v>
      </c>
      <c r="B83" s="2" t="s">
        <v>6</v>
      </c>
      <c r="C83" s="5">
        <v>2500</v>
      </c>
      <c r="D83" s="21"/>
      <c r="E83" s="21"/>
    </row>
    <row x14ac:dyDescent="0.25" r="84" customHeight="1" ht="17.25">
      <c r="A84" s="4">
        <v>45605</v>
      </c>
      <c r="B84" s="2" t="s">
        <v>158</v>
      </c>
      <c r="C84" s="5">
        <v>3200000</v>
      </c>
      <c r="D84" s="21"/>
      <c r="E84" s="21"/>
    </row>
    <row x14ac:dyDescent="0.25" r="85" customHeight="1" ht="17.25">
      <c r="A85" s="4">
        <v>45605</v>
      </c>
      <c r="B85" s="2" t="s">
        <v>6</v>
      </c>
      <c r="C85" s="5">
        <v>2500</v>
      </c>
      <c r="D85" s="21"/>
      <c r="E85" s="21"/>
    </row>
    <row x14ac:dyDescent="0.25" r="86" customHeight="1" ht="15.75">
      <c r="A86" s="25">
        <v>45605</v>
      </c>
      <c r="B86" s="2" t="s">
        <v>159</v>
      </c>
      <c r="C86" s="5">
        <v>39000000</v>
      </c>
      <c r="D86" s="21"/>
      <c r="E86" s="26"/>
    </row>
    <row x14ac:dyDescent="0.25" r="87" customHeight="1" ht="15.75">
      <c r="A87" s="25">
        <v>45605</v>
      </c>
      <c r="B87" s="2" t="s">
        <v>6</v>
      </c>
      <c r="C87" s="5">
        <v>2500</v>
      </c>
      <c r="D87" s="21"/>
      <c r="E87" s="26"/>
    </row>
    <row x14ac:dyDescent="0.25" r="88" customHeight="1" ht="17.25">
      <c r="A88" s="4">
        <v>45607</v>
      </c>
      <c r="B88" s="2" t="s">
        <v>160</v>
      </c>
      <c r="C88" s="5">
        <v>80000</v>
      </c>
      <c r="D88" s="21"/>
      <c r="E88" s="21"/>
    </row>
    <row x14ac:dyDescent="0.25" r="89" customHeight="1" ht="17.25">
      <c r="A89" s="4">
        <v>45607</v>
      </c>
      <c r="B89" s="2" t="s">
        <v>6</v>
      </c>
      <c r="C89" s="5">
        <v>2500</v>
      </c>
      <c r="D89" s="21"/>
      <c r="E89" s="21"/>
    </row>
    <row x14ac:dyDescent="0.25" r="90" customHeight="1" ht="17.25">
      <c r="A90" s="4">
        <v>45607</v>
      </c>
      <c r="B90" s="27" t="s">
        <v>161</v>
      </c>
      <c r="C90" s="5">
        <v>9600000</v>
      </c>
      <c r="D90" s="21"/>
      <c r="E90" s="21"/>
    </row>
    <row x14ac:dyDescent="0.25" r="91" customHeight="1" ht="17.25">
      <c r="A91" s="4">
        <v>45607</v>
      </c>
      <c r="B91" s="2" t="s">
        <v>6</v>
      </c>
      <c r="C91" s="5">
        <v>2500</v>
      </c>
      <c r="D91" s="21"/>
      <c r="E91" s="21"/>
    </row>
    <row x14ac:dyDescent="0.25" r="92" customHeight="1" ht="17.25">
      <c r="A92" s="4">
        <v>45607</v>
      </c>
      <c r="B92" s="28" t="s">
        <v>162</v>
      </c>
      <c r="C92" s="5">
        <v>20150000</v>
      </c>
      <c r="D92" s="21"/>
      <c r="E92" s="21"/>
    </row>
    <row x14ac:dyDescent="0.25" r="93" customHeight="1" ht="17.25">
      <c r="A93" s="4">
        <v>45607</v>
      </c>
      <c r="B93" s="2" t="s">
        <v>163</v>
      </c>
      <c r="C93" s="5">
        <f>200*17700</f>
      </c>
      <c r="D93" s="21"/>
      <c r="E93" s="21"/>
    </row>
    <row x14ac:dyDescent="0.25" r="94" customHeight="1" ht="17.25">
      <c r="A94" s="4">
        <v>45607</v>
      </c>
      <c r="B94" s="2" t="s">
        <v>6</v>
      </c>
      <c r="C94" s="5">
        <v>2500</v>
      </c>
      <c r="D94" s="21"/>
      <c r="E94" s="21"/>
    </row>
    <row x14ac:dyDescent="0.25" r="95" customHeight="1" ht="17.25">
      <c r="A95" s="4">
        <v>45607</v>
      </c>
      <c r="B95" s="2" t="s">
        <v>164</v>
      </c>
      <c r="C95" s="5">
        <f>300*17700</f>
      </c>
      <c r="D95" s="21"/>
      <c r="E95" s="21"/>
    </row>
    <row x14ac:dyDescent="0.25" r="96" customHeight="1" ht="17.25">
      <c r="A96" s="4">
        <v>45607</v>
      </c>
      <c r="B96" s="2" t="s">
        <v>6</v>
      </c>
      <c r="C96" s="5">
        <v>2500</v>
      </c>
      <c r="D96" s="21"/>
      <c r="E96" s="21"/>
    </row>
    <row x14ac:dyDescent="0.25" r="97" customHeight="1" ht="17.25">
      <c r="A97" s="4">
        <v>45607</v>
      </c>
      <c r="B97" s="2" t="s">
        <v>165</v>
      </c>
      <c r="C97" s="5">
        <v>7491000</v>
      </c>
      <c r="D97" s="21"/>
      <c r="E97" s="21"/>
    </row>
    <row x14ac:dyDescent="0.25" r="98" customHeight="1" ht="17.25">
      <c r="A98" s="4">
        <v>45607</v>
      </c>
      <c r="B98" s="2" t="s">
        <v>166</v>
      </c>
      <c r="C98" s="5">
        <v>2098200</v>
      </c>
      <c r="D98" s="21"/>
      <c r="E98" s="21"/>
    </row>
    <row x14ac:dyDescent="0.25" r="99" customHeight="1" ht="17.25">
      <c r="A99" s="22">
        <v>45608</v>
      </c>
      <c r="B99" s="2" t="s">
        <v>167</v>
      </c>
      <c r="C99" s="5">
        <v>8325000</v>
      </c>
      <c r="D99" s="21"/>
      <c r="E99" s="21"/>
    </row>
    <row x14ac:dyDescent="0.25" r="100" customHeight="1" ht="17.25">
      <c r="A100" s="4">
        <v>45608</v>
      </c>
      <c r="B100" s="2" t="s">
        <v>6</v>
      </c>
      <c r="C100" s="5">
        <v>2500</v>
      </c>
      <c r="D100" s="21"/>
      <c r="E100" s="21"/>
    </row>
    <row x14ac:dyDescent="0.25" r="101" customHeight="1" ht="17.25">
      <c r="A101" s="4">
        <v>45608</v>
      </c>
      <c r="B101" s="2" t="s">
        <v>168</v>
      </c>
      <c r="C101" s="5">
        <v>35000000</v>
      </c>
      <c r="D101" s="21"/>
      <c r="E101" s="21"/>
    </row>
    <row x14ac:dyDescent="0.25" r="102" customHeight="1" ht="17.25">
      <c r="A102" s="4">
        <v>45608</v>
      </c>
      <c r="B102" s="2" t="s">
        <v>169</v>
      </c>
      <c r="C102" s="5">
        <v>14698</v>
      </c>
      <c r="D102" s="21"/>
      <c r="E102" s="21"/>
    </row>
    <row x14ac:dyDescent="0.25" r="103" customHeight="1" ht="17.25">
      <c r="A103" s="29">
        <v>45608</v>
      </c>
      <c r="B103" s="6" t="s">
        <v>170</v>
      </c>
      <c r="C103" s="5">
        <v>5850000</v>
      </c>
      <c r="D103" s="21"/>
      <c r="E103" s="21"/>
    </row>
    <row x14ac:dyDescent="0.25" r="104" customHeight="1" ht="17.25">
      <c r="A104" s="4">
        <v>45608</v>
      </c>
      <c r="B104" s="2" t="s">
        <v>17</v>
      </c>
      <c r="C104" s="5">
        <v>20000000</v>
      </c>
      <c r="D104" s="21"/>
      <c r="E104" s="21"/>
    </row>
    <row x14ac:dyDescent="0.25" r="105" customHeight="1" ht="17.25">
      <c r="A105" s="4">
        <v>45609</v>
      </c>
      <c r="B105" s="2" t="s">
        <v>171</v>
      </c>
      <c r="C105" s="5">
        <v>14444116</v>
      </c>
      <c r="D105" s="21"/>
      <c r="E105" s="21"/>
    </row>
    <row x14ac:dyDescent="0.25" r="106" customHeight="1" ht="17.25">
      <c r="A106" s="22">
        <v>45609</v>
      </c>
      <c r="B106" s="2" t="s">
        <v>172</v>
      </c>
      <c r="C106" s="5">
        <v>14444148</v>
      </c>
      <c r="D106" s="21"/>
      <c r="E106" s="21"/>
    </row>
    <row x14ac:dyDescent="0.25" r="107" customHeight="1" ht="17.25">
      <c r="A107" s="4">
        <v>45610</v>
      </c>
      <c r="B107" s="2" t="s">
        <v>4</v>
      </c>
      <c r="C107" s="5">
        <v>60000000</v>
      </c>
      <c r="D107" s="21"/>
      <c r="E107" s="21"/>
    </row>
    <row x14ac:dyDescent="0.25" r="108" customHeight="1" ht="17.25">
      <c r="A108" s="4">
        <v>45611</v>
      </c>
      <c r="B108" s="2" t="s">
        <v>173</v>
      </c>
      <c r="C108" s="5">
        <f>143*16500</f>
      </c>
      <c r="D108" s="21"/>
      <c r="E108" s="21"/>
    </row>
    <row x14ac:dyDescent="0.25" r="109" customHeight="1" ht="17.25">
      <c r="A109" s="4">
        <v>45611</v>
      </c>
      <c r="B109" s="2" t="s">
        <v>174</v>
      </c>
      <c r="C109" s="5">
        <v>3600000</v>
      </c>
      <c r="D109" s="21"/>
      <c r="E109" s="21"/>
    </row>
    <row x14ac:dyDescent="0.25" r="110" customHeight="1" ht="17.25">
      <c r="A110" s="4">
        <v>45611</v>
      </c>
      <c r="B110" s="2" t="s">
        <v>175</v>
      </c>
      <c r="C110" s="5">
        <v>2500000</v>
      </c>
      <c r="D110" s="21"/>
      <c r="E110" s="21"/>
    </row>
    <row x14ac:dyDescent="0.25" r="111" customHeight="1" ht="17.25">
      <c r="A111" s="22">
        <v>45611</v>
      </c>
      <c r="B111" s="6" t="s">
        <v>176</v>
      </c>
      <c r="C111" s="5">
        <v>3200000</v>
      </c>
      <c r="D111" s="21"/>
      <c r="E111" s="21"/>
    </row>
    <row x14ac:dyDescent="0.25" r="112" customHeight="1" ht="17.25">
      <c r="A112" s="4">
        <v>45612</v>
      </c>
      <c r="B112" s="2" t="s">
        <v>4</v>
      </c>
      <c r="C112" s="5">
        <v>50000000</v>
      </c>
      <c r="D112" s="21"/>
      <c r="E112" s="21"/>
    </row>
    <row x14ac:dyDescent="0.25" r="113" customHeight="1" ht="17.25">
      <c r="A113" s="22">
        <v>45613</v>
      </c>
      <c r="B113" s="2" t="s">
        <v>177</v>
      </c>
      <c r="C113" s="5">
        <v>17399999</v>
      </c>
      <c r="D113" s="21"/>
      <c r="E113" s="21"/>
    </row>
    <row x14ac:dyDescent="0.25" r="114" customHeight="1" ht="17.25">
      <c r="A114" s="4">
        <v>45613</v>
      </c>
      <c r="B114" s="2" t="s">
        <v>178</v>
      </c>
      <c r="C114" s="5">
        <v>233100</v>
      </c>
      <c r="D114" s="21"/>
      <c r="E114" s="21"/>
    </row>
    <row x14ac:dyDescent="0.25" r="115" customHeight="1" ht="17.25">
      <c r="A115" s="4">
        <v>45614</v>
      </c>
      <c r="B115" s="6" t="s">
        <v>120</v>
      </c>
      <c r="C115" s="5">
        <v>18308000</v>
      </c>
      <c r="D115" s="21"/>
      <c r="E115" s="21"/>
    </row>
    <row x14ac:dyDescent="0.25" r="116" customHeight="1" ht="17.25">
      <c r="A116" s="4">
        <v>45614</v>
      </c>
      <c r="B116" s="2" t="s">
        <v>6</v>
      </c>
      <c r="C116" s="5">
        <v>2500</v>
      </c>
      <c r="D116" s="21"/>
      <c r="E116" s="21"/>
    </row>
    <row x14ac:dyDescent="0.25" r="117" customHeight="1" ht="17.25">
      <c r="A117" s="22">
        <v>45614</v>
      </c>
      <c r="B117" s="2" t="s">
        <v>179</v>
      </c>
      <c r="C117" s="5">
        <v>6000000</v>
      </c>
      <c r="D117" s="21"/>
      <c r="E117" s="21"/>
    </row>
    <row x14ac:dyDescent="0.25" r="118" customHeight="1" ht="17.25">
      <c r="A118" s="4">
        <v>45614</v>
      </c>
      <c r="B118" s="2" t="s">
        <v>6</v>
      </c>
      <c r="C118" s="5">
        <v>2500</v>
      </c>
      <c r="D118" s="21"/>
      <c r="E118" s="21"/>
    </row>
    <row x14ac:dyDescent="0.25" r="119" customHeight="1" ht="17.25">
      <c r="A119" s="4">
        <v>45614</v>
      </c>
      <c r="B119" s="2" t="s">
        <v>180</v>
      </c>
      <c r="C119" s="5">
        <f>30*1250000</f>
      </c>
      <c r="D119" s="21"/>
      <c r="E119" s="21"/>
    </row>
    <row x14ac:dyDescent="0.25" r="120" customHeight="1" ht="17.25">
      <c r="A120" s="4">
        <v>45614</v>
      </c>
      <c r="B120" s="2" t="s">
        <v>6</v>
      </c>
      <c r="C120" s="5">
        <v>2500</v>
      </c>
      <c r="D120" s="21"/>
      <c r="E120" s="21"/>
    </row>
    <row x14ac:dyDescent="0.25" r="121" customHeight="1" ht="17.25">
      <c r="A121" s="22">
        <v>45614</v>
      </c>
      <c r="B121" s="2" t="s">
        <v>181</v>
      </c>
      <c r="C121" s="5">
        <v>869000</v>
      </c>
      <c r="D121" s="21"/>
      <c r="E121" s="21"/>
    </row>
    <row x14ac:dyDescent="0.25" r="122" customHeight="1" ht="17.25">
      <c r="A122" s="4">
        <v>45614</v>
      </c>
      <c r="B122" s="2" t="s">
        <v>182</v>
      </c>
      <c r="C122" s="5">
        <f>26*155000</f>
      </c>
      <c r="D122" s="21"/>
      <c r="E122" s="21"/>
    </row>
    <row x14ac:dyDescent="0.25" r="123" customHeight="1" ht="17.25">
      <c r="A123" s="4">
        <v>45614</v>
      </c>
      <c r="B123" s="2" t="s">
        <v>183</v>
      </c>
      <c r="C123" s="5">
        <v>4500000</v>
      </c>
      <c r="D123" s="21"/>
      <c r="E123" s="21"/>
    </row>
    <row x14ac:dyDescent="0.25" r="124" customHeight="1" ht="17.25">
      <c r="A124" s="22">
        <v>45615</v>
      </c>
      <c r="B124" s="2" t="s">
        <v>4</v>
      </c>
      <c r="C124" s="5">
        <v>60000000</v>
      </c>
      <c r="D124" s="21"/>
      <c r="E124" s="21"/>
    </row>
    <row x14ac:dyDescent="0.25" r="125" customHeight="1" ht="17.25">
      <c r="A125" s="22">
        <v>45615</v>
      </c>
      <c r="B125" s="2" t="s">
        <v>17</v>
      </c>
      <c r="C125" s="5">
        <v>5000000</v>
      </c>
      <c r="D125" s="21"/>
      <c r="E125" s="21"/>
    </row>
    <row x14ac:dyDescent="0.25" r="126" customHeight="1" ht="17.25">
      <c r="A126" s="4">
        <v>45615</v>
      </c>
      <c r="B126" s="2" t="s">
        <v>184</v>
      </c>
      <c r="C126" s="5">
        <v>7500000</v>
      </c>
      <c r="D126" s="21"/>
      <c r="E126" s="21"/>
    </row>
    <row x14ac:dyDescent="0.25" r="127" customHeight="1" ht="17.25">
      <c r="A127" s="22">
        <v>45616</v>
      </c>
      <c r="B127" s="2" t="s">
        <v>22</v>
      </c>
      <c r="C127" s="5">
        <v>1000000</v>
      </c>
      <c r="D127" s="21"/>
      <c r="E127" s="21"/>
    </row>
    <row x14ac:dyDescent="0.25" r="128" customHeight="1" ht="17.25">
      <c r="A128" s="22">
        <v>45616</v>
      </c>
      <c r="B128" s="2" t="s">
        <v>185</v>
      </c>
      <c r="C128" s="5">
        <v>15344994</v>
      </c>
      <c r="D128" s="21"/>
      <c r="E128" s="21"/>
    </row>
    <row x14ac:dyDescent="0.25" r="129" customHeight="1" ht="17.25">
      <c r="A129" s="22">
        <v>45616</v>
      </c>
      <c r="B129" s="2" t="s">
        <v>186</v>
      </c>
      <c r="C129" s="5">
        <v>5827500</v>
      </c>
      <c r="D129" s="21"/>
      <c r="E129" s="21"/>
    </row>
    <row x14ac:dyDescent="0.25" r="130" customHeight="1" ht="17.25">
      <c r="A130" s="22">
        <v>45617</v>
      </c>
      <c r="B130" s="2" t="s">
        <v>79</v>
      </c>
      <c r="C130" s="5">
        <v>410000</v>
      </c>
      <c r="D130" s="21"/>
      <c r="E130" s="21"/>
    </row>
    <row x14ac:dyDescent="0.25" r="131" customHeight="1" ht="17.25">
      <c r="A131" s="22">
        <v>45618</v>
      </c>
      <c r="B131" s="2" t="s">
        <v>4</v>
      </c>
      <c r="C131" s="5">
        <v>60000000</v>
      </c>
      <c r="D131" s="21"/>
      <c r="E131" s="21"/>
    </row>
    <row x14ac:dyDescent="0.25" r="132" customHeight="1" ht="17.25">
      <c r="A132" s="22">
        <v>45618</v>
      </c>
      <c r="B132" s="2" t="s">
        <v>187</v>
      </c>
      <c r="C132" s="23">
        <v>200000</v>
      </c>
      <c r="D132" s="21"/>
      <c r="E132" s="21"/>
    </row>
    <row x14ac:dyDescent="0.25" r="133" customHeight="1" ht="17.25">
      <c r="A133" s="22">
        <v>45618</v>
      </c>
      <c r="B133" s="2" t="s">
        <v>188</v>
      </c>
      <c r="C133" s="23">
        <v>3750000</v>
      </c>
      <c r="D133" s="21"/>
      <c r="E133" s="21"/>
    </row>
    <row x14ac:dyDescent="0.25" r="134" customHeight="1" ht="17.25">
      <c r="A134" s="22">
        <v>45618</v>
      </c>
      <c r="B134" s="19" t="s">
        <v>6</v>
      </c>
      <c r="C134" s="5">
        <v>2500</v>
      </c>
      <c r="D134" s="21"/>
      <c r="E134" s="21"/>
    </row>
    <row x14ac:dyDescent="0.25" r="135" customHeight="1" ht="17.25">
      <c r="A135" s="22">
        <v>45618</v>
      </c>
      <c r="B135" s="2" t="s">
        <v>189</v>
      </c>
      <c r="C135" s="5">
        <v>3540000</v>
      </c>
      <c r="D135" s="21"/>
      <c r="E135" s="21"/>
    </row>
    <row x14ac:dyDescent="0.25" r="136" customHeight="1" ht="17.25">
      <c r="A136" s="22">
        <v>45618</v>
      </c>
      <c r="B136" s="2" t="s">
        <v>6</v>
      </c>
      <c r="C136" s="23">
        <v>2500</v>
      </c>
      <c r="D136" s="21"/>
      <c r="E136" s="21"/>
    </row>
    <row x14ac:dyDescent="0.25" r="137" customHeight="1" ht="17.25">
      <c r="A137" s="22">
        <v>45618</v>
      </c>
      <c r="B137" s="30" t="s">
        <v>190</v>
      </c>
      <c r="C137" s="5">
        <v>266400</v>
      </c>
      <c r="D137" s="21"/>
      <c r="E137" s="21"/>
    </row>
    <row x14ac:dyDescent="0.25" r="138" customHeight="1" ht="17.25">
      <c r="A138" s="22">
        <v>45618</v>
      </c>
      <c r="B138" s="2" t="s">
        <v>191</v>
      </c>
      <c r="C138" s="5">
        <v>71239897</v>
      </c>
      <c r="D138" s="21"/>
      <c r="E138" s="21"/>
    </row>
    <row x14ac:dyDescent="0.25" r="139" customHeight="1" ht="17.25">
      <c r="A139" s="31">
        <v>45619</v>
      </c>
      <c r="B139" s="32" t="s">
        <v>192</v>
      </c>
      <c r="C139" s="33">
        <v>21080000</v>
      </c>
      <c r="D139" s="21"/>
      <c r="E139" s="21"/>
    </row>
    <row x14ac:dyDescent="0.25" r="140" customHeight="1" ht="17.25">
      <c r="A140" s="22">
        <v>45619</v>
      </c>
      <c r="B140" s="19" t="s">
        <v>193</v>
      </c>
      <c r="C140" s="23">
        <v>400000</v>
      </c>
      <c r="D140" s="21"/>
      <c r="E140" s="21"/>
    </row>
    <row x14ac:dyDescent="0.25" r="141" customHeight="1" ht="17.25">
      <c r="A141" s="22">
        <v>45620</v>
      </c>
      <c r="B141" s="6" t="s">
        <v>194</v>
      </c>
      <c r="C141" s="23">
        <v>355000</v>
      </c>
      <c r="D141" s="21"/>
      <c r="E141" s="21"/>
    </row>
    <row x14ac:dyDescent="0.25" r="142" customHeight="1" ht="17.25">
      <c r="A142" s="22">
        <v>45621</v>
      </c>
      <c r="B142" s="2" t="s">
        <v>195</v>
      </c>
      <c r="C142" s="5">
        <v>500100</v>
      </c>
      <c r="D142" s="21"/>
      <c r="E142" s="21"/>
    </row>
    <row x14ac:dyDescent="0.25" r="143" customHeight="1" ht="17.25">
      <c r="A143" s="22">
        <v>45621</v>
      </c>
      <c r="B143" s="2" t="s">
        <v>4</v>
      </c>
      <c r="C143" s="5">
        <v>10000000</v>
      </c>
      <c r="D143" s="21"/>
      <c r="E143" s="21"/>
    </row>
    <row x14ac:dyDescent="0.25" r="144" customHeight="1" ht="17.25">
      <c r="A144" s="22">
        <v>45621</v>
      </c>
      <c r="B144" s="2" t="s">
        <v>195</v>
      </c>
      <c r="C144" s="5">
        <v>98250</v>
      </c>
      <c r="D144" s="21"/>
      <c r="E144" s="21"/>
    </row>
    <row x14ac:dyDescent="0.25" r="145" customHeight="1" ht="17.25">
      <c r="A145" s="22">
        <v>45621</v>
      </c>
      <c r="B145" s="6" t="s">
        <v>196</v>
      </c>
      <c r="C145" s="5">
        <v>62614615</v>
      </c>
      <c r="D145" s="21"/>
      <c r="E145" s="21"/>
    </row>
    <row x14ac:dyDescent="0.25" r="146" customHeight="1" ht="17.25">
      <c r="A146" s="22">
        <v>45621</v>
      </c>
      <c r="B146" s="19" t="s">
        <v>17</v>
      </c>
      <c r="C146" s="23">
        <v>5000000</v>
      </c>
      <c r="D146" s="21"/>
      <c r="E146" s="21"/>
    </row>
    <row x14ac:dyDescent="0.25" r="147" customHeight="1" ht="17.25">
      <c r="A147" s="22">
        <v>45621</v>
      </c>
      <c r="B147" s="19" t="s">
        <v>197</v>
      </c>
      <c r="C147" s="23">
        <v>269168992</v>
      </c>
      <c r="D147" s="21"/>
      <c r="E147" s="21"/>
    </row>
    <row x14ac:dyDescent="0.25" r="148" customHeight="1" ht="17.25">
      <c r="A148" s="22">
        <v>45621</v>
      </c>
      <c r="B148" s="2" t="s">
        <v>198</v>
      </c>
      <c r="C148" s="5">
        <v>73789998</v>
      </c>
      <c r="D148" s="21"/>
      <c r="E148" s="21"/>
    </row>
    <row x14ac:dyDescent="0.25" r="149" customHeight="1" ht="17.25">
      <c r="A149" s="22">
        <v>45621</v>
      </c>
      <c r="B149" s="2" t="s">
        <v>199</v>
      </c>
      <c r="C149" s="5">
        <v>13799999</v>
      </c>
      <c r="D149" s="21"/>
      <c r="E149" s="21"/>
    </row>
    <row x14ac:dyDescent="0.25" r="150" customHeight="1" ht="17.25">
      <c r="A150" s="22">
        <v>45621</v>
      </c>
      <c r="B150" s="2" t="s">
        <v>200</v>
      </c>
      <c r="C150" s="23">
        <v>1540000</v>
      </c>
      <c r="D150" s="21"/>
      <c r="E150" s="21"/>
    </row>
    <row x14ac:dyDescent="0.25" r="151" customHeight="1" ht="17.25">
      <c r="A151" s="22">
        <v>45622</v>
      </c>
      <c r="B151" s="2" t="s">
        <v>195</v>
      </c>
      <c r="C151" s="5">
        <v>236400</v>
      </c>
      <c r="D151" s="21"/>
      <c r="E151" s="21"/>
    </row>
    <row x14ac:dyDescent="0.25" r="152" customHeight="1" ht="17.25">
      <c r="A152" s="22">
        <v>45622</v>
      </c>
      <c r="B152" s="2" t="s">
        <v>22</v>
      </c>
      <c r="C152" s="5">
        <v>272300</v>
      </c>
      <c r="D152" s="21"/>
      <c r="E152" s="21"/>
    </row>
    <row x14ac:dyDescent="0.25" r="153" customHeight="1" ht="17.25">
      <c r="A153" s="22">
        <v>45622</v>
      </c>
      <c r="B153" s="7" t="s">
        <v>201</v>
      </c>
      <c r="C153" s="5">
        <v>8000000</v>
      </c>
      <c r="D153" s="21"/>
      <c r="E153" s="21"/>
    </row>
    <row x14ac:dyDescent="0.25" r="154" customHeight="1" ht="17.25">
      <c r="A154" s="22">
        <v>45622</v>
      </c>
      <c r="B154" s="6" t="s">
        <v>202</v>
      </c>
      <c r="C154" s="5">
        <v>15000000</v>
      </c>
      <c r="D154" s="21"/>
      <c r="E154" s="21"/>
    </row>
    <row x14ac:dyDescent="0.25" r="155" customHeight="1" ht="17.25">
      <c r="A155" s="22">
        <v>45622</v>
      </c>
      <c r="B155" s="2" t="s">
        <v>6</v>
      </c>
      <c r="C155" s="5">
        <v>2500</v>
      </c>
      <c r="D155" s="21"/>
      <c r="E155" s="21"/>
    </row>
    <row x14ac:dyDescent="0.25" r="156" customHeight="1" ht="17.25">
      <c r="A156" s="22">
        <v>45622</v>
      </c>
      <c r="B156" s="2" t="s">
        <v>203</v>
      </c>
      <c r="C156" s="5">
        <v>479999</v>
      </c>
      <c r="D156" s="21"/>
      <c r="E156" s="21"/>
    </row>
    <row x14ac:dyDescent="0.25" r="157" customHeight="1" ht="17.25">
      <c r="A157" s="22">
        <v>45622</v>
      </c>
      <c r="B157" s="2" t="s">
        <v>204</v>
      </c>
      <c r="C157" s="5">
        <v>4639999</v>
      </c>
      <c r="D157" s="21"/>
      <c r="E157" s="21"/>
    </row>
    <row x14ac:dyDescent="0.25" r="158" customHeight="1" ht="17.25">
      <c r="A158" s="22">
        <v>45622</v>
      </c>
      <c r="B158" s="2" t="s">
        <v>205</v>
      </c>
      <c r="C158" s="5">
        <v>11599999</v>
      </c>
      <c r="D158" s="21"/>
      <c r="E158" s="21"/>
    </row>
    <row x14ac:dyDescent="0.25" r="159" customHeight="1" ht="17.25">
      <c r="A159" s="22">
        <v>45623</v>
      </c>
      <c r="B159" s="6" t="s">
        <v>135</v>
      </c>
      <c r="C159" s="5">
        <v>29850000</v>
      </c>
      <c r="D159" s="21"/>
      <c r="E159" s="21"/>
    </row>
    <row x14ac:dyDescent="0.25" r="160" customHeight="1" ht="17.25">
      <c r="A160" s="22">
        <v>45623</v>
      </c>
      <c r="B160" s="2" t="s">
        <v>6</v>
      </c>
      <c r="C160" s="5">
        <v>2500</v>
      </c>
      <c r="D160" s="21"/>
      <c r="E160" s="21"/>
    </row>
    <row x14ac:dyDescent="0.25" r="161" customHeight="1" ht="17.25">
      <c r="A161" s="22">
        <v>45623</v>
      </c>
      <c r="B161" s="6" t="s">
        <v>206</v>
      </c>
      <c r="C161" s="5">
        <v>25273000</v>
      </c>
      <c r="D161" s="21"/>
      <c r="E161" s="21"/>
    </row>
    <row x14ac:dyDescent="0.25" r="162" customHeight="1" ht="17.25">
      <c r="A162" s="22">
        <v>45623</v>
      </c>
      <c r="B162" s="2" t="s">
        <v>6</v>
      </c>
      <c r="C162" s="5">
        <v>2500</v>
      </c>
      <c r="D162" s="21"/>
      <c r="E162" s="21"/>
    </row>
    <row x14ac:dyDescent="0.25" r="163" customHeight="1" ht="17.25">
      <c r="A163" s="22">
        <v>45623</v>
      </c>
      <c r="B163" s="2" t="s">
        <v>207</v>
      </c>
      <c r="C163" s="5">
        <v>8800000</v>
      </c>
      <c r="D163" s="21"/>
      <c r="E163" s="21"/>
    </row>
    <row x14ac:dyDescent="0.25" r="164" customHeight="1" ht="17.25">
      <c r="A164" s="22">
        <v>45623</v>
      </c>
      <c r="B164" s="2" t="s">
        <v>6</v>
      </c>
      <c r="C164" s="5">
        <v>2500</v>
      </c>
      <c r="D164" s="21"/>
      <c r="E164" s="21"/>
    </row>
    <row x14ac:dyDescent="0.25" r="165" customHeight="1" ht="17.25">
      <c r="A165" s="22">
        <v>45623</v>
      </c>
      <c r="B165" s="2" t="s">
        <v>208</v>
      </c>
      <c r="C165" s="5">
        <v>120000000</v>
      </c>
      <c r="D165" s="21"/>
      <c r="E165" s="21"/>
    </row>
    <row x14ac:dyDescent="0.25" r="166" customHeight="1" ht="17.25">
      <c r="A166" s="22">
        <v>45623</v>
      </c>
      <c r="B166" s="2" t="s">
        <v>6</v>
      </c>
      <c r="C166" s="5">
        <v>2500</v>
      </c>
      <c r="D166" s="21"/>
      <c r="E166" s="21"/>
    </row>
    <row x14ac:dyDescent="0.25" r="167" customHeight="1" ht="17.25">
      <c r="A167" s="22">
        <v>45624</v>
      </c>
      <c r="B167" s="2" t="s">
        <v>209</v>
      </c>
      <c r="C167" s="5">
        <v>23125000</v>
      </c>
      <c r="D167" s="21"/>
      <c r="E167" s="21"/>
    </row>
    <row x14ac:dyDescent="0.25" r="168" customHeight="1" ht="17.25">
      <c r="A168" s="22">
        <v>45625</v>
      </c>
      <c r="B168" s="2" t="s">
        <v>4</v>
      </c>
      <c r="C168" s="23">
        <v>12000000</v>
      </c>
      <c r="D168" s="21"/>
      <c r="E168" s="21"/>
    </row>
    <row x14ac:dyDescent="0.25" r="169" customHeight="1" ht="17.25">
      <c r="A169" s="22">
        <v>45625</v>
      </c>
      <c r="B169" s="2" t="s">
        <v>210</v>
      </c>
      <c r="C169" s="5">
        <v>18750000</v>
      </c>
      <c r="D169" s="21"/>
      <c r="E169" s="21"/>
    </row>
    <row x14ac:dyDescent="0.25" r="170" customHeight="1" ht="17.25">
      <c r="A170" s="22">
        <v>45625</v>
      </c>
      <c r="B170" s="2" t="s">
        <v>6</v>
      </c>
      <c r="C170" s="23">
        <v>2500</v>
      </c>
      <c r="D170" s="21"/>
      <c r="E170" s="21"/>
    </row>
    <row x14ac:dyDescent="0.25" r="171" customHeight="1" ht="17.25">
      <c r="A171" s="22">
        <v>45625</v>
      </c>
      <c r="B171" s="2" t="s">
        <v>211</v>
      </c>
      <c r="C171" s="23">
        <v>30000000</v>
      </c>
      <c r="D171" s="21"/>
      <c r="E171" s="21"/>
    </row>
    <row x14ac:dyDescent="0.25" r="172" customHeight="1" ht="17.25">
      <c r="A172" s="22">
        <v>45625</v>
      </c>
      <c r="B172" s="2" t="s">
        <v>6</v>
      </c>
      <c r="C172" s="5">
        <v>2500</v>
      </c>
      <c r="D172" s="21"/>
      <c r="E172" s="21"/>
    </row>
    <row x14ac:dyDescent="0.25" r="173" customHeight="1" ht="17.25">
      <c r="A173" s="22">
        <v>45625</v>
      </c>
      <c r="B173" s="19" t="s">
        <v>212</v>
      </c>
      <c r="C173" s="5">
        <v>45000000</v>
      </c>
      <c r="D173" s="21"/>
      <c r="E173" s="21"/>
    </row>
    <row x14ac:dyDescent="0.25" r="174" customHeight="1" ht="17.25">
      <c r="A174" s="22">
        <v>45625</v>
      </c>
      <c r="B174" s="2" t="s">
        <v>6</v>
      </c>
      <c r="C174" s="5">
        <v>2500</v>
      </c>
      <c r="D174" s="21"/>
      <c r="E174" s="21"/>
    </row>
    <row x14ac:dyDescent="0.25" r="175" customHeight="1" ht="17.25">
      <c r="A175" s="22">
        <v>45625</v>
      </c>
      <c r="B175" s="2" t="s">
        <v>213</v>
      </c>
      <c r="C175" s="5">
        <v>67899998</v>
      </c>
      <c r="D175" s="21"/>
      <c r="E175" s="21"/>
    </row>
    <row x14ac:dyDescent="0.25" r="176" customHeight="1" ht="17.25">
      <c r="A176" s="22">
        <v>45626</v>
      </c>
      <c r="B176" s="2" t="s">
        <v>214</v>
      </c>
      <c r="C176" s="23">
        <v>30000</v>
      </c>
      <c r="D176" s="21"/>
      <c r="E176" s="21"/>
    </row>
    <row x14ac:dyDescent="0.25" r="177" customHeight="1" ht="17.25">
      <c r="A177" s="22">
        <v>45626</v>
      </c>
      <c r="B177" s="2" t="s">
        <v>107</v>
      </c>
      <c r="C177" s="5">
        <v>33493.86</v>
      </c>
      <c r="D177" s="21"/>
      <c r="E177" s="21"/>
    </row>
    <row x14ac:dyDescent="0.25" r="178" customHeight="1" ht="17.25">
      <c r="A178" s="18"/>
      <c r="B178" s="19"/>
      <c r="C178" s="5"/>
      <c r="D178" s="21"/>
      <c r="E178" s="21"/>
    </row>
    <row x14ac:dyDescent="0.25" r="179" customHeight="1" ht="17.25">
      <c r="A179" s="18"/>
      <c r="B179" s="19"/>
      <c r="C179" s="23"/>
      <c r="D179" s="21"/>
      <c r="E179" s="21"/>
    </row>
    <row x14ac:dyDescent="0.25" r="180" customHeight="1" ht="17.25">
      <c r="A180" s="18"/>
      <c r="B180" s="19"/>
      <c r="C180" s="5">
        <f>SUM(C2:C179)</f>
      </c>
      <c r="D180" s="21"/>
      <c r="E180" s="21"/>
    </row>
    <row x14ac:dyDescent="0.25" r="181" customHeight="1" ht="17.25">
      <c r="A181" s="34"/>
      <c r="B181" s="21"/>
      <c r="C181" s="14"/>
      <c r="D181" s="21"/>
      <c r="E181" s="21"/>
    </row>
    <row x14ac:dyDescent="0.25" r="182" customHeight="1" ht="17.25">
      <c r="A182" s="34"/>
      <c r="B182" s="12"/>
      <c r="C182" s="14"/>
      <c r="D182" s="21"/>
      <c r="E182" s="21"/>
    </row>
    <row x14ac:dyDescent="0.25" r="183" customHeight="1" ht="17.25">
      <c r="A183" s="34"/>
      <c r="B183" s="12"/>
      <c r="C183" s="14"/>
      <c r="D183" s="21"/>
      <c r="E183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5"/>
  <sheetViews>
    <sheetView workbookViewId="0" tabSelected="1"/>
  </sheetViews>
  <sheetFormatPr defaultRowHeight="15" x14ac:dyDescent="0.25"/>
  <cols>
    <col min="1" max="1" style="15" width="12.43357142857143" customWidth="1" bestFit="1"/>
    <col min="2" max="2" style="16" width="50.57642857142857" customWidth="1" bestFit="1"/>
    <col min="3" max="3" style="17" width="12.43357142857143" customWidth="1" bestFit="1"/>
    <col min="4" max="4" style="17" width="19.862142857142857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</row>
    <row x14ac:dyDescent="0.25" r="2" customHeight="1" ht="20.25">
      <c r="A2" s="4">
        <v>45992</v>
      </c>
      <c r="B2" s="2" t="s">
        <v>4</v>
      </c>
      <c r="C2" s="3"/>
      <c r="D2" s="5">
        <v>20000000</v>
      </c>
    </row>
    <row x14ac:dyDescent="0.25" r="3" customHeight="1" ht="20.25">
      <c r="A3" s="4">
        <v>45993</v>
      </c>
      <c r="B3" s="2" t="s">
        <v>5</v>
      </c>
      <c r="C3" s="3"/>
      <c r="D3" s="5">
        <v>35276500</v>
      </c>
    </row>
    <row x14ac:dyDescent="0.25" r="4" customHeight="1" ht="20.25">
      <c r="A4" s="4">
        <v>45993</v>
      </c>
      <c r="B4" s="2" t="s">
        <v>6</v>
      </c>
      <c r="C4" s="3"/>
      <c r="D4" s="5">
        <v>2500</v>
      </c>
    </row>
    <row x14ac:dyDescent="0.25" r="5" customHeight="1" ht="20.25">
      <c r="A5" s="4">
        <v>45993</v>
      </c>
      <c r="B5" s="2" t="s">
        <v>7</v>
      </c>
      <c r="C5" s="3"/>
      <c r="D5" s="5">
        <v>35276500</v>
      </c>
    </row>
    <row x14ac:dyDescent="0.25" r="6" customHeight="1" ht="20.25">
      <c r="A6" s="4">
        <v>45993</v>
      </c>
      <c r="B6" s="2" t="s">
        <v>6</v>
      </c>
      <c r="C6" s="3"/>
      <c r="D6" s="5">
        <v>2500</v>
      </c>
    </row>
    <row x14ac:dyDescent="0.25" r="7" customHeight="1" ht="20.25">
      <c r="A7" s="4">
        <v>45993</v>
      </c>
      <c r="B7" s="2" t="s">
        <v>8</v>
      </c>
      <c r="C7" s="3"/>
      <c r="D7" s="5">
        <v>30000000</v>
      </c>
    </row>
    <row x14ac:dyDescent="0.25" r="8" customHeight="1" ht="20.25">
      <c r="A8" s="4">
        <v>45993</v>
      </c>
      <c r="B8" s="2" t="s">
        <v>6</v>
      </c>
      <c r="C8" s="3"/>
      <c r="D8" s="5">
        <v>2500</v>
      </c>
    </row>
    <row x14ac:dyDescent="0.25" r="9" customHeight="1" ht="20.25">
      <c r="A9" s="4">
        <v>45993</v>
      </c>
      <c r="B9" s="2" t="s">
        <v>9</v>
      </c>
      <c r="C9" s="3"/>
      <c r="D9" s="5">
        <v>97500000</v>
      </c>
    </row>
    <row x14ac:dyDescent="0.25" r="10" customHeight="1" ht="20.25">
      <c r="A10" s="4">
        <v>45993</v>
      </c>
      <c r="B10" s="2" t="s">
        <v>6</v>
      </c>
      <c r="C10" s="3"/>
      <c r="D10" s="5">
        <v>2500</v>
      </c>
    </row>
    <row x14ac:dyDescent="0.25" r="11" customHeight="1" ht="20.25">
      <c r="A11" s="4">
        <v>45993</v>
      </c>
      <c r="B11" s="2" t="s">
        <v>10</v>
      </c>
      <c r="C11" s="3"/>
      <c r="D11" s="5">
        <v>18750000</v>
      </c>
    </row>
    <row x14ac:dyDescent="0.25" r="12" customHeight="1" ht="20.25">
      <c r="A12" s="4">
        <v>45993</v>
      </c>
      <c r="B12" s="2" t="s">
        <v>6</v>
      </c>
      <c r="C12" s="3"/>
      <c r="D12" s="5">
        <v>2500</v>
      </c>
    </row>
    <row x14ac:dyDescent="0.25" r="13" customHeight="1" ht="20.25">
      <c r="A13" s="4">
        <v>45993</v>
      </c>
      <c r="B13" s="2" t="s">
        <v>11</v>
      </c>
      <c r="C13" s="3"/>
      <c r="D13" s="5">
        <v>25000000</v>
      </c>
    </row>
    <row x14ac:dyDescent="0.25" r="14" customHeight="1" ht="20.25">
      <c r="A14" s="4">
        <v>45993</v>
      </c>
      <c r="B14" s="2" t="s">
        <v>6</v>
      </c>
      <c r="C14" s="3"/>
      <c r="D14" s="5">
        <v>2500</v>
      </c>
    </row>
    <row x14ac:dyDescent="0.25" r="15" customHeight="1" ht="20.25">
      <c r="A15" s="4">
        <v>45994</v>
      </c>
      <c r="B15" s="2" t="s">
        <v>12</v>
      </c>
      <c r="C15" s="3"/>
      <c r="D15" s="5">
        <v>20000000</v>
      </c>
    </row>
    <row x14ac:dyDescent="0.25" r="16" customHeight="1" ht="20.25">
      <c r="A16" s="4">
        <v>45994</v>
      </c>
      <c r="B16" s="2" t="s">
        <v>6</v>
      </c>
      <c r="C16" s="3"/>
      <c r="D16" s="5">
        <v>2500</v>
      </c>
    </row>
    <row x14ac:dyDescent="0.25" r="17" customHeight="1" ht="20.25">
      <c r="A17" s="4">
        <v>45996</v>
      </c>
      <c r="B17" s="2" t="s">
        <v>4</v>
      </c>
      <c r="C17" s="3"/>
      <c r="D17" s="5">
        <v>60000000</v>
      </c>
    </row>
    <row x14ac:dyDescent="0.25" r="18" customHeight="1" ht="20.25">
      <c r="A18" s="4">
        <v>45996</v>
      </c>
      <c r="B18" s="2" t="s">
        <v>13</v>
      </c>
      <c r="C18" s="3"/>
      <c r="D18" s="5">
        <v>393520</v>
      </c>
    </row>
    <row x14ac:dyDescent="0.25" r="19" customHeight="1" ht="20.25">
      <c r="A19" s="4">
        <v>45996</v>
      </c>
      <c r="B19" s="6" t="s">
        <v>14</v>
      </c>
      <c r="C19" s="3"/>
      <c r="D19" s="5">
        <v>7130000</v>
      </c>
    </row>
    <row x14ac:dyDescent="0.25" r="20" customHeight="1" ht="20.25">
      <c r="A20" s="4">
        <v>45997</v>
      </c>
      <c r="B20" s="2" t="s">
        <v>15</v>
      </c>
      <c r="C20" s="3"/>
      <c r="D20" s="5">
        <v>4760028</v>
      </c>
    </row>
    <row x14ac:dyDescent="0.25" r="21" customHeight="1" ht="20.25">
      <c r="A21" s="4">
        <v>45997</v>
      </c>
      <c r="B21" s="2" t="s">
        <v>16</v>
      </c>
      <c r="C21" s="3"/>
      <c r="D21" s="5">
        <v>98874998</v>
      </c>
    </row>
    <row x14ac:dyDescent="0.25" r="22" customHeight="1" ht="20.25">
      <c r="A22" s="4">
        <v>45999</v>
      </c>
      <c r="B22" s="2" t="s">
        <v>17</v>
      </c>
      <c r="C22" s="3"/>
      <c r="D22" s="5">
        <v>7500000</v>
      </c>
    </row>
    <row x14ac:dyDescent="0.25" r="23" customHeight="1" ht="20.25">
      <c r="A23" s="4">
        <v>45999</v>
      </c>
      <c r="B23" s="2" t="s">
        <v>18</v>
      </c>
      <c r="C23" s="3"/>
      <c r="D23" s="5">
        <v>87500000</v>
      </c>
    </row>
    <row x14ac:dyDescent="0.25" r="24" customHeight="1" ht="20.25">
      <c r="A24" s="4">
        <v>45999</v>
      </c>
      <c r="B24" s="2" t="s">
        <v>6</v>
      </c>
      <c r="C24" s="3"/>
      <c r="D24" s="5">
        <v>2500</v>
      </c>
    </row>
    <row x14ac:dyDescent="0.25" r="25" customHeight="1" ht="20.25">
      <c r="A25" s="4">
        <v>45999</v>
      </c>
      <c r="B25" s="2" t="s">
        <v>19</v>
      </c>
      <c r="C25" s="3"/>
      <c r="D25" s="5">
        <v>135000000</v>
      </c>
    </row>
    <row x14ac:dyDescent="0.25" r="26" customHeight="1" ht="17.25">
      <c r="A26" s="4">
        <v>45999</v>
      </c>
      <c r="B26" s="2" t="s">
        <v>6</v>
      </c>
      <c r="C26" s="3"/>
      <c r="D26" s="5">
        <v>2500</v>
      </c>
    </row>
    <row x14ac:dyDescent="0.25" r="27" customHeight="1" ht="17.25">
      <c r="A27" s="4">
        <v>45999</v>
      </c>
      <c r="B27" s="2" t="s">
        <v>20</v>
      </c>
      <c r="C27" s="3"/>
      <c r="D27" s="5">
        <v>13865000</v>
      </c>
    </row>
    <row x14ac:dyDescent="0.25" r="28" customHeight="1" ht="17.25">
      <c r="A28" s="4">
        <v>45999</v>
      </c>
      <c r="B28" s="2" t="s">
        <v>21</v>
      </c>
      <c r="C28" s="3"/>
      <c r="D28" s="5">
        <v>66474998</v>
      </c>
    </row>
    <row x14ac:dyDescent="0.25" r="29" customHeight="1" ht="17.25">
      <c r="A29" s="4">
        <v>45999</v>
      </c>
      <c r="B29" s="2" t="s">
        <v>22</v>
      </c>
      <c r="C29" s="3"/>
      <c r="D29" s="5">
        <v>1003700</v>
      </c>
    </row>
    <row x14ac:dyDescent="0.25" r="30" customHeight="1" ht="17.25">
      <c r="A30" s="4">
        <v>45999</v>
      </c>
      <c r="B30" s="7" t="s">
        <v>23</v>
      </c>
      <c r="C30" s="3"/>
      <c r="D30" s="5">
        <v>4000000</v>
      </c>
    </row>
    <row x14ac:dyDescent="0.25" r="31" customHeight="1" ht="17.25">
      <c r="A31" s="4">
        <v>45999</v>
      </c>
      <c r="B31" s="2" t="s">
        <v>24</v>
      </c>
      <c r="C31" s="3"/>
      <c r="D31" s="5">
        <v>2043494</v>
      </c>
    </row>
    <row x14ac:dyDescent="0.25" r="32" customHeight="1" ht="17.25">
      <c r="A32" s="4">
        <v>45999</v>
      </c>
      <c r="B32" s="2" t="s">
        <v>25</v>
      </c>
      <c r="C32" s="3"/>
      <c r="D32" s="5">
        <v>363750</v>
      </c>
    </row>
    <row x14ac:dyDescent="0.25" r="33" customHeight="1" ht="17.25">
      <c r="A33" s="4">
        <v>46000</v>
      </c>
      <c r="B33" s="2" t="s">
        <v>26</v>
      </c>
      <c r="C33" s="3"/>
      <c r="D33" s="5">
        <v>1700000</v>
      </c>
    </row>
    <row x14ac:dyDescent="0.25" r="34" customHeight="1" ht="17.25">
      <c r="A34" s="4">
        <v>46000</v>
      </c>
      <c r="B34" s="2" t="s">
        <v>27</v>
      </c>
      <c r="C34" s="3"/>
      <c r="D34" s="5">
        <v>189670</v>
      </c>
    </row>
    <row x14ac:dyDescent="0.25" r="35" customHeight="1" ht="17.25">
      <c r="A35" s="4">
        <v>46000</v>
      </c>
      <c r="B35" s="2" t="s">
        <v>28</v>
      </c>
      <c r="C35" s="5"/>
      <c r="D35" s="5">
        <v>400000</v>
      </c>
    </row>
    <row x14ac:dyDescent="0.25" r="36" customHeight="1" ht="17.25">
      <c r="A36" s="4">
        <v>46000</v>
      </c>
      <c r="B36" s="2" t="s">
        <v>29</v>
      </c>
      <c r="C36" s="3"/>
      <c r="D36" s="5">
        <v>98995369</v>
      </c>
    </row>
    <row x14ac:dyDescent="0.25" r="37" customHeight="1" ht="17.25">
      <c r="A37" s="4">
        <v>46000</v>
      </c>
      <c r="B37" s="2" t="s">
        <v>30</v>
      </c>
      <c r="C37" s="3"/>
      <c r="D37" s="5">
        <v>47372836</v>
      </c>
    </row>
    <row x14ac:dyDescent="0.25" r="38" customHeight="1" ht="17.25">
      <c r="A38" s="4">
        <v>46000</v>
      </c>
      <c r="B38" s="2" t="s">
        <v>31</v>
      </c>
      <c r="C38" s="3"/>
      <c r="D38" s="5">
        <v>247698</v>
      </c>
    </row>
    <row x14ac:dyDescent="0.25" r="39" customHeight="1" ht="17.25">
      <c r="A39" s="4">
        <v>46000</v>
      </c>
      <c r="B39" s="2" t="s">
        <v>32</v>
      </c>
      <c r="C39" s="3"/>
      <c r="D39" s="5">
        <v>985500</v>
      </c>
    </row>
    <row x14ac:dyDescent="0.25" r="40" customHeight="1" ht="17.25">
      <c r="A40" s="4">
        <v>46000</v>
      </c>
      <c r="B40" s="2" t="s">
        <v>33</v>
      </c>
      <c r="C40" s="3"/>
      <c r="D40" s="5">
        <v>13873000</v>
      </c>
    </row>
    <row x14ac:dyDescent="0.25" r="41" customHeight="1" ht="17.25">
      <c r="A41" s="4">
        <v>46000</v>
      </c>
      <c r="B41" s="2" t="s">
        <v>34</v>
      </c>
      <c r="C41" s="3"/>
      <c r="D41" s="5">
        <v>12828600</v>
      </c>
    </row>
    <row x14ac:dyDescent="0.25" r="42" customHeight="1" ht="17.25">
      <c r="A42" s="4">
        <v>46000</v>
      </c>
      <c r="B42" s="2" t="s">
        <v>35</v>
      </c>
      <c r="C42" s="3"/>
      <c r="D42" s="5">
        <v>23199999</v>
      </c>
    </row>
    <row x14ac:dyDescent="0.25" r="43" customHeight="1" ht="17.25">
      <c r="A43" s="4">
        <v>46000</v>
      </c>
      <c r="B43" s="2" t="s">
        <v>36</v>
      </c>
      <c r="C43" s="5"/>
      <c r="D43" s="5">
        <v>5827500</v>
      </c>
    </row>
    <row x14ac:dyDescent="0.25" r="44" customHeight="1" ht="17.25">
      <c r="A44" s="4">
        <v>46001</v>
      </c>
      <c r="B44" s="2" t="s">
        <v>37</v>
      </c>
      <c r="C44" s="5"/>
      <c r="D44" s="5">
        <v>20000000</v>
      </c>
    </row>
    <row x14ac:dyDescent="0.25" r="45" customHeight="1" ht="17.25">
      <c r="A45" s="4">
        <v>46001</v>
      </c>
      <c r="B45" s="6" t="s">
        <v>38</v>
      </c>
      <c r="C45" s="3"/>
      <c r="D45" s="5">
        <v>870500</v>
      </c>
    </row>
    <row x14ac:dyDescent="0.25" r="46" customHeight="1" ht="17.25">
      <c r="A46" s="4">
        <v>46001</v>
      </c>
      <c r="B46" s="2" t="s">
        <v>39</v>
      </c>
      <c r="C46" s="3"/>
      <c r="D46" s="5">
        <v>67500000</v>
      </c>
    </row>
    <row x14ac:dyDescent="0.25" r="47" customHeight="1" ht="17.25">
      <c r="A47" s="4">
        <v>46001</v>
      </c>
      <c r="B47" s="2" t="s">
        <v>6</v>
      </c>
      <c r="C47" s="3"/>
      <c r="D47" s="5">
        <v>2500</v>
      </c>
    </row>
    <row x14ac:dyDescent="0.25" r="48" customHeight="1" ht="17.25">
      <c r="A48" s="4">
        <v>46001</v>
      </c>
      <c r="B48" s="2" t="s">
        <v>40</v>
      </c>
      <c r="C48" s="3"/>
      <c r="D48" s="5">
        <v>43750000</v>
      </c>
    </row>
    <row x14ac:dyDescent="0.25" r="49" customHeight="1" ht="17.25">
      <c r="A49" s="4">
        <v>46001</v>
      </c>
      <c r="B49" s="2" t="s">
        <v>6</v>
      </c>
      <c r="C49" s="5"/>
      <c r="D49" s="5">
        <v>2500</v>
      </c>
    </row>
    <row x14ac:dyDescent="0.25" r="50" customHeight="1" ht="17.25">
      <c r="A50" s="4">
        <v>46002</v>
      </c>
      <c r="B50" s="2" t="s">
        <v>41</v>
      </c>
      <c r="C50" s="3"/>
      <c r="D50" s="5">
        <v>9870000</v>
      </c>
    </row>
    <row x14ac:dyDescent="0.25" r="51" customHeight="1" ht="17.25">
      <c r="A51" s="4">
        <v>46002</v>
      </c>
      <c r="B51" s="2" t="s">
        <v>6</v>
      </c>
      <c r="C51" s="5"/>
      <c r="D51" s="5">
        <v>2500</v>
      </c>
    </row>
    <row x14ac:dyDescent="0.25" r="52" customHeight="1" ht="17.25">
      <c r="A52" s="4">
        <v>46002</v>
      </c>
      <c r="B52" s="6" t="s">
        <v>42</v>
      </c>
      <c r="C52" s="5"/>
      <c r="D52" s="5">
        <v>1787000</v>
      </c>
    </row>
    <row x14ac:dyDescent="0.25" r="53" customHeight="1" ht="17.25">
      <c r="A53" s="4">
        <v>46003</v>
      </c>
      <c r="B53" s="2" t="s">
        <v>43</v>
      </c>
      <c r="C53" s="5"/>
      <c r="D53" s="5">
        <v>22320000</v>
      </c>
    </row>
    <row x14ac:dyDescent="0.25" r="54" customHeight="1" ht="17.25">
      <c r="A54" s="4">
        <v>46003</v>
      </c>
      <c r="B54" s="6" t="s">
        <v>44</v>
      </c>
      <c r="C54" s="5"/>
      <c r="D54" s="5">
        <v>1154400</v>
      </c>
    </row>
    <row x14ac:dyDescent="0.25" r="55" customHeight="1" ht="17.25">
      <c r="A55" s="4">
        <v>46003</v>
      </c>
      <c r="B55" s="2" t="s">
        <v>6</v>
      </c>
      <c r="C55" s="5"/>
      <c r="D55" s="5">
        <v>2500</v>
      </c>
    </row>
    <row x14ac:dyDescent="0.25" r="56" customHeight="1" ht="17.25">
      <c r="A56" s="4">
        <v>46003</v>
      </c>
      <c r="B56" s="2" t="s">
        <v>45</v>
      </c>
      <c r="C56" s="5"/>
      <c r="D56" s="5">
        <v>2907600</v>
      </c>
    </row>
    <row x14ac:dyDescent="0.25" r="57" customHeight="1" ht="17.25">
      <c r="A57" s="4">
        <v>46003</v>
      </c>
      <c r="B57" s="2" t="s">
        <v>46</v>
      </c>
      <c r="C57" s="5"/>
      <c r="D57" s="5">
        <v>246700</v>
      </c>
    </row>
    <row x14ac:dyDescent="0.25" r="58" customHeight="1" ht="17.25">
      <c r="A58" s="4">
        <v>46003</v>
      </c>
      <c r="B58" s="2" t="s">
        <v>37</v>
      </c>
      <c r="C58" s="5"/>
      <c r="D58" s="5">
        <v>10000000</v>
      </c>
    </row>
    <row x14ac:dyDescent="0.25" r="59" customHeight="1" ht="17.25">
      <c r="A59" s="4">
        <v>46003</v>
      </c>
      <c r="B59" s="2" t="s">
        <v>47</v>
      </c>
      <c r="C59" s="5"/>
      <c r="D59" s="5">
        <v>3750000</v>
      </c>
    </row>
    <row x14ac:dyDescent="0.25" r="60" customHeight="1" ht="17.25">
      <c r="A60" s="4">
        <v>46003</v>
      </c>
      <c r="B60" s="2" t="s">
        <v>6</v>
      </c>
      <c r="C60" s="5"/>
      <c r="D60" s="5">
        <v>2500</v>
      </c>
    </row>
    <row x14ac:dyDescent="0.25" r="61" customHeight="1" ht="17.25">
      <c r="A61" s="4">
        <v>46004</v>
      </c>
      <c r="B61" s="2" t="s">
        <v>48</v>
      </c>
      <c r="C61" s="5"/>
      <c r="D61" s="5">
        <v>18350000</v>
      </c>
    </row>
    <row x14ac:dyDescent="0.25" r="62" customHeight="1" ht="17.25">
      <c r="A62" s="4">
        <v>46004</v>
      </c>
      <c r="B62" s="2" t="s">
        <v>6</v>
      </c>
      <c r="C62" s="5"/>
      <c r="D62" s="5">
        <v>2500</v>
      </c>
    </row>
    <row x14ac:dyDescent="0.25" r="63" customHeight="1" ht="17.25">
      <c r="A63" s="4">
        <v>46004</v>
      </c>
      <c r="B63" s="2" t="s">
        <v>49</v>
      </c>
      <c r="C63" s="3"/>
      <c r="D63" s="5">
        <v>1500000</v>
      </c>
    </row>
    <row x14ac:dyDescent="0.25" r="64" customHeight="1" ht="17.25">
      <c r="A64" s="4">
        <v>46004</v>
      </c>
      <c r="B64" s="8" t="s">
        <v>50</v>
      </c>
      <c r="C64" s="3"/>
      <c r="D64" s="5">
        <v>6775000</v>
      </c>
    </row>
    <row x14ac:dyDescent="0.25" r="65" customHeight="1" ht="17.25">
      <c r="A65" s="4">
        <v>46004</v>
      </c>
      <c r="B65" s="8" t="s">
        <v>51</v>
      </c>
      <c r="C65" s="5"/>
      <c r="D65" s="5">
        <v>2810400</v>
      </c>
    </row>
    <row x14ac:dyDescent="0.25" r="66" customHeight="1" ht="17.25">
      <c r="A66" s="4">
        <v>46004</v>
      </c>
      <c r="B66" s="2" t="s">
        <v>52</v>
      </c>
      <c r="C66" s="3"/>
      <c r="D66" s="5">
        <v>23624999</v>
      </c>
    </row>
    <row x14ac:dyDescent="0.25" r="67" customHeight="1" ht="17.25">
      <c r="A67" s="4">
        <v>46004</v>
      </c>
      <c r="B67" s="2" t="s">
        <v>53</v>
      </c>
      <c r="C67" s="3"/>
      <c r="D67" s="5">
        <v>36477498</v>
      </c>
    </row>
    <row x14ac:dyDescent="0.25" r="68" customHeight="1" ht="17.25">
      <c r="A68" s="4">
        <v>46004</v>
      </c>
      <c r="B68" s="2" t="s">
        <v>54</v>
      </c>
      <c r="C68" s="3"/>
      <c r="D68" s="5">
        <v>47500444</v>
      </c>
    </row>
    <row x14ac:dyDescent="0.25" r="69" customHeight="1" ht="17.25">
      <c r="A69" s="4">
        <v>46004</v>
      </c>
      <c r="B69" s="2" t="s">
        <v>55</v>
      </c>
      <c r="C69" s="3"/>
      <c r="D69" s="5">
        <v>17600000</v>
      </c>
    </row>
    <row x14ac:dyDescent="0.25" r="70" customHeight="1" ht="17.25">
      <c r="A70" s="4">
        <v>46004</v>
      </c>
      <c r="B70" s="2" t="s">
        <v>56</v>
      </c>
      <c r="C70" s="3"/>
      <c r="D70" s="5">
        <v>3200000</v>
      </c>
    </row>
    <row x14ac:dyDescent="0.25" r="71" customHeight="1" ht="17.25">
      <c r="A71" s="4">
        <v>46004</v>
      </c>
      <c r="B71" s="2" t="s">
        <v>57</v>
      </c>
      <c r="C71" s="3"/>
      <c r="D71" s="5">
        <v>22600001</v>
      </c>
    </row>
    <row x14ac:dyDescent="0.25" r="72" customHeight="1" ht="17.25">
      <c r="A72" s="4">
        <v>46004</v>
      </c>
      <c r="B72" s="2" t="s">
        <v>58</v>
      </c>
      <c r="C72" s="3"/>
      <c r="D72" s="5">
        <v>2560000</v>
      </c>
    </row>
    <row x14ac:dyDescent="0.25" r="73" customHeight="1" ht="17.25">
      <c r="A73" s="4">
        <v>46005</v>
      </c>
      <c r="B73" s="2" t="s">
        <v>59</v>
      </c>
      <c r="C73" s="5"/>
      <c r="D73" s="5">
        <v>10000000</v>
      </c>
    </row>
    <row x14ac:dyDescent="0.25" r="74" customHeight="1" ht="17.25">
      <c r="A74" s="4">
        <v>46006</v>
      </c>
      <c r="B74" s="2" t="s">
        <v>60</v>
      </c>
      <c r="C74" s="3"/>
      <c r="D74" s="5">
        <v>8775000</v>
      </c>
    </row>
    <row x14ac:dyDescent="0.25" r="75" customHeight="1" ht="17.25">
      <c r="A75" s="4">
        <v>46006</v>
      </c>
      <c r="B75" s="2" t="s">
        <v>6</v>
      </c>
      <c r="C75" s="5"/>
      <c r="D75" s="5">
        <v>2500</v>
      </c>
    </row>
    <row x14ac:dyDescent="0.25" r="76" customHeight="1" ht="17.25">
      <c r="A76" s="4">
        <v>46006</v>
      </c>
      <c r="B76" s="2" t="s">
        <v>61</v>
      </c>
      <c r="C76" s="3"/>
      <c r="D76" s="5">
        <v>8580000</v>
      </c>
    </row>
    <row x14ac:dyDescent="0.25" r="77" customHeight="1" ht="17.25">
      <c r="A77" s="4">
        <v>46006</v>
      </c>
      <c r="B77" s="2" t="s">
        <v>6</v>
      </c>
      <c r="C77" s="5"/>
      <c r="D77" s="5">
        <v>2500</v>
      </c>
    </row>
    <row x14ac:dyDescent="0.25" r="78" customHeight="1" ht="17.25">
      <c r="A78" s="4">
        <v>46006</v>
      </c>
      <c r="B78" s="2" t="s">
        <v>62</v>
      </c>
      <c r="C78" s="3"/>
      <c r="D78" s="5">
        <v>8970000</v>
      </c>
    </row>
    <row x14ac:dyDescent="0.25" r="79" customHeight="1" ht="17.25">
      <c r="A79" s="4">
        <v>46006</v>
      </c>
      <c r="B79" s="2" t="s">
        <v>6</v>
      </c>
      <c r="C79" s="5"/>
      <c r="D79" s="5">
        <v>2500</v>
      </c>
    </row>
    <row x14ac:dyDescent="0.25" r="80" customHeight="1" ht="17.25">
      <c r="A80" s="4">
        <v>46006</v>
      </c>
      <c r="B80" s="2" t="s">
        <v>63</v>
      </c>
      <c r="C80" s="3"/>
      <c r="D80" s="5">
        <v>56875000</v>
      </c>
    </row>
    <row x14ac:dyDescent="0.25" r="81" customHeight="1" ht="17.25">
      <c r="A81" s="4">
        <v>46006</v>
      </c>
      <c r="B81" s="2" t="s">
        <v>6</v>
      </c>
      <c r="C81" s="5"/>
      <c r="D81" s="5">
        <v>2500</v>
      </c>
    </row>
    <row x14ac:dyDescent="0.25" r="82" customHeight="1" ht="17.25">
      <c r="A82" s="4">
        <v>46006</v>
      </c>
      <c r="B82" s="6" t="s">
        <v>64</v>
      </c>
      <c r="C82" s="3"/>
      <c r="D82" s="5">
        <v>2686500</v>
      </c>
    </row>
    <row x14ac:dyDescent="0.25" r="83" customHeight="1" ht="17.25">
      <c r="A83" s="4">
        <v>46006</v>
      </c>
      <c r="B83" s="2" t="s">
        <v>6</v>
      </c>
      <c r="C83" s="3"/>
      <c r="D83" s="5">
        <v>2500</v>
      </c>
    </row>
    <row x14ac:dyDescent="0.25" r="84" customHeight="1" ht="17.25">
      <c r="A84" s="4">
        <v>46006</v>
      </c>
      <c r="B84" s="2" t="s">
        <v>65</v>
      </c>
      <c r="C84" s="3"/>
      <c r="D84" s="5">
        <v>9200000</v>
      </c>
    </row>
    <row x14ac:dyDescent="0.25" r="85" customHeight="1" ht="17.25">
      <c r="A85" s="4">
        <v>46006</v>
      </c>
      <c r="B85" s="2" t="s">
        <v>6</v>
      </c>
      <c r="C85" s="5"/>
      <c r="D85" s="5">
        <v>2500</v>
      </c>
    </row>
    <row x14ac:dyDescent="0.25" r="86" customHeight="1" ht="17.25">
      <c r="A86" s="4">
        <v>46006</v>
      </c>
      <c r="B86" s="2" t="s">
        <v>66</v>
      </c>
      <c r="C86" s="3"/>
      <c r="D86" s="5">
        <v>16100000</v>
      </c>
    </row>
    <row x14ac:dyDescent="0.25" r="87" customHeight="1" ht="17.25">
      <c r="A87" s="4">
        <v>46006</v>
      </c>
      <c r="B87" s="2" t="s">
        <v>6</v>
      </c>
      <c r="C87" s="3"/>
      <c r="D87" s="5">
        <v>2500</v>
      </c>
    </row>
    <row x14ac:dyDescent="0.25" r="88" customHeight="1" ht="17.25">
      <c r="A88" s="4">
        <v>46008</v>
      </c>
      <c r="B88" s="2" t="s">
        <v>4</v>
      </c>
      <c r="C88" s="3"/>
      <c r="D88" s="5">
        <v>10000000</v>
      </c>
    </row>
    <row x14ac:dyDescent="0.25" r="89" customHeight="1" ht="17.25">
      <c r="A89" s="4">
        <v>46009</v>
      </c>
      <c r="B89" s="2" t="s">
        <v>49</v>
      </c>
      <c r="C89" s="5"/>
      <c r="D89" s="5">
        <v>1693000</v>
      </c>
    </row>
    <row x14ac:dyDescent="0.25" r="90" customHeight="1" ht="17.25">
      <c r="A90" s="4">
        <v>46010</v>
      </c>
      <c r="B90" s="2" t="s">
        <v>67</v>
      </c>
      <c r="C90" s="3"/>
      <c r="D90" s="5">
        <v>15000000</v>
      </c>
    </row>
    <row x14ac:dyDescent="0.25" r="91" customHeight="1" ht="17.25">
      <c r="A91" s="4">
        <v>46010</v>
      </c>
      <c r="B91" s="2" t="s">
        <v>6</v>
      </c>
      <c r="C91" s="3"/>
      <c r="D91" s="5">
        <v>2500</v>
      </c>
    </row>
    <row x14ac:dyDescent="0.25" r="92" customHeight="1" ht="17.25">
      <c r="A92" s="4">
        <v>46010</v>
      </c>
      <c r="B92" s="2" t="s">
        <v>4</v>
      </c>
      <c r="C92" s="5"/>
      <c r="D92" s="5">
        <v>35000000</v>
      </c>
    </row>
    <row x14ac:dyDescent="0.25" r="93" customHeight="1" ht="17.25">
      <c r="A93" s="4">
        <v>46010</v>
      </c>
      <c r="B93" s="6" t="s">
        <v>68</v>
      </c>
      <c r="C93" s="3"/>
      <c r="D93" s="5">
        <v>13720000</v>
      </c>
    </row>
    <row x14ac:dyDescent="0.25" r="94" customHeight="1" ht="17.25">
      <c r="A94" s="4">
        <v>46011</v>
      </c>
      <c r="B94" s="2" t="s">
        <v>69</v>
      </c>
      <c r="C94" s="3"/>
      <c r="D94" s="5">
        <v>4500000</v>
      </c>
    </row>
    <row x14ac:dyDescent="0.25" r="95" customHeight="1" ht="17.25">
      <c r="A95" s="4">
        <v>46011</v>
      </c>
      <c r="B95" s="2" t="s">
        <v>6</v>
      </c>
      <c r="C95" s="9"/>
      <c r="D95" s="5">
        <v>2500</v>
      </c>
    </row>
    <row x14ac:dyDescent="0.25" r="96" customHeight="1" ht="17.25">
      <c r="A96" s="4">
        <v>46011</v>
      </c>
      <c r="B96" s="2" t="s">
        <v>70</v>
      </c>
      <c r="C96" s="3"/>
      <c r="D96" s="5">
        <v>37500000</v>
      </c>
    </row>
    <row x14ac:dyDescent="0.25" r="97" customHeight="1" ht="17.25">
      <c r="A97" s="4">
        <v>46011</v>
      </c>
      <c r="B97" s="2" t="s">
        <v>6</v>
      </c>
      <c r="C97" s="3"/>
      <c r="D97" s="5">
        <v>2500</v>
      </c>
    </row>
    <row x14ac:dyDescent="0.25" r="98" customHeight="1" ht="17.25">
      <c r="A98" s="4">
        <v>46011</v>
      </c>
      <c r="B98" s="2" t="s">
        <v>71</v>
      </c>
      <c r="C98" s="3"/>
      <c r="D98" s="5">
        <v>17500000</v>
      </c>
    </row>
    <row x14ac:dyDescent="0.25" r="99" customHeight="1" ht="17.25">
      <c r="A99" s="4">
        <v>46011</v>
      </c>
      <c r="B99" s="2" t="s">
        <v>6</v>
      </c>
      <c r="C99" s="3"/>
      <c r="D99" s="5">
        <v>2500</v>
      </c>
    </row>
    <row x14ac:dyDescent="0.25" r="100" customHeight="1" ht="17.25">
      <c r="A100" s="4">
        <v>46011</v>
      </c>
      <c r="B100" s="2" t="s">
        <v>72</v>
      </c>
      <c r="C100" s="3"/>
      <c r="D100" s="5">
        <v>1500000</v>
      </c>
    </row>
    <row x14ac:dyDescent="0.25" r="101" customHeight="1" ht="17.25">
      <c r="A101" s="4">
        <v>46011</v>
      </c>
      <c r="B101" s="2" t="s">
        <v>6</v>
      </c>
      <c r="C101" s="3"/>
      <c r="D101" s="5">
        <v>2500</v>
      </c>
    </row>
    <row x14ac:dyDescent="0.25" r="102" customHeight="1" ht="17.25">
      <c r="A102" s="4">
        <v>46011</v>
      </c>
      <c r="B102" s="2" t="s">
        <v>73</v>
      </c>
      <c r="C102" s="3"/>
      <c r="D102" s="5">
        <v>75000000</v>
      </c>
    </row>
    <row x14ac:dyDescent="0.25" r="103" customHeight="1" ht="17.25">
      <c r="A103" s="4">
        <v>46011</v>
      </c>
      <c r="B103" s="2" t="s">
        <v>6</v>
      </c>
      <c r="C103" s="3"/>
      <c r="D103" s="5">
        <v>2500</v>
      </c>
    </row>
    <row x14ac:dyDescent="0.25" r="104" customHeight="1" ht="17.25">
      <c r="A104" s="4">
        <v>46011</v>
      </c>
      <c r="B104" s="2" t="s">
        <v>74</v>
      </c>
      <c r="C104" s="3"/>
      <c r="D104" s="5">
        <v>5400000</v>
      </c>
    </row>
    <row x14ac:dyDescent="0.25" r="105" customHeight="1" ht="17.25">
      <c r="A105" s="4">
        <v>46012</v>
      </c>
      <c r="B105" s="2" t="s">
        <v>6</v>
      </c>
      <c r="C105" s="3"/>
      <c r="D105" s="5">
        <v>2500</v>
      </c>
    </row>
    <row x14ac:dyDescent="0.25" r="106" customHeight="1" ht="17.25">
      <c r="A106" s="4">
        <v>46012</v>
      </c>
      <c r="B106" s="2" t="s">
        <v>75</v>
      </c>
      <c r="C106" s="3"/>
      <c r="D106" s="5">
        <v>63000000</v>
      </c>
    </row>
    <row x14ac:dyDescent="0.25" r="107" customHeight="1" ht="17.25">
      <c r="A107" s="4">
        <v>46012</v>
      </c>
      <c r="B107" s="2" t="s">
        <v>6</v>
      </c>
      <c r="C107" s="3"/>
      <c r="D107" s="5">
        <v>2500</v>
      </c>
    </row>
    <row x14ac:dyDescent="0.25" r="108" customHeight="1" ht="17.25">
      <c r="A108" s="4">
        <v>46012</v>
      </c>
      <c r="B108" s="2" t="s">
        <v>76</v>
      </c>
      <c r="C108" s="3"/>
      <c r="D108" s="5">
        <v>53750000</v>
      </c>
    </row>
    <row x14ac:dyDescent="0.25" r="109" customHeight="1" ht="17.25">
      <c r="A109" s="4">
        <v>46012</v>
      </c>
      <c r="B109" s="2" t="s">
        <v>6</v>
      </c>
      <c r="C109" s="9"/>
      <c r="D109" s="5">
        <v>2500</v>
      </c>
    </row>
    <row x14ac:dyDescent="0.25" r="110" customHeight="1" ht="17.25">
      <c r="A110" s="4">
        <v>46012</v>
      </c>
      <c r="B110" s="2" t="s">
        <v>77</v>
      </c>
      <c r="C110" s="3"/>
      <c r="D110" s="5">
        <v>11475000</v>
      </c>
    </row>
    <row x14ac:dyDescent="0.25" r="111" customHeight="1" ht="17.25">
      <c r="A111" s="4">
        <v>46012</v>
      </c>
      <c r="B111" s="6" t="s">
        <v>78</v>
      </c>
      <c r="C111" s="9"/>
      <c r="D111" s="5">
        <v>62614615</v>
      </c>
    </row>
    <row x14ac:dyDescent="0.25" r="112" customHeight="1" ht="17.25">
      <c r="A112" s="4">
        <v>46013</v>
      </c>
      <c r="B112" s="2" t="s">
        <v>79</v>
      </c>
      <c r="C112" s="3"/>
      <c r="D112" s="5">
        <v>575000</v>
      </c>
    </row>
    <row x14ac:dyDescent="0.25" r="113" customHeight="1" ht="17.25">
      <c r="A113" s="4">
        <v>46013</v>
      </c>
      <c r="B113" s="2" t="s">
        <v>80</v>
      </c>
      <c r="C113" s="3"/>
      <c r="D113" s="5">
        <v>10500000</v>
      </c>
    </row>
    <row x14ac:dyDescent="0.25" r="114" customHeight="1" ht="17.25">
      <c r="A114" s="4">
        <v>46013</v>
      </c>
      <c r="B114" s="2" t="s">
        <v>6</v>
      </c>
      <c r="C114" s="9"/>
      <c r="D114" s="5">
        <v>2500</v>
      </c>
    </row>
    <row x14ac:dyDescent="0.25" r="115" customHeight="1" ht="17.25">
      <c r="A115" s="4">
        <v>46014</v>
      </c>
      <c r="B115" s="2" t="s">
        <v>4</v>
      </c>
      <c r="C115" s="3"/>
      <c r="D115" s="5">
        <v>60000000</v>
      </c>
    </row>
    <row x14ac:dyDescent="0.25" r="116" customHeight="1" ht="17.25">
      <c r="A116" s="4">
        <v>46014</v>
      </c>
      <c r="B116" s="2" t="s">
        <v>81</v>
      </c>
      <c r="C116" s="3"/>
      <c r="D116" s="5">
        <v>5400000</v>
      </c>
    </row>
    <row x14ac:dyDescent="0.25" r="117" customHeight="1" ht="17.25">
      <c r="A117" s="4">
        <v>46014</v>
      </c>
      <c r="B117" s="2" t="s">
        <v>6</v>
      </c>
      <c r="C117" s="3"/>
      <c r="D117" s="5">
        <v>2500</v>
      </c>
    </row>
    <row x14ac:dyDescent="0.25" r="118" customHeight="1" ht="17.25">
      <c r="A118" s="4">
        <v>46014</v>
      </c>
      <c r="B118" s="2" t="s">
        <v>82</v>
      </c>
      <c r="C118" s="3"/>
      <c r="D118" s="5">
        <v>70000000</v>
      </c>
    </row>
    <row x14ac:dyDescent="0.25" r="119" customHeight="1" ht="17.25">
      <c r="A119" s="4">
        <v>46014</v>
      </c>
      <c r="B119" s="2" t="s">
        <v>6</v>
      </c>
      <c r="C119" s="3"/>
      <c r="D119" s="5">
        <v>2500</v>
      </c>
    </row>
    <row x14ac:dyDescent="0.25" r="120" customHeight="1" ht="17.25">
      <c r="A120" s="4">
        <v>46014</v>
      </c>
      <c r="B120" s="2" t="s">
        <v>83</v>
      </c>
      <c r="C120" s="3"/>
      <c r="D120" s="5">
        <v>55000000</v>
      </c>
    </row>
    <row x14ac:dyDescent="0.25" r="121" customHeight="1" ht="17.25">
      <c r="A121" s="4">
        <v>46014</v>
      </c>
      <c r="B121" s="2" t="s">
        <v>6</v>
      </c>
      <c r="C121" s="3"/>
      <c r="D121" s="5">
        <v>2500</v>
      </c>
    </row>
    <row x14ac:dyDescent="0.25" r="122" customHeight="1" ht="17.25">
      <c r="A122" s="4">
        <v>46014</v>
      </c>
      <c r="B122" s="2" t="s">
        <v>84</v>
      </c>
      <c r="C122" s="3"/>
      <c r="D122" s="5">
        <v>68189999</v>
      </c>
    </row>
    <row x14ac:dyDescent="0.25" r="123" customHeight="1" ht="17.25">
      <c r="A123" s="4">
        <v>46014</v>
      </c>
      <c r="B123" s="2" t="s">
        <v>85</v>
      </c>
      <c r="C123" s="3"/>
      <c r="D123" s="5">
        <v>58095998</v>
      </c>
    </row>
    <row x14ac:dyDescent="0.25" r="124" customHeight="1" ht="17.25">
      <c r="A124" s="4">
        <v>46014</v>
      </c>
      <c r="B124" s="2" t="s">
        <v>86</v>
      </c>
      <c r="C124" s="3"/>
      <c r="D124" s="5">
        <v>23000000</v>
      </c>
    </row>
    <row x14ac:dyDescent="0.25" r="125" customHeight="1" ht="17.25">
      <c r="A125" s="4">
        <v>46014</v>
      </c>
      <c r="B125" s="2" t="s">
        <v>6</v>
      </c>
      <c r="C125" s="3"/>
      <c r="D125" s="5">
        <v>2500</v>
      </c>
    </row>
    <row x14ac:dyDescent="0.25" r="126" customHeight="1" ht="17.25">
      <c r="A126" s="4">
        <v>46014</v>
      </c>
      <c r="B126" s="2" t="s">
        <v>87</v>
      </c>
      <c r="C126" s="3"/>
      <c r="D126" s="5">
        <v>7500000</v>
      </c>
    </row>
    <row x14ac:dyDescent="0.25" r="127" customHeight="1" ht="17.25">
      <c r="A127" s="4">
        <v>46014</v>
      </c>
      <c r="B127" s="2" t="s">
        <v>6</v>
      </c>
      <c r="C127" s="3"/>
      <c r="D127" s="5">
        <v>2500</v>
      </c>
    </row>
    <row x14ac:dyDescent="0.25" r="128" customHeight="1" ht="17.25">
      <c r="A128" s="4">
        <v>46014</v>
      </c>
      <c r="B128" s="2" t="s">
        <v>88</v>
      </c>
      <c r="C128" s="3"/>
      <c r="D128" s="5">
        <v>9600000</v>
      </c>
    </row>
    <row x14ac:dyDescent="0.25" r="129" customHeight="1" ht="17.25">
      <c r="A129" s="4">
        <v>46014</v>
      </c>
      <c r="B129" s="2" t="s">
        <v>6</v>
      </c>
      <c r="C129" s="5"/>
      <c r="D129" s="5">
        <v>2500</v>
      </c>
    </row>
    <row x14ac:dyDescent="0.25" r="130" customHeight="1" ht="17.25">
      <c r="A130" s="4">
        <v>46014</v>
      </c>
      <c r="B130" s="2" t="s">
        <v>89</v>
      </c>
      <c r="C130" s="5"/>
      <c r="D130" s="5">
        <v>252810525</v>
      </c>
    </row>
    <row x14ac:dyDescent="0.25" r="131" customHeight="1" ht="17.25">
      <c r="A131" s="4">
        <v>46015</v>
      </c>
      <c r="B131" s="2" t="s">
        <v>90</v>
      </c>
      <c r="C131" s="5"/>
      <c r="D131" s="5">
        <v>1350000</v>
      </c>
    </row>
    <row x14ac:dyDescent="0.25" r="132" customHeight="1" ht="17.25">
      <c r="A132" s="4">
        <v>46015</v>
      </c>
      <c r="B132" s="2" t="s">
        <v>91</v>
      </c>
      <c r="C132" s="5"/>
      <c r="D132" s="5">
        <v>2575000</v>
      </c>
    </row>
    <row x14ac:dyDescent="0.25" r="133" customHeight="1" ht="17.25">
      <c r="A133" s="4">
        <v>46015</v>
      </c>
      <c r="B133" s="6" t="s">
        <v>92</v>
      </c>
      <c r="C133" s="3"/>
      <c r="D133" s="5">
        <v>206800</v>
      </c>
    </row>
    <row x14ac:dyDescent="0.25" r="134" customHeight="1" ht="17.25">
      <c r="A134" s="4">
        <v>46015</v>
      </c>
      <c r="B134" s="2" t="s">
        <v>93</v>
      </c>
      <c r="C134" s="3"/>
      <c r="D134" s="5">
        <v>72500000</v>
      </c>
    </row>
    <row x14ac:dyDescent="0.25" r="135" customHeight="1" ht="17.25">
      <c r="A135" s="4">
        <v>46015</v>
      </c>
      <c r="B135" s="2" t="s">
        <v>6</v>
      </c>
      <c r="C135" s="3"/>
      <c r="D135" s="5">
        <v>2500</v>
      </c>
    </row>
    <row x14ac:dyDescent="0.25" r="136" customHeight="1" ht="17.25">
      <c r="A136" s="4">
        <v>46015</v>
      </c>
      <c r="B136" s="2" t="s">
        <v>94</v>
      </c>
      <c r="C136" s="3"/>
      <c r="D136" s="5">
        <v>22500000</v>
      </c>
    </row>
    <row x14ac:dyDescent="0.25" r="137" customHeight="1" ht="17.25">
      <c r="A137" s="4">
        <v>46015</v>
      </c>
      <c r="B137" s="2" t="s">
        <v>6</v>
      </c>
      <c r="C137" s="3"/>
      <c r="D137" s="5">
        <v>2500</v>
      </c>
    </row>
    <row x14ac:dyDescent="0.25" r="138" customHeight="1" ht="17.25">
      <c r="A138" s="4">
        <v>46015</v>
      </c>
      <c r="B138" s="6" t="s">
        <v>95</v>
      </c>
      <c r="C138" s="3"/>
      <c r="D138" s="5">
        <v>35820000</v>
      </c>
    </row>
    <row x14ac:dyDescent="0.25" r="139" customHeight="1" ht="17.25">
      <c r="A139" s="4">
        <v>46015</v>
      </c>
      <c r="B139" s="2" t="s">
        <v>6</v>
      </c>
      <c r="C139" s="3"/>
      <c r="D139" s="5">
        <v>2500</v>
      </c>
    </row>
    <row x14ac:dyDescent="0.25" r="140" customHeight="1" ht="17.25">
      <c r="A140" s="4">
        <v>46018</v>
      </c>
      <c r="B140" s="2" t="s">
        <v>4</v>
      </c>
      <c r="C140" s="3"/>
      <c r="D140" s="5">
        <v>10000000</v>
      </c>
    </row>
    <row x14ac:dyDescent="0.25" r="141" customHeight="1" ht="17.25">
      <c r="A141" s="4">
        <v>46018</v>
      </c>
      <c r="B141" s="2" t="s">
        <v>96</v>
      </c>
      <c r="C141" s="3"/>
      <c r="D141" s="5">
        <v>52617999</v>
      </c>
    </row>
    <row x14ac:dyDescent="0.25" r="142" customHeight="1" ht="17.25">
      <c r="A142" s="4">
        <v>46018</v>
      </c>
      <c r="B142" s="2" t="s">
        <v>97</v>
      </c>
      <c r="C142" s="3"/>
      <c r="D142" s="5">
        <v>44000000</v>
      </c>
    </row>
    <row x14ac:dyDescent="0.25" r="143" customHeight="1" ht="17.25">
      <c r="A143" s="4">
        <v>46018</v>
      </c>
      <c r="B143" s="2" t="s">
        <v>6</v>
      </c>
      <c r="C143" s="3"/>
      <c r="D143" s="5">
        <v>2500</v>
      </c>
    </row>
    <row x14ac:dyDescent="0.25" r="144" customHeight="1" ht="17.25">
      <c r="A144" s="4">
        <v>46018</v>
      </c>
      <c r="B144" s="2" t="s">
        <v>98</v>
      </c>
      <c r="C144" s="3"/>
      <c r="D144" s="5">
        <v>35800000</v>
      </c>
    </row>
    <row x14ac:dyDescent="0.25" r="145" customHeight="1" ht="17.25">
      <c r="A145" s="4">
        <v>46018</v>
      </c>
      <c r="B145" s="2" t="s">
        <v>6</v>
      </c>
      <c r="C145" s="3"/>
      <c r="D145" s="5">
        <v>2500</v>
      </c>
    </row>
    <row x14ac:dyDescent="0.25" r="146" customHeight="1" ht="17.25">
      <c r="A146" s="4">
        <v>46018</v>
      </c>
      <c r="B146" s="2" t="s">
        <v>99</v>
      </c>
      <c r="C146" s="3"/>
      <c r="D146" s="5">
        <v>31500000</v>
      </c>
    </row>
    <row x14ac:dyDescent="0.25" r="147" customHeight="1" ht="17.25">
      <c r="A147" s="4">
        <v>46018</v>
      </c>
      <c r="B147" s="2" t="s">
        <v>6</v>
      </c>
      <c r="C147" s="3"/>
      <c r="D147" s="5">
        <v>2500</v>
      </c>
    </row>
    <row x14ac:dyDescent="0.25" r="148" customHeight="1" ht="17.25">
      <c r="A148" s="4">
        <v>46021</v>
      </c>
      <c r="B148" s="2" t="s">
        <v>4</v>
      </c>
      <c r="C148" s="3"/>
      <c r="D148" s="5">
        <v>60000000</v>
      </c>
    </row>
    <row x14ac:dyDescent="0.25" r="149" customHeight="1" ht="17.25">
      <c r="A149" s="4">
        <v>46021</v>
      </c>
      <c r="B149" s="2" t="s">
        <v>100</v>
      </c>
      <c r="C149" s="3"/>
      <c r="D149" s="5">
        <v>15000000</v>
      </c>
    </row>
    <row x14ac:dyDescent="0.25" r="150" customHeight="1" ht="17.25">
      <c r="A150" s="4">
        <v>46021</v>
      </c>
      <c r="B150" s="2" t="s">
        <v>4</v>
      </c>
      <c r="C150" s="3"/>
      <c r="D150" s="5">
        <v>2500</v>
      </c>
    </row>
    <row x14ac:dyDescent="0.25" r="151" customHeight="1" ht="17.25">
      <c r="A151" s="4">
        <v>46021</v>
      </c>
      <c r="B151" s="2" t="s">
        <v>101</v>
      </c>
      <c r="C151" s="3"/>
      <c r="D151" s="5">
        <v>15000000</v>
      </c>
    </row>
    <row x14ac:dyDescent="0.25" r="152" customHeight="1" ht="17.25">
      <c r="A152" s="4">
        <v>46021</v>
      </c>
      <c r="B152" s="2" t="s">
        <v>102</v>
      </c>
      <c r="C152" s="3"/>
      <c r="D152" s="5">
        <v>2500</v>
      </c>
    </row>
    <row x14ac:dyDescent="0.25" r="153" customHeight="1" ht="17.25">
      <c r="A153" s="4">
        <v>46022</v>
      </c>
      <c r="B153" s="2" t="s">
        <v>103</v>
      </c>
      <c r="C153" s="3"/>
      <c r="D153" s="5">
        <v>35276500</v>
      </c>
    </row>
    <row x14ac:dyDescent="0.25" r="154" customHeight="1" ht="17.25">
      <c r="A154" s="4">
        <v>46022</v>
      </c>
      <c r="B154" s="2" t="s">
        <v>6</v>
      </c>
      <c r="C154" s="3"/>
      <c r="D154" s="5">
        <v>2500</v>
      </c>
    </row>
    <row x14ac:dyDescent="0.25" r="155" customHeight="1" ht="17.25">
      <c r="A155" s="4">
        <v>46022</v>
      </c>
      <c r="B155" s="2" t="s">
        <v>104</v>
      </c>
      <c r="C155" s="3"/>
      <c r="D155" s="5">
        <v>35276500</v>
      </c>
    </row>
    <row x14ac:dyDescent="0.25" r="156" customHeight="1" ht="17.25">
      <c r="A156" s="4">
        <v>46022</v>
      </c>
      <c r="B156" s="2" t="s">
        <v>102</v>
      </c>
      <c r="C156" s="3"/>
      <c r="D156" s="5">
        <v>2500</v>
      </c>
    </row>
    <row x14ac:dyDescent="0.25" r="157" customHeight="1" ht="17.25">
      <c r="A157" s="4">
        <v>46022</v>
      </c>
      <c r="B157" s="2" t="s">
        <v>4</v>
      </c>
      <c r="C157" s="3"/>
      <c r="D157" s="5">
        <v>60000000</v>
      </c>
    </row>
    <row x14ac:dyDescent="0.25" r="158" customHeight="1" ht="17.25">
      <c r="A158" s="4">
        <v>46022</v>
      </c>
      <c r="B158" s="2" t="s">
        <v>105</v>
      </c>
      <c r="C158" s="3"/>
      <c r="D158" s="5">
        <v>5000000</v>
      </c>
    </row>
    <row x14ac:dyDescent="0.25" r="159" customHeight="1" ht="17.25">
      <c r="A159" s="4">
        <v>46022</v>
      </c>
      <c r="B159" s="2" t="s">
        <v>106</v>
      </c>
      <c r="C159" s="3"/>
      <c r="D159" s="5">
        <v>30000</v>
      </c>
    </row>
    <row x14ac:dyDescent="0.25" r="160" customHeight="1" ht="17.25">
      <c r="A160" s="4">
        <v>46022</v>
      </c>
      <c r="B160" s="2" t="s">
        <v>107</v>
      </c>
      <c r="C160" s="3"/>
      <c r="D160" s="10">
        <v>72193.8</v>
      </c>
    </row>
    <row x14ac:dyDescent="0.25" r="161" customHeight="1" ht="17.25">
      <c r="A161" s="1"/>
      <c r="B161" s="2"/>
      <c r="C161" s="3"/>
      <c r="D161" s="5"/>
    </row>
    <row x14ac:dyDescent="0.25" r="162" customHeight="1" ht="17.25">
      <c r="A162" s="1"/>
      <c r="B162" s="2"/>
      <c r="C162" s="3"/>
      <c r="D162" s="5"/>
    </row>
    <row x14ac:dyDescent="0.25" r="163" customHeight="1" ht="17.25">
      <c r="A163" s="1"/>
      <c r="B163" s="2"/>
      <c r="C163" s="3"/>
      <c r="D163" s="5"/>
    </row>
    <row x14ac:dyDescent="0.25" r="164" customHeight="1" ht="17.25">
      <c r="A164" s="1"/>
      <c r="B164" s="2"/>
      <c r="C164" s="10">
        <v>2711267050.64</v>
      </c>
      <c r="D164" s="10">
        <v>3027642831.8</v>
      </c>
    </row>
    <row x14ac:dyDescent="0.25" r="165" customHeight="1" ht="17.25">
      <c r="A165" s="11"/>
      <c r="B165" s="12"/>
      <c r="C165" s="13"/>
      <c r="D165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NOV</vt:lpstr>
      <vt:lpstr>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2025-03-03T10:29:34.185Z</dcterms:created>
  <dcterms:modified xsi:type="dcterms:W3CDTF">2025-03-03T10:29:34.185Z</dcterms:modified>
</cp:coreProperties>
</file>