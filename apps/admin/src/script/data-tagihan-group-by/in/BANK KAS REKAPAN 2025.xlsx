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s/Desktop/"/>
    </mc:Choice>
  </mc:AlternateContent>
  <xr:revisionPtr revIDLastSave="159" documentId="13_ncr:1_{5CFCFF57-9CC3-C34C-8422-20456634FD84}" xr6:coauthVersionLast="47" xr6:coauthVersionMax="47" xr10:uidLastSave="{084C8CB4-EB8B-48F5-B406-4A5651C3A434}"/>
  <bookViews>
    <workbookView xWindow="1080" yWindow="1260" windowWidth="27640" windowHeight="16560" firstSheet="9" xr2:uid="{A93E5181-3D08-B14F-93DE-A8A12CAC1395}"/>
  </bookViews>
  <sheets>
    <sheet name="JAN" sheetId="1" r:id="rId1"/>
    <sheet name="FEB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UST" sheetId="8" r:id="rId8"/>
    <sheet name="SEPT" sheetId="9" r:id="rId9"/>
    <sheet name="OCT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9" i="10" l="1"/>
  <c r="D224" i="7"/>
  <c r="D212" i="7"/>
  <c r="D111" i="7"/>
  <c r="D109" i="7"/>
  <c r="D105" i="7"/>
  <c r="D32" i="7"/>
  <c r="D229" i="7" s="1"/>
  <c r="D112" i="6"/>
  <c r="D95" i="6"/>
  <c r="D84" i="6"/>
  <c r="D13" i="6"/>
  <c r="D139" i="6" s="1"/>
  <c r="D41" i="5"/>
  <c r="D29" i="5"/>
  <c r="D145" i="5" s="1"/>
  <c r="D48" i="4"/>
  <c r="D103" i="4" s="1"/>
  <c r="D162" i="3"/>
  <c r="D81" i="3"/>
  <c r="D181" i="3" s="1"/>
  <c r="D78" i="2"/>
  <c r="D60" i="2"/>
  <c r="D59" i="2"/>
  <c r="D31" i="2"/>
  <c r="C111" i="1"/>
  <c r="D102" i="1"/>
  <c r="D100" i="1"/>
  <c r="D99" i="1"/>
  <c r="D56" i="1"/>
  <c r="D55" i="1"/>
  <c r="D52" i="1"/>
  <c r="D50" i="1"/>
  <c r="D48" i="1"/>
  <c r="D46" i="1"/>
  <c r="D42" i="1"/>
  <c r="D40" i="1"/>
  <c r="D39" i="1"/>
  <c r="D30" i="1"/>
  <c r="D28" i="1"/>
  <c r="D18" i="1"/>
  <c r="D16" i="1"/>
  <c r="D14" i="1"/>
  <c r="D10" i="1"/>
  <c r="D103" i="2" l="1"/>
  <c r="D111" i="1"/>
</calcChain>
</file>

<file path=xl/sharedStrings.xml><?xml version="1.0" encoding="utf-8"?>
<sst xmlns="http://schemas.openxmlformats.org/spreadsheetml/2006/main" count="1531" uniqueCount="860">
  <si>
    <t>JANUARI 2025</t>
  </si>
  <si>
    <t>BANK</t>
  </si>
  <si>
    <t>TGL</t>
  </si>
  <si>
    <t>KETERANGAN</t>
  </si>
  <si>
    <t>MASUK</t>
  </si>
  <si>
    <t>KELUAR</t>
  </si>
  <si>
    <t>UTK KAS</t>
  </si>
  <si>
    <t>FEE AKUNTAN DES</t>
  </si>
  <si>
    <t xml:space="preserve">BATU </t>
  </si>
  <si>
    <t>IBE 29/11 SEMEN 30 SAK X 60000</t>
  </si>
  <si>
    <t>BIAYA TRF</t>
  </si>
  <si>
    <t>IBE 29/11 PASIR 10 KUBIK</t>
  </si>
  <si>
    <t>IBE 2/12 LEDGER 0.9 M = 600 X 150.000</t>
  </si>
  <si>
    <t>IBE 3/12 CNP 125 X 50 X 3.5 M = 100 X 175,000</t>
  </si>
  <si>
    <t>IBE 3/12 WEDGE BESAR = 100X 130,000</t>
  </si>
  <si>
    <t>SPAREPART MOTOR (SERVIS: 13,513+</t>
  </si>
  <si>
    <t>STNK MOTOR</t>
  </si>
  <si>
    <t>IBE 3/12 WEDGE KECIL = 132 X 35,000</t>
  </si>
  <si>
    <t>IBE 11/12 PIPA 6M = 220 X 350000</t>
  </si>
  <si>
    <t>PERIJINAN OSS</t>
  </si>
  <si>
    <t>IBE 14/12 HOLLOW 50X50 = 250X 350,000</t>
  </si>
  <si>
    <t>IBE 14/12 BESI SIKU 250X 125,000</t>
  </si>
  <si>
    <t xml:space="preserve">BON ANDREW 8/1 JB </t>
  </si>
  <si>
    <t>PPH 25 DESEMBER 2024</t>
  </si>
  <si>
    <t>PPH 23-1 DESEMBER 2024</t>
  </si>
  <si>
    <t>PPH 23 -2 DESEMBER 2024</t>
  </si>
  <si>
    <t>PPH 23 IBE DESEMBER 2024</t>
  </si>
  <si>
    <t>PPH 21 DESEMBER 2024</t>
  </si>
  <si>
    <t>IMP 0708 23/10 ( 16,414,414+1,805,585)</t>
  </si>
  <si>
    <t>IMP 0707 22/10 ( 10,090,090+1,109,909)</t>
  </si>
  <si>
    <t>IMP 0706 21/10 ( 10,090,090+1,109,909)</t>
  </si>
  <si>
    <t>IMP 0705 19/10 (12,439,639+1,368,360)</t>
  </si>
  <si>
    <t xml:space="preserve">CAT - ANDREAS </t>
  </si>
  <si>
    <t>IBE 11/12 CAT SILVER 15 X 1,250,000</t>
  </si>
  <si>
    <t>IBE 14/12 PLAT BORDES 50 X 345,000</t>
  </si>
  <si>
    <t>IBE 19/12 JACKNUT MUR KUPU BESAR= 150 X100,000</t>
  </si>
  <si>
    <t>IBE 20/12 BATU SPLIT 5 X 1,500,000</t>
  </si>
  <si>
    <t>ANDREW - BELI JB</t>
  </si>
  <si>
    <t>CAT EDI NOVEMBER</t>
  </si>
  <si>
    <t>CAT EDI DESEMBER</t>
  </si>
  <si>
    <t>PARCEL MEYLIN</t>
  </si>
  <si>
    <t>IBE 20/12 CAT PUTIH 15 X 900,000</t>
  </si>
  <si>
    <t>IBE 20/12 CAT SILVER 20 X 1,250,000</t>
  </si>
  <si>
    <t>IMP 1027  5/8 ( 30,405,405+3,344,594)</t>
  </si>
  <si>
    <t>IMP 1025 5/8 (15,202,702+1,672,297)</t>
  </si>
  <si>
    <t>BELI BUDI HARTONO : WEDGE KZ 200 X25000</t>
  </si>
  <si>
    <t>RETUR UMROTA SEWA 15/1 - 14/2 BATAL</t>
  </si>
  <si>
    <t>RETUR JAMINAN UMROTA ( POT CLAIM)</t>
  </si>
  <si>
    <t>TOKPED SEPATU SAFETY</t>
  </si>
  <si>
    <t>BON ANDREW 21/1 UH</t>
  </si>
  <si>
    <t>INKOTE CAT 5 PAIL (</t>
  </si>
  <si>
    <t>BUKU CEK</t>
  </si>
  <si>
    <t>BAN TRUK JASA? (</t>
  </si>
  <si>
    <t>INTERNET</t>
  </si>
  <si>
    <t>BPJS KARYAWAN</t>
  </si>
  <si>
    <t>BELI GAS CO</t>
  </si>
  <si>
    <t>TEKNOMETAL TR 1.2 = 150 (</t>
  </si>
  <si>
    <t>PPN DESEMBER</t>
  </si>
  <si>
    <t>TRF KE PPA BANK MAYBANK 1</t>
  </si>
  <si>
    <t>TRF KE PPA BANK MAYBANK 2</t>
  </si>
  <si>
    <t>TRF KE PPA LOAN 3</t>
  </si>
  <si>
    <t>BELI CAT - ANDREAS</t>
  </si>
  <si>
    <t>IMP 0703 18/10 ( 10,405,405+1,144,594)</t>
  </si>
  <si>
    <t>IMP 0702 18/10 ( 26,522,522+2,917,477)</t>
  </si>
  <si>
    <t>PARAMOUNT 14/19/60 ( 56,605,856+6,226,644)</t>
  </si>
  <si>
    <t>IMP 1083 3/10 ( 30,243,243+3,326,756)</t>
  </si>
  <si>
    <t>LISTRIK</t>
  </si>
  <si>
    <t>U/ KOMPUTER HARDSIK VIVI</t>
  </si>
  <si>
    <t>TOKPED ATK TINTA</t>
  </si>
  <si>
    <t>ADM</t>
  </si>
  <si>
    <t>PAJAK BUNGA</t>
  </si>
  <si>
    <t>FEBRUARI 2025</t>
  </si>
  <si>
    <t>BPJS KULI JANUARI</t>
  </si>
  <si>
    <t>GAJI VIVI JAN</t>
  </si>
  <si>
    <t>GAJI LIANI JAN</t>
  </si>
  <si>
    <t>GAJI SISKA JAN</t>
  </si>
  <si>
    <t>GAJI SUARDI</t>
  </si>
  <si>
    <t>GAJI KARYANTO JAN</t>
  </si>
  <si>
    <t>GAJI TOMMY JAN</t>
  </si>
  <si>
    <t>BELI BATU</t>
  </si>
  <si>
    <t>BON ANDREW 4/2</t>
  </si>
  <si>
    <t>BONUS SUARDI FEB</t>
  </si>
  <si>
    <t>BONUS KARYANTO FEB</t>
  </si>
  <si>
    <t>TEKNOMETAL U/ JUAL OASIS (10,135,135+1,114,865)</t>
  </si>
  <si>
    <t>IMP KURANG BAYAR 24/1</t>
  </si>
  <si>
    <t>FEE AKUNTAN JANUARI</t>
  </si>
  <si>
    <t>DP MOBIL MERCY 1</t>
  </si>
  <si>
    <t>SPAREPART TRUK 25/1</t>
  </si>
  <si>
    <t>TEKNOMETAL TIEROD1,2=100(</t>
  </si>
  <si>
    <t xml:space="preserve">BIAYA TRF </t>
  </si>
  <si>
    <t>KUS WINGNUT 300 X 17700</t>
  </si>
  <si>
    <t>TILANGAN TRUK</t>
  </si>
  <si>
    <t>LEM TRUK</t>
  </si>
  <si>
    <t>KABEL GUDANG</t>
  </si>
  <si>
    <t>IMP 1089 8/10 ( 19,459,458+2,140,540) +</t>
  </si>
  <si>
    <t>SEWA TRUK NUR ( POT PPH) 30/1</t>
  </si>
  <si>
    <t>GAJI BRADY JAN PANIN</t>
  </si>
  <si>
    <t>GAJI BRYAN JAN DANAMON</t>
  </si>
  <si>
    <t>DP MOBIL MERCY2 -  lewat bca</t>
  </si>
  <si>
    <t>ATK USB - AFSYAH</t>
  </si>
  <si>
    <t>PPH 23 JANUARI 2025</t>
  </si>
  <si>
    <t>PPH 21 JANUARI 2025</t>
  </si>
  <si>
    <t>PPH 25 JANUARI 2025</t>
  </si>
  <si>
    <t>RETUR JAMINAN ARTHA SENTRA</t>
  </si>
  <si>
    <t xml:space="preserve">U/ STOK ANDREW UHEAD </t>
  </si>
  <si>
    <t>KIR TRUK</t>
  </si>
  <si>
    <t>U/ SERVIS MOTOR (303874 POT PPH 6077) SPAREPART 878,558, PPN=130068</t>
  </si>
  <si>
    <t>KAWAT LAS - MEYLIN</t>
  </si>
  <si>
    <t>KOMPUTER - MOUSE - VIVI</t>
  </si>
  <si>
    <t>IMP KURANG BAYAR 7/2</t>
  </si>
  <si>
    <t>IMP 1096 15/10 ( 20,684,684+2,275,315)</t>
  </si>
  <si>
    <t>IMP 0723 9/11 ( 7,297,297+802,702)</t>
  </si>
  <si>
    <t>U/ GUDANG ZTK SEMEN DAN PASIR</t>
  </si>
  <si>
    <t>U/ STOK ZTK  SIKU 30X30</t>
  </si>
  <si>
    <t>U/ JUAL ZTK 21/1 DAN 22/1 ( IDK)</t>
  </si>
  <si>
    <t>U/ JUAL ZTK 17/2 ( KARMELINDO)</t>
  </si>
  <si>
    <t>U/ JUAL ZTK 18/2 ( KARMELINDO)</t>
  </si>
  <si>
    <t>IMP 0755 3/12 ( 30,630,631+3,369,369)</t>
  </si>
  <si>
    <t>CAT 2 PAIL - STEVANUS - ANDREAS</t>
  </si>
  <si>
    <t>CAT - MEYLIN</t>
  </si>
  <si>
    <t>IMP 3749 10/1/25 BELI CAT 3 pail ( 3,000,000+ 330,000)</t>
  </si>
  <si>
    <t>U/ STOK KUS ( LEBIH BAYAR=)</t>
  </si>
  <si>
    <t>U/ STOK TARSIM 22/2</t>
  </si>
  <si>
    <t>U/ STOK WINGNUT 22/2 TARSIM 650X1600</t>
  </si>
  <si>
    <t>KARUNG</t>
  </si>
  <si>
    <t>TRF KE MAYBANK PPA</t>
  </si>
  <si>
    <t>U/ STOK PT MITRA V - 3/9</t>
  </si>
  <si>
    <t>U/ STOK PT MITRA V - 13/9</t>
  </si>
  <si>
    <t>GAJI BRYAN FEB DANAMON</t>
  </si>
  <si>
    <t>GAJI BRADY FEB PANIN</t>
  </si>
  <si>
    <t>GAJI VIVI FEBRUARI</t>
  </si>
  <si>
    <t>GAJI BETTY FEBRUARI</t>
  </si>
  <si>
    <t>GAJI SISKA FEBRUARI</t>
  </si>
  <si>
    <t>ADMIN</t>
  </si>
  <si>
    <t>MARET 2025</t>
  </si>
  <si>
    <t xml:space="preserve">GAJI WARDI FEB </t>
  </si>
  <si>
    <t>GAJI YANTO FEB</t>
  </si>
  <si>
    <t>GAJI TONGWI FEB</t>
  </si>
  <si>
    <t>U/ SUMBANGAN H SADELIH</t>
  </si>
  <si>
    <t>GAJI LIANI FEB</t>
  </si>
  <si>
    <t>KIR</t>
  </si>
  <si>
    <t>STNK FUSO</t>
  </si>
  <si>
    <t>PPH 21 MEI 24- PB 1 - NOTARIS</t>
  </si>
  <si>
    <t>PPH 23 APRIL 24 - PB 1</t>
  </si>
  <si>
    <t>PPH 23 MEI 24 - PB 1</t>
  </si>
  <si>
    <t>PPH 23 JUNI 24 - PB 1</t>
  </si>
  <si>
    <t>PPH 23 JULI 24 - PB 1</t>
  </si>
  <si>
    <t>PPH 23 AGST 24 - PB 1</t>
  </si>
  <si>
    <t>PPH 23 OKT 24 - PB 1</t>
  </si>
  <si>
    <t>IMP 0769 20/12 (91,891,893+10,108,108)</t>
  </si>
  <si>
    <t>CAT EDI JANUARI 2025</t>
  </si>
  <si>
    <t>BPJS KULI FEBRUARI</t>
  </si>
  <si>
    <t>FEE AKUNTAN FEBRUARI</t>
  </si>
  <si>
    <t>CAT - PT MITRA 2/10</t>
  </si>
  <si>
    <t>CAT - PT MITRA THINNER 2/10</t>
  </si>
  <si>
    <t>BPJS KARYAWAN MARET</t>
  </si>
  <si>
    <t>LISTRIK MARET</t>
  </si>
  <si>
    <t>INTERNET MARET</t>
  </si>
  <si>
    <t>U/ STOK MITRA SIKU SBB 3/10</t>
  </si>
  <si>
    <t>U/ STOK MITRA SIKU SBB 4/10</t>
  </si>
  <si>
    <t>U/ STOK MITRA SIKU SBB 5/10</t>
  </si>
  <si>
    <t>U/ SERVIS MITRA KAWAT LAS 5/10</t>
  </si>
  <si>
    <t>U/ CAT MITRA CAT PUTIH DAN HITAM 5/10</t>
  </si>
  <si>
    <t>PPH 25 FEB</t>
  </si>
  <si>
    <t>PPH 21 FEB</t>
  </si>
  <si>
    <t xml:space="preserve">CAT -MEYLIN </t>
  </si>
  <si>
    <t>U/ KAS</t>
  </si>
  <si>
    <t>U/ STOK ANDREW</t>
  </si>
  <si>
    <t>U/ STOK MITRA TANGGA 7/11</t>
  </si>
  <si>
    <t>U/ STOK MITRA PUSH PULL 3M</t>
  </si>
  <si>
    <t>CAT MITRA 7/11 DAN 22/11</t>
  </si>
  <si>
    <t>CAT INKOTE (5,200,000+572000)</t>
  </si>
  <si>
    <t>U/ JUAL MITRA 18/12 PEN</t>
  </si>
  <si>
    <t>U/STOK MITRA 18/12 PIPA6</t>
  </si>
  <si>
    <t>CAT MITRA 2/12</t>
  </si>
  <si>
    <t>U/ SERVIS MITRA KAWAT LAS DAN KARUNG 2/12</t>
  </si>
  <si>
    <t>U/SERVIS MITRA THINNER 2/12</t>
  </si>
  <si>
    <t>CAT MITRA 12/12</t>
  </si>
  <si>
    <t>BIAYA BANK</t>
  </si>
  <si>
    <t>PPH 23 -1 FEB (271,059)+ PPH FINAL SEWA GUDANG 66 JUTA</t>
  </si>
  <si>
    <t>U/ JUAL OASIS ASIBA IMP 1296 4/2 (122,522,524+13,477,478)</t>
  </si>
  <si>
    <t>MAKSIMA -RETUR LEBIH BAYAR</t>
  </si>
  <si>
    <t>ATK - AFSYAH USB</t>
  </si>
  <si>
    <t>U/ JUAL OASIS TEKNOMETAL TR6=200 (27,027,027+2,972,973)</t>
  </si>
  <si>
    <t>TRF PPA LOAN 3</t>
  </si>
  <si>
    <t>U/ JUAL OASIS ASIBA IMP 8348 7/2 (45,945,946+5054054)</t>
  </si>
  <si>
    <t>OLI TRUK</t>
  </si>
  <si>
    <t>JOK MOBIL CRV - TUNAI 5 JUTA ( TOTAL 9)</t>
  </si>
  <si>
    <t xml:space="preserve">PPH 23 NOTARIS 2024 </t>
  </si>
  <si>
    <t>U/ SERVIS GERINDA DAN KAWAT LAS- MEYLIN</t>
  </si>
  <si>
    <t>CETAK BROSUR</t>
  </si>
  <si>
    <t>THR SUARDI</t>
  </si>
  <si>
    <t>THR FIANTO</t>
  </si>
  <si>
    <t xml:space="preserve">THR RADIT </t>
  </si>
  <si>
    <t xml:space="preserve">THR LAHARISA </t>
  </si>
  <si>
    <t>THR SIKIN</t>
  </si>
  <si>
    <t>THR SUGIRI THR</t>
  </si>
  <si>
    <t>THR PADIN THR</t>
  </si>
  <si>
    <t>THR ARYANTO THR</t>
  </si>
  <si>
    <t>THR EHMED THR</t>
  </si>
  <si>
    <t>THR SUMANTA THR</t>
  </si>
  <si>
    <t>THR RAHMAT THR</t>
  </si>
  <si>
    <t>THR HERMAN THR</t>
  </si>
  <si>
    <t>THR DWI RIYANTI THR</t>
  </si>
  <si>
    <t>THR TARJO THR</t>
  </si>
  <si>
    <t>THR ARIS THR</t>
  </si>
  <si>
    <t>THR HARIAN THR</t>
  </si>
  <si>
    <t xml:space="preserve">THR HARIAN </t>
  </si>
  <si>
    <t>THR SISKA</t>
  </si>
  <si>
    <t>JOK MOBIL CRV</t>
  </si>
  <si>
    <t>FEE NOTARIS WIJANTO  - AKTA DEVIDEN DAN KLU</t>
  </si>
  <si>
    <t>U/ JUAL ZHEZIANG 24/2</t>
  </si>
  <si>
    <t>SEWA TRUK ZHEZIANG MARET (34,200,000)</t>
  </si>
  <si>
    <t>JASA LAS ZHEZIANG MARET (35,000,000)</t>
  </si>
  <si>
    <t xml:space="preserve">U/ SERVIS GUDANG ZHEZIANG SEMEN DAN BATU </t>
  </si>
  <si>
    <t xml:space="preserve">U/ SERVIS ZHEZIANG MUR JB </t>
  </si>
  <si>
    <t>CAT - ASROFI FURNITURE</t>
  </si>
  <si>
    <t>PARAMOUNT 16/19/60 ( 56,605,856+6,226,644)</t>
  </si>
  <si>
    <t>U/ JUAL NRC JSI ZHEZIANG</t>
  </si>
  <si>
    <t>KASBON FIANTO</t>
  </si>
  <si>
    <t>KASBON KARYANTO kb 1 juta</t>
  </si>
  <si>
    <t>U/ JUAL OASIS ASIBA IMP 1296 4/2 (122,522,524+13,477,478) DOBEL</t>
  </si>
  <si>
    <t>PPN FEBRUARI</t>
  </si>
  <si>
    <t>JASA PERUBAHAN NIB OSS</t>
  </si>
  <si>
    <t>GAJI FIANTO</t>
  </si>
  <si>
    <t xml:space="preserve">GAJI OOH DENADI </t>
  </si>
  <si>
    <t>GAJI SIKIN - KASBON</t>
  </si>
  <si>
    <t>ANDREW BON BELI 27/3</t>
  </si>
  <si>
    <t>GAJI SIKIN</t>
  </si>
  <si>
    <t>GAJI LAHARISA + KASBON 500,000</t>
  </si>
  <si>
    <t>GAJI SUGIRI</t>
  </si>
  <si>
    <t>GAJI PADIN</t>
  </si>
  <si>
    <t>GAJI ARYANTO + KASBON 1 JUTA</t>
  </si>
  <si>
    <t>GAJI HERMAN</t>
  </si>
  <si>
    <t>GAJI RAHMAT</t>
  </si>
  <si>
    <t xml:space="preserve">GAJI SUMANTA </t>
  </si>
  <si>
    <t>GAJI EHMED</t>
  </si>
  <si>
    <t>GAJI ADIH - TRF KE HERMAN</t>
  </si>
  <si>
    <t>GAJI ASMADI - TRF KE PIAN</t>
  </si>
  <si>
    <t>GAJI TONGWI MARET</t>
  </si>
  <si>
    <t>GAJI VIVI MARET</t>
  </si>
  <si>
    <t>GAJI BETTY MARET</t>
  </si>
  <si>
    <t>GAJI SISKA MARET</t>
  </si>
  <si>
    <t>GAJI BRYAN MARET DANAMON</t>
  </si>
  <si>
    <t>GAJI BRADY MARET PANIN</t>
  </si>
  <si>
    <t>U/ STOK TEKNOMETAL SLEEVE COUPLER 166 (</t>
  </si>
  <si>
    <t>GAJI TOMAS</t>
  </si>
  <si>
    <t>GAJI VIVI - TAMBAHAN</t>
  </si>
  <si>
    <t>GAJI TOMAS -TAMBAHAN</t>
  </si>
  <si>
    <t>GAJI HERMANSYAH</t>
  </si>
  <si>
    <t>JASA LAS - CECE</t>
  </si>
  <si>
    <t>GAI HERMANSYAH- WALUYO</t>
  </si>
  <si>
    <t>GAJI TOMAS  - KASBON</t>
  </si>
  <si>
    <t>GAJI WARDI MARET</t>
  </si>
  <si>
    <t>GAJI YANTO MARET</t>
  </si>
  <si>
    <t>GAJI LIANI MARET</t>
  </si>
  <si>
    <t>GAJI SADELIH MARET</t>
  </si>
  <si>
    <t>FEE AKUNTAN MARET</t>
  </si>
  <si>
    <t>BIAYA ADM</t>
  </si>
  <si>
    <t>PARCEL - EKO WIKA</t>
  </si>
  <si>
    <t>TEKNOMETAL ASIBA 3=2</t>
  </si>
  <si>
    <t>PADIN- KASBON ( ANGGAP GAJI MARET)</t>
  </si>
  <si>
    <t>JASA LAS - 25/3 ZHEJJIANG</t>
  </si>
  <si>
    <t>BELI CAT - 25/3 ZHEJIANG</t>
  </si>
  <si>
    <t>BELI PASIR SEMEN BATU 7/4 ZHEJIANG</t>
  </si>
  <si>
    <t>U/ STOK PIPA 1.2 7/4 ZHEJIANG</t>
  </si>
  <si>
    <t>PPH 21 MARET</t>
  </si>
  <si>
    <t>PPH 23 MARET</t>
  </si>
  <si>
    <t>PPH 25 MARET</t>
  </si>
  <si>
    <t>SPAREPART MOTOR - CV CLARA</t>
  </si>
  <si>
    <t>SERVIS MOTOR - CV CLARA DPP 461,221</t>
  </si>
  <si>
    <t>GAJI KARYANTO MARET</t>
  </si>
  <si>
    <t>GAJI SUARDI MARET</t>
  </si>
  <si>
    <t xml:space="preserve">BAYAR BCA 2 </t>
  </si>
  <si>
    <t>GAJI TOMAS APRIL ( KASBON)</t>
  </si>
  <si>
    <t>GAJI VIVI APRIL</t>
  </si>
  <si>
    <t>CAT - INKOTE 5 PAIL</t>
  </si>
  <si>
    <t>TRAINING- ACCURATE</t>
  </si>
  <si>
    <t>U/ STOK TEKNOMETAL CB 193=48</t>
  </si>
  <si>
    <t>GAJI TOMAS APRIL ( KAS)</t>
  </si>
  <si>
    <t xml:space="preserve">CICILAN MOBIL MERCY 2 /36 </t>
  </si>
  <si>
    <t>SPAREPART TRUK</t>
  </si>
  <si>
    <t>GAJI KARYANTO APRIL</t>
  </si>
  <si>
    <t>U/ STOK - TEKNOMETAL (</t>
  </si>
  <si>
    <t xml:space="preserve">LISTRIK </t>
  </si>
  <si>
    <t>GAJI LIANI APRIL</t>
  </si>
  <si>
    <t>GAJI SUARDI APRIL</t>
  </si>
  <si>
    <t>SEWA TRUK - VINCENT 26,000,000</t>
  </si>
  <si>
    <t>U/ STOK - VINCENT</t>
  </si>
  <si>
    <t>U/ SERVIS GUDANG ( PASIR SEMEN BATU) VINCENT</t>
  </si>
  <si>
    <t>CAT INKOTE ( 5,200,000+ 572,000)</t>
  </si>
  <si>
    <t>CAT - ANDREAS</t>
  </si>
  <si>
    <t>U/ SERVIS PENLOCK TEKNOMETAL (</t>
  </si>
  <si>
    <t>SPAREPART TRUK ( OLI )</t>
  </si>
  <si>
    <t>PPN MARET 2025</t>
  </si>
  <si>
    <t>BAN MOTOR TARJO</t>
  </si>
  <si>
    <t>SEWA MOBIL DESAN</t>
  </si>
  <si>
    <t>GAJI LINA APRIL KE PANIN</t>
  </si>
  <si>
    <t>U/ SERVIS - BAUT - ANDREAS</t>
  </si>
  <si>
    <t>SPAREPART TRUK - FETRICIA</t>
  </si>
  <si>
    <t>STP 2024 PPH</t>
  </si>
  <si>
    <t>PARAMOUNT 17/19/60 ( 56,605,856+6,226,644)</t>
  </si>
  <si>
    <t>BPJS KARYAWAN APRIL</t>
  </si>
  <si>
    <t>GAJI BRYAN SURYA KE DANAMON</t>
  </si>
  <si>
    <t>GAJI BRADY SURYA KE PANIN</t>
  </si>
  <si>
    <t>GAJI LINA APRIL KE DANAMON</t>
  </si>
  <si>
    <t>CAT TARSIM 0424 (BON 23/4 DAN 29/4)</t>
  </si>
  <si>
    <t>GAJI SIKIN APRIL</t>
  </si>
  <si>
    <t>TRANSFER BCA LOAN 2</t>
  </si>
  <si>
    <t>BPJS KULI APRIL 2025</t>
  </si>
  <si>
    <t xml:space="preserve">ATK - TOKPED TINTA </t>
  </si>
  <si>
    <t>TERPAL</t>
  </si>
  <si>
    <t>MEI 2025</t>
  </si>
  <si>
    <t>GAJI - SUARDI APRIL</t>
  </si>
  <si>
    <t>GAJI - KARYANTO APRIL</t>
  </si>
  <si>
    <t>GAJI - TONGWI APRIL</t>
  </si>
  <si>
    <t>GAJI - VIVI APRIL</t>
  </si>
  <si>
    <t>GAJI - LIANI APRIL</t>
  </si>
  <si>
    <t>GAJI - TOMAS APRIL</t>
  </si>
  <si>
    <t>GAJI - SISKA APRIL</t>
  </si>
  <si>
    <t>GAJI - RAHMAT APRIL</t>
  </si>
  <si>
    <t>GAJI - SUMANTA APRIL</t>
  </si>
  <si>
    <t>GAJI - AHMAD APRIL</t>
  </si>
  <si>
    <t>GAJI - RISA APRIL</t>
  </si>
  <si>
    <t>GAJI - SUGIRI APRIL</t>
  </si>
  <si>
    <t>GAJI - PADIN APRIL</t>
  </si>
  <si>
    <t>GAJI - ARIYANTO APRIL</t>
  </si>
  <si>
    <t>GAJI - HERMAN APRIL</t>
  </si>
  <si>
    <t>GAJI - FIANTO APRIL</t>
  </si>
  <si>
    <t>GAJI - RADIT APRIL</t>
  </si>
  <si>
    <t>SUMBANGAN - H SADELIH</t>
  </si>
  <si>
    <t>FEE AKUNTAN APRIL</t>
  </si>
  <si>
    <t>GAJI CHENDY SURYA KE OCBC APRIL</t>
  </si>
  <si>
    <t>SEWA TRUK NUR - SUNPO ( 7,000,000)</t>
  </si>
  <si>
    <t>U/ STOK TEKNOMETAL (</t>
  </si>
  <si>
    <t>KSO MLAPI RETUR SALAH TRANSFER</t>
  </si>
  <si>
    <t>CAT EDI 5/3</t>
  </si>
  <si>
    <t>CAT EDI 9/4, 22/4, 26/4</t>
  </si>
  <si>
    <t>U/ STOK - PIPA 6 =100 MEDIA BAJA</t>
  </si>
  <si>
    <t xml:space="preserve">SPAREPART MOBIL JOK - CRV </t>
  </si>
  <si>
    <t>SP2DK TH 2022</t>
  </si>
  <si>
    <t>TRF KE PPA LOAN 2</t>
  </si>
  <si>
    <t>BELI CAT - JAGAT ANDREAS</t>
  </si>
  <si>
    <t>NATURA - SPAREPART CRV KACA FILM</t>
  </si>
  <si>
    <t>PPH 23 APRIL</t>
  </si>
  <si>
    <t>KABEL KOMPUTER - APSAH</t>
  </si>
  <si>
    <t xml:space="preserve">U/ STOK IMP 16/4 </t>
  </si>
  <si>
    <t>STNK B 9043</t>
  </si>
  <si>
    <t xml:space="preserve">CICILAN MOBIL MERCY 3 /36 </t>
  </si>
  <si>
    <t xml:space="preserve">OLI MOTOR ( </t>
  </si>
  <si>
    <t xml:space="preserve">ASSET ( HP OPPO ) </t>
  </si>
  <si>
    <t>SEWA TRUK - ZHEJIANG</t>
  </si>
  <si>
    <t>U/ GUDANG - PASIR SEMEN BATU ZHEJIANG</t>
  </si>
  <si>
    <t>CAT - ZHEJIANG</t>
  </si>
  <si>
    <t>JASA LAS - ZHEJIANG</t>
  </si>
  <si>
    <t>PARAMOUNT 18/19/60 ( 56,605,856+6,226,644)</t>
  </si>
  <si>
    <t>KAWAT LAS - ANDREAS</t>
  </si>
  <si>
    <t>U/ STOK - PIPA 6- 100 MEGA BAJA</t>
  </si>
  <si>
    <t>TRF KE HUTANG BCA 3 716-0275591</t>
  </si>
  <si>
    <t>TRF KE HUTANG BCA 2 716-0267474</t>
  </si>
  <si>
    <t xml:space="preserve">BPJS KULI </t>
  </si>
  <si>
    <t xml:space="preserve">U/ SERVIS - PEN LOCK  2000- TEKNOMETAL </t>
  </si>
  <si>
    <t>ATK - TINTA PRINTER TOKPED</t>
  </si>
  <si>
    <t>KACAMATA LAS  TOKPED</t>
  </si>
  <si>
    <t xml:space="preserve">PPN APRIL </t>
  </si>
  <si>
    <t>SPAREPART TRUK FETRICIA</t>
  </si>
  <si>
    <t>GAJI BRYAN - MEI 2025</t>
  </si>
  <si>
    <t>GAJI BRADY - MEI 2025</t>
  </si>
  <si>
    <t xml:space="preserve">GAJI LINA DANAMON - MEI 2025 </t>
  </si>
  <si>
    <t>ATK - STEMPEL</t>
  </si>
  <si>
    <t>GAJI - KARYANTO MEI</t>
  </si>
  <si>
    <t>GAJI - SUARDI MEI</t>
  </si>
  <si>
    <t>GAJI - LIANI MEI</t>
  </si>
  <si>
    <t>GAJI - TOMAS MEI</t>
  </si>
  <si>
    <t>GAJI - TOMMY MEI</t>
  </si>
  <si>
    <t>GAJI - VIVI MEI</t>
  </si>
  <si>
    <t>GAJI - SISKA MEI</t>
  </si>
  <si>
    <t>GAJI - EHMED MEI</t>
  </si>
  <si>
    <t>GAJI - SIKIN MEI</t>
  </si>
  <si>
    <t>GAJI - LAHARISA MEI</t>
  </si>
  <si>
    <t>GAJI - SUGIRI MEI</t>
  </si>
  <si>
    <t>GAJI - PADIN MEI</t>
  </si>
  <si>
    <t>GAJI - ARIYANTO MEI</t>
  </si>
  <si>
    <t>GAJI - HERMAN MEI</t>
  </si>
  <si>
    <t>GAJI - FIANTO MEI</t>
  </si>
  <si>
    <t>GAJI - RADIT MEI</t>
  </si>
  <si>
    <t>GAJI - RAHMAT MEI</t>
  </si>
  <si>
    <t>GAJI - SUMANTA MEI</t>
  </si>
  <si>
    <t>JUNI 2025</t>
  </si>
  <si>
    <t xml:space="preserve">KELUAR </t>
  </si>
  <si>
    <t>ASURANSI CHENDY SURYA TH 1 /20( 1M)</t>
  </si>
  <si>
    <t>ASURANSI LINA TH 1/20 (1.5 M)</t>
  </si>
  <si>
    <t>GAJI CHENDY SURYA KE PANIN MEI</t>
  </si>
  <si>
    <t>ATK TOKPED TINTA</t>
  </si>
  <si>
    <t>SPAREPART 00225 - 12/3/2025</t>
  </si>
  <si>
    <t>GAJI SUARDI MEI</t>
  </si>
  <si>
    <t>FEE AKUNTAN TAHUNAN- ARMEN</t>
  </si>
  <si>
    <t>FEE AKUNTAN MEI</t>
  </si>
  <si>
    <t>CAT EDI MEI</t>
  </si>
  <si>
    <t>GAJI PADIN MEI</t>
  </si>
  <si>
    <t>GAJI ARYANTO MEI</t>
  </si>
  <si>
    <t>GAJI PIAN MEI</t>
  </si>
  <si>
    <t>GAJI LAHARISA MEI</t>
  </si>
  <si>
    <t>GAJI SIKIN MEI</t>
  </si>
  <si>
    <t>GAJI LINA - PANIN MEI 2025</t>
  </si>
  <si>
    <t xml:space="preserve">PPH 21 MEI </t>
  </si>
  <si>
    <t>GAJI VIVI MEI</t>
  </si>
  <si>
    <t>GAJI CHENDY SURYA KE OCBC MEI</t>
  </si>
  <si>
    <t>SEWA TRUK - ZHEJIANG ( 27 JUTA)</t>
  </si>
  <si>
    <t>BIAYA TRF+B36</t>
  </si>
  <si>
    <t>KAWAT LAS ZHEJIANG</t>
  </si>
  <si>
    <t>MUR ZHEJIANG</t>
  </si>
  <si>
    <t>SPAREPART TRUK - SELANG TRUK - SUPRIONO</t>
  </si>
  <si>
    <t>SPAREPART DAN SERVIS MOTOR CLARA (</t>
  </si>
  <si>
    <t>GAJI LIANI MEI</t>
  </si>
  <si>
    <t>GAJI KARYANTO MEI</t>
  </si>
  <si>
    <t>GAJI SUARDI JUNI</t>
  </si>
  <si>
    <t xml:space="preserve">TRF BCA LOAN 3 </t>
  </si>
  <si>
    <t>TILANG TRUK B 9760</t>
  </si>
  <si>
    <t>OLI TRUK FUSO</t>
  </si>
  <si>
    <t>U/ CONTOH TEKNOMETAL SLEEVE COUPLER DAN BASE PLATE TINGGI</t>
  </si>
  <si>
    <t>SEWA TRUK - ZHEJIANG ( 12 JUTA)</t>
  </si>
  <si>
    <t xml:space="preserve">U/ GUDANG PASIR SEMEN BATU ZHEJIANG </t>
  </si>
  <si>
    <t xml:space="preserve">U/ SERVIS CAT ZHEJIANG </t>
  </si>
  <si>
    <t>U/ STOK ZHEJIANG LEDGER 1.5 = 300</t>
  </si>
  <si>
    <t xml:space="preserve">U/ STOK ANDREW </t>
  </si>
  <si>
    <t>U/ STOK KUS PIPA 6=100</t>
  </si>
  <si>
    <t>U/ STOK KUS PIPA 6-=50</t>
  </si>
  <si>
    <t>ONGKIR PT KUS</t>
  </si>
  <si>
    <t>U/ SERVIS - BELI CAT - MEYLIN</t>
  </si>
  <si>
    <t>BPJS KULI</t>
  </si>
  <si>
    <t>GAJI TOMAS MEI</t>
  </si>
  <si>
    <t>U/ SERVIS CAT TARSIM 1351 - 15/6</t>
  </si>
  <si>
    <t>SEWA TRUK RASNADI 1</t>
  </si>
  <si>
    <t>MINYAK REM - FETRICIA</t>
  </si>
  <si>
    <t>SERVIS PRINTER JASA 150,000 SPAREPART 120000 PPN29700</t>
  </si>
  <si>
    <t>U/ SERVIS - PEN LOCK - CHANDRA LINARDI (POTONG CB 16/4)</t>
  </si>
  <si>
    <t>U/ SERVIS CAT TARSIM 400+120(160 +360) 1354 17/6</t>
  </si>
  <si>
    <t>SEWA TRUK RASNADI 2</t>
  </si>
  <si>
    <t>GAJI LINA- PANIN JUNI 2025</t>
  </si>
  <si>
    <t>GAJI KARYANTO MEI - KAS</t>
  </si>
  <si>
    <t xml:space="preserve">CICILAN MOBIL MERCY 4 /36 </t>
  </si>
  <si>
    <t>U/STOK ANDREW UHEAD</t>
  </si>
  <si>
    <t>SEWA TRUK RASNADI 3-1</t>
  </si>
  <si>
    <t>SEWA TRUK RASNADI 3-2</t>
  </si>
  <si>
    <t>PARAMOUNT 19/19/60 ( 56,605,856+6,226,644)</t>
  </si>
  <si>
    <t xml:space="preserve">U/ SERVIS CAT TARSIM 320 </t>
  </si>
  <si>
    <t>FEE AKUNTAN SPT TAHUNAN PPA</t>
  </si>
  <si>
    <t>U/ JUAL KUS ( PIPA 6=43, LEBIH TRF 156,900</t>
  </si>
  <si>
    <t>U/ JUAL KUS ( PIPA 6=7</t>
  </si>
  <si>
    <t>PEMBETULAN SPT 2022 SP2DK</t>
  </si>
  <si>
    <t>UTK KAS, BAYAR CC CIMB. 5JUTA</t>
  </si>
  <si>
    <t>U/ STOK RODA TOKPED 1.805.000 + ONGKIR 130,000</t>
  </si>
  <si>
    <t>GAJI LIANI JUNI</t>
  </si>
  <si>
    <t>GAJI VIVI JUNI- KASBON</t>
  </si>
  <si>
    <t>GAJI CHENDY - PANIN JUNI 2025</t>
  </si>
  <si>
    <t>JULI 2025</t>
  </si>
  <si>
    <t>CAT - KARYA LESTARI VINCENT 5/6</t>
  </si>
  <si>
    <t>U/ JUAL ANNEX - KARYA LESTARI 9/6 DAN 10/6</t>
  </si>
  <si>
    <t>SEWA TRUK - 9/6 KARYA LESTARI 14 JUTA</t>
  </si>
  <si>
    <t>SUMBANGAN - H SADELIH JUNI</t>
  </si>
  <si>
    <t>GAJI VIVI JUNI</t>
  </si>
  <si>
    <t>GAJI TOMAS JUNI</t>
  </si>
  <si>
    <t>GAJI SISKA JUNI</t>
  </si>
  <si>
    <t>GAJI KARYANTO JUNI</t>
  </si>
  <si>
    <t>GAJI TONGWI JUNI</t>
  </si>
  <si>
    <t>GAJI RAHMAT JUNI</t>
  </si>
  <si>
    <t>GAJI SUMANTA JUNI</t>
  </si>
  <si>
    <t>GAJI EHMED JUNI</t>
  </si>
  <si>
    <t>GAJI SIKIN JUNI</t>
  </si>
  <si>
    <t>GAJI RIZA JUNI</t>
  </si>
  <si>
    <t>GAJI SUGIRI JUNI</t>
  </si>
  <si>
    <t>GAJI PADIN JUNI</t>
  </si>
  <si>
    <t>GAJI ARYANTO JUNI</t>
  </si>
  <si>
    <t>GAJI HERMAN JUNI</t>
  </si>
  <si>
    <t>GAJI PIAN JUNI</t>
  </si>
  <si>
    <t>GAJI RADIT JUNI</t>
  </si>
  <si>
    <t>U/ SERVIS CAT TARSIM 370 - 1371  30/6</t>
  </si>
  <si>
    <t>SEWA TRUK RASNADI</t>
  </si>
  <si>
    <t>ASET PRINTER EPSON L210 ( TOKPED PPN)</t>
  </si>
  <si>
    <t>ASET PRINTER EPSON L3210 ( TOKPED PPN)</t>
  </si>
  <si>
    <t>FEE AKUNTAN JUNI</t>
  </si>
  <si>
    <t>CAT EDI JUNI</t>
  </si>
  <si>
    <t>GAJI CHENDY - OCBC JUNI 2025</t>
  </si>
  <si>
    <t>GAJI BRYAN - DANAMON JUNI 2025</t>
  </si>
  <si>
    <t>GAJI BRADY - PANIN JUNI 2025</t>
  </si>
  <si>
    <t>PPH 25 JUNI</t>
  </si>
  <si>
    <t>PAJAK DENDA STP 2022 + TERLAMBAT LAPOR SPT 2024</t>
  </si>
  <si>
    <t>U/ STOK RODA 32 X TOKPED</t>
  </si>
  <si>
    <t>U/ SERVIS - PEN LOCK - CHANDRA LINARDI (POTONG CB)</t>
  </si>
  <si>
    <t xml:space="preserve">U/ SERVIS - C PRESSED 19/6 - IMP </t>
  </si>
  <si>
    <t xml:space="preserve">U/ SERVIS - C PRESSED 12/6 - IMP </t>
  </si>
  <si>
    <t>U/ STOK CB 193 5/6 - IMP</t>
  </si>
  <si>
    <t>U/ JUAL ANNEX ASIBA4=10 10/6 IMP</t>
  </si>
  <si>
    <t>U/STOK ASIBA4=84 10/6 IMP</t>
  </si>
  <si>
    <t>U/ SERVIS C PRESSED 25/6 - IMP</t>
  </si>
  <si>
    <t xml:space="preserve">TRF KE REK LOAN 716 027 5591 </t>
  </si>
  <si>
    <t>SEWA TRUK NUR SBY 6,500,000 -1</t>
  </si>
  <si>
    <t xml:space="preserve">U/ KAS </t>
  </si>
  <si>
    <t>U/ STOK RODA 24X TOKPED</t>
  </si>
  <si>
    <t>GAJI KARYANTO JUNI - KAS</t>
  </si>
  <si>
    <t>U/ STOK PIPA 6 = 150 - MEDIA BAJA</t>
  </si>
  <si>
    <t>U/ CAT - ANDREAS</t>
  </si>
  <si>
    <t>OSS IJIN</t>
  </si>
  <si>
    <t>SEWA TRUK SUKAR BDG 3,000,000 -1</t>
  </si>
  <si>
    <t xml:space="preserve">CAT -  MEYLIN </t>
  </si>
  <si>
    <t>GAJI LINA - DANAMON JUNI 2025</t>
  </si>
  <si>
    <t>CAT - VINCENT KARYA 24/6</t>
  </si>
  <si>
    <t xml:space="preserve">SEWA TRUK VINCENT KARYA 14/6 - 24/6 </t>
  </si>
  <si>
    <t>U/ GUDANG VINCENT KARYA PASIR SEMEN BATU 12/6</t>
  </si>
  <si>
    <t>U/ SERVIS KAWAT LAS VINCENT KARYA 18/6</t>
  </si>
  <si>
    <t>JASA LAS VINCENT KARYA 28/6</t>
  </si>
  <si>
    <t>PPH 21 JUNI</t>
  </si>
  <si>
    <t>PPH 23 JUNI + PPH FINAL SEWA ( 600 JUTA)</t>
  </si>
  <si>
    <t>JASA CAT - TARSIM 1388 8/7</t>
  </si>
  <si>
    <t>SEWA TRUK SUKAR BDG 3,000,000 x 2</t>
  </si>
  <si>
    <t>SEWA TRUK SURABAYA 4/7 - BARANG HILANG- 7 JUTA</t>
  </si>
  <si>
    <t>BPJS KARYAWAN 4000 0042 0298</t>
  </si>
  <si>
    <t>SPAREPART MOTOR</t>
  </si>
  <si>
    <t>U/ STOK MEGA BAJA PIPA 6-=150</t>
  </si>
  <si>
    <t>U/ SERVIS MEGA BAJA UNP10= 10</t>
  </si>
  <si>
    <t>CAT - VINCENT 20/6</t>
  </si>
  <si>
    <t>U/ SERVIS KAWAT LAS VINCENT KARYA 25/6</t>
  </si>
  <si>
    <t>U/ SERVIS MUR VINCENT KARYA 17/6</t>
  </si>
  <si>
    <t>U/ STOK UNP + SIKU VINCENT KARYA 17/6</t>
  </si>
  <si>
    <t>ASET - SIGMAT DIGITAL TOKPED</t>
  </si>
  <si>
    <t>U/ STOK TIEROD - KUS - CICIL 1</t>
  </si>
  <si>
    <t>OLI FUSO</t>
  </si>
  <si>
    <t>U/ STOK BASE PLATE = 25*115000, DP DULU</t>
  </si>
  <si>
    <t>SEWA TRUK NUR SBY 3,000,000 - 3</t>
  </si>
  <si>
    <t>U/ STOK TIEROD - KUS - CICIL 2 LUNAS</t>
  </si>
  <si>
    <t>SEWA TRUK SUKAR BDG 3,000,000 15/7</t>
  </si>
  <si>
    <t>U/ SERVIS BESI BETON-190 PT KARYA 17/6</t>
  </si>
  <si>
    <t>U/ STOK BESI SIKU 500 PT KARYA 17/6</t>
  </si>
  <si>
    <t>U/ SERVIS SPANDEK 35 PT KARYA 17/6</t>
  </si>
  <si>
    <t>U/ STOK BASE PLATE = 25*115000, lunas</t>
  </si>
  <si>
    <t>U/ SERVIS BEHEL 2, MEGA BAJA</t>
  </si>
  <si>
    <t xml:space="preserve">CICILAN MOBIL MERCY 5 /36 </t>
  </si>
  <si>
    <t>U/ SERVIS BESI POLOS 16MM BUAT SURI - MEGA BAJA</t>
  </si>
  <si>
    <t>GAJI LINA- PANIN JULI 2025</t>
  </si>
  <si>
    <t>IMP 26/6 - U/ JUAL ANNEX ASIBA</t>
  </si>
  <si>
    <t>PARAMOUNT 1/20/60 ( 32,790,925+3,607,002)</t>
  </si>
  <si>
    <t>GAJI CHENDY - PANIN JULI 2025</t>
  </si>
  <si>
    <t>GAJI CHENDY - OCBC JULI 2025</t>
  </si>
  <si>
    <t>PPN JUNI</t>
  </si>
  <si>
    <t>U/ SERVIS BESI BETON.MEDIA BAJA</t>
  </si>
  <si>
    <t>U/ SERVIS BESI BETON MEGA BAJA</t>
  </si>
  <si>
    <t>BIAYA DINAS KOREA EXPO TIKET</t>
  </si>
  <si>
    <t>BIAYA DINAS KOREA EXPO HOTEL</t>
  </si>
  <si>
    <t>SEWA TRUK SUKAR BDG 3,000,000 17/7</t>
  </si>
  <si>
    <t>SEWA TRUK SUKAR BDG 3,000,000 19/7</t>
  </si>
  <si>
    <t>U/ JUAL ANNEX PIPA 6 MEGA BAJA</t>
  </si>
  <si>
    <t>U/ STOK SLEEVE COUPLER TEKNOMETAL</t>
  </si>
  <si>
    <t>U/ STOK ASIBA 3 =49 TEKNOMETAL</t>
  </si>
  <si>
    <t>SERVIS MOTOR 17,500 - SPAREPART MOTOR CV CLARA</t>
  </si>
  <si>
    <t>PERALATAN KANTOR USB - TOKPED</t>
  </si>
  <si>
    <t>FEE AKUNTAN SPT 2022</t>
  </si>
  <si>
    <t>SEWA TRUK - 93/7, 4/7, 8/7  KARYA LESTARI 14 JUTA</t>
  </si>
  <si>
    <t>U/ JUAL ANNEX BASE PLATE KARYA LESTARI 21/7</t>
  </si>
  <si>
    <t>U/ JUAL ANNEX CLAMP KARYA LESTARI 21/7</t>
  </si>
  <si>
    <t>U/ JUAL ANNEX PIPA2,3,1.2 ARYA LESTARI 22/7</t>
  </si>
  <si>
    <t>SEWA TRUK MUJIANTO</t>
  </si>
  <si>
    <t>U/ STOK ASIBA4= 250 KUS</t>
  </si>
  <si>
    <t xml:space="preserve">BAN TRUK FUSO </t>
  </si>
  <si>
    <t>U/STOK ASIBA 2-66 KUS</t>
  </si>
  <si>
    <t>GAJI LINA DANAMON JULI 2025</t>
  </si>
  <si>
    <t>GAJI BRYAN - DANAMON JULI 2025</t>
  </si>
  <si>
    <t>GAJI BRADY - PANIN JULI 2025</t>
  </si>
  <si>
    <t>TRF BCA LOAN 2</t>
  </si>
  <si>
    <t>GAJI SUARDI JUNI - KAS</t>
  </si>
  <si>
    <t>SEWA TRUK MUJIANTO BANDUNG</t>
  </si>
  <si>
    <t>CAT TARSIM 1798</t>
  </si>
  <si>
    <t>SEWA TRUK RONNY - IRIS</t>
  </si>
  <si>
    <t>ADMINISTRASI</t>
  </si>
  <si>
    <t>AGUSTUS 2025</t>
  </si>
  <si>
    <t>U/STOK TIEROD1.2=260 TEKNOMETAL</t>
  </si>
  <si>
    <t xml:space="preserve">GAJI HERMAN JULI </t>
  </si>
  <si>
    <t>GAJI SUARDI JULI</t>
  </si>
  <si>
    <t>GAJI KARYANTO JULI</t>
  </si>
  <si>
    <t>GAJI TOMMY JULI</t>
  </si>
  <si>
    <t>GAJI VIVI JULI</t>
  </si>
  <si>
    <t>GAJI LIANI JULI</t>
  </si>
  <si>
    <t>GAJI TOMAS JULI</t>
  </si>
  <si>
    <t>GAJI SISKA JULI</t>
  </si>
  <si>
    <t>SUMBANGAN SADELIH</t>
  </si>
  <si>
    <t>U/STOK ASIBA2=20 KUS</t>
  </si>
  <si>
    <t>GAJI SUMANTA JULI</t>
  </si>
  <si>
    <t>GAJI SIKIN JULI</t>
  </si>
  <si>
    <t>GAJI PADIN JULI</t>
  </si>
  <si>
    <t>GAJI ARYANTO JULI</t>
  </si>
  <si>
    <t>GAJI RADIT JULI</t>
  </si>
  <si>
    <t>GAJI RAHMAT JULI</t>
  </si>
  <si>
    <t>GAJI AHMAD JULI</t>
  </si>
  <si>
    <t>GAJI LAHARISA JULI</t>
  </si>
  <si>
    <t>GAJI SUGIRI JULI</t>
  </si>
  <si>
    <t>GAJI FIANTO JULI</t>
  </si>
  <si>
    <t>SEWA TRUK RONNY WAK ATOK - NISSIN 1/8</t>
  </si>
  <si>
    <t>GAJI SUARDI JULI - KAS</t>
  </si>
  <si>
    <t>SEWA TRUK SUKAR - IRIS 31/7</t>
  </si>
  <si>
    <t>SEWA TRUK PT KARYA TRI - 38 JUTA</t>
  </si>
  <si>
    <t>CAT - PT KARYA 9/7</t>
  </si>
  <si>
    <t>U/ SERVIS MUR BAUT PT KARYA 9/7</t>
  </si>
  <si>
    <t>U/ SERVIS GUDANG SEMEN BATU PT KARYA 11/7</t>
  </si>
  <si>
    <t>U/ STOK KAWEL PT KARYA 22/7</t>
  </si>
  <si>
    <t>U/ STOK ASIBA 2 DAN 4 PT KUS</t>
  </si>
  <si>
    <t>U/ SERVIS BELI MUR - WILLY ACSET</t>
  </si>
  <si>
    <t>U/ STOK RODA 24 - TOKPED</t>
  </si>
  <si>
    <t>SEWA TRUK RONNY WAK ATOK - IRIS 1/8</t>
  </si>
  <si>
    <t>U/ STOK ERWIN BMJ 6/8 0049</t>
  </si>
  <si>
    <t>GAJI KARYANTO JULI - KAS</t>
  </si>
  <si>
    <t>PPH 23 JULI</t>
  </si>
  <si>
    <t>SEWA TRUK RASNADI BANDUNG 7/8</t>
  </si>
  <si>
    <t>SEWA TRUK - ARSENT 7/8</t>
  </si>
  <si>
    <t>SPAREPART TRUK TJEN MIE LAN 1/8 00302</t>
  </si>
  <si>
    <t>U/ JUAL PIPA 1.5 TEBAL 2MM 100 NKE - MEDIA BAJA- 1</t>
  </si>
  <si>
    <t>U/ JUAL NKE SWIVEL CLAMP 200 KUS</t>
  </si>
  <si>
    <t>U/ STOK SWIVEL CLAMP KUS</t>
  </si>
  <si>
    <t>FEE AKUNTAN JULI</t>
  </si>
  <si>
    <t>SPAREPART TRUK INJEKTOR</t>
  </si>
  <si>
    <t>SEWA TRUK RONNY - ACS 8/8</t>
  </si>
  <si>
    <t>GAJI TOMAS JULI KAS</t>
  </si>
  <si>
    <t>U/ JUAL PIPA 1.5 TEBAL 2MM 100 NKE - MEDIA BAJA-2</t>
  </si>
  <si>
    <t>U/ STOK SWIVEL CLAMP 260 KUS</t>
  </si>
  <si>
    <t>U/ STOK KUS ASIBA 4 DAN ASIBA 2</t>
  </si>
  <si>
    <t>U/PARTISIPASI INDONAKANO LAPTOP TOKPED</t>
  </si>
  <si>
    <t>CAT- GITO SITI NURAHMAH</t>
  </si>
  <si>
    <t>SPAREPART MOTOR + SERVIS 445,945</t>
  </si>
  <si>
    <t xml:space="preserve">CAT EDI JULI </t>
  </si>
  <si>
    <t>LISTRIK JULI</t>
  </si>
  <si>
    <t>INTERNET JULI</t>
  </si>
  <si>
    <t>U/ STOK SWIVEL CLAMP 1000 KUS</t>
  </si>
  <si>
    <t>BPJS KARYAWAN AGST</t>
  </si>
  <si>
    <t>KIR 9760</t>
  </si>
  <si>
    <t>U/ SERVIS PIPA TARSIM 1212 13/8</t>
  </si>
  <si>
    <t>U/ SERVIS JASA LAS TARSIM 1212 13/8</t>
  </si>
  <si>
    <t>U/ SERVIS PIPA TARSIM 1213 13/8</t>
  </si>
  <si>
    <t>U/ SERVIS JASA LAS TARSIM 1213 13/8</t>
  </si>
  <si>
    <t>SEWA TRUK TARSIM 1213 13/8</t>
  </si>
  <si>
    <t>U/ SERVIS BAUT ANDREAS</t>
  </si>
  <si>
    <t>AKTA NOTARIS WIJANTO</t>
  </si>
  <si>
    <t>CAT MEYLIN</t>
  </si>
  <si>
    <t>U/STOK WINGNUT 1000 KUS</t>
  </si>
  <si>
    <t xml:space="preserve">CICILAN MOBIL MERCY 6 /36 </t>
  </si>
  <si>
    <t>PARAMOUNT 2/20/60 ( 32,790,925+3,607,002)</t>
  </si>
  <si>
    <t>TILANG B 9760</t>
  </si>
  <si>
    <t>U/ SERVIS CNP DAN PIPA MEGA BAJA</t>
  </si>
  <si>
    <t>U/ STOK RODA 7 SET TEKNO</t>
  </si>
  <si>
    <t>U/ STOK SC 500 KUS</t>
  </si>
  <si>
    <t>ONGKIR KUS</t>
  </si>
  <si>
    <t>SEWA TRUK PT KARYA TRI - 50 JUTA</t>
  </si>
  <si>
    <t>JASA LAS PT KARYA TRI - 27 JUTA</t>
  </si>
  <si>
    <t>CAT PT KARYA TRI</t>
  </si>
  <si>
    <t>U/SERVIS CNP PT KARYA TRI</t>
  </si>
  <si>
    <t>U/ STOK CB 193-750 TEKNOMETAL</t>
  </si>
  <si>
    <t>TRF BCA LOAN 2 - 716-0267474</t>
  </si>
  <si>
    <t>U/ STOK PIPA PT KARYA TRI</t>
  </si>
  <si>
    <t>U/ STOK CB 220=1000 HANIFA</t>
  </si>
  <si>
    <t>CAT INKOTE</t>
  </si>
  <si>
    <t>GAJI LINA PANIN AGUSTUS 2025</t>
  </si>
  <si>
    <t>GAJI TOMAS JULI - BUAT REK</t>
  </si>
  <si>
    <t>U/ SERVIS 33,783,775, PPN 3,716,215 IMP 18/7 7349</t>
  </si>
  <si>
    <t>BPJS KULI AGST</t>
  </si>
  <si>
    <t>PENLOCK CB (</t>
  </si>
  <si>
    <t>KIR TRUK B 9801SS</t>
  </si>
  <si>
    <t>BAN TRUK (</t>
  </si>
  <si>
    <t>GAJI TOMAS JULI KASBON</t>
  </si>
  <si>
    <t>U/STOK HOLLOW MEGA BAJA 28/8</t>
  </si>
  <si>
    <t>CAT PT KARYA 15/8</t>
  </si>
  <si>
    <t>U/ STOK HOLLOW PT KARYA TRI 18/8</t>
  </si>
  <si>
    <t>U/SERVIS CNP PT KARYA 18/8</t>
  </si>
  <si>
    <t>U/ JUAL ANNEX PT KARYA 18/8</t>
  </si>
  <si>
    <t>U/STOK 41,216,216, U/SERVIS 13,514,000 PPN 6,020,324 IMP 31/7 1060</t>
  </si>
  <si>
    <t>GAJI CHENDY PANIN AGUSTUS 2025</t>
  </si>
  <si>
    <t>GAJI WARDI AGST</t>
  </si>
  <si>
    <t>GAJI YANTO AGST</t>
  </si>
  <si>
    <t>GAJI TONGWI AGST</t>
  </si>
  <si>
    <t>GAJI VIVI AGST</t>
  </si>
  <si>
    <t>GAJI LIANI AGST</t>
  </si>
  <si>
    <t>GAJI SISKA AGST</t>
  </si>
  <si>
    <t>GAJI RAHMAT AGST</t>
  </si>
  <si>
    <t>GAJI SUMANTA AGST</t>
  </si>
  <si>
    <t>GAJI EHMED AGST</t>
  </si>
  <si>
    <t>GAJI SUGIRI AGST</t>
  </si>
  <si>
    <t>GAJI PADIN AGST</t>
  </si>
  <si>
    <t>GAJI ARYANTO AGST</t>
  </si>
  <si>
    <t>GAJI RADIT AGST</t>
  </si>
  <si>
    <t>GAJI LAHARISA AGST</t>
  </si>
  <si>
    <t>GAJI FIANTO AGST</t>
  </si>
  <si>
    <t>GAJI SIKIN AGST</t>
  </si>
  <si>
    <t>U/STOK MEGA BAJA HOLLOW 50</t>
  </si>
  <si>
    <t>U/ SERVIS UNP=2 MEGA BAJA</t>
  </si>
  <si>
    <t>U/ STOK RAHMAT 1/9 L 0.9RL=300</t>
  </si>
  <si>
    <t>KIR B 9043</t>
  </si>
  <si>
    <t>U/ STOK PT KARYA 20/8 HOLLOW</t>
  </si>
  <si>
    <t>U/ STOK PT KARYA 22/8 PIPA</t>
  </si>
  <si>
    <t>U/ STOK TEKNOMETAL ASIBA</t>
  </si>
  <si>
    <t xml:space="preserve">CAT GITO </t>
  </si>
  <si>
    <t>OLI MOTOR</t>
  </si>
  <si>
    <t>FEE AKUNTAN AGTS</t>
  </si>
  <si>
    <t>GAJI LIANI AGUSTUS</t>
  </si>
  <si>
    <t>GAJI SUARDI AGUSTUS</t>
  </si>
  <si>
    <t>GAJI KARYANTO AGUSTUS</t>
  </si>
  <si>
    <t>BPJS AGUSTUS 2025</t>
  </si>
  <si>
    <t>DEVIDEN - ALFRED</t>
  </si>
  <si>
    <t>CAT EDI AGST 2025</t>
  </si>
  <si>
    <t>U/ SERVIS GUDANG PT KARYA BATU 16/8</t>
  </si>
  <si>
    <t>U/ STOK PT KARYA KAWEL 30/8</t>
  </si>
  <si>
    <t>U/ STOK PT KARYA PIPA 30/8</t>
  </si>
  <si>
    <t>PEN LOCK - JAGAT ANDREAS</t>
  </si>
  <si>
    <t>SEWA TRUK TEKNOMETAL 10/9</t>
  </si>
  <si>
    <t>IMP 12/8 0108</t>
  </si>
  <si>
    <t>TRF BCA LOAN 2- 716 0267474 - PPH 25 AGST</t>
  </si>
  <si>
    <t>U/SERVIS PIPA - MEGA BAJA</t>
  </si>
  <si>
    <t>BATU</t>
  </si>
  <si>
    <t>GAJI KARYANTO AGUSTUS - KAS</t>
  </si>
  <si>
    <t>SEWA TRUK PT KARYA 1/9-8/9</t>
  </si>
  <si>
    <t>JASA LAS PT KARYA 2/9 - 32 JUTA</t>
  </si>
  <si>
    <t>U/ SERVIS MUR PT KARYA 3/9</t>
  </si>
  <si>
    <t>U/ STOK TEKNOMETAL CB220 1000</t>
  </si>
  <si>
    <t>IMP 26/8 1032</t>
  </si>
  <si>
    <t>U/ STOK JOINPIN 1500 TEKNOMETAL</t>
  </si>
  <si>
    <t>GAJI LIANI AGUSTUS - KASBON</t>
  </si>
  <si>
    <t>U/ STOK KUS SC 1000</t>
  </si>
  <si>
    <t>U/ STOK JPINPIN 500 TEKNOMETAL</t>
  </si>
  <si>
    <t>U/ STOK JP 1000 TEKNOMETAL, BAYAR 1/9 DAN 26/9</t>
  </si>
  <si>
    <t xml:space="preserve">SEWA TRUK WAK ATOK </t>
  </si>
  <si>
    <t>U/ STOK SC 230 KUS</t>
  </si>
  <si>
    <t>IMP 5/8 0100</t>
  </si>
  <si>
    <t xml:space="preserve">CICILAN MOBIL MERCY 7 /36 </t>
  </si>
  <si>
    <t>GAJI TOMAS AGUSTUS</t>
  </si>
  <si>
    <t>CAT PT KARYA 5/9</t>
  </si>
  <si>
    <t>CAT PT KARYA 9/9</t>
  </si>
  <si>
    <t>U/ STOK STAIR PT KARYA 4/9</t>
  </si>
  <si>
    <t>TRF BCA LOAN 2- 716 0267474</t>
  </si>
  <si>
    <t>GAJI LINA DANAMON AGUSTUS 2025</t>
  </si>
  <si>
    <t>GAJI KARYANTO AGUSTUS KASBON</t>
  </si>
  <si>
    <t>PARAMOUNT 3/20/60 ( 32,790,925+3,607,002)</t>
  </si>
  <si>
    <t>GAJI CHENDY OCBC AGUSTUS 2025</t>
  </si>
  <si>
    <t>MUR - QINWAN 17/9</t>
  </si>
  <si>
    <t>U/ STOK KUS SC 800</t>
  </si>
  <si>
    <t>GAJI SUARDI AGUSTUS - KAS</t>
  </si>
  <si>
    <t>OLI MOTOR CLARA ( PPN:)</t>
  </si>
  <si>
    <t>SEWA TRUK PT KARYA</t>
  </si>
  <si>
    <t>U/ STOK HOLLOW PT KARYA</t>
  </si>
  <si>
    <t xml:space="preserve">TRF BCA LOAN 2- 716 0267474 </t>
  </si>
  <si>
    <t>GAJI CHENDY  AGUSTUS 2025 ke ppa 9999</t>
  </si>
  <si>
    <t>U/ STOK TARSIM 1199 26/9</t>
  </si>
  <si>
    <t>STNK B 9760</t>
  </si>
  <si>
    <t>OKTOBER 2025</t>
  </si>
  <si>
    <t>U/ JUAL NKE PIPA 1 1/4 = 110</t>
  </si>
  <si>
    <t>GAJI VIVI SEPTEMBER</t>
  </si>
  <si>
    <t>GAJI LIANI SEPTEMBER</t>
  </si>
  <si>
    <t>GAJI SISKA SEPTEMBER</t>
  </si>
  <si>
    <t>GAJI TOMAS SEPTEMBER - KASBON</t>
  </si>
  <si>
    <t>SUMBANGAN H SADELIH</t>
  </si>
  <si>
    <t>GAJI BRYAN - DANAMON AGUSTUS 2025</t>
  </si>
  <si>
    <t>GAJI BRADY - PANIN AGUSTUS 2025</t>
  </si>
  <si>
    <t>GAJI LINA PANIN SEPTEMBER</t>
  </si>
  <si>
    <t>GAJI CHENDY PANIN SEPTEMBER</t>
  </si>
  <si>
    <t>GAJI CEHNDY OCBC SEPTEMBER</t>
  </si>
  <si>
    <t>GAJI SUARDI SEPTEMBER</t>
  </si>
  <si>
    <t>GAJI KARYANTO SEPTEMBER</t>
  </si>
  <si>
    <t>GAJI TONGWI SEPTEMBER</t>
  </si>
  <si>
    <t>GAJI RADIT SEPTEMBER</t>
  </si>
  <si>
    <t>GAJI FIANTO SEPTEMBER</t>
  </si>
  <si>
    <t>GAJI HERMAN SEPTEMBER</t>
  </si>
  <si>
    <t>GAJI RAHMAT SEPTEMBER</t>
  </si>
  <si>
    <t>GAJI SUMANTA SEPTEMBER</t>
  </si>
  <si>
    <t>GAJI EHMED SEPTEMBER</t>
  </si>
  <si>
    <t>GAJI SIKIN SEPTEMBER</t>
  </si>
  <si>
    <t>GAJI LAHARISA SEPTEMBER</t>
  </si>
  <si>
    <t>GAJI SUGIRI SEPTEMBER</t>
  </si>
  <si>
    <t>GAJI PADIN SEPTEMBER</t>
  </si>
  <si>
    <t>GAJI ARYANTO SEPTEMBER</t>
  </si>
  <si>
    <t>SUMBANGAN DIAN GIVAUDAN</t>
  </si>
  <si>
    <t>GAJI KARYANTO SEPTEMBER - KAS</t>
  </si>
  <si>
    <t>BATU - TARJO</t>
  </si>
  <si>
    <t>IMP 11/8 0104</t>
  </si>
  <si>
    <t>CAT GITO</t>
  </si>
  <si>
    <t>GAJI SUARDI SEPTEMBER - KASIH</t>
  </si>
  <si>
    <t>MUR - JAGAT ANDREAS</t>
  </si>
  <si>
    <t>BATU  SAMSUDIN</t>
  </si>
  <si>
    <t>BELI LEMARI DAN MEJA</t>
  </si>
  <si>
    <t>BELI THINNER</t>
  </si>
  <si>
    <t>SPAREPART TRUK DINAMO</t>
  </si>
  <si>
    <t>GAJI LIANI SEPTEMBER KASBON</t>
  </si>
  <si>
    <t>ATK TINTA TOKPED</t>
  </si>
  <si>
    <t>U/STOK KUS CB193=200 UH 300</t>
  </si>
  <si>
    <t>PPH 21 SEPTEMBER</t>
  </si>
  <si>
    <t>PPH 23 SEPTEMBER</t>
  </si>
  <si>
    <t>PPH 25 SEPTEMBER</t>
  </si>
  <si>
    <t>CAT EDI SEPTEMBER</t>
  </si>
  <si>
    <t>IMP 27/8 1469</t>
  </si>
  <si>
    <t>GAJI VIVI SEPTEMBER KASBON</t>
  </si>
  <si>
    <t>ATK THEA THEO</t>
  </si>
  <si>
    <t>U/ STOK TARSIM 12/10</t>
  </si>
  <si>
    <t>SPAREPART MOTOR CV CLARA</t>
  </si>
  <si>
    <t>U/ STOK TEKNOMETAL JP 1000</t>
  </si>
  <si>
    <t>U/ STOK TEKNOMETAL SLEEVE COUPLER 11</t>
  </si>
  <si>
    <t>U/ STOK KUS CB 193 -200 KIRIM 11/10</t>
  </si>
  <si>
    <t>KUS DOBEL TRF</t>
  </si>
  <si>
    <t>U/ STOK SAMSUL JB 1000</t>
  </si>
  <si>
    <t>IMP 4/8 0097</t>
  </si>
  <si>
    <t>IMP 14/8 5643</t>
  </si>
  <si>
    <t>IMP 29/8 5589</t>
  </si>
  <si>
    <t>GAJI TOMAS SEPTEMBER - KAS</t>
  </si>
  <si>
    <t xml:space="preserve">OSS </t>
  </si>
  <si>
    <t xml:space="preserve">U/STOK ZHEJIANG 20/9 </t>
  </si>
  <si>
    <t>SEWA TRUK 1/10.2/10/4/10.7/10 ZHEJIANG</t>
  </si>
  <si>
    <t>U/ STOK KUS ASIBA 4-39</t>
  </si>
  <si>
    <t>U/ JUAL ANNEX KUS BEAM CLAMP 300 FIXED CLAMP 500</t>
  </si>
  <si>
    <t>STNK B 1 PU HONDA</t>
  </si>
  <si>
    <t>SPAREPART TRUK TJEN MIE LAN</t>
  </si>
  <si>
    <t>U/STOK SYAMSUL JB 500</t>
  </si>
  <si>
    <t>MUR - ANDI PM KOMISI BASA</t>
  </si>
  <si>
    <t>U/ JUAL NKE LIPPO TIEROD 1 = 170, U/STOK 4</t>
  </si>
  <si>
    <t>U/ JUAL TBP GRAHA PARAMITA TOKPED RODA 2 SET</t>
  </si>
  <si>
    <t xml:space="preserve">CICILAN MOBIL MERCY 8 /36 </t>
  </si>
  <si>
    <t>PARAMOUNT 4/20/60 ( 32,790,925+3,607,002)</t>
  </si>
  <si>
    <t>STNK TILANG B 9760</t>
  </si>
  <si>
    <t>SPAREPART TRUK MONTIR</t>
  </si>
  <si>
    <t>SPAREPART TRUK MINYAK REM</t>
  </si>
  <si>
    <t>INTERNET GUDANG</t>
  </si>
  <si>
    <t>LISTRIK GUDANG</t>
  </si>
  <si>
    <t xml:space="preserve">BPJS KARYAWAN OKT </t>
  </si>
  <si>
    <t>BELI BENSIN HERMANSYAH</t>
  </si>
  <si>
    <t>U/ SERVIS LOCKPEN1000 TEKNOMETAL</t>
  </si>
  <si>
    <t>SEWA KANTOR 3,500,000 +PPN 385,000</t>
  </si>
  <si>
    <t>JASA  PENGURUSAN DOKUMEN 4,500,000+PPN495,000</t>
  </si>
  <si>
    <t xml:space="preserve">U/ STOK KUS JP DAN TIEROD </t>
  </si>
  <si>
    <t>RETUR JAMINAN GRASINDO</t>
  </si>
  <si>
    <t>PARTISIPASI PT BASA</t>
  </si>
  <si>
    <t>U/ STOK KUS JP DAN TIEROD  KURANG BAYAR</t>
  </si>
  <si>
    <t>FEE AKUNTAN SEPTEMBER</t>
  </si>
  <si>
    <t>CAT KANSAI</t>
  </si>
  <si>
    <t>CAT - GITO</t>
  </si>
  <si>
    <t>U/ SERVIS MF PIPA 1 1/4 CV KARANG TENGAH</t>
  </si>
  <si>
    <t>U/ STOK WINGNUT 40 KUS</t>
  </si>
  <si>
    <t>U/ JUAL ANNEX 16/10WINGNUT 340 ZHEJIANG</t>
  </si>
  <si>
    <t>U/ STOK PIPA 6 16/10 ZHEJIANG</t>
  </si>
  <si>
    <t>CAT ZHEJIANG 8/10</t>
  </si>
  <si>
    <t>SEWA TRUK 15/10 DAN 16/10 ZHEJIANG</t>
  </si>
  <si>
    <t>JASA LAS ZHEJIANG</t>
  </si>
  <si>
    <t>U/ JUAL KOFUKU 22/10 ZHEJIANG</t>
  </si>
  <si>
    <t>PPN SEPTEMBER</t>
  </si>
  <si>
    <t>KABEL TRUK FUSO</t>
  </si>
  <si>
    <t>BAYAR UJI TEST</t>
  </si>
  <si>
    <t>U/ STOK KUS SC1200</t>
  </si>
  <si>
    <t>U/ STOK KUS SC 640</t>
  </si>
  <si>
    <t>U/ STOK KUS SC 8</t>
  </si>
  <si>
    <t>GAJI CHENDY OCBC SEPTEMBER</t>
  </si>
  <si>
    <t>IMP 1/9 ( 2,533,334 + 278,667)</t>
  </si>
  <si>
    <t>IMP 2/9 (28,018,018+3,081,982)</t>
  </si>
  <si>
    <t>IMP 15/9 (23,423,420+2,576,576)</t>
  </si>
  <si>
    <t>IMP 16/9 (42,432,430 + 4,667,567)</t>
  </si>
  <si>
    <t>IMP 17/9 (10,990,991+1,209,009)</t>
  </si>
  <si>
    <t>IMP 30/9 (7,567,568+832,432)</t>
  </si>
  <si>
    <t>U/ STOK JP 1500 TEKNO - BARU KIRIM 1300</t>
  </si>
  <si>
    <t>U/ SERVIS GUDANG SEMEN BATU ZHEJIANG 8/10</t>
  </si>
  <si>
    <t>U/ STOK SIKU ZHEJIANG 14/10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</si>
</sst>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16" fontId="0" fillId="0" borderId="0" xfId="0" applyNumberFormat="1"/>
    <xf numFmtId="3" fontId="0" fillId="0" borderId="0" xfId="0" applyNumberFormat="1"/>
    <xf numFmtId="16" fontId="3" fillId="0" borderId="0" xfId="0" applyNumberFormat="1" applyFont="1"/>
    <xf numFmtId="0" fontId="1" fillId="0" borderId="0" xfId="0" applyFont="1"/>
    <xf numFmtId="3" fontId="3" fillId="0" borderId="0" xfId="0" applyNumberFormat="1" applyFont="1"/>
    <xf numFmtId="14" fontId="3" fillId="0" borderId="0" xfId="0" applyNumberFormat="1" applyFont="1"/>
    <xf numFmtId="0" fontId="3" fillId="0" borderId="0" xfId="0" applyFont="1"/>
    <xf numFmtId="4" fontId="0" fillId="0" borderId="0" xfId="0" applyNumberFormat="1"/>
    <xf numFmtId="0" fontId="3" fillId="2" borderId="0" xfId="0" applyFont="1" applyFill="1"/>
    <xf numFmtId="0" fontId="0" fillId="3" borderId="0" xfId="0" applyFill="1"/>
    <xf numFmtId="0" fontId="3" fillId="4" borderId="0" xfId="0" applyFont="1" applyFill="1"/>
    <xf numFmtId="3" fontId="3" fillId="4" borderId="0" xfId="0" applyNumberFormat="1" applyFont="1" applyFill="1"/>
    <xf numFmtId="3" fontId="0" fillId="4" borderId="0" xfId="0" applyNumberFormat="1" applyFill="1"/>
    <xf numFmtId="14" fontId="3" fillId="5" borderId="0" xfId="0" applyNumberFormat="1" applyFont="1" applyFill="1"/>
    <xf numFmtId="0" fontId="3" fillId="5" borderId="0" xfId="0" applyFont="1" applyFill="1"/>
    <xf numFmtId="0" fontId="0" fillId="5" borderId="0" xfId="0" applyFill="1"/>
    <xf numFmtId="3" fontId="2" fillId="5" borderId="0" xfId="0" applyNumberFormat="1" applyFont="1" applyFill="1"/>
    <xf numFmtId="3" fontId="2" fillId="0" borderId="0" xfId="0" applyNumberFormat="1" applyFont="1"/>
    <xf numFmtId="4" fontId="3" fillId="0" borderId="0" xfId="0" applyNumberFormat="1" applyFont="1"/>
    <xf numFmtId="0" fontId="3" fillId="6" borderId="0" xfId="0" applyFont="1" applyFill="1"/>
    <xf numFmtId="3" fontId="3" fillId="6" borderId="0" xfId="0" applyNumberFormat="1" applyFont="1" applyFill="1"/>
    <xf numFmtId="3" fontId="0" fillId="6" borderId="0" xfId="0" applyNumberFormat="1" applyFill="1"/>
    <xf numFmtId="0" fontId="0" fillId="6" borderId="0" xfId="0" applyFill="1"/>
    <xf numFmtId="3" fontId="3" fillId="5" borderId="0" xfId="0" applyNumberFormat="1" applyFont="1" applyFill="1"/>
    <xf numFmtId="3" fontId="0" fillId="5" borderId="0" xfId="0" applyNumberFormat="1" applyFill="1"/>
    <xf numFmtId="0" fontId="3" fillId="7" borderId="0" xfId="0" applyFont="1" applyFill="1"/>
    <xf numFmtId="16" fontId="4" fillId="0" borderId="0" xfId="0" applyNumberFormat="1" applyFont="1"/>
    <xf numFmtId="0" fontId="4" fillId="2" borderId="0" xfId="0" applyFont="1" applyFill="1"/>
    <xf numFmtId="0" fontId="2" fillId="0" borderId="0" xfId="0" applyFont="1"/>
    <xf numFmtId="0" fontId="1" fillId="2" borderId="0" xfId="0" applyFont="1" applyFill="1"/>
    <xf numFmtId="0" fontId="3" fillId="8" borderId="0" xfId="0" applyFont="1" applyFill="1"/>
    <xf numFmtId="3" fontId="0" fillId="8" borderId="0" xfId="0" applyNumberFormat="1" applyFill="1"/>
    <xf numFmtId="4" fontId="2" fillId="0" borderId="0" xfId="0" applyNumberFormat="1" applyFont="1"/>
    <xf numFmtId="3" fontId="4" fillId="0" borderId="0" xfId="0" applyNumberFormat="1" applyFont="1"/>
    <xf numFmtId="0" fontId="3" fillId="9" borderId="0" xfId="0" applyFont="1" applyFill="1"/>
    <xf numFmtId="3" fontId="3" fillId="9" borderId="0" xfId="0" applyNumberFormat="1" applyFont="1" applyFill="1"/>
    <xf numFmtId="0" fontId="0" fillId="9" borderId="0" xfId="0" applyFill="1"/>
    <xf numFmtId="3" fontId="0" fillId="9" borderId="0" xfId="0" applyNumberFormat="1" applyFill="1"/>
    <xf numFmtId="17" fontId="0" fillId="0" borderId="0" xfId="0" applyNumberFormat="1"/>
    <xf numFmtId="16" fontId="0" fillId="2" borderId="0" xfId="0" applyNumberFormat="1" applyFill="1"/>
    <xf numFmtId="16" fontId="3" fillId="2" borderId="0" xfId="0" applyNumberFormat="1" applyFont="1" applyFill="1"/>
    <xf numFmtId="0" fontId="1" fillId="10" borderId="0" xfId="0" applyFont="1" applyFill="1"/>
    <xf numFmtId="0" fontId="0" fillId="11" borderId="0" xfId="0" applyFill="1"/>
    <xf numFmtId="3" fontId="1" fillId="0" borderId="0" xfId="0" applyNumberFormat="1" applyFont="1"/>
    <xf numFmtId="0" fontId="1" fillId="12" borderId="0" xfId="0" applyFont="1" applyFill="1"/>
    <xf numFmtId="16" fontId="1" fillId="0" borderId="0" xfId="0" applyNumberFormat="1" applyFont="1"/>
    <xf numFmtId="17" fontId="3" fillId="0" borderId="0" xfId="0" applyNumberFormat="1" applyFont="1"/>
    <xf numFmtId="3" fontId="3" fillId="13" borderId="0" xfId="0" applyNumberFormat="1" applyFont="1" applyFill="1"/>
    <xf numFmtId="0" fontId="4" fillId="0" borderId="0" xfId="0" applyFont="1"/>
    <xf numFmtId="0" fontId="3" fillId="3" borderId="0" xfId="0" applyFont="1" applyFill="1"/>
    <xf numFmtId="0" fontId="3" fillId="14" borderId="0" xfId="0" applyFont="1" applyFill="1"/>
    <xf numFmtId="0" fontId="5" fillId="0" borderId="0" xfId="0" applyFont="1"/>
    <xf numFmtId="3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367E2-F9D8-7D42-9AF1-8C186BF03427}">
  <dimension ref="A1:D146"/>
  <sheetViews>
    <sheetView tabSelected="1" workbookViewId="0">
      <selection activeCell="A20" sqref="A20:D20"/>
    </sheetView>
  </sheetViews>
  <sheetFormatPr defaultColWidth="11" defaultRowHeight="15.95"/>
  <cols>
    <col min="2" max="2" width="36.875" customWidth="1"/>
    <col min="3" max="3" width="18" customWidth="1"/>
    <col min="4" max="4" width="18.5" customWidth="1"/>
  </cols>
  <sheetData>
    <row r="1" spans="1:4">
      <c r="A1" t="s">
        <v>0</v>
      </c>
    </row>
    <row r="2" spans="1:4">
      <c r="A2" t="s">
        <v>1</v>
      </c>
    </row>
    <row r="4" spans="1:4">
      <c r="A4" t="s">
        <v>2</v>
      </c>
      <c r="B4" t="s">
        <v>3</v>
      </c>
      <c r="C4" t="s">
        <v>4</v>
      </c>
      <c r="D4" t="s">
        <v>5</v>
      </c>
    </row>
    <row r="5" spans="1:4">
      <c r="A5" s="1">
        <v>45659</v>
      </c>
      <c r="B5" t="s">
        <v>6</v>
      </c>
      <c r="D5" s="2">
        <v>40000000</v>
      </c>
    </row>
    <row r="6" spans="1:4">
      <c r="A6" s="1">
        <v>45659</v>
      </c>
      <c r="B6" t="s">
        <v>7</v>
      </c>
      <c r="D6" s="2">
        <v>4000000</v>
      </c>
    </row>
    <row r="7" spans="1:4">
      <c r="A7" s="1">
        <v>45662</v>
      </c>
      <c r="B7" t="s">
        <v>8</v>
      </c>
      <c r="D7" s="2">
        <v>1700000</v>
      </c>
    </row>
    <row r="8" spans="1:4">
      <c r="A8" s="1">
        <v>45663</v>
      </c>
      <c r="B8" t="s">
        <v>6</v>
      </c>
      <c r="D8" s="2">
        <v>10000000</v>
      </c>
    </row>
    <row r="9" spans="1:4">
      <c r="A9" s="1">
        <v>45663</v>
      </c>
      <c r="B9" t="s">
        <v>6</v>
      </c>
      <c r="D9" s="2">
        <v>10000000</v>
      </c>
    </row>
    <row r="10" spans="1:4">
      <c r="A10" s="1">
        <v>45663</v>
      </c>
      <c r="B10" t="s">
        <v>9</v>
      </c>
      <c r="D10" s="2">
        <f>30*60000</f>
        <v>1800000</v>
      </c>
    </row>
    <row r="11" spans="1:4">
      <c r="A11" s="1">
        <v>45663</v>
      </c>
      <c r="B11" t="s">
        <v>10</v>
      </c>
      <c r="D11" s="2">
        <v>2500</v>
      </c>
    </row>
    <row r="12" spans="1:4">
      <c r="A12" s="1">
        <v>45663</v>
      </c>
      <c r="B12" t="s">
        <v>11</v>
      </c>
      <c r="D12" s="2">
        <v>5000000</v>
      </c>
    </row>
    <row r="13" spans="1:4">
      <c r="A13" s="1">
        <v>45663</v>
      </c>
      <c r="B13" t="s">
        <v>10</v>
      </c>
      <c r="D13" s="2">
        <v>2500</v>
      </c>
    </row>
    <row r="14" spans="1:4">
      <c r="A14" s="1">
        <v>45663</v>
      </c>
      <c r="B14" t="s">
        <v>12</v>
      </c>
      <c r="D14" s="2">
        <f>600*150000</f>
        <v>90000000</v>
      </c>
    </row>
    <row r="15" spans="1:4">
      <c r="A15" s="1">
        <v>45663</v>
      </c>
      <c r="B15" t="s">
        <v>10</v>
      </c>
      <c r="D15" s="2">
        <v>2500</v>
      </c>
    </row>
    <row r="16" spans="1:4">
      <c r="A16" s="1">
        <v>45663</v>
      </c>
      <c r="B16" t="s">
        <v>13</v>
      </c>
      <c r="D16" s="2">
        <f>100*175000</f>
        <v>17500000</v>
      </c>
    </row>
    <row r="17" spans="1:4">
      <c r="A17" s="1">
        <v>45663</v>
      </c>
      <c r="B17" t="s">
        <v>10</v>
      </c>
      <c r="D17" s="2">
        <v>2500</v>
      </c>
    </row>
    <row r="18" spans="1:4">
      <c r="A18" s="1">
        <v>45663</v>
      </c>
      <c r="B18" t="s">
        <v>14</v>
      </c>
      <c r="D18" s="2">
        <f>100*130000</f>
        <v>13000000</v>
      </c>
    </row>
    <row r="19" spans="1:4">
      <c r="A19" s="1">
        <v>45663</v>
      </c>
      <c r="B19" t="s">
        <v>10</v>
      </c>
      <c r="D19" s="2">
        <v>2500</v>
      </c>
    </row>
    <row r="20" spans="1:4" ht="15.75">
      <c r="A20" s="3">
        <v>45664</v>
      </c>
      <c r="B20" s="4" t="s">
        <v>15</v>
      </c>
      <c r="C20" s="5"/>
      <c r="D20" s="2">
        <v>182000</v>
      </c>
    </row>
    <row r="21" spans="1:4" ht="15.75">
      <c r="A21" s="6">
        <v>45664</v>
      </c>
      <c r="B21" s="7" t="s">
        <v>16</v>
      </c>
      <c r="C21" s="5"/>
      <c r="D21" s="2">
        <v>515000</v>
      </c>
    </row>
    <row r="22" spans="1:4" ht="15.75">
      <c r="A22" s="6">
        <v>45664</v>
      </c>
      <c r="B22" t="s">
        <v>17</v>
      </c>
      <c r="C22" s="5"/>
      <c r="D22" s="2">
        <v>4620000</v>
      </c>
    </row>
    <row r="23" spans="1:4" ht="15.75">
      <c r="A23" s="6">
        <v>45664</v>
      </c>
      <c r="B23" s="7" t="s">
        <v>10</v>
      </c>
      <c r="C23" s="5"/>
      <c r="D23" s="2">
        <v>2500</v>
      </c>
    </row>
    <row r="24" spans="1:4" ht="15.75">
      <c r="A24" s="6">
        <v>45664</v>
      </c>
      <c r="B24" s="7" t="s">
        <v>18</v>
      </c>
      <c r="C24" s="7"/>
      <c r="D24" s="5">
        <v>77000000</v>
      </c>
    </row>
    <row r="25" spans="1:4" ht="15.75">
      <c r="A25" s="6">
        <v>45664</v>
      </c>
      <c r="B25" s="7" t="s">
        <v>10</v>
      </c>
      <c r="C25" s="7"/>
      <c r="D25" s="5">
        <v>2500</v>
      </c>
    </row>
    <row r="26" spans="1:4" ht="15.75">
      <c r="A26" s="6">
        <v>45664</v>
      </c>
      <c r="B26" t="s">
        <v>19</v>
      </c>
      <c r="D26" s="2">
        <v>1750000</v>
      </c>
    </row>
    <row r="27" spans="1:4" ht="15.75">
      <c r="A27" s="6">
        <v>45665</v>
      </c>
      <c r="B27" t="s">
        <v>6</v>
      </c>
      <c r="D27" s="2">
        <v>20000000</v>
      </c>
    </row>
    <row r="28" spans="1:4" ht="15.75">
      <c r="A28" s="6">
        <v>45665</v>
      </c>
      <c r="B28" t="s">
        <v>20</v>
      </c>
      <c r="D28" s="2">
        <f>250*350000</f>
        <v>87500000</v>
      </c>
    </row>
    <row r="29" spans="1:4" ht="15.75">
      <c r="A29" s="6">
        <v>45665</v>
      </c>
      <c r="B29" s="7" t="s">
        <v>10</v>
      </c>
      <c r="C29" s="5"/>
      <c r="D29" s="2">
        <v>2500</v>
      </c>
    </row>
    <row r="30" spans="1:4" ht="15.75">
      <c r="A30" s="6">
        <v>45665</v>
      </c>
      <c r="B30" t="s">
        <v>21</v>
      </c>
      <c r="D30" s="2">
        <f>250*125000</f>
        <v>31250000</v>
      </c>
    </row>
    <row r="31" spans="1:4" ht="15.75">
      <c r="A31" s="6">
        <v>45665</v>
      </c>
      <c r="B31" s="7" t="s">
        <v>10</v>
      </c>
      <c r="D31" s="2">
        <v>2500</v>
      </c>
    </row>
    <row r="32" spans="1:4" ht="15.75">
      <c r="A32" s="6">
        <v>45665</v>
      </c>
      <c r="B32" s="7" t="s">
        <v>22</v>
      </c>
      <c r="C32" s="5"/>
      <c r="D32" s="5">
        <v>19840000</v>
      </c>
    </row>
    <row r="33" spans="1:4" ht="15.75">
      <c r="A33" s="6">
        <v>45667</v>
      </c>
      <c r="B33" s="7" t="s">
        <v>6</v>
      </c>
      <c r="C33" s="7"/>
      <c r="D33" s="5">
        <v>30000000</v>
      </c>
    </row>
    <row r="34" spans="1:4" ht="15.75">
      <c r="A34" s="6">
        <v>45667</v>
      </c>
      <c r="B34" s="7" t="s">
        <v>23</v>
      </c>
      <c r="C34" s="7"/>
      <c r="D34" s="5">
        <v>47372836</v>
      </c>
    </row>
    <row r="35" spans="1:4" ht="15.75">
      <c r="A35" s="6">
        <v>45667</v>
      </c>
      <c r="B35" s="7" t="s">
        <v>24</v>
      </c>
      <c r="C35" s="7"/>
      <c r="D35" s="5">
        <v>193500</v>
      </c>
    </row>
    <row r="36" spans="1:4" ht="15.75">
      <c r="A36" s="6">
        <v>45667</v>
      </c>
      <c r="B36" s="7" t="s">
        <v>25</v>
      </c>
      <c r="D36" s="2">
        <v>313958</v>
      </c>
    </row>
    <row r="37" spans="1:4" ht="15.75">
      <c r="A37" s="6">
        <v>45667</v>
      </c>
      <c r="B37" s="7" t="s">
        <v>26</v>
      </c>
      <c r="D37" s="2">
        <v>85536</v>
      </c>
    </row>
    <row r="38" spans="1:4" ht="15.75">
      <c r="A38" s="6">
        <v>45667</v>
      </c>
      <c r="B38" s="7" t="s">
        <v>27</v>
      </c>
      <c r="D38" s="2">
        <v>69430554</v>
      </c>
    </row>
    <row r="39" spans="1:4" ht="15.75">
      <c r="A39" s="6">
        <v>45667</v>
      </c>
      <c r="B39" s="7" t="s">
        <v>28</v>
      </c>
      <c r="D39" s="2">
        <f>16414414+1805585</f>
        <v>18219999</v>
      </c>
    </row>
    <row r="40" spans="1:4" ht="15.75">
      <c r="A40" s="6">
        <v>45667</v>
      </c>
      <c r="B40" s="7" t="s">
        <v>29</v>
      </c>
      <c r="D40" s="2">
        <f>10090090+1109909</f>
        <v>11199999</v>
      </c>
    </row>
    <row r="41" spans="1:4" ht="15.75">
      <c r="A41" s="6">
        <v>45667</v>
      </c>
      <c r="B41" s="7" t="s">
        <v>30</v>
      </c>
      <c r="D41" s="2">
        <v>11199000</v>
      </c>
    </row>
    <row r="42" spans="1:4" ht="15.75">
      <c r="A42" s="6">
        <v>45667</v>
      </c>
      <c r="B42" s="7" t="s">
        <v>31</v>
      </c>
      <c r="D42" s="2">
        <f>12439639+1368360</f>
        <v>13807999</v>
      </c>
    </row>
    <row r="43" spans="1:4" ht="15.75">
      <c r="A43" s="6">
        <v>45668</v>
      </c>
      <c r="B43" s="7" t="s">
        <v>32</v>
      </c>
      <c r="D43" s="2">
        <v>5000000</v>
      </c>
    </row>
    <row r="44" spans="1:4" ht="15.75">
      <c r="A44" s="6">
        <v>45668</v>
      </c>
      <c r="B44" s="7" t="s">
        <v>10</v>
      </c>
      <c r="C44" s="5"/>
      <c r="D44" s="2">
        <v>2500</v>
      </c>
    </row>
    <row r="45" spans="1:4" ht="15.75">
      <c r="A45" s="6">
        <v>45669</v>
      </c>
      <c r="B45" s="7" t="s">
        <v>6</v>
      </c>
      <c r="D45" s="2">
        <v>60000000</v>
      </c>
    </row>
    <row r="46" spans="1:4" ht="15.75">
      <c r="A46" s="6">
        <v>45671</v>
      </c>
      <c r="B46" t="s">
        <v>33</v>
      </c>
      <c r="D46" s="2">
        <f>15*1250000</f>
        <v>18750000</v>
      </c>
    </row>
    <row r="47" spans="1:4" ht="15.75">
      <c r="A47" s="6">
        <v>45671</v>
      </c>
      <c r="B47" s="7" t="s">
        <v>10</v>
      </c>
      <c r="D47" s="2">
        <v>2500</v>
      </c>
    </row>
    <row r="48" spans="1:4" ht="15.75">
      <c r="A48" s="6">
        <v>45671</v>
      </c>
      <c r="B48" t="s">
        <v>34</v>
      </c>
      <c r="D48" s="2">
        <f>50*345000</f>
        <v>17250000</v>
      </c>
    </row>
    <row r="49" spans="1:4" ht="15.75">
      <c r="A49" s="6">
        <v>45671</v>
      </c>
      <c r="B49" s="7" t="s">
        <v>10</v>
      </c>
      <c r="D49" s="2">
        <v>2500</v>
      </c>
    </row>
    <row r="50" spans="1:4" ht="15.75">
      <c r="A50" s="6">
        <v>45671</v>
      </c>
      <c r="B50" t="s">
        <v>35</v>
      </c>
      <c r="D50" s="2">
        <f>150*100000</f>
        <v>15000000</v>
      </c>
    </row>
    <row r="51" spans="1:4" ht="15.75">
      <c r="A51" s="6">
        <v>45671</v>
      </c>
      <c r="B51" s="7" t="s">
        <v>10</v>
      </c>
      <c r="D51" s="2">
        <v>2500</v>
      </c>
    </row>
    <row r="52" spans="1:4" ht="15.75">
      <c r="A52" s="6">
        <v>45671</v>
      </c>
      <c r="B52" t="s">
        <v>36</v>
      </c>
      <c r="D52" s="2">
        <f>5*1500000</f>
        <v>7500000</v>
      </c>
    </row>
    <row r="53" spans="1:4" ht="15.75">
      <c r="A53" s="6">
        <v>45671</v>
      </c>
      <c r="B53" s="7" t="s">
        <v>10</v>
      </c>
      <c r="D53" s="2">
        <v>2500</v>
      </c>
    </row>
    <row r="54" spans="1:4" ht="15.75">
      <c r="A54" s="6">
        <v>45671</v>
      </c>
      <c r="B54" s="7" t="s">
        <v>37</v>
      </c>
      <c r="C54" s="5"/>
      <c r="D54" s="2">
        <v>20460000</v>
      </c>
    </row>
    <row r="55" spans="1:4" ht="15.75">
      <c r="A55" s="6">
        <v>45671</v>
      </c>
      <c r="B55" s="7" t="s">
        <v>38</v>
      </c>
      <c r="C55" s="5"/>
      <c r="D55" s="2">
        <f>2025000+575000+575000+675000+675000</f>
        <v>4525000</v>
      </c>
    </row>
    <row r="56" spans="1:4" ht="15.75">
      <c r="A56" s="6">
        <v>45671</v>
      </c>
      <c r="B56" s="7" t="s">
        <v>39</v>
      </c>
      <c r="D56" s="2">
        <f>575000+575000+575000+675000+675000+675000</f>
        <v>3750000</v>
      </c>
    </row>
    <row r="57" spans="1:4" ht="15.75">
      <c r="A57" s="6">
        <v>45672</v>
      </c>
      <c r="B57" s="7" t="s">
        <v>6</v>
      </c>
      <c r="C57" s="5"/>
      <c r="D57" s="2">
        <v>60000000</v>
      </c>
    </row>
    <row r="58" spans="1:4" ht="15.75">
      <c r="A58" s="6">
        <v>45672</v>
      </c>
      <c r="B58" s="7" t="s">
        <v>40</v>
      </c>
      <c r="D58" s="2">
        <v>3500000</v>
      </c>
    </row>
    <row r="59" spans="1:4" ht="15.75">
      <c r="A59" s="6">
        <v>45673</v>
      </c>
      <c r="B59" s="7" t="s">
        <v>8</v>
      </c>
      <c r="D59" s="2">
        <v>1700000</v>
      </c>
    </row>
    <row r="60" spans="1:4" ht="15.75">
      <c r="A60" s="6">
        <v>45673</v>
      </c>
      <c r="B60" s="10" t="s">
        <v>41</v>
      </c>
      <c r="C60" s="5"/>
      <c r="D60" s="2">
        <v>13500000</v>
      </c>
    </row>
    <row r="61" spans="1:4" ht="15.75">
      <c r="A61" s="6">
        <v>45673</v>
      </c>
      <c r="B61" s="7" t="s">
        <v>10</v>
      </c>
      <c r="D61" s="2">
        <v>2500</v>
      </c>
    </row>
    <row r="62" spans="1:4" ht="15.75">
      <c r="A62" s="6">
        <v>45673</v>
      </c>
      <c r="B62" s="10" t="s">
        <v>42</v>
      </c>
      <c r="D62" s="2">
        <v>25000000</v>
      </c>
    </row>
    <row r="63" spans="1:4" ht="15.75">
      <c r="A63" s="6">
        <v>45673</v>
      </c>
      <c r="B63" t="s">
        <v>10</v>
      </c>
      <c r="D63" s="2">
        <v>2500</v>
      </c>
    </row>
    <row r="64" spans="1:4" ht="15.75">
      <c r="A64" s="6">
        <v>45673</v>
      </c>
      <c r="B64" t="s">
        <v>43</v>
      </c>
      <c r="D64" s="2">
        <v>33749999</v>
      </c>
    </row>
    <row r="65" spans="1:4" ht="15.75">
      <c r="A65" s="6">
        <v>45673</v>
      </c>
      <c r="B65" t="s">
        <v>44</v>
      </c>
      <c r="D65" s="2">
        <v>16874999</v>
      </c>
    </row>
    <row r="66" spans="1:4" ht="15.75">
      <c r="A66" s="6">
        <v>45674</v>
      </c>
      <c r="B66" t="s">
        <v>45</v>
      </c>
      <c r="D66" s="2">
        <v>2000000</v>
      </c>
    </row>
    <row r="67" spans="1:4" ht="15.75">
      <c r="A67" s="6">
        <v>45674</v>
      </c>
      <c r="B67" t="s">
        <v>45</v>
      </c>
      <c r="D67" s="2">
        <v>3000000</v>
      </c>
    </row>
    <row r="68" spans="1:4" ht="15.75">
      <c r="A68" s="6">
        <v>45675</v>
      </c>
      <c r="B68" t="s">
        <v>6</v>
      </c>
      <c r="D68" s="2">
        <v>30000000</v>
      </c>
    </row>
    <row r="69" spans="1:4" ht="15.75">
      <c r="A69" s="6">
        <v>45675</v>
      </c>
      <c r="B69" s="9" t="s">
        <v>46</v>
      </c>
      <c r="C69" s="5"/>
      <c r="D69" s="2">
        <v>424020</v>
      </c>
    </row>
    <row r="70" spans="1:4" ht="15.75">
      <c r="A70" s="6">
        <v>45675</v>
      </c>
      <c r="B70" s="11" t="s">
        <v>47</v>
      </c>
      <c r="C70" s="12"/>
      <c r="D70" s="13">
        <v>2322900</v>
      </c>
    </row>
    <row r="71" spans="1:4" ht="15.75">
      <c r="A71" s="6">
        <v>45675</v>
      </c>
      <c r="B71" s="7" t="s">
        <v>10</v>
      </c>
      <c r="C71" s="5"/>
      <c r="D71" s="2">
        <v>2500</v>
      </c>
    </row>
    <row r="72" spans="1:4" ht="15.75">
      <c r="A72" s="6">
        <v>45677</v>
      </c>
      <c r="B72" s="7" t="s">
        <v>48</v>
      </c>
      <c r="C72" s="2"/>
      <c r="D72" s="2">
        <v>703300</v>
      </c>
    </row>
    <row r="73" spans="1:4" ht="15.75">
      <c r="A73" s="6">
        <v>45677</v>
      </c>
      <c r="B73" s="7" t="s">
        <v>6</v>
      </c>
      <c r="D73" s="2">
        <v>60000000</v>
      </c>
    </row>
    <row r="74" spans="1:4" ht="15.75">
      <c r="A74" s="6">
        <v>45677</v>
      </c>
      <c r="B74" s="4" t="s">
        <v>6</v>
      </c>
      <c r="C74" s="5"/>
      <c r="D74" s="2">
        <v>300000000</v>
      </c>
    </row>
    <row r="75" spans="1:4" ht="15.75">
      <c r="A75" s="6">
        <v>45678</v>
      </c>
      <c r="B75" t="s">
        <v>49</v>
      </c>
      <c r="C75" s="7"/>
      <c r="D75" s="5">
        <v>21390000</v>
      </c>
    </row>
    <row r="76" spans="1:4" ht="15.75">
      <c r="A76" s="6">
        <v>45678</v>
      </c>
      <c r="B76" s="4" t="s">
        <v>50</v>
      </c>
      <c r="C76" s="7"/>
      <c r="D76" s="5">
        <v>11544000</v>
      </c>
    </row>
    <row r="77" spans="1:4" ht="15.75">
      <c r="A77" s="6">
        <v>45678</v>
      </c>
      <c r="B77" s="7" t="s">
        <v>10</v>
      </c>
      <c r="C77" s="2"/>
      <c r="D77" s="2">
        <v>2500</v>
      </c>
    </row>
    <row r="78" spans="1:4" ht="15.75">
      <c r="A78" s="6">
        <v>45678</v>
      </c>
      <c r="B78" s="7" t="s">
        <v>6</v>
      </c>
      <c r="D78" s="2">
        <v>15000000</v>
      </c>
    </row>
    <row r="79" spans="1:4" ht="15.75">
      <c r="A79" s="6">
        <v>45678</v>
      </c>
      <c r="B79" s="7" t="s">
        <v>51</v>
      </c>
      <c r="D79" s="2">
        <v>275000</v>
      </c>
    </row>
    <row r="80" spans="1:4" ht="15.75">
      <c r="A80" s="6">
        <v>45678</v>
      </c>
      <c r="B80" s="4" t="s">
        <v>52</v>
      </c>
      <c r="D80" s="2">
        <v>9313000</v>
      </c>
    </row>
    <row r="81" spans="1:4" ht="15.75">
      <c r="A81" s="6">
        <v>45679</v>
      </c>
      <c r="B81" s="7" t="s">
        <v>6</v>
      </c>
      <c r="D81" s="2">
        <v>12500000</v>
      </c>
    </row>
    <row r="82" spans="1:4" ht="15.75">
      <c r="A82" s="6">
        <v>45679</v>
      </c>
      <c r="B82" s="7" t="s">
        <v>53</v>
      </c>
      <c r="D82" s="2">
        <v>363750</v>
      </c>
    </row>
    <row r="83" spans="1:4" ht="15.75">
      <c r="A83" s="6">
        <v>45679</v>
      </c>
      <c r="B83" s="7" t="s">
        <v>6</v>
      </c>
      <c r="C83" s="7"/>
      <c r="D83" s="5">
        <v>150000000</v>
      </c>
    </row>
    <row r="84" spans="1:4" ht="15.75">
      <c r="A84" s="6">
        <v>45679</v>
      </c>
      <c r="B84" s="7" t="s">
        <v>54</v>
      </c>
      <c r="C84" s="7"/>
      <c r="D84" s="5">
        <v>5453760</v>
      </c>
    </row>
    <row r="85" spans="1:4" ht="15.75">
      <c r="A85" s="6">
        <v>45680</v>
      </c>
      <c r="B85" s="7" t="s">
        <v>6</v>
      </c>
      <c r="C85" s="5"/>
      <c r="D85" s="2">
        <v>20000000</v>
      </c>
    </row>
    <row r="86" spans="1:4" ht="15.75">
      <c r="A86" s="6">
        <v>45680</v>
      </c>
      <c r="B86" s="7" t="s">
        <v>6</v>
      </c>
      <c r="C86" s="7"/>
      <c r="D86" s="5">
        <v>300000000</v>
      </c>
    </row>
    <row r="87" spans="1:4" ht="15.75">
      <c r="A87" s="6">
        <v>45680</v>
      </c>
      <c r="B87" s="7" t="s">
        <v>55</v>
      </c>
      <c r="C87" s="2"/>
      <c r="D87" s="2">
        <v>500000</v>
      </c>
    </row>
    <row r="88" spans="1:4" ht="15.75">
      <c r="A88" s="6">
        <v>45680</v>
      </c>
      <c r="B88" s="7" t="s">
        <v>56</v>
      </c>
      <c r="D88" s="2">
        <v>4500000</v>
      </c>
    </row>
    <row r="89" spans="1:4" ht="15.75">
      <c r="A89" s="6">
        <v>45680</v>
      </c>
      <c r="B89" s="7" t="s">
        <v>10</v>
      </c>
      <c r="C89" s="5"/>
      <c r="D89" s="2">
        <v>2500</v>
      </c>
    </row>
    <row r="90" spans="1:4" ht="15.75">
      <c r="A90" s="6">
        <v>45680</v>
      </c>
      <c r="B90" s="7" t="s">
        <v>57</v>
      </c>
      <c r="C90" s="7"/>
      <c r="D90" s="5">
        <v>212776395</v>
      </c>
    </row>
    <row r="91" spans="1:4" ht="15.75">
      <c r="A91" s="1">
        <v>24</v>
      </c>
      <c r="B91" s="7" t="s">
        <v>58</v>
      </c>
      <c r="C91" s="2"/>
      <c r="D91" s="2">
        <v>100000000</v>
      </c>
    </row>
    <row r="92" spans="1:4" ht="15.75">
      <c r="A92" s="1">
        <v>45681</v>
      </c>
      <c r="B92" s="7" t="s">
        <v>10</v>
      </c>
      <c r="D92" s="2">
        <v>2500</v>
      </c>
    </row>
    <row r="93" spans="1:4" ht="15.75">
      <c r="A93" s="1">
        <v>45681</v>
      </c>
      <c r="B93" s="7" t="s">
        <v>59</v>
      </c>
      <c r="D93" s="2">
        <v>1000000</v>
      </c>
    </row>
    <row r="94" spans="1:4" ht="15.75">
      <c r="A94" s="6">
        <v>45681</v>
      </c>
      <c r="B94" s="7" t="s">
        <v>10</v>
      </c>
      <c r="D94" s="2">
        <v>2500</v>
      </c>
    </row>
    <row r="95" spans="1:4" ht="15.75">
      <c r="A95" s="6">
        <v>45681</v>
      </c>
      <c r="B95" s="7" t="s">
        <v>6</v>
      </c>
      <c r="D95" s="2">
        <v>90000000</v>
      </c>
    </row>
    <row r="96" spans="1:4" ht="15.75">
      <c r="A96" s="6">
        <v>45681</v>
      </c>
      <c r="B96" s="7" t="s">
        <v>60</v>
      </c>
      <c r="C96" s="5"/>
      <c r="D96" s="2">
        <v>1000000</v>
      </c>
    </row>
    <row r="97" spans="1:4" ht="15.75">
      <c r="A97" s="6">
        <v>45681</v>
      </c>
      <c r="B97" s="7" t="s">
        <v>61</v>
      </c>
      <c r="C97" s="5"/>
      <c r="D97" s="2">
        <v>16500000</v>
      </c>
    </row>
    <row r="98" spans="1:4" ht="15.75">
      <c r="A98" s="6">
        <v>45681</v>
      </c>
      <c r="B98" s="7" t="s">
        <v>10</v>
      </c>
      <c r="C98" s="5"/>
      <c r="D98" s="2">
        <v>2500</v>
      </c>
    </row>
    <row r="99" spans="1:4" ht="15.75">
      <c r="A99" s="14">
        <v>45681</v>
      </c>
      <c r="B99" s="15" t="s">
        <v>62</v>
      </c>
      <c r="C99" s="16"/>
      <c r="D99" s="17">
        <f>16414414+1805585</f>
        <v>18219999</v>
      </c>
    </row>
    <row r="100" spans="1:4" ht="15.75">
      <c r="A100" s="14">
        <v>45681</v>
      </c>
      <c r="B100" s="15" t="s">
        <v>63</v>
      </c>
      <c r="C100" s="16"/>
      <c r="D100" s="17">
        <f>10090090+1109909</f>
        <v>11199999</v>
      </c>
    </row>
    <row r="101" spans="1:4" ht="15.75">
      <c r="A101" s="6">
        <v>45685</v>
      </c>
      <c r="B101" s="4" t="s">
        <v>64</v>
      </c>
      <c r="C101" s="5"/>
      <c r="D101" s="2">
        <v>62614615</v>
      </c>
    </row>
    <row r="102" spans="1:4" ht="15.75">
      <c r="A102" s="6">
        <v>45685</v>
      </c>
      <c r="B102" s="7" t="s">
        <v>65</v>
      </c>
      <c r="D102" s="18">
        <f>30243243+3326756</f>
        <v>33569999</v>
      </c>
    </row>
    <row r="103" spans="1:4" ht="15.75">
      <c r="A103" s="6">
        <v>45685</v>
      </c>
      <c r="B103" s="7" t="s">
        <v>66</v>
      </c>
      <c r="C103" s="5"/>
      <c r="D103" s="2">
        <v>2143494</v>
      </c>
    </row>
    <row r="104" spans="1:4" ht="15.75">
      <c r="A104" s="6">
        <v>45687</v>
      </c>
      <c r="B104" s="7" t="s">
        <v>6</v>
      </c>
      <c r="C104" s="5"/>
      <c r="D104" s="2">
        <v>230000000</v>
      </c>
    </row>
    <row r="105" spans="1:4" ht="15.75">
      <c r="A105" s="6">
        <v>45687</v>
      </c>
      <c r="B105" s="7" t="s">
        <v>6</v>
      </c>
      <c r="D105" s="2">
        <v>12000000</v>
      </c>
    </row>
    <row r="106" spans="1:4" ht="15.75">
      <c r="A106" s="1">
        <v>45687</v>
      </c>
      <c r="B106" s="7" t="s">
        <v>67</v>
      </c>
      <c r="C106" s="2"/>
      <c r="D106" s="2">
        <v>350000</v>
      </c>
    </row>
    <row r="107" spans="1:4" ht="15.75">
      <c r="A107" s="1">
        <v>45688</v>
      </c>
      <c r="B107" s="7" t="s">
        <v>68</v>
      </c>
      <c r="C107" s="2"/>
      <c r="D107" s="2">
        <v>289300</v>
      </c>
    </row>
    <row r="108" spans="1:4" ht="15.75">
      <c r="A108" s="1"/>
      <c r="B108" s="7" t="s">
        <v>69</v>
      </c>
      <c r="C108" s="8"/>
      <c r="D108" s="8">
        <v>30000</v>
      </c>
    </row>
    <row r="109" spans="1:4" ht="15.75">
      <c r="A109" s="6"/>
      <c r="B109" s="7" t="s">
        <v>70</v>
      </c>
      <c r="C109" s="8"/>
      <c r="D109" s="8">
        <v>46399.23</v>
      </c>
    </row>
    <row r="110" spans="1:4" ht="15.75">
      <c r="A110" s="6"/>
      <c r="B110" s="7"/>
      <c r="C110" s="19"/>
      <c r="D110" s="8"/>
    </row>
    <row r="111" spans="1:4" ht="15.75">
      <c r="A111" s="6"/>
      <c r="B111" s="7"/>
      <c r="C111" s="19">
        <f>SUM(C6:C110)</f>
        <v>0</v>
      </c>
      <c r="D111" s="8">
        <f>SUM(D5:D110)</f>
        <v>2685125309.23</v>
      </c>
    </row>
    <row r="112" spans="1:4" ht="15.75">
      <c r="A112" s="6"/>
      <c r="B112" s="7"/>
      <c r="C112" s="8"/>
      <c r="D112" s="8">
        <v>2696324309.23</v>
      </c>
    </row>
    <row r="113" ht="15.75"/>
    <row r="114" ht="15.75"/>
    <row r="115" ht="15.75"/>
    <row r="116" ht="15.75"/>
    <row r="117" ht="15.75"/>
    <row r="118" ht="15.75"/>
    <row r="119" ht="15.75"/>
    <row r="120" ht="15.75"/>
    <row r="121" ht="15.75"/>
    <row r="122" ht="15.75"/>
    <row r="123" ht="15.75"/>
    <row r="124" ht="15.75"/>
    <row r="125" ht="15.75"/>
    <row r="126" ht="15.75"/>
    <row r="127" ht="15.75"/>
    <row r="128" ht="15.75"/>
    <row r="129" ht="15.75"/>
    <row r="130" ht="15.75"/>
    <row r="131" ht="15.75"/>
    <row r="132" ht="15.75"/>
    <row r="133" ht="15.75"/>
    <row r="134" ht="15.75"/>
    <row r="135" ht="15.75"/>
    <row r="136" ht="15.75"/>
    <row r="137" ht="15.75"/>
    <row r="138" ht="15.75"/>
    <row r="139" ht="15.75"/>
    <row r="140" ht="15.75"/>
    <row r="141" ht="15.75"/>
    <row r="142" ht="15.75"/>
    <row r="143" ht="15.75"/>
    <row r="144" ht="15.75"/>
    <row r="145" ht="15.75"/>
    <row r="146" ht="15.7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0E449-3795-604C-9580-CF1A7FEA78C6}">
  <dimension ref="A1:D145"/>
  <sheetViews>
    <sheetView workbookViewId="0">
      <selection activeCell="A10" sqref="A10:D10"/>
    </sheetView>
  </sheetViews>
  <sheetFormatPr defaultColWidth="11" defaultRowHeight="15.95"/>
  <cols>
    <col min="2" max="2" width="38.875" customWidth="1"/>
    <col min="3" max="3" width="14.5" customWidth="1"/>
    <col min="4" max="4" width="18.875" customWidth="1"/>
  </cols>
  <sheetData>
    <row r="1" spans="1:4">
      <c r="A1" t="s">
        <v>71</v>
      </c>
    </row>
    <row r="3" spans="1:4">
      <c r="A3" t="s">
        <v>1</v>
      </c>
    </row>
    <row r="4" spans="1:4">
      <c r="A4" t="s">
        <v>2</v>
      </c>
      <c r="B4" t="s">
        <v>3</v>
      </c>
      <c r="C4" t="s">
        <v>4</v>
      </c>
      <c r="D4" t="s">
        <v>5</v>
      </c>
    </row>
    <row r="5" spans="1:4">
      <c r="A5" s="1">
        <v>45689</v>
      </c>
      <c r="B5" t="s">
        <v>72</v>
      </c>
      <c r="D5" s="2">
        <v>3253500</v>
      </c>
    </row>
    <row r="6" spans="1:4">
      <c r="A6" s="1">
        <v>45689</v>
      </c>
      <c r="B6" t="s">
        <v>73</v>
      </c>
      <c r="D6" s="2">
        <v>5790000</v>
      </c>
    </row>
    <row r="7" spans="1:4">
      <c r="A7" s="1">
        <v>45689</v>
      </c>
      <c r="B7" t="s">
        <v>74</v>
      </c>
      <c r="D7" s="2">
        <v>3800000</v>
      </c>
    </row>
    <row r="8" spans="1:4">
      <c r="A8" s="1">
        <v>45689</v>
      </c>
      <c r="B8" t="s">
        <v>75</v>
      </c>
      <c r="D8" s="2">
        <v>5100000</v>
      </c>
    </row>
    <row r="9" spans="1:4">
      <c r="A9" s="1">
        <v>45690</v>
      </c>
      <c r="B9" t="s">
        <v>6</v>
      </c>
      <c r="D9" s="2">
        <v>20000000</v>
      </c>
    </row>
    <row r="10" spans="1:4" ht="15.75">
      <c r="A10" s="1">
        <v>45690</v>
      </c>
      <c r="B10" t="s">
        <v>76</v>
      </c>
      <c r="D10" s="2">
        <v>14000000</v>
      </c>
    </row>
    <row r="11" spans="1:4" ht="15.75">
      <c r="A11" s="1">
        <v>45690</v>
      </c>
      <c r="B11" t="s">
        <v>77</v>
      </c>
      <c r="D11" s="2">
        <v>7740000</v>
      </c>
    </row>
    <row r="12" spans="1:4" ht="15.75">
      <c r="A12" s="1">
        <v>45690</v>
      </c>
      <c r="B12" t="s">
        <v>78</v>
      </c>
      <c r="D12" s="2">
        <v>5460000</v>
      </c>
    </row>
    <row r="13" spans="1:4" ht="15.75">
      <c r="A13" s="1">
        <v>45692</v>
      </c>
      <c r="B13" t="s">
        <v>68</v>
      </c>
      <c r="C13" s="2"/>
      <c r="D13" s="2">
        <v>769600</v>
      </c>
    </row>
    <row r="14" spans="1:4" ht="15.75">
      <c r="A14" s="1">
        <v>45692</v>
      </c>
      <c r="B14" s="7" t="s">
        <v>79</v>
      </c>
      <c r="C14" s="5"/>
      <c r="D14" s="2">
        <v>1700000</v>
      </c>
    </row>
    <row r="15" spans="1:4" ht="15.75">
      <c r="A15" s="1">
        <v>45692</v>
      </c>
      <c r="B15" s="7" t="s">
        <v>80</v>
      </c>
      <c r="D15" s="2">
        <v>8680000</v>
      </c>
    </row>
    <row r="16" spans="1:4" ht="15.75">
      <c r="A16" s="1">
        <v>45692</v>
      </c>
      <c r="B16" s="20" t="s">
        <v>81</v>
      </c>
      <c r="C16" s="21"/>
      <c r="D16" s="22">
        <v>3000000</v>
      </c>
    </row>
    <row r="17" spans="1:4" ht="15.75">
      <c r="A17" s="1">
        <v>45692</v>
      </c>
      <c r="B17" s="20" t="s">
        <v>82</v>
      </c>
      <c r="C17" s="23"/>
      <c r="D17" s="22">
        <v>2000000</v>
      </c>
    </row>
    <row r="18" spans="1:4" ht="15.75">
      <c r="A18" s="1">
        <v>45692</v>
      </c>
      <c r="B18" s="7" t="s">
        <v>48</v>
      </c>
      <c r="D18" s="2">
        <v>1360400</v>
      </c>
    </row>
    <row r="19" spans="1:4" ht="15.75">
      <c r="A19" s="1">
        <v>45693</v>
      </c>
      <c r="B19" s="7" t="s">
        <v>83</v>
      </c>
      <c r="D19" s="2">
        <v>11250000</v>
      </c>
    </row>
    <row r="20" spans="1:4" ht="15.75">
      <c r="A20" s="1">
        <v>45693</v>
      </c>
      <c r="B20" s="7" t="s">
        <v>10</v>
      </c>
      <c r="D20" s="2">
        <v>2500</v>
      </c>
    </row>
    <row r="21" spans="1:4" ht="15.75">
      <c r="A21" s="1">
        <v>45693</v>
      </c>
      <c r="B21" s="7" t="s">
        <v>53</v>
      </c>
      <c r="D21" s="2">
        <v>363750</v>
      </c>
    </row>
    <row r="22" spans="1:4" ht="15.75">
      <c r="A22" s="1">
        <v>45693</v>
      </c>
      <c r="B22" s="7" t="s">
        <v>66</v>
      </c>
      <c r="D22" s="2">
        <v>2043494</v>
      </c>
    </row>
    <row r="23" spans="1:4" ht="15.75">
      <c r="A23" s="1">
        <v>45693</v>
      </c>
      <c r="B23" s="15" t="s">
        <v>84</v>
      </c>
      <c r="C23" s="24"/>
      <c r="D23" s="25">
        <v>371000</v>
      </c>
    </row>
    <row r="24" spans="1:4" ht="15.75">
      <c r="A24" s="1">
        <v>45693</v>
      </c>
      <c r="B24" s="7" t="s">
        <v>85</v>
      </c>
      <c r="D24" s="2">
        <v>4000000</v>
      </c>
    </row>
    <row r="25" spans="1:4" ht="15.75">
      <c r="A25" s="1">
        <v>45693</v>
      </c>
      <c r="B25" s="26" t="s">
        <v>86</v>
      </c>
      <c r="C25" s="5"/>
      <c r="D25" s="2">
        <v>10000000</v>
      </c>
    </row>
    <row r="26" spans="1:4" ht="15.75">
      <c r="A26" s="1">
        <v>45694</v>
      </c>
      <c r="B26" s="7" t="s">
        <v>6</v>
      </c>
      <c r="C26" s="5"/>
      <c r="D26" s="2">
        <v>10000000</v>
      </c>
    </row>
    <row r="27" spans="1:4" ht="15.75">
      <c r="A27" s="1">
        <v>45694</v>
      </c>
      <c r="B27" s="7" t="s">
        <v>68</v>
      </c>
      <c r="D27" s="2">
        <v>765500</v>
      </c>
    </row>
    <row r="28" spans="1:4" ht="15.75">
      <c r="A28" s="1">
        <v>45694</v>
      </c>
      <c r="B28" s="7" t="s">
        <v>87</v>
      </c>
      <c r="D28" s="2">
        <v>375000</v>
      </c>
    </row>
    <row r="29" spans="1:4" ht="15.75">
      <c r="A29" s="1">
        <v>45694</v>
      </c>
      <c r="B29" s="7" t="s">
        <v>88</v>
      </c>
      <c r="D29" s="2">
        <v>3000000</v>
      </c>
    </row>
    <row r="30" spans="1:4" ht="15.75">
      <c r="A30" s="1">
        <v>45694</v>
      </c>
      <c r="B30" s="7" t="s">
        <v>89</v>
      </c>
      <c r="D30" s="2">
        <v>2500</v>
      </c>
    </row>
    <row r="31" spans="1:4" ht="15.75">
      <c r="A31" s="1">
        <v>45694</v>
      </c>
      <c r="B31" s="7" t="s">
        <v>90</v>
      </c>
      <c r="C31" s="2"/>
      <c r="D31" s="2">
        <f>17700*300</f>
        <v>5310000</v>
      </c>
    </row>
    <row r="32" spans="1:4" ht="15.75">
      <c r="A32" s="1">
        <v>45694</v>
      </c>
      <c r="B32" s="7" t="s">
        <v>10</v>
      </c>
      <c r="C32" s="2"/>
      <c r="D32" s="2">
        <v>2500</v>
      </c>
    </row>
    <row r="33" spans="1:4" ht="15.75">
      <c r="A33" s="3">
        <v>45694</v>
      </c>
      <c r="B33" s="7" t="s">
        <v>61</v>
      </c>
      <c r="C33" s="7"/>
      <c r="D33" s="5">
        <v>2300000</v>
      </c>
    </row>
    <row r="34" spans="1:4" ht="15.75">
      <c r="A34" s="3">
        <v>45694</v>
      </c>
      <c r="B34" s="7" t="s">
        <v>10</v>
      </c>
      <c r="C34" s="7"/>
      <c r="D34" s="5">
        <v>2500</v>
      </c>
    </row>
    <row r="35" spans="1:4" ht="15.75">
      <c r="A35" s="3">
        <v>45695</v>
      </c>
      <c r="B35" s="7" t="s">
        <v>91</v>
      </c>
      <c r="C35" s="7"/>
      <c r="D35" s="5">
        <v>450000</v>
      </c>
    </row>
    <row r="36" spans="1:4" ht="15.75">
      <c r="A36" s="1">
        <v>45695</v>
      </c>
      <c r="B36" t="s">
        <v>92</v>
      </c>
      <c r="D36" s="2">
        <v>240000</v>
      </c>
    </row>
    <row r="37" spans="1:4" ht="15.75">
      <c r="A37" s="1">
        <v>45695</v>
      </c>
      <c r="B37" t="s">
        <v>93</v>
      </c>
      <c r="D37" s="2">
        <v>2500000</v>
      </c>
    </row>
    <row r="38" spans="1:4" ht="15.75">
      <c r="A38" s="27">
        <v>45695</v>
      </c>
      <c r="B38" s="28" t="s">
        <v>94</v>
      </c>
      <c r="C38" s="29"/>
      <c r="D38" s="18">
        <v>33569999</v>
      </c>
    </row>
    <row r="39" spans="1:4" ht="15.75">
      <c r="A39" s="3">
        <v>45695</v>
      </c>
      <c r="B39" s="4" t="s">
        <v>95</v>
      </c>
      <c r="D39" s="2">
        <v>6860000</v>
      </c>
    </row>
    <row r="40" spans="1:4" ht="15.75">
      <c r="A40" s="3">
        <v>45695</v>
      </c>
      <c r="B40" s="7" t="s">
        <v>96</v>
      </c>
      <c r="C40" s="7"/>
      <c r="D40" s="5">
        <v>30400000</v>
      </c>
    </row>
    <row r="41" spans="1:4" ht="15.75">
      <c r="A41" s="3">
        <v>45695</v>
      </c>
      <c r="B41" s="7" t="s">
        <v>10</v>
      </c>
      <c r="C41" s="5"/>
      <c r="D41" s="5">
        <v>2500</v>
      </c>
    </row>
    <row r="42" spans="1:4" ht="15.75">
      <c r="A42" s="3">
        <v>45695</v>
      </c>
      <c r="B42" s="7" t="s">
        <v>97</v>
      </c>
      <c r="C42" s="5"/>
      <c r="D42" s="5">
        <v>35400000</v>
      </c>
    </row>
    <row r="43" spans="1:4" ht="15.75">
      <c r="A43" s="3">
        <v>45695</v>
      </c>
      <c r="B43" s="7" t="s">
        <v>10</v>
      </c>
      <c r="C43" s="7"/>
      <c r="D43" s="5">
        <v>2500</v>
      </c>
    </row>
    <row r="44" spans="1:4" ht="15.75">
      <c r="A44" s="3">
        <v>45695</v>
      </c>
      <c r="B44" s="26" t="s">
        <v>98</v>
      </c>
      <c r="C44" s="5"/>
      <c r="D44" s="5">
        <v>50000000</v>
      </c>
    </row>
    <row r="45" spans="1:4" ht="15.75">
      <c r="A45" s="3">
        <v>45696</v>
      </c>
      <c r="B45" s="7" t="s">
        <v>6</v>
      </c>
      <c r="D45" s="2">
        <v>10000000</v>
      </c>
    </row>
    <row r="46" spans="1:4" ht="15.75">
      <c r="A46" s="1">
        <v>45699</v>
      </c>
      <c r="B46" s="7" t="s">
        <v>99</v>
      </c>
      <c r="C46" s="2"/>
      <c r="D46" s="2">
        <v>500000</v>
      </c>
    </row>
    <row r="47" spans="1:4" ht="15.75">
      <c r="A47" s="1">
        <v>45700</v>
      </c>
      <c r="B47" s="7" t="s">
        <v>6</v>
      </c>
      <c r="D47" s="2">
        <v>15000000</v>
      </c>
    </row>
    <row r="48" spans="1:4" ht="15.75">
      <c r="A48" s="3">
        <v>45700</v>
      </c>
      <c r="B48" s="7" t="s">
        <v>100</v>
      </c>
      <c r="D48" s="2">
        <v>99248</v>
      </c>
    </row>
    <row r="49" spans="1:4" ht="15.75">
      <c r="A49" s="1">
        <v>45700</v>
      </c>
      <c r="B49" s="7" t="s">
        <v>101</v>
      </c>
      <c r="C49" s="5"/>
      <c r="D49" s="5">
        <v>165533331</v>
      </c>
    </row>
    <row r="50" spans="1:4" ht="15.75">
      <c r="A50" s="1">
        <v>45700</v>
      </c>
      <c r="B50" s="7" t="s">
        <v>102</v>
      </c>
      <c r="D50" s="2">
        <v>47372836</v>
      </c>
    </row>
    <row r="51" spans="1:4" ht="15.75">
      <c r="A51" s="1">
        <v>45700</v>
      </c>
      <c r="B51" s="7" t="s">
        <v>103</v>
      </c>
      <c r="D51" s="2">
        <v>13890961</v>
      </c>
    </row>
    <row r="52" spans="1:4" ht="15.75">
      <c r="A52" s="1">
        <v>45701</v>
      </c>
      <c r="B52" s="7" t="s">
        <v>104</v>
      </c>
      <c r="D52" s="2">
        <v>30380000</v>
      </c>
    </row>
    <row r="53" spans="1:4" ht="15.75">
      <c r="A53" s="3">
        <v>45702</v>
      </c>
      <c r="B53" s="7" t="s">
        <v>105</v>
      </c>
      <c r="C53" s="5"/>
      <c r="D53" s="5">
        <v>550000</v>
      </c>
    </row>
    <row r="54" spans="1:4" ht="15.75">
      <c r="A54" s="1">
        <v>45703</v>
      </c>
      <c r="B54" s="31" t="s">
        <v>106</v>
      </c>
      <c r="D54" s="32">
        <v>1306423</v>
      </c>
    </row>
    <row r="55" spans="1:4" ht="15.75">
      <c r="A55" s="1">
        <v>45705</v>
      </c>
      <c r="B55" s="7" t="s">
        <v>6</v>
      </c>
      <c r="C55" s="5"/>
      <c r="D55" s="5">
        <v>20000000</v>
      </c>
    </row>
    <row r="56" spans="1:4" ht="15.75">
      <c r="A56" s="1">
        <v>45705</v>
      </c>
      <c r="B56" s="7" t="s">
        <v>107</v>
      </c>
      <c r="D56" s="2">
        <v>5000000</v>
      </c>
    </row>
    <row r="57" spans="1:4" ht="15.75">
      <c r="A57" s="3">
        <v>45705</v>
      </c>
      <c r="B57" s="7" t="s">
        <v>108</v>
      </c>
      <c r="C57" s="5"/>
      <c r="D57" s="5">
        <v>50000</v>
      </c>
    </row>
    <row r="58" spans="1:4" ht="15.75">
      <c r="A58" s="1">
        <v>45707</v>
      </c>
      <c r="B58" s="30" t="s">
        <v>109</v>
      </c>
      <c r="D58" s="2">
        <v>5629999</v>
      </c>
    </row>
    <row r="59" spans="1:4" ht="15.75">
      <c r="A59" s="1">
        <v>45707</v>
      </c>
      <c r="B59" s="7" t="s">
        <v>110</v>
      </c>
      <c r="D59" s="18">
        <f>20684684+2275315</f>
        <v>22959999</v>
      </c>
    </row>
    <row r="60" spans="1:4" ht="15.75">
      <c r="A60" s="3">
        <v>45707</v>
      </c>
      <c r="B60" s="7" t="s">
        <v>111</v>
      </c>
      <c r="D60" s="18">
        <f>7297297+802702</f>
        <v>8099999</v>
      </c>
    </row>
    <row r="61" spans="1:4" ht="15.75">
      <c r="A61" s="1">
        <v>45708</v>
      </c>
      <c r="B61" s="7" t="s">
        <v>6</v>
      </c>
      <c r="C61" s="5"/>
      <c r="D61" s="5">
        <v>20000000</v>
      </c>
    </row>
    <row r="62" spans="1:4" ht="15.75">
      <c r="A62" s="1">
        <v>45708</v>
      </c>
      <c r="B62" s="7" t="s">
        <v>112</v>
      </c>
      <c r="C62" s="5"/>
      <c r="D62" s="5">
        <v>15650000</v>
      </c>
    </row>
    <row r="63" spans="1:4" ht="15.75">
      <c r="A63" s="1">
        <v>45708</v>
      </c>
      <c r="B63" s="7" t="s">
        <v>10</v>
      </c>
      <c r="D63" s="2">
        <v>2500</v>
      </c>
    </row>
    <row r="64" spans="1:4" ht="15.75">
      <c r="A64" s="1">
        <v>45708</v>
      </c>
      <c r="B64" s="7" t="s">
        <v>113</v>
      </c>
      <c r="D64" s="2">
        <v>37500000</v>
      </c>
    </row>
    <row r="65" spans="1:4" ht="15.75">
      <c r="A65" s="1">
        <v>45708</v>
      </c>
      <c r="B65" s="7" t="s">
        <v>10</v>
      </c>
      <c r="D65" s="2">
        <v>2500</v>
      </c>
    </row>
    <row r="66" spans="1:4" ht="15.75">
      <c r="A66" s="1">
        <v>45708</v>
      </c>
      <c r="B66" s="7" t="s">
        <v>114</v>
      </c>
      <c r="D66" s="2">
        <v>18860000</v>
      </c>
    </row>
    <row r="67" spans="1:4" ht="15.75">
      <c r="A67" s="1">
        <v>45708</v>
      </c>
      <c r="B67" s="7" t="s">
        <v>10</v>
      </c>
      <c r="C67" s="5"/>
      <c r="D67" s="5">
        <v>2500</v>
      </c>
    </row>
    <row r="68" spans="1:4" ht="15.75">
      <c r="A68" s="1">
        <v>45708</v>
      </c>
      <c r="B68" s="7" t="s">
        <v>115</v>
      </c>
      <c r="C68" s="5"/>
      <c r="D68" s="5">
        <v>26296000</v>
      </c>
    </row>
    <row r="69" spans="1:4" ht="15.75">
      <c r="A69" s="1">
        <v>45708</v>
      </c>
      <c r="B69" s="7" t="s">
        <v>10</v>
      </c>
      <c r="C69" s="5"/>
      <c r="D69" s="5">
        <v>2500</v>
      </c>
    </row>
    <row r="70" spans="1:4" ht="15.75">
      <c r="A70" s="1">
        <v>45708</v>
      </c>
      <c r="B70" s="7" t="s">
        <v>116</v>
      </c>
      <c r="C70" s="5"/>
      <c r="D70" s="5">
        <v>9687500</v>
      </c>
    </row>
    <row r="71" spans="1:4" ht="15.75">
      <c r="A71" s="1">
        <v>45708</v>
      </c>
      <c r="B71" t="s">
        <v>10</v>
      </c>
      <c r="D71" s="18">
        <v>2500</v>
      </c>
    </row>
    <row r="72" spans="1:4" ht="15.75">
      <c r="A72" s="1">
        <v>45708</v>
      </c>
      <c r="B72" t="s">
        <v>117</v>
      </c>
      <c r="D72" s="18">
        <v>34000000</v>
      </c>
    </row>
    <row r="73" spans="1:4" ht="15.75">
      <c r="A73" s="1">
        <v>45708</v>
      </c>
      <c r="B73" s="7" t="s">
        <v>118</v>
      </c>
      <c r="D73" s="2">
        <v>2000000</v>
      </c>
    </row>
    <row r="74" spans="1:4" ht="15.75">
      <c r="A74" s="6">
        <v>45708</v>
      </c>
      <c r="B74" s="7" t="s">
        <v>89</v>
      </c>
      <c r="D74" s="2">
        <v>2500</v>
      </c>
    </row>
    <row r="75" spans="1:4" ht="15.75">
      <c r="A75" s="1">
        <v>45709</v>
      </c>
      <c r="B75" s="7" t="s">
        <v>119</v>
      </c>
      <c r="C75" s="5"/>
      <c r="D75" s="5">
        <v>10000000</v>
      </c>
    </row>
    <row r="76" spans="1:4" ht="15.75">
      <c r="A76" s="1">
        <v>45709</v>
      </c>
      <c r="B76" t="s">
        <v>120</v>
      </c>
      <c r="D76" s="2">
        <v>3330000</v>
      </c>
    </row>
    <row r="77" spans="1:4" ht="15.75">
      <c r="A77" s="1">
        <v>45710</v>
      </c>
      <c r="B77" s="7" t="s">
        <v>6</v>
      </c>
      <c r="C77" s="5"/>
      <c r="D77" s="5">
        <v>15000000</v>
      </c>
    </row>
    <row r="78" spans="1:4" ht="15.75">
      <c r="A78" s="6">
        <v>45713</v>
      </c>
      <c r="B78" t="s">
        <v>121</v>
      </c>
      <c r="C78" s="2"/>
      <c r="D78" s="2">
        <f>783*17700</f>
        <v>13859100</v>
      </c>
    </row>
    <row r="79" spans="1:4" ht="15.75">
      <c r="A79" s="6">
        <v>45713</v>
      </c>
      <c r="B79" t="s">
        <v>10</v>
      </c>
      <c r="C79" s="2"/>
      <c r="D79" s="2">
        <v>2500</v>
      </c>
    </row>
    <row r="80" spans="1:4" ht="15.75">
      <c r="A80" s="1">
        <v>45713</v>
      </c>
      <c r="B80" t="s">
        <v>54</v>
      </c>
      <c r="D80" s="2">
        <v>5790720</v>
      </c>
    </row>
    <row r="81" spans="1:4" ht="15.75">
      <c r="A81" s="1">
        <v>45713</v>
      </c>
      <c r="B81" s="7" t="s">
        <v>122</v>
      </c>
      <c r="D81" s="2">
        <v>10400000</v>
      </c>
    </row>
    <row r="82" spans="1:4" ht="15.75">
      <c r="A82" s="1">
        <v>45713</v>
      </c>
      <c r="B82" s="7" t="s">
        <v>123</v>
      </c>
      <c r="D82" s="2">
        <v>1300000</v>
      </c>
    </row>
    <row r="83" spans="1:4" ht="15.75">
      <c r="A83" s="6">
        <v>45715</v>
      </c>
      <c r="B83" s="7" t="s">
        <v>105</v>
      </c>
      <c r="C83" s="2"/>
      <c r="D83" s="2">
        <v>8060000</v>
      </c>
    </row>
    <row r="84" spans="1:4" ht="15.75">
      <c r="A84" s="6">
        <v>45715</v>
      </c>
      <c r="B84" s="7" t="s">
        <v>124</v>
      </c>
      <c r="D84" s="2">
        <v>1350000</v>
      </c>
    </row>
    <row r="85" spans="1:4" ht="15.75">
      <c r="A85" s="1">
        <v>45715</v>
      </c>
      <c r="B85" s="7" t="s">
        <v>125</v>
      </c>
      <c r="D85" s="2">
        <v>1000000</v>
      </c>
    </row>
    <row r="86" spans="1:4" ht="15.75">
      <c r="A86" s="1">
        <v>45715</v>
      </c>
      <c r="B86" s="7" t="s">
        <v>10</v>
      </c>
      <c r="C86" s="5"/>
      <c r="D86" s="5">
        <v>2500</v>
      </c>
    </row>
    <row r="87" spans="1:4" ht="15.75">
      <c r="A87" s="1">
        <v>45716</v>
      </c>
      <c r="B87" s="7" t="s">
        <v>126</v>
      </c>
      <c r="D87" s="2">
        <v>36000000</v>
      </c>
    </row>
    <row r="88" spans="1:4" ht="15.75">
      <c r="A88" s="1">
        <v>45716</v>
      </c>
      <c r="B88" s="7" t="s">
        <v>10</v>
      </c>
      <c r="D88" s="2">
        <v>2500</v>
      </c>
    </row>
    <row r="89" spans="1:4" ht="15.75">
      <c r="A89" s="1">
        <v>45716</v>
      </c>
      <c r="B89" t="s">
        <v>127</v>
      </c>
      <c r="D89" s="2">
        <v>82500000</v>
      </c>
    </row>
    <row r="90" spans="1:4" ht="15.75">
      <c r="A90" s="6">
        <v>45716</v>
      </c>
      <c r="B90" s="7" t="s">
        <v>10</v>
      </c>
      <c r="C90" s="5"/>
      <c r="D90" s="5">
        <v>2500</v>
      </c>
    </row>
    <row r="91" spans="1:4" ht="15.75">
      <c r="A91" s="6">
        <v>45716</v>
      </c>
      <c r="B91" s="7" t="s">
        <v>128</v>
      </c>
      <c r="C91" s="5"/>
      <c r="D91" s="5">
        <v>35000000</v>
      </c>
    </row>
    <row r="92" spans="1:4" ht="15.75">
      <c r="A92" s="6">
        <v>45716</v>
      </c>
      <c r="B92" s="7" t="s">
        <v>10</v>
      </c>
      <c r="C92" s="2"/>
      <c r="D92" s="2">
        <v>2500</v>
      </c>
    </row>
    <row r="93" spans="1:4" ht="15.75">
      <c r="A93" s="6">
        <v>45716</v>
      </c>
      <c r="B93" s="7" t="s">
        <v>129</v>
      </c>
      <c r="C93" s="2"/>
      <c r="D93" s="2">
        <v>35000000</v>
      </c>
    </row>
    <row r="94" spans="1:4" ht="15.75">
      <c r="A94" s="6">
        <v>45716</v>
      </c>
      <c r="B94" s="7" t="s">
        <v>10</v>
      </c>
      <c r="C94" s="5"/>
      <c r="D94" s="5">
        <v>2500</v>
      </c>
    </row>
    <row r="95" spans="1:4" ht="15.75">
      <c r="A95" s="6">
        <v>45716</v>
      </c>
      <c r="B95" s="7" t="s">
        <v>130</v>
      </c>
      <c r="D95" s="2">
        <v>5540000</v>
      </c>
    </row>
    <row r="96" spans="1:4" ht="15.75">
      <c r="A96" s="6">
        <v>45716</v>
      </c>
      <c r="B96" s="7" t="s">
        <v>131</v>
      </c>
      <c r="D96" s="2">
        <v>4090000</v>
      </c>
    </row>
    <row r="97" spans="1:4" ht="15.75">
      <c r="A97" s="6">
        <v>45716</v>
      </c>
      <c r="B97" s="7" t="s">
        <v>132</v>
      </c>
      <c r="C97" s="5"/>
      <c r="D97" s="5">
        <v>5100000</v>
      </c>
    </row>
    <row r="98" spans="1:4" ht="15.75">
      <c r="A98" s="6">
        <v>45716</v>
      </c>
      <c r="B98" s="7" t="s">
        <v>70</v>
      </c>
      <c r="C98" s="19"/>
      <c r="D98" s="19">
        <v>16616.580000000002</v>
      </c>
    </row>
    <row r="99" spans="1:4" ht="15.75">
      <c r="A99" s="6">
        <v>45716</v>
      </c>
      <c r="B99" s="7" t="s">
        <v>133</v>
      </c>
      <c r="C99" s="8"/>
      <c r="D99" s="33">
        <v>30000</v>
      </c>
    </row>
    <row r="100" spans="1:4" ht="15.75">
      <c r="B100" s="7"/>
      <c r="D100" s="2"/>
    </row>
    <row r="101" spans="1:4" ht="15.75">
      <c r="A101" s="1"/>
      <c r="D101" s="2"/>
    </row>
    <row r="102" spans="1:4" ht="15.75">
      <c r="B102" s="7"/>
      <c r="C102" s="5"/>
      <c r="D102" s="5"/>
    </row>
    <row r="103" spans="1:4" ht="15.75">
      <c r="B103" s="7"/>
      <c r="C103" s="19"/>
      <c r="D103" s="19">
        <f>SUM(D5:D102)</f>
        <v>1075629975.5799999</v>
      </c>
    </row>
    <row r="104" spans="1:4" ht="15.75">
      <c r="C104" s="8"/>
      <c r="D104" s="8">
        <v>1075629975.5799999</v>
      </c>
    </row>
    <row r="105" spans="1:4" ht="15.75">
      <c r="A105" s="6"/>
      <c r="B105" s="7"/>
      <c r="C105" s="5"/>
      <c r="D105" s="5"/>
    </row>
    <row r="106" spans="1:4" ht="15.75"/>
    <row r="107" spans="1:4" ht="15.75"/>
    <row r="108" spans="1:4" ht="15.75"/>
    <row r="109" spans="1:4" ht="15.75"/>
    <row r="110" spans="1:4" ht="15.75"/>
    <row r="111" spans="1:4" ht="15.75"/>
    <row r="112" spans="1:4" ht="15.75"/>
    <row r="113" ht="15.75"/>
    <row r="114" ht="15.75"/>
    <row r="115" ht="15.75"/>
    <row r="116" ht="15.75"/>
    <row r="117" ht="15.75"/>
    <row r="118" ht="15.75"/>
    <row r="119" ht="15.75"/>
    <row r="120" ht="15.75"/>
    <row r="121" ht="15.75"/>
    <row r="122" ht="15.75"/>
    <row r="123" ht="15.75"/>
    <row r="124" ht="15.75"/>
    <row r="125" ht="15.75"/>
    <row r="126" ht="15.75"/>
    <row r="127" ht="15.75"/>
    <row r="128" ht="15.75"/>
    <row r="129" ht="15.75"/>
    <row r="130" ht="15.75"/>
    <row r="131" ht="15.75"/>
    <row r="132" ht="15.75"/>
    <row r="133" ht="15.75"/>
    <row r="134" ht="15.75"/>
    <row r="135" ht="15.75"/>
    <row r="136" ht="15.75"/>
    <row r="137" ht="15.75"/>
    <row r="138" ht="15.75"/>
    <row r="139" ht="15.75"/>
    <row r="140" ht="15.75"/>
    <row r="141" ht="15.75"/>
    <row r="142" ht="15.75"/>
    <row r="143" ht="15.75"/>
    <row r="144" ht="15.75"/>
    <row r="145" ht="15.7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14915-5271-A940-8529-25FD9B51330C}">
  <dimension ref="A1:D217"/>
  <sheetViews>
    <sheetView workbookViewId="0">
      <selection activeCell="A4" sqref="A4"/>
    </sheetView>
  </sheetViews>
  <sheetFormatPr defaultColWidth="11" defaultRowHeight="15.95"/>
  <cols>
    <col min="2" max="2" width="33.125" customWidth="1"/>
    <col min="3" max="3" width="17.625" customWidth="1"/>
    <col min="4" max="4" width="24.875" customWidth="1"/>
  </cols>
  <sheetData>
    <row r="1" spans="1:4">
      <c r="A1" t="s">
        <v>134</v>
      </c>
    </row>
    <row r="3" spans="1:4">
      <c r="A3" t="s">
        <v>2</v>
      </c>
    </row>
    <row r="4" spans="1:4" ht="15.75">
      <c r="A4" s="1">
        <v>45717</v>
      </c>
      <c r="B4" t="s">
        <v>6</v>
      </c>
      <c r="C4" s="2"/>
      <c r="D4" s="2">
        <v>10000000</v>
      </c>
    </row>
    <row r="5" spans="1:4" ht="15.75">
      <c r="A5" s="1">
        <v>45717</v>
      </c>
      <c r="B5" t="s">
        <v>119</v>
      </c>
      <c r="C5" s="2"/>
      <c r="D5" s="2">
        <v>5000000</v>
      </c>
    </row>
    <row r="6" spans="1:4" ht="15.75">
      <c r="A6" s="1">
        <v>45717</v>
      </c>
      <c r="B6" t="s">
        <v>135</v>
      </c>
      <c r="C6" s="2"/>
      <c r="D6" s="2">
        <v>12000000</v>
      </c>
    </row>
    <row r="7" spans="1:4" ht="15.75">
      <c r="A7" s="1">
        <v>45717</v>
      </c>
      <c r="B7" t="s">
        <v>136</v>
      </c>
      <c r="C7" s="2"/>
      <c r="D7" s="2">
        <v>6700000</v>
      </c>
    </row>
    <row r="8" spans="1:4" ht="15.75">
      <c r="A8" s="1">
        <v>45717</v>
      </c>
      <c r="B8" t="s">
        <v>137</v>
      </c>
      <c r="C8" s="2"/>
      <c r="D8" s="2">
        <v>5692000</v>
      </c>
    </row>
    <row r="9" spans="1:4" ht="15.75">
      <c r="A9" s="1">
        <v>45717</v>
      </c>
      <c r="B9" t="s">
        <v>138</v>
      </c>
      <c r="C9" s="2"/>
      <c r="D9" s="2">
        <v>1500000</v>
      </c>
    </row>
    <row r="10" spans="1:4" ht="15.75">
      <c r="A10" s="1">
        <v>45717</v>
      </c>
      <c r="B10" t="s">
        <v>10</v>
      </c>
      <c r="C10" s="2"/>
      <c r="D10" s="2">
        <v>2500</v>
      </c>
    </row>
    <row r="11" spans="1:4" ht="15.75">
      <c r="A11" s="1">
        <v>45717</v>
      </c>
      <c r="B11" t="s">
        <v>136</v>
      </c>
      <c r="C11" s="2"/>
      <c r="D11" s="2">
        <v>500000</v>
      </c>
    </row>
    <row r="12" spans="1:4" ht="15.75">
      <c r="A12" s="1">
        <v>45717</v>
      </c>
      <c r="B12" t="s">
        <v>139</v>
      </c>
      <c r="C12" s="2"/>
      <c r="D12" s="2">
        <v>150000</v>
      </c>
    </row>
    <row r="13" spans="1:4" ht="15.75">
      <c r="A13" s="1">
        <v>45718</v>
      </c>
      <c r="B13" t="s">
        <v>140</v>
      </c>
      <c r="C13" s="2"/>
      <c r="D13" s="2">
        <v>600000</v>
      </c>
    </row>
    <row r="14" spans="1:4" ht="15.75">
      <c r="A14" s="1">
        <v>45719</v>
      </c>
      <c r="B14" t="s">
        <v>6</v>
      </c>
      <c r="C14" s="2"/>
      <c r="D14" s="2">
        <v>10000000</v>
      </c>
    </row>
    <row r="15" spans="1:4" ht="15.75">
      <c r="A15" s="1">
        <v>45719</v>
      </c>
      <c r="B15" s="7" t="s">
        <v>141</v>
      </c>
      <c r="C15" s="2"/>
      <c r="D15" s="2">
        <v>1073600</v>
      </c>
    </row>
    <row r="16" spans="1:4" ht="15.75">
      <c r="A16" s="1">
        <v>45719</v>
      </c>
      <c r="B16" t="s">
        <v>142</v>
      </c>
      <c r="C16" s="2"/>
      <c r="D16" s="2">
        <v>128205</v>
      </c>
    </row>
    <row r="17" spans="1:4" ht="15.75">
      <c r="A17" s="1">
        <v>45719</v>
      </c>
      <c r="B17" t="s">
        <v>143</v>
      </c>
      <c r="C17" s="2"/>
      <c r="D17" s="2">
        <v>639</v>
      </c>
    </row>
    <row r="18" spans="1:4" ht="15.75">
      <c r="A18" s="1">
        <v>45719</v>
      </c>
      <c r="B18" t="s">
        <v>144</v>
      </c>
      <c r="C18" s="2"/>
      <c r="D18" s="2">
        <v>2252</v>
      </c>
    </row>
    <row r="19" spans="1:4" ht="15.75">
      <c r="A19" s="1">
        <v>45719</v>
      </c>
      <c r="B19" t="s">
        <v>145</v>
      </c>
      <c r="C19" s="2"/>
      <c r="D19" s="2">
        <v>2594</v>
      </c>
    </row>
    <row r="20" spans="1:4" ht="15.75">
      <c r="A20" s="1">
        <v>45719</v>
      </c>
      <c r="B20" t="s">
        <v>146</v>
      </c>
      <c r="C20" s="2"/>
      <c r="D20" s="2">
        <v>900</v>
      </c>
    </row>
    <row r="21" spans="1:4" ht="15.75">
      <c r="A21" s="1">
        <v>45719</v>
      </c>
      <c r="B21" t="s">
        <v>147</v>
      </c>
      <c r="C21" s="2"/>
      <c r="D21" s="2">
        <v>4504</v>
      </c>
    </row>
    <row r="22" spans="1:4" ht="15.75">
      <c r="A22" s="1">
        <v>45719</v>
      </c>
      <c r="B22" t="s">
        <v>148</v>
      </c>
      <c r="C22" s="2"/>
      <c r="D22" s="2">
        <v>1985</v>
      </c>
    </row>
    <row r="23" spans="1:4" ht="15.75">
      <c r="A23" s="1">
        <v>45719</v>
      </c>
      <c r="B23" t="s">
        <v>141</v>
      </c>
      <c r="C23" s="2"/>
      <c r="D23" s="2">
        <v>72000</v>
      </c>
    </row>
    <row r="24" spans="1:4" ht="15.75">
      <c r="A24" s="1">
        <v>45719</v>
      </c>
      <c r="B24" s="7" t="s">
        <v>149</v>
      </c>
      <c r="C24" s="5"/>
      <c r="D24" s="34">
        <v>102000001</v>
      </c>
    </row>
    <row r="25" spans="1:4" ht="15.75">
      <c r="A25" s="1">
        <v>45719</v>
      </c>
      <c r="B25" s="7" t="s">
        <v>150</v>
      </c>
      <c r="C25" s="5"/>
      <c r="D25" s="5">
        <v>10500000</v>
      </c>
    </row>
    <row r="26" spans="1:4" ht="15.75">
      <c r="A26" s="1">
        <v>45719</v>
      </c>
      <c r="B26" t="s">
        <v>151</v>
      </c>
      <c r="C26" s="2"/>
      <c r="D26" s="2">
        <v>3928500</v>
      </c>
    </row>
    <row r="27" spans="1:4" ht="15.75">
      <c r="A27" s="1">
        <v>45719</v>
      </c>
      <c r="B27" t="s">
        <v>152</v>
      </c>
      <c r="C27" s="2"/>
      <c r="D27" s="2">
        <v>5000000</v>
      </c>
    </row>
    <row r="28" spans="1:4" ht="15.75">
      <c r="A28" s="3">
        <v>45719</v>
      </c>
      <c r="B28" s="7" t="s">
        <v>153</v>
      </c>
      <c r="C28" s="5"/>
      <c r="D28" s="5">
        <v>72500000</v>
      </c>
    </row>
    <row r="29" spans="1:4" ht="15.75">
      <c r="A29" s="3">
        <v>45719</v>
      </c>
      <c r="B29" s="7" t="s">
        <v>10</v>
      </c>
      <c r="C29" s="5"/>
      <c r="D29" s="5">
        <v>2500</v>
      </c>
    </row>
    <row r="30" spans="1:4" ht="15.75">
      <c r="A30" s="3">
        <v>45719</v>
      </c>
      <c r="B30" s="7" t="s">
        <v>154</v>
      </c>
      <c r="C30" s="5"/>
      <c r="D30" s="5">
        <v>36000000</v>
      </c>
    </row>
    <row r="31" spans="1:4" ht="15.75">
      <c r="A31" s="3">
        <v>45719</v>
      </c>
      <c r="B31" s="7" t="s">
        <v>10</v>
      </c>
      <c r="C31" s="5"/>
      <c r="D31" s="5">
        <v>2500</v>
      </c>
    </row>
    <row r="32" spans="1:4" ht="15.75">
      <c r="A32" s="1">
        <v>45720</v>
      </c>
      <c r="B32" s="7" t="s">
        <v>155</v>
      </c>
      <c r="C32" s="2"/>
      <c r="D32" s="2">
        <v>5790720</v>
      </c>
    </row>
    <row r="33" spans="1:4" ht="15.75">
      <c r="A33" s="1">
        <v>45720</v>
      </c>
      <c r="B33" t="s">
        <v>156</v>
      </c>
      <c r="C33" s="2"/>
      <c r="D33" s="5">
        <v>2043494</v>
      </c>
    </row>
    <row r="34" spans="1:4" ht="15.75">
      <c r="A34" s="1">
        <v>45720</v>
      </c>
      <c r="B34" t="s">
        <v>157</v>
      </c>
      <c r="C34" s="2"/>
      <c r="D34" s="2">
        <v>363750</v>
      </c>
    </row>
    <row r="35" spans="1:4" ht="15.75">
      <c r="A35" s="1">
        <v>45721</v>
      </c>
      <c r="B35" t="s">
        <v>6</v>
      </c>
      <c r="C35" s="2"/>
      <c r="D35" s="2">
        <v>15000000</v>
      </c>
    </row>
    <row r="36" spans="1:4" ht="15.75">
      <c r="A36" s="1">
        <v>45722</v>
      </c>
      <c r="B36" t="s">
        <v>158</v>
      </c>
      <c r="D36" s="2">
        <v>63000000</v>
      </c>
    </row>
    <row r="37" spans="1:4" ht="15.75">
      <c r="A37" s="1">
        <v>45722</v>
      </c>
      <c r="B37" t="s">
        <v>10</v>
      </c>
      <c r="D37" s="2">
        <v>2500</v>
      </c>
    </row>
    <row r="38" spans="1:4" ht="15.75">
      <c r="A38" s="1">
        <v>45722</v>
      </c>
      <c r="B38" t="s">
        <v>159</v>
      </c>
      <c r="D38" s="2">
        <v>51200000</v>
      </c>
    </row>
    <row r="39" spans="1:4" ht="15.75">
      <c r="A39" s="1">
        <v>45722</v>
      </c>
      <c r="B39" t="s">
        <v>10</v>
      </c>
      <c r="C39" s="2"/>
      <c r="D39" s="2">
        <v>2500</v>
      </c>
    </row>
    <row r="40" spans="1:4" ht="15.75">
      <c r="A40" s="1">
        <v>45722</v>
      </c>
      <c r="B40" t="s">
        <v>160</v>
      </c>
      <c r="D40" s="2">
        <v>55500000</v>
      </c>
    </row>
    <row r="41" spans="1:4" ht="15.75">
      <c r="A41" s="1">
        <v>45722</v>
      </c>
      <c r="B41" s="7" t="s">
        <v>10</v>
      </c>
      <c r="C41" s="5"/>
      <c r="D41" s="5">
        <v>2500</v>
      </c>
    </row>
    <row r="42" spans="1:4" ht="15.75">
      <c r="A42" s="1">
        <v>45722</v>
      </c>
      <c r="B42" t="s">
        <v>161</v>
      </c>
      <c r="C42" s="2"/>
      <c r="D42" s="2">
        <v>7200000</v>
      </c>
    </row>
    <row r="43" spans="1:4" ht="15.75">
      <c r="A43" s="1">
        <v>45722</v>
      </c>
      <c r="B43" t="s">
        <v>10</v>
      </c>
      <c r="C43" s="2"/>
      <c r="D43" s="5">
        <v>2500</v>
      </c>
    </row>
    <row r="44" spans="1:4" ht="15.75">
      <c r="A44" s="1">
        <v>45722</v>
      </c>
      <c r="B44" t="s">
        <v>162</v>
      </c>
      <c r="C44" s="2"/>
      <c r="D44" s="5">
        <v>27000000</v>
      </c>
    </row>
    <row r="45" spans="1:4" ht="15.75">
      <c r="A45" s="1">
        <v>45722</v>
      </c>
      <c r="B45" t="s">
        <v>10</v>
      </c>
      <c r="D45" s="2">
        <v>6500</v>
      </c>
    </row>
    <row r="46" spans="1:4" ht="15.75">
      <c r="A46" s="1">
        <v>45722</v>
      </c>
      <c r="B46" s="7" t="s">
        <v>163</v>
      </c>
      <c r="C46" s="5"/>
      <c r="D46" s="5">
        <v>47372836</v>
      </c>
    </row>
    <row r="47" spans="1:4" ht="15.75">
      <c r="A47" s="1">
        <v>45722</v>
      </c>
      <c r="B47" t="s">
        <v>164</v>
      </c>
      <c r="C47" s="2"/>
      <c r="D47" s="5">
        <v>82325031</v>
      </c>
    </row>
    <row r="48" spans="1:4" ht="15.75">
      <c r="A48" s="3">
        <v>45723</v>
      </c>
      <c r="B48" s="7" t="s">
        <v>165</v>
      </c>
      <c r="C48" s="5"/>
      <c r="D48" s="5">
        <v>8000000</v>
      </c>
    </row>
    <row r="49" spans="1:4" ht="15.75">
      <c r="A49" s="3">
        <v>45724</v>
      </c>
      <c r="B49" s="7" t="s">
        <v>166</v>
      </c>
      <c r="C49" s="5"/>
      <c r="D49" s="5">
        <v>10000000</v>
      </c>
    </row>
    <row r="50" spans="1:4" ht="15.75">
      <c r="A50" s="3">
        <v>45724</v>
      </c>
      <c r="B50" s="7" t="s">
        <v>167</v>
      </c>
      <c r="C50" s="5"/>
      <c r="D50" s="5">
        <v>13020000</v>
      </c>
    </row>
    <row r="51" spans="1:4" ht="15.75">
      <c r="A51" s="3">
        <v>45724</v>
      </c>
      <c r="B51" s="7" t="s">
        <v>168</v>
      </c>
      <c r="C51" s="5"/>
      <c r="D51" s="5">
        <v>71500000</v>
      </c>
    </row>
    <row r="52" spans="1:4" ht="15.75">
      <c r="A52" s="3">
        <v>45724</v>
      </c>
      <c r="B52" s="7" t="s">
        <v>10</v>
      </c>
      <c r="C52" s="5"/>
      <c r="D52" s="5">
        <v>2500</v>
      </c>
    </row>
    <row r="53" spans="1:4" ht="15.75">
      <c r="A53" s="3">
        <v>39515</v>
      </c>
      <c r="B53" s="7" t="s">
        <v>169</v>
      </c>
      <c r="C53" s="5"/>
      <c r="D53" s="5">
        <v>54400000</v>
      </c>
    </row>
    <row r="54" spans="1:4" ht="15.75">
      <c r="A54" s="3">
        <v>45724</v>
      </c>
      <c r="B54" s="7" t="s">
        <v>10</v>
      </c>
      <c r="C54" s="5"/>
      <c r="D54" s="5">
        <v>2500</v>
      </c>
    </row>
    <row r="55" spans="1:4" ht="15.75">
      <c r="A55" s="3">
        <v>45724</v>
      </c>
      <c r="B55" s="7" t="s">
        <v>170</v>
      </c>
      <c r="C55" s="5"/>
      <c r="D55" s="5">
        <v>97500000</v>
      </c>
    </row>
    <row r="56" spans="1:4" ht="15.75">
      <c r="A56" s="3">
        <v>45724</v>
      </c>
      <c r="B56" s="7" t="s">
        <v>10</v>
      </c>
      <c r="C56" s="5"/>
      <c r="D56" s="5">
        <v>2500</v>
      </c>
    </row>
    <row r="57" spans="1:4" ht="15.75">
      <c r="A57" s="3">
        <v>45727</v>
      </c>
      <c r="B57" s="4" t="s">
        <v>171</v>
      </c>
      <c r="C57" s="5"/>
      <c r="D57" s="5">
        <v>5772000</v>
      </c>
    </row>
    <row r="58" spans="1:4" ht="15.75">
      <c r="A58" s="3">
        <v>45727</v>
      </c>
      <c r="B58" s="7" t="s">
        <v>10</v>
      </c>
      <c r="C58" s="5"/>
      <c r="D58" s="5">
        <v>2500</v>
      </c>
    </row>
    <row r="59" spans="1:4" ht="15.75">
      <c r="A59" s="3">
        <v>45727</v>
      </c>
      <c r="B59" s="7" t="s">
        <v>172</v>
      </c>
      <c r="C59" s="5"/>
      <c r="D59" s="5">
        <v>295000</v>
      </c>
    </row>
    <row r="60" spans="1:4" ht="15.75">
      <c r="A60" s="3">
        <v>45727</v>
      </c>
      <c r="B60" s="7" t="s">
        <v>10</v>
      </c>
      <c r="C60" s="5"/>
      <c r="D60" s="5">
        <v>2500</v>
      </c>
    </row>
    <row r="61" spans="1:4" ht="15.75">
      <c r="A61" s="3">
        <v>45727</v>
      </c>
      <c r="B61" s="7" t="s">
        <v>173</v>
      </c>
      <c r="C61" s="5"/>
      <c r="D61" s="5">
        <v>52500000</v>
      </c>
    </row>
    <row r="62" spans="1:4" ht="15.75">
      <c r="A62" s="3">
        <v>45727</v>
      </c>
      <c r="B62" s="7" t="s">
        <v>10</v>
      </c>
      <c r="C62" s="5"/>
      <c r="D62" s="5">
        <v>2500</v>
      </c>
    </row>
    <row r="63" spans="1:4" ht="15.75">
      <c r="A63" s="3">
        <v>45727</v>
      </c>
      <c r="B63" s="7" t="s">
        <v>174</v>
      </c>
      <c r="C63" s="5"/>
      <c r="D63" s="5">
        <v>77000000</v>
      </c>
    </row>
    <row r="64" spans="1:4" ht="15.75">
      <c r="A64" s="3">
        <v>45727</v>
      </c>
      <c r="B64" s="7" t="s">
        <v>10</v>
      </c>
      <c r="C64" s="5"/>
      <c r="D64" s="5">
        <v>2500</v>
      </c>
    </row>
    <row r="65" spans="1:4" ht="15.75">
      <c r="A65" s="3">
        <v>45727</v>
      </c>
      <c r="B65" s="7" t="s">
        <v>175</v>
      </c>
      <c r="C65" s="5"/>
      <c r="D65" s="5">
        <v>13500000</v>
      </c>
    </row>
    <row r="66" spans="1:4" ht="15.75">
      <c r="A66" s="3">
        <v>45727</v>
      </c>
      <c r="B66" s="7" t="s">
        <v>10</v>
      </c>
      <c r="C66" s="5"/>
      <c r="D66" s="5">
        <v>2500</v>
      </c>
    </row>
    <row r="67" spans="1:4" ht="15.75">
      <c r="A67" s="3">
        <v>45727</v>
      </c>
      <c r="B67" s="7" t="s">
        <v>176</v>
      </c>
      <c r="C67" s="5"/>
      <c r="D67" s="5">
        <v>14400000</v>
      </c>
    </row>
    <row r="68" spans="1:4" ht="15.75">
      <c r="A68" s="3">
        <v>45727</v>
      </c>
      <c r="B68" s="7" t="s">
        <v>10</v>
      </c>
      <c r="C68" s="5"/>
      <c r="D68" s="5">
        <v>2500</v>
      </c>
    </row>
    <row r="69" spans="1:4" ht="15.75">
      <c r="A69" s="3">
        <v>45727</v>
      </c>
      <c r="B69" s="7" t="s">
        <v>177</v>
      </c>
      <c r="C69" s="5"/>
      <c r="D69" s="5">
        <v>25000000</v>
      </c>
    </row>
    <row r="70" spans="1:4" ht="15.75">
      <c r="A70" s="3">
        <v>45727</v>
      </c>
      <c r="B70" s="7" t="s">
        <v>10</v>
      </c>
      <c r="C70" s="5"/>
      <c r="D70" s="5">
        <v>2500</v>
      </c>
    </row>
    <row r="71" spans="1:4" ht="15.75">
      <c r="A71" s="3">
        <v>45729</v>
      </c>
      <c r="B71" s="7" t="s">
        <v>178</v>
      </c>
      <c r="C71" s="5"/>
      <c r="D71" s="5">
        <v>182500</v>
      </c>
    </row>
    <row r="72" spans="1:4" ht="15.75">
      <c r="A72" s="3">
        <v>45730</v>
      </c>
      <c r="B72" s="7" t="s">
        <v>179</v>
      </c>
      <c r="C72" s="5"/>
      <c r="D72" s="5">
        <v>66937726</v>
      </c>
    </row>
    <row r="73" spans="1:4" ht="15.75">
      <c r="A73" s="3">
        <v>45730</v>
      </c>
      <c r="B73" s="29" t="s">
        <v>180</v>
      </c>
      <c r="D73" s="2">
        <v>136000002</v>
      </c>
    </row>
    <row r="74" spans="1:4" ht="15.75">
      <c r="A74" s="3">
        <v>45730</v>
      </c>
      <c r="B74" s="7" t="s">
        <v>181</v>
      </c>
      <c r="D74" s="2">
        <v>988340</v>
      </c>
    </row>
    <row r="75" spans="1:4" ht="15.75">
      <c r="A75" s="3">
        <v>45730</v>
      </c>
      <c r="B75" s="7" t="s">
        <v>10</v>
      </c>
      <c r="C75" s="5"/>
      <c r="D75" s="5">
        <v>2500</v>
      </c>
    </row>
    <row r="76" spans="1:4" ht="15.75">
      <c r="A76" s="3">
        <v>45730</v>
      </c>
      <c r="B76" s="7" t="s">
        <v>182</v>
      </c>
      <c r="C76" s="5"/>
      <c r="D76" s="5">
        <v>500000</v>
      </c>
    </row>
    <row r="77" spans="1:4" ht="15.75">
      <c r="A77" s="3">
        <v>45731</v>
      </c>
      <c r="B77" t="s">
        <v>183</v>
      </c>
      <c r="D77" s="2">
        <v>30000000</v>
      </c>
    </row>
    <row r="78" spans="1:4" ht="15.75">
      <c r="A78" s="1">
        <v>45703</v>
      </c>
      <c r="B78" t="s">
        <v>10</v>
      </c>
      <c r="C78" s="2"/>
      <c r="D78" s="2">
        <v>2500</v>
      </c>
    </row>
    <row r="79" spans="1:4" ht="15.75">
      <c r="A79" s="1">
        <v>45733</v>
      </c>
      <c r="B79" s="7" t="s">
        <v>184</v>
      </c>
      <c r="C79" s="5"/>
      <c r="D79" s="5">
        <v>50000000</v>
      </c>
    </row>
    <row r="80" spans="1:4" ht="15.75">
      <c r="A80" s="1">
        <v>45733</v>
      </c>
      <c r="B80" s="7" t="s">
        <v>6</v>
      </c>
      <c r="C80" s="2"/>
      <c r="D80" s="2">
        <v>300000000</v>
      </c>
    </row>
    <row r="81" spans="1:4" ht="15.75">
      <c r="A81" s="3">
        <v>45734</v>
      </c>
      <c r="B81" t="s">
        <v>185</v>
      </c>
      <c r="D81">
        <f>45945946+5054054</f>
        <v>51000000</v>
      </c>
    </row>
    <row r="82" spans="1:4" ht="15.75">
      <c r="A82" s="3">
        <v>45735</v>
      </c>
      <c r="B82" s="7" t="s">
        <v>19</v>
      </c>
      <c r="C82" s="5"/>
      <c r="D82" s="5">
        <v>1750000</v>
      </c>
    </row>
    <row r="83" spans="1:4" ht="15.75">
      <c r="A83" s="3">
        <v>45736</v>
      </c>
      <c r="B83" s="7" t="s">
        <v>186</v>
      </c>
      <c r="C83" s="5"/>
      <c r="D83" s="5">
        <v>470000</v>
      </c>
    </row>
    <row r="84" spans="1:4" ht="15.75">
      <c r="A84" s="3">
        <v>45736</v>
      </c>
      <c r="B84" s="7" t="s">
        <v>187</v>
      </c>
      <c r="C84" s="5"/>
      <c r="D84" s="5">
        <v>4000000</v>
      </c>
    </row>
    <row r="85" spans="1:4" ht="15.75">
      <c r="A85" s="3">
        <v>45736</v>
      </c>
      <c r="B85" s="7" t="s">
        <v>188</v>
      </c>
      <c r="C85" s="5"/>
      <c r="D85" s="5">
        <v>2415384</v>
      </c>
    </row>
    <row r="86" spans="1:4" ht="15.75">
      <c r="A86" s="3">
        <v>45736</v>
      </c>
      <c r="B86" s="7" t="s">
        <v>189</v>
      </c>
      <c r="C86" s="5"/>
      <c r="D86" s="5">
        <v>25000000</v>
      </c>
    </row>
    <row r="87" spans="1:4" ht="15.75">
      <c r="A87" s="3">
        <v>45736</v>
      </c>
      <c r="B87" s="7" t="s">
        <v>190</v>
      </c>
      <c r="C87" s="5"/>
      <c r="D87" s="5">
        <v>1372280</v>
      </c>
    </row>
    <row r="88" spans="1:4" ht="15.75">
      <c r="A88" s="3">
        <v>45738</v>
      </c>
      <c r="B88" s="20" t="s">
        <v>191</v>
      </c>
      <c r="C88" s="21"/>
      <c r="D88" s="21">
        <v>2000000</v>
      </c>
    </row>
    <row r="89" spans="1:4" ht="15.75">
      <c r="A89" s="3">
        <v>45738</v>
      </c>
      <c r="B89" s="35" t="s">
        <v>192</v>
      </c>
      <c r="C89" s="36"/>
      <c r="D89" s="36">
        <v>4500000</v>
      </c>
    </row>
    <row r="90" spans="1:4" ht="15.75">
      <c r="A90" s="3">
        <v>45738</v>
      </c>
      <c r="B90" s="35" t="s">
        <v>193</v>
      </c>
      <c r="C90" s="36"/>
      <c r="D90" s="36">
        <v>4400000</v>
      </c>
    </row>
    <row r="91" spans="1:4" ht="15.75">
      <c r="A91" s="3">
        <v>45738</v>
      </c>
      <c r="B91" s="35" t="s">
        <v>194</v>
      </c>
      <c r="C91" s="36"/>
      <c r="D91" s="36">
        <v>4600000</v>
      </c>
    </row>
    <row r="92" spans="1:4" ht="15.75">
      <c r="A92" s="3">
        <v>45738</v>
      </c>
      <c r="B92" s="37" t="s">
        <v>195</v>
      </c>
      <c r="C92" s="35"/>
      <c r="D92" s="36">
        <v>4500000</v>
      </c>
    </row>
    <row r="93" spans="1:4" ht="15.75">
      <c r="A93" s="3">
        <v>45738</v>
      </c>
      <c r="B93" s="37" t="s">
        <v>196</v>
      </c>
      <c r="C93" s="36"/>
      <c r="D93" s="36">
        <v>4600000</v>
      </c>
    </row>
    <row r="94" spans="1:4" ht="15.75">
      <c r="A94" s="3">
        <v>45738</v>
      </c>
      <c r="B94" s="37" t="s">
        <v>197</v>
      </c>
      <c r="C94" s="36"/>
      <c r="D94" s="36">
        <v>4500000</v>
      </c>
    </row>
    <row r="95" spans="1:4" ht="15.75">
      <c r="A95" s="3">
        <v>45738</v>
      </c>
      <c r="B95" s="37" t="s">
        <v>198</v>
      </c>
      <c r="C95" s="36"/>
      <c r="D95" s="36">
        <v>5200000</v>
      </c>
    </row>
    <row r="96" spans="1:4" ht="15.75">
      <c r="A96" s="3">
        <v>45738</v>
      </c>
      <c r="B96" s="37" t="s">
        <v>199</v>
      </c>
      <c r="C96" s="36"/>
      <c r="D96" s="36">
        <v>4700000</v>
      </c>
    </row>
    <row r="97" spans="1:4" ht="15.75">
      <c r="A97" s="3">
        <v>45738</v>
      </c>
      <c r="B97" s="37" t="s">
        <v>200</v>
      </c>
      <c r="C97" s="36"/>
      <c r="D97" s="36">
        <v>3900000</v>
      </c>
    </row>
    <row r="98" spans="1:4" ht="15.75">
      <c r="A98" s="3">
        <v>45738</v>
      </c>
      <c r="B98" s="37" t="s">
        <v>201</v>
      </c>
      <c r="C98" s="36"/>
      <c r="D98" s="36">
        <v>2300000</v>
      </c>
    </row>
    <row r="99" spans="1:4" ht="15.75">
      <c r="A99" s="3">
        <v>45738</v>
      </c>
      <c r="B99" s="37" t="s">
        <v>202</v>
      </c>
      <c r="C99" s="36"/>
      <c r="D99" s="36">
        <v>3000000</v>
      </c>
    </row>
    <row r="100" spans="1:4" ht="15.75">
      <c r="A100" s="3">
        <v>45738</v>
      </c>
      <c r="B100" s="37" t="s">
        <v>203</v>
      </c>
      <c r="C100" s="36"/>
      <c r="D100" s="36">
        <v>2000000</v>
      </c>
    </row>
    <row r="101" spans="1:4" ht="15.75">
      <c r="A101" s="3">
        <v>45738</v>
      </c>
      <c r="B101" s="37" t="s">
        <v>10</v>
      </c>
      <c r="C101" s="36"/>
      <c r="D101" s="36">
        <v>2500</v>
      </c>
    </row>
    <row r="102" spans="1:4" ht="15.75">
      <c r="A102" s="3">
        <v>45738</v>
      </c>
      <c r="B102" s="37" t="s">
        <v>204</v>
      </c>
      <c r="C102" s="36"/>
      <c r="D102" s="36">
        <v>300000</v>
      </c>
    </row>
    <row r="103" spans="1:4" ht="15.75">
      <c r="A103" s="3">
        <v>45738</v>
      </c>
      <c r="B103" s="37" t="s">
        <v>205</v>
      </c>
      <c r="C103" s="36"/>
      <c r="D103" s="36">
        <v>2200000</v>
      </c>
    </row>
    <row r="104" spans="1:4" ht="15.75">
      <c r="A104" s="3">
        <v>45738</v>
      </c>
      <c r="B104" s="37" t="s">
        <v>206</v>
      </c>
      <c r="C104" s="36"/>
      <c r="D104" s="36">
        <v>1700000</v>
      </c>
    </row>
    <row r="105" spans="1:4" ht="15.75">
      <c r="A105" s="3">
        <v>45738</v>
      </c>
      <c r="B105" s="37" t="s">
        <v>206</v>
      </c>
      <c r="C105" s="35"/>
      <c r="D105" s="36">
        <v>1700000</v>
      </c>
    </row>
    <row r="106" spans="1:4" ht="15.75">
      <c r="A106" s="3">
        <v>45738</v>
      </c>
      <c r="B106" s="37" t="s">
        <v>10</v>
      </c>
      <c r="C106" s="36"/>
      <c r="D106" s="36">
        <v>2500</v>
      </c>
    </row>
    <row r="107" spans="1:4" ht="15.75">
      <c r="A107" s="3">
        <v>45738</v>
      </c>
      <c r="B107" s="37" t="s">
        <v>206</v>
      </c>
      <c r="C107" s="36"/>
      <c r="D107" s="36">
        <v>1700000</v>
      </c>
    </row>
    <row r="108" spans="1:4" ht="15.75">
      <c r="A108" s="3">
        <v>45738</v>
      </c>
      <c r="B108" s="37" t="s">
        <v>206</v>
      </c>
      <c r="C108" s="36"/>
      <c r="D108" s="36">
        <v>1200000</v>
      </c>
    </row>
    <row r="109" spans="1:4" ht="15.75">
      <c r="A109" s="3">
        <v>45738</v>
      </c>
      <c r="B109" s="37" t="s">
        <v>10</v>
      </c>
      <c r="C109" s="36"/>
      <c r="D109" s="36">
        <v>2500</v>
      </c>
    </row>
    <row r="110" spans="1:4" ht="15.75">
      <c r="A110" s="3">
        <v>45738</v>
      </c>
      <c r="B110" s="37" t="s">
        <v>206</v>
      </c>
      <c r="C110" s="36"/>
      <c r="D110" s="36">
        <v>1200000</v>
      </c>
    </row>
    <row r="111" spans="1:4" ht="15.75">
      <c r="A111" s="3">
        <v>45738</v>
      </c>
      <c r="B111" s="37" t="s">
        <v>206</v>
      </c>
      <c r="C111" s="36"/>
      <c r="D111" s="36">
        <v>1200000</v>
      </c>
    </row>
    <row r="112" spans="1:4" ht="15.75">
      <c r="A112" s="3">
        <v>45738</v>
      </c>
      <c r="B112" s="37" t="s">
        <v>206</v>
      </c>
      <c r="C112" s="36"/>
      <c r="D112" s="36">
        <v>1200000</v>
      </c>
    </row>
    <row r="113" spans="1:4" ht="15.75">
      <c r="A113" s="3">
        <v>45738</v>
      </c>
      <c r="B113" s="37" t="s">
        <v>206</v>
      </c>
      <c r="C113" s="36"/>
      <c r="D113" s="36">
        <v>1200000</v>
      </c>
    </row>
    <row r="114" spans="1:4" ht="15.75">
      <c r="A114" s="3">
        <v>45738</v>
      </c>
      <c r="B114" s="37" t="s">
        <v>10</v>
      </c>
      <c r="C114" s="36"/>
      <c r="D114" s="36">
        <v>2500</v>
      </c>
    </row>
    <row r="115" spans="1:4" ht="15.75">
      <c r="A115" s="3">
        <v>45738</v>
      </c>
      <c r="B115" s="37" t="s">
        <v>207</v>
      </c>
      <c r="C115" s="36"/>
      <c r="D115" s="36">
        <v>1200000</v>
      </c>
    </row>
    <row r="116" spans="1:4" ht="15.75">
      <c r="A116" s="3">
        <v>45738</v>
      </c>
      <c r="B116" s="37" t="s">
        <v>207</v>
      </c>
      <c r="C116" s="35"/>
      <c r="D116" s="36">
        <v>1200000</v>
      </c>
    </row>
    <row r="117" spans="1:4" ht="15.75">
      <c r="A117" s="3">
        <v>45739</v>
      </c>
      <c r="B117" s="23" t="s">
        <v>208</v>
      </c>
      <c r="C117" s="21"/>
      <c r="D117" s="21">
        <v>5000000</v>
      </c>
    </row>
    <row r="118" spans="1:4" ht="15.75">
      <c r="A118" s="3">
        <v>45740</v>
      </c>
      <c r="B118" t="s">
        <v>209</v>
      </c>
      <c r="C118" s="5"/>
      <c r="D118" s="5">
        <v>1000000</v>
      </c>
    </row>
    <row r="119" spans="1:4" ht="15.75">
      <c r="A119" s="3">
        <v>45740</v>
      </c>
      <c r="B119" s="4" t="s">
        <v>210</v>
      </c>
      <c r="C119" s="5"/>
      <c r="D119" s="5">
        <v>30000000</v>
      </c>
    </row>
    <row r="120" spans="1:4" ht="15.75">
      <c r="A120" s="3">
        <v>45740</v>
      </c>
      <c r="B120" s="7" t="s">
        <v>211</v>
      </c>
      <c r="C120" s="5"/>
      <c r="D120" s="5">
        <v>476800</v>
      </c>
    </row>
    <row r="121" spans="1:4" ht="15.75">
      <c r="A121" s="3">
        <v>45740</v>
      </c>
      <c r="B121" s="7" t="s">
        <v>10</v>
      </c>
      <c r="C121" s="5"/>
      <c r="D121" s="5">
        <v>2500</v>
      </c>
    </row>
    <row r="122" spans="1:4" ht="15.75">
      <c r="A122" s="3">
        <v>45740</v>
      </c>
      <c r="B122" s="4" t="s">
        <v>212</v>
      </c>
      <c r="C122" s="7"/>
      <c r="D122" s="5">
        <v>34029000</v>
      </c>
    </row>
    <row r="123" spans="1:4" ht="15.75">
      <c r="A123" s="3">
        <v>45740</v>
      </c>
      <c r="B123" s="7" t="s">
        <v>10</v>
      </c>
      <c r="C123" s="5"/>
      <c r="D123" s="5">
        <v>2500</v>
      </c>
    </row>
    <row r="124" spans="1:4" ht="15.75">
      <c r="A124" s="3">
        <v>45740</v>
      </c>
      <c r="B124" s="4" t="s">
        <v>213</v>
      </c>
      <c r="C124" s="5"/>
      <c r="D124" s="5">
        <v>34825000</v>
      </c>
    </row>
    <row r="125" spans="1:4" ht="15.75">
      <c r="A125" s="3">
        <v>45740</v>
      </c>
      <c r="B125" s="7" t="s">
        <v>10</v>
      </c>
      <c r="C125" s="5"/>
      <c r="D125" s="5">
        <v>2500</v>
      </c>
    </row>
    <row r="126" spans="1:4" ht="15.75">
      <c r="A126" s="3">
        <v>45740</v>
      </c>
      <c r="B126" s="7" t="s">
        <v>214</v>
      </c>
      <c r="C126" s="5"/>
      <c r="D126" s="5">
        <v>15650000</v>
      </c>
    </row>
    <row r="127" spans="1:4" ht="15.75">
      <c r="A127" s="3">
        <v>45740</v>
      </c>
      <c r="B127" t="s">
        <v>10</v>
      </c>
      <c r="C127" s="5"/>
      <c r="D127" s="5">
        <v>2500</v>
      </c>
    </row>
    <row r="128" spans="1:4" ht="15.75">
      <c r="A128" s="3">
        <v>45740</v>
      </c>
      <c r="B128" t="s">
        <v>215</v>
      </c>
      <c r="C128" s="5"/>
      <c r="D128" s="5">
        <v>20000000</v>
      </c>
    </row>
    <row r="129" spans="1:4" ht="15.75">
      <c r="A129" s="3">
        <v>45740</v>
      </c>
      <c r="B129" t="s">
        <v>10</v>
      </c>
      <c r="C129" s="5"/>
      <c r="D129" s="5">
        <v>2500</v>
      </c>
    </row>
    <row r="130" spans="1:4" ht="15.75">
      <c r="A130" s="3">
        <v>45740</v>
      </c>
      <c r="B130" t="s">
        <v>216</v>
      </c>
      <c r="C130" s="5"/>
      <c r="D130" s="5">
        <v>3250000</v>
      </c>
    </row>
    <row r="131" spans="1:4" ht="15.75">
      <c r="A131" s="3">
        <v>45740</v>
      </c>
      <c r="B131" s="4" t="s">
        <v>217</v>
      </c>
      <c r="C131" s="5"/>
      <c r="D131" s="5">
        <v>62614615</v>
      </c>
    </row>
    <row r="132" spans="1:4" ht="15.75">
      <c r="A132" s="3">
        <v>45740</v>
      </c>
      <c r="B132" s="7" t="s">
        <v>218</v>
      </c>
      <c r="C132" s="5"/>
      <c r="D132" s="5">
        <v>881600</v>
      </c>
    </row>
    <row r="133" spans="1:4" ht="15.75">
      <c r="A133" s="3">
        <v>45740</v>
      </c>
      <c r="B133" s="7" t="s">
        <v>10</v>
      </c>
      <c r="C133" s="5"/>
      <c r="D133" s="5">
        <v>2500</v>
      </c>
    </row>
    <row r="134" spans="1:4" ht="15.75">
      <c r="A134" s="3">
        <v>45740</v>
      </c>
      <c r="B134" s="7" t="s">
        <v>219</v>
      </c>
      <c r="C134" s="7"/>
      <c r="D134" s="5">
        <v>3000000</v>
      </c>
    </row>
    <row r="135" spans="1:4" ht="15.75">
      <c r="A135" s="3">
        <v>45740</v>
      </c>
      <c r="B135" s="7" t="s">
        <v>220</v>
      </c>
      <c r="C135" s="5"/>
      <c r="D135" s="5">
        <v>3000000</v>
      </c>
    </row>
    <row r="136" spans="1:4" ht="15.75">
      <c r="A136" s="3">
        <v>45740</v>
      </c>
      <c r="B136" s="29" t="s">
        <v>221</v>
      </c>
      <c r="D136" s="2">
        <v>136000002</v>
      </c>
    </row>
    <row r="137" spans="1:4" ht="15.75">
      <c r="A137" s="3">
        <v>45741</v>
      </c>
      <c r="B137" s="7" t="s">
        <v>222</v>
      </c>
      <c r="C137" s="7"/>
      <c r="D137" s="5">
        <v>255419833</v>
      </c>
    </row>
    <row r="138" spans="1:4" ht="15.75">
      <c r="A138" s="3">
        <v>45742</v>
      </c>
      <c r="B138" s="4" t="s">
        <v>223</v>
      </c>
      <c r="C138" s="7"/>
      <c r="D138" s="5">
        <v>2250000</v>
      </c>
    </row>
    <row r="139" spans="1:4" ht="15.75">
      <c r="A139" s="3">
        <v>45742</v>
      </c>
      <c r="B139" s="37" t="s">
        <v>224</v>
      </c>
      <c r="C139" s="38"/>
      <c r="D139" s="38">
        <v>2165000</v>
      </c>
    </row>
    <row r="140" spans="1:4" ht="15.75">
      <c r="A140" s="3">
        <v>45742</v>
      </c>
      <c r="B140" s="37" t="s">
        <v>225</v>
      </c>
      <c r="C140" s="37"/>
      <c r="D140" s="38">
        <v>2420000</v>
      </c>
    </row>
    <row r="141" spans="1:4" ht="15.75">
      <c r="A141" s="3">
        <v>45742</v>
      </c>
      <c r="B141" s="37" t="s">
        <v>226</v>
      </c>
      <c r="C141" s="37"/>
      <c r="D141" s="38">
        <v>500000</v>
      </c>
    </row>
    <row r="142" spans="1:4" ht="15.75">
      <c r="A142" s="3">
        <v>45742</v>
      </c>
      <c r="B142" s="7" t="s">
        <v>227</v>
      </c>
      <c r="C142" s="5"/>
      <c r="D142" s="5">
        <v>1984000</v>
      </c>
    </row>
    <row r="143" spans="1:4" ht="15.75">
      <c r="A143" s="3">
        <v>45742</v>
      </c>
      <c r="B143" s="35" t="s">
        <v>228</v>
      </c>
      <c r="C143" s="38"/>
      <c r="D143" s="38">
        <v>1855000</v>
      </c>
    </row>
    <row r="144" spans="1:4" ht="15.75">
      <c r="A144" s="3">
        <v>45742</v>
      </c>
      <c r="B144" s="35" t="s">
        <v>229</v>
      </c>
      <c r="C144" s="38"/>
      <c r="D144" s="38">
        <v>2000000</v>
      </c>
    </row>
    <row r="145" spans="1:4" ht="15.75">
      <c r="A145" s="3">
        <v>45742</v>
      </c>
      <c r="B145" s="35" t="s">
        <v>230</v>
      </c>
      <c r="C145" s="36"/>
      <c r="D145" s="36">
        <v>1895000</v>
      </c>
    </row>
    <row r="146" spans="1:4" ht="15.75">
      <c r="A146" s="3">
        <v>45742</v>
      </c>
      <c r="B146" s="35" t="s">
        <v>231</v>
      </c>
      <c r="C146" s="37"/>
      <c r="D146" s="38">
        <v>3025000</v>
      </c>
    </row>
    <row r="147" spans="1:4" ht="15.75">
      <c r="A147" s="3">
        <v>45742</v>
      </c>
      <c r="B147" s="35" t="s">
        <v>232</v>
      </c>
      <c r="C147" s="37"/>
      <c r="D147" s="38">
        <v>4023000</v>
      </c>
    </row>
    <row r="148" spans="1:4" ht="15.75">
      <c r="A148" s="3">
        <v>45742</v>
      </c>
      <c r="B148" s="35" t="s">
        <v>233</v>
      </c>
      <c r="C148" s="36"/>
      <c r="D148" s="36">
        <v>653000</v>
      </c>
    </row>
    <row r="149" spans="1:4" ht="15.75">
      <c r="A149" s="3">
        <v>45742</v>
      </c>
      <c r="B149" s="35" t="s">
        <v>234</v>
      </c>
      <c r="C149" s="38"/>
      <c r="D149" s="38">
        <v>545000</v>
      </c>
    </row>
    <row r="150" spans="1:4" ht="15.75">
      <c r="A150" s="3">
        <v>45742</v>
      </c>
      <c r="B150" s="35" t="s">
        <v>235</v>
      </c>
      <c r="C150" s="38"/>
      <c r="D150" s="38">
        <v>1525000</v>
      </c>
    </row>
    <row r="151" spans="1:4" ht="15.75">
      <c r="A151" s="1">
        <v>45743</v>
      </c>
      <c r="B151" s="35" t="s">
        <v>236</v>
      </c>
      <c r="C151" s="38"/>
      <c r="D151" s="38">
        <v>2055000</v>
      </c>
    </row>
    <row r="152" spans="1:4" ht="15.75">
      <c r="A152" s="3">
        <v>45742</v>
      </c>
      <c r="B152" s="35" t="s">
        <v>237</v>
      </c>
      <c r="C152" s="38"/>
      <c r="D152" s="38">
        <v>1767000</v>
      </c>
    </row>
    <row r="153" spans="1:4" ht="15.75">
      <c r="A153" s="3">
        <v>45742</v>
      </c>
      <c r="B153" s="35" t="s">
        <v>238</v>
      </c>
      <c r="C153" s="38"/>
      <c r="D153" s="38">
        <v>855000</v>
      </c>
    </row>
    <row r="154" spans="1:4" ht="15.75">
      <c r="A154" s="3">
        <v>45742</v>
      </c>
      <c r="B154" s="20" t="s">
        <v>239</v>
      </c>
      <c r="C154" s="22"/>
      <c r="D154" s="22">
        <v>5426000</v>
      </c>
    </row>
    <row r="155" spans="1:4" ht="15.75">
      <c r="A155" s="1">
        <v>45743</v>
      </c>
      <c r="B155" s="20" t="s">
        <v>240</v>
      </c>
      <c r="C155" s="23"/>
      <c r="D155" s="22">
        <v>5800000</v>
      </c>
    </row>
    <row r="156" spans="1:4" ht="15.75">
      <c r="A156" s="3">
        <v>45742</v>
      </c>
      <c r="B156" s="20" t="s">
        <v>241</v>
      </c>
      <c r="C156" s="23"/>
      <c r="D156" s="22">
        <v>4460000</v>
      </c>
    </row>
    <row r="157" spans="1:4" ht="15.75">
      <c r="A157" s="1">
        <v>45743</v>
      </c>
      <c r="B157" s="20" t="s">
        <v>242</v>
      </c>
      <c r="C157" s="21"/>
      <c r="D157" s="21">
        <v>5100000</v>
      </c>
    </row>
    <row r="158" spans="1:4" ht="15.75">
      <c r="A158" s="1">
        <v>45743</v>
      </c>
      <c r="B158" s="20" t="s">
        <v>243</v>
      </c>
      <c r="C158" s="21"/>
      <c r="D158" s="21">
        <v>35000000</v>
      </c>
    </row>
    <row r="159" spans="1:4" ht="15.75">
      <c r="A159" s="1">
        <v>45743</v>
      </c>
      <c r="B159" s="20" t="s">
        <v>10</v>
      </c>
      <c r="C159" s="22"/>
      <c r="D159" s="22">
        <v>2500</v>
      </c>
    </row>
    <row r="160" spans="1:4" ht="15.75">
      <c r="A160" s="1">
        <v>45743</v>
      </c>
      <c r="B160" s="20" t="s">
        <v>244</v>
      </c>
      <c r="C160" s="22"/>
      <c r="D160" s="22">
        <v>35000000</v>
      </c>
    </row>
    <row r="161" spans="1:4" ht="15.75">
      <c r="A161" s="1">
        <v>45743</v>
      </c>
      <c r="B161" s="20" t="s">
        <v>10</v>
      </c>
      <c r="C161" s="21"/>
      <c r="D161" s="21">
        <v>2500</v>
      </c>
    </row>
    <row r="162" spans="1:4" ht="15.75">
      <c r="A162" s="1">
        <v>45743</v>
      </c>
      <c r="B162" t="s">
        <v>245</v>
      </c>
      <c r="C162" s="2"/>
      <c r="D162" s="2">
        <f>33000*166</f>
        <v>5478000</v>
      </c>
    </row>
    <row r="163" spans="1:4" ht="15.75">
      <c r="A163" s="1">
        <v>45743</v>
      </c>
      <c r="B163" t="s">
        <v>10</v>
      </c>
      <c r="C163" s="5"/>
      <c r="D163" s="5">
        <v>2500</v>
      </c>
    </row>
    <row r="164" spans="1:4" ht="15.75">
      <c r="A164" s="1">
        <v>45744</v>
      </c>
      <c r="B164" s="20" t="s">
        <v>246</v>
      </c>
      <c r="C164" s="2"/>
      <c r="D164" s="2">
        <v>1000000</v>
      </c>
    </row>
    <row r="165" spans="1:4" ht="15.75">
      <c r="A165" s="1">
        <v>45744</v>
      </c>
      <c r="B165" s="20" t="s">
        <v>247</v>
      </c>
      <c r="C165" s="2"/>
      <c r="D165" s="2">
        <v>250000</v>
      </c>
    </row>
    <row r="166" spans="1:4" ht="15.75">
      <c r="A166" s="1">
        <v>45745</v>
      </c>
      <c r="B166" t="s">
        <v>107</v>
      </c>
      <c r="C166" s="2"/>
      <c r="D166" s="2">
        <v>10000000</v>
      </c>
    </row>
    <row r="167" spans="1:4" ht="15.75">
      <c r="A167" s="1">
        <v>45745</v>
      </c>
      <c r="B167" s="23" t="s">
        <v>248</v>
      </c>
      <c r="C167" s="21"/>
      <c r="D167" s="21">
        <v>150000</v>
      </c>
    </row>
    <row r="168" spans="1:4" ht="15.75">
      <c r="A168" s="1">
        <v>45745</v>
      </c>
      <c r="B168" s="35" t="s">
        <v>249</v>
      </c>
      <c r="C168" s="36"/>
      <c r="D168" s="36">
        <v>100000</v>
      </c>
    </row>
    <row r="169" spans="1:4" ht="15.75">
      <c r="A169" s="1">
        <v>45746</v>
      </c>
      <c r="B169" s="4" t="s">
        <v>250</v>
      </c>
      <c r="C169" s="2"/>
      <c r="D169" s="2">
        <v>1000000</v>
      </c>
    </row>
    <row r="170" spans="1:4" ht="15.75">
      <c r="A170" s="1">
        <v>45746</v>
      </c>
      <c r="B170" s="37" t="s">
        <v>251</v>
      </c>
      <c r="C170" s="38"/>
      <c r="D170" s="38">
        <v>100000</v>
      </c>
    </row>
    <row r="171" spans="1:4" ht="15.75">
      <c r="A171" s="1">
        <v>45746</v>
      </c>
      <c r="B171" s="23" t="s">
        <v>252</v>
      </c>
      <c r="C171" s="22"/>
      <c r="D171" s="22">
        <v>5030000</v>
      </c>
    </row>
    <row r="172" spans="1:4" ht="15.75">
      <c r="A172" s="1">
        <v>45747</v>
      </c>
      <c r="B172" t="s">
        <v>253</v>
      </c>
      <c r="C172" s="2"/>
      <c r="D172" s="2">
        <v>12500000</v>
      </c>
    </row>
    <row r="173" spans="1:4" ht="15.75">
      <c r="A173" s="1">
        <v>45747</v>
      </c>
      <c r="B173" t="s">
        <v>254</v>
      </c>
      <c r="C173" s="5"/>
      <c r="D173" s="5">
        <v>7200000</v>
      </c>
    </row>
    <row r="174" spans="1:4" ht="15.75">
      <c r="A174" s="1">
        <v>45747</v>
      </c>
      <c r="B174" s="7" t="s">
        <v>255</v>
      </c>
      <c r="C174" s="5"/>
      <c r="D174" s="5">
        <v>150000</v>
      </c>
    </row>
    <row r="175" spans="1:4" ht="15.75">
      <c r="A175" s="1">
        <v>45747</v>
      </c>
      <c r="B175" s="7" t="s">
        <v>256</v>
      </c>
      <c r="C175" s="5"/>
      <c r="D175" s="5">
        <v>1500000</v>
      </c>
    </row>
    <row r="176" spans="1:4" ht="15.75">
      <c r="A176" s="1">
        <v>45747</v>
      </c>
      <c r="B176" t="s">
        <v>10</v>
      </c>
      <c r="C176" s="2"/>
      <c r="D176" s="2">
        <v>2500</v>
      </c>
    </row>
    <row r="177" spans="1:4" ht="15.75">
      <c r="A177" s="1">
        <v>45747</v>
      </c>
      <c r="B177" t="s">
        <v>257</v>
      </c>
      <c r="D177" s="2">
        <v>5000000</v>
      </c>
    </row>
    <row r="178" spans="1:4" ht="15.75">
      <c r="B178" t="s">
        <v>258</v>
      </c>
      <c r="D178" s="2">
        <v>30000</v>
      </c>
    </row>
    <row r="179" spans="1:4" ht="15.75">
      <c r="B179" t="s">
        <v>70</v>
      </c>
      <c r="C179" s="2"/>
      <c r="D179" s="8">
        <v>72152.22</v>
      </c>
    </row>
    <row r="180" spans="1:4" ht="15.75">
      <c r="A180" s="1"/>
      <c r="B180" s="7"/>
      <c r="C180" s="5"/>
    </row>
    <row r="181" spans="1:4" ht="15.75">
      <c r="A181" s="3"/>
      <c r="B181" s="7"/>
      <c r="C181" s="19"/>
      <c r="D181" s="8">
        <f>SUM(D4:D180)</f>
        <v>2594955245.2199998</v>
      </c>
    </row>
    <row r="182" spans="1:4" ht="15.75">
      <c r="A182" s="3"/>
      <c r="C182" s="8"/>
      <c r="D182" s="8">
        <v>2594955245.2199998</v>
      </c>
    </row>
    <row r="183" spans="1:4" ht="15.75"/>
    <row r="184" spans="1:4" ht="15.75"/>
    <row r="185" spans="1:4" ht="15.75"/>
    <row r="186" spans="1:4" ht="15.75"/>
    <row r="187" spans="1:4" ht="15.75"/>
    <row r="188" spans="1:4" ht="15.75"/>
    <row r="189" spans="1:4" ht="15.75"/>
    <row r="190" spans="1:4" ht="15.75"/>
    <row r="191" spans="1:4" ht="15.75"/>
    <row r="192" spans="1:4" ht="15.75"/>
    <row r="193" ht="15.75"/>
    <row r="194" ht="15.75"/>
    <row r="195" ht="15.75"/>
    <row r="196" ht="15.75"/>
    <row r="197" ht="15.75"/>
    <row r="198" ht="15.75"/>
    <row r="199" ht="15.75"/>
    <row r="200" ht="15.75"/>
    <row r="201" ht="15.75"/>
    <row r="202" ht="15.75"/>
    <row r="203" ht="15.75"/>
    <row r="204" ht="15.75"/>
    <row r="205" ht="15.75"/>
    <row r="206" ht="15.75"/>
    <row r="207" ht="15.75"/>
    <row r="208" ht="15.75"/>
    <row r="209" ht="15.75"/>
    <row r="210" ht="15.75"/>
    <row r="211" ht="15.75"/>
    <row r="212" ht="15.75"/>
    <row r="213" ht="15.75"/>
    <row r="214" ht="15.75"/>
    <row r="215" ht="15.75"/>
    <row r="216" ht="15.75"/>
    <row r="217" ht="15.7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C085-7538-F248-A3A2-F7F2195183D3}">
  <dimension ref="A1:D126"/>
  <sheetViews>
    <sheetView workbookViewId="0">
      <selection activeCell="A18" sqref="A18:D20"/>
    </sheetView>
  </sheetViews>
  <sheetFormatPr defaultColWidth="11" defaultRowHeight="15.95"/>
  <cols>
    <col min="2" max="2" width="33.625" customWidth="1"/>
    <col min="4" max="4" width="20.625" customWidth="1"/>
  </cols>
  <sheetData>
    <row r="1" spans="1:4">
      <c r="A1" s="39">
        <v>45748</v>
      </c>
    </row>
    <row r="3" spans="1:4">
      <c r="A3" t="s">
        <v>2</v>
      </c>
      <c r="B3" t="s">
        <v>3</v>
      </c>
      <c r="C3" t="s">
        <v>4</v>
      </c>
      <c r="D3" t="s">
        <v>5</v>
      </c>
    </row>
    <row r="4" spans="1:4">
      <c r="A4" s="1">
        <v>45753</v>
      </c>
      <c r="B4" t="s">
        <v>259</v>
      </c>
      <c r="D4" s="2">
        <v>1500000</v>
      </c>
    </row>
    <row r="5" spans="1:4">
      <c r="A5" s="1">
        <v>45754</v>
      </c>
      <c r="B5" t="s">
        <v>260</v>
      </c>
      <c r="D5" s="2">
        <v>570000</v>
      </c>
    </row>
    <row r="6" spans="1:4">
      <c r="A6" s="1">
        <v>45754</v>
      </c>
      <c r="B6" t="s">
        <v>10</v>
      </c>
      <c r="D6" s="2">
        <v>2500</v>
      </c>
    </row>
    <row r="7" spans="1:4">
      <c r="A7" s="1">
        <v>45754</v>
      </c>
      <c r="B7" s="4" t="s">
        <v>261</v>
      </c>
      <c r="D7" s="2">
        <v>2000000</v>
      </c>
    </row>
    <row r="8" spans="1:4">
      <c r="A8" s="1">
        <v>45755</v>
      </c>
      <c r="B8" t="s">
        <v>6</v>
      </c>
      <c r="C8" s="5"/>
      <c r="D8" s="5">
        <v>10000000</v>
      </c>
    </row>
    <row r="9" spans="1:4">
      <c r="A9" s="1">
        <v>45756</v>
      </c>
      <c r="B9" s="4" t="s">
        <v>262</v>
      </c>
      <c r="C9" s="5"/>
      <c r="D9" s="5">
        <v>34825000</v>
      </c>
    </row>
    <row r="10" spans="1:4">
      <c r="A10" s="1">
        <v>45756</v>
      </c>
      <c r="B10" t="s">
        <v>10</v>
      </c>
      <c r="C10" s="2"/>
      <c r="D10" s="2">
        <v>2500</v>
      </c>
    </row>
    <row r="11" spans="1:4">
      <c r="A11" s="1">
        <v>45756</v>
      </c>
      <c r="B11" t="s">
        <v>263</v>
      </c>
      <c r="D11" s="2">
        <v>44000000</v>
      </c>
    </row>
    <row r="12" spans="1:4">
      <c r="A12" s="1">
        <v>45756</v>
      </c>
      <c r="B12" t="s">
        <v>10</v>
      </c>
      <c r="D12" s="2">
        <v>2500</v>
      </c>
    </row>
    <row r="13" spans="1:4">
      <c r="A13" s="1">
        <v>45756</v>
      </c>
      <c r="B13" t="s">
        <v>264</v>
      </c>
      <c r="D13" s="2">
        <v>25300000</v>
      </c>
    </row>
    <row r="14" spans="1:4">
      <c r="A14" s="1">
        <v>45756</v>
      </c>
      <c r="B14" t="s">
        <v>10</v>
      </c>
      <c r="D14" s="2">
        <v>2500</v>
      </c>
    </row>
    <row r="15" spans="1:4">
      <c r="A15" s="1">
        <v>45756</v>
      </c>
      <c r="B15" t="s">
        <v>265</v>
      </c>
      <c r="D15" s="2">
        <v>9000000</v>
      </c>
    </row>
    <row r="16" spans="1:4">
      <c r="A16" s="1">
        <v>45756</v>
      </c>
      <c r="B16" t="s">
        <v>10</v>
      </c>
      <c r="D16" s="2">
        <v>2500</v>
      </c>
    </row>
    <row r="17" spans="1:4">
      <c r="A17" s="1">
        <v>45758</v>
      </c>
      <c r="B17" t="s">
        <v>6</v>
      </c>
      <c r="D17" s="2">
        <v>10000000</v>
      </c>
    </row>
    <row r="18" spans="1:4" ht="15.75">
      <c r="A18" s="1">
        <v>45759</v>
      </c>
      <c r="B18" t="s">
        <v>266</v>
      </c>
      <c r="D18" s="2">
        <v>111652015</v>
      </c>
    </row>
    <row r="19" spans="1:4" ht="15.75">
      <c r="A19" s="1">
        <v>45759</v>
      </c>
      <c r="B19" t="s">
        <v>267</v>
      </c>
      <c r="C19" s="2"/>
      <c r="D19" s="2">
        <v>536734</v>
      </c>
    </row>
    <row r="20" spans="1:4" ht="15.75">
      <c r="A20" s="3">
        <v>45759</v>
      </c>
      <c r="B20" s="7" t="s">
        <v>268</v>
      </c>
      <c r="C20" s="5"/>
      <c r="D20" s="2">
        <v>47372836</v>
      </c>
    </row>
    <row r="21" spans="1:4" ht="15.75">
      <c r="A21" s="1">
        <v>45759</v>
      </c>
      <c r="B21" t="s">
        <v>269</v>
      </c>
      <c r="D21" s="2">
        <v>745000</v>
      </c>
    </row>
    <row r="22" spans="1:4" ht="15.75">
      <c r="A22" s="1">
        <v>45759</v>
      </c>
      <c r="B22" s="4" t="s">
        <v>270</v>
      </c>
      <c r="D22" s="2">
        <v>502775</v>
      </c>
    </row>
    <row r="23" spans="1:4" ht="15.75">
      <c r="A23" s="1">
        <v>45759</v>
      </c>
      <c r="B23" s="4" t="s">
        <v>255</v>
      </c>
      <c r="D23" s="2">
        <v>150000</v>
      </c>
    </row>
    <row r="24" spans="1:4" ht="15.75">
      <c r="A24" s="1">
        <v>45759</v>
      </c>
      <c r="B24" s="4" t="s">
        <v>271</v>
      </c>
      <c r="D24" s="2">
        <v>500000</v>
      </c>
    </row>
    <row r="25" spans="1:4" ht="15.75">
      <c r="A25" s="1">
        <v>45759</v>
      </c>
      <c r="B25" s="4" t="s">
        <v>272</v>
      </c>
      <c r="C25" s="2"/>
      <c r="D25" s="2">
        <v>1500000</v>
      </c>
    </row>
    <row r="26" spans="1:4" ht="15.75">
      <c r="A26" s="1">
        <v>45759</v>
      </c>
      <c r="B26" t="s">
        <v>273</v>
      </c>
      <c r="D26" s="2">
        <v>440000000</v>
      </c>
    </row>
    <row r="27" spans="1:4" ht="15.75">
      <c r="A27" s="40">
        <v>45761</v>
      </c>
      <c r="B27" s="30" t="s">
        <v>274</v>
      </c>
      <c r="D27" s="2">
        <v>10000000</v>
      </c>
    </row>
    <row r="28" spans="1:4" ht="15.75">
      <c r="A28" s="40">
        <v>45761</v>
      </c>
      <c r="B28" s="30" t="s">
        <v>275</v>
      </c>
      <c r="C28" s="2"/>
      <c r="D28" s="2">
        <v>500000</v>
      </c>
    </row>
    <row r="29" spans="1:4" ht="15.75">
      <c r="A29" s="3">
        <v>45761</v>
      </c>
      <c r="B29" s="7" t="s">
        <v>6</v>
      </c>
      <c r="C29" s="5"/>
      <c r="D29" s="2">
        <v>15000000</v>
      </c>
    </row>
    <row r="30" spans="1:4" ht="15.75">
      <c r="A30" s="3">
        <v>45762</v>
      </c>
      <c r="B30" s="7" t="s">
        <v>276</v>
      </c>
      <c r="C30" s="5"/>
      <c r="D30" s="2">
        <v>5772000</v>
      </c>
    </row>
    <row r="31" spans="1:4" ht="15.75">
      <c r="A31" s="3">
        <v>45762</v>
      </c>
      <c r="B31" s="7" t="s">
        <v>10</v>
      </c>
      <c r="C31" s="5"/>
      <c r="D31" s="2">
        <v>2500</v>
      </c>
    </row>
    <row r="32" spans="1:4" ht="15.75">
      <c r="A32" s="1">
        <v>45763</v>
      </c>
      <c r="B32" s="7" t="s">
        <v>277</v>
      </c>
      <c r="D32" s="2">
        <v>2664368</v>
      </c>
    </row>
    <row r="33" spans="1:4" ht="15.75">
      <c r="A33" s="1">
        <v>45763</v>
      </c>
      <c r="B33" s="7" t="s">
        <v>278</v>
      </c>
      <c r="D33" s="2">
        <v>2592000</v>
      </c>
    </row>
    <row r="34" spans="1:4" ht="15.75">
      <c r="A34" s="1">
        <v>45763</v>
      </c>
      <c r="B34" s="7" t="s">
        <v>10</v>
      </c>
      <c r="C34" s="2"/>
      <c r="D34" s="2">
        <v>2500</v>
      </c>
    </row>
    <row r="35" spans="1:4" ht="15.75">
      <c r="A35" s="41">
        <v>45763</v>
      </c>
      <c r="B35" s="30" t="s">
        <v>279</v>
      </c>
      <c r="C35" s="5"/>
      <c r="D35" s="2">
        <v>5200000</v>
      </c>
    </row>
    <row r="36" spans="1:4" ht="15.75">
      <c r="A36" s="1">
        <v>45764</v>
      </c>
      <c r="B36" t="s">
        <v>280</v>
      </c>
      <c r="C36" s="2"/>
      <c r="D36" s="2">
        <v>20520900</v>
      </c>
    </row>
    <row r="37" spans="1:4" ht="15.75">
      <c r="A37" s="3">
        <v>45765</v>
      </c>
      <c r="B37" s="7" t="s">
        <v>119</v>
      </c>
      <c r="C37" s="5"/>
      <c r="D37" s="2">
        <v>14000000</v>
      </c>
    </row>
    <row r="38" spans="1:4" ht="15.75">
      <c r="A38" s="1">
        <v>45765</v>
      </c>
      <c r="B38" s="7" t="s">
        <v>281</v>
      </c>
      <c r="D38" s="2">
        <v>770000</v>
      </c>
    </row>
    <row r="39" spans="1:4" ht="15.75">
      <c r="A39" s="40">
        <v>45766</v>
      </c>
      <c r="B39" s="30" t="s">
        <v>282</v>
      </c>
      <c r="D39" s="2">
        <v>2000000</v>
      </c>
    </row>
    <row r="40" spans="1:4" ht="15.75">
      <c r="A40" s="1">
        <v>45766</v>
      </c>
      <c r="B40" t="s">
        <v>283</v>
      </c>
      <c r="D40" s="2">
        <v>3300000</v>
      </c>
    </row>
    <row r="41" spans="1:4" ht="15.75">
      <c r="A41" s="3">
        <v>45766</v>
      </c>
      <c r="B41" s="7" t="s">
        <v>10</v>
      </c>
      <c r="C41" s="5"/>
      <c r="D41" s="2">
        <v>2500</v>
      </c>
    </row>
    <row r="42" spans="1:4" ht="15.75">
      <c r="A42" s="3">
        <v>45766</v>
      </c>
      <c r="B42" s="7" t="s">
        <v>166</v>
      </c>
      <c r="C42" s="5"/>
      <c r="D42" s="2">
        <v>10000000</v>
      </c>
    </row>
    <row r="43" spans="1:4" ht="15.75">
      <c r="A43" s="1">
        <v>45766</v>
      </c>
      <c r="B43" s="7" t="s">
        <v>53</v>
      </c>
      <c r="C43" s="2"/>
      <c r="D43" s="2">
        <v>363750</v>
      </c>
    </row>
    <row r="44" spans="1:4" ht="15.75">
      <c r="A44" s="1">
        <v>45766</v>
      </c>
      <c r="B44" s="7" t="s">
        <v>284</v>
      </c>
      <c r="C44" s="2"/>
      <c r="D44" s="2">
        <v>2043494</v>
      </c>
    </row>
    <row r="45" spans="1:4" ht="15.75">
      <c r="A45" s="40">
        <v>45767</v>
      </c>
      <c r="B45" s="30" t="s">
        <v>285</v>
      </c>
      <c r="C45" s="2"/>
      <c r="D45" s="2">
        <v>150000</v>
      </c>
    </row>
    <row r="46" spans="1:4" ht="15.75">
      <c r="A46" s="40">
        <v>45767</v>
      </c>
      <c r="B46" s="30" t="s">
        <v>286</v>
      </c>
      <c r="C46" s="2"/>
      <c r="D46" s="2">
        <v>500000</v>
      </c>
    </row>
    <row r="47" spans="1:4" ht="15.75">
      <c r="A47" s="1">
        <v>45768</v>
      </c>
      <c r="B47" s="7" t="s">
        <v>6</v>
      </c>
      <c r="C47" s="2"/>
      <c r="D47" s="2">
        <v>400000000</v>
      </c>
    </row>
    <row r="48" spans="1:4" ht="15.75">
      <c r="A48" s="1">
        <v>45768</v>
      </c>
      <c r="B48" s="4" t="s">
        <v>287</v>
      </c>
      <c r="C48" s="2"/>
      <c r="D48" s="2">
        <f>26000000*0.995</f>
        <v>25870000</v>
      </c>
    </row>
    <row r="49" spans="1:4" ht="15.75">
      <c r="A49" s="1">
        <v>45768</v>
      </c>
      <c r="B49" s="7" t="s">
        <v>10</v>
      </c>
      <c r="C49" s="5"/>
      <c r="D49" s="2">
        <v>2500</v>
      </c>
    </row>
    <row r="50" spans="1:4" ht="15.75">
      <c r="A50" s="1">
        <v>45768</v>
      </c>
      <c r="B50" s="7" t="s">
        <v>288</v>
      </c>
      <c r="C50" s="5"/>
      <c r="D50" s="2">
        <v>52000000</v>
      </c>
    </row>
    <row r="51" spans="1:4" ht="15.75">
      <c r="A51" s="1">
        <v>45768</v>
      </c>
      <c r="B51" s="7" t="s">
        <v>10</v>
      </c>
      <c r="C51" s="5"/>
      <c r="D51" s="2">
        <v>2500</v>
      </c>
    </row>
    <row r="52" spans="1:4" ht="15.75">
      <c r="A52" s="1">
        <v>45768</v>
      </c>
      <c r="B52" s="7" t="s">
        <v>289</v>
      </c>
      <c r="C52" s="5"/>
      <c r="D52" s="2">
        <v>28950000</v>
      </c>
    </row>
    <row r="53" spans="1:4" ht="15.75">
      <c r="A53" s="1">
        <v>45768</v>
      </c>
      <c r="B53" s="7" t="s">
        <v>10</v>
      </c>
      <c r="C53" s="5"/>
      <c r="D53" s="2">
        <v>2500</v>
      </c>
    </row>
    <row r="54" spans="1:4" ht="15.75">
      <c r="A54" s="1">
        <v>45768</v>
      </c>
      <c r="B54" t="s">
        <v>290</v>
      </c>
      <c r="C54" s="2"/>
      <c r="D54" s="2">
        <v>5772000</v>
      </c>
    </row>
    <row r="55" spans="1:4" ht="15.75">
      <c r="A55" s="1">
        <v>45768</v>
      </c>
      <c r="B55" s="7" t="s">
        <v>10</v>
      </c>
      <c r="C55" s="2"/>
      <c r="D55" s="2">
        <v>2500</v>
      </c>
    </row>
    <row r="56" spans="1:4" ht="15.75">
      <c r="A56" s="1">
        <v>45768</v>
      </c>
      <c r="B56" t="s">
        <v>291</v>
      </c>
      <c r="C56" s="2"/>
      <c r="D56" s="2">
        <v>7500000</v>
      </c>
    </row>
    <row r="57" spans="1:4" ht="15.75">
      <c r="A57" s="1">
        <v>45768</v>
      </c>
      <c r="B57" s="7" t="s">
        <v>10</v>
      </c>
      <c r="C57" s="2"/>
      <c r="D57" s="2">
        <v>2500</v>
      </c>
    </row>
    <row r="58" spans="1:4" ht="15.75">
      <c r="A58" s="1">
        <v>45769</v>
      </c>
      <c r="B58" s="7" t="s">
        <v>292</v>
      </c>
      <c r="D58" s="2">
        <v>2600000</v>
      </c>
    </row>
    <row r="59" spans="1:4" ht="15.75">
      <c r="A59" s="1">
        <v>45769</v>
      </c>
      <c r="B59" s="7" t="s">
        <v>10</v>
      </c>
      <c r="C59" s="2"/>
      <c r="D59" s="2">
        <v>2500</v>
      </c>
    </row>
    <row r="60" spans="1:4" ht="15.75">
      <c r="A60" s="1">
        <v>45770</v>
      </c>
      <c r="B60" s="7" t="s">
        <v>6</v>
      </c>
      <c r="C60" s="2"/>
      <c r="D60" s="2">
        <v>10000000</v>
      </c>
    </row>
    <row r="61" spans="1:4" ht="15.75">
      <c r="A61" s="1">
        <v>45770</v>
      </c>
      <c r="B61" s="7" t="s">
        <v>293</v>
      </c>
      <c r="D61" s="2">
        <v>490000</v>
      </c>
    </row>
    <row r="62" spans="1:4" ht="15.75">
      <c r="A62" s="1">
        <v>45772</v>
      </c>
      <c r="B62" s="7" t="s">
        <v>294</v>
      </c>
      <c r="C62" s="2"/>
      <c r="D62" s="2">
        <v>258065347</v>
      </c>
    </row>
    <row r="63" spans="1:4" ht="15.75">
      <c r="A63" s="1">
        <v>45772</v>
      </c>
      <c r="B63" s="7" t="s">
        <v>295</v>
      </c>
      <c r="C63" s="5"/>
      <c r="D63" s="2">
        <v>350000</v>
      </c>
    </row>
    <row r="64" spans="1:4" ht="15.75">
      <c r="A64" s="1">
        <v>45772</v>
      </c>
      <c r="B64" s="7" t="s">
        <v>296</v>
      </c>
      <c r="C64" s="2"/>
      <c r="D64" s="2">
        <v>350000</v>
      </c>
    </row>
    <row r="65" spans="1:4" ht="15.75">
      <c r="A65" s="1">
        <v>45772</v>
      </c>
      <c r="B65" s="4" t="s">
        <v>282</v>
      </c>
      <c r="C65" s="2"/>
      <c r="D65" s="2">
        <v>2000000</v>
      </c>
    </row>
    <row r="66" spans="1:4" ht="15.75">
      <c r="A66" s="1">
        <v>45772</v>
      </c>
      <c r="B66" s="7" t="s">
        <v>107</v>
      </c>
      <c r="C66" s="2"/>
      <c r="D66" s="2">
        <v>6000000</v>
      </c>
    </row>
    <row r="67" spans="1:4" ht="15.75">
      <c r="A67" s="1">
        <v>45772</v>
      </c>
      <c r="B67" s="4" t="s">
        <v>297</v>
      </c>
      <c r="C67" s="2"/>
      <c r="D67" s="2">
        <v>30000000</v>
      </c>
    </row>
    <row r="68" spans="1:4" ht="15.75">
      <c r="A68" s="1">
        <v>45772</v>
      </c>
      <c r="B68" s="7" t="s">
        <v>10</v>
      </c>
      <c r="C68" s="5"/>
      <c r="D68" s="5">
        <v>2500</v>
      </c>
    </row>
    <row r="69" spans="1:4" ht="15.75">
      <c r="A69" s="1">
        <v>45772</v>
      </c>
      <c r="B69" s="7" t="s">
        <v>298</v>
      </c>
      <c r="C69" s="5"/>
      <c r="D69" s="5">
        <v>500000</v>
      </c>
    </row>
    <row r="70" spans="1:4" ht="15.75">
      <c r="A70" s="1">
        <v>45772</v>
      </c>
      <c r="B70" s="7" t="s">
        <v>10</v>
      </c>
      <c r="C70" s="5"/>
      <c r="D70" s="2">
        <v>2500</v>
      </c>
    </row>
    <row r="71" spans="1:4" ht="15.75">
      <c r="A71" s="1">
        <v>45772</v>
      </c>
      <c r="B71" s="4" t="s">
        <v>282</v>
      </c>
      <c r="C71" s="2"/>
      <c r="D71" s="2">
        <v>2000000</v>
      </c>
    </row>
    <row r="72" spans="1:4" ht="15.75">
      <c r="A72" s="1">
        <v>45772</v>
      </c>
      <c r="B72" s="4" t="s">
        <v>285</v>
      </c>
      <c r="C72" s="2"/>
      <c r="D72" s="2">
        <v>300000</v>
      </c>
    </row>
    <row r="73" spans="1:4" ht="15.75">
      <c r="A73" s="1">
        <v>45773</v>
      </c>
      <c r="B73" t="s">
        <v>6</v>
      </c>
      <c r="C73" s="5"/>
      <c r="D73" s="5">
        <v>60000000</v>
      </c>
    </row>
    <row r="74" spans="1:4" ht="15.75">
      <c r="A74" s="1">
        <v>45773</v>
      </c>
      <c r="B74" t="s">
        <v>299</v>
      </c>
      <c r="C74" s="5"/>
      <c r="D74" s="5">
        <v>12500000</v>
      </c>
    </row>
    <row r="75" spans="1:4" ht="15.75">
      <c r="A75" s="1">
        <v>45774</v>
      </c>
      <c r="B75" s="4" t="s">
        <v>285</v>
      </c>
      <c r="C75" s="5"/>
      <c r="D75" s="5">
        <v>150000</v>
      </c>
    </row>
    <row r="76" spans="1:4" ht="15.75">
      <c r="A76" s="1">
        <v>45774</v>
      </c>
      <c r="B76" s="4" t="s">
        <v>286</v>
      </c>
      <c r="C76" s="5"/>
      <c r="D76" s="2">
        <v>500000</v>
      </c>
    </row>
    <row r="77" spans="1:4" ht="15.75">
      <c r="A77" s="1">
        <v>45774</v>
      </c>
      <c r="B77" s="4" t="s">
        <v>282</v>
      </c>
      <c r="C77" s="5"/>
      <c r="D77" s="5">
        <v>500000</v>
      </c>
    </row>
    <row r="78" spans="1:4" ht="15.75">
      <c r="A78" s="1">
        <v>45774</v>
      </c>
      <c r="B78" s="4" t="s">
        <v>300</v>
      </c>
      <c r="C78" s="5"/>
      <c r="D78" s="5">
        <v>274573</v>
      </c>
    </row>
    <row r="79" spans="1:4" ht="15.75">
      <c r="A79" s="1">
        <v>45774</v>
      </c>
      <c r="B79" s="4" t="s">
        <v>301</v>
      </c>
      <c r="C79" s="5"/>
      <c r="D79" s="5">
        <v>62614615</v>
      </c>
    </row>
    <row r="80" spans="1:4" ht="15.75">
      <c r="A80" s="1">
        <v>45774</v>
      </c>
      <c r="B80" t="s">
        <v>302</v>
      </c>
      <c r="C80" s="5"/>
      <c r="D80" s="5">
        <v>5478720</v>
      </c>
    </row>
    <row r="81" spans="1:4" ht="15.75">
      <c r="A81" s="1">
        <v>45774</v>
      </c>
      <c r="B81" s="4" t="s">
        <v>303</v>
      </c>
      <c r="D81" s="2">
        <v>40000000</v>
      </c>
    </row>
    <row r="82" spans="1:4" ht="15.75">
      <c r="A82" s="1">
        <v>45774</v>
      </c>
      <c r="B82" t="s">
        <v>10</v>
      </c>
      <c r="C82" s="5"/>
      <c r="D82" s="5">
        <v>2500</v>
      </c>
    </row>
    <row r="83" spans="1:4" ht="15.75">
      <c r="A83" s="3">
        <v>45774</v>
      </c>
      <c r="B83" s="4" t="s">
        <v>304</v>
      </c>
      <c r="C83" s="2"/>
      <c r="D83" s="2">
        <v>40000000</v>
      </c>
    </row>
    <row r="84" spans="1:4" ht="15.75">
      <c r="A84" s="1">
        <v>45774</v>
      </c>
      <c r="B84" t="s">
        <v>10</v>
      </c>
      <c r="D84" s="2">
        <v>2500</v>
      </c>
    </row>
    <row r="85" spans="1:4" ht="15.75">
      <c r="A85" s="1">
        <v>45774</v>
      </c>
      <c r="B85" s="4" t="s">
        <v>305</v>
      </c>
      <c r="C85" s="5"/>
      <c r="D85" s="5">
        <v>47500000</v>
      </c>
    </row>
    <row r="86" spans="1:4" ht="15.75">
      <c r="A86" s="1">
        <v>45774</v>
      </c>
      <c r="B86" t="s">
        <v>10</v>
      </c>
      <c r="C86" s="5"/>
      <c r="D86" s="5">
        <v>2500</v>
      </c>
    </row>
    <row r="87" spans="1:4" ht="15.75">
      <c r="A87" s="3">
        <v>45775</v>
      </c>
      <c r="B87" s="4" t="s">
        <v>305</v>
      </c>
      <c r="C87" s="5"/>
      <c r="D87" s="2">
        <v>5000000</v>
      </c>
    </row>
    <row r="88" spans="1:4" ht="15.75">
      <c r="A88" s="1">
        <v>45775</v>
      </c>
      <c r="B88" s="7" t="s">
        <v>10</v>
      </c>
      <c r="C88" s="5"/>
      <c r="D88" s="2">
        <v>2500</v>
      </c>
    </row>
    <row r="89" spans="1:4" ht="15.75">
      <c r="A89" s="3">
        <v>45776</v>
      </c>
      <c r="B89" s="4" t="s">
        <v>286</v>
      </c>
      <c r="C89" s="5"/>
      <c r="D89" s="2">
        <v>2000000</v>
      </c>
    </row>
    <row r="90" spans="1:4" ht="15.75">
      <c r="A90" s="3">
        <v>45776</v>
      </c>
      <c r="B90" t="s">
        <v>6</v>
      </c>
      <c r="D90" s="2">
        <v>10000000</v>
      </c>
    </row>
    <row r="91" spans="1:4" ht="15.75">
      <c r="A91" s="3">
        <v>45776</v>
      </c>
      <c r="B91" s="7" t="s">
        <v>269</v>
      </c>
      <c r="C91" s="5"/>
      <c r="D91" s="2">
        <v>110400</v>
      </c>
    </row>
    <row r="92" spans="1:4" ht="15.75">
      <c r="A92" s="1">
        <v>45777</v>
      </c>
      <c r="B92" t="s">
        <v>306</v>
      </c>
      <c r="D92" s="2">
        <v>18000000</v>
      </c>
    </row>
    <row r="93" spans="1:4" ht="15.75">
      <c r="A93" s="1">
        <v>45777</v>
      </c>
      <c r="B93" s="42" t="s">
        <v>307</v>
      </c>
      <c r="D93" s="2">
        <v>1355000</v>
      </c>
    </row>
    <row r="94" spans="1:4" ht="15.75">
      <c r="A94" s="3">
        <v>45777</v>
      </c>
      <c r="B94" s="42" t="s">
        <v>307</v>
      </c>
      <c r="C94" s="5"/>
      <c r="D94" s="2">
        <v>500000</v>
      </c>
    </row>
    <row r="95" spans="1:4" ht="15.75">
      <c r="A95" s="1">
        <v>45777</v>
      </c>
      <c r="B95" s="7" t="s">
        <v>308</v>
      </c>
      <c r="C95" s="5"/>
      <c r="D95" s="2">
        <v>320000000</v>
      </c>
    </row>
    <row r="96" spans="1:4" ht="15.75">
      <c r="A96" s="1">
        <v>45777</v>
      </c>
      <c r="B96" t="s">
        <v>309</v>
      </c>
      <c r="C96" s="5"/>
      <c r="D96" s="2">
        <v>3928500</v>
      </c>
    </row>
    <row r="97" spans="1:4" ht="15.75">
      <c r="A97" s="1">
        <v>45777</v>
      </c>
      <c r="B97" t="s">
        <v>310</v>
      </c>
      <c r="D97" s="2">
        <v>271700</v>
      </c>
    </row>
    <row r="98" spans="1:4" ht="15.75">
      <c r="A98" s="1">
        <v>45777</v>
      </c>
      <c r="B98" t="s">
        <v>311</v>
      </c>
      <c r="D98" s="2">
        <v>430000</v>
      </c>
    </row>
    <row r="99" spans="1:4" ht="15.75">
      <c r="A99" s="1">
        <v>45777</v>
      </c>
      <c r="B99" s="4" t="s">
        <v>69</v>
      </c>
      <c r="C99" s="2"/>
      <c r="D99" s="2">
        <v>30000</v>
      </c>
    </row>
    <row r="100" spans="1:4" ht="15.75">
      <c r="A100" s="1">
        <v>45777</v>
      </c>
      <c r="B100" s="4" t="s">
        <v>70</v>
      </c>
      <c r="C100" s="19"/>
      <c r="D100" s="8">
        <v>59316.1</v>
      </c>
    </row>
    <row r="101" spans="1:4" ht="15.75">
      <c r="B101" s="4"/>
      <c r="C101" s="5"/>
      <c r="D101" s="2"/>
    </row>
    <row r="102" spans="1:4" ht="15.75">
      <c r="B102" s="4"/>
      <c r="D102" s="2"/>
    </row>
    <row r="103" spans="1:4" ht="15.75">
      <c r="A103" s="3"/>
      <c r="C103" s="8"/>
      <c r="D103" s="8">
        <f>SUM(D4:D102)</f>
        <v>2299531043.0999999</v>
      </c>
    </row>
    <row r="104" spans="1:4" ht="15.75">
      <c r="A104" s="3"/>
      <c r="B104" s="7"/>
      <c r="C104" s="8"/>
      <c r="D104" s="8">
        <v>2299531043.0999999</v>
      </c>
    </row>
    <row r="105" spans="1:4" ht="15.75"/>
    <row r="106" spans="1:4" ht="15.75"/>
    <row r="107" spans="1:4" ht="15.75"/>
    <row r="108" spans="1:4" ht="15.75"/>
    <row r="109" spans="1:4" ht="15.75"/>
    <row r="110" spans="1:4" ht="15.75"/>
    <row r="111" spans="1:4" ht="15.75"/>
    <row r="112" spans="1:4" ht="15.75"/>
    <row r="113" ht="15.75"/>
    <row r="114" ht="15.75"/>
    <row r="115" ht="15.75"/>
    <row r="116" ht="15.75"/>
    <row r="117" ht="15.75"/>
    <row r="118" ht="15.75"/>
    <row r="119" ht="15.75"/>
    <row r="120" ht="15.75"/>
    <row r="121" ht="15.75"/>
    <row r="122" ht="15.75"/>
    <row r="123" ht="15.75"/>
    <row r="124" ht="15.75"/>
    <row r="125" ht="15.75"/>
    <row r="126" ht="15.7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76AA8-6C31-7844-A19B-6F7490E53ABB}">
  <dimension ref="A1:D155"/>
  <sheetViews>
    <sheetView workbookViewId="0">
      <selection activeCell="A5" sqref="A5:D5"/>
    </sheetView>
  </sheetViews>
  <sheetFormatPr defaultColWidth="11" defaultRowHeight="15.95"/>
  <cols>
    <col min="2" max="2" width="34.625" customWidth="1"/>
    <col min="4" max="4" width="15.5" customWidth="1"/>
  </cols>
  <sheetData>
    <row r="1" spans="1:4">
      <c r="A1" t="s">
        <v>312</v>
      </c>
    </row>
    <row r="3" spans="1:4">
      <c r="A3" t="s">
        <v>1</v>
      </c>
    </row>
    <row r="4" spans="1:4">
      <c r="A4" t="s">
        <v>2</v>
      </c>
      <c r="B4" t="s">
        <v>3</v>
      </c>
      <c r="C4" t="s">
        <v>4</v>
      </c>
      <c r="D4" t="s">
        <v>5</v>
      </c>
    </row>
    <row r="5" spans="1:4" ht="15.75">
      <c r="A5" s="1">
        <v>45778</v>
      </c>
      <c r="B5" s="4" t="s">
        <v>313</v>
      </c>
      <c r="C5" s="2"/>
      <c r="D5" s="2">
        <v>12500000</v>
      </c>
    </row>
    <row r="6" spans="1:4" ht="15.75">
      <c r="A6" s="1">
        <v>45778</v>
      </c>
      <c r="B6" s="4" t="s">
        <v>314</v>
      </c>
      <c r="C6" s="2"/>
      <c r="D6" s="2">
        <v>6960000</v>
      </c>
    </row>
    <row r="7" spans="1:4" ht="15.75">
      <c r="A7" s="1">
        <v>45778</v>
      </c>
      <c r="B7" s="4" t="s">
        <v>315</v>
      </c>
      <c r="C7" s="2"/>
      <c r="D7" s="2">
        <v>4927000</v>
      </c>
    </row>
    <row r="8" spans="1:4" ht="15.75">
      <c r="A8" s="1">
        <v>45778</v>
      </c>
      <c r="B8" s="4" t="s">
        <v>316</v>
      </c>
      <c r="C8" s="2"/>
      <c r="D8" s="2">
        <v>4900000</v>
      </c>
    </row>
    <row r="9" spans="1:4" ht="15.75">
      <c r="A9" s="1">
        <v>45778</v>
      </c>
      <c r="B9" s="4" t="s">
        <v>317</v>
      </c>
      <c r="C9" s="2"/>
      <c r="D9" s="2">
        <v>3920000</v>
      </c>
    </row>
    <row r="10" spans="1:4" ht="15.75">
      <c r="A10" s="1">
        <v>45778</v>
      </c>
      <c r="B10" s="4" t="s">
        <v>318</v>
      </c>
      <c r="C10" s="2"/>
      <c r="D10" s="2">
        <v>4015000</v>
      </c>
    </row>
    <row r="11" spans="1:4" ht="15.75">
      <c r="A11" s="1">
        <v>45778</v>
      </c>
      <c r="B11" s="4" t="s">
        <v>319</v>
      </c>
      <c r="C11" s="2"/>
      <c r="D11" s="2">
        <v>4650000</v>
      </c>
    </row>
    <row r="12" spans="1:4" ht="15.75">
      <c r="A12" s="1">
        <v>45778</v>
      </c>
      <c r="B12" s="42" t="s">
        <v>320</v>
      </c>
      <c r="C12" s="2"/>
      <c r="D12" s="2">
        <v>365000</v>
      </c>
    </row>
    <row r="13" spans="1:4" ht="15.75">
      <c r="A13" s="1">
        <v>45778</v>
      </c>
      <c r="B13" s="42" t="s">
        <v>321</v>
      </c>
      <c r="C13" s="2"/>
      <c r="D13" s="2">
        <v>795000</v>
      </c>
    </row>
    <row r="14" spans="1:4" ht="15.75">
      <c r="A14" s="1">
        <v>45778</v>
      </c>
      <c r="B14" s="42" t="s">
        <v>322</v>
      </c>
      <c r="C14" s="2"/>
      <c r="D14" s="2">
        <v>855000</v>
      </c>
    </row>
    <row r="15" spans="1:4" ht="15.75">
      <c r="A15" s="1">
        <v>45778</v>
      </c>
      <c r="B15" s="42" t="s">
        <v>323</v>
      </c>
      <c r="C15" s="2"/>
      <c r="D15" s="2">
        <v>875000</v>
      </c>
    </row>
    <row r="16" spans="1:4" ht="15.75">
      <c r="A16" s="1">
        <v>45778</v>
      </c>
      <c r="B16" s="42" t="s">
        <v>324</v>
      </c>
      <c r="C16" s="2"/>
      <c r="D16" s="2">
        <v>1185000</v>
      </c>
    </row>
    <row r="17" spans="1:4" ht="15.75">
      <c r="A17" s="1">
        <v>45778</v>
      </c>
      <c r="B17" s="42" t="s">
        <v>325</v>
      </c>
      <c r="C17" s="2"/>
      <c r="D17" s="2">
        <v>1100000</v>
      </c>
    </row>
    <row r="18" spans="1:4" ht="15.75">
      <c r="A18" s="1">
        <v>45778</v>
      </c>
      <c r="B18" s="42" t="s">
        <v>326</v>
      </c>
      <c r="C18" s="2"/>
      <c r="D18" s="2">
        <v>2538000</v>
      </c>
    </row>
    <row r="19" spans="1:4" ht="15.75">
      <c r="A19" s="1">
        <v>45778</v>
      </c>
      <c r="B19" s="42" t="s">
        <v>327</v>
      </c>
      <c r="C19" s="2"/>
      <c r="D19" s="2">
        <v>160000</v>
      </c>
    </row>
    <row r="20" spans="1:4" ht="15.75">
      <c r="A20" s="1">
        <v>45778</v>
      </c>
      <c r="B20" s="42" t="s">
        <v>328</v>
      </c>
      <c r="C20" s="2"/>
      <c r="D20" s="2">
        <v>1805000</v>
      </c>
    </row>
    <row r="21" spans="1:4" ht="15.75">
      <c r="A21" s="1">
        <v>45778</v>
      </c>
      <c r="B21" s="42" t="s">
        <v>329</v>
      </c>
      <c r="C21" s="2"/>
      <c r="D21" s="2">
        <v>2190000</v>
      </c>
    </row>
    <row r="22" spans="1:4" ht="15.75">
      <c r="A22" s="1">
        <v>45778</v>
      </c>
      <c r="B22" t="s">
        <v>330</v>
      </c>
      <c r="C22" s="2"/>
      <c r="D22" s="2">
        <v>1500000</v>
      </c>
    </row>
    <row r="23" spans="1:4" ht="15.75">
      <c r="A23" s="1">
        <v>45778</v>
      </c>
      <c r="B23" t="s">
        <v>10</v>
      </c>
      <c r="C23" s="2"/>
      <c r="D23" s="2">
        <v>2500</v>
      </c>
    </row>
    <row r="24" spans="1:4" ht="15.75">
      <c r="A24" s="1">
        <v>45778</v>
      </c>
      <c r="B24" s="29" t="s">
        <v>331</v>
      </c>
      <c r="C24" s="2"/>
      <c r="D24" s="2">
        <v>5000000</v>
      </c>
    </row>
    <row r="25" spans="1:4" ht="15.75">
      <c r="A25" s="1">
        <v>45778</v>
      </c>
      <c r="B25" s="4" t="s">
        <v>313</v>
      </c>
      <c r="D25" s="2">
        <v>3000000</v>
      </c>
    </row>
    <row r="26" spans="1:4" ht="15.75">
      <c r="A26" s="1">
        <v>45778</v>
      </c>
      <c r="B26" s="4" t="s">
        <v>332</v>
      </c>
      <c r="D26" s="2">
        <v>100000000</v>
      </c>
    </row>
    <row r="27" spans="1:4" ht="15.75">
      <c r="A27" s="1">
        <v>45778</v>
      </c>
      <c r="B27" s="7" t="s">
        <v>10</v>
      </c>
      <c r="C27" s="5"/>
      <c r="D27" s="2">
        <v>2500</v>
      </c>
    </row>
    <row r="28" spans="1:4" ht="15.75">
      <c r="A28" s="1">
        <v>45779</v>
      </c>
      <c r="B28" t="s">
        <v>6</v>
      </c>
      <c r="D28" s="2">
        <v>10000000</v>
      </c>
    </row>
    <row r="29" spans="1:4" ht="15.75">
      <c r="A29" s="1">
        <v>45779</v>
      </c>
      <c r="B29" s="4" t="s">
        <v>333</v>
      </c>
      <c r="C29" s="2"/>
      <c r="D29" s="2">
        <f>7000000*0.98</f>
        <v>6860000</v>
      </c>
    </row>
    <row r="30" spans="1:4" ht="15.75">
      <c r="A30" s="1">
        <v>45779</v>
      </c>
      <c r="B30" t="s">
        <v>334</v>
      </c>
      <c r="D30" s="2">
        <v>6000000</v>
      </c>
    </row>
    <row r="31" spans="1:4" ht="15.75">
      <c r="A31" s="1">
        <v>45779</v>
      </c>
      <c r="B31" t="s">
        <v>10</v>
      </c>
      <c r="D31" s="2">
        <v>2500</v>
      </c>
    </row>
    <row r="32" spans="1:4" ht="15.75">
      <c r="A32" s="1">
        <v>45781</v>
      </c>
      <c r="B32" s="4" t="s">
        <v>317</v>
      </c>
      <c r="D32" s="2">
        <v>150000</v>
      </c>
    </row>
    <row r="33" spans="1:4" ht="15.75">
      <c r="A33" s="1">
        <v>45781</v>
      </c>
      <c r="B33" s="4" t="s">
        <v>314</v>
      </c>
      <c r="D33" s="2">
        <v>500000</v>
      </c>
    </row>
    <row r="34" spans="1:4" ht="15.75">
      <c r="A34" s="1">
        <v>45781</v>
      </c>
      <c r="B34" s="4" t="s">
        <v>313</v>
      </c>
      <c r="D34" s="2">
        <v>500000</v>
      </c>
    </row>
    <row r="35" spans="1:4" ht="15.75">
      <c r="A35" s="1">
        <v>45781</v>
      </c>
      <c r="B35" s="4" t="s">
        <v>313</v>
      </c>
      <c r="D35" s="2">
        <v>1000000</v>
      </c>
    </row>
    <row r="36" spans="1:4" ht="15.75">
      <c r="A36" s="1">
        <v>45782</v>
      </c>
      <c r="B36" t="s">
        <v>6</v>
      </c>
      <c r="D36" s="2">
        <v>10000000</v>
      </c>
    </row>
    <row r="37" spans="1:4" ht="15.75">
      <c r="A37" s="1">
        <v>45782</v>
      </c>
      <c r="B37" t="s">
        <v>335</v>
      </c>
      <c r="D37" s="2">
        <v>30137000</v>
      </c>
    </row>
    <row r="38" spans="1:4" ht="15.75">
      <c r="A38" s="1">
        <v>45782</v>
      </c>
      <c r="B38" t="s">
        <v>10</v>
      </c>
      <c r="D38" s="2">
        <v>2500</v>
      </c>
    </row>
    <row r="39" spans="1:4" ht="15.75">
      <c r="A39" s="1">
        <v>45782</v>
      </c>
      <c r="B39" t="s">
        <v>53</v>
      </c>
      <c r="D39" s="2">
        <v>363750</v>
      </c>
    </row>
    <row r="40" spans="1:4" ht="15.75">
      <c r="A40" s="1">
        <v>45782</v>
      </c>
      <c r="B40" t="s">
        <v>66</v>
      </c>
      <c r="D40" s="2">
        <v>2043494</v>
      </c>
    </row>
    <row r="41" spans="1:4" ht="15.75">
      <c r="A41" s="1">
        <v>45783</v>
      </c>
      <c r="B41" t="s">
        <v>336</v>
      </c>
      <c r="D41" s="2">
        <f>5*675000</f>
        <v>3375000</v>
      </c>
    </row>
    <row r="42" spans="1:4" ht="15.75">
      <c r="A42" s="1">
        <v>45783</v>
      </c>
      <c r="B42" t="s">
        <v>337</v>
      </c>
      <c r="D42" s="2">
        <v>20250000</v>
      </c>
    </row>
    <row r="43" spans="1:4" ht="15.75">
      <c r="A43" s="1">
        <v>45783</v>
      </c>
      <c r="B43" t="s">
        <v>54</v>
      </c>
      <c r="D43" s="2">
        <v>5478720</v>
      </c>
    </row>
    <row r="44" spans="1:4" ht="15.75">
      <c r="A44" s="1">
        <v>45784</v>
      </c>
      <c r="B44" t="s">
        <v>60</v>
      </c>
      <c r="D44" s="2">
        <v>360000000</v>
      </c>
    </row>
    <row r="45" spans="1:4" ht="15.75">
      <c r="A45" s="1">
        <v>45785</v>
      </c>
      <c r="B45" s="7" t="s">
        <v>338</v>
      </c>
      <c r="C45" s="7"/>
      <c r="D45" s="5">
        <v>21000000</v>
      </c>
    </row>
    <row r="46" spans="1:4" ht="15.75">
      <c r="A46" s="1">
        <v>45785</v>
      </c>
      <c r="B46" s="4" t="s">
        <v>339</v>
      </c>
      <c r="D46" s="2">
        <v>1300000</v>
      </c>
    </row>
    <row r="47" spans="1:4" ht="15.75">
      <c r="A47" s="1">
        <v>45786</v>
      </c>
      <c r="B47" s="4" t="s">
        <v>314</v>
      </c>
      <c r="D47" s="2">
        <v>2000000</v>
      </c>
    </row>
    <row r="48" spans="1:4" ht="15.75">
      <c r="A48" s="1">
        <v>45786</v>
      </c>
      <c r="B48" s="4" t="s">
        <v>314</v>
      </c>
      <c r="D48" s="2">
        <v>2000000</v>
      </c>
    </row>
    <row r="49" spans="1:4" ht="15.75">
      <c r="A49" s="1">
        <v>45786</v>
      </c>
      <c r="B49" s="4" t="s">
        <v>340</v>
      </c>
      <c r="D49" s="2">
        <v>58372805</v>
      </c>
    </row>
    <row r="50" spans="1:4" ht="15.75">
      <c r="A50" s="1">
        <v>45786</v>
      </c>
      <c r="B50" s="7" t="s">
        <v>341</v>
      </c>
      <c r="C50" s="7"/>
      <c r="D50" s="5">
        <v>330000000</v>
      </c>
    </row>
    <row r="51" spans="1:4" ht="15.75">
      <c r="A51" s="1">
        <v>45787</v>
      </c>
      <c r="B51" s="7" t="s">
        <v>6</v>
      </c>
      <c r="C51" s="7"/>
      <c r="D51" s="5">
        <v>30000000</v>
      </c>
    </row>
    <row r="52" spans="1:4" ht="15.75">
      <c r="A52" s="1">
        <v>45787</v>
      </c>
      <c r="B52" t="s">
        <v>186</v>
      </c>
      <c r="D52" s="2">
        <v>475000</v>
      </c>
    </row>
    <row r="53" spans="1:4" ht="15.75">
      <c r="A53" s="1">
        <v>45788</v>
      </c>
      <c r="B53" s="4" t="s">
        <v>317</v>
      </c>
      <c r="C53" s="7"/>
      <c r="D53" s="5">
        <v>150000</v>
      </c>
    </row>
    <row r="54" spans="1:4" ht="15.75">
      <c r="A54" s="1">
        <v>45788</v>
      </c>
      <c r="B54" s="4" t="s">
        <v>313</v>
      </c>
      <c r="C54" s="7"/>
      <c r="D54" s="5">
        <v>500000</v>
      </c>
    </row>
    <row r="55" spans="1:4" ht="15.75">
      <c r="A55" s="1">
        <v>45789</v>
      </c>
      <c r="B55" t="s">
        <v>342</v>
      </c>
      <c r="D55" s="2">
        <v>22700000</v>
      </c>
    </row>
    <row r="56" spans="1:4" ht="15.75">
      <c r="A56" s="1">
        <v>45789</v>
      </c>
      <c r="B56" s="7" t="s">
        <v>10</v>
      </c>
      <c r="C56" s="7"/>
      <c r="D56" s="5">
        <v>2500</v>
      </c>
    </row>
    <row r="57" spans="1:4" ht="15.75">
      <c r="A57" s="1">
        <v>45789</v>
      </c>
      <c r="B57" s="4" t="s">
        <v>315</v>
      </c>
      <c r="C57" s="7"/>
      <c r="D57" s="5">
        <v>1000000</v>
      </c>
    </row>
    <row r="58" spans="1:4" ht="15.75">
      <c r="A58" s="1">
        <v>45790</v>
      </c>
      <c r="B58" s="7" t="s">
        <v>338</v>
      </c>
      <c r="C58" s="7"/>
      <c r="D58" s="5">
        <v>21000000</v>
      </c>
    </row>
    <row r="59" spans="1:4" ht="15.75">
      <c r="A59" s="1">
        <v>45791</v>
      </c>
      <c r="B59" s="4" t="s">
        <v>343</v>
      </c>
      <c r="C59" s="7"/>
      <c r="D59" s="5">
        <v>2350000</v>
      </c>
    </row>
    <row r="60" spans="1:4" ht="15.75">
      <c r="A60" s="1">
        <v>45791</v>
      </c>
      <c r="B60" s="7" t="s">
        <v>6</v>
      </c>
      <c r="C60" s="7"/>
      <c r="D60" s="5">
        <v>15000000</v>
      </c>
    </row>
    <row r="61" spans="1:4" ht="15.75">
      <c r="A61" s="1">
        <v>45791</v>
      </c>
      <c r="B61" s="7" t="s">
        <v>6</v>
      </c>
      <c r="C61" s="7"/>
      <c r="D61" s="5">
        <v>475000000</v>
      </c>
    </row>
    <row r="62" spans="1:4" ht="15.75">
      <c r="A62" s="1">
        <v>45791</v>
      </c>
      <c r="B62" s="7" t="s">
        <v>276</v>
      </c>
      <c r="C62" s="7"/>
      <c r="D62" s="5">
        <v>5772000</v>
      </c>
    </row>
    <row r="63" spans="1:4" ht="15.75">
      <c r="A63" s="1">
        <v>45791</v>
      </c>
      <c r="B63" s="7" t="s">
        <v>10</v>
      </c>
      <c r="C63" s="7"/>
      <c r="D63" s="5">
        <v>2500</v>
      </c>
    </row>
    <row r="64" spans="1:4" ht="15.75">
      <c r="A64" s="1">
        <v>45791</v>
      </c>
      <c r="B64" s="7" t="s">
        <v>344</v>
      </c>
      <c r="C64" s="7"/>
      <c r="D64" s="5">
        <v>314664</v>
      </c>
    </row>
    <row r="65" spans="1:4" ht="15.75">
      <c r="A65" s="1">
        <v>45792</v>
      </c>
      <c r="B65" s="7" t="s">
        <v>119</v>
      </c>
      <c r="C65" s="7"/>
      <c r="D65" s="5">
        <v>10000000</v>
      </c>
    </row>
    <row r="66" spans="1:4" ht="15.75">
      <c r="A66" s="1">
        <v>45792</v>
      </c>
      <c r="B66" s="7" t="s">
        <v>345</v>
      </c>
      <c r="C66" s="5"/>
      <c r="D66" s="5">
        <v>200000</v>
      </c>
    </row>
    <row r="67" spans="1:4" ht="15.75">
      <c r="A67" s="1">
        <v>45792</v>
      </c>
      <c r="B67" s="7" t="s">
        <v>346</v>
      </c>
      <c r="C67" s="5"/>
      <c r="D67" s="5">
        <v>12600000</v>
      </c>
    </row>
    <row r="68" spans="1:4" ht="15.75">
      <c r="A68" s="1">
        <v>45795</v>
      </c>
      <c r="B68" s="4" t="s">
        <v>317</v>
      </c>
      <c r="D68" s="2">
        <v>150000</v>
      </c>
    </row>
    <row r="69" spans="1:4" ht="15.75">
      <c r="A69" s="1">
        <v>45795</v>
      </c>
      <c r="B69" s="4" t="s">
        <v>313</v>
      </c>
      <c r="D69" s="2">
        <v>500000</v>
      </c>
    </row>
    <row r="70" spans="1:4" ht="15.75">
      <c r="A70" s="1">
        <v>45796</v>
      </c>
      <c r="B70" s="7" t="s">
        <v>347</v>
      </c>
      <c r="C70" s="7"/>
      <c r="D70" s="5">
        <v>2291000</v>
      </c>
    </row>
    <row r="71" spans="1:4" ht="15.75">
      <c r="A71" s="1">
        <v>45797</v>
      </c>
      <c r="B71" s="4" t="s">
        <v>332</v>
      </c>
      <c r="D71" s="2">
        <v>50000000</v>
      </c>
    </row>
    <row r="72" spans="1:4" ht="15.75">
      <c r="A72" s="1">
        <v>45797</v>
      </c>
      <c r="B72" s="7" t="s">
        <v>10</v>
      </c>
      <c r="C72" s="7"/>
      <c r="D72" s="5">
        <v>2500</v>
      </c>
    </row>
    <row r="73" spans="1:4" ht="15.75">
      <c r="A73" s="1">
        <v>45797</v>
      </c>
      <c r="B73" s="7" t="s">
        <v>348</v>
      </c>
      <c r="C73" s="5"/>
      <c r="D73" s="5">
        <v>20520900</v>
      </c>
    </row>
    <row r="74" spans="1:4" ht="15.75">
      <c r="A74" s="1">
        <v>45797</v>
      </c>
      <c r="B74" s="4" t="s">
        <v>349</v>
      </c>
      <c r="D74" s="2">
        <v>80000</v>
      </c>
    </row>
    <row r="75" spans="1:4" ht="15.75">
      <c r="A75" s="1">
        <v>45798</v>
      </c>
      <c r="B75" s="4" t="s">
        <v>313</v>
      </c>
      <c r="D75" s="2">
        <v>3000000</v>
      </c>
    </row>
    <row r="76" spans="1:4" ht="15.75">
      <c r="A76" s="1">
        <v>45799</v>
      </c>
      <c r="B76" s="7" t="s">
        <v>6</v>
      </c>
      <c r="C76" s="5"/>
      <c r="D76" s="5">
        <v>15000000</v>
      </c>
    </row>
    <row r="77" spans="1:4" ht="15.75">
      <c r="A77" s="1">
        <v>45799</v>
      </c>
      <c r="B77" s="31" t="s">
        <v>350</v>
      </c>
      <c r="C77" s="7"/>
      <c r="D77" s="5">
        <v>8849000</v>
      </c>
    </row>
    <row r="78" spans="1:4" ht="15.75">
      <c r="A78" s="1">
        <v>45799</v>
      </c>
      <c r="B78" s="4" t="s">
        <v>351</v>
      </c>
      <c r="C78" s="2"/>
      <c r="D78" s="2">
        <v>24377500</v>
      </c>
    </row>
    <row r="79" spans="1:4" ht="15.75">
      <c r="A79" s="1">
        <v>45799</v>
      </c>
      <c r="B79" s="7" t="s">
        <v>10</v>
      </c>
      <c r="D79" s="2">
        <v>2500</v>
      </c>
    </row>
    <row r="80" spans="1:4" ht="15.75">
      <c r="A80" s="1">
        <v>45799</v>
      </c>
      <c r="B80" s="7" t="s">
        <v>352</v>
      </c>
      <c r="D80" s="2">
        <v>28950000</v>
      </c>
    </row>
    <row r="81" spans="1:4" ht="15.75">
      <c r="A81" s="1">
        <v>45799</v>
      </c>
      <c r="B81" s="7" t="s">
        <v>10</v>
      </c>
      <c r="C81" s="5"/>
      <c r="D81" s="5">
        <v>2500</v>
      </c>
    </row>
    <row r="82" spans="1:4" ht="15.75">
      <c r="A82" s="1">
        <v>45799</v>
      </c>
      <c r="B82" s="7" t="s">
        <v>353</v>
      </c>
      <c r="D82" s="5">
        <v>25000000</v>
      </c>
    </row>
    <row r="83" spans="1:4" ht="15.75">
      <c r="A83" s="1">
        <v>45799</v>
      </c>
      <c r="B83" t="s">
        <v>10</v>
      </c>
      <c r="C83" s="5"/>
      <c r="D83" s="5">
        <v>2500</v>
      </c>
    </row>
    <row r="84" spans="1:4" ht="15.75">
      <c r="A84" s="1">
        <v>45799</v>
      </c>
      <c r="B84" s="4" t="s">
        <v>354</v>
      </c>
      <c r="D84" s="2">
        <v>34825000</v>
      </c>
    </row>
    <row r="85" spans="1:4" ht="15.75">
      <c r="A85" s="1">
        <v>45799</v>
      </c>
      <c r="B85" s="7" t="s">
        <v>10</v>
      </c>
      <c r="D85" s="2">
        <v>2500</v>
      </c>
    </row>
    <row r="86" spans="1:4" ht="15.75">
      <c r="A86" s="1">
        <v>45799</v>
      </c>
      <c r="B86" s="4" t="s">
        <v>355</v>
      </c>
      <c r="C86" s="5"/>
      <c r="D86" s="5">
        <v>62614615</v>
      </c>
    </row>
    <row r="87" spans="1:4" ht="15.75">
      <c r="A87" s="1">
        <v>45799</v>
      </c>
      <c r="B87" s="43" t="s">
        <v>338</v>
      </c>
      <c r="D87" s="2">
        <v>21000000</v>
      </c>
    </row>
    <row r="88" spans="1:4" ht="15.75">
      <c r="A88" s="1">
        <v>45800</v>
      </c>
      <c r="B88" t="s">
        <v>356</v>
      </c>
      <c r="D88" s="2">
        <v>11400000</v>
      </c>
    </row>
    <row r="89" spans="1:4" ht="15.75">
      <c r="A89" s="1">
        <v>45800</v>
      </c>
      <c r="B89" t="s">
        <v>10</v>
      </c>
      <c r="D89" s="2">
        <v>2500</v>
      </c>
    </row>
    <row r="90" spans="1:4" ht="15.75">
      <c r="A90" s="1">
        <v>45800</v>
      </c>
      <c r="B90" t="s">
        <v>357</v>
      </c>
      <c r="D90" s="2">
        <v>21000000</v>
      </c>
    </row>
    <row r="91" spans="1:4" ht="15.75">
      <c r="A91" s="1">
        <v>45800</v>
      </c>
      <c r="B91" s="7" t="s">
        <v>10</v>
      </c>
      <c r="C91" s="7"/>
      <c r="D91" s="5">
        <v>2500</v>
      </c>
    </row>
    <row r="92" spans="1:4" ht="15.75">
      <c r="A92" s="1">
        <v>45800</v>
      </c>
      <c r="B92" s="7" t="s">
        <v>358</v>
      </c>
      <c r="C92" s="2"/>
      <c r="D92" s="2">
        <v>100000000</v>
      </c>
    </row>
    <row r="93" spans="1:4" ht="15.75">
      <c r="A93" s="1">
        <v>45800</v>
      </c>
      <c r="B93" s="7" t="s">
        <v>359</v>
      </c>
      <c r="C93" s="7"/>
      <c r="D93" s="5">
        <v>50000000</v>
      </c>
    </row>
    <row r="94" spans="1:4" ht="15.75">
      <c r="A94" s="1">
        <v>45800</v>
      </c>
      <c r="B94" s="7" t="s">
        <v>360</v>
      </c>
      <c r="C94" s="2"/>
      <c r="D94" s="2">
        <v>3928500</v>
      </c>
    </row>
    <row r="95" spans="1:4" ht="15.75">
      <c r="A95" s="1">
        <v>45801</v>
      </c>
      <c r="B95" s="4" t="s">
        <v>361</v>
      </c>
      <c r="D95" s="2">
        <v>2600000</v>
      </c>
    </row>
    <row r="96" spans="1:4" ht="15.75">
      <c r="A96" s="1">
        <v>45801</v>
      </c>
      <c r="B96" s="7" t="s">
        <v>10</v>
      </c>
      <c r="D96" s="2">
        <v>2500</v>
      </c>
    </row>
    <row r="97" spans="1:4" ht="15.75">
      <c r="A97" s="1">
        <v>45801</v>
      </c>
      <c r="B97" s="7" t="s">
        <v>362</v>
      </c>
      <c r="C97" s="5"/>
      <c r="D97" s="5">
        <v>50735</v>
      </c>
    </row>
    <row r="98" spans="1:4" ht="15.75">
      <c r="A98" s="1">
        <v>45802</v>
      </c>
      <c r="B98" s="4" t="s">
        <v>313</v>
      </c>
      <c r="C98" s="5"/>
      <c r="D98" s="5">
        <v>2000000</v>
      </c>
    </row>
    <row r="99" spans="1:4" ht="15.75">
      <c r="A99" s="1">
        <v>45802</v>
      </c>
      <c r="B99" s="4" t="s">
        <v>317</v>
      </c>
      <c r="C99" s="5"/>
      <c r="D99" s="5">
        <v>150000</v>
      </c>
    </row>
    <row r="100" spans="1:4" ht="15.75">
      <c r="A100" s="1">
        <v>45802</v>
      </c>
      <c r="B100" s="4" t="s">
        <v>313</v>
      </c>
      <c r="C100" s="2"/>
      <c r="D100" s="2">
        <v>500000</v>
      </c>
    </row>
    <row r="101" spans="1:4" ht="15.75">
      <c r="A101" s="1">
        <v>45802</v>
      </c>
      <c r="B101" s="4" t="s">
        <v>314</v>
      </c>
      <c r="D101" s="2">
        <v>500000</v>
      </c>
    </row>
    <row r="102" spans="1:4" ht="15.75">
      <c r="A102" s="1">
        <v>45803</v>
      </c>
      <c r="B102" s="7" t="s">
        <v>6</v>
      </c>
      <c r="D102" s="2">
        <v>15000000</v>
      </c>
    </row>
    <row r="103" spans="1:4" ht="15.75">
      <c r="A103" s="1">
        <v>45803</v>
      </c>
      <c r="B103" s="7" t="s">
        <v>363</v>
      </c>
      <c r="D103" s="2">
        <v>131250</v>
      </c>
    </row>
    <row r="104" spans="1:4" ht="15.75">
      <c r="A104" s="1">
        <v>45803</v>
      </c>
      <c r="B104" s="7" t="s">
        <v>364</v>
      </c>
      <c r="C104" s="5"/>
      <c r="D104" s="5">
        <v>94126613</v>
      </c>
    </row>
    <row r="105" spans="1:4" ht="15.75">
      <c r="A105" s="1">
        <v>45804</v>
      </c>
      <c r="B105" s="7" t="s">
        <v>365</v>
      </c>
      <c r="C105" s="7"/>
      <c r="D105" s="5">
        <v>6177500</v>
      </c>
    </row>
    <row r="106" spans="1:4" ht="15.75">
      <c r="A106" s="1">
        <v>45805</v>
      </c>
      <c r="B106" s="7" t="s">
        <v>317</v>
      </c>
      <c r="C106" s="2"/>
      <c r="D106" s="2">
        <v>300000</v>
      </c>
    </row>
    <row r="107" spans="1:4" ht="15.75">
      <c r="A107" s="1">
        <v>45805</v>
      </c>
      <c r="B107" s="7" t="s">
        <v>318</v>
      </c>
      <c r="D107" s="2">
        <v>400000</v>
      </c>
    </row>
    <row r="108" spans="1:4" ht="15.75">
      <c r="A108" s="1">
        <v>45805</v>
      </c>
      <c r="B108" s="7" t="s">
        <v>6</v>
      </c>
      <c r="D108" s="5">
        <v>15000000</v>
      </c>
    </row>
    <row r="109" spans="1:4" ht="15.75">
      <c r="A109" s="1">
        <v>45805</v>
      </c>
      <c r="B109" s="7" t="s">
        <v>358</v>
      </c>
      <c r="C109" s="2"/>
      <c r="D109" s="2">
        <v>360000000</v>
      </c>
    </row>
    <row r="110" spans="1:4" ht="15.75">
      <c r="A110" s="1">
        <v>45805</v>
      </c>
      <c r="B110" t="s">
        <v>366</v>
      </c>
      <c r="D110" s="2">
        <v>40000000</v>
      </c>
    </row>
    <row r="111" spans="1:4" ht="15.75">
      <c r="A111" s="1">
        <v>45805</v>
      </c>
      <c r="B111" s="7" t="s">
        <v>10</v>
      </c>
      <c r="D111" s="2">
        <v>2500</v>
      </c>
    </row>
    <row r="112" spans="1:4" ht="15.75">
      <c r="A112" s="1">
        <v>45805</v>
      </c>
      <c r="B112" s="7" t="s">
        <v>367</v>
      </c>
      <c r="D112" s="2">
        <v>40000000</v>
      </c>
    </row>
    <row r="113" spans="1:4" ht="15.75">
      <c r="A113" s="1">
        <v>45805</v>
      </c>
      <c r="B113" s="7" t="s">
        <v>10</v>
      </c>
      <c r="D113" s="2">
        <v>2500</v>
      </c>
    </row>
    <row r="114" spans="1:4" ht="15.75">
      <c r="A114" s="1">
        <v>45805</v>
      </c>
      <c r="B114" s="7" t="s">
        <v>368</v>
      </c>
      <c r="D114" s="2">
        <v>52500000</v>
      </c>
    </row>
    <row r="115" spans="1:4" ht="15.75">
      <c r="A115" s="1">
        <v>45805</v>
      </c>
      <c r="B115" s="7" t="s">
        <v>10</v>
      </c>
      <c r="C115" s="5"/>
      <c r="D115" s="5">
        <v>2500</v>
      </c>
    </row>
    <row r="116" spans="1:4" ht="15.75">
      <c r="A116" s="1">
        <v>45806</v>
      </c>
      <c r="B116" s="7" t="s">
        <v>362</v>
      </c>
      <c r="D116" s="2">
        <v>273025</v>
      </c>
    </row>
    <row r="117" spans="1:4" ht="15.75">
      <c r="A117" s="1">
        <v>45807</v>
      </c>
      <c r="B117" s="7" t="s">
        <v>369</v>
      </c>
      <c r="D117" s="2">
        <v>350000</v>
      </c>
    </row>
    <row r="118" spans="1:4" ht="15.75">
      <c r="A118" s="1">
        <v>45808</v>
      </c>
      <c r="B118" s="7" t="s">
        <v>370</v>
      </c>
      <c r="C118" s="7"/>
      <c r="D118" s="5">
        <v>800000</v>
      </c>
    </row>
    <row r="119" spans="1:4" ht="15.75">
      <c r="A119" s="1">
        <v>45808</v>
      </c>
      <c r="B119" s="7" t="s">
        <v>371</v>
      </c>
      <c r="C119" s="7"/>
      <c r="D119" s="5">
        <v>500000</v>
      </c>
    </row>
    <row r="120" spans="1:4" ht="15.75">
      <c r="A120" s="1">
        <v>45808</v>
      </c>
      <c r="B120" s="7" t="s">
        <v>372</v>
      </c>
      <c r="D120" s="2">
        <v>150000</v>
      </c>
    </row>
    <row r="121" spans="1:4" ht="15.75">
      <c r="A121" s="1">
        <v>45808</v>
      </c>
      <c r="B121" t="s">
        <v>373</v>
      </c>
      <c r="C121" s="7"/>
      <c r="D121" s="5">
        <v>150000</v>
      </c>
    </row>
    <row r="122" spans="1:4" ht="15.75">
      <c r="A122" s="1">
        <v>45808</v>
      </c>
      <c r="B122" t="s">
        <v>371</v>
      </c>
      <c r="C122" s="7"/>
      <c r="D122" s="5">
        <v>11800000</v>
      </c>
    </row>
    <row r="123" spans="1:4" ht="15.75">
      <c r="A123" s="1">
        <v>45808</v>
      </c>
      <c r="B123" t="s">
        <v>370</v>
      </c>
      <c r="D123" s="2">
        <v>7020000</v>
      </c>
    </row>
    <row r="124" spans="1:4" ht="15.75">
      <c r="A124" s="1">
        <v>45808</v>
      </c>
      <c r="B124" t="s">
        <v>374</v>
      </c>
      <c r="C124" s="5"/>
      <c r="D124" s="2">
        <v>5692000</v>
      </c>
    </row>
    <row r="125" spans="1:4" ht="15.75">
      <c r="A125" s="1">
        <v>45808</v>
      </c>
      <c r="B125" t="s">
        <v>375</v>
      </c>
      <c r="D125" s="2">
        <v>6000000</v>
      </c>
    </row>
    <row r="126" spans="1:4" ht="15.75">
      <c r="A126" s="1">
        <v>45808</v>
      </c>
      <c r="B126" t="s">
        <v>372</v>
      </c>
      <c r="C126" s="7"/>
      <c r="D126" s="5">
        <v>4620000</v>
      </c>
    </row>
    <row r="127" spans="1:4" ht="15.75">
      <c r="A127" s="1">
        <v>45808</v>
      </c>
      <c r="B127" t="s">
        <v>373</v>
      </c>
      <c r="C127" s="7"/>
      <c r="D127" s="5">
        <v>4340000</v>
      </c>
    </row>
    <row r="128" spans="1:4" ht="15.75">
      <c r="A128" s="1">
        <v>45808</v>
      </c>
      <c r="B128" t="s">
        <v>376</v>
      </c>
      <c r="D128" s="2">
        <v>5250000</v>
      </c>
    </row>
    <row r="129" spans="1:4" ht="15.75">
      <c r="A129" s="1">
        <v>45808</v>
      </c>
      <c r="B129" t="s">
        <v>377</v>
      </c>
      <c r="D129" s="2">
        <v>1355000</v>
      </c>
    </row>
    <row r="130" spans="1:4" ht="15.75">
      <c r="A130" s="1">
        <v>45808</v>
      </c>
      <c r="B130" t="s">
        <v>378</v>
      </c>
      <c r="D130" s="2">
        <v>1735000</v>
      </c>
    </row>
    <row r="131" spans="1:4" ht="15.75">
      <c r="A131" s="1">
        <v>45808</v>
      </c>
      <c r="B131" t="s">
        <v>379</v>
      </c>
      <c r="D131" s="2">
        <v>2575000</v>
      </c>
    </row>
    <row r="132" spans="1:4" ht="15.75">
      <c r="A132" s="1">
        <v>45808</v>
      </c>
      <c r="B132" t="s">
        <v>380</v>
      </c>
      <c r="C132" s="5"/>
      <c r="D132" s="2">
        <v>1500000</v>
      </c>
    </row>
    <row r="133" spans="1:4" ht="15.75">
      <c r="A133" s="1">
        <v>45808</v>
      </c>
      <c r="B133" t="s">
        <v>381</v>
      </c>
      <c r="C133" s="5"/>
      <c r="D133" s="2">
        <v>1895000</v>
      </c>
    </row>
    <row r="134" spans="1:4" ht="15.75">
      <c r="A134" s="1">
        <v>45808</v>
      </c>
      <c r="B134" t="s">
        <v>382</v>
      </c>
      <c r="D134" s="2">
        <v>2823000</v>
      </c>
    </row>
    <row r="135" spans="1:4" ht="15.75">
      <c r="A135" s="1">
        <v>45808</v>
      </c>
      <c r="B135" t="s">
        <v>383</v>
      </c>
      <c r="D135" s="2">
        <v>468000</v>
      </c>
    </row>
    <row r="136" spans="1:4" ht="15.75">
      <c r="A136" s="1">
        <v>45808</v>
      </c>
      <c r="B136" t="s">
        <v>384</v>
      </c>
      <c r="D136" s="2">
        <v>2505000</v>
      </c>
    </row>
    <row r="137" spans="1:4" ht="15.75">
      <c r="A137" s="1">
        <v>45808</v>
      </c>
      <c r="B137" t="s">
        <v>385</v>
      </c>
      <c r="C137" s="5"/>
      <c r="D137" s="5">
        <v>2150000</v>
      </c>
    </row>
    <row r="138" spans="1:4" ht="15.75">
      <c r="A138" s="1">
        <v>45808</v>
      </c>
      <c r="B138" s="4" t="s">
        <v>330</v>
      </c>
      <c r="C138" s="7"/>
      <c r="D138" s="5">
        <v>1500000</v>
      </c>
    </row>
    <row r="139" spans="1:4" ht="15.75">
      <c r="A139" s="1">
        <v>45808</v>
      </c>
      <c r="B139" t="s">
        <v>10</v>
      </c>
      <c r="C139" s="5"/>
      <c r="D139" s="5">
        <v>2500</v>
      </c>
    </row>
    <row r="140" spans="1:4" ht="15.75">
      <c r="A140" s="1">
        <v>45808</v>
      </c>
      <c r="B140" t="s">
        <v>386</v>
      </c>
      <c r="D140" s="5">
        <v>425000</v>
      </c>
    </row>
    <row r="141" spans="1:4" ht="15.75">
      <c r="A141" s="1">
        <v>45808</v>
      </c>
      <c r="B141" t="s">
        <v>387</v>
      </c>
      <c r="D141" s="2">
        <v>1175000</v>
      </c>
    </row>
    <row r="142" spans="1:4" ht="15.75">
      <c r="B142" t="s">
        <v>69</v>
      </c>
      <c r="C142" s="7"/>
      <c r="D142" s="5">
        <v>30000</v>
      </c>
    </row>
    <row r="143" spans="1:4" ht="15.75">
      <c r="A143" s="1"/>
      <c r="B143" t="s">
        <v>70</v>
      </c>
      <c r="C143" s="19"/>
      <c r="D143" s="8">
        <v>44060.81</v>
      </c>
    </row>
    <row r="144" spans="1:4" ht="15.75">
      <c r="A144" s="1"/>
      <c r="C144" s="8"/>
      <c r="D144" s="8"/>
    </row>
    <row r="145" spans="1:4" ht="15.75">
      <c r="A145" s="1"/>
      <c r="B145" s="7"/>
      <c r="C145" s="19"/>
      <c r="D145" s="19">
        <f>SUM(D5:D144)</f>
        <v>2811725131.8099999</v>
      </c>
    </row>
    <row r="146" spans="1:4" ht="15.75">
      <c r="A146" s="1"/>
      <c r="B146" s="7"/>
      <c r="C146" s="19"/>
      <c r="D146" s="19">
        <v>2811725131.8099999</v>
      </c>
    </row>
    <row r="147" spans="1:4" ht="15.75">
      <c r="B147" s="7"/>
      <c r="C147" s="8"/>
      <c r="D147" s="8"/>
    </row>
    <row r="148" spans="1:4" ht="15.75">
      <c r="C148" s="8"/>
      <c r="D148" s="8"/>
    </row>
    <row r="149" spans="1:4" ht="15.75"/>
    <row r="150" spans="1:4" ht="15.75"/>
    <row r="151" spans="1:4" ht="15.75"/>
    <row r="152" spans="1:4" ht="15.75"/>
    <row r="153" spans="1:4" ht="15.75"/>
    <row r="154" spans="1:4" ht="15.75"/>
    <row r="155" spans="1:4" ht="15.7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97A29-707F-0C4D-B314-74AD6B71BFD7}">
  <dimension ref="A1:D157"/>
  <sheetViews>
    <sheetView workbookViewId="0">
      <selection activeCell="A13" sqref="A13:D13"/>
    </sheetView>
  </sheetViews>
  <sheetFormatPr defaultColWidth="11" defaultRowHeight="15.95"/>
  <cols>
    <col min="2" max="2" width="32.875" customWidth="1"/>
    <col min="3" max="3" width="14.375" customWidth="1"/>
    <col min="4" max="4" width="21" customWidth="1"/>
  </cols>
  <sheetData>
    <row r="1" spans="1:4">
      <c r="A1" t="s">
        <v>388</v>
      </c>
    </row>
    <row r="3" spans="1:4">
      <c r="A3" t="s">
        <v>1</v>
      </c>
    </row>
    <row r="4" spans="1:4">
      <c r="A4" t="s">
        <v>2</v>
      </c>
      <c r="B4" t="s">
        <v>3</v>
      </c>
      <c r="C4" t="s">
        <v>4</v>
      </c>
      <c r="D4" t="s">
        <v>389</v>
      </c>
    </row>
    <row r="5" spans="1:4">
      <c r="A5" s="1">
        <v>45810</v>
      </c>
      <c r="B5" t="s">
        <v>6</v>
      </c>
      <c r="D5" s="2">
        <v>15000000</v>
      </c>
    </row>
    <row r="6" spans="1:4">
      <c r="A6" s="3">
        <v>45810</v>
      </c>
      <c r="B6" s="7" t="s">
        <v>390</v>
      </c>
      <c r="C6" s="7"/>
      <c r="D6" s="5">
        <v>34440000</v>
      </c>
    </row>
    <row r="7" spans="1:4">
      <c r="A7" s="3">
        <v>45810</v>
      </c>
      <c r="B7" s="7" t="s">
        <v>391</v>
      </c>
      <c r="C7" s="7"/>
      <c r="D7" s="5">
        <v>38610000</v>
      </c>
    </row>
    <row r="8" spans="1:4">
      <c r="A8" s="1">
        <v>45811</v>
      </c>
      <c r="B8" s="4" t="s">
        <v>392</v>
      </c>
      <c r="C8" s="4"/>
      <c r="D8" s="44">
        <v>20000000</v>
      </c>
    </row>
    <row r="9" spans="1:4">
      <c r="A9" s="1">
        <v>45811</v>
      </c>
      <c r="B9" s="7" t="s">
        <v>10</v>
      </c>
      <c r="C9" s="7"/>
      <c r="D9" s="5">
        <v>2500</v>
      </c>
    </row>
    <row r="10" spans="1:4">
      <c r="A10" s="1">
        <v>45811</v>
      </c>
      <c r="B10" s="4" t="s">
        <v>330</v>
      </c>
      <c r="C10" s="7"/>
      <c r="D10" s="5">
        <v>2500000</v>
      </c>
    </row>
    <row r="11" spans="1:4">
      <c r="A11" s="1">
        <v>45811</v>
      </c>
      <c r="B11" s="7" t="s">
        <v>10</v>
      </c>
      <c r="C11" s="7"/>
      <c r="D11" s="5">
        <v>2500</v>
      </c>
    </row>
    <row r="12" spans="1:4">
      <c r="A12" s="1">
        <v>45811</v>
      </c>
      <c r="B12" t="s">
        <v>393</v>
      </c>
      <c r="D12" s="2">
        <v>51000</v>
      </c>
    </row>
    <row r="13" spans="1:4" ht="15.75">
      <c r="A13" s="1">
        <v>45812</v>
      </c>
      <c r="B13" s="4" t="s">
        <v>394</v>
      </c>
      <c r="D13">
        <f>6500*8</f>
        <v>52000</v>
      </c>
    </row>
    <row r="14" spans="1:4" ht="15.75">
      <c r="A14" s="1">
        <v>45812</v>
      </c>
      <c r="B14" s="7" t="s">
        <v>276</v>
      </c>
      <c r="C14" s="5"/>
      <c r="D14" s="2">
        <v>5772000</v>
      </c>
    </row>
    <row r="15" spans="1:4" ht="15.75">
      <c r="A15" s="1">
        <v>45812</v>
      </c>
      <c r="B15" s="7" t="s">
        <v>10</v>
      </c>
      <c r="C15" s="5"/>
      <c r="D15" s="2">
        <v>2500</v>
      </c>
    </row>
    <row r="16" spans="1:4" ht="15.75">
      <c r="A16" s="3">
        <v>45812</v>
      </c>
      <c r="B16" t="s">
        <v>66</v>
      </c>
      <c r="C16" s="7"/>
      <c r="D16" s="5">
        <v>2043494</v>
      </c>
    </row>
    <row r="17" spans="1:4" ht="15.75">
      <c r="A17" s="3">
        <v>45812</v>
      </c>
      <c r="B17" s="7" t="s">
        <v>53</v>
      </c>
      <c r="C17" s="7"/>
      <c r="D17" s="5">
        <v>363750</v>
      </c>
    </row>
    <row r="18" spans="1:4" ht="15.75">
      <c r="A18" s="3">
        <v>45812</v>
      </c>
      <c r="B18" s="4" t="s">
        <v>395</v>
      </c>
      <c r="C18" s="7"/>
      <c r="D18" s="5">
        <v>3000000</v>
      </c>
    </row>
    <row r="19" spans="1:4" ht="15.75">
      <c r="A19" s="3">
        <v>45813</v>
      </c>
      <c r="B19" t="s">
        <v>6</v>
      </c>
      <c r="C19" s="7"/>
      <c r="D19" s="5">
        <v>10000000</v>
      </c>
    </row>
    <row r="20" spans="1:4" ht="15.75">
      <c r="A20" s="1">
        <v>45813</v>
      </c>
      <c r="B20" t="s">
        <v>396</v>
      </c>
      <c r="C20" s="7"/>
      <c r="D20" s="5">
        <v>14000000</v>
      </c>
    </row>
    <row r="21" spans="1:4" ht="15.75">
      <c r="A21" s="3">
        <v>45813</v>
      </c>
      <c r="B21" t="s">
        <v>397</v>
      </c>
      <c r="D21" s="2">
        <v>5000000</v>
      </c>
    </row>
    <row r="22" spans="1:4" ht="15.75">
      <c r="A22" s="3">
        <v>45813</v>
      </c>
      <c r="B22" s="7" t="s">
        <v>398</v>
      </c>
      <c r="C22" s="5"/>
      <c r="D22" s="5">
        <v>27000000</v>
      </c>
    </row>
    <row r="23" spans="1:4" ht="15.75">
      <c r="A23" s="3">
        <v>45813</v>
      </c>
      <c r="B23" s="4" t="s">
        <v>399</v>
      </c>
      <c r="C23" s="4"/>
      <c r="D23" s="44">
        <v>100000</v>
      </c>
    </row>
    <row r="24" spans="1:4" ht="15.75">
      <c r="A24" s="3">
        <v>45813</v>
      </c>
      <c r="B24" s="4" t="s">
        <v>400</v>
      </c>
      <c r="C24" s="4"/>
      <c r="D24" s="44">
        <v>100000</v>
      </c>
    </row>
    <row r="25" spans="1:4" ht="15.75">
      <c r="A25" s="3">
        <v>45813</v>
      </c>
      <c r="B25" s="4" t="s">
        <v>401</v>
      </c>
      <c r="C25" s="4"/>
      <c r="D25" s="44">
        <v>100000</v>
      </c>
    </row>
    <row r="26" spans="1:4" ht="15.75">
      <c r="A26" s="3">
        <v>45813</v>
      </c>
      <c r="B26" s="4" t="s">
        <v>402</v>
      </c>
      <c r="C26" s="4"/>
      <c r="D26" s="44">
        <v>100000</v>
      </c>
    </row>
    <row r="27" spans="1:4" ht="15.75">
      <c r="A27" s="3">
        <v>45813</v>
      </c>
      <c r="B27" s="4" t="s">
        <v>403</v>
      </c>
      <c r="C27" s="4"/>
      <c r="D27" s="44">
        <v>100000</v>
      </c>
    </row>
    <row r="28" spans="1:4" ht="15.75">
      <c r="A28" s="3">
        <v>45813</v>
      </c>
      <c r="B28" s="4" t="s">
        <v>404</v>
      </c>
      <c r="C28" s="4"/>
      <c r="D28" s="44">
        <v>30000000</v>
      </c>
    </row>
    <row r="29" spans="1:4" ht="15.75">
      <c r="A29" s="3">
        <v>45813</v>
      </c>
      <c r="B29" t="s">
        <v>10</v>
      </c>
      <c r="C29" s="4"/>
      <c r="D29" s="44">
        <v>2500</v>
      </c>
    </row>
    <row r="30" spans="1:4" ht="15.75">
      <c r="A30" s="3">
        <v>45813</v>
      </c>
      <c r="B30" s="7" t="s">
        <v>405</v>
      </c>
      <c r="C30" s="5"/>
      <c r="D30" s="5">
        <v>125764337</v>
      </c>
    </row>
    <row r="31" spans="1:4" ht="15.75">
      <c r="A31" s="3">
        <v>45813</v>
      </c>
      <c r="B31" s="4" t="s">
        <v>406</v>
      </c>
      <c r="C31" s="44"/>
      <c r="D31" s="44">
        <v>700000</v>
      </c>
    </row>
    <row r="32" spans="1:4" ht="15.75">
      <c r="A32" s="3">
        <v>45814</v>
      </c>
      <c r="B32" s="4" t="s">
        <v>407</v>
      </c>
      <c r="C32" s="4"/>
      <c r="D32" s="44">
        <v>130000000</v>
      </c>
    </row>
    <row r="33" spans="1:4" ht="15.75">
      <c r="A33" s="3">
        <v>45814</v>
      </c>
      <c r="B33" t="s">
        <v>10</v>
      </c>
      <c r="D33" s="2">
        <v>2500</v>
      </c>
    </row>
    <row r="34" spans="1:4" ht="15.75">
      <c r="A34" s="3">
        <v>45814</v>
      </c>
      <c r="B34" s="4" t="s">
        <v>408</v>
      </c>
      <c r="C34" s="4"/>
      <c r="D34" s="44">
        <v>26865000</v>
      </c>
    </row>
    <row r="35" spans="1:4" ht="15.75">
      <c r="A35" s="3">
        <v>45814</v>
      </c>
      <c r="B35" s="7" t="s">
        <v>409</v>
      </c>
      <c r="C35" s="4"/>
      <c r="D35" s="44">
        <v>2500</v>
      </c>
    </row>
    <row r="36" spans="1:4" ht="15.75">
      <c r="A36" s="3">
        <v>45814</v>
      </c>
      <c r="B36" s="7" t="s">
        <v>353</v>
      </c>
      <c r="C36" s="5"/>
      <c r="D36" s="5">
        <v>51250000</v>
      </c>
    </row>
    <row r="37" spans="1:4" ht="15.75">
      <c r="A37" s="3">
        <v>45814</v>
      </c>
      <c r="B37" s="7" t="s">
        <v>10</v>
      </c>
      <c r="C37" s="5"/>
      <c r="D37" s="5">
        <v>2500</v>
      </c>
    </row>
    <row r="38" spans="1:4" ht="15.75">
      <c r="A38" s="3">
        <v>45814</v>
      </c>
      <c r="B38" s="7" t="s">
        <v>410</v>
      </c>
      <c r="C38" s="5"/>
      <c r="D38" s="5">
        <v>19000000</v>
      </c>
    </row>
    <row r="39" spans="1:4" ht="15.75">
      <c r="A39" s="3">
        <v>45814</v>
      </c>
      <c r="B39" s="7" t="s">
        <v>10</v>
      </c>
      <c r="C39" s="5"/>
      <c r="D39" s="5">
        <v>2500</v>
      </c>
    </row>
    <row r="40" spans="1:4" ht="15.75">
      <c r="A40" s="3">
        <v>45814</v>
      </c>
      <c r="B40" s="7" t="s">
        <v>411</v>
      </c>
      <c r="C40" s="7"/>
      <c r="D40" s="5">
        <v>20000000</v>
      </c>
    </row>
    <row r="41" spans="1:4" ht="15.75">
      <c r="A41" s="3">
        <v>45814</v>
      </c>
      <c r="B41" s="7" t="s">
        <v>10</v>
      </c>
      <c r="C41" s="7"/>
      <c r="D41" s="5">
        <v>2500</v>
      </c>
    </row>
    <row r="42" spans="1:4" ht="15.75">
      <c r="A42" s="3">
        <v>45814</v>
      </c>
      <c r="B42" s="7" t="s">
        <v>412</v>
      </c>
      <c r="C42" s="7"/>
      <c r="D42" s="5">
        <v>675000</v>
      </c>
    </row>
    <row r="43" spans="1:4" ht="15.75">
      <c r="A43" s="3">
        <v>45815</v>
      </c>
      <c r="B43" s="4" t="s">
        <v>413</v>
      </c>
      <c r="C43" s="5"/>
      <c r="D43" s="5">
        <v>265500</v>
      </c>
    </row>
    <row r="44" spans="1:4" ht="15.75">
      <c r="A44" s="3">
        <v>45817</v>
      </c>
      <c r="B44" s="7" t="s">
        <v>414</v>
      </c>
      <c r="C44" s="5"/>
      <c r="D44" s="5">
        <v>150000</v>
      </c>
    </row>
    <row r="45" spans="1:4" ht="15.75">
      <c r="A45" s="3">
        <v>45817</v>
      </c>
      <c r="B45" s="7" t="s">
        <v>395</v>
      </c>
      <c r="C45" s="5"/>
      <c r="D45" s="5">
        <v>500000</v>
      </c>
    </row>
    <row r="46" spans="1:4" ht="15.75">
      <c r="A46" s="3">
        <v>45817</v>
      </c>
      <c r="B46" s="7" t="s">
        <v>415</v>
      </c>
      <c r="C46" s="5"/>
      <c r="D46" s="5">
        <v>500000</v>
      </c>
    </row>
    <row r="47" spans="1:4" ht="15.75">
      <c r="A47" s="3">
        <v>45817</v>
      </c>
      <c r="B47" s="7" t="s">
        <v>416</v>
      </c>
      <c r="C47" s="5"/>
      <c r="D47" s="5">
        <v>8000000</v>
      </c>
    </row>
    <row r="48" spans="1:4" ht="15.75">
      <c r="A48" s="3">
        <v>45818</v>
      </c>
      <c r="B48" s="7" t="s">
        <v>6</v>
      </c>
      <c r="C48" s="5"/>
      <c r="D48" s="5">
        <v>15000000</v>
      </c>
    </row>
    <row r="49" spans="1:4" ht="15.75">
      <c r="A49" s="3">
        <v>45818</v>
      </c>
      <c r="B49" s="7" t="s">
        <v>417</v>
      </c>
      <c r="C49" s="7"/>
      <c r="D49" s="5">
        <v>70500000</v>
      </c>
    </row>
    <row r="50" spans="1:4" ht="15.75">
      <c r="A50" s="3">
        <v>45818</v>
      </c>
      <c r="B50" s="7" t="s">
        <v>417</v>
      </c>
      <c r="C50" s="7"/>
      <c r="D50" s="5">
        <v>23000000</v>
      </c>
    </row>
    <row r="51" spans="1:4" ht="15.75">
      <c r="A51" s="3">
        <v>45818</v>
      </c>
      <c r="B51" s="7" t="s">
        <v>418</v>
      </c>
      <c r="C51" s="7"/>
      <c r="D51" s="5">
        <v>470000</v>
      </c>
    </row>
    <row r="52" spans="1:4" ht="15.75">
      <c r="A52" s="3">
        <v>45818</v>
      </c>
      <c r="B52" s="7" t="s">
        <v>291</v>
      </c>
      <c r="C52" s="7"/>
      <c r="D52" s="5">
        <v>7500000</v>
      </c>
    </row>
    <row r="53" spans="1:4" ht="15.75">
      <c r="A53" s="3">
        <v>45818</v>
      </c>
      <c r="B53" s="7" t="s">
        <v>10</v>
      </c>
      <c r="C53" s="7"/>
      <c r="D53" s="5">
        <v>2500</v>
      </c>
    </row>
    <row r="54" spans="1:4" ht="15.75">
      <c r="A54" s="3">
        <v>45819</v>
      </c>
      <c r="B54" s="7" t="s">
        <v>419</v>
      </c>
      <c r="C54" s="7"/>
      <c r="D54" s="5">
        <v>550000</v>
      </c>
    </row>
    <row r="55" spans="1:4" ht="15.75">
      <c r="A55" s="3">
        <v>45819</v>
      </c>
      <c r="B55" s="7" t="s">
        <v>420</v>
      </c>
      <c r="C55" s="7"/>
      <c r="D55" s="5">
        <v>66000</v>
      </c>
    </row>
    <row r="56" spans="1:4" ht="15.75">
      <c r="A56" s="3">
        <v>45819</v>
      </c>
      <c r="B56" s="7" t="s">
        <v>10</v>
      </c>
      <c r="C56" s="5"/>
      <c r="D56" s="5">
        <v>2500</v>
      </c>
    </row>
    <row r="57" spans="1:4" ht="15.75">
      <c r="A57" s="3">
        <v>45819</v>
      </c>
      <c r="B57" s="7" t="s">
        <v>393</v>
      </c>
      <c r="C57" s="5"/>
      <c r="D57" s="5">
        <v>455900</v>
      </c>
    </row>
    <row r="58" spans="1:4" ht="15.75">
      <c r="A58" s="3">
        <v>45819</v>
      </c>
      <c r="B58" s="4" t="s">
        <v>421</v>
      </c>
      <c r="C58" s="7"/>
      <c r="D58" s="5">
        <v>11940000</v>
      </c>
    </row>
    <row r="59" spans="1:4" ht="15.75">
      <c r="A59" s="3">
        <v>45819</v>
      </c>
      <c r="B59" s="7" t="s">
        <v>10</v>
      </c>
      <c r="C59" s="7"/>
      <c r="D59" s="5">
        <v>2500</v>
      </c>
    </row>
    <row r="60" spans="1:4" ht="15.75">
      <c r="A60" s="3">
        <v>45819</v>
      </c>
      <c r="B60" s="7" t="s">
        <v>422</v>
      </c>
      <c r="C60" s="5"/>
      <c r="D60" s="5">
        <v>36450000</v>
      </c>
    </row>
    <row r="61" spans="1:4" ht="15.75">
      <c r="A61" s="3">
        <v>45819</v>
      </c>
      <c r="B61" s="7" t="s">
        <v>10</v>
      </c>
      <c r="C61" s="7"/>
      <c r="D61" s="5">
        <v>2500</v>
      </c>
    </row>
    <row r="62" spans="1:4" ht="15.75">
      <c r="A62" s="3">
        <v>45819</v>
      </c>
      <c r="B62" s="7" t="s">
        <v>423</v>
      </c>
      <c r="C62" s="7"/>
      <c r="D62" s="5">
        <v>27500000</v>
      </c>
    </row>
    <row r="63" spans="1:4" ht="15.75">
      <c r="A63" s="3">
        <v>45819</v>
      </c>
      <c r="B63" s="7" t="s">
        <v>10</v>
      </c>
      <c r="C63" s="7"/>
      <c r="D63" s="5">
        <v>2500</v>
      </c>
    </row>
    <row r="64" spans="1:4" ht="15.75">
      <c r="A64" s="3">
        <v>45819</v>
      </c>
      <c r="B64" s="7" t="s">
        <v>424</v>
      </c>
      <c r="C64" s="7"/>
      <c r="D64" s="5">
        <v>60000000</v>
      </c>
    </row>
    <row r="65" spans="1:4" ht="15.75">
      <c r="A65" s="3">
        <v>45819</v>
      </c>
      <c r="B65" s="7" t="s">
        <v>10</v>
      </c>
      <c r="C65" s="7"/>
      <c r="D65" s="5">
        <v>2500</v>
      </c>
    </row>
    <row r="66" spans="1:4" ht="15.75">
      <c r="A66" s="3">
        <v>45820</v>
      </c>
      <c r="B66" s="7" t="s">
        <v>425</v>
      </c>
      <c r="C66" s="5"/>
      <c r="D66" s="5">
        <v>2480000</v>
      </c>
    </row>
    <row r="67" spans="1:4" ht="15.75">
      <c r="A67" s="3">
        <v>45820</v>
      </c>
      <c r="B67" s="7" t="s">
        <v>426</v>
      </c>
      <c r="C67" s="7"/>
      <c r="D67" s="5">
        <v>27750000</v>
      </c>
    </row>
    <row r="68" spans="1:4" ht="15.75">
      <c r="A68" s="3">
        <v>45820</v>
      </c>
      <c r="B68" s="7" t="s">
        <v>10</v>
      </c>
      <c r="C68" s="7"/>
      <c r="D68" s="5">
        <v>2500</v>
      </c>
    </row>
    <row r="69" spans="1:4" ht="15.75">
      <c r="A69" s="3">
        <v>45820</v>
      </c>
      <c r="B69" s="7" t="s">
        <v>427</v>
      </c>
      <c r="C69" s="5"/>
      <c r="D69" s="5">
        <v>13875000</v>
      </c>
    </row>
    <row r="70" spans="1:4" ht="15.75">
      <c r="A70" s="3">
        <v>45820</v>
      </c>
      <c r="B70" s="7" t="s">
        <v>10</v>
      </c>
      <c r="C70" s="7"/>
      <c r="D70" s="5">
        <v>2500</v>
      </c>
    </row>
    <row r="71" spans="1:4" ht="15.75">
      <c r="A71" s="3">
        <v>45820</v>
      </c>
      <c r="B71" s="7" t="s">
        <v>415</v>
      </c>
      <c r="C71" s="7"/>
      <c r="D71" s="5">
        <v>5000000</v>
      </c>
    </row>
    <row r="72" spans="1:4" ht="15.75">
      <c r="A72" s="3">
        <v>45821</v>
      </c>
      <c r="B72" s="7" t="s">
        <v>428</v>
      </c>
      <c r="C72" s="5"/>
      <c r="D72" s="5">
        <v>700000</v>
      </c>
    </row>
    <row r="73" spans="1:4" ht="15.75">
      <c r="A73" s="3">
        <v>45821</v>
      </c>
      <c r="B73" s="7" t="s">
        <v>10</v>
      </c>
      <c r="C73" s="7"/>
      <c r="D73" s="5">
        <v>2500</v>
      </c>
    </row>
    <row r="74" spans="1:4" ht="15.75">
      <c r="A74" s="3">
        <v>45821</v>
      </c>
      <c r="B74" s="7" t="s">
        <v>429</v>
      </c>
      <c r="C74" s="7"/>
      <c r="D74" s="5">
        <v>10000000</v>
      </c>
    </row>
    <row r="75" spans="1:4" ht="15.75">
      <c r="A75" s="3">
        <v>45821</v>
      </c>
      <c r="B75" s="7" t="s">
        <v>6</v>
      </c>
      <c r="C75" s="7"/>
      <c r="D75" s="5">
        <v>15000000</v>
      </c>
    </row>
    <row r="76" spans="1:4" ht="15.75">
      <c r="A76" s="3">
        <v>45821</v>
      </c>
      <c r="B76" s="7" t="s">
        <v>430</v>
      </c>
      <c r="C76" s="5"/>
      <c r="D76" s="5">
        <v>3928500</v>
      </c>
    </row>
    <row r="77" spans="1:4" ht="15.75">
      <c r="A77" s="3">
        <v>45821</v>
      </c>
      <c r="B77" s="7" t="s">
        <v>54</v>
      </c>
      <c r="C77" s="7"/>
      <c r="D77" s="5">
        <v>5478720</v>
      </c>
    </row>
    <row r="78" spans="1:4" ht="15.75">
      <c r="A78" s="3">
        <v>45823</v>
      </c>
      <c r="B78" s="7" t="s">
        <v>431</v>
      </c>
      <c r="C78" s="5"/>
      <c r="D78" s="5">
        <v>350000</v>
      </c>
    </row>
    <row r="79" spans="1:4" ht="15.75">
      <c r="A79" s="3">
        <v>45823</v>
      </c>
      <c r="B79" s="7" t="s">
        <v>415</v>
      </c>
      <c r="C79" s="7"/>
      <c r="D79" s="5">
        <v>4000000</v>
      </c>
    </row>
    <row r="80" spans="1:4" ht="15.75">
      <c r="A80" s="3">
        <v>45823</v>
      </c>
      <c r="B80" s="7" t="s">
        <v>415</v>
      </c>
      <c r="C80" s="7"/>
      <c r="D80" s="5">
        <v>500000</v>
      </c>
    </row>
    <row r="81" spans="1:4" ht="15.75">
      <c r="A81" s="3">
        <v>45823</v>
      </c>
      <c r="B81" s="7" t="s">
        <v>395</v>
      </c>
      <c r="C81" s="5"/>
      <c r="D81" s="5">
        <v>500000</v>
      </c>
    </row>
    <row r="82" spans="1:4" ht="15.75">
      <c r="A82" s="3">
        <v>45823</v>
      </c>
      <c r="B82" s="7" t="s">
        <v>414</v>
      </c>
      <c r="C82" s="5"/>
      <c r="D82" s="5">
        <v>150000</v>
      </c>
    </row>
    <row r="83" spans="1:4" ht="15.75">
      <c r="A83" s="3">
        <v>45824</v>
      </c>
      <c r="B83" t="s">
        <v>6</v>
      </c>
      <c r="C83" s="7"/>
      <c r="D83" s="5">
        <v>10000000</v>
      </c>
    </row>
    <row r="84" spans="1:4" ht="15.75">
      <c r="A84" s="3">
        <v>45824</v>
      </c>
      <c r="B84" s="4" t="s">
        <v>432</v>
      </c>
      <c r="C84" s="5"/>
      <c r="D84" s="5">
        <f>8000*450</f>
        <v>3600000</v>
      </c>
    </row>
    <row r="85" spans="1:4" ht="15.75">
      <c r="A85" s="3">
        <v>45824</v>
      </c>
      <c r="B85" s="4" t="s">
        <v>433</v>
      </c>
      <c r="C85" s="7"/>
      <c r="D85" s="5">
        <v>1000000</v>
      </c>
    </row>
    <row r="86" spans="1:4" ht="15.75">
      <c r="A86" s="3">
        <v>45824</v>
      </c>
      <c r="B86" t="s">
        <v>434</v>
      </c>
      <c r="C86" s="7"/>
      <c r="D86" s="5">
        <v>1500000</v>
      </c>
    </row>
    <row r="87" spans="1:4" ht="15.75">
      <c r="A87" s="3">
        <v>45825</v>
      </c>
      <c r="B87" t="s">
        <v>393</v>
      </c>
      <c r="C87" s="7"/>
      <c r="D87" s="5">
        <v>445225</v>
      </c>
    </row>
    <row r="88" spans="1:4" ht="15.75">
      <c r="A88" s="3">
        <v>45825</v>
      </c>
      <c r="B88" s="4" t="s">
        <v>433</v>
      </c>
      <c r="C88" s="7"/>
      <c r="D88" s="5">
        <v>2000000</v>
      </c>
    </row>
    <row r="89" spans="1:4" ht="15.75">
      <c r="A89" s="3">
        <v>45825</v>
      </c>
      <c r="B89" s="7" t="s">
        <v>276</v>
      </c>
      <c r="C89" s="7"/>
      <c r="D89" s="5">
        <v>5772000</v>
      </c>
    </row>
    <row r="90" spans="1:4" ht="15.75">
      <c r="A90" s="3">
        <v>45825</v>
      </c>
      <c r="B90" s="7" t="s">
        <v>10</v>
      </c>
      <c r="C90" s="7"/>
      <c r="D90" s="5">
        <v>2500</v>
      </c>
    </row>
    <row r="91" spans="1:4" ht="15.75">
      <c r="A91" s="3">
        <v>45826</v>
      </c>
      <c r="B91" t="s">
        <v>6</v>
      </c>
      <c r="C91" s="7"/>
      <c r="D91" s="5">
        <v>10000000</v>
      </c>
    </row>
    <row r="92" spans="1:4" ht="15.75">
      <c r="A92" s="3">
        <v>45826</v>
      </c>
      <c r="B92" t="s">
        <v>6</v>
      </c>
      <c r="C92" s="7"/>
      <c r="D92" s="5">
        <v>200000000</v>
      </c>
    </row>
    <row r="93" spans="1:4" ht="15.75">
      <c r="A93" s="3">
        <v>45826</v>
      </c>
      <c r="B93" s="7" t="s">
        <v>435</v>
      </c>
      <c r="C93" s="5"/>
      <c r="D93" s="5">
        <v>299700</v>
      </c>
    </row>
    <row r="94" spans="1:4" ht="15.75">
      <c r="A94" s="3">
        <v>45826</v>
      </c>
      <c r="B94" s="7" t="s">
        <v>436</v>
      </c>
      <c r="C94" s="5"/>
      <c r="D94" s="5">
        <v>1500000</v>
      </c>
    </row>
    <row r="95" spans="1:4" ht="15.75">
      <c r="A95" s="3">
        <v>45827</v>
      </c>
      <c r="B95" s="4" t="s">
        <v>437</v>
      </c>
      <c r="C95" s="5"/>
      <c r="D95" s="5">
        <f>520*8000</f>
        <v>4160000</v>
      </c>
    </row>
    <row r="96" spans="1:4" ht="15.75">
      <c r="A96" s="3">
        <v>45827</v>
      </c>
      <c r="B96" s="4" t="s">
        <v>431</v>
      </c>
      <c r="C96" s="7"/>
      <c r="D96" s="5">
        <v>250000</v>
      </c>
    </row>
    <row r="97" spans="1:4" ht="15.75">
      <c r="A97" s="3">
        <v>45827</v>
      </c>
      <c r="B97" s="4" t="s">
        <v>438</v>
      </c>
      <c r="C97" s="7"/>
      <c r="D97" s="5">
        <v>3000000</v>
      </c>
    </row>
    <row r="98" spans="1:4" ht="15.75">
      <c r="A98" s="3">
        <v>45827</v>
      </c>
      <c r="B98" s="4" t="s">
        <v>439</v>
      </c>
      <c r="C98" s="7"/>
      <c r="D98" s="5">
        <v>22500000</v>
      </c>
    </row>
    <row r="99" spans="1:4" ht="15.75">
      <c r="A99" s="3">
        <v>45827</v>
      </c>
      <c r="B99" s="7" t="s">
        <v>10</v>
      </c>
      <c r="C99" s="7"/>
      <c r="D99" s="5">
        <v>2500</v>
      </c>
    </row>
    <row r="100" spans="1:4" ht="15.75">
      <c r="A100" s="3">
        <v>45827</v>
      </c>
      <c r="B100" s="7" t="s">
        <v>440</v>
      </c>
      <c r="C100" s="5"/>
      <c r="D100" s="5">
        <v>1500000</v>
      </c>
    </row>
    <row r="101" spans="1:4" ht="15.75">
      <c r="A101" s="3">
        <v>45828</v>
      </c>
      <c r="B101" s="7" t="s">
        <v>441</v>
      </c>
      <c r="C101" s="5"/>
      <c r="D101" s="5">
        <v>20520900</v>
      </c>
    </row>
    <row r="102" spans="1:4" ht="15.75">
      <c r="A102" s="3">
        <v>45829</v>
      </c>
      <c r="B102" s="7" t="s">
        <v>442</v>
      </c>
      <c r="C102" s="7"/>
      <c r="D102" s="5">
        <v>15066000</v>
      </c>
    </row>
    <row r="103" spans="1:4" ht="15.75">
      <c r="A103" s="3">
        <v>45829</v>
      </c>
      <c r="B103" s="7" t="s">
        <v>6</v>
      </c>
      <c r="C103" s="7"/>
      <c r="D103" s="5">
        <v>15000000</v>
      </c>
    </row>
    <row r="104" spans="1:4" ht="15.75">
      <c r="A104" s="3">
        <v>45830</v>
      </c>
      <c r="B104" s="45" t="s">
        <v>435</v>
      </c>
      <c r="C104" s="7"/>
      <c r="D104" s="5">
        <v>299700</v>
      </c>
    </row>
    <row r="105" spans="1:4" ht="15.75">
      <c r="A105" s="3">
        <v>45830</v>
      </c>
      <c r="B105" s="4" t="s">
        <v>443</v>
      </c>
      <c r="C105" s="7"/>
      <c r="D105" s="5">
        <v>1000000</v>
      </c>
    </row>
    <row r="106" spans="1:4" ht="15.75">
      <c r="A106" s="3">
        <v>45830</v>
      </c>
      <c r="B106" s="4" t="s">
        <v>431</v>
      </c>
      <c r="C106" s="7"/>
      <c r="D106" s="5">
        <v>200000</v>
      </c>
    </row>
    <row r="107" spans="1:4" ht="15.75">
      <c r="A107" s="3">
        <v>45830</v>
      </c>
      <c r="B107" s="4" t="s">
        <v>414</v>
      </c>
      <c r="C107" s="7"/>
      <c r="D107" s="5">
        <v>150000</v>
      </c>
    </row>
    <row r="108" spans="1:4" ht="15.75">
      <c r="A108" s="3">
        <v>45830</v>
      </c>
      <c r="B108" s="4" t="s">
        <v>415</v>
      </c>
      <c r="C108" s="7"/>
      <c r="D108" s="5">
        <v>500000</v>
      </c>
    </row>
    <row r="109" spans="1:4" ht="15.75">
      <c r="A109" s="3">
        <v>45831</v>
      </c>
      <c r="B109" s="4" t="s">
        <v>444</v>
      </c>
      <c r="C109" s="7"/>
      <c r="D109" s="5">
        <v>2000000</v>
      </c>
    </row>
    <row r="110" spans="1:4" ht="15.75">
      <c r="A110" s="3">
        <v>45831</v>
      </c>
      <c r="B110" s="4" t="s">
        <v>425</v>
      </c>
      <c r="C110" s="7"/>
      <c r="D110" s="5">
        <v>4960000</v>
      </c>
    </row>
    <row r="111" spans="1:4" ht="15.75">
      <c r="A111" s="3">
        <v>45831</v>
      </c>
      <c r="B111" s="4" t="s">
        <v>445</v>
      </c>
      <c r="C111" s="5"/>
      <c r="D111" s="5">
        <v>62614615</v>
      </c>
    </row>
    <row r="112" spans="1:4" ht="15.75">
      <c r="A112" s="3">
        <v>45832</v>
      </c>
      <c r="B112" s="4" t="s">
        <v>446</v>
      </c>
      <c r="C112" s="7"/>
      <c r="D112" s="5">
        <f>320*8000</f>
        <v>2560000</v>
      </c>
    </row>
    <row r="113" spans="1:4" ht="15.75">
      <c r="A113" s="3">
        <v>45832</v>
      </c>
      <c r="B113" s="4" t="s">
        <v>414</v>
      </c>
      <c r="C113" s="5"/>
      <c r="D113" s="5">
        <v>300000</v>
      </c>
    </row>
    <row r="114" spans="1:4" ht="15.75">
      <c r="A114" s="3">
        <v>45832</v>
      </c>
      <c r="B114" s="7" t="s">
        <v>276</v>
      </c>
      <c r="C114" s="7"/>
      <c r="D114" s="5">
        <v>5772000</v>
      </c>
    </row>
    <row r="115" spans="1:4" ht="15.75">
      <c r="A115" s="3">
        <v>45832</v>
      </c>
      <c r="B115" t="s">
        <v>10</v>
      </c>
      <c r="C115" s="7"/>
      <c r="D115" s="5">
        <v>2500</v>
      </c>
    </row>
    <row r="116" spans="1:4" ht="15.75">
      <c r="A116" s="3">
        <v>45833</v>
      </c>
      <c r="B116" s="7" t="s">
        <v>6</v>
      </c>
      <c r="C116" s="7"/>
      <c r="D116" s="5">
        <v>10000000</v>
      </c>
    </row>
    <row r="117" spans="1:4" ht="15.75">
      <c r="A117" s="3">
        <v>45833</v>
      </c>
      <c r="B117" s="4" t="s">
        <v>413</v>
      </c>
      <c r="C117" s="7"/>
      <c r="D117" s="5">
        <v>848500</v>
      </c>
    </row>
    <row r="118" spans="1:4" ht="15.75">
      <c r="A118" s="3">
        <v>45833</v>
      </c>
      <c r="B118" s="7" t="s">
        <v>447</v>
      </c>
      <c r="C118" s="7"/>
      <c r="D118" s="5">
        <v>5000000</v>
      </c>
    </row>
    <row r="119" spans="1:4" ht="15.75">
      <c r="A119" s="3">
        <v>45833</v>
      </c>
      <c r="B119" s="7" t="s">
        <v>418</v>
      </c>
      <c r="C119" s="5"/>
      <c r="D119" s="5">
        <v>470000</v>
      </c>
    </row>
    <row r="120" spans="1:4" ht="15.75">
      <c r="A120" s="3">
        <v>45834</v>
      </c>
      <c r="B120" s="7" t="s">
        <v>448</v>
      </c>
      <c r="C120" s="5"/>
      <c r="D120" s="5">
        <v>11775900</v>
      </c>
    </row>
    <row r="121" spans="1:4" ht="15.75">
      <c r="A121" s="3">
        <v>45834</v>
      </c>
      <c r="B121" s="7" t="s">
        <v>10</v>
      </c>
      <c r="C121" s="7"/>
      <c r="D121" s="5">
        <v>2500</v>
      </c>
    </row>
    <row r="122" spans="1:4" ht="15.75">
      <c r="A122" s="3">
        <v>45834</v>
      </c>
      <c r="B122" s="7" t="s">
        <v>449</v>
      </c>
      <c r="C122" s="7"/>
      <c r="D122" s="5">
        <v>1942500</v>
      </c>
    </row>
    <row r="123" spans="1:4" ht="15.75">
      <c r="A123" s="3">
        <v>45834</v>
      </c>
      <c r="B123" t="s">
        <v>10</v>
      </c>
      <c r="C123" s="7"/>
      <c r="D123" s="5">
        <v>6500</v>
      </c>
    </row>
    <row r="124" spans="1:4" ht="15.75">
      <c r="A124" s="3">
        <v>45834</v>
      </c>
      <c r="B124" s="4" t="s">
        <v>450</v>
      </c>
      <c r="C124" s="7"/>
      <c r="D124" s="5">
        <v>4176</v>
      </c>
    </row>
    <row r="125" spans="1:4" ht="15.75">
      <c r="A125" s="3">
        <v>45834</v>
      </c>
      <c r="B125" s="7" t="s">
        <v>400</v>
      </c>
      <c r="C125" s="7"/>
      <c r="D125" s="5">
        <v>50000</v>
      </c>
    </row>
    <row r="126" spans="1:4" ht="15.75">
      <c r="A126" s="3">
        <v>45836</v>
      </c>
      <c r="B126" s="7" t="s">
        <v>451</v>
      </c>
      <c r="C126" s="7"/>
      <c r="D126" s="5">
        <v>15000000</v>
      </c>
    </row>
    <row r="127" spans="1:4" ht="15.75">
      <c r="A127" s="3">
        <v>45836</v>
      </c>
      <c r="B127" s="4" t="s">
        <v>452</v>
      </c>
      <c r="C127" s="7"/>
      <c r="D127" s="5">
        <v>1935000</v>
      </c>
    </row>
    <row r="128" spans="1:4" ht="15.75">
      <c r="A128" s="3">
        <v>45836</v>
      </c>
      <c r="B128" s="7" t="s">
        <v>416</v>
      </c>
      <c r="C128" s="7"/>
      <c r="D128" s="5">
        <v>500000</v>
      </c>
    </row>
    <row r="129" spans="1:4" ht="15.75">
      <c r="A129" s="3">
        <v>45836</v>
      </c>
      <c r="B129" t="s">
        <v>453</v>
      </c>
      <c r="C129" s="5"/>
      <c r="D129" s="5">
        <v>150000</v>
      </c>
    </row>
    <row r="130" spans="1:4" ht="15.75">
      <c r="A130" s="3">
        <v>45836</v>
      </c>
      <c r="B130" s="7" t="s">
        <v>454</v>
      </c>
      <c r="C130" s="5"/>
      <c r="D130" s="5">
        <v>5000000</v>
      </c>
    </row>
    <row r="131" spans="1:4" ht="15.75">
      <c r="A131" s="3">
        <v>45837</v>
      </c>
      <c r="B131" s="7" t="s">
        <v>119</v>
      </c>
      <c r="C131" s="7"/>
      <c r="D131" s="5">
        <v>8000000</v>
      </c>
    </row>
    <row r="132" spans="1:4" ht="15.75">
      <c r="A132" s="3">
        <v>45837</v>
      </c>
      <c r="B132" s="4" t="s">
        <v>455</v>
      </c>
      <c r="C132" s="5"/>
      <c r="D132" s="5">
        <v>20000000</v>
      </c>
    </row>
    <row r="133" spans="1:4" ht="15.75">
      <c r="A133" s="3">
        <v>45837</v>
      </c>
      <c r="B133" t="s">
        <v>10</v>
      </c>
      <c r="C133" s="5"/>
      <c r="D133" s="5">
        <v>2500</v>
      </c>
    </row>
    <row r="134" spans="1:4" ht="15.75">
      <c r="A134" s="3">
        <v>45838</v>
      </c>
      <c r="B134" s="4" t="s">
        <v>450</v>
      </c>
      <c r="C134" s="7"/>
      <c r="D134" s="5">
        <v>1260</v>
      </c>
    </row>
    <row r="135" spans="1:4" ht="15.75">
      <c r="A135" s="3">
        <v>45838</v>
      </c>
      <c r="B135" s="7" t="s">
        <v>69</v>
      </c>
      <c r="C135" s="7"/>
      <c r="D135" s="5">
        <v>30000</v>
      </c>
    </row>
    <row r="136" spans="1:4" ht="15.75">
      <c r="A136" s="3"/>
      <c r="B136" s="7" t="s">
        <v>70</v>
      </c>
      <c r="C136" s="19"/>
      <c r="D136" s="19">
        <v>17092.72</v>
      </c>
    </row>
    <row r="137" spans="1:4" ht="15.75">
      <c r="A137" s="3"/>
      <c r="B137" s="7"/>
      <c r="C137" s="7"/>
      <c r="D137" s="5"/>
    </row>
    <row r="138" spans="1:4" ht="15.75">
      <c r="A138" s="3"/>
      <c r="B138" s="4"/>
      <c r="C138" s="7"/>
      <c r="D138" s="5"/>
    </row>
    <row r="139" spans="1:4" ht="15.75">
      <c r="A139" s="3"/>
      <c r="C139" s="19"/>
      <c r="D139" s="19">
        <f>SUM(D5:D138)</f>
        <v>1414404769.72</v>
      </c>
    </row>
    <row r="140" spans="1:4" ht="15.75">
      <c r="A140" s="3"/>
      <c r="C140" s="19"/>
      <c r="D140" s="19">
        <v>1414404769.72</v>
      </c>
    </row>
    <row r="141" spans="1:4" ht="15.75">
      <c r="A141" s="3"/>
      <c r="C141" s="7"/>
      <c r="D141" s="5"/>
    </row>
    <row r="142" spans="1:4" ht="15.75"/>
    <row r="143" spans="1:4" ht="15.75"/>
    <row r="144" spans="1:4" ht="15.75"/>
    <row r="145" ht="15.75"/>
    <row r="146" ht="15.75"/>
    <row r="147" ht="15.75"/>
    <row r="148" ht="15.75"/>
    <row r="149" ht="15.75"/>
    <row r="150" ht="15.75"/>
    <row r="151" ht="15.75"/>
    <row r="152" ht="15.75"/>
    <row r="153" ht="15.75"/>
    <row r="154" ht="15.75"/>
    <row r="155" ht="15.75"/>
    <row r="156" ht="15.75"/>
    <row r="157" ht="15.7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60078-044C-4B43-9A7B-B8F872E851C1}">
  <dimension ref="A1:D259"/>
  <sheetViews>
    <sheetView workbookViewId="0">
      <selection activeCell="A225" sqref="A225"/>
    </sheetView>
  </sheetViews>
  <sheetFormatPr defaultColWidth="11" defaultRowHeight="15.95"/>
  <cols>
    <col min="2" max="2" width="40.5" customWidth="1"/>
    <col min="4" max="4" width="20.625" customWidth="1"/>
  </cols>
  <sheetData>
    <row r="1" spans="1:4">
      <c r="A1" t="s">
        <v>456</v>
      </c>
    </row>
    <row r="2" spans="1:4">
      <c r="A2" t="s">
        <v>1</v>
      </c>
    </row>
    <row r="4" spans="1:4">
      <c r="A4" t="s">
        <v>2</v>
      </c>
      <c r="B4" t="s">
        <v>3</v>
      </c>
      <c r="C4" t="s">
        <v>4</v>
      </c>
      <c r="D4" t="s">
        <v>5</v>
      </c>
    </row>
    <row r="5" spans="1:4">
      <c r="A5" s="1">
        <v>45839</v>
      </c>
      <c r="B5" s="7" t="s">
        <v>457</v>
      </c>
      <c r="C5" s="7"/>
      <c r="D5" s="5">
        <v>25000000</v>
      </c>
    </row>
    <row r="6" spans="1:4">
      <c r="A6" s="1">
        <v>45839</v>
      </c>
      <c r="B6" t="s">
        <v>10</v>
      </c>
      <c r="C6" s="5"/>
      <c r="D6" s="5">
        <v>2500</v>
      </c>
    </row>
    <row r="7" spans="1:4">
      <c r="A7" s="1">
        <v>45839</v>
      </c>
      <c r="B7" s="7" t="s">
        <v>458</v>
      </c>
      <c r="C7" s="5"/>
      <c r="D7" s="5">
        <v>137400000</v>
      </c>
    </row>
    <row r="8" spans="1:4">
      <c r="A8" s="1">
        <v>45839</v>
      </c>
      <c r="B8" s="7" t="s">
        <v>10</v>
      </c>
      <c r="C8" s="7"/>
      <c r="D8" s="5">
        <v>2500</v>
      </c>
    </row>
    <row r="9" spans="1:4">
      <c r="A9" s="1">
        <v>45839</v>
      </c>
      <c r="B9" s="4" t="s">
        <v>459</v>
      </c>
      <c r="C9" s="7"/>
      <c r="D9" s="5">
        <v>13930000</v>
      </c>
    </row>
    <row r="10" spans="1:4">
      <c r="A10" s="1">
        <v>45839</v>
      </c>
      <c r="B10" t="s">
        <v>10</v>
      </c>
      <c r="C10" s="7"/>
      <c r="D10" s="5">
        <v>2500</v>
      </c>
    </row>
    <row r="11" spans="1:4">
      <c r="A11" s="1">
        <v>45839</v>
      </c>
      <c r="B11" t="s">
        <v>460</v>
      </c>
      <c r="C11" s="7"/>
      <c r="D11" s="5">
        <v>1500000</v>
      </c>
    </row>
    <row r="12" spans="1:4">
      <c r="A12" s="1">
        <v>45839</v>
      </c>
      <c r="B12" t="s">
        <v>10</v>
      </c>
      <c r="C12" s="7"/>
      <c r="D12" s="5">
        <v>2500</v>
      </c>
    </row>
    <row r="13" spans="1:4">
      <c r="A13" s="1">
        <v>45839</v>
      </c>
      <c r="B13" t="s">
        <v>461</v>
      </c>
      <c r="C13" s="7"/>
      <c r="D13" s="5">
        <v>5720000</v>
      </c>
    </row>
    <row r="14" spans="1:4">
      <c r="A14" s="1">
        <v>45839</v>
      </c>
      <c r="B14" t="s">
        <v>453</v>
      </c>
      <c r="C14" s="7"/>
      <c r="D14" s="5">
        <v>4490000</v>
      </c>
    </row>
    <row r="15" spans="1:4">
      <c r="A15" s="1">
        <v>45839</v>
      </c>
      <c r="B15" t="s">
        <v>462</v>
      </c>
      <c r="C15" s="7"/>
      <c r="D15" s="5">
        <v>4000000</v>
      </c>
    </row>
    <row r="16" spans="1:4">
      <c r="A16" s="1">
        <v>45839</v>
      </c>
      <c r="B16" t="s">
        <v>463</v>
      </c>
      <c r="C16" s="7"/>
      <c r="D16" s="5">
        <v>4750000</v>
      </c>
    </row>
    <row r="17" spans="1:4">
      <c r="A17" s="1">
        <v>45839</v>
      </c>
      <c r="B17" s="7" t="s">
        <v>6</v>
      </c>
      <c r="C17" s="5"/>
      <c r="D17" s="2">
        <v>10000000</v>
      </c>
    </row>
    <row r="18" spans="1:4" ht="15.75">
      <c r="A18" s="1">
        <v>45839</v>
      </c>
      <c r="B18" s="7" t="s">
        <v>416</v>
      </c>
      <c r="C18" s="2"/>
      <c r="D18" s="2">
        <v>12400000</v>
      </c>
    </row>
    <row r="19" spans="1:4" ht="15.75">
      <c r="A19" s="1">
        <v>45839</v>
      </c>
      <c r="B19" s="7" t="s">
        <v>464</v>
      </c>
      <c r="D19" s="2">
        <v>7160000</v>
      </c>
    </row>
    <row r="20" spans="1:4" ht="15.75">
      <c r="A20" s="1">
        <v>45839</v>
      </c>
      <c r="B20" s="7" t="s">
        <v>465</v>
      </c>
      <c r="C20" s="5"/>
      <c r="D20" s="2">
        <v>5293000</v>
      </c>
    </row>
    <row r="21" spans="1:4" ht="15.75">
      <c r="A21" s="1">
        <v>45839</v>
      </c>
      <c r="B21" s="7" t="s">
        <v>466</v>
      </c>
      <c r="C21" s="5"/>
      <c r="D21" s="2">
        <v>245000</v>
      </c>
    </row>
    <row r="22" spans="1:4" ht="15.75">
      <c r="A22" s="1">
        <v>45839</v>
      </c>
      <c r="B22" t="s">
        <v>467</v>
      </c>
      <c r="C22" s="5"/>
      <c r="D22" s="2">
        <v>1430000</v>
      </c>
    </row>
    <row r="23" spans="1:4" ht="15.75">
      <c r="A23" s="1">
        <v>45839</v>
      </c>
      <c r="B23" t="s">
        <v>468</v>
      </c>
      <c r="C23" s="5"/>
      <c r="D23" s="2">
        <v>1860000</v>
      </c>
    </row>
    <row r="24" spans="1:4" ht="15.75">
      <c r="A24" s="1">
        <v>45839</v>
      </c>
      <c r="B24" t="s">
        <v>469</v>
      </c>
      <c r="C24" s="2"/>
      <c r="D24" s="2">
        <v>1615000</v>
      </c>
    </row>
    <row r="25" spans="1:4" ht="15.75">
      <c r="A25" s="1">
        <v>45839</v>
      </c>
      <c r="B25" t="s">
        <v>470</v>
      </c>
      <c r="D25" s="2">
        <v>2215000</v>
      </c>
    </row>
    <row r="26" spans="1:4" ht="15.75">
      <c r="A26" s="1">
        <v>45839</v>
      </c>
      <c r="B26" s="7" t="s">
        <v>471</v>
      </c>
      <c r="D26" s="2">
        <v>1895000</v>
      </c>
    </row>
    <row r="27" spans="1:4" ht="15.75">
      <c r="A27" s="1">
        <v>45839</v>
      </c>
      <c r="B27" s="7" t="s">
        <v>472</v>
      </c>
      <c r="C27" s="2"/>
      <c r="D27" s="2">
        <v>2570000</v>
      </c>
    </row>
    <row r="28" spans="1:4" ht="15.75">
      <c r="A28" s="1">
        <v>45839</v>
      </c>
      <c r="B28" s="7" t="s">
        <v>473</v>
      </c>
      <c r="C28" s="5"/>
      <c r="D28" s="2">
        <v>2963000</v>
      </c>
    </row>
    <row r="29" spans="1:4" ht="15.75">
      <c r="A29" s="1">
        <v>45839</v>
      </c>
      <c r="B29" s="7" t="s">
        <v>474</v>
      </c>
      <c r="C29" s="5"/>
      <c r="D29" s="2">
        <v>190000</v>
      </c>
    </row>
    <row r="30" spans="1:4" ht="15.75">
      <c r="A30" s="1">
        <v>45839</v>
      </c>
      <c r="B30" s="7" t="s">
        <v>475</v>
      </c>
      <c r="C30" s="5"/>
      <c r="D30" s="2">
        <v>2525000</v>
      </c>
    </row>
    <row r="31" spans="1:4" ht="15.75">
      <c r="A31" s="1">
        <v>45839</v>
      </c>
      <c r="B31" s="7" t="s">
        <v>476</v>
      </c>
      <c r="C31" s="5"/>
      <c r="D31" s="2">
        <v>2035000</v>
      </c>
    </row>
    <row r="32" spans="1:4" ht="15.75">
      <c r="A32" s="1">
        <v>45839</v>
      </c>
      <c r="B32" s="4" t="s">
        <v>477</v>
      </c>
      <c r="C32" s="2"/>
      <c r="D32" s="2">
        <f>370*8000</f>
        <v>2960000</v>
      </c>
    </row>
    <row r="33" spans="1:4" ht="15.75">
      <c r="A33" s="1">
        <v>45839</v>
      </c>
      <c r="B33" t="s">
        <v>476</v>
      </c>
      <c r="C33" s="2"/>
      <c r="D33" s="2">
        <v>500000</v>
      </c>
    </row>
    <row r="34" spans="1:4" ht="15.75">
      <c r="A34" s="1">
        <v>45840</v>
      </c>
      <c r="B34" s="4" t="s">
        <v>478</v>
      </c>
      <c r="C34" s="5"/>
      <c r="D34" s="2">
        <v>1000000</v>
      </c>
    </row>
    <row r="35" spans="1:4" ht="15.75">
      <c r="A35" s="3">
        <v>45840</v>
      </c>
      <c r="B35" s="7" t="s">
        <v>119</v>
      </c>
      <c r="C35" s="5"/>
      <c r="D35" s="2">
        <v>10000000</v>
      </c>
    </row>
    <row r="36" spans="1:4" ht="15.75">
      <c r="A36" s="3">
        <v>45840</v>
      </c>
      <c r="B36" s="7" t="s">
        <v>464</v>
      </c>
      <c r="C36" s="5"/>
      <c r="D36" s="2">
        <v>300000</v>
      </c>
    </row>
    <row r="37" spans="1:4" ht="15.75">
      <c r="A37" s="3">
        <v>45840</v>
      </c>
      <c r="B37" s="7" t="s">
        <v>464</v>
      </c>
      <c r="C37" s="5"/>
      <c r="D37" s="2">
        <v>1000000</v>
      </c>
    </row>
    <row r="38" spans="1:4" ht="15.75">
      <c r="A38" s="1">
        <v>45840</v>
      </c>
      <c r="B38" s="7" t="s">
        <v>416</v>
      </c>
      <c r="C38" s="5"/>
      <c r="D38" s="2">
        <v>400000</v>
      </c>
    </row>
    <row r="39" spans="1:4" ht="15.75">
      <c r="A39" s="3">
        <v>45841</v>
      </c>
      <c r="B39" s="7" t="s">
        <v>6</v>
      </c>
      <c r="C39" s="5"/>
      <c r="D39" s="2">
        <v>15000000</v>
      </c>
    </row>
    <row r="40" spans="1:4" ht="15.75">
      <c r="A40" s="3">
        <v>45841</v>
      </c>
      <c r="B40" s="4" t="s">
        <v>478</v>
      </c>
      <c r="C40" s="5"/>
      <c r="D40" s="2">
        <v>2000000</v>
      </c>
    </row>
    <row r="41" spans="1:4" ht="15.75">
      <c r="A41" s="3">
        <v>45841</v>
      </c>
      <c r="B41" s="50" t="s">
        <v>479</v>
      </c>
      <c r="C41" s="5"/>
      <c r="D41" s="2">
        <v>1498250</v>
      </c>
    </row>
    <row r="42" spans="1:4" ht="15.75">
      <c r="A42" s="3">
        <v>45842</v>
      </c>
      <c r="B42" s="50" t="s">
        <v>480</v>
      </c>
      <c r="C42" s="2"/>
      <c r="D42" s="2">
        <v>2027500</v>
      </c>
    </row>
    <row r="43" spans="1:4" ht="15.75">
      <c r="A43" s="3">
        <v>45842</v>
      </c>
      <c r="B43" s="7" t="s">
        <v>481</v>
      </c>
      <c r="C43" s="7"/>
      <c r="D43" s="5">
        <v>5000000</v>
      </c>
    </row>
    <row r="44" spans="1:4" ht="15.75">
      <c r="A44" s="1">
        <v>45842</v>
      </c>
      <c r="B44" s="7" t="s">
        <v>482</v>
      </c>
      <c r="C44" s="5"/>
      <c r="D44" s="2">
        <v>40500000</v>
      </c>
    </row>
    <row r="45" spans="1:4" ht="15.75">
      <c r="A45" s="1">
        <v>45842</v>
      </c>
      <c r="B45" s="7" t="s">
        <v>66</v>
      </c>
      <c r="C45" s="5"/>
      <c r="D45" s="2">
        <v>2043494</v>
      </c>
    </row>
    <row r="46" spans="1:4" ht="15.75">
      <c r="A46" s="1">
        <v>45842</v>
      </c>
      <c r="B46" s="7" t="s">
        <v>53</v>
      </c>
      <c r="C46" s="5"/>
      <c r="D46" s="2">
        <v>363750</v>
      </c>
    </row>
    <row r="47" spans="1:4" ht="15.75">
      <c r="A47" s="1">
        <v>45842</v>
      </c>
      <c r="B47" s="4" t="s">
        <v>483</v>
      </c>
      <c r="C47" s="5"/>
      <c r="D47" s="5">
        <v>130000000</v>
      </c>
    </row>
    <row r="48" spans="1:4" ht="15.75">
      <c r="A48" s="1">
        <v>45842</v>
      </c>
      <c r="B48" s="7" t="s">
        <v>10</v>
      </c>
      <c r="C48" s="7"/>
      <c r="D48" s="5">
        <v>2500</v>
      </c>
    </row>
    <row r="49" spans="1:4" ht="15.75">
      <c r="A49" s="1">
        <v>45842</v>
      </c>
      <c r="B49" s="4" t="s">
        <v>484</v>
      </c>
      <c r="C49" s="5"/>
      <c r="D49" s="5">
        <v>35000000</v>
      </c>
    </row>
    <row r="50" spans="1:4" ht="15.75">
      <c r="A50" s="1">
        <v>45842</v>
      </c>
      <c r="B50" t="s">
        <v>10</v>
      </c>
      <c r="C50" s="7"/>
      <c r="D50" s="5">
        <v>2500</v>
      </c>
    </row>
    <row r="51" spans="1:4" ht="15.75">
      <c r="A51" s="1">
        <v>45842</v>
      </c>
      <c r="B51" s="4" t="s">
        <v>485</v>
      </c>
      <c r="C51" s="7"/>
      <c r="D51" s="5">
        <v>35000000</v>
      </c>
    </row>
    <row r="52" spans="1:4" ht="15.75">
      <c r="A52" s="1">
        <v>45842</v>
      </c>
      <c r="B52" s="7" t="s">
        <v>10</v>
      </c>
      <c r="C52" s="7"/>
      <c r="D52" s="5">
        <v>2500</v>
      </c>
    </row>
    <row r="53" spans="1:4" ht="15.75">
      <c r="A53" s="1">
        <v>45842</v>
      </c>
      <c r="B53" s="7" t="s">
        <v>486</v>
      </c>
      <c r="C53" s="5"/>
      <c r="D53" s="5">
        <v>47425690</v>
      </c>
    </row>
    <row r="54" spans="1:4" ht="15.75">
      <c r="A54" s="1">
        <v>45842</v>
      </c>
      <c r="B54" s="7" t="s">
        <v>487</v>
      </c>
      <c r="C54" s="5"/>
      <c r="D54" s="5">
        <v>14589189</v>
      </c>
    </row>
    <row r="55" spans="1:4" ht="15.75">
      <c r="A55" s="3">
        <v>45842</v>
      </c>
      <c r="B55" s="7" t="s">
        <v>488</v>
      </c>
      <c r="C55" s="7"/>
      <c r="D55" s="5">
        <v>3662000</v>
      </c>
    </row>
    <row r="56" spans="1:4" ht="15.75">
      <c r="A56" s="1">
        <v>45842</v>
      </c>
      <c r="B56" s="7" t="s">
        <v>489</v>
      </c>
      <c r="C56" s="7"/>
      <c r="D56" s="5">
        <v>1500000</v>
      </c>
    </row>
    <row r="57" spans="1:4" ht="15.75">
      <c r="A57" s="1">
        <v>45842</v>
      </c>
      <c r="B57" s="7" t="s">
        <v>490</v>
      </c>
      <c r="C57" s="2"/>
      <c r="D57" s="2">
        <v>4110148</v>
      </c>
    </row>
    <row r="58" spans="1:4" ht="15.75">
      <c r="A58" s="1">
        <v>45842</v>
      </c>
      <c r="B58" s="7" t="s">
        <v>491</v>
      </c>
      <c r="C58" s="5"/>
      <c r="D58" s="5">
        <v>15000540</v>
      </c>
    </row>
    <row r="59" spans="1:4" ht="15.75">
      <c r="A59" s="1">
        <v>45842</v>
      </c>
      <c r="B59" s="7" t="s">
        <v>492</v>
      </c>
      <c r="C59" s="7"/>
      <c r="D59" s="5">
        <v>2484000</v>
      </c>
    </row>
    <row r="60" spans="1:4" ht="15.75">
      <c r="A60" s="1">
        <v>45842</v>
      </c>
      <c r="B60" s="7" t="s">
        <v>493</v>
      </c>
      <c r="C60" s="7"/>
      <c r="D60" s="5">
        <v>3400000</v>
      </c>
    </row>
    <row r="61" spans="1:4" ht="15.75">
      <c r="A61" s="1">
        <v>45842</v>
      </c>
      <c r="B61" s="7" t="s">
        <v>494</v>
      </c>
      <c r="C61" s="7"/>
      <c r="D61" s="5">
        <v>28560000</v>
      </c>
    </row>
    <row r="62" spans="1:4" ht="15.75">
      <c r="A62" s="1">
        <v>45842</v>
      </c>
      <c r="B62" s="7" t="s">
        <v>495</v>
      </c>
      <c r="C62" s="7"/>
      <c r="D62" s="5">
        <v>7500270</v>
      </c>
    </row>
    <row r="63" spans="1:4" ht="15.75">
      <c r="A63" s="1">
        <v>45842</v>
      </c>
      <c r="B63" s="7" t="s">
        <v>496</v>
      </c>
      <c r="C63" s="5"/>
      <c r="D63" s="5">
        <v>300000000</v>
      </c>
    </row>
    <row r="64" spans="1:4" ht="15.75">
      <c r="A64" s="1">
        <v>45843</v>
      </c>
      <c r="B64" s="7" t="s">
        <v>166</v>
      </c>
      <c r="C64" s="5"/>
      <c r="D64" s="5">
        <v>30000000</v>
      </c>
    </row>
    <row r="65" spans="1:4" ht="15.75">
      <c r="A65" s="3">
        <v>45843</v>
      </c>
      <c r="B65" s="7" t="s">
        <v>166</v>
      </c>
      <c r="C65" s="5"/>
      <c r="D65" s="2">
        <v>40000000</v>
      </c>
    </row>
    <row r="66" spans="1:4" ht="15.75">
      <c r="A66" s="3">
        <v>45843</v>
      </c>
      <c r="B66" s="4" t="s">
        <v>464</v>
      </c>
      <c r="C66" s="5"/>
      <c r="D66" s="2">
        <v>500000</v>
      </c>
    </row>
    <row r="67" spans="1:4" ht="15.75">
      <c r="A67" s="3">
        <v>45843</v>
      </c>
      <c r="B67" s="4" t="s">
        <v>453</v>
      </c>
      <c r="C67" s="5"/>
      <c r="D67" s="2">
        <v>150000</v>
      </c>
    </row>
    <row r="68" spans="1:4" ht="15.75">
      <c r="A68" s="1">
        <v>45845</v>
      </c>
      <c r="B68" s="4" t="s">
        <v>462</v>
      </c>
      <c r="C68" s="5"/>
      <c r="D68" s="5">
        <v>550000</v>
      </c>
    </row>
    <row r="69" spans="1:4" ht="15.75">
      <c r="A69" s="3">
        <v>45845</v>
      </c>
      <c r="B69" s="4" t="s">
        <v>497</v>
      </c>
      <c r="C69" s="5"/>
      <c r="D69" s="5">
        <v>3500000</v>
      </c>
    </row>
    <row r="70" spans="1:4" ht="15.75">
      <c r="A70" s="1">
        <v>45845</v>
      </c>
      <c r="B70" t="s">
        <v>498</v>
      </c>
      <c r="C70" s="5"/>
      <c r="D70" s="5">
        <v>60000000</v>
      </c>
    </row>
    <row r="71" spans="1:4" ht="15.75">
      <c r="A71" s="1">
        <v>45845</v>
      </c>
      <c r="B71" s="7" t="s">
        <v>499</v>
      </c>
      <c r="C71" s="5"/>
      <c r="D71" s="5">
        <v>2805500</v>
      </c>
    </row>
    <row r="72" spans="1:4" ht="15.75">
      <c r="A72" s="3">
        <v>45846</v>
      </c>
      <c r="B72" s="4" t="s">
        <v>500</v>
      </c>
      <c r="C72" s="5"/>
      <c r="D72" s="2">
        <v>2000000</v>
      </c>
    </row>
    <row r="73" spans="1:4" ht="15.75">
      <c r="A73" s="3">
        <v>45846</v>
      </c>
      <c r="B73" s="7" t="s">
        <v>498</v>
      </c>
      <c r="C73" s="5"/>
      <c r="D73" s="2">
        <v>40000000</v>
      </c>
    </row>
    <row r="74" spans="1:4" ht="15.75">
      <c r="A74" s="3">
        <v>45846</v>
      </c>
      <c r="B74" s="7" t="s">
        <v>501</v>
      </c>
      <c r="D74" s="2">
        <v>33750000</v>
      </c>
    </row>
    <row r="75" spans="1:4" ht="15.75">
      <c r="A75" s="3">
        <v>45846</v>
      </c>
      <c r="B75" t="s">
        <v>281</v>
      </c>
      <c r="C75" s="5"/>
      <c r="D75" s="2">
        <v>1750000</v>
      </c>
    </row>
    <row r="76" spans="1:4" ht="15.75">
      <c r="A76" s="3">
        <v>45846</v>
      </c>
      <c r="B76" s="7" t="s">
        <v>502</v>
      </c>
      <c r="D76" s="2">
        <v>5700000</v>
      </c>
    </row>
    <row r="77" spans="1:4" ht="15.75">
      <c r="A77" s="3">
        <v>45846</v>
      </c>
      <c r="B77" s="7" t="s">
        <v>10</v>
      </c>
      <c r="C77" s="5"/>
      <c r="D77" s="2">
        <v>2500</v>
      </c>
    </row>
    <row r="78" spans="1:4" ht="15.75">
      <c r="A78" s="3">
        <v>45846</v>
      </c>
      <c r="B78" s="7" t="s">
        <v>503</v>
      </c>
      <c r="C78" s="5"/>
      <c r="D78" s="2">
        <v>1750000</v>
      </c>
    </row>
    <row r="79" spans="1:4" ht="15.75">
      <c r="A79" s="3">
        <v>45847</v>
      </c>
      <c r="B79" s="7" t="s">
        <v>6</v>
      </c>
      <c r="C79" s="5"/>
      <c r="D79" s="2">
        <v>35000000</v>
      </c>
    </row>
    <row r="80" spans="1:4" ht="15.75">
      <c r="A80" s="3">
        <v>45847</v>
      </c>
      <c r="B80" s="4" t="s">
        <v>504</v>
      </c>
      <c r="C80" s="5"/>
      <c r="D80" s="2">
        <v>3000000</v>
      </c>
    </row>
    <row r="81" spans="1:4" ht="15.75">
      <c r="A81" s="3">
        <v>45847</v>
      </c>
      <c r="B81" s="7" t="s">
        <v>505</v>
      </c>
      <c r="D81" s="2">
        <v>10000000</v>
      </c>
    </row>
    <row r="82" spans="1:4" ht="15.75">
      <c r="A82" s="3">
        <v>45847</v>
      </c>
      <c r="B82" s="7" t="s">
        <v>276</v>
      </c>
      <c r="C82" s="7"/>
      <c r="D82" s="5">
        <v>5772000</v>
      </c>
    </row>
    <row r="83" spans="1:4" ht="15.75">
      <c r="A83" s="3">
        <v>45847</v>
      </c>
      <c r="B83" s="7" t="s">
        <v>10</v>
      </c>
      <c r="C83" s="5"/>
      <c r="D83" s="2">
        <v>2500</v>
      </c>
    </row>
    <row r="84" spans="1:4" ht="15.75">
      <c r="A84" s="3">
        <v>45848</v>
      </c>
      <c r="B84" s="4" t="s">
        <v>506</v>
      </c>
      <c r="C84" s="5"/>
      <c r="D84" s="5">
        <v>60000000</v>
      </c>
    </row>
    <row r="85" spans="1:4" ht="15.75">
      <c r="A85" s="3">
        <v>45848</v>
      </c>
      <c r="B85" s="7" t="s">
        <v>10</v>
      </c>
      <c r="C85" s="5"/>
      <c r="D85" s="5">
        <v>2500</v>
      </c>
    </row>
    <row r="86" spans="1:4" ht="15.75">
      <c r="A86" s="3">
        <v>45848</v>
      </c>
      <c r="B86" t="s">
        <v>507</v>
      </c>
      <c r="C86" s="7"/>
      <c r="D86" s="5">
        <v>25000000</v>
      </c>
    </row>
    <row r="87" spans="1:4" ht="15.75">
      <c r="A87" s="3">
        <v>45848</v>
      </c>
      <c r="B87" s="7" t="s">
        <v>10</v>
      </c>
      <c r="C87" s="7"/>
      <c r="D87" s="5">
        <v>2500</v>
      </c>
    </row>
    <row r="88" spans="1:4" ht="15.75">
      <c r="A88" s="3">
        <v>45848</v>
      </c>
      <c r="B88" s="4" t="s">
        <v>508</v>
      </c>
      <c r="C88" s="5"/>
      <c r="D88" s="5">
        <v>36815000</v>
      </c>
    </row>
    <row r="89" spans="1:4" ht="15.75">
      <c r="A89" s="3">
        <v>45848</v>
      </c>
      <c r="B89" s="7" t="s">
        <v>10</v>
      </c>
      <c r="C89" s="5"/>
      <c r="D89" s="5">
        <v>2500</v>
      </c>
    </row>
    <row r="90" spans="1:4" ht="15.75">
      <c r="A90" s="3">
        <v>45848</v>
      </c>
      <c r="B90" s="7" t="s">
        <v>509</v>
      </c>
      <c r="C90" s="5"/>
      <c r="D90" s="5">
        <v>37450000</v>
      </c>
    </row>
    <row r="91" spans="1:4" ht="15.75">
      <c r="A91" s="3">
        <v>45848</v>
      </c>
      <c r="B91" s="7" t="s">
        <v>10</v>
      </c>
      <c r="C91" s="5"/>
      <c r="D91" s="5">
        <v>2500</v>
      </c>
    </row>
    <row r="92" spans="1:4" ht="15.75">
      <c r="A92" s="3">
        <v>45848</v>
      </c>
      <c r="B92" s="7" t="s">
        <v>510</v>
      </c>
      <c r="C92" s="7"/>
      <c r="D92" s="5">
        <v>9500000</v>
      </c>
    </row>
    <row r="93" spans="1:4" ht="15.75">
      <c r="A93" s="3">
        <v>45848</v>
      </c>
      <c r="B93" t="s">
        <v>10</v>
      </c>
      <c r="C93" s="5"/>
      <c r="D93" s="5">
        <v>2500</v>
      </c>
    </row>
    <row r="94" spans="1:4" ht="15.75">
      <c r="A94" s="3">
        <v>45848</v>
      </c>
      <c r="B94" s="4" t="s">
        <v>511</v>
      </c>
      <c r="C94" s="7"/>
      <c r="D94" s="5">
        <v>29850000</v>
      </c>
    </row>
    <row r="95" spans="1:4" ht="15.75">
      <c r="A95" s="3">
        <v>45848</v>
      </c>
      <c r="B95" s="7" t="s">
        <v>10</v>
      </c>
      <c r="C95" s="5"/>
      <c r="D95" s="5">
        <v>2500</v>
      </c>
    </row>
    <row r="96" spans="1:4" ht="15.75">
      <c r="A96" s="3">
        <v>45849</v>
      </c>
      <c r="B96" t="s">
        <v>512</v>
      </c>
      <c r="C96" s="5"/>
      <c r="D96" s="5">
        <v>117260870</v>
      </c>
    </row>
    <row r="97" spans="1:4" ht="15.75">
      <c r="A97" s="3">
        <v>45849</v>
      </c>
      <c r="B97" s="7" t="s">
        <v>513</v>
      </c>
      <c r="C97" s="5"/>
      <c r="D97" s="5">
        <v>62298929</v>
      </c>
    </row>
    <row r="98" spans="1:4" ht="15.75">
      <c r="A98" s="3">
        <v>45849</v>
      </c>
      <c r="B98" s="4" t="s">
        <v>514</v>
      </c>
      <c r="C98" s="5"/>
      <c r="D98" s="5">
        <v>2480000</v>
      </c>
    </row>
    <row r="99" spans="1:4" ht="15.75">
      <c r="A99" s="3">
        <v>45850</v>
      </c>
      <c r="B99" s="7" t="s">
        <v>500</v>
      </c>
      <c r="C99" s="5"/>
      <c r="D99" s="5">
        <v>6500000</v>
      </c>
    </row>
    <row r="100" spans="1:4" ht="15.75">
      <c r="A100" s="3">
        <v>45850</v>
      </c>
      <c r="B100" t="s">
        <v>462</v>
      </c>
      <c r="C100" s="5"/>
      <c r="D100" s="5">
        <v>300000</v>
      </c>
    </row>
    <row r="101" spans="1:4" ht="15.75">
      <c r="A101" s="3">
        <v>45850</v>
      </c>
      <c r="B101" s="7" t="s">
        <v>416</v>
      </c>
      <c r="C101" s="5"/>
      <c r="D101" s="5">
        <v>500000</v>
      </c>
    </row>
    <row r="102" spans="1:4" ht="15.75">
      <c r="A102" s="3">
        <v>45850</v>
      </c>
      <c r="B102" s="7" t="s">
        <v>453</v>
      </c>
      <c r="C102" s="5"/>
      <c r="D102" s="5">
        <v>150000</v>
      </c>
    </row>
    <row r="103" spans="1:4" ht="15.75">
      <c r="A103" s="3">
        <v>45852</v>
      </c>
      <c r="B103" s="4" t="s">
        <v>515</v>
      </c>
      <c r="C103" s="5"/>
      <c r="D103" s="5">
        <v>6000000</v>
      </c>
    </row>
    <row r="104" spans="1:4" ht="15.75">
      <c r="A104" s="3">
        <v>45852</v>
      </c>
      <c r="B104" t="s">
        <v>6</v>
      </c>
      <c r="C104" s="7"/>
      <c r="D104" s="5">
        <v>10000000</v>
      </c>
    </row>
    <row r="105" spans="1:4" ht="15.75">
      <c r="A105" s="3">
        <v>45852</v>
      </c>
      <c r="B105" s="4" t="s">
        <v>516</v>
      </c>
      <c r="C105" s="5"/>
      <c r="D105" s="5">
        <f>7000000*0.98</f>
        <v>6860000</v>
      </c>
    </row>
    <row r="106" spans="1:4" ht="15.75">
      <c r="A106" s="3">
        <v>45853</v>
      </c>
      <c r="B106" s="7" t="s">
        <v>430</v>
      </c>
      <c r="C106" s="5"/>
      <c r="D106" s="5">
        <v>3949800</v>
      </c>
    </row>
    <row r="107" spans="1:4" ht="15.75">
      <c r="A107" s="3">
        <v>45853</v>
      </c>
      <c r="B107" s="7" t="s">
        <v>517</v>
      </c>
      <c r="C107" s="5"/>
      <c r="D107" s="5">
        <v>5478720</v>
      </c>
    </row>
    <row r="108" spans="1:4" ht="15.75">
      <c r="A108" s="3">
        <v>45853</v>
      </c>
      <c r="B108" s="4" t="s">
        <v>518</v>
      </c>
      <c r="C108" s="5"/>
      <c r="D108" s="5">
        <v>182000</v>
      </c>
    </row>
    <row r="109" spans="1:4" ht="15.75">
      <c r="A109" s="3">
        <v>45853</v>
      </c>
      <c r="B109" t="s">
        <v>519</v>
      </c>
      <c r="C109" s="5"/>
      <c r="D109" s="5">
        <f>150*219000</f>
        <v>32850000</v>
      </c>
    </row>
    <row r="110" spans="1:4" ht="15.75">
      <c r="A110" s="3">
        <v>45853</v>
      </c>
      <c r="B110" s="7" t="s">
        <v>10</v>
      </c>
      <c r="C110" s="5"/>
      <c r="D110" s="5">
        <v>2500</v>
      </c>
    </row>
    <row r="111" spans="1:4" ht="15.75">
      <c r="A111" s="3">
        <v>45853</v>
      </c>
      <c r="B111" s="7" t="s">
        <v>520</v>
      </c>
      <c r="C111" s="5"/>
      <c r="D111" s="5">
        <f>4407000</f>
        <v>4407000</v>
      </c>
    </row>
    <row r="112" spans="1:4" ht="15.75">
      <c r="A112" s="3">
        <v>45853</v>
      </c>
      <c r="B112" s="7" t="s">
        <v>10</v>
      </c>
      <c r="C112" s="5"/>
      <c r="D112" s="5">
        <v>2500</v>
      </c>
    </row>
    <row r="113" spans="1:4" ht="15.75">
      <c r="A113" s="1">
        <v>45854</v>
      </c>
      <c r="B113" s="7" t="s">
        <v>521</v>
      </c>
      <c r="C113" s="5"/>
      <c r="D113" s="5">
        <v>37500000</v>
      </c>
    </row>
    <row r="114" spans="1:4" ht="15.75">
      <c r="A114" s="1">
        <v>45854</v>
      </c>
      <c r="B114" s="7" t="s">
        <v>10</v>
      </c>
      <c r="C114" s="5"/>
      <c r="D114" s="5">
        <v>2500</v>
      </c>
    </row>
    <row r="115" spans="1:4" ht="15.75">
      <c r="A115" s="1">
        <v>45854</v>
      </c>
      <c r="B115" s="7" t="s">
        <v>522</v>
      </c>
      <c r="C115" s="5"/>
      <c r="D115" s="5">
        <v>19000000</v>
      </c>
    </row>
    <row r="116" spans="1:4" ht="15.75">
      <c r="A116" s="1">
        <v>45854</v>
      </c>
      <c r="B116" s="7" t="s">
        <v>10</v>
      </c>
      <c r="C116" s="5"/>
      <c r="D116" s="5">
        <v>2500</v>
      </c>
    </row>
    <row r="117" spans="1:4" ht="15.75">
      <c r="A117" s="1">
        <v>45854</v>
      </c>
      <c r="B117" s="7" t="s">
        <v>523</v>
      </c>
      <c r="C117" s="5"/>
      <c r="D117" s="5">
        <v>31250000</v>
      </c>
    </row>
    <row r="118" spans="1:4" ht="15.75">
      <c r="A118" s="1">
        <v>45854</v>
      </c>
      <c r="B118" s="7" t="s">
        <v>10</v>
      </c>
      <c r="C118" s="5"/>
      <c r="D118" s="5">
        <v>2500</v>
      </c>
    </row>
    <row r="119" spans="1:4" ht="15.75">
      <c r="A119" s="1">
        <v>45854</v>
      </c>
      <c r="B119" s="7" t="s">
        <v>524</v>
      </c>
      <c r="C119" s="5"/>
      <c r="D119" s="5">
        <v>97000000</v>
      </c>
    </row>
    <row r="120" spans="1:4" ht="15.75">
      <c r="A120" s="1">
        <v>45854</v>
      </c>
      <c r="B120" s="7" t="s">
        <v>10</v>
      </c>
      <c r="C120" s="5"/>
      <c r="D120" s="5">
        <v>2500</v>
      </c>
    </row>
    <row r="121" spans="1:4" ht="15.75">
      <c r="A121" s="1">
        <v>45854</v>
      </c>
      <c r="B121" s="7" t="s">
        <v>463</v>
      </c>
      <c r="C121" s="5"/>
      <c r="D121" s="5">
        <v>20000</v>
      </c>
    </row>
    <row r="122" spans="1:4" ht="15.75">
      <c r="A122" s="1">
        <v>45854</v>
      </c>
      <c r="B122" s="7" t="s">
        <v>461</v>
      </c>
      <c r="C122" s="5"/>
      <c r="D122" s="5">
        <v>25000</v>
      </c>
    </row>
    <row r="123" spans="1:4" ht="15.75">
      <c r="A123" s="1">
        <v>45854</v>
      </c>
      <c r="B123" s="51" t="s">
        <v>525</v>
      </c>
      <c r="C123" s="5"/>
      <c r="D123" s="5">
        <v>364500</v>
      </c>
    </row>
    <row r="124" spans="1:4" ht="15.75">
      <c r="A124" s="1">
        <v>45854</v>
      </c>
      <c r="B124" s="7" t="s">
        <v>526</v>
      </c>
      <c r="C124" s="5"/>
      <c r="D124" s="5">
        <v>21631500</v>
      </c>
    </row>
    <row r="125" spans="1:4" ht="15.75">
      <c r="A125" s="1">
        <v>45854</v>
      </c>
      <c r="B125" s="7" t="s">
        <v>10</v>
      </c>
      <c r="C125" s="5"/>
      <c r="D125" s="5">
        <v>2500</v>
      </c>
    </row>
    <row r="126" spans="1:4" ht="15.75">
      <c r="A126" s="1">
        <v>45854</v>
      </c>
      <c r="B126" s="7" t="s">
        <v>527</v>
      </c>
      <c r="C126" s="5"/>
      <c r="D126" s="5">
        <v>625000</v>
      </c>
    </row>
    <row r="127" spans="1:4" ht="15.75">
      <c r="A127" s="1">
        <v>45854</v>
      </c>
      <c r="B127" s="7" t="s">
        <v>528</v>
      </c>
      <c r="C127" s="2"/>
      <c r="D127" s="2">
        <v>1500000</v>
      </c>
    </row>
    <row r="128" spans="1:4" ht="15.75">
      <c r="A128" s="1">
        <v>45854</v>
      </c>
      <c r="B128" s="7" t="s">
        <v>10</v>
      </c>
      <c r="C128" s="5"/>
      <c r="D128" s="5">
        <v>2500</v>
      </c>
    </row>
    <row r="129" spans="1:4" ht="15.75">
      <c r="A129" s="1">
        <v>45855</v>
      </c>
      <c r="B129" s="4" t="s">
        <v>529</v>
      </c>
      <c r="C129" s="5"/>
      <c r="D129" s="5">
        <v>2870000</v>
      </c>
    </row>
    <row r="130" spans="1:4" ht="15.75">
      <c r="A130" s="1">
        <v>45855</v>
      </c>
      <c r="B130" s="7" t="s">
        <v>530</v>
      </c>
      <c r="C130" s="5"/>
      <c r="D130" s="5">
        <v>34500</v>
      </c>
    </row>
    <row r="131" spans="1:4" ht="15.75">
      <c r="A131" s="1">
        <v>45855</v>
      </c>
      <c r="B131" s="7" t="s">
        <v>10</v>
      </c>
      <c r="C131" s="5"/>
      <c r="D131" s="5">
        <v>2500</v>
      </c>
    </row>
    <row r="132" spans="1:4" ht="15.75">
      <c r="A132" s="3">
        <v>45855</v>
      </c>
      <c r="B132" s="7" t="s">
        <v>6</v>
      </c>
      <c r="C132" s="5"/>
      <c r="D132" s="5">
        <v>15000000</v>
      </c>
    </row>
    <row r="133" spans="1:4" ht="15.75">
      <c r="A133" s="3">
        <v>45855</v>
      </c>
      <c r="B133" s="4" t="s">
        <v>531</v>
      </c>
      <c r="C133" s="5"/>
      <c r="D133" s="5">
        <v>3000000</v>
      </c>
    </row>
    <row r="134" spans="1:4" ht="15.75">
      <c r="A134" s="3">
        <v>45855</v>
      </c>
      <c r="B134" t="s">
        <v>532</v>
      </c>
      <c r="C134" s="5"/>
      <c r="D134" s="5">
        <v>92150000</v>
      </c>
    </row>
    <row r="135" spans="1:4" ht="15.75">
      <c r="A135" s="3">
        <v>45855</v>
      </c>
      <c r="B135" s="7" t="s">
        <v>10</v>
      </c>
      <c r="C135" s="5"/>
      <c r="D135" s="5">
        <v>2500</v>
      </c>
    </row>
    <row r="136" spans="1:4" ht="15.75">
      <c r="A136" s="3">
        <v>45855</v>
      </c>
      <c r="B136" t="s">
        <v>533</v>
      </c>
      <c r="C136" s="5"/>
      <c r="D136" s="5">
        <v>110000000</v>
      </c>
    </row>
    <row r="137" spans="1:4" ht="15.75">
      <c r="A137" s="3">
        <v>45855</v>
      </c>
      <c r="B137" t="s">
        <v>10</v>
      </c>
      <c r="C137" s="5"/>
      <c r="D137" s="5">
        <v>2500</v>
      </c>
    </row>
    <row r="138" spans="1:4" ht="15.75">
      <c r="A138" s="3">
        <v>45855</v>
      </c>
      <c r="B138" s="7" t="s">
        <v>534</v>
      </c>
      <c r="C138" s="5"/>
      <c r="D138" s="5">
        <v>16625000</v>
      </c>
    </row>
    <row r="139" spans="1:4" ht="15.75">
      <c r="A139" s="3">
        <v>45855</v>
      </c>
      <c r="B139" s="7" t="s">
        <v>10</v>
      </c>
      <c r="C139" s="5"/>
      <c r="D139" s="5">
        <v>2500</v>
      </c>
    </row>
    <row r="140" spans="1:4" ht="15.75">
      <c r="A140" s="3">
        <v>45855</v>
      </c>
      <c r="B140" s="7" t="s">
        <v>535</v>
      </c>
      <c r="C140" s="5"/>
      <c r="D140" s="5">
        <v>1375000</v>
      </c>
    </row>
    <row r="141" spans="1:4" ht="15.75">
      <c r="A141" s="3">
        <v>45855</v>
      </c>
      <c r="B141" t="s">
        <v>10</v>
      </c>
      <c r="C141" s="5"/>
      <c r="D141" s="5">
        <v>2500</v>
      </c>
    </row>
    <row r="142" spans="1:4" ht="15.75">
      <c r="A142" s="3">
        <v>45856</v>
      </c>
      <c r="B142" s="7" t="s">
        <v>536</v>
      </c>
      <c r="C142" s="5"/>
      <c r="D142" s="5">
        <v>370000</v>
      </c>
    </row>
    <row r="143" spans="1:4" ht="15.75">
      <c r="A143" s="3">
        <v>45856</v>
      </c>
      <c r="B143" s="7" t="s">
        <v>10</v>
      </c>
      <c r="C143" s="5"/>
      <c r="D143" s="5">
        <v>2500</v>
      </c>
    </row>
    <row r="144" spans="1:4" ht="15.75">
      <c r="A144" s="3">
        <v>45856</v>
      </c>
      <c r="B144" s="4" t="s">
        <v>537</v>
      </c>
      <c r="C144" s="5"/>
      <c r="D144" s="5">
        <v>20520900</v>
      </c>
    </row>
    <row r="145" spans="1:4" ht="15.75">
      <c r="A145" s="3">
        <v>45857</v>
      </c>
      <c r="B145" s="52" t="s">
        <v>6</v>
      </c>
      <c r="C145" s="52"/>
      <c r="D145" s="53">
        <v>10000000</v>
      </c>
    </row>
    <row r="146" spans="1:4" ht="15.75">
      <c r="A146" s="3">
        <v>45857</v>
      </c>
      <c r="B146" s="52" t="s">
        <v>119</v>
      </c>
      <c r="C146" s="52"/>
      <c r="D146" s="53">
        <v>6500000</v>
      </c>
    </row>
    <row r="147" spans="1:4" ht="15.75">
      <c r="A147" s="3">
        <v>45857</v>
      </c>
      <c r="B147" s="52" t="s">
        <v>473</v>
      </c>
      <c r="C147" s="53"/>
      <c r="D147" s="53">
        <v>750000</v>
      </c>
    </row>
    <row r="148" spans="1:4" ht="15.75">
      <c r="A148" s="3">
        <v>45857</v>
      </c>
      <c r="B148" s="52" t="s">
        <v>538</v>
      </c>
      <c r="C148" s="53"/>
      <c r="D148" s="53">
        <v>740000</v>
      </c>
    </row>
    <row r="149" spans="1:4" ht="15.75">
      <c r="A149" s="3">
        <v>45857</v>
      </c>
      <c r="B149" s="52" t="s">
        <v>10</v>
      </c>
      <c r="C149" s="53"/>
      <c r="D149" s="53">
        <v>2500</v>
      </c>
    </row>
    <row r="150" spans="1:4" ht="15.75">
      <c r="A150" s="3">
        <v>45857</v>
      </c>
      <c r="B150" s="4" t="s">
        <v>539</v>
      </c>
      <c r="C150" s="7"/>
      <c r="D150" s="5">
        <v>25000000</v>
      </c>
    </row>
    <row r="151" spans="1:4" ht="15.75">
      <c r="A151" s="3">
        <v>45857</v>
      </c>
      <c r="B151" s="7" t="s">
        <v>10</v>
      </c>
      <c r="C151" s="7"/>
      <c r="D151" s="5">
        <v>2500</v>
      </c>
    </row>
    <row r="152" spans="1:4" ht="15.75">
      <c r="A152" s="3">
        <v>45858</v>
      </c>
      <c r="B152" s="4" t="s">
        <v>464</v>
      </c>
      <c r="C152" s="5"/>
      <c r="D152" s="5">
        <v>800000</v>
      </c>
    </row>
    <row r="153" spans="1:4" ht="15.75">
      <c r="A153" s="3">
        <v>45858</v>
      </c>
      <c r="B153" s="4" t="s">
        <v>453</v>
      </c>
      <c r="C153" s="5"/>
      <c r="D153" s="5">
        <v>150000</v>
      </c>
    </row>
    <row r="154" spans="1:4" ht="15.75">
      <c r="A154" s="3">
        <v>45858</v>
      </c>
      <c r="B154" t="s">
        <v>540</v>
      </c>
      <c r="D154" s="2">
        <v>85850000</v>
      </c>
    </row>
    <row r="155" spans="1:4" ht="15.75">
      <c r="A155" s="3">
        <v>45858</v>
      </c>
      <c r="B155" s="4" t="s">
        <v>541</v>
      </c>
      <c r="C155" s="7"/>
      <c r="D155" s="5">
        <v>36397927</v>
      </c>
    </row>
    <row r="156" spans="1:4" ht="15.75">
      <c r="A156" s="3">
        <v>45858</v>
      </c>
      <c r="B156" s="4" t="s">
        <v>542</v>
      </c>
      <c r="C156" s="5"/>
      <c r="D156" s="5">
        <v>20000000</v>
      </c>
    </row>
    <row r="157" spans="1:4" ht="15.75">
      <c r="A157" s="3">
        <v>45858</v>
      </c>
      <c r="B157" s="7" t="s">
        <v>10</v>
      </c>
      <c r="C157" s="5"/>
      <c r="D157" s="5">
        <v>2500</v>
      </c>
    </row>
    <row r="158" spans="1:4" ht="15.75">
      <c r="A158" s="3">
        <v>45858</v>
      </c>
      <c r="B158" s="4" t="s">
        <v>543</v>
      </c>
      <c r="C158" s="5"/>
      <c r="D158" s="5">
        <v>130000000</v>
      </c>
    </row>
    <row r="159" spans="1:4" ht="15.75">
      <c r="A159" s="3">
        <v>45858</v>
      </c>
      <c r="B159" s="7" t="s">
        <v>10</v>
      </c>
      <c r="C159" s="7"/>
      <c r="D159" s="5">
        <v>2500</v>
      </c>
    </row>
    <row r="160" spans="1:4" ht="15.75">
      <c r="A160" s="3">
        <v>45859</v>
      </c>
      <c r="B160" s="7" t="s">
        <v>544</v>
      </c>
      <c r="C160" s="5"/>
      <c r="D160" s="5">
        <v>256474336</v>
      </c>
    </row>
    <row r="161" spans="1:4" ht="15.75">
      <c r="A161" s="3">
        <v>45859</v>
      </c>
      <c r="B161" s="7" t="s">
        <v>545</v>
      </c>
      <c r="C161" s="5"/>
      <c r="D161" s="5">
        <v>4125000</v>
      </c>
    </row>
    <row r="162" spans="1:4" ht="15.75">
      <c r="A162" s="3">
        <v>45859</v>
      </c>
      <c r="B162" s="7" t="s">
        <v>546</v>
      </c>
      <c r="C162" s="5"/>
      <c r="D162" s="5">
        <v>3680000</v>
      </c>
    </row>
    <row r="163" spans="1:4" ht="15.75">
      <c r="A163" s="3">
        <v>45859</v>
      </c>
      <c r="B163" t="s">
        <v>10</v>
      </c>
      <c r="C163" s="5"/>
      <c r="D163" s="5">
        <v>2500</v>
      </c>
    </row>
    <row r="164" spans="1:4" ht="15.75">
      <c r="A164" s="3">
        <v>45860</v>
      </c>
      <c r="B164" t="s">
        <v>6</v>
      </c>
      <c r="C164" s="5"/>
      <c r="D164" s="5">
        <v>10000000</v>
      </c>
    </row>
    <row r="165" spans="1:4" ht="15.75">
      <c r="A165" s="3">
        <v>45861</v>
      </c>
      <c r="B165" s="7" t="s">
        <v>178</v>
      </c>
      <c r="C165" s="5"/>
      <c r="D165" s="5">
        <v>117500</v>
      </c>
    </row>
    <row r="166" spans="1:4" ht="15.75">
      <c r="A166" s="3">
        <v>45861</v>
      </c>
      <c r="B166" s="7" t="s">
        <v>178</v>
      </c>
      <c r="C166" s="5"/>
      <c r="D166" s="5">
        <v>47500</v>
      </c>
    </row>
    <row r="167" spans="1:4" ht="15.75">
      <c r="A167" s="3">
        <v>45861</v>
      </c>
      <c r="B167" t="s">
        <v>178</v>
      </c>
      <c r="C167" s="5"/>
      <c r="D167" s="5">
        <v>50000</v>
      </c>
    </row>
    <row r="168" spans="1:4" ht="15.75">
      <c r="A168" s="3">
        <v>45861</v>
      </c>
      <c r="B168" s="7" t="s">
        <v>547</v>
      </c>
      <c r="C168" s="5"/>
      <c r="D168" s="5">
        <v>9550000</v>
      </c>
    </row>
    <row r="169" spans="1:4" ht="15.75">
      <c r="A169" s="3">
        <v>45861</v>
      </c>
      <c r="B169" t="s">
        <v>548</v>
      </c>
      <c r="C169" s="5"/>
      <c r="D169" s="5">
        <v>9630000</v>
      </c>
    </row>
    <row r="170" spans="1:4" ht="15.75">
      <c r="A170" s="3">
        <v>45861</v>
      </c>
      <c r="B170" t="s">
        <v>548</v>
      </c>
      <c r="C170" s="5"/>
      <c r="D170" s="5">
        <v>7530000</v>
      </c>
    </row>
    <row r="171" spans="1:4" ht="15.75">
      <c r="A171" s="3">
        <v>45861</v>
      </c>
      <c r="B171" s="7" t="s">
        <v>462</v>
      </c>
      <c r="C171" s="5"/>
      <c r="D171" s="5">
        <v>2200000</v>
      </c>
    </row>
    <row r="172" spans="1:4" ht="15.75">
      <c r="A172" s="3">
        <v>45861</v>
      </c>
      <c r="B172" s="4" t="s">
        <v>549</v>
      </c>
      <c r="C172" s="5"/>
      <c r="D172" s="5">
        <v>3000000</v>
      </c>
    </row>
    <row r="173" spans="1:4" ht="15.75">
      <c r="A173" s="3">
        <v>45861</v>
      </c>
      <c r="B173" s="4" t="s">
        <v>550</v>
      </c>
      <c r="C173" s="5"/>
      <c r="D173" s="5">
        <v>3000000</v>
      </c>
    </row>
    <row r="174" spans="1:4" ht="15.75">
      <c r="A174" s="3">
        <v>45861</v>
      </c>
      <c r="B174" s="7" t="s">
        <v>551</v>
      </c>
      <c r="C174" s="5"/>
      <c r="D174" s="5">
        <v>43000000</v>
      </c>
    </row>
    <row r="175" spans="1:4" ht="15.75">
      <c r="A175" s="3">
        <v>45861</v>
      </c>
      <c r="B175" t="s">
        <v>10</v>
      </c>
      <c r="C175" s="5"/>
      <c r="D175" s="5">
        <v>2500</v>
      </c>
    </row>
    <row r="176" spans="1:4" ht="15.75">
      <c r="A176" s="3">
        <v>45861</v>
      </c>
      <c r="B176" t="s">
        <v>365</v>
      </c>
      <c r="C176" s="5"/>
      <c r="D176" s="5">
        <v>1000000</v>
      </c>
    </row>
    <row r="177" spans="1:4" ht="15.75">
      <c r="A177" s="3">
        <v>45861</v>
      </c>
      <c r="B177" s="7" t="s">
        <v>552</v>
      </c>
      <c r="C177" s="5"/>
      <c r="D177" s="5">
        <v>12500000</v>
      </c>
    </row>
    <row r="178" spans="1:4" ht="15.75">
      <c r="A178" s="3">
        <v>45861</v>
      </c>
      <c r="B178" s="7" t="s">
        <v>10</v>
      </c>
      <c r="C178" s="5"/>
      <c r="D178" s="5">
        <v>2500</v>
      </c>
    </row>
    <row r="179" spans="1:4" ht="15.75">
      <c r="A179" s="3">
        <v>45862</v>
      </c>
      <c r="B179" s="7" t="s">
        <v>553</v>
      </c>
      <c r="C179" s="5"/>
      <c r="D179" s="7">
        <v>9382275</v>
      </c>
    </row>
    <row r="180" spans="1:4" ht="15.75">
      <c r="A180" s="3">
        <v>45862</v>
      </c>
      <c r="B180" s="4" t="s">
        <v>10</v>
      </c>
      <c r="C180" s="7"/>
      <c r="D180" s="5">
        <v>2500</v>
      </c>
    </row>
    <row r="181" spans="1:4" ht="15.75">
      <c r="A181" s="3">
        <v>45862</v>
      </c>
      <c r="B181" s="7" t="s">
        <v>554</v>
      </c>
      <c r="C181" s="5"/>
      <c r="D181" s="5">
        <v>154000</v>
      </c>
    </row>
    <row r="182" spans="1:4" ht="15.75">
      <c r="A182" s="3">
        <v>45862</v>
      </c>
      <c r="B182" s="4" t="s">
        <v>416</v>
      </c>
      <c r="C182" s="5"/>
      <c r="D182" s="5">
        <v>2000000</v>
      </c>
    </row>
    <row r="183" spans="1:4" ht="15.75">
      <c r="A183" s="3">
        <v>45863</v>
      </c>
      <c r="B183" s="7" t="s">
        <v>6</v>
      </c>
      <c r="C183" s="5"/>
      <c r="D183" s="5">
        <v>15000000</v>
      </c>
    </row>
    <row r="184" spans="1:4" ht="15.75">
      <c r="A184" s="3">
        <v>45863</v>
      </c>
      <c r="B184" s="7" t="s">
        <v>276</v>
      </c>
      <c r="C184" s="7"/>
      <c r="D184" s="5">
        <v>5772000</v>
      </c>
    </row>
    <row r="185" spans="1:4" ht="15.75">
      <c r="A185" s="3">
        <v>45863</v>
      </c>
      <c r="B185" s="7" t="s">
        <v>10</v>
      </c>
      <c r="C185" s="5"/>
      <c r="D185" s="5">
        <v>2500</v>
      </c>
    </row>
    <row r="186" spans="1:4" ht="15.75">
      <c r="A186" s="3">
        <v>45863</v>
      </c>
      <c r="B186" s="7" t="s">
        <v>555</v>
      </c>
      <c r="C186" s="5"/>
      <c r="D186" s="5">
        <v>306900</v>
      </c>
    </row>
    <row r="187" spans="1:4" ht="15.75">
      <c r="A187" s="3">
        <v>45863</v>
      </c>
      <c r="B187" s="7" t="s">
        <v>281</v>
      </c>
      <c r="C187" s="5"/>
      <c r="D187" s="5">
        <v>2200000</v>
      </c>
    </row>
    <row r="188" spans="1:4" ht="15.75">
      <c r="A188" s="3">
        <v>45864</v>
      </c>
      <c r="B188" s="7" t="s">
        <v>556</v>
      </c>
      <c r="C188" s="5"/>
      <c r="D188" s="5">
        <v>5000000</v>
      </c>
    </row>
    <row r="189" spans="1:4" ht="15.75">
      <c r="A189" s="3">
        <v>45864</v>
      </c>
      <c r="B189" s="4" t="s">
        <v>557</v>
      </c>
      <c r="C189" s="5"/>
      <c r="D189" s="5">
        <v>29850000</v>
      </c>
    </row>
    <row r="190" spans="1:4" ht="15.75">
      <c r="A190" s="3">
        <v>45864</v>
      </c>
      <c r="B190" s="7" t="s">
        <v>10</v>
      </c>
      <c r="C190" s="5"/>
      <c r="D190" s="5">
        <v>2500</v>
      </c>
    </row>
    <row r="191" spans="1:4" ht="15.75">
      <c r="A191" s="3">
        <v>45864</v>
      </c>
      <c r="B191" s="7" t="s">
        <v>558</v>
      </c>
      <c r="C191" s="5"/>
      <c r="D191" s="5">
        <v>33000000</v>
      </c>
    </row>
    <row r="192" spans="1:4" ht="15.75">
      <c r="A192" s="3">
        <v>45864</v>
      </c>
      <c r="B192" s="7" t="s">
        <v>10</v>
      </c>
      <c r="C192" s="5"/>
      <c r="D192" s="5">
        <v>2500</v>
      </c>
    </row>
    <row r="193" spans="1:4" ht="15.75">
      <c r="A193" s="3">
        <v>45864</v>
      </c>
      <c r="B193" s="7" t="s">
        <v>559</v>
      </c>
      <c r="C193" s="5"/>
      <c r="D193" s="5">
        <v>24000000</v>
      </c>
    </row>
    <row r="194" spans="1:4" ht="15.75">
      <c r="A194" s="3">
        <v>45864</v>
      </c>
      <c r="B194" s="7" t="s">
        <v>10</v>
      </c>
      <c r="C194" s="5"/>
      <c r="D194" s="5">
        <v>2500</v>
      </c>
    </row>
    <row r="195" spans="1:4" ht="15.75">
      <c r="A195" s="3">
        <v>45864</v>
      </c>
      <c r="B195" s="7" t="s">
        <v>560</v>
      </c>
      <c r="C195" s="5"/>
      <c r="D195" s="5">
        <v>83000000</v>
      </c>
    </row>
    <row r="196" spans="1:4" ht="15.75">
      <c r="A196" s="3">
        <v>45864</v>
      </c>
      <c r="B196" s="7" t="s">
        <v>10</v>
      </c>
      <c r="C196" s="5"/>
      <c r="D196" s="5">
        <v>2500</v>
      </c>
    </row>
    <row r="197" spans="1:4" ht="15.75">
      <c r="A197" s="3">
        <v>45864</v>
      </c>
      <c r="B197" s="4" t="s">
        <v>416</v>
      </c>
      <c r="C197" s="44"/>
      <c r="D197" s="5">
        <v>800000</v>
      </c>
    </row>
    <row r="198" spans="1:4" ht="15.75">
      <c r="A198" s="3">
        <v>45864</v>
      </c>
      <c r="B198" s="4" t="s">
        <v>464</v>
      </c>
      <c r="C198" s="44"/>
      <c r="D198" s="5">
        <v>500000</v>
      </c>
    </row>
    <row r="199" spans="1:4" ht="15.75">
      <c r="A199" s="3">
        <v>45864</v>
      </c>
      <c r="B199" s="4" t="s">
        <v>453</v>
      </c>
      <c r="C199" s="44"/>
      <c r="D199" s="2">
        <v>150000</v>
      </c>
    </row>
    <row r="200" spans="1:4" ht="15.75">
      <c r="A200" s="1">
        <v>45866</v>
      </c>
      <c r="B200" s="7" t="s">
        <v>6</v>
      </c>
      <c r="D200" s="2">
        <v>15000000</v>
      </c>
    </row>
    <row r="201" spans="1:4" ht="15.75">
      <c r="A201" s="3">
        <v>45867</v>
      </c>
      <c r="B201" s="7" t="s">
        <v>281</v>
      </c>
      <c r="C201" s="5"/>
      <c r="D201" s="5">
        <v>1060000</v>
      </c>
    </row>
    <row r="202" spans="1:4" ht="15.75">
      <c r="A202" s="3">
        <v>45867</v>
      </c>
      <c r="B202" s="4" t="s">
        <v>561</v>
      </c>
      <c r="C202" s="5"/>
      <c r="D202" s="5">
        <v>500000</v>
      </c>
    </row>
    <row r="203" spans="1:4" ht="15.75">
      <c r="A203" s="3">
        <v>45867</v>
      </c>
      <c r="B203" s="4" t="s">
        <v>461</v>
      </c>
      <c r="C203" s="7"/>
      <c r="D203" s="5">
        <v>200000</v>
      </c>
    </row>
    <row r="204" spans="1:4" ht="15.75">
      <c r="A204" s="3">
        <v>45867</v>
      </c>
      <c r="B204" s="4" t="s">
        <v>561</v>
      </c>
      <c r="C204" s="5"/>
      <c r="D204" s="5">
        <v>1700000</v>
      </c>
    </row>
    <row r="205" spans="1:4" ht="15.75">
      <c r="A205" s="3">
        <v>45867</v>
      </c>
      <c r="B205" s="4" t="s">
        <v>462</v>
      </c>
      <c r="C205" s="5"/>
      <c r="D205" s="5">
        <v>150000</v>
      </c>
    </row>
    <row r="206" spans="1:4" ht="15.75">
      <c r="A206" s="3">
        <v>45868</v>
      </c>
      <c r="B206" s="7" t="s">
        <v>562</v>
      </c>
      <c r="C206" s="7"/>
      <c r="D206" s="5">
        <v>60750000</v>
      </c>
    </row>
    <row r="207" spans="1:4" ht="15.75">
      <c r="A207" s="3">
        <v>45868</v>
      </c>
      <c r="B207" s="7" t="s">
        <v>10</v>
      </c>
      <c r="D207" s="2">
        <v>2500</v>
      </c>
    </row>
    <row r="208" spans="1:4" ht="15.75">
      <c r="A208" s="3">
        <v>45868</v>
      </c>
      <c r="B208" s="4" t="s">
        <v>464</v>
      </c>
      <c r="C208" s="5"/>
      <c r="D208" s="5">
        <v>300000</v>
      </c>
    </row>
    <row r="209" spans="1:4" ht="15.75">
      <c r="A209" s="3">
        <v>45869</v>
      </c>
      <c r="B209" s="4" t="s">
        <v>563</v>
      </c>
      <c r="C209" s="5"/>
      <c r="D209" s="5">
        <v>8368000</v>
      </c>
    </row>
    <row r="210" spans="1:4" ht="15.75">
      <c r="A210" s="3">
        <v>45868</v>
      </c>
      <c r="B210" s="7" t="s">
        <v>564</v>
      </c>
      <c r="C210" s="5"/>
      <c r="D210" s="5">
        <v>8019000</v>
      </c>
    </row>
    <row r="211" spans="1:4" ht="15.75">
      <c r="A211" s="3">
        <v>45868</v>
      </c>
      <c r="B211" s="7" t="s">
        <v>10</v>
      </c>
      <c r="C211" s="5"/>
      <c r="D211" s="5">
        <v>2500</v>
      </c>
    </row>
    <row r="212" spans="1:4" ht="15.75">
      <c r="A212" s="1">
        <v>45868</v>
      </c>
      <c r="B212" s="4" t="s">
        <v>565</v>
      </c>
      <c r="C212" s="7"/>
      <c r="D212" s="5">
        <f>82500000-25000000</f>
        <v>57500000</v>
      </c>
    </row>
    <row r="213" spans="1:4" ht="15.75">
      <c r="A213" s="3">
        <v>45868</v>
      </c>
      <c r="B213" s="7" t="s">
        <v>10</v>
      </c>
      <c r="C213" s="5"/>
      <c r="D213" s="5">
        <v>2500</v>
      </c>
    </row>
    <row r="214" spans="1:4" ht="15.75">
      <c r="A214" s="3">
        <v>45868</v>
      </c>
      <c r="B214" s="4" t="s">
        <v>566</v>
      </c>
      <c r="C214" s="5"/>
      <c r="D214" s="5">
        <v>35000000</v>
      </c>
    </row>
    <row r="215" spans="1:4" ht="15.75">
      <c r="A215" s="3">
        <v>45868</v>
      </c>
      <c r="B215" t="s">
        <v>10</v>
      </c>
      <c r="C215" s="7"/>
      <c r="D215" s="5">
        <v>2500</v>
      </c>
    </row>
    <row r="216" spans="1:4" ht="15.75">
      <c r="A216" s="3">
        <v>45868</v>
      </c>
      <c r="B216" s="4" t="s">
        <v>567</v>
      </c>
      <c r="C216" s="7"/>
      <c r="D216" s="5">
        <v>35000000</v>
      </c>
    </row>
    <row r="217" spans="1:4" ht="15.75">
      <c r="A217" s="3">
        <v>45868</v>
      </c>
      <c r="B217" s="7" t="s">
        <v>10</v>
      </c>
      <c r="C217" s="7"/>
      <c r="D217" s="5">
        <v>2500</v>
      </c>
    </row>
    <row r="218" spans="1:4" ht="15.75">
      <c r="A218" s="3">
        <v>45868</v>
      </c>
      <c r="B218" s="7" t="s">
        <v>568</v>
      </c>
      <c r="D218" s="2">
        <v>500000000</v>
      </c>
    </row>
    <row r="219" spans="1:4" ht="15.75">
      <c r="A219" s="1">
        <v>45868</v>
      </c>
      <c r="B219" s="4" t="s">
        <v>569</v>
      </c>
      <c r="C219" s="5"/>
      <c r="D219" s="5">
        <v>2000000</v>
      </c>
    </row>
    <row r="220" spans="1:4" ht="15.75">
      <c r="A220" s="1">
        <v>45869</v>
      </c>
      <c r="B220" s="4" t="s">
        <v>570</v>
      </c>
      <c r="C220" s="7"/>
      <c r="D220" s="5">
        <v>2000000</v>
      </c>
    </row>
    <row r="221" spans="1:4" ht="15.75">
      <c r="A221" s="1">
        <v>45869</v>
      </c>
      <c r="B221" t="s">
        <v>571</v>
      </c>
      <c r="C221" s="7"/>
      <c r="D221" s="5">
        <v>9000000</v>
      </c>
    </row>
    <row r="222" spans="1:4" ht="15.75">
      <c r="A222" s="1">
        <v>45869</v>
      </c>
      <c r="B222" s="4" t="s">
        <v>572</v>
      </c>
      <c r="C222" s="7"/>
      <c r="D222" s="5">
        <v>1100000</v>
      </c>
    </row>
    <row r="223" spans="1:4" ht="15.75">
      <c r="B223" s="7" t="s">
        <v>573</v>
      </c>
      <c r="C223" s="2"/>
      <c r="D223" s="2">
        <v>30000</v>
      </c>
    </row>
    <row r="224" spans="1:4" ht="15.75">
      <c r="B224" s="7" t="s">
        <v>70</v>
      </c>
      <c r="C224" s="7"/>
      <c r="D224" s="5">
        <f>2695.88+24455.65</f>
        <v>27151.530000000002</v>
      </c>
    </row>
    <row r="225" spans="2:4" ht="15.75">
      <c r="B225" s="7"/>
      <c r="C225" s="19"/>
      <c r="D225" s="5"/>
    </row>
    <row r="226" spans="2:4" ht="15.75">
      <c r="B226" s="7"/>
      <c r="C226" s="7"/>
      <c r="D226" s="5"/>
    </row>
    <row r="227" spans="2:4" ht="15.75">
      <c r="B227" s="7"/>
      <c r="C227" s="7"/>
      <c r="D227" s="5"/>
    </row>
    <row r="228" spans="2:4" ht="15.75">
      <c r="B228" s="7"/>
      <c r="C228" s="7"/>
      <c r="D228" s="5"/>
    </row>
    <row r="229" spans="2:4" ht="15.75">
      <c r="B229" s="7"/>
      <c r="C229" s="19"/>
      <c r="D229" s="19">
        <f>SUM(D5:D228)</f>
        <v>3799961139.5300002</v>
      </c>
    </row>
    <row r="230" spans="2:4" ht="15.75">
      <c r="B230" s="7"/>
      <c r="C230" s="19"/>
      <c r="D230" s="19">
        <v>3799961139.5300002</v>
      </c>
    </row>
    <row r="231" spans="2:4" ht="15.75">
      <c r="B231" s="7"/>
      <c r="C231" s="7"/>
      <c r="D231" s="5"/>
    </row>
    <row r="232" spans="2:4" ht="15.75"/>
    <row r="233" spans="2:4" ht="15.75"/>
    <row r="234" spans="2:4" ht="15.75"/>
    <row r="235" spans="2:4" ht="15.75"/>
    <row r="236" spans="2:4" ht="15.75"/>
    <row r="237" spans="2:4" ht="15.75"/>
    <row r="238" spans="2:4" ht="15.75"/>
    <row r="239" spans="2:4" ht="15.75"/>
    <row r="240" spans="2:4" ht="15.75"/>
    <row r="241" ht="15.75"/>
    <row r="242" ht="15.75"/>
    <row r="243" ht="15.75"/>
    <row r="244" ht="15.75"/>
    <row r="245" ht="15.75"/>
    <row r="246" ht="15.75"/>
    <row r="247" ht="15.75"/>
    <row r="248" ht="15.75"/>
    <row r="249" ht="15.75"/>
    <row r="250" ht="15.75"/>
    <row r="251" ht="15.75"/>
    <row r="252" ht="15.75"/>
    <row r="253" ht="15.75"/>
    <row r="254" ht="15.75"/>
    <row r="255" ht="15.75"/>
    <row r="256" ht="15.75"/>
    <row r="257" ht="15.75"/>
    <row r="258" ht="15.75"/>
    <row r="259" ht="15.7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285DA-613C-8442-BE01-43974C06A8DC}">
  <dimension ref="A1:D227"/>
  <sheetViews>
    <sheetView workbookViewId="0">
      <selection activeCell="G14" sqref="G14"/>
    </sheetView>
  </sheetViews>
  <sheetFormatPr defaultColWidth="11" defaultRowHeight="15.95"/>
  <cols>
    <col min="2" max="2" width="35.125" customWidth="1"/>
    <col min="4" max="4" width="16.375" customWidth="1"/>
  </cols>
  <sheetData>
    <row r="1" spans="1:4">
      <c r="A1" s="7" t="s">
        <v>574</v>
      </c>
      <c r="B1" s="7"/>
      <c r="C1" s="7"/>
      <c r="D1" s="7"/>
    </row>
    <row r="2" spans="1:4">
      <c r="A2" s="7" t="s">
        <v>1</v>
      </c>
      <c r="B2" s="7"/>
      <c r="C2" s="7"/>
      <c r="D2" s="7"/>
    </row>
    <row r="3" spans="1:4">
      <c r="A3" s="7"/>
      <c r="B3" s="7"/>
      <c r="C3" s="7"/>
      <c r="D3" s="7"/>
    </row>
    <row r="4" spans="1:4">
      <c r="A4" s="7" t="s">
        <v>2</v>
      </c>
      <c r="B4" s="7" t="s">
        <v>3</v>
      </c>
      <c r="C4" s="7" t="s">
        <v>4</v>
      </c>
      <c r="D4" s="7" t="s">
        <v>5</v>
      </c>
    </row>
    <row r="5" spans="1:4" ht="15.75">
      <c r="A5" s="3">
        <v>45870</v>
      </c>
      <c r="B5" s="7" t="s">
        <v>575</v>
      </c>
      <c r="C5" s="7"/>
      <c r="D5" s="5">
        <v>7176000</v>
      </c>
    </row>
    <row r="6" spans="1:4" ht="15.75">
      <c r="A6" s="3">
        <v>45870</v>
      </c>
      <c r="B6" s="7" t="s">
        <v>10</v>
      </c>
      <c r="C6" s="7"/>
      <c r="D6" s="5">
        <v>2500</v>
      </c>
    </row>
    <row r="7" spans="1:4" ht="15.75">
      <c r="A7" s="3">
        <v>45870</v>
      </c>
      <c r="B7" s="4" t="s">
        <v>576</v>
      </c>
      <c r="C7" s="7"/>
      <c r="D7" s="5">
        <v>205000</v>
      </c>
    </row>
    <row r="8" spans="1:4" ht="15.75">
      <c r="A8" s="3">
        <v>45870</v>
      </c>
      <c r="B8" s="7" t="s">
        <v>119</v>
      </c>
      <c r="C8" s="7"/>
      <c r="D8" s="5">
        <v>7000000</v>
      </c>
    </row>
    <row r="9" spans="1:4" ht="15.75">
      <c r="A9" s="3">
        <v>45870</v>
      </c>
      <c r="B9" s="4" t="s">
        <v>577</v>
      </c>
      <c r="C9" s="7"/>
      <c r="D9" s="5">
        <v>12940000</v>
      </c>
    </row>
    <row r="10" spans="1:4" ht="15.75">
      <c r="A10" s="3">
        <v>45870</v>
      </c>
      <c r="B10" s="4" t="s">
        <v>578</v>
      </c>
      <c r="C10" s="7"/>
      <c r="D10" s="5">
        <v>6950000</v>
      </c>
    </row>
    <row r="11" spans="1:4" ht="15.75">
      <c r="A11" s="3">
        <v>45870</v>
      </c>
      <c r="B11" s="4" t="s">
        <v>579</v>
      </c>
      <c r="C11" s="7"/>
      <c r="D11" s="5">
        <v>6241000</v>
      </c>
    </row>
    <row r="12" spans="1:4" ht="15.75">
      <c r="A12" s="3">
        <v>45870</v>
      </c>
      <c r="B12" s="4" t="s">
        <v>580</v>
      </c>
      <c r="C12" s="7"/>
      <c r="D12" s="5">
        <v>5980000</v>
      </c>
    </row>
    <row r="13" spans="1:4" ht="15.75">
      <c r="A13" s="3">
        <v>45870</v>
      </c>
      <c r="B13" s="4" t="s">
        <v>580</v>
      </c>
      <c r="C13" s="7"/>
      <c r="D13" s="5">
        <v>500000</v>
      </c>
    </row>
    <row r="14" spans="1:4" ht="15.75">
      <c r="A14" s="3">
        <v>45870</v>
      </c>
      <c r="B14" s="4" t="s">
        <v>581</v>
      </c>
      <c r="C14" s="7"/>
      <c r="D14" s="5">
        <v>5010000</v>
      </c>
    </row>
    <row r="15" spans="1:4" ht="15.75">
      <c r="A15" s="3">
        <v>45870</v>
      </c>
      <c r="B15" s="4" t="s">
        <v>582</v>
      </c>
      <c r="C15" s="7"/>
      <c r="D15" s="5">
        <v>2435000</v>
      </c>
    </row>
    <row r="16" spans="1:4" ht="15.75">
      <c r="A16" s="3">
        <v>45870</v>
      </c>
      <c r="B16" s="4" t="s">
        <v>583</v>
      </c>
      <c r="C16" s="7"/>
      <c r="D16" s="5">
        <v>5700000</v>
      </c>
    </row>
    <row r="17" spans="1:4" ht="15.75">
      <c r="A17" s="3">
        <v>45870</v>
      </c>
      <c r="B17" s="7" t="s">
        <v>584</v>
      </c>
      <c r="C17" s="7"/>
      <c r="D17" s="5">
        <v>1500000</v>
      </c>
    </row>
    <row r="18" spans="1:4" ht="15.75">
      <c r="A18" s="3">
        <v>45870</v>
      </c>
      <c r="B18" s="7" t="s">
        <v>10</v>
      </c>
      <c r="C18" s="7"/>
      <c r="D18" s="5">
        <v>2500</v>
      </c>
    </row>
    <row r="19" spans="1:4" ht="15.75">
      <c r="A19" s="3">
        <v>45870</v>
      </c>
      <c r="B19" s="7" t="s">
        <v>585</v>
      </c>
      <c r="C19" s="7"/>
      <c r="D19" s="7">
        <v>2430000</v>
      </c>
    </row>
    <row r="20" spans="1:4" ht="15.75">
      <c r="A20" s="3">
        <v>45870</v>
      </c>
      <c r="B20" s="7" t="s">
        <v>10</v>
      </c>
      <c r="C20" s="7"/>
      <c r="D20" s="5">
        <v>2500</v>
      </c>
    </row>
    <row r="21" spans="1:4" ht="15.75">
      <c r="A21" s="3">
        <v>45870</v>
      </c>
      <c r="B21" s="4" t="s">
        <v>586</v>
      </c>
      <c r="C21" s="7"/>
      <c r="D21" s="5">
        <v>1525000</v>
      </c>
    </row>
    <row r="22" spans="1:4" ht="15.75">
      <c r="A22" s="3">
        <v>45870</v>
      </c>
      <c r="B22" s="4" t="s">
        <v>587</v>
      </c>
      <c r="C22" s="7"/>
      <c r="D22" s="5">
        <v>2135000</v>
      </c>
    </row>
    <row r="23" spans="1:4" ht="15.75">
      <c r="A23" s="3">
        <v>45870</v>
      </c>
      <c r="B23" s="4" t="s">
        <v>588</v>
      </c>
      <c r="C23" s="7"/>
      <c r="D23" s="5">
        <v>2830000</v>
      </c>
    </row>
    <row r="24" spans="1:4" ht="15.75">
      <c r="A24" s="3">
        <v>45870</v>
      </c>
      <c r="B24" s="4" t="s">
        <v>589</v>
      </c>
      <c r="C24" s="7"/>
      <c r="D24" s="5">
        <v>2145000</v>
      </c>
    </row>
    <row r="25" spans="1:4" ht="15.75">
      <c r="A25" s="3">
        <v>45870</v>
      </c>
      <c r="B25" s="46" t="s">
        <v>590</v>
      </c>
      <c r="C25" s="5"/>
      <c r="D25" s="5">
        <v>2150000</v>
      </c>
    </row>
    <row r="26" spans="1:4" ht="15.75">
      <c r="A26" s="3">
        <v>45870</v>
      </c>
      <c r="B26" s="7" t="s">
        <v>365</v>
      </c>
      <c r="C26" s="7"/>
      <c r="D26" s="5">
        <v>3000000</v>
      </c>
    </row>
    <row r="27" spans="1:4" ht="15.75">
      <c r="A27" s="3">
        <v>45870</v>
      </c>
      <c r="B27" s="4" t="s">
        <v>591</v>
      </c>
      <c r="C27" s="7"/>
      <c r="D27" s="5">
        <v>335000</v>
      </c>
    </row>
    <row r="28" spans="1:4" ht="15.75">
      <c r="A28" s="3">
        <v>45870</v>
      </c>
      <c r="B28" s="4" t="s">
        <v>592</v>
      </c>
      <c r="C28" s="7"/>
      <c r="D28" s="5">
        <v>1855000</v>
      </c>
    </row>
    <row r="29" spans="1:4" ht="15.75">
      <c r="A29" s="3">
        <v>45870</v>
      </c>
      <c r="B29" s="4" t="s">
        <v>593</v>
      </c>
      <c r="C29" s="7"/>
      <c r="D29" s="5">
        <v>2075000</v>
      </c>
    </row>
    <row r="30" spans="1:4" ht="15.75">
      <c r="A30" s="3">
        <v>45870</v>
      </c>
      <c r="B30" s="4" t="s">
        <v>594</v>
      </c>
      <c r="C30" s="7"/>
      <c r="D30" s="5">
        <v>2315000</v>
      </c>
    </row>
    <row r="31" spans="1:4" ht="15.75">
      <c r="A31" s="3">
        <v>45870</v>
      </c>
      <c r="B31" s="4" t="s">
        <v>595</v>
      </c>
      <c r="C31" s="7"/>
      <c r="D31" s="5">
        <v>2625000</v>
      </c>
    </row>
    <row r="32" spans="1:4" ht="15.75">
      <c r="A32" s="3">
        <v>45870</v>
      </c>
      <c r="B32" s="4" t="s">
        <v>596</v>
      </c>
      <c r="C32" s="7"/>
      <c r="D32" s="44">
        <v>1100000</v>
      </c>
    </row>
    <row r="33" spans="1:4" ht="15.75">
      <c r="A33" s="3">
        <v>45871</v>
      </c>
      <c r="B33" s="4" t="s">
        <v>597</v>
      </c>
      <c r="C33" s="7"/>
      <c r="D33" s="5">
        <v>4000000</v>
      </c>
    </row>
    <row r="34" spans="1:4" ht="15.75">
      <c r="A34" s="3">
        <v>45872</v>
      </c>
      <c r="B34" s="4" t="s">
        <v>598</v>
      </c>
      <c r="C34" s="4"/>
      <c r="D34" s="44">
        <v>1500000</v>
      </c>
    </row>
    <row r="35" spans="1:4" ht="15.75">
      <c r="A35" s="3">
        <v>45872</v>
      </c>
      <c r="B35" s="4" t="s">
        <v>582</v>
      </c>
      <c r="C35" s="7"/>
      <c r="D35" s="5">
        <v>4300000</v>
      </c>
    </row>
    <row r="36" spans="1:4" ht="15.75">
      <c r="A36" s="3">
        <v>45872</v>
      </c>
      <c r="B36" s="7" t="s">
        <v>365</v>
      </c>
      <c r="C36" s="7"/>
      <c r="D36" s="5">
        <v>1600000</v>
      </c>
    </row>
    <row r="37" spans="1:4" ht="15.75">
      <c r="A37" s="3">
        <v>45873</v>
      </c>
      <c r="B37" s="4" t="s">
        <v>595</v>
      </c>
      <c r="C37" s="7"/>
      <c r="D37" s="5">
        <v>1000000</v>
      </c>
    </row>
    <row r="38" spans="1:4" ht="15.75">
      <c r="A38" s="3">
        <v>45873</v>
      </c>
      <c r="B38" s="4" t="s">
        <v>599</v>
      </c>
      <c r="C38" s="7"/>
      <c r="D38" s="5">
        <v>37810000</v>
      </c>
    </row>
    <row r="39" spans="1:4" ht="15.75">
      <c r="A39" s="3">
        <v>45873</v>
      </c>
      <c r="B39" s="7" t="s">
        <v>10</v>
      </c>
      <c r="C39" s="7"/>
      <c r="D39" s="5">
        <v>2500</v>
      </c>
    </row>
    <row r="40" spans="1:4" ht="15.75">
      <c r="A40" s="3">
        <v>45873</v>
      </c>
      <c r="B40" s="7" t="s">
        <v>600</v>
      </c>
      <c r="C40" s="7"/>
      <c r="D40" s="5">
        <v>43750000</v>
      </c>
    </row>
    <row r="41" spans="1:4" ht="15.75">
      <c r="A41" s="3">
        <v>45873</v>
      </c>
      <c r="B41" s="7" t="s">
        <v>10</v>
      </c>
      <c r="C41" s="7"/>
      <c r="D41" s="5">
        <v>2500</v>
      </c>
    </row>
    <row r="42" spans="1:4" ht="15.75">
      <c r="A42" s="3">
        <v>45873</v>
      </c>
      <c r="B42" s="7" t="s">
        <v>601</v>
      </c>
      <c r="C42" s="7"/>
      <c r="D42" s="5">
        <v>48000000</v>
      </c>
    </row>
    <row r="43" spans="1:4" ht="15.75">
      <c r="A43" s="3">
        <v>45873</v>
      </c>
      <c r="B43" s="7" t="s">
        <v>10</v>
      </c>
      <c r="C43" s="7"/>
      <c r="D43" s="5">
        <v>2500</v>
      </c>
    </row>
    <row r="44" spans="1:4" ht="15.75">
      <c r="A44" s="3">
        <v>45873</v>
      </c>
      <c r="B44" s="7" t="s">
        <v>602</v>
      </c>
      <c r="C44" s="7"/>
      <c r="D44" s="5">
        <v>31950000</v>
      </c>
    </row>
    <row r="45" spans="1:4" ht="15.75">
      <c r="A45" s="3">
        <v>45873</v>
      </c>
      <c r="B45" s="7" t="s">
        <v>10</v>
      </c>
      <c r="C45" s="7"/>
      <c r="D45" s="5">
        <v>2500</v>
      </c>
    </row>
    <row r="46" spans="1:4" ht="15.75">
      <c r="A46" s="3">
        <v>45873</v>
      </c>
      <c r="B46" s="7" t="s">
        <v>603</v>
      </c>
      <c r="C46" s="7"/>
      <c r="D46" s="5">
        <v>36000000</v>
      </c>
    </row>
    <row r="47" spans="1:4" ht="15.75">
      <c r="A47" s="3">
        <v>45873</v>
      </c>
      <c r="B47" s="7" t="s">
        <v>10</v>
      </c>
      <c r="C47" s="7"/>
      <c r="D47" s="5">
        <v>2500</v>
      </c>
    </row>
    <row r="48" spans="1:4" ht="15.75">
      <c r="A48" s="3">
        <v>45873</v>
      </c>
      <c r="B48" s="7" t="s">
        <v>604</v>
      </c>
      <c r="C48" s="7"/>
      <c r="D48" s="5">
        <v>36450000</v>
      </c>
    </row>
    <row r="49" spans="1:4" ht="15.75">
      <c r="A49" s="3">
        <v>45873</v>
      </c>
      <c r="B49" s="7" t="s">
        <v>10</v>
      </c>
      <c r="C49" s="7"/>
      <c r="D49" s="5">
        <v>2500</v>
      </c>
    </row>
    <row r="50" spans="1:4" ht="15.75">
      <c r="A50" s="3">
        <v>45873</v>
      </c>
      <c r="B50" s="7" t="s">
        <v>605</v>
      </c>
      <c r="C50" s="5"/>
      <c r="D50" s="5">
        <v>15000000</v>
      </c>
    </row>
    <row r="51" spans="1:4" ht="15.75">
      <c r="A51" s="3">
        <v>45873</v>
      </c>
      <c r="B51" s="7" t="s">
        <v>10</v>
      </c>
      <c r="C51" s="5"/>
      <c r="D51" s="5">
        <v>2500</v>
      </c>
    </row>
    <row r="52" spans="1:4" ht="15.75">
      <c r="A52" s="3">
        <v>45874</v>
      </c>
      <c r="B52" s="7" t="s">
        <v>365</v>
      </c>
      <c r="C52" s="5"/>
      <c r="D52" s="5">
        <v>3000000</v>
      </c>
    </row>
    <row r="53" spans="1:4" ht="15.75">
      <c r="A53" s="3">
        <v>45874</v>
      </c>
      <c r="B53" s="7" t="s">
        <v>606</v>
      </c>
      <c r="C53" s="5"/>
      <c r="D53" s="5">
        <v>2695000</v>
      </c>
    </row>
    <row r="54" spans="1:4" ht="15.75">
      <c r="A54" s="3">
        <v>45874</v>
      </c>
      <c r="B54" s="7" t="s">
        <v>582</v>
      </c>
      <c r="C54" s="5"/>
      <c r="D54" s="5">
        <v>300000</v>
      </c>
    </row>
    <row r="55" spans="1:4" ht="15.75">
      <c r="A55" s="3">
        <v>45874</v>
      </c>
      <c r="B55" s="4" t="s">
        <v>607</v>
      </c>
      <c r="C55" s="5"/>
      <c r="D55" s="5">
        <v>1100000</v>
      </c>
    </row>
    <row r="56" spans="1:4" ht="15.75">
      <c r="A56" s="3">
        <v>45875</v>
      </c>
      <c r="B56" s="7" t="s">
        <v>608</v>
      </c>
      <c r="C56" s="5"/>
      <c r="D56" s="5">
        <v>36600000</v>
      </c>
    </row>
    <row r="57" spans="1:4" ht="15.75">
      <c r="A57" s="3">
        <v>45875</v>
      </c>
      <c r="B57" s="7" t="s">
        <v>609</v>
      </c>
      <c r="C57" s="5"/>
      <c r="D57" s="5">
        <v>300000</v>
      </c>
    </row>
    <row r="58" spans="1:4" ht="15.75">
      <c r="A58" s="3">
        <v>45875</v>
      </c>
      <c r="B58" s="7" t="s">
        <v>609</v>
      </c>
      <c r="C58" s="5"/>
      <c r="D58" s="5">
        <v>4000000</v>
      </c>
    </row>
    <row r="59" spans="1:4" ht="15.75">
      <c r="A59" s="3">
        <v>45876</v>
      </c>
      <c r="B59" s="7" t="s">
        <v>610</v>
      </c>
      <c r="C59" s="7"/>
      <c r="D59" s="5">
        <v>3415838</v>
      </c>
    </row>
    <row r="60" spans="1:4" ht="15.75">
      <c r="A60" s="3">
        <v>45876</v>
      </c>
      <c r="B60" s="4" t="s">
        <v>611</v>
      </c>
      <c r="C60" s="5"/>
      <c r="D60" s="5">
        <v>900000</v>
      </c>
    </row>
    <row r="61" spans="1:4" ht="15.75">
      <c r="A61" s="3">
        <v>45876</v>
      </c>
      <c r="B61" s="7" t="s">
        <v>365</v>
      </c>
      <c r="C61" s="5"/>
      <c r="D61" s="5">
        <v>1600000</v>
      </c>
    </row>
    <row r="62" spans="1:4" ht="15.75">
      <c r="A62" s="3">
        <v>45876</v>
      </c>
      <c r="B62" s="4" t="s">
        <v>612</v>
      </c>
      <c r="C62" s="5"/>
      <c r="D62" s="5">
        <v>1100000</v>
      </c>
    </row>
    <row r="63" spans="1:4" ht="15.75">
      <c r="A63" s="3">
        <v>45876</v>
      </c>
      <c r="B63" s="7" t="s">
        <v>613</v>
      </c>
      <c r="C63" s="7"/>
      <c r="D63" s="5">
        <v>1015000</v>
      </c>
    </row>
    <row r="64" spans="1:4" ht="15.75">
      <c r="A64" s="3">
        <v>45876</v>
      </c>
      <c r="B64" s="4" t="s">
        <v>577</v>
      </c>
      <c r="C64" s="5"/>
      <c r="D64" s="5">
        <v>500000</v>
      </c>
    </row>
    <row r="65" spans="1:4" ht="15.75">
      <c r="A65" s="3">
        <v>45876</v>
      </c>
      <c r="B65" s="7" t="s">
        <v>291</v>
      </c>
      <c r="C65" s="7"/>
      <c r="D65" s="5">
        <v>5500000</v>
      </c>
    </row>
    <row r="66" spans="1:4" ht="15.75">
      <c r="A66" s="3">
        <v>45876</v>
      </c>
      <c r="B66" s="7" t="s">
        <v>10</v>
      </c>
      <c r="C66" s="7"/>
      <c r="D66" s="5">
        <v>2500</v>
      </c>
    </row>
    <row r="67" spans="1:4" ht="15.75">
      <c r="A67" s="3">
        <v>45876</v>
      </c>
      <c r="B67" s="7" t="s">
        <v>614</v>
      </c>
      <c r="C67" s="7"/>
      <c r="D67" s="5">
        <v>15200000</v>
      </c>
    </row>
    <row r="68" spans="1:4" ht="15.75">
      <c r="A68" s="3">
        <v>45876</v>
      </c>
      <c r="B68" s="7" t="s">
        <v>615</v>
      </c>
      <c r="C68" s="7"/>
      <c r="D68" s="5">
        <v>3300000</v>
      </c>
    </row>
    <row r="69" spans="1:4" ht="15.75">
      <c r="A69" s="3">
        <v>45876</v>
      </c>
      <c r="B69" s="7" t="s">
        <v>10</v>
      </c>
      <c r="C69" s="7"/>
      <c r="D69" s="5">
        <v>2500</v>
      </c>
    </row>
    <row r="70" spans="1:4" ht="15.75">
      <c r="A70" s="3">
        <v>45876</v>
      </c>
      <c r="B70" s="7" t="s">
        <v>616</v>
      </c>
      <c r="C70" s="5"/>
      <c r="D70" s="5">
        <v>9900000</v>
      </c>
    </row>
    <row r="71" spans="1:4" ht="15.75">
      <c r="A71" s="3">
        <v>45876</v>
      </c>
      <c r="B71" s="7" t="s">
        <v>10</v>
      </c>
      <c r="C71" s="5"/>
      <c r="D71" s="5">
        <v>2500</v>
      </c>
    </row>
    <row r="72" spans="1:4" ht="15.75">
      <c r="A72" s="3">
        <v>45876</v>
      </c>
      <c r="B72" s="7" t="s">
        <v>617</v>
      </c>
      <c r="C72" s="7"/>
      <c r="D72" s="5">
        <v>5000000</v>
      </c>
    </row>
    <row r="73" spans="1:4" ht="15.75">
      <c r="A73" s="3">
        <v>45876</v>
      </c>
      <c r="B73" s="4" t="s">
        <v>611</v>
      </c>
      <c r="C73" s="7"/>
      <c r="D73" s="5">
        <v>2000000</v>
      </c>
    </row>
    <row r="74" spans="1:4" ht="15.75">
      <c r="A74" s="3">
        <v>45877</v>
      </c>
      <c r="B74" s="7" t="s">
        <v>618</v>
      </c>
      <c r="C74" s="5"/>
      <c r="D74" s="5">
        <v>6800000</v>
      </c>
    </row>
    <row r="75" spans="1:4" ht="15.75">
      <c r="A75" s="3">
        <v>45877</v>
      </c>
      <c r="B75" s="4" t="s">
        <v>619</v>
      </c>
      <c r="C75" s="5"/>
      <c r="D75" s="5">
        <v>900000</v>
      </c>
    </row>
    <row r="76" spans="1:4" ht="15.75">
      <c r="A76" s="3">
        <v>45877</v>
      </c>
      <c r="B76" s="7" t="s">
        <v>119</v>
      </c>
      <c r="C76" s="7"/>
      <c r="D76" s="5">
        <v>10000000</v>
      </c>
    </row>
    <row r="77" spans="1:4" ht="15.75">
      <c r="A77" s="3">
        <v>45877</v>
      </c>
      <c r="B77" s="7" t="s">
        <v>620</v>
      </c>
      <c r="C77" s="7"/>
      <c r="D77" s="5">
        <v>200000</v>
      </c>
    </row>
    <row r="78" spans="1:4" ht="15.75">
      <c r="A78" s="3">
        <v>45877</v>
      </c>
      <c r="B78" s="7" t="s">
        <v>621</v>
      </c>
      <c r="C78" s="7"/>
      <c r="D78" s="5">
        <v>1800000</v>
      </c>
    </row>
    <row r="79" spans="1:4" ht="15.75">
      <c r="A79" s="3">
        <v>45878</v>
      </c>
      <c r="B79" s="7" t="s">
        <v>622</v>
      </c>
      <c r="C79" s="5"/>
      <c r="D79" s="5">
        <v>4290000</v>
      </c>
    </row>
    <row r="80" spans="1:4" ht="15.75">
      <c r="A80" s="3">
        <v>45878</v>
      </c>
      <c r="B80" s="7" t="s">
        <v>10</v>
      </c>
      <c r="C80" s="7"/>
      <c r="D80" s="5">
        <v>2500</v>
      </c>
    </row>
    <row r="81" spans="1:4" ht="15.75">
      <c r="A81" s="3">
        <v>45878</v>
      </c>
      <c r="B81" s="7" t="s">
        <v>365</v>
      </c>
      <c r="C81" s="7"/>
      <c r="D81" s="5">
        <v>500000</v>
      </c>
    </row>
    <row r="82" spans="1:4" ht="15.75">
      <c r="A82" s="3">
        <v>45878</v>
      </c>
      <c r="B82" s="7" t="s">
        <v>623</v>
      </c>
      <c r="C82" s="5"/>
      <c r="D82" s="5">
        <v>36450000</v>
      </c>
    </row>
    <row r="83" spans="1:4" ht="15.75">
      <c r="A83" s="3">
        <v>45878</v>
      </c>
      <c r="B83" s="7" t="s">
        <v>10</v>
      </c>
      <c r="C83" s="7"/>
      <c r="D83" s="5">
        <v>2500</v>
      </c>
    </row>
    <row r="84" spans="1:4" ht="15.75">
      <c r="A84" s="3">
        <v>45878</v>
      </c>
      <c r="B84" s="7" t="s">
        <v>624</v>
      </c>
      <c r="C84" s="7"/>
      <c r="D84" s="5">
        <v>5035995</v>
      </c>
    </row>
    <row r="85" spans="1:4" ht="15.75">
      <c r="A85" s="3">
        <v>45879</v>
      </c>
      <c r="B85" s="7" t="s">
        <v>625</v>
      </c>
      <c r="C85" s="5"/>
      <c r="D85" s="5">
        <v>10000000</v>
      </c>
    </row>
    <row r="86" spans="1:4" ht="15.75">
      <c r="A86" s="3">
        <v>45879</v>
      </c>
      <c r="B86" s="7" t="s">
        <v>10</v>
      </c>
      <c r="C86" s="5"/>
      <c r="D86" s="5">
        <v>2500</v>
      </c>
    </row>
    <row r="87" spans="1:4" ht="15.75">
      <c r="A87" s="3">
        <v>45879</v>
      </c>
      <c r="B87" s="7" t="s">
        <v>581</v>
      </c>
      <c r="C87" s="7"/>
      <c r="D87" s="5">
        <v>150000</v>
      </c>
    </row>
    <row r="88" spans="1:4" ht="15.75">
      <c r="A88" s="3">
        <v>45879</v>
      </c>
      <c r="B88" s="7" t="s">
        <v>578</v>
      </c>
      <c r="C88" s="7"/>
      <c r="D88" s="5">
        <v>500000</v>
      </c>
    </row>
    <row r="89" spans="1:4" ht="15.75">
      <c r="A89" s="3">
        <v>45879</v>
      </c>
      <c r="B89" s="7" t="s">
        <v>577</v>
      </c>
      <c r="C89" s="7"/>
      <c r="D89" s="5">
        <v>500000</v>
      </c>
    </row>
    <row r="90" spans="1:4" ht="15.75">
      <c r="A90" s="3">
        <v>45880</v>
      </c>
      <c r="B90" s="4" t="s">
        <v>626</v>
      </c>
      <c r="C90" s="7"/>
      <c r="D90" s="5">
        <v>1363700</v>
      </c>
    </row>
    <row r="91" spans="1:4" ht="15.75">
      <c r="A91" s="3">
        <v>45880</v>
      </c>
      <c r="B91" s="7" t="s">
        <v>627</v>
      </c>
      <c r="C91" s="7"/>
      <c r="D91" s="5">
        <v>23125000</v>
      </c>
    </row>
    <row r="92" spans="1:4" ht="15.75">
      <c r="A92" s="3">
        <v>45880</v>
      </c>
      <c r="B92" s="7" t="s">
        <v>628</v>
      </c>
      <c r="C92" s="7"/>
      <c r="D92" s="5">
        <v>2043494</v>
      </c>
    </row>
    <row r="93" spans="1:4" ht="15.75">
      <c r="A93" s="3">
        <v>45880</v>
      </c>
      <c r="B93" s="7" t="s">
        <v>629</v>
      </c>
      <c r="C93" s="7"/>
      <c r="D93" s="5">
        <v>363750</v>
      </c>
    </row>
    <row r="94" spans="1:4" ht="15.75">
      <c r="A94" s="3">
        <v>45881</v>
      </c>
      <c r="B94" s="7" t="s">
        <v>630</v>
      </c>
      <c r="C94" s="5"/>
      <c r="D94" s="5">
        <v>16100000</v>
      </c>
    </row>
    <row r="95" spans="1:4" ht="15.75">
      <c r="A95" s="3">
        <v>45881</v>
      </c>
      <c r="B95" s="7" t="s">
        <v>10</v>
      </c>
      <c r="C95" s="5"/>
      <c r="D95" s="5">
        <v>2500</v>
      </c>
    </row>
    <row r="96" spans="1:4" ht="15.75">
      <c r="A96" s="3">
        <v>45881</v>
      </c>
      <c r="B96" s="7" t="s">
        <v>631</v>
      </c>
      <c r="C96" s="5"/>
      <c r="D96" s="5">
        <v>5478720</v>
      </c>
    </row>
    <row r="97" spans="1:4" ht="15.75">
      <c r="A97" s="3">
        <v>45882</v>
      </c>
      <c r="B97" s="7" t="s">
        <v>577</v>
      </c>
      <c r="C97" s="5"/>
      <c r="D97" s="5">
        <v>15000000</v>
      </c>
    </row>
    <row r="98" spans="1:4" ht="15.75">
      <c r="A98" s="3">
        <v>45882</v>
      </c>
      <c r="B98" s="7" t="s">
        <v>632</v>
      </c>
      <c r="C98" s="5"/>
      <c r="D98" s="5">
        <v>500000</v>
      </c>
    </row>
    <row r="99" spans="1:4" ht="15.75">
      <c r="A99" s="3">
        <v>45882</v>
      </c>
      <c r="B99" s="7" t="s">
        <v>580</v>
      </c>
      <c r="C99" s="5"/>
      <c r="D99" s="5">
        <v>400000</v>
      </c>
    </row>
    <row r="100" spans="1:4" ht="15.75">
      <c r="A100" s="3">
        <v>45883</v>
      </c>
      <c r="B100" s="7" t="s">
        <v>633</v>
      </c>
      <c r="C100" s="5"/>
      <c r="D100" s="5">
        <v>9770000</v>
      </c>
    </row>
    <row r="101" spans="1:4" ht="15.75">
      <c r="A101" s="3">
        <v>45883</v>
      </c>
      <c r="B101" s="7" t="s">
        <v>634</v>
      </c>
      <c r="C101" s="5"/>
      <c r="D101" s="5">
        <v>1620000</v>
      </c>
    </row>
    <row r="102" spans="1:4" ht="15.75">
      <c r="A102" s="3">
        <v>45883</v>
      </c>
      <c r="B102" s="7" t="s">
        <v>635</v>
      </c>
      <c r="C102" s="5"/>
      <c r="D102" s="5">
        <v>6703000</v>
      </c>
    </row>
    <row r="103" spans="1:4" ht="15.75">
      <c r="A103" s="3">
        <v>45883</v>
      </c>
      <c r="B103" s="7" t="s">
        <v>636</v>
      </c>
      <c r="C103" s="5"/>
      <c r="D103" s="5">
        <v>1100000</v>
      </c>
    </row>
    <row r="104" spans="1:4" ht="15.75">
      <c r="A104" s="3">
        <v>45883</v>
      </c>
      <c r="B104" s="4" t="s">
        <v>637</v>
      </c>
      <c r="C104" s="5"/>
      <c r="D104" s="5">
        <v>400000</v>
      </c>
    </row>
    <row r="105" spans="1:4" ht="15.75">
      <c r="A105" s="3">
        <v>45883</v>
      </c>
      <c r="B105" s="7" t="s">
        <v>638</v>
      </c>
      <c r="C105" s="5"/>
      <c r="D105" s="5">
        <v>600000</v>
      </c>
    </row>
    <row r="106" spans="1:4" ht="15.75">
      <c r="A106" s="3">
        <v>45884</v>
      </c>
      <c r="B106" s="4" t="s">
        <v>639</v>
      </c>
      <c r="C106" s="5"/>
      <c r="D106" s="5">
        <v>2500000</v>
      </c>
    </row>
    <row r="107" spans="1:4" ht="15.75">
      <c r="A107" s="3">
        <v>45884</v>
      </c>
      <c r="B107" s="7" t="s">
        <v>640</v>
      </c>
      <c r="C107" s="7"/>
      <c r="D107" s="5">
        <v>10000000</v>
      </c>
    </row>
    <row r="108" spans="1:4" ht="15.75">
      <c r="A108" s="3">
        <v>45884</v>
      </c>
      <c r="B108" s="7" t="s">
        <v>641</v>
      </c>
      <c r="C108" s="7"/>
      <c r="D108" s="5">
        <v>16100000</v>
      </c>
    </row>
    <row r="109" spans="1:4" ht="15.75">
      <c r="A109" s="3">
        <v>45884</v>
      </c>
      <c r="B109" s="7" t="s">
        <v>10</v>
      </c>
      <c r="C109" s="7"/>
      <c r="D109" s="5">
        <v>2500</v>
      </c>
    </row>
    <row r="110" spans="1:4" ht="15.75">
      <c r="A110" s="3">
        <v>45886</v>
      </c>
      <c r="B110" s="7" t="s">
        <v>581</v>
      </c>
      <c r="C110" s="7"/>
      <c r="D110" s="5">
        <v>650000</v>
      </c>
    </row>
    <row r="111" spans="1:4" ht="15.75">
      <c r="A111" s="3">
        <v>45886</v>
      </c>
      <c r="B111" s="7" t="s">
        <v>578</v>
      </c>
      <c r="C111" s="7"/>
      <c r="D111" s="5">
        <v>800000</v>
      </c>
    </row>
    <row r="112" spans="1:4" ht="15.75">
      <c r="A112" s="3">
        <v>45886</v>
      </c>
      <c r="B112" s="7" t="s">
        <v>577</v>
      </c>
      <c r="C112" s="7"/>
      <c r="D112" s="5">
        <v>500000</v>
      </c>
    </row>
    <row r="113" spans="1:4" ht="15.75">
      <c r="A113" s="3">
        <v>45887</v>
      </c>
      <c r="B113" s="7" t="s">
        <v>186</v>
      </c>
      <c r="C113" s="7"/>
      <c r="D113" s="5">
        <v>505000</v>
      </c>
    </row>
    <row r="114" spans="1:4" ht="15.75">
      <c r="A114" s="3">
        <v>45887</v>
      </c>
      <c r="B114" s="7" t="s">
        <v>518</v>
      </c>
      <c r="C114" s="5"/>
      <c r="D114" s="5">
        <v>254000</v>
      </c>
    </row>
    <row r="115" spans="1:4" ht="15.75">
      <c r="A115" s="3">
        <v>45889</v>
      </c>
      <c r="B115" s="4" t="s">
        <v>642</v>
      </c>
      <c r="C115" s="5"/>
      <c r="D115" s="5">
        <v>20520900</v>
      </c>
    </row>
    <row r="116" spans="1:4" ht="15.75">
      <c r="A116" s="3">
        <v>45889</v>
      </c>
      <c r="B116" s="7" t="s">
        <v>609</v>
      </c>
      <c r="C116" s="5"/>
      <c r="D116" s="5">
        <v>2000000</v>
      </c>
    </row>
    <row r="117" spans="1:4" ht="15.75">
      <c r="A117" s="3">
        <v>45890</v>
      </c>
      <c r="B117" s="4" t="s">
        <v>643</v>
      </c>
      <c r="C117" s="7"/>
      <c r="D117" s="5">
        <v>36397927</v>
      </c>
    </row>
    <row r="118" spans="1:4" ht="15.75">
      <c r="A118" s="3">
        <v>45890</v>
      </c>
      <c r="B118" s="7" t="s">
        <v>10</v>
      </c>
      <c r="C118" s="5"/>
      <c r="D118" s="5">
        <v>2500</v>
      </c>
    </row>
    <row r="119" spans="1:4" ht="15.75">
      <c r="A119" s="3">
        <v>45890</v>
      </c>
      <c r="B119" s="7" t="s">
        <v>644</v>
      </c>
      <c r="C119" s="5"/>
      <c r="D119" s="5">
        <v>420000</v>
      </c>
    </row>
    <row r="120" spans="1:4" ht="15.75">
      <c r="A120" s="3">
        <v>45890</v>
      </c>
      <c r="B120" s="7" t="s">
        <v>645</v>
      </c>
      <c r="C120" s="5"/>
      <c r="D120" s="5">
        <v>34936800</v>
      </c>
    </row>
    <row r="121" spans="1:4" ht="15.75">
      <c r="A121" s="3">
        <v>45890</v>
      </c>
      <c r="B121" s="7" t="s">
        <v>10</v>
      </c>
      <c r="C121" s="7"/>
      <c r="D121" s="5">
        <v>2500</v>
      </c>
    </row>
    <row r="122" spans="1:4" ht="15.75">
      <c r="A122" s="3">
        <v>45891</v>
      </c>
      <c r="B122" s="7" t="s">
        <v>646</v>
      </c>
      <c r="C122" s="5"/>
      <c r="D122" s="5">
        <v>3500000</v>
      </c>
    </row>
    <row r="123" spans="1:4" ht="15.75">
      <c r="A123" s="3">
        <v>45891</v>
      </c>
      <c r="B123" s="7" t="s">
        <v>10</v>
      </c>
      <c r="C123" s="7"/>
      <c r="D123" s="5">
        <v>2500</v>
      </c>
    </row>
    <row r="124" spans="1:4" ht="15.75">
      <c r="A124" s="3">
        <v>45891</v>
      </c>
      <c r="B124" s="7" t="s">
        <v>647</v>
      </c>
      <c r="C124" s="5"/>
      <c r="D124" s="5">
        <v>8000000</v>
      </c>
    </row>
    <row r="125" spans="1:4" ht="15.75">
      <c r="A125" s="3">
        <v>45891</v>
      </c>
      <c r="B125" s="7" t="s">
        <v>10</v>
      </c>
      <c r="C125" s="5"/>
      <c r="D125" s="5">
        <v>2500</v>
      </c>
    </row>
    <row r="126" spans="1:4" ht="15.75">
      <c r="A126" s="3">
        <v>45891</v>
      </c>
      <c r="B126" s="7" t="s">
        <v>648</v>
      </c>
      <c r="C126" s="5"/>
      <c r="D126" s="5">
        <v>135000</v>
      </c>
    </row>
    <row r="127" spans="1:4" ht="15.75">
      <c r="A127" s="3">
        <v>45891</v>
      </c>
      <c r="B127" s="7" t="s">
        <v>10</v>
      </c>
      <c r="C127" s="7"/>
      <c r="D127" s="5">
        <v>2500</v>
      </c>
    </row>
    <row r="128" spans="1:4" ht="15.75">
      <c r="A128" s="3">
        <v>45891</v>
      </c>
      <c r="B128" s="4" t="s">
        <v>649</v>
      </c>
      <c r="C128" s="5"/>
      <c r="D128" s="5">
        <v>49750000</v>
      </c>
    </row>
    <row r="129" spans="1:4" ht="15.75">
      <c r="A129" s="3">
        <v>45891</v>
      </c>
      <c r="B129" s="7" t="s">
        <v>10</v>
      </c>
      <c r="C129" s="7"/>
      <c r="D129" s="5">
        <v>2500</v>
      </c>
    </row>
    <row r="130" spans="1:4" ht="15.75">
      <c r="A130" s="3">
        <v>45891</v>
      </c>
      <c r="B130" s="4" t="s">
        <v>650</v>
      </c>
      <c r="C130" s="7"/>
      <c r="D130" s="5">
        <v>26865000</v>
      </c>
    </row>
    <row r="131" spans="1:4" ht="15.75">
      <c r="A131" s="3">
        <v>45891</v>
      </c>
      <c r="B131" s="7" t="s">
        <v>10</v>
      </c>
      <c r="C131" s="5"/>
      <c r="D131" s="5">
        <v>2500</v>
      </c>
    </row>
    <row r="132" spans="1:4" ht="15.75">
      <c r="A132" s="3">
        <v>45891</v>
      </c>
      <c r="B132" s="7" t="s">
        <v>651</v>
      </c>
      <c r="C132" s="7"/>
      <c r="D132" s="5">
        <v>25000000</v>
      </c>
    </row>
    <row r="133" spans="1:4" ht="15.75">
      <c r="A133" s="3">
        <v>45891</v>
      </c>
      <c r="B133" s="7" t="s">
        <v>10</v>
      </c>
      <c r="C133" s="7"/>
      <c r="D133" s="5">
        <v>2500</v>
      </c>
    </row>
    <row r="134" spans="1:4" ht="15.75">
      <c r="A134" s="3">
        <v>45891</v>
      </c>
      <c r="B134" s="7" t="s">
        <v>652</v>
      </c>
      <c r="C134" s="7"/>
      <c r="D134" s="5">
        <v>74000000</v>
      </c>
    </row>
    <row r="135" spans="1:4" ht="15.75">
      <c r="A135" s="3">
        <v>45891</v>
      </c>
      <c r="B135" s="7" t="s">
        <v>10</v>
      </c>
      <c r="C135" s="5"/>
      <c r="D135" s="5">
        <v>2500</v>
      </c>
    </row>
    <row r="136" spans="1:4" ht="15.75">
      <c r="A136" s="3">
        <v>45891</v>
      </c>
      <c r="B136" s="7" t="s">
        <v>653</v>
      </c>
      <c r="C136" s="7"/>
      <c r="D136" s="5">
        <v>35625000</v>
      </c>
    </row>
    <row r="137" spans="1:4" ht="15.75">
      <c r="A137" s="3">
        <v>45891</v>
      </c>
      <c r="B137" s="7" t="s">
        <v>10</v>
      </c>
      <c r="C137" s="7"/>
      <c r="D137" s="5">
        <v>6500</v>
      </c>
    </row>
    <row r="138" spans="1:4" ht="15.75">
      <c r="A138" s="3">
        <v>45892</v>
      </c>
      <c r="B138" s="7" t="s">
        <v>654</v>
      </c>
      <c r="C138" s="5"/>
      <c r="D138" s="5">
        <v>108330782</v>
      </c>
    </row>
    <row r="139" spans="1:4" ht="15.75">
      <c r="A139" s="3">
        <v>45892</v>
      </c>
      <c r="B139" s="7" t="s">
        <v>625</v>
      </c>
      <c r="C139" s="7"/>
      <c r="D139" s="5">
        <v>5000000</v>
      </c>
    </row>
    <row r="140" spans="1:4" ht="15.75">
      <c r="A140" s="3">
        <v>45892</v>
      </c>
      <c r="B140" s="7" t="s">
        <v>10</v>
      </c>
      <c r="C140" s="5"/>
      <c r="D140" s="5">
        <v>6500</v>
      </c>
    </row>
    <row r="141" spans="1:4" ht="15.75">
      <c r="A141" s="3">
        <v>45892</v>
      </c>
      <c r="B141" s="7" t="s">
        <v>655</v>
      </c>
      <c r="C141" s="7"/>
      <c r="D141" s="5">
        <v>77000000</v>
      </c>
    </row>
    <row r="142" spans="1:4" ht="15.75">
      <c r="A142" s="3">
        <v>45892</v>
      </c>
      <c r="B142" s="7" t="s">
        <v>10</v>
      </c>
      <c r="C142" s="7"/>
      <c r="D142" s="5">
        <v>2500</v>
      </c>
    </row>
    <row r="143" spans="1:4" ht="15.75">
      <c r="A143" s="3">
        <v>45892</v>
      </c>
      <c r="B143" s="7" t="s">
        <v>577</v>
      </c>
      <c r="C143" s="7"/>
      <c r="D143" s="5">
        <v>500000</v>
      </c>
    </row>
    <row r="144" spans="1:4" ht="15.75">
      <c r="A144" s="3">
        <v>45892</v>
      </c>
      <c r="B144" s="7" t="s">
        <v>578</v>
      </c>
      <c r="C144" s="7"/>
      <c r="D144" s="5">
        <v>500000</v>
      </c>
    </row>
    <row r="145" spans="1:4" ht="15.75">
      <c r="A145" s="3">
        <v>45892</v>
      </c>
      <c r="B145" s="7" t="s">
        <v>581</v>
      </c>
      <c r="C145" s="5"/>
      <c r="D145" s="5">
        <v>150000</v>
      </c>
    </row>
    <row r="146" spans="1:4" ht="15.75">
      <c r="A146" s="3">
        <v>45892</v>
      </c>
      <c r="B146" s="7" t="s">
        <v>656</v>
      </c>
      <c r="C146" s="7"/>
      <c r="D146" s="5">
        <v>50000000</v>
      </c>
    </row>
    <row r="147" spans="1:4" ht="15.75">
      <c r="A147" s="3">
        <v>45894</v>
      </c>
      <c r="B147" s="7" t="s">
        <v>657</v>
      </c>
      <c r="C147" s="7"/>
      <c r="D147" s="5">
        <v>5772000</v>
      </c>
    </row>
    <row r="148" spans="1:4" ht="15.75">
      <c r="A148" s="3">
        <v>45894</v>
      </c>
      <c r="B148" s="7" t="s">
        <v>10</v>
      </c>
      <c r="C148" s="7"/>
      <c r="D148" s="5">
        <v>2500</v>
      </c>
    </row>
    <row r="149" spans="1:4" ht="15.75">
      <c r="A149" s="3">
        <v>45894</v>
      </c>
      <c r="B149" s="4" t="s">
        <v>658</v>
      </c>
      <c r="C149" s="7"/>
      <c r="D149" s="5">
        <v>30000000</v>
      </c>
    </row>
    <row r="150" spans="1:4" ht="15.75">
      <c r="A150" s="3">
        <v>45894</v>
      </c>
      <c r="B150" s="7" t="s">
        <v>10</v>
      </c>
      <c r="C150" s="7"/>
      <c r="D150" s="5">
        <v>2500</v>
      </c>
    </row>
    <row r="151" spans="1:4" ht="15.75">
      <c r="A151" s="3">
        <v>45894</v>
      </c>
      <c r="B151" s="7" t="s">
        <v>659</v>
      </c>
      <c r="C151" s="7"/>
      <c r="D151" s="5">
        <v>250000</v>
      </c>
    </row>
    <row r="152" spans="1:4" ht="15.75">
      <c r="A152" s="3">
        <v>45894</v>
      </c>
      <c r="B152" s="7" t="s">
        <v>660</v>
      </c>
      <c r="C152" s="7"/>
      <c r="D152" s="5">
        <v>37499990</v>
      </c>
    </row>
    <row r="153" spans="1:4" ht="15.75">
      <c r="A153" s="3">
        <v>45894</v>
      </c>
      <c r="B153" s="7" t="s">
        <v>661</v>
      </c>
      <c r="C153" s="7"/>
      <c r="D153" s="5">
        <v>4064300</v>
      </c>
    </row>
    <row r="154" spans="1:4" ht="15.75">
      <c r="A154" s="3">
        <v>45894</v>
      </c>
      <c r="B154" s="7" t="s">
        <v>582</v>
      </c>
      <c r="C154" s="5"/>
      <c r="D154" s="5">
        <v>200000</v>
      </c>
    </row>
    <row r="155" spans="1:4" ht="15.75">
      <c r="A155" s="3">
        <v>45895</v>
      </c>
      <c r="B155" s="4" t="s">
        <v>662</v>
      </c>
      <c r="C155" s="7"/>
      <c r="D155" s="5">
        <v>499500</v>
      </c>
    </row>
    <row r="156" spans="1:4" ht="15.75">
      <c r="A156" s="3">
        <v>45895</v>
      </c>
      <c r="B156" s="7" t="s">
        <v>663</v>
      </c>
      <c r="C156" s="5"/>
      <c r="D156" s="5">
        <v>1450000</v>
      </c>
    </row>
    <row r="157" spans="1:4" ht="15.75">
      <c r="A157" s="3">
        <v>45894</v>
      </c>
      <c r="B157" s="7" t="s">
        <v>640</v>
      </c>
      <c r="C157" s="7"/>
      <c r="D157" s="5">
        <v>5000000</v>
      </c>
    </row>
    <row r="158" spans="1:4" ht="15.75">
      <c r="A158" s="3">
        <v>45895</v>
      </c>
      <c r="B158" s="4" t="s">
        <v>664</v>
      </c>
      <c r="C158" s="7"/>
      <c r="D158" s="5">
        <v>3310000</v>
      </c>
    </row>
    <row r="159" spans="1:4" ht="15.75">
      <c r="A159" s="3">
        <v>45896</v>
      </c>
      <c r="B159" s="7" t="s">
        <v>665</v>
      </c>
      <c r="C159" s="5"/>
      <c r="D159" s="5">
        <v>200000</v>
      </c>
    </row>
    <row r="160" spans="1:4" ht="15.75">
      <c r="A160" s="3">
        <v>45897</v>
      </c>
      <c r="B160" s="7" t="s">
        <v>666</v>
      </c>
      <c r="C160" s="7"/>
      <c r="D160" s="5">
        <v>33000000</v>
      </c>
    </row>
    <row r="161" spans="1:4" ht="15.75">
      <c r="A161" s="3">
        <v>45897</v>
      </c>
      <c r="B161" s="7" t="s">
        <v>10</v>
      </c>
      <c r="C161" s="5"/>
      <c r="D161" s="5">
        <v>2500</v>
      </c>
    </row>
    <row r="162" spans="1:4" ht="15.75">
      <c r="A162" s="3">
        <v>45897</v>
      </c>
      <c r="B162" s="7" t="s">
        <v>667</v>
      </c>
      <c r="C162" s="7"/>
      <c r="D162" s="5">
        <v>31250000</v>
      </c>
    </row>
    <row r="163" spans="1:4" ht="15.75">
      <c r="A163" s="3">
        <v>45897</v>
      </c>
      <c r="B163" s="7" t="s">
        <v>10</v>
      </c>
      <c r="C163" s="5"/>
      <c r="D163" s="5">
        <v>2500</v>
      </c>
    </row>
    <row r="164" spans="1:4" ht="15.75">
      <c r="A164" s="3">
        <v>45897</v>
      </c>
      <c r="B164" s="7" t="s">
        <v>668</v>
      </c>
      <c r="C164" s="7"/>
      <c r="D164" s="5">
        <v>48125000</v>
      </c>
    </row>
    <row r="165" spans="1:4" ht="15.75">
      <c r="A165" s="3">
        <v>45897</v>
      </c>
      <c r="B165" s="7" t="s">
        <v>10</v>
      </c>
      <c r="C165" s="7"/>
      <c r="D165" s="5">
        <v>2500</v>
      </c>
    </row>
    <row r="166" spans="1:4" ht="15.75">
      <c r="A166" s="3">
        <v>45897</v>
      </c>
      <c r="B166" s="7" t="s">
        <v>669</v>
      </c>
      <c r="C166" s="7"/>
      <c r="D166" s="5">
        <v>55500000</v>
      </c>
    </row>
    <row r="167" spans="1:4" ht="15.75">
      <c r="A167" s="3">
        <v>45897</v>
      </c>
      <c r="B167" s="7" t="s">
        <v>10</v>
      </c>
      <c r="C167" s="5"/>
      <c r="D167" s="5">
        <v>2500</v>
      </c>
    </row>
    <row r="168" spans="1:4" ht="15.75">
      <c r="A168" s="3">
        <v>45897</v>
      </c>
      <c r="B168" s="7" t="s">
        <v>670</v>
      </c>
      <c r="C168" s="7"/>
      <c r="D168" s="5">
        <v>46000000</v>
      </c>
    </row>
    <row r="169" spans="1:4" ht="15.75">
      <c r="A169" s="3">
        <v>45897</v>
      </c>
      <c r="B169" s="7" t="s">
        <v>10</v>
      </c>
      <c r="C169" s="7"/>
      <c r="D169" s="5">
        <v>2500</v>
      </c>
    </row>
    <row r="170" spans="1:4" ht="15.75">
      <c r="A170" s="3">
        <v>45898</v>
      </c>
      <c r="B170" s="7" t="s">
        <v>670</v>
      </c>
      <c r="C170" s="5"/>
      <c r="D170" s="5">
        <v>83000000</v>
      </c>
    </row>
    <row r="171" spans="1:4" ht="15.75">
      <c r="A171" s="3">
        <v>45898</v>
      </c>
      <c r="B171" s="7" t="s">
        <v>10</v>
      </c>
      <c r="C171" s="7"/>
      <c r="D171" s="5">
        <v>2500</v>
      </c>
    </row>
    <row r="172" spans="1:4" ht="15.75">
      <c r="A172" s="3">
        <v>45898</v>
      </c>
      <c r="B172" s="7" t="s">
        <v>671</v>
      </c>
      <c r="C172" s="7"/>
      <c r="D172" s="5">
        <v>60750540</v>
      </c>
    </row>
    <row r="173" spans="1:4" ht="15.75">
      <c r="A173" s="3">
        <v>45899</v>
      </c>
      <c r="B173" s="7" t="s">
        <v>638</v>
      </c>
      <c r="C173" s="7"/>
      <c r="D173" s="5">
        <v>2500000</v>
      </c>
    </row>
    <row r="174" spans="1:4" ht="15.75">
      <c r="A174" s="3">
        <v>45899</v>
      </c>
      <c r="B174" s="7" t="s">
        <v>10</v>
      </c>
      <c r="C174" s="5"/>
      <c r="D174" s="5">
        <v>2500</v>
      </c>
    </row>
    <row r="175" spans="1:4" ht="15.75">
      <c r="A175" s="3">
        <v>45899</v>
      </c>
      <c r="B175" s="7" t="s">
        <v>119</v>
      </c>
      <c r="C175" s="7"/>
      <c r="D175" s="5">
        <v>15000000</v>
      </c>
    </row>
    <row r="176" spans="1:4" ht="15.75">
      <c r="A176" s="3">
        <v>45899</v>
      </c>
      <c r="B176" s="4" t="s">
        <v>672</v>
      </c>
      <c r="C176" s="7"/>
      <c r="D176" s="5">
        <v>30000000</v>
      </c>
    </row>
    <row r="177" spans="1:4" ht="15.75">
      <c r="A177" s="3">
        <v>45899</v>
      </c>
      <c r="B177" s="7" t="s">
        <v>10</v>
      </c>
      <c r="C177" s="7"/>
      <c r="D177" s="5">
        <v>2500</v>
      </c>
    </row>
    <row r="178" spans="1:4" ht="15.75">
      <c r="A178" s="3">
        <v>45900</v>
      </c>
      <c r="B178" s="4" t="s">
        <v>518</v>
      </c>
      <c r="C178" s="4"/>
      <c r="D178" s="44">
        <v>189000</v>
      </c>
    </row>
    <row r="179" spans="1:4" ht="15.75">
      <c r="A179" s="3">
        <v>45900</v>
      </c>
      <c r="B179" s="4" t="s">
        <v>673</v>
      </c>
      <c r="C179" s="4"/>
      <c r="D179" s="44">
        <v>13140000</v>
      </c>
    </row>
    <row r="180" spans="1:4" ht="15.75">
      <c r="A180" s="3">
        <v>45900</v>
      </c>
      <c r="B180" s="4" t="s">
        <v>673</v>
      </c>
      <c r="C180" s="4"/>
      <c r="D180" s="44">
        <v>500000</v>
      </c>
    </row>
    <row r="181" spans="1:4" ht="15.75">
      <c r="A181" s="3">
        <v>45900</v>
      </c>
      <c r="B181" s="4" t="s">
        <v>674</v>
      </c>
      <c r="C181" s="44"/>
      <c r="D181" s="44">
        <v>8920000</v>
      </c>
    </row>
    <row r="182" spans="1:4" ht="15.75">
      <c r="A182" s="3">
        <v>45900</v>
      </c>
      <c r="B182" s="4" t="s">
        <v>674</v>
      </c>
      <c r="C182" s="44"/>
      <c r="D182" s="44">
        <v>500000</v>
      </c>
    </row>
    <row r="183" spans="1:4" ht="15.75">
      <c r="A183" s="3">
        <v>45900</v>
      </c>
      <c r="B183" s="4" t="s">
        <v>675</v>
      </c>
      <c r="C183" s="4"/>
      <c r="D183" s="44">
        <v>5725000</v>
      </c>
    </row>
    <row r="184" spans="1:4" ht="15.75">
      <c r="A184" s="3">
        <v>45900</v>
      </c>
      <c r="B184" s="4" t="s">
        <v>676</v>
      </c>
      <c r="C184" s="4"/>
      <c r="D184" s="44">
        <v>6300000</v>
      </c>
    </row>
    <row r="185" spans="1:4" ht="15.75">
      <c r="A185" s="3">
        <v>45900</v>
      </c>
      <c r="B185" s="4" t="s">
        <v>677</v>
      </c>
      <c r="C185" s="4"/>
      <c r="D185" s="44">
        <v>4600000</v>
      </c>
    </row>
    <row r="186" spans="1:4" ht="15.75">
      <c r="A186" s="3">
        <v>45900</v>
      </c>
      <c r="B186" s="4" t="s">
        <v>677</v>
      </c>
      <c r="C186" s="4"/>
      <c r="D186" s="44">
        <v>150000</v>
      </c>
    </row>
    <row r="187" spans="1:4" ht="15.75">
      <c r="A187" s="3">
        <v>45900</v>
      </c>
      <c r="B187" s="4" t="s">
        <v>678</v>
      </c>
      <c r="C187" s="4"/>
      <c r="D187" s="44">
        <v>5550000</v>
      </c>
    </row>
    <row r="188" spans="1:4" ht="15.75">
      <c r="A188" s="3">
        <v>45900</v>
      </c>
      <c r="B188" s="4" t="s">
        <v>679</v>
      </c>
      <c r="C188" s="4"/>
      <c r="D188" s="44">
        <v>245000</v>
      </c>
    </row>
    <row r="189" spans="1:4" ht="15.75">
      <c r="A189" s="3">
        <v>45900</v>
      </c>
      <c r="B189" s="4" t="s">
        <v>680</v>
      </c>
      <c r="C189" s="4"/>
      <c r="D189" s="44">
        <v>1335000</v>
      </c>
    </row>
    <row r="190" spans="1:4" ht="15.75">
      <c r="A190" s="3">
        <v>45900</v>
      </c>
      <c r="B190" s="4" t="s">
        <v>681</v>
      </c>
      <c r="C190" s="4"/>
      <c r="D190" s="44">
        <v>2155000</v>
      </c>
    </row>
    <row r="191" spans="1:4" ht="15.75">
      <c r="A191" s="3">
        <v>45900</v>
      </c>
      <c r="B191" s="4" t="s">
        <v>682</v>
      </c>
      <c r="C191" s="4"/>
      <c r="D191" s="44">
        <v>2105000</v>
      </c>
    </row>
    <row r="192" spans="1:4" ht="15.75">
      <c r="A192" s="3">
        <v>45900</v>
      </c>
      <c r="B192" s="4" t="s">
        <v>683</v>
      </c>
      <c r="C192" s="44"/>
      <c r="D192" s="44">
        <v>2155000</v>
      </c>
    </row>
    <row r="193" spans="1:4" ht="15.75">
      <c r="A193" s="3">
        <v>45900</v>
      </c>
      <c r="B193" s="4" t="s">
        <v>684</v>
      </c>
      <c r="C193" s="4"/>
      <c r="D193" s="44">
        <v>3495000</v>
      </c>
    </row>
    <row r="194" spans="1:4" ht="15.75">
      <c r="A194" s="3">
        <v>45900</v>
      </c>
      <c r="B194" s="4" t="s">
        <v>685</v>
      </c>
      <c r="C194" s="4"/>
      <c r="D194" s="44">
        <v>2035000</v>
      </c>
    </row>
    <row r="195" spans="1:4" ht="15.75">
      <c r="A195" s="3">
        <v>45900</v>
      </c>
      <c r="B195" s="4" t="s">
        <v>686</v>
      </c>
      <c r="C195" s="4"/>
      <c r="D195" s="44">
        <v>1955000</v>
      </c>
    </row>
    <row r="196" spans="1:4" ht="15.75">
      <c r="A196" s="3">
        <v>45900</v>
      </c>
      <c r="B196" s="4" t="s">
        <v>687</v>
      </c>
      <c r="C196" s="44"/>
      <c r="D196" s="44">
        <v>1525000</v>
      </c>
    </row>
    <row r="197" spans="1:4" ht="15.75">
      <c r="A197" s="3">
        <v>45900</v>
      </c>
      <c r="B197" s="4" t="s">
        <v>688</v>
      </c>
      <c r="C197" s="5"/>
      <c r="D197" s="44">
        <v>1735000</v>
      </c>
    </row>
    <row r="198" spans="1:4" ht="15.75">
      <c r="A198" s="3">
        <v>45900</v>
      </c>
      <c r="B198" s="7" t="s">
        <v>584</v>
      </c>
      <c r="C198" s="7"/>
      <c r="D198" s="5">
        <v>1500000</v>
      </c>
    </row>
    <row r="199" spans="1:4" ht="15.75">
      <c r="A199" s="3">
        <v>45900</v>
      </c>
      <c r="B199" s="7" t="s">
        <v>689</v>
      </c>
      <c r="C199" s="4"/>
      <c r="D199" s="44">
        <v>11000000</v>
      </c>
    </row>
    <row r="200" spans="1:4" ht="15.75">
      <c r="A200" s="3">
        <v>45900</v>
      </c>
      <c r="B200" s="7" t="s">
        <v>10</v>
      </c>
      <c r="C200" s="7"/>
      <c r="D200" s="5">
        <v>2500</v>
      </c>
    </row>
    <row r="201" spans="1:4" ht="15.75">
      <c r="A201" s="7"/>
      <c r="B201" s="7"/>
      <c r="C201" s="7"/>
      <c r="D201" s="5"/>
    </row>
    <row r="202" spans="1:4" ht="15.75">
      <c r="A202" s="7"/>
      <c r="B202" s="7"/>
      <c r="C202" s="19"/>
      <c r="D202" s="19">
        <v>1768935482.6199999</v>
      </c>
    </row>
    <row r="203" spans="1:4" ht="15.75">
      <c r="A203" s="7"/>
      <c r="B203" s="7"/>
      <c r="C203" s="19"/>
      <c r="D203" s="19">
        <v>1768935482.6199999</v>
      </c>
    </row>
    <row r="204" spans="1:4" ht="15.75">
      <c r="A204" s="7"/>
      <c r="B204" s="7"/>
      <c r="C204" s="7"/>
      <c r="D204" s="5"/>
    </row>
    <row r="205" spans="1:4" ht="15.75"/>
    <row r="206" spans="1:4" ht="15.75"/>
    <row r="207" spans="1:4" ht="15.75"/>
    <row r="208" spans="1:4" ht="15.75"/>
    <row r="209" ht="15.75"/>
    <row r="210" ht="15.75"/>
    <row r="211" ht="15.75"/>
    <row r="212" ht="15.75"/>
    <row r="213" ht="15.75"/>
    <row r="214" ht="15.75"/>
    <row r="215" ht="15.75"/>
    <row r="216" ht="15.75"/>
    <row r="217" ht="15.75"/>
    <row r="218" ht="15.75"/>
    <row r="219" ht="15.75"/>
    <row r="220" ht="15.75"/>
    <row r="221" ht="15.75"/>
    <row r="222" ht="15.75"/>
    <row r="223" ht="15.75"/>
    <row r="224" ht="15.75"/>
    <row r="225" ht="15.75"/>
    <row r="226" ht="15.75"/>
    <row r="227" ht="15.75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009B3-AB6C-E844-98FC-4AD6D37CA4D9}">
  <dimension ref="A1:D148"/>
  <sheetViews>
    <sheetView workbookViewId="0">
      <selection activeCell="A13" sqref="A13:D13"/>
    </sheetView>
  </sheetViews>
  <sheetFormatPr defaultColWidth="11" defaultRowHeight="15.95"/>
  <cols>
    <col min="2" max="2" width="30.5" customWidth="1"/>
    <col min="4" max="4" width="21.5" customWidth="1"/>
  </cols>
  <sheetData>
    <row r="1" spans="1:4">
      <c r="A1" s="47">
        <v>45901</v>
      </c>
      <c r="B1" s="7"/>
      <c r="C1" s="7"/>
      <c r="D1" s="7"/>
    </row>
    <row r="2" spans="1:4">
      <c r="A2" s="7" t="s">
        <v>1</v>
      </c>
      <c r="B2" s="7"/>
      <c r="C2" s="7"/>
      <c r="D2" s="7"/>
    </row>
    <row r="3" spans="1:4">
      <c r="A3" s="7" t="s">
        <v>2</v>
      </c>
      <c r="B3" s="7" t="s">
        <v>3</v>
      </c>
      <c r="C3" s="7" t="s">
        <v>4</v>
      </c>
      <c r="D3" s="7" t="s">
        <v>5</v>
      </c>
    </row>
    <row r="4" spans="1:4">
      <c r="A4" s="3">
        <v>45901</v>
      </c>
      <c r="B4" s="7" t="s">
        <v>690</v>
      </c>
      <c r="C4" s="7"/>
      <c r="D4" s="5">
        <v>881400</v>
      </c>
    </row>
    <row r="5" spans="1:4">
      <c r="A5" s="3">
        <v>45901</v>
      </c>
      <c r="B5" s="7" t="s">
        <v>10</v>
      </c>
      <c r="C5" s="7"/>
      <c r="D5" s="5">
        <v>2500</v>
      </c>
    </row>
    <row r="6" spans="1:4">
      <c r="A6" s="3">
        <v>45901</v>
      </c>
      <c r="B6" s="7" t="s">
        <v>691</v>
      </c>
      <c r="C6" s="5"/>
      <c r="D6" s="5">
        <v>75600000</v>
      </c>
    </row>
    <row r="7" spans="1:4">
      <c r="A7" s="3">
        <v>45901</v>
      </c>
      <c r="B7" s="7" t="s">
        <v>10</v>
      </c>
      <c r="C7" s="5"/>
      <c r="D7" s="5">
        <v>2500</v>
      </c>
    </row>
    <row r="8" spans="1:4">
      <c r="A8" s="3">
        <v>45902</v>
      </c>
      <c r="B8" s="7" t="s">
        <v>692</v>
      </c>
      <c r="C8" s="5"/>
      <c r="D8" s="5">
        <v>600000</v>
      </c>
    </row>
    <row r="9" spans="1:4">
      <c r="A9" s="3">
        <v>45902</v>
      </c>
      <c r="B9" s="7" t="s">
        <v>693</v>
      </c>
      <c r="C9" s="7"/>
      <c r="D9" s="5">
        <v>68750000</v>
      </c>
    </row>
    <row r="10" spans="1:4">
      <c r="A10" s="3">
        <v>45902</v>
      </c>
      <c r="B10" s="7" t="s">
        <v>10</v>
      </c>
      <c r="C10" s="7"/>
      <c r="D10" s="5">
        <v>2500</v>
      </c>
    </row>
    <row r="11" spans="1:4">
      <c r="A11" s="3">
        <v>45902</v>
      </c>
      <c r="B11" s="7" t="s">
        <v>694</v>
      </c>
      <c r="C11" s="7"/>
      <c r="D11" s="5">
        <v>75000000</v>
      </c>
    </row>
    <row r="12" spans="1:4">
      <c r="A12" s="3">
        <v>45902</v>
      </c>
      <c r="B12" s="7" t="s">
        <v>10</v>
      </c>
      <c r="C12" s="7"/>
      <c r="D12" s="5">
        <v>2500</v>
      </c>
    </row>
    <row r="13" spans="1:4" ht="15.75">
      <c r="A13" s="3">
        <v>45903</v>
      </c>
      <c r="B13" s="7" t="s">
        <v>695</v>
      </c>
      <c r="C13" s="5"/>
      <c r="D13" s="5">
        <v>638250</v>
      </c>
    </row>
    <row r="14" spans="1:4" ht="15.75">
      <c r="A14" s="3">
        <v>45903</v>
      </c>
      <c r="B14" s="7" t="s">
        <v>10</v>
      </c>
      <c r="C14" s="5"/>
      <c r="D14" s="5">
        <v>2500</v>
      </c>
    </row>
    <row r="15" spans="1:4" ht="15.75">
      <c r="A15" s="3">
        <v>45905</v>
      </c>
      <c r="B15" s="7" t="s">
        <v>696</v>
      </c>
      <c r="C15" s="5"/>
      <c r="D15" s="5">
        <v>12500000</v>
      </c>
    </row>
    <row r="16" spans="1:4" ht="15.75">
      <c r="A16" s="3">
        <v>45905</v>
      </c>
      <c r="B16" s="7" t="s">
        <v>10</v>
      </c>
      <c r="C16" s="7"/>
      <c r="D16" s="5">
        <v>2500</v>
      </c>
    </row>
    <row r="17" spans="1:4" ht="15.75">
      <c r="A17" s="3">
        <v>45906</v>
      </c>
      <c r="B17" s="7" t="s">
        <v>697</v>
      </c>
      <c r="C17" s="7"/>
      <c r="D17" s="5">
        <v>110500</v>
      </c>
    </row>
    <row r="18" spans="1:4" ht="15.75">
      <c r="A18" s="3">
        <v>45906</v>
      </c>
      <c r="B18" s="7" t="s">
        <v>53</v>
      </c>
      <c r="C18" s="7"/>
      <c r="D18" s="5">
        <v>363750</v>
      </c>
    </row>
    <row r="19" spans="1:4" ht="15.75">
      <c r="A19" s="3">
        <v>45906</v>
      </c>
      <c r="B19" s="7" t="s">
        <v>66</v>
      </c>
      <c r="C19" s="5"/>
      <c r="D19" s="5">
        <v>2043494</v>
      </c>
    </row>
    <row r="20" spans="1:4" ht="15.75">
      <c r="A20" s="3">
        <v>45906</v>
      </c>
      <c r="B20" s="7" t="s">
        <v>698</v>
      </c>
      <c r="C20" s="7"/>
      <c r="D20" s="5">
        <v>5000000</v>
      </c>
    </row>
    <row r="21" spans="1:4" ht="15.75">
      <c r="A21" s="3">
        <v>45907</v>
      </c>
      <c r="B21" s="7" t="s">
        <v>699</v>
      </c>
      <c r="C21" s="5"/>
      <c r="D21" s="5">
        <v>150000</v>
      </c>
    </row>
    <row r="22" spans="1:4" ht="15.75">
      <c r="A22" s="3">
        <v>45907</v>
      </c>
      <c r="B22" s="7" t="s">
        <v>700</v>
      </c>
      <c r="C22" s="5"/>
      <c r="D22" s="5">
        <v>500000</v>
      </c>
    </row>
    <row r="23" spans="1:4" ht="15.75">
      <c r="A23" s="3">
        <v>45907</v>
      </c>
      <c r="B23" s="7" t="s">
        <v>701</v>
      </c>
      <c r="C23" s="7"/>
      <c r="D23" s="5">
        <v>500000</v>
      </c>
    </row>
    <row r="24" spans="1:4" ht="15.75">
      <c r="A24" s="3">
        <v>45909</v>
      </c>
      <c r="B24" s="7" t="s">
        <v>702</v>
      </c>
      <c r="C24" s="7"/>
      <c r="D24" s="5">
        <v>5478720</v>
      </c>
    </row>
    <row r="25" spans="1:4" ht="15.75">
      <c r="A25" s="3">
        <v>45910</v>
      </c>
      <c r="B25" s="7" t="s">
        <v>703</v>
      </c>
      <c r="C25" s="5"/>
      <c r="D25" s="5">
        <v>800000</v>
      </c>
    </row>
    <row r="26" spans="1:4" ht="15.75">
      <c r="A26" s="3">
        <v>45910</v>
      </c>
      <c r="B26" s="7" t="s">
        <v>704</v>
      </c>
      <c r="C26" s="5"/>
      <c r="D26" s="5">
        <v>20250000</v>
      </c>
    </row>
    <row r="27" spans="1:4" ht="15.75">
      <c r="A27" s="3">
        <v>45911</v>
      </c>
      <c r="B27" s="7" t="s">
        <v>705</v>
      </c>
      <c r="C27" s="7"/>
      <c r="D27" s="5">
        <v>24000000</v>
      </c>
    </row>
    <row r="28" spans="1:4" ht="15.75">
      <c r="A28" s="3">
        <v>45911</v>
      </c>
      <c r="B28" s="7" t="s">
        <v>10</v>
      </c>
      <c r="C28" s="7"/>
      <c r="D28" s="5">
        <v>2500</v>
      </c>
    </row>
    <row r="29" spans="1:4" ht="15.75">
      <c r="A29" s="3">
        <v>45911</v>
      </c>
      <c r="B29" s="7" t="s">
        <v>706</v>
      </c>
      <c r="C29" s="5"/>
      <c r="D29" s="5">
        <v>44160000</v>
      </c>
    </row>
    <row r="30" spans="1:4" ht="15.75">
      <c r="A30" s="3">
        <v>45911</v>
      </c>
      <c r="B30" s="7" t="s">
        <v>10</v>
      </c>
      <c r="C30" s="7"/>
      <c r="D30" s="5">
        <v>2500</v>
      </c>
    </row>
    <row r="31" spans="1:4" ht="15.75">
      <c r="A31" s="3">
        <v>45911</v>
      </c>
      <c r="B31" s="7" t="s">
        <v>707</v>
      </c>
      <c r="C31" s="5"/>
      <c r="D31" s="5">
        <v>51000000</v>
      </c>
    </row>
    <row r="32" spans="1:4" ht="15.75">
      <c r="A32" s="3">
        <v>45911</v>
      </c>
      <c r="B32" s="7" t="s">
        <v>10</v>
      </c>
      <c r="C32" s="7"/>
      <c r="D32" s="5">
        <v>2500</v>
      </c>
    </row>
    <row r="33" spans="1:4" ht="15.75">
      <c r="A33" s="3">
        <v>45911</v>
      </c>
      <c r="B33" s="7" t="s">
        <v>708</v>
      </c>
      <c r="C33" s="5"/>
      <c r="D33" s="5">
        <v>700000</v>
      </c>
    </row>
    <row r="34" spans="1:4" ht="15.75">
      <c r="A34" s="3">
        <v>45911</v>
      </c>
      <c r="B34" s="7" t="s">
        <v>10</v>
      </c>
      <c r="C34" s="5"/>
      <c r="D34" s="5">
        <v>2500</v>
      </c>
    </row>
    <row r="35" spans="1:4" ht="15.75">
      <c r="A35" s="3">
        <v>45911</v>
      </c>
      <c r="B35" s="4" t="s">
        <v>709</v>
      </c>
      <c r="C35" s="5"/>
      <c r="D35" s="5">
        <v>150000</v>
      </c>
    </row>
    <row r="36" spans="1:4" ht="15.75">
      <c r="A36" s="3">
        <v>45911</v>
      </c>
      <c r="B36" s="7" t="s">
        <v>10</v>
      </c>
      <c r="C36" s="7"/>
      <c r="D36" s="5">
        <v>2500</v>
      </c>
    </row>
    <row r="37" spans="1:4" ht="15.75">
      <c r="A37" s="3">
        <v>45912</v>
      </c>
      <c r="B37" s="7" t="s">
        <v>710</v>
      </c>
      <c r="C37" s="7"/>
      <c r="D37" s="5">
        <v>11649999</v>
      </c>
    </row>
    <row r="38" spans="1:4" ht="15.75">
      <c r="A38" s="3">
        <v>45912</v>
      </c>
      <c r="B38" s="7" t="s">
        <v>640</v>
      </c>
      <c r="C38" s="5"/>
      <c r="D38" s="5">
        <v>12000000</v>
      </c>
    </row>
    <row r="39" spans="1:4" ht="15.75">
      <c r="A39" s="3">
        <v>45912</v>
      </c>
      <c r="B39" s="7" t="s">
        <v>711</v>
      </c>
      <c r="C39" s="5"/>
      <c r="D39" s="5">
        <v>47425690</v>
      </c>
    </row>
    <row r="40" spans="1:4" ht="15.75">
      <c r="A40" s="3">
        <v>45913</v>
      </c>
      <c r="B40" s="7" t="s">
        <v>712</v>
      </c>
      <c r="C40" s="5"/>
      <c r="D40" s="5">
        <v>786000</v>
      </c>
    </row>
    <row r="41" spans="1:4" ht="15.75">
      <c r="A41" s="3">
        <v>45913</v>
      </c>
      <c r="B41" s="7" t="s">
        <v>10</v>
      </c>
      <c r="C41" s="5"/>
      <c r="D41" s="5">
        <v>2500</v>
      </c>
    </row>
    <row r="42" spans="1:4" ht="15.75">
      <c r="A42" s="3">
        <v>45913</v>
      </c>
      <c r="B42" s="4" t="s">
        <v>561</v>
      </c>
      <c r="C42" s="5"/>
      <c r="D42" s="5">
        <v>800000</v>
      </c>
    </row>
    <row r="43" spans="1:4" ht="15.75">
      <c r="A43" s="3">
        <v>45913</v>
      </c>
      <c r="B43" s="7" t="s">
        <v>701</v>
      </c>
      <c r="C43" s="5"/>
      <c r="D43" s="5">
        <v>500000</v>
      </c>
    </row>
    <row r="44" spans="1:4" ht="15.75">
      <c r="A44" s="3">
        <v>45913</v>
      </c>
      <c r="B44" s="7" t="s">
        <v>700</v>
      </c>
      <c r="C44" s="5"/>
      <c r="D44" s="5">
        <v>500000</v>
      </c>
    </row>
    <row r="45" spans="1:4" ht="15.75">
      <c r="A45" s="3">
        <v>45913</v>
      </c>
      <c r="B45" s="7" t="s">
        <v>699</v>
      </c>
      <c r="C45" s="5"/>
      <c r="D45" s="5">
        <v>150000</v>
      </c>
    </row>
    <row r="46" spans="1:4" ht="15.75">
      <c r="A46" s="3">
        <v>45914</v>
      </c>
      <c r="B46" s="7" t="s">
        <v>713</v>
      </c>
      <c r="C46" s="5"/>
      <c r="D46" s="5">
        <v>1700000</v>
      </c>
    </row>
    <row r="47" spans="1:4" ht="15.75">
      <c r="A47" s="3">
        <v>45915</v>
      </c>
      <c r="B47" s="7" t="s">
        <v>714</v>
      </c>
      <c r="C47" s="5"/>
      <c r="D47" s="5">
        <v>1000000</v>
      </c>
    </row>
    <row r="48" spans="1:4" ht="15.75">
      <c r="A48" s="3">
        <v>45915</v>
      </c>
      <c r="B48" s="7" t="s">
        <v>715</v>
      </c>
      <c r="C48" s="5"/>
      <c r="D48" s="5">
        <v>26865000</v>
      </c>
    </row>
    <row r="49" spans="1:4" ht="15.75">
      <c r="A49" s="3">
        <v>45915</v>
      </c>
      <c r="B49" s="7" t="s">
        <v>10</v>
      </c>
      <c r="C49" s="7"/>
      <c r="D49" s="5">
        <v>2500</v>
      </c>
    </row>
    <row r="50" spans="1:4" ht="15.75">
      <c r="A50" s="3">
        <v>45915</v>
      </c>
      <c r="B50" s="7" t="s">
        <v>716</v>
      </c>
      <c r="C50" s="5"/>
      <c r="D50" s="5">
        <v>31840000</v>
      </c>
    </row>
    <row r="51" spans="1:4" ht="15.75">
      <c r="A51" s="3">
        <v>45915</v>
      </c>
      <c r="B51" s="7" t="s">
        <v>10</v>
      </c>
      <c r="C51" s="7"/>
      <c r="D51" s="5">
        <v>2500</v>
      </c>
    </row>
    <row r="52" spans="1:4" ht="15.75">
      <c r="A52" s="3">
        <v>45915</v>
      </c>
      <c r="B52" s="7" t="s">
        <v>717</v>
      </c>
      <c r="C52" s="5"/>
      <c r="D52" s="5">
        <v>36250000</v>
      </c>
    </row>
    <row r="53" spans="1:4" ht="15.75">
      <c r="A53" s="3">
        <v>45915</v>
      </c>
      <c r="B53" s="7" t="s">
        <v>10</v>
      </c>
      <c r="C53" s="5"/>
      <c r="D53" s="5">
        <v>2500</v>
      </c>
    </row>
    <row r="54" spans="1:4" ht="15.75">
      <c r="A54" s="3">
        <v>45915</v>
      </c>
      <c r="B54" s="7" t="s">
        <v>718</v>
      </c>
      <c r="C54" s="5"/>
      <c r="D54" s="5">
        <v>52000000</v>
      </c>
    </row>
    <row r="55" spans="1:4" ht="15.75">
      <c r="A55" s="3">
        <v>45915</v>
      </c>
      <c r="B55" s="7" t="s">
        <v>10</v>
      </c>
      <c r="C55" s="5"/>
      <c r="D55" s="5">
        <v>2500</v>
      </c>
    </row>
    <row r="56" spans="1:4" ht="15.75">
      <c r="A56" s="3">
        <v>45915</v>
      </c>
      <c r="B56" s="7" t="s">
        <v>719</v>
      </c>
      <c r="C56" s="7"/>
      <c r="D56" s="5">
        <v>30499999</v>
      </c>
    </row>
    <row r="57" spans="1:4" ht="15.75">
      <c r="A57" s="3">
        <v>45915</v>
      </c>
      <c r="B57" s="7" t="s">
        <v>720</v>
      </c>
      <c r="C57" s="5"/>
      <c r="D57" s="5">
        <v>8700000</v>
      </c>
    </row>
    <row r="58" spans="1:4" ht="15.75">
      <c r="A58" s="3">
        <v>45915</v>
      </c>
      <c r="B58" s="7" t="s">
        <v>10</v>
      </c>
      <c r="C58" s="5"/>
      <c r="D58" s="5">
        <v>2500</v>
      </c>
    </row>
    <row r="59" spans="1:4" ht="15.75">
      <c r="A59" s="3">
        <v>45916</v>
      </c>
      <c r="B59" s="7" t="s">
        <v>721</v>
      </c>
      <c r="C59" s="5"/>
      <c r="D59" s="5">
        <v>500000</v>
      </c>
    </row>
    <row r="60" spans="1:4" ht="15.75">
      <c r="A60" s="3">
        <v>45916</v>
      </c>
      <c r="B60" s="7" t="s">
        <v>722</v>
      </c>
      <c r="C60" s="5"/>
      <c r="D60" s="5">
        <v>16000000</v>
      </c>
    </row>
    <row r="61" spans="1:4" ht="15.75">
      <c r="A61" s="3">
        <v>45916</v>
      </c>
      <c r="B61" s="7" t="s">
        <v>10</v>
      </c>
      <c r="C61" s="5"/>
      <c r="D61" s="5">
        <v>2500</v>
      </c>
    </row>
    <row r="62" spans="1:4" ht="15.75">
      <c r="A62" s="3">
        <v>45917</v>
      </c>
      <c r="B62" s="7" t="s">
        <v>697</v>
      </c>
      <c r="C62" s="5"/>
      <c r="D62" s="5">
        <v>135000</v>
      </c>
    </row>
    <row r="63" spans="1:4" ht="15.75">
      <c r="A63" s="3">
        <v>45917</v>
      </c>
      <c r="B63" s="7" t="s">
        <v>723</v>
      </c>
      <c r="C63" s="5"/>
      <c r="D63" s="5">
        <v>2900000</v>
      </c>
    </row>
    <row r="64" spans="1:4" ht="15.75">
      <c r="A64" s="3">
        <v>45917</v>
      </c>
      <c r="B64" s="7" t="s">
        <v>10</v>
      </c>
      <c r="C64" s="5"/>
      <c r="D64" s="5">
        <v>2500</v>
      </c>
    </row>
    <row r="65" spans="1:4" ht="15.75">
      <c r="A65" s="3">
        <v>45919</v>
      </c>
      <c r="B65" s="7" t="s">
        <v>724</v>
      </c>
      <c r="C65" s="5"/>
      <c r="D65" s="5">
        <v>2500000</v>
      </c>
    </row>
    <row r="66" spans="1:4" ht="15.75">
      <c r="A66" s="3">
        <v>45919</v>
      </c>
      <c r="B66" s="7" t="s">
        <v>10</v>
      </c>
      <c r="C66" s="5"/>
      <c r="D66" s="5">
        <v>2500</v>
      </c>
    </row>
    <row r="67" spans="1:4" ht="15.75">
      <c r="A67" s="3">
        <v>45919</v>
      </c>
      <c r="B67" s="4" t="s">
        <v>725</v>
      </c>
      <c r="C67" s="5"/>
      <c r="D67" s="5">
        <v>1600000</v>
      </c>
    </row>
    <row r="68" spans="1:4" ht="15.75">
      <c r="A68" s="3">
        <v>45919</v>
      </c>
      <c r="B68" s="7" t="s">
        <v>10</v>
      </c>
      <c r="C68" s="5"/>
      <c r="D68" s="5">
        <v>2500</v>
      </c>
    </row>
    <row r="69" spans="1:4" ht="15.75">
      <c r="A69" s="3">
        <v>45919</v>
      </c>
      <c r="B69" s="7" t="s">
        <v>726</v>
      </c>
      <c r="C69" s="5"/>
      <c r="D69" s="5">
        <v>3680000</v>
      </c>
    </row>
    <row r="70" spans="1:4" ht="15.75">
      <c r="A70" s="3">
        <v>45919</v>
      </c>
      <c r="B70" s="7" t="s">
        <v>10</v>
      </c>
      <c r="C70" s="5"/>
      <c r="D70" s="5">
        <v>2500</v>
      </c>
    </row>
    <row r="71" spans="1:4" ht="15.75">
      <c r="A71" s="3">
        <v>45919</v>
      </c>
      <c r="B71" s="7" t="s">
        <v>727</v>
      </c>
      <c r="C71" s="7"/>
      <c r="D71" s="5">
        <v>121999998</v>
      </c>
    </row>
    <row r="72" spans="1:4" ht="15.75">
      <c r="A72" s="3">
        <v>45919</v>
      </c>
      <c r="B72" s="7" t="s">
        <v>696</v>
      </c>
      <c r="C72" s="5"/>
      <c r="D72" s="5">
        <v>5000000</v>
      </c>
    </row>
    <row r="73" spans="1:4" ht="15.75">
      <c r="A73" s="3">
        <v>45919</v>
      </c>
      <c r="B73" s="7" t="s">
        <v>10</v>
      </c>
      <c r="C73" s="5"/>
      <c r="D73" s="5">
        <v>2500</v>
      </c>
    </row>
    <row r="74" spans="1:4" ht="15.75">
      <c r="A74" s="3">
        <v>45919</v>
      </c>
      <c r="B74" s="4" t="s">
        <v>728</v>
      </c>
      <c r="C74" s="5"/>
      <c r="D74" s="5">
        <v>20520900</v>
      </c>
    </row>
    <row r="75" spans="1:4" ht="15.75">
      <c r="A75" s="3">
        <v>45919</v>
      </c>
      <c r="B75" s="7" t="s">
        <v>729</v>
      </c>
      <c r="C75" s="5"/>
      <c r="D75" s="5">
        <v>300000</v>
      </c>
    </row>
    <row r="76" spans="1:4" ht="15.75">
      <c r="A76" s="3">
        <v>45919</v>
      </c>
      <c r="B76" s="7" t="s">
        <v>186</v>
      </c>
      <c r="C76" s="5"/>
      <c r="D76" s="5">
        <v>705000</v>
      </c>
    </row>
    <row r="77" spans="1:4" ht="15.75">
      <c r="A77" s="3">
        <v>45919</v>
      </c>
      <c r="B77" s="7" t="s">
        <v>730</v>
      </c>
      <c r="C77" s="5"/>
      <c r="D77" s="5">
        <v>43750000</v>
      </c>
    </row>
    <row r="78" spans="1:4" ht="15.75">
      <c r="A78" s="3">
        <v>45919</v>
      </c>
      <c r="B78" s="7" t="s">
        <v>10</v>
      </c>
      <c r="C78" s="5"/>
      <c r="D78" s="5">
        <v>2500</v>
      </c>
    </row>
    <row r="79" spans="1:4" ht="15.75">
      <c r="A79" s="3">
        <v>45919</v>
      </c>
      <c r="B79" s="7" t="s">
        <v>731</v>
      </c>
      <c r="C79" s="5"/>
      <c r="D79" s="5">
        <v>25000000</v>
      </c>
    </row>
    <row r="80" spans="1:4" ht="15.75">
      <c r="A80" s="3">
        <v>45919</v>
      </c>
      <c r="B80" s="7" t="s">
        <v>10</v>
      </c>
      <c r="C80" s="5"/>
      <c r="D80" s="5">
        <v>2500</v>
      </c>
    </row>
    <row r="81" spans="1:4" ht="15.75">
      <c r="A81" s="3">
        <v>45919</v>
      </c>
      <c r="B81" s="7" t="s">
        <v>732</v>
      </c>
      <c r="C81" s="5"/>
      <c r="D81" s="5">
        <v>96250000</v>
      </c>
    </row>
    <row r="82" spans="1:4" ht="15.75">
      <c r="A82" s="3">
        <v>45919</v>
      </c>
      <c r="B82" s="7" t="s">
        <v>10</v>
      </c>
      <c r="C82" s="5"/>
      <c r="D82" s="5">
        <v>2500</v>
      </c>
    </row>
    <row r="83" spans="1:4" ht="15.75">
      <c r="A83" s="3">
        <v>45919</v>
      </c>
      <c r="B83" s="7" t="s">
        <v>733</v>
      </c>
      <c r="C83" s="5"/>
      <c r="D83" s="5">
        <v>54000000</v>
      </c>
    </row>
    <row r="84" spans="1:4" ht="15.75">
      <c r="A84" s="3">
        <v>45919</v>
      </c>
      <c r="B84" s="7" t="s">
        <v>733</v>
      </c>
      <c r="C84" s="5"/>
      <c r="D84" s="5">
        <v>52380000</v>
      </c>
    </row>
    <row r="85" spans="1:4" ht="15.75">
      <c r="A85" s="3">
        <v>45919</v>
      </c>
      <c r="B85" s="7" t="s">
        <v>733</v>
      </c>
      <c r="C85" s="5"/>
      <c r="D85" s="5">
        <v>38295000</v>
      </c>
    </row>
    <row r="86" spans="1:4" ht="15.75">
      <c r="A86" s="3">
        <v>45919</v>
      </c>
      <c r="B86" s="4" t="s">
        <v>734</v>
      </c>
      <c r="C86" s="7"/>
      <c r="D86" s="5">
        <v>22500000</v>
      </c>
    </row>
    <row r="87" spans="1:4" ht="15.75">
      <c r="A87" s="3">
        <v>45919</v>
      </c>
      <c r="B87" s="7" t="s">
        <v>10</v>
      </c>
      <c r="C87" s="5"/>
      <c r="D87" s="5">
        <v>2500</v>
      </c>
    </row>
    <row r="88" spans="1:4" ht="15.75">
      <c r="A88" s="3">
        <v>45919</v>
      </c>
      <c r="B88" s="4" t="s">
        <v>658</v>
      </c>
      <c r="C88" s="5"/>
      <c r="D88" s="5">
        <v>30000000</v>
      </c>
    </row>
    <row r="89" spans="1:4" ht="15.75">
      <c r="A89" s="3">
        <v>45919</v>
      </c>
      <c r="B89" s="7" t="s">
        <v>10</v>
      </c>
      <c r="C89" s="5"/>
      <c r="D89" s="5">
        <v>2500</v>
      </c>
    </row>
    <row r="90" spans="1:4" ht="15.75">
      <c r="A90" s="3">
        <v>45919</v>
      </c>
      <c r="B90" s="4" t="s">
        <v>701</v>
      </c>
      <c r="C90" s="7"/>
      <c r="D90" s="5">
        <v>300000</v>
      </c>
    </row>
    <row r="91" spans="1:4" ht="15.75">
      <c r="A91" s="3">
        <v>45920</v>
      </c>
      <c r="B91" s="4" t="s">
        <v>735</v>
      </c>
      <c r="C91" s="7"/>
      <c r="D91" s="5">
        <v>4500000</v>
      </c>
    </row>
    <row r="92" spans="1:4" ht="15.75">
      <c r="A92" s="3">
        <v>45920</v>
      </c>
      <c r="B92" s="4" t="s">
        <v>700</v>
      </c>
      <c r="C92" s="7"/>
      <c r="D92" s="5">
        <v>500000</v>
      </c>
    </row>
    <row r="93" spans="1:4" ht="15.75">
      <c r="A93" s="3">
        <v>45920</v>
      </c>
      <c r="B93" s="4" t="s">
        <v>699</v>
      </c>
      <c r="C93" s="5"/>
      <c r="D93" s="5">
        <v>150000</v>
      </c>
    </row>
    <row r="94" spans="1:4" ht="15.75">
      <c r="A94" s="3">
        <v>45920</v>
      </c>
      <c r="B94" s="4" t="s">
        <v>736</v>
      </c>
      <c r="C94" s="7"/>
      <c r="D94" s="5">
        <v>36397927</v>
      </c>
    </row>
    <row r="95" spans="1:4" ht="15.75">
      <c r="A95" s="3">
        <v>45920</v>
      </c>
      <c r="B95" s="7" t="s">
        <v>10</v>
      </c>
      <c r="C95" s="7"/>
      <c r="D95" s="5">
        <v>2500</v>
      </c>
    </row>
    <row r="96" spans="1:4" ht="15.75">
      <c r="A96" s="3">
        <v>45920</v>
      </c>
      <c r="B96" s="4" t="s">
        <v>737</v>
      </c>
      <c r="C96" s="7"/>
      <c r="D96" s="5">
        <v>60000000</v>
      </c>
    </row>
    <row r="97" spans="1:4" ht="15.75">
      <c r="A97" s="3">
        <v>45920</v>
      </c>
      <c r="B97" s="7" t="s">
        <v>10</v>
      </c>
      <c r="C97" s="7"/>
      <c r="D97" s="5">
        <v>2500</v>
      </c>
    </row>
    <row r="98" spans="1:4" ht="15.75">
      <c r="A98" s="3">
        <v>45920</v>
      </c>
      <c r="B98" s="7" t="s">
        <v>722</v>
      </c>
      <c r="C98" s="5"/>
      <c r="D98" s="5">
        <v>16000000</v>
      </c>
    </row>
    <row r="99" spans="1:4" ht="15.75">
      <c r="A99" s="3">
        <v>45920</v>
      </c>
      <c r="B99" s="7" t="s">
        <v>10</v>
      </c>
      <c r="C99" s="5"/>
      <c r="D99" s="5">
        <v>2500</v>
      </c>
    </row>
    <row r="100" spans="1:4" ht="15.75">
      <c r="A100" s="3">
        <v>45921</v>
      </c>
      <c r="B100" s="7" t="s">
        <v>738</v>
      </c>
      <c r="C100" s="5"/>
      <c r="D100" s="5">
        <v>8500000</v>
      </c>
    </row>
    <row r="101" spans="1:4" ht="15.75">
      <c r="A101" s="3">
        <v>45921</v>
      </c>
      <c r="B101" s="7" t="s">
        <v>10</v>
      </c>
      <c r="C101" s="7"/>
      <c r="D101" s="5">
        <v>2500</v>
      </c>
    </row>
    <row r="102" spans="1:4" ht="15.75">
      <c r="A102" s="3">
        <v>45922</v>
      </c>
      <c r="B102" s="7" t="s">
        <v>739</v>
      </c>
      <c r="C102" s="7"/>
      <c r="D102" s="5">
        <v>12800000</v>
      </c>
    </row>
    <row r="103" spans="1:4" ht="15.75">
      <c r="A103" s="3">
        <v>45922</v>
      </c>
      <c r="B103" s="7" t="s">
        <v>10</v>
      </c>
      <c r="C103" s="5"/>
      <c r="D103" s="5">
        <v>2500</v>
      </c>
    </row>
    <row r="104" spans="1:4" ht="15.75">
      <c r="A104" s="3">
        <v>45922</v>
      </c>
      <c r="B104" s="7" t="s">
        <v>722</v>
      </c>
      <c r="C104" s="5"/>
      <c r="D104" s="5">
        <v>1600000</v>
      </c>
    </row>
    <row r="105" spans="1:4" ht="15.75">
      <c r="A105" s="3">
        <v>45922</v>
      </c>
      <c r="B105" s="7" t="s">
        <v>10</v>
      </c>
      <c r="C105" s="7"/>
      <c r="D105" s="5">
        <v>2500</v>
      </c>
    </row>
    <row r="106" spans="1:4" ht="15.75">
      <c r="A106" s="3">
        <v>45924</v>
      </c>
      <c r="B106" s="4" t="s">
        <v>714</v>
      </c>
      <c r="C106" s="5"/>
      <c r="D106" s="5">
        <v>4000000</v>
      </c>
    </row>
    <row r="107" spans="1:4" ht="15.75">
      <c r="A107" s="3">
        <v>45925</v>
      </c>
      <c r="B107" s="4" t="s">
        <v>729</v>
      </c>
      <c r="C107" s="7"/>
      <c r="D107" s="5">
        <v>50000</v>
      </c>
    </row>
    <row r="108" spans="1:4" ht="15.75">
      <c r="A108" s="3">
        <v>45925</v>
      </c>
      <c r="B108" s="4" t="s">
        <v>699</v>
      </c>
      <c r="C108" s="7"/>
      <c r="D108" s="5">
        <v>50000</v>
      </c>
    </row>
    <row r="109" spans="1:4" ht="15.75">
      <c r="A109" s="3">
        <v>45926</v>
      </c>
      <c r="B109" s="7" t="s">
        <v>724</v>
      </c>
      <c r="C109" s="7"/>
      <c r="D109" s="5">
        <v>2300000</v>
      </c>
    </row>
    <row r="110" spans="1:4" ht="15.75">
      <c r="A110" s="3">
        <v>45926</v>
      </c>
      <c r="B110" s="7" t="s">
        <v>10</v>
      </c>
      <c r="C110" s="7"/>
      <c r="D110" s="5">
        <v>2500</v>
      </c>
    </row>
    <row r="111" spans="1:4" ht="15.75">
      <c r="A111" s="3">
        <v>45926</v>
      </c>
      <c r="B111" s="7" t="s">
        <v>724</v>
      </c>
      <c r="C111" s="7"/>
      <c r="D111" s="5">
        <v>1000000</v>
      </c>
    </row>
    <row r="112" spans="1:4" ht="15.75">
      <c r="A112" s="3">
        <v>45926</v>
      </c>
      <c r="B112" s="7" t="s">
        <v>10</v>
      </c>
      <c r="C112" s="7"/>
      <c r="D112" s="5">
        <v>2500</v>
      </c>
    </row>
    <row r="113" spans="1:4" ht="15.75">
      <c r="A113" s="3">
        <v>45927</v>
      </c>
      <c r="B113" s="7" t="s">
        <v>740</v>
      </c>
      <c r="C113" s="5"/>
      <c r="D113" s="5">
        <v>5800000</v>
      </c>
    </row>
    <row r="114" spans="1:4" ht="15.75">
      <c r="A114" s="3">
        <v>45927</v>
      </c>
      <c r="B114" s="7" t="s">
        <v>701</v>
      </c>
      <c r="C114" s="5"/>
      <c r="D114" s="5">
        <v>500000</v>
      </c>
    </row>
    <row r="115" spans="1:4" ht="15.75">
      <c r="A115" s="3">
        <v>45927</v>
      </c>
      <c r="B115" s="7" t="s">
        <v>699</v>
      </c>
      <c r="C115" s="5"/>
      <c r="D115" s="5">
        <v>150000</v>
      </c>
    </row>
    <row r="116" spans="1:4" ht="15.75">
      <c r="A116" s="3">
        <v>45927</v>
      </c>
      <c r="B116" s="7" t="s">
        <v>722</v>
      </c>
      <c r="C116" s="5"/>
      <c r="D116" s="5">
        <v>16000000</v>
      </c>
    </row>
    <row r="117" spans="1:4" ht="15.75">
      <c r="A117" s="3">
        <v>45927</v>
      </c>
      <c r="B117" s="7" t="s">
        <v>10</v>
      </c>
      <c r="C117" s="5"/>
      <c r="D117" s="5">
        <v>2500</v>
      </c>
    </row>
    <row r="118" spans="1:4" ht="15.75">
      <c r="A118" s="3">
        <v>45927</v>
      </c>
      <c r="B118" s="7" t="s">
        <v>741</v>
      </c>
      <c r="C118" s="5"/>
      <c r="D118" s="5">
        <v>125500</v>
      </c>
    </row>
    <row r="119" spans="1:4" ht="15.75">
      <c r="A119" s="3">
        <v>45927</v>
      </c>
      <c r="B119" s="7" t="s">
        <v>742</v>
      </c>
      <c r="C119" s="5"/>
      <c r="D119" s="5">
        <v>29850000</v>
      </c>
    </row>
    <row r="120" spans="1:4" ht="15.75">
      <c r="A120" s="3">
        <v>45927</v>
      </c>
      <c r="B120" s="7" t="s">
        <v>10</v>
      </c>
      <c r="C120" s="5"/>
      <c r="D120" s="5">
        <v>2500</v>
      </c>
    </row>
    <row r="121" spans="1:4" ht="15.75">
      <c r="A121" s="3">
        <v>45927</v>
      </c>
      <c r="B121" s="7" t="s">
        <v>743</v>
      </c>
      <c r="C121" s="5"/>
      <c r="D121" s="5">
        <v>27500000</v>
      </c>
    </row>
    <row r="122" spans="1:4" ht="15.75">
      <c r="A122" s="3">
        <v>45927</v>
      </c>
      <c r="B122" s="7" t="s">
        <v>10</v>
      </c>
      <c r="C122" s="5"/>
      <c r="D122" s="5">
        <v>2500</v>
      </c>
    </row>
    <row r="123" spans="1:4" ht="15.75">
      <c r="A123" s="3">
        <v>45928</v>
      </c>
      <c r="B123" s="7" t="s">
        <v>744</v>
      </c>
      <c r="C123" s="5"/>
      <c r="D123" s="5">
        <v>150000000</v>
      </c>
    </row>
    <row r="124" spans="1:4" ht="15.75">
      <c r="A124" s="3">
        <v>45928</v>
      </c>
      <c r="B124" s="4" t="s">
        <v>745</v>
      </c>
      <c r="C124" s="7"/>
      <c r="D124" s="5">
        <v>60000000</v>
      </c>
    </row>
    <row r="125" spans="1:4" ht="15.75">
      <c r="A125" s="3">
        <v>45928</v>
      </c>
      <c r="B125" s="7" t="s">
        <v>746</v>
      </c>
      <c r="C125" s="7"/>
      <c r="D125" s="5">
        <v>32238000</v>
      </c>
    </row>
    <row r="126" spans="1:4" ht="15.75">
      <c r="A126" s="3">
        <v>45929</v>
      </c>
      <c r="B126" s="7" t="s">
        <v>747</v>
      </c>
      <c r="C126" s="7"/>
      <c r="D126" s="5">
        <v>3015000</v>
      </c>
    </row>
    <row r="127" spans="1:4" ht="15.75">
      <c r="A127" s="3">
        <v>45929</v>
      </c>
      <c r="B127" s="7" t="s">
        <v>725</v>
      </c>
      <c r="C127" s="7"/>
      <c r="D127" s="5">
        <v>800000</v>
      </c>
    </row>
    <row r="128" spans="1:4" ht="15.75">
      <c r="A128" s="3">
        <v>45929</v>
      </c>
      <c r="B128" s="7" t="s">
        <v>10</v>
      </c>
      <c r="C128" s="7"/>
      <c r="D128" s="5">
        <v>2500</v>
      </c>
    </row>
    <row r="129" spans="1:4" ht="15.75">
      <c r="A129" s="7"/>
      <c r="B129" s="7" t="s">
        <v>70</v>
      </c>
      <c r="C129" s="19"/>
      <c r="D129" s="19">
        <v>17735.14</v>
      </c>
    </row>
    <row r="130" spans="1:4" ht="15.75">
      <c r="A130" s="7"/>
      <c r="B130" s="7" t="s">
        <v>573</v>
      </c>
      <c r="C130" s="7"/>
      <c r="D130" s="5">
        <v>30000</v>
      </c>
    </row>
    <row r="131" spans="1:4" ht="15.75">
      <c r="A131" s="7"/>
      <c r="B131" s="7"/>
      <c r="C131" s="7"/>
      <c r="D131" s="5"/>
    </row>
    <row r="132" spans="1:4" ht="15.75">
      <c r="A132" s="7"/>
      <c r="B132" s="7"/>
      <c r="C132" s="19"/>
      <c r="D132" s="19">
        <v>1664132862.1400001</v>
      </c>
    </row>
    <row r="133" spans="1:4" ht="15.75">
      <c r="A133" s="7"/>
      <c r="B133" s="7"/>
      <c r="C133" s="19"/>
      <c r="D133" s="19">
        <v>1664132862.1400001</v>
      </c>
    </row>
    <row r="134" spans="1:4" ht="15.75"/>
    <row r="135" spans="1:4" ht="15.75"/>
    <row r="136" spans="1:4" ht="15.75"/>
    <row r="137" spans="1:4" ht="15.75"/>
    <row r="138" spans="1:4" ht="15.75"/>
    <row r="139" spans="1:4" ht="15.75"/>
    <row r="140" spans="1:4" ht="15.75"/>
    <row r="141" spans="1:4" ht="15.75"/>
    <row r="142" spans="1:4" ht="15.75"/>
    <row r="143" spans="1:4" ht="15.75"/>
    <row r="144" spans="1:4" ht="15.75"/>
    <row r="145" ht="15.75"/>
    <row r="146" ht="15.75"/>
    <row r="147" ht="15.75"/>
    <row r="148" ht="15.75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17194-D4C3-774B-9AE8-DC7E8DEE501C}">
  <dimension ref="A1:D217"/>
  <sheetViews>
    <sheetView topLeftCell="A3" workbookViewId="0">
      <selection activeCell="G22" sqref="G22"/>
    </sheetView>
  </sheetViews>
  <sheetFormatPr defaultColWidth="11" defaultRowHeight="15.95"/>
  <cols>
    <col min="2" max="2" width="25" customWidth="1"/>
    <col min="3" max="3" width="20.875" customWidth="1"/>
    <col min="4" max="4" width="26.125" customWidth="1"/>
  </cols>
  <sheetData>
    <row r="1" spans="1:4" ht="15.75">
      <c r="A1" s="7" t="s">
        <v>748</v>
      </c>
      <c r="B1" s="7"/>
      <c r="C1" s="7"/>
      <c r="D1" s="7"/>
    </row>
    <row r="2" spans="1:4" ht="15.75">
      <c r="A2" s="7" t="s">
        <v>1</v>
      </c>
      <c r="B2" s="7"/>
      <c r="C2" s="7"/>
      <c r="D2" s="7"/>
    </row>
    <row r="3" spans="1:4" ht="15.75">
      <c r="A3" s="7"/>
      <c r="B3" s="7"/>
      <c r="C3" s="7"/>
      <c r="D3" s="7"/>
    </row>
    <row r="4" spans="1:4" ht="15.75">
      <c r="A4" s="7" t="s">
        <v>2</v>
      </c>
      <c r="B4" s="7" t="s">
        <v>3</v>
      </c>
      <c r="C4" s="7" t="s">
        <v>4</v>
      </c>
      <c r="D4" s="7" t="s">
        <v>5</v>
      </c>
    </row>
    <row r="5" spans="1:4" ht="15.75">
      <c r="A5" s="3">
        <v>45931</v>
      </c>
      <c r="B5" s="7" t="s">
        <v>749</v>
      </c>
      <c r="C5" s="7"/>
      <c r="D5" s="5">
        <v>11550000</v>
      </c>
    </row>
    <row r="6" spans="1:4" ht="15.75">
      <c r="A6" s="3">
        <v>45931</v>
      </c>
      <c r="B6" s="7" t="s">
        <v>10</v>
      </c>
      <c r="C6" s="7"/>
      <c r="D6" s="5">
        <v>2500</v>
      </c>
    </row>
    <row r="7" spans="1:4" ht="15.75">
      <c r="A7" s="3">
        <v>45931</v>
      </c>
      <c r="B7" s="7" t="s">
        <v>750</v>
      </c>
      <c r="C7" s="7"/>
      <c r="D7" s="5">
        <v>5600000</v>
      </c>
    </row>
    <row r="8" spans="1:4" ht="15.75">
      <c r="A8" s="3">
        <v>45931</v>
      </c>
      <c r="B8" s="7" t="s">
        <v>750</v>
      </c>
      <c r="C8" s="7"/>
      <c r="D8" s="5">
        <v>500000</v>
      </c>
    </row>
    <row r="9" spans="1:4" ht="15.75">
      <c r="A9" s="3">
        <v>45931</v>
      </c>
      <c r="B9" s="7" t="s">
        <v>751</v>
      </c>
      <c r="C9" s="7"/>
      <c r="D9" s="5">
        <v>4470000</v>
      </c>
    </row>
    <row r="10" spans="1:4" ht="15.75">
      <c r="A10" s="3">
        <v>45931</v>
      </c>
      <c r="B10" s="7" t="s">
        <v>752</v>
      </c>
      <c r="C10" s="7"/>
      <c r="D10" s="5">
        <v>5200000</v>
      </c>
    </row>
    <row r="11" spans="1:4" ht="15.75">
      <c r="A11" s="3">
        <v>45931</v>
      </c>
      <c r="B11" s="7" t="s">
        <v>753</v>
      </c>
      <c r="C11" s="7"/>
      <c r="D11" s="5">
        <v>4500000</v>
      </c>
    </row>
    <row r="12" spans="1:4" ht="15.75">
      <c r="A12" s="3">
        <v>45931</v>
      </c>
      <c r="B12" s="7" t="s">
        <v>754</v>
      </c>
      <c r="C12" s="7"/>
      <c r="D12" s="5">
        <v>1500000</v>
      </c>
    </row>
    <row r="13" spans="1:4" ht="15.75">
      <c r="A13" s="3">
        <v>45931</v>
      </c>
      <c r="B13" s="7" t="s">
        <v>10</v>
      </c>
      <c r="C13" s="7"/>
      <c r="D13" s="5">
        <v>2500</v>
      </c>
    </row>
    <row r="14" spans="1:4" ht="15.75">
      <c r="A14" s="3">
        <v>45931</v>
      </c>
      <c r="B14" s="4" t="s">
        <v>755</v>
      </c>
      <c r="C14" s="5"/>
      <c r="D14" s="5">
        <v>35000000</v>
      </c>
    </row>
    <row r="15" spans="1:4" ht="15.75">
      <c r="A15" s="3">
        <v>45931</v>
      </c>
      <c r="B15" s="7" t="s">
        <v>10</v>
      </c>
      <c r="C15" s="7"/>
      <c r="D15" s="5">
        <v>2500</v>
      </c>
    </row>
    <row r="16" spans="1:4" ht="15.75">
      <c r="A16" s="3">
        <v>45931</v>
      </c>
      <c r="B16" s="4" t="s">
        <v>756</v>
      </c>
      <c r="C16" s="7"/>
      <c r="D16" s="5">
        <v>35000000</v>
      </c>
    </row>
    <row r="17" spans="1:4" ht="15.75">
      <c r="A17" s="3">
        <v>45931</v>
      </c>
      <c r="B17" s="7" t="s">
        <v>10</v>
      </c>
      <c r="C17" s="7"/>
      <c r="D17" s="5">
        <v>2500</v>
      </c>
    </row>
    <row r="18" spans="1:4" ht="15.75">
      <c r="A18" s="3">
        <v>45931</v>
      </c>
      <c r="B18" s="4" t="s">
        <v>757</v>
      </c>
      <c r="C18" s="7"/>
      <c r="D18" s="5">
        <v>30000000</v>
      </c>
    </row>
    <row r="19" spans="1:4" ht="15.75">
      <c r="A19" s="3">
        <v>45931</v>
      </c>
      <c r="B19" s="7" t="s">
        <v>10</v>
      </c>
      <c r="C19" s="7"/>
      <c r="D19" s="5">
        <v>2500</v>
      </c>
    </row>
    <row r="20" spans="1:4" ht="15.75">
      <c r="A20" s="3">
        <v>45931</v>
      </c>
      <c r="B20" s="4" t="s">
        <v>758</v>
      </c>
      <c r="C20" s="7"/>
      <c r="D20" s="5">
        <v>30000000</v>
      </c>
    </row>
    <row r="21" spans="1:4" ht="15.75">
      <c r="A21" s="3">
        <v>45931</v>
      </c>
      <c r="B21" s="7" t="s">
        <v>10</v>
      </c>
      <c r="C21" s="7"/>
      <c r="D21" s="5">
        <v>2500</v>
      </c>
    </row>
    <row r="22" spans="1:4" ht="15.75">
      <c r="A22" s="3">
        <v>45931</v>
      </c>
      <c r="B22" s="4" t="s">
        <v>759</v>
      </c>
      <c r="C22" s="7"/>
      <c r="D22" s="5">
        <v>50000000</v>
      </c>
    </row>
    <row r="23" spans="1:4" ht="15.75">
      <c r="A23" s="3">
        <v>45931</v>
      </c>
      <c r="B23" s="7" t="s">
        <v>10</v>
      </c>
      <c r="C23" s="7"/>
      <c r="D23" s="5">
        <v>2500</v>
      </c>
    </row>
    <row r="24" spans="1:4" ht="15.75">
      <c r="A24" s="3">
        <v>45931</v>
      </c>
      <c r="B24" s="4" t="s">
        <v>760</v>
      </c>
      <c r="C24" s="7"/>
      <c r="D24" s="5">
        <v>13000000</v>
      </c>
    </row>
    <row r="25" spans="1:4" ht="15.75">
      <c r="A25" s="3">
        <v>45931</v>
      </c>
      <c r="B25" s="4" t="s">
        <v>761</v>
      </c>
      <c r="C25" s="7"/>
      <c r="D25" s="5">
        <v>7800000</v>
      </c>
    </row>
    <row r="26" spans="1:4" ht="15.75">
      <c r="A26" s="3">
        <v>45931</v>
      </c>
      <c r="B26" s="4" t="s">
        <v>762</v>
      </c>
      <c r="C26" s="7"/>
      <c r="D26" s="5">
        <v>6325000</v>
      </c>
    </row>
    <row r="27" spans="1:4" ht="15.75">
      <c r="A27" s="3">
        <v>45931</v>
      </c>
      <c r="B27" s="4" t="s">
        <v>763</v>
      </c>
      <c r="C27" s="7"/>
      <c r="D27" s="5">
        <v>2035000</v>
      </c>
    </row>
    <row r="28" spans="1:4" ht="15.75">
      <c r="A28" s="3">
        <v>45931</v>
      </c>
      <c r="B28" s="4" t="s">
        <v>764</v>
      </c>
      <c r="C28" s="7"/>
      <c r="D28" s="5">
        <v>2385000</v>
      </c>
    </row>
    <row r="29" spans="1:4" ht="15.75">
      <c r="A29" s="3">
        <v>45931</v>
      </c>
      <c r="B29" s="4" t="s">
        <v>765</v>
      </c>
      <c r="C29" s="7"/>
      <c r="D29" s="5">
        <v>375000</v>
      </c>
    </row>
    <row r="30" spans="1:4" ht="15.75">
      <c r="A30" s="3">
        <v>45931</v>
      </c>
      <c r="B30" s="4" t="s">
        <v>766</v>
      </c>
      <c r="C30" s="7"/>
      <c r="D30" s="5">
        <v>725000</v>
      </c>
    </row>
    <row r="31" spans="1:4" ht="15.75">
      <c r="A31" s="3">
        <v>45931</v>
      </c>
      <c r="B31" s="4" t="s">
        <v>767</v>
      </c>
      <c r="C31" s="7"/>
      <c r="D31" s="5">
        <v>1050000</v>
      </c>
    </row>
    <row r="32" spans="1:4" ht="15.75">
      <c r="A32" s="3">
        <v>45931</v>
      </c>
      <c r="B32" s="4" t="s">
        <v>768</v>
      </c>
      <c r="C32" s="7"/>
      <c r="D32" s="5">
        <v>1955000</v>
      </c>
    </row>
    <row r="33" spans="1:4" ht="15.75">
      <c r="A33" s="3">
        <v>45931</v>
      </c>
      <c r="B33" s="4" t="s">
        <v>769</v>
      </c>
      <c r="C33" s="7"/>
      <c r="D33" s="5">
        <v>1975000</v>
      </c>
    </row>
    <row r="34" spans="1:4" ht="15.75">
      <c r="A34" s="3">
        <v>45931</v>
      </c>
      <c r="B34" s="4" t="s">
        <v>770</v>
      </c>
      <c r="C34" s="7"/>
      <c r="D34" s="5">
        <v>1955000</v>
      </c>
    </row>
    <row r="35" spans="1:4" ht="15.75">
      <c r="A35" s="3">
        <v>45931</v>
      </c>
      <c r="B35" s="4" t="s">
        <v>771</v>
      </c>
      <c r="C35" s="7"/>
      <c r="D35" s="5">
        <v>2210000</v>
      </c>
    </row>
    <row r="36" spans="1:4" ht="15.75">
      <c r="A36" s="3">
        <v>45931</v>
      </c>
      <c r="B36" s="4" t="s">
        <v>772</v>
      </c>
      <c r="C36" s="7"/>
      <c r="D36" s="5">
        <v>2010000</v>
      </c>
    </row>
    <row r="37" spans="1:4" ht="15.75">
      <c r="A37" s="3">
        <v>45931</v>
      </c>
      <c r="B37" s="4" t="s">
        <v>773</v>
      </c>
      <c r="C37" s="7"/>
      <c r="D37" s="5">
        <v>3000000</v>
      </c>
    </row>
    <row r="38" spans="1:4" ht="15.75">
      <c r="A38" s="3">
        <v>45932</v>
      </c>
      <c r="B38" s="4" t="s">
        <v>763</v>
      </c>
      <c r="C38" s="7"/>
      <c r="D38" s="5">
        <v>230000</v>
      </c>
    </row>
    <row r="39" spans="1:4" ht="15.75">
      <c r="A39" s="3">
        <v>45932</v>
      </c>
      <c r="B39" s="7" t="s">
        <v>774</v>
      </c>
      <c r="C39" s="7"/>
      <c r="D39" s="5">
        <v>2000000</v>
      </c>
    </row>
    <row r="40" spans="1:4" ht="15.75">
      <c r="A40" s="3">
        <v>45933</v>
      </c>
      <c r="B40" s="7" t="s">
        <v>775</v>
      </c>
      <c r="C40" s="5"/>
      <c r="D40" s="5">
        <v>4000000</v>
      </c>
    </row>
    <row r="41" spans="1:4" ht="15.75">
      <c r="A41" s="3">
        <v>45934</v>
      </c>
      <c r="B41" s="7" t="s">
        <v>776</v>
      </c>
      <c r="C41" s="7"/>
      <c r="D41" s="5">
        <v>4660000</v>
      </c>
    </row>
    <row r="42" spans="1:4" ht="15.75">
      <c r="A42" s="3">
        <v>45934</v>
      </c>
      <c r="B42" s="7" t="s">
        <v>777</v>
      </c>
      <c r="C42" s="7"/>
      <c r="D42" s="5">
        <v>91249998</v>
      </c>
    </row>
    <row r="43" spans="1:4" ht="15.75">
      <c r="A43" s="3">
        <v>45934</v>
      </c>
      <c r="B43" s="7" t="s">
        <v>778</v>
      </c>
      <c r="C43" s="7"/>
      <c r="D43" s="5">
        <v>15000000</v>
      </c>
    </row>
    <row r="44" spans="1:4" ht="15.75">
      <c r="A44" s="3">
        <v>45934</v>
      </c>
      <c r="B44" s="7" t="s">
        <v>10</v>
      </c>
      <c r="C44" s="7"/>
      <c r="D44" s="5">
        <v>2500</v>
      </c>
    </row>
    <row r="45" spans="1:4" ht="15.75">
      <c r="A45" s="3">
        <v>45934</v>
      </c>
      <c r="B45" s="7" t="s">
        <v>779</v>
      </c>
      <c r="C45" s="7"/>
      <c r="D45" s="5">
        <v>4000000</v>
      </c>
    </row>
    <row r="46" spans="1:4" ht="15.75">
      <c r="A46" s="3">
        <v>45934</v>
      </c>
      <c r="B46" s="7" t="s">
        <v>761</v>
      </c>
      <c r="C46" s="5"/>
      <c r="D46" s="5">
        <v>500000</v>
      </c>
    </row>
    <row r="47" spans="1:4" ht="15.75">
      <c r="A47" s="3">
        <v>45934</v>
      </c>
      <c r="B47" s="7" t="s">
        <v>760</v>
      </c>
      <c r="C47" s="7"/>
      <c r="D47" s="5">
        <v>500000</v>
      </c>
    </row>
    <row r="48" spans="1:4" ht="15.75">
      <c r="A48" s="3">
        <v>45934</v>
      </c>
      <c r="B48" s="7" t="s">
        <v>751</v>
      </c>
      <c r="C48" s="5"/>
      <c r="D48" s="5">
        <v>150000</v>
      </c>
    </row>
    <row r="49" spans="1:4" ht="15.75">
      <c r="A49" s="3">
        <v>45935</v>
      </c>
      <c r="B49" s="7" t="s">
        <v>640</v>
      </c>
      <c r="C49" s="7"/>
      <c r="D49" s="5">
        <v>15000000</v>
      </c>
    </row>
    <row r="50" spans="1:4" ht="15.75">
      <c r="A50" s="3">
        <v>45935</v>
      </c>
      <c r="B50" s="4" t="s">
        <v>518</v>
      </c>
      <c r="C50" s="7"/>
      <c r="D50" s="5">
        <v>222000</v>
      </c>
    </row>
    <row r="51" spans="1:4" ht="15.75">
      <c r="A51" s="3">
        <v>45935</v>
      </c>
      <c r="B51" s="7" t="s">
        <v>779</v>
      </c>
      <c r="C51" s="7"/>
      <c r="D51" s="5">
        <v>300000</v>
      </c>
    </row>
    <row r="52" spans="1:4" ht="15.75">
      <c r="A52" s="3">
        <v>45936</v>
      </c>
      <c r="B52" s="7" t="s">
        <v>6</v>
      </c>
      <c r="C52" s="7"/>
      <c r="D52" s="5">
        <v>50000000</v>
      </c>
    </row>
    <row r="53" spans="1:4" ht="15.75">
      <c r="A53" s="3">
        <v>45937</v>
      </c>
      <c r="B53" s="7" t="s">
        <v>780</v>
      </c>
      <c r="C53" s="7"/>
      <c r="D53" s="5">
        <v>2000000</v>
      </c>
    </row>
    <row r="54" spans="1:4" ht="15.75">
      <c r="A54" s="3">
        <v>45937</v>
      </c>
      <c r="B54" s="7" t="s">
        <v>10</v>
      </c>
      <c r="C54" s="5"/>
      <c r="D54" s="5">
        <v>2500</v>
      </c>
    </row>
    <row r="55" spans="1:4" ht="15.75">
      <c r="A55" s="3">
        <v>45937</v>
      </c>
      <c r="B55" s="7" t="s">
        <v>124</v>
      </c>
      <c r="C55" s="7"/>
      <c r="D55" s="5">
        <v>80000</v>
      </c>
    </row>
    <row r="56" spans="1:4" ht="15.75">
      <c r="A56" s="3">
        <v>45937</v>
      </c>
      <c r="B56" s="7" t="s">
        <v>781</v>
      </c>
      <c r="C56" s="7"/>
      <c r="D56" s="5">
        <v>1800000</v>
      </c>
    </row>
    <row r="57" spans="1:4" ht="15.75">
      <c r="A57" s="3">
        <v>45940</v>
      </c>
      <c r="B57" s="7" t="s">
        <v>782</v>
      </c>
      <c r="C57" s="7"/>
      <c r="D57" s="5">
        <v>7000000</v>
      </c>
    </row>
    <row r="58" spans="1:4" ht="15.75">
      <c r="A58" s="3">
        <v>45940</v>
      </c>
      <c r="B58" s="7" t="s">
        <v>783</v>
      </c>
      <c r="C58" s="7"/>
      <c r="D58" s="5">
        <v>280000</v>
      </c>
    </row>
    <row r="59" spans="1:4" ht="15.75">
      <c r="A59" s="3">
        <v>45940</v>
      </c>
      <c r="B59" s="7" t="s">
        <v>784</v>
      </c>
      <c r="C59" s="5"/>
      <c r="D59" s="5">
        <v>300000</v>
      </c>
    </row>
    <row r="60" spans="1:4" ht="15.75">
      <c r="A60" s="3">
        <v>45940</v>
      </c>
      <c r="B60" s="7" t="s">
        <v>785</v>
      </c>
      <c r="C60" s="7"/>
      <c r="D60" s="5">
        <v>1000000</v>
      </c>
    </row>
    <row r="61" spans="1:4" ht="15.75">
      <c r="A61" s="3">
        <v>45940</v>
      </c>
      <c r="B61" s="7" t="s">
        <v>786</v>
      </c>
      <c r="C61" s="7"/>
      <c r="D61" s="5">
        <v>753160</v>
      </c>
    </row>
    <row r="62" spans="1:4" ht="15.75">
      <c r="A62" s="3">
        <v>45941</v>
      </c>
      <c r="B62" s="7" t="s">
        <v>787</v>
      </c>
      <c r="C62" s="7"/>
      <c r="D62" s="48">
        <v>30300000</v>
      </c>
    </row>
    <row r="63" spans="1:4" ht="15.75">
      <c r="A63" s="3">
        <v>45941</v>
      </c>
      <c r="B63" s="7" t="s">
        <v>10</v>
      </c>
      <c r="C63" s="7"/>
      <c r="D63" s="5">
        <v>2500</v>
      </c>
    </row>
    <row r="64" spans="1:4" ht="15.75">
      <c r="A64" s="3">
        <v>45941</v>
      </c>
      <c r="B64" s="7" t="s">
        <v>788</v>
      </c>
      <c r="C64" s="5"/>
      <c r="D64" s="5">
        <v>118019306</v>
      </c>
    </row>
    <row r="65" spans="1:4" ht="15.75">
      <c r="A65" s="3">
        <v>45941</v>
      </c>
      <c r="B65" s="7" t="s">
        <v>789</v>
      </c>
      <c r="C65" s="7"/>
      <c r="D65" s="5">
        <v>476663</v>
      </c>
    </row>
    <row r="66" spans="1:4" ht="15.75">
      <c r="A66" s="3">
        <v>45941</v>
      </c>
      <c r="B66" s="7" t="s">
        <v>790</v>
      </c>
      <c r="C66" s="5"/>
      <c r="D66" s="5">
        <v>47425690</v>
      </c>
    </row>
    <row r="67" spans="1:4" ht="15.75">
      <c r="A67" s="3">
        <v>45941</v>
      </c>
      <c r="B67" s="7" t="s">
        <v>791</v>
      </c>
      <c r="C67" s="7"/>
      <c r="D67" s="5">
        <v>20250000</v>
      </c>
    </row>
    <row r="68" spans="1:4" ht="15.75">
      <c r="A68" s="3">
        <v>45941</v>
      </c>
      <c r="B68" s="7" t="s">
        <v>792</v>
      </c>
      <c r="C68" s="7"/>
      <c r="D68" s="5">
        <v>30499999</v>
      </c>
    </row>
    <row r="69" spans="1:4" ht="15.75">
      <c r="A69" s="3">
        <v>45942</v>
      </c>
      <c r="B69" s="7" t="s">
        <v>793</v>
      </c>
      <c r="C69" s="7"/>
      <c r="D69" s="5">
        <v>500000</v>
      </c>
    </row>
    <row r="70" spans="1:4" ht="15.75">
      <c r="A70" s="3">
        <v>45942</v>
      </c>
      <c r="B70" s="7" t="s">
        <v>761</v>
      </c>
      <c r="C70" s="7"/>
      <c r="D70" s="5">
        <v>500000</v>
      </c>
    </row>
    <row r="71" spans="1:4" ht="15.75">
      <c r="A71" s="3">
        <v>45942</v>
      </c>
      <c r="B71" s="7" t="s">
        <v>751</v>
      </c>
      <c r="C71" s="5"/>
      <c r="D71" s="5">
        <v>150000</v>
      </c>
    </row>
    <row r="72" spans="1:4" ht="15.75">
      <c r="A72" s="3">
        <v>45942</v>
      </c>
      <c r="B72" s="7" t="s">
        <v>760</v>
      </c>
      <c r="C72" s="7"/>
      <c r="D72" s="5">
        <v>500000</v>
      </c>
    </row>
    <row r="73" spans="1:4" ht="15.75">
      <c r="A73" s="3">
        <v>45942</v>
      </c>
      <c r="B73" s="7" t="s">
        <v>6</v>
      </c>
      <c r="C73" s="7"/>
      <c r="D73" s="5">
        <v>15000000</v>
      </c>
    </row>
    <row r="74" spans="1:4" ht="15.75">
      <c r="A74" s="3">
        <v>45943</v>
      </c>
      <c r="B74" s="4" t="s">
        <v>794</v>
      </c>
      <c r="C74" s="7"/>
      <c r="D74" s="5">
        <v>371850</v>
      </c>
    </row>
    <row r="75" spans="1:4" ht="15.75">
      <c r="A75" s="3">
        <v>45943</v>
      </c>
      <c r="B75" s="7" t="s">
        <v>795</v>
      </c>
      <c r="C75" s="7"/>
      <c r="D75" s="5">
        <v>17550000</v>
      </c>
    </row>
    <row r="76" spans="1:4" ht="15.75">
      <c r="A76" s="3">
        <v>45943</v>
      </c>
      <c r="B76" s="7" t="s">
        <v>796</v>
      </c>
      <c r="C76" s="7"/>
      <c r="D76" s="5">
        <v>72000</v>
      </c>
    </row>
    <row r="77" spans="1:4" ht="15.75">
      <c r="A77" s="3">
        <v>45943</v>
      </c>
      <c r="B77" s="7" t="s">
        <v>797</v>
      </c>
      <c r="C77" s="7"/>
      <c r="D77" s="5">
        <v>5800000</v>
      </c>
    </row>
    <row r="78" spans="1:4" ht="15.75">
      <c r="A78" s="3">
        <v>45943</v>
      </c>
      <c r="B78" s="7" t="s">
        <v>10</v>
      </c>
      <c r="C78" s="7"/>
      <c r="D78" s="5">
        <v>2500</v>
      </c>
    </row>
    <row r="79" spans="1:4" ht="15.75">
      <c r="A79" s="3">
        <v>45944</v>
      </c>
      <c r="B79" s="7" t="s">
        <v>798</v>
      </c>
      <c r="C79" s="7"/>
      <c r="D79" s="5">
        <v>352000</v>
      </c>
    </row>
    <row r="80" spans="1:4" ht="15.75">
      <c r="A80" s="3">
        <v>45944</v>
      </c>
      <c r="B80" s="7" t="s">
        <v>10</v>
      </c>
      <c r="C80" s="5"/>
      <c r="D80" s="5">
        <v>2500</v>
      </c>
    </row>
    <row r="81" spans="1:4" ht="15.75">
      <c r="A81" s="3">
        <v>45944</v>
      </c>
      <c r="B81" s="7" t="s">
        <v>799</v>
      </c>
      <c r="C81" s="7"/>
      <c r="D81" s="5">
        <v>9000000</v>
      </c>
    </row>
    <row r="82" spans="1:4" ht="15.75">
      <c r="A82" s="3">
        <v>45944</v>
      </c>
      <c r="B82" s="7" t="s">
        <v>10</v>
      </c>
      <c r="C82" s="7"/>
      <c r="D82" s="5">
        <v>2500</v>
      </c>
    </row>
    <row r="83" spans="1:4" ht="15.75">
      <c r="A83" s="3">
        <v>45944</v>
      </c>
      <c r="B83" s="7" t="s">
        <v>800</v>
      </c>
      <c r="C83" s="7"/>
      <c r="D83" s="5">
        <v>9000000</v>
      </c>
    </row>
    <row r="84" spans="1:4" ht="15.75">
      <c r="A84" s="3">
        <v>45944</v>
      </c>
      <c r="B84" s="7" t="s">
        <v>10</v>
      </c>
      <c r="C84" s="7"/>
      <c r="D84" s="5">
        <v>2500</v>
      </c>
    </row>
    <row r="85" spans="1:4" ht="15.75">
      <c r="A85" s="3">
        <v>45944</v>
      </c>
      <c r="B85" s="7" t="s">
        <v>801</v>
      </c>
      <c r="C85" s="7"/>
      <c r="D85" s="5">
        <v>55000000</v>
      </c>
    </row>
    <row r="86" spans="1:4" ht="15.75">
      <c r="A86" s="3">
        <v>45944</v>
      </c>
      <c r="B86" s="7" t="s">
        <v>802</v>
      </c>
      <c r="C86" s="7"/>
      <c r="D86" s="5">
        <v>60999999</v>
      </c>
    </row>
    <row r="87" spans="1:4" ht="15.75">
      <c r="A87" s="3">
        <v>45944</v>
      </c>
      <c r="B87" s="7" t="s">
        <v>803</v>
      </c>
      <c r="C87" s="7"/>
      <c r="D87" s="5">
        <v>76249999</v>
      </c>
    </row>
    <row r="88" spans="1:4" ht="15.75">
      <c r="A88" s="3">
        <v>45944</v>
      </c>
      <c r="B88" s="7" t="s">
        <v>804</v>
      </c>
      <c r="C88" s="7"/>
      <c r="D88" s="5">
        <v>59999999</v>
      </c>
    </row>
    <row r="89" spans="1:4" ht="15.75">
      <c r="A89" s="3">
        <v>45944</v>
      </c>
      <c r="B89" s="7" t="s">
        <v>6</v>
      </c>
      <c r="C89" s="7"/>
      <c r="D89" s="5">
        <v>350000000</v>
      </c>
    </row>
    <row r="90" spans="1:4" ht="15.75">
      <c r="A90" s="3">
        <v>45945</v>
      </c>
      <c r="B90" s="7" t="s">
        <v>805</v>
      </c>
      <c r="C90" s="7"/>
      <c r="D90" s="5">
        <v>150000</v>
      </c>
    </row>
    <row r="91" spans="1:4" ht="15.75">
      <c r="A91" s="3">
        <v>45945</v>
      </c>
      <c r="B91" s="7" t="s">
        <v>806</v>
      </c>
      <c r="C91" s="7"/>
      <c r="D91" s="5">
        <v>1750000</v>
      </c>
    </row>
    <row r="92" spans="1:4" ht="15.75">
      <c r="A92" s="3">
        <v>45945</v>
      </c>
      <c r="B92" s="7" t="s">
        <v>124</v>
      </c>
      <c r="C92" s="7"/>
      <c r="D92" s="5">
        <v>1212000</v>
      </c>
    </row>
    <row r="93" spans="1:4" ht="15.75">
      <c r="A93" s="3">
        <v>45945</v>
      </c>
      <c r="B93" s="7" t="s">
        <v>780</v>
      </c>
      <c r="C93" s="7"/>
      <c r="D93" s="5">
        <v>1350000</v>
      </c>
    </row>
    <row r="94" spans="1:4" ht="15.75">
      <c r="A94" s="3">
        <v>45945</v>
      </c>
      <c r="B94" s="7" t="s">
        <v>10</v>
      </c>
      <c r="C94" s="7"/>
      <c r="D94" s="5">
        <v>2500</v>
      </c>
    </row>
    <row r="95" spans="1:4" ht="15.75">
      <c r="A95" s="3">
        <v>45945</v>
      </c>
      <c r="B95" s="7" t="s">
        <v>807</v>
      </c>
      <c r="C95" s="7"/>
      <c r="D95" s="5">
        <v>45670000</v>
      </c>
    </row>
    <row r="96" spans="1:4" ht="15.75">
      <c r="A96" s="3">
        <v>45945</v>
      </c>
      <c r="B96" s="7" t="s">
        <v>10</v>
      </c>
      <c r="C96" s="7"/>
      <c r="D96" s="5">
        <v>2500</v>
      </c>
    </row>
    <row r="97" spans="1:4" ht="15.75">
      <c r="A97" s="3">
        <v>45945</v>
      </c>
      <c r="B97" s="4" t="s">
        <v>808</v>
      </c>
      <c r="C97" s="7"/>
      <c r="D97" s="5">
        <v>22885000</v>
      </c>
    </row>
    <row r="98" spans="1:4" ht="15.75">
      <c r="A98" s="3">
        <v>45945</v>
      </c>
      <c r="B98" s="7" t="s">
        <v>10</v>
      </c>
      <c r="C98" s="7"/>
      <c r="D98" s="5">
        <v>2500</v>
      </c>
    </row>
    <row r="99" spans="1:4" ht="15.75">
      <c r="A99" s="3">
        <v>45945</v>
      </c>
      <c r="B99" s="7" t="s">
        <v>786</v>
      </c>
      <c r="C99" s="7"/>
      <c r="D99" s="5">
        <v>325100</v>
      </c>
    </row>
    <row r="100" spans="1:4" ht="15.75">
      <c r="A100" s="3">
        <v>45945</v>
      </c>
      <c r="B100" s="7" t="s">
        <v>786</v>
      </c>
      <c r="C100" s="7"/>
      <c r="D100" s="5">
        <v>797100</v>
      </c>
    </row>
    <row r="101" spans="1:4" ht="15.75">
      <c r="A101" s="3">
        <v>45945</v>
      </c>
      <c r="B101" s="7" t="s">
        <v>809</v>
      </c>
      <c r="C101" s="7"/>
      <c r="D101" s="5">
        <v>9477000</v>
      </c>
    </row>
    <row r="102" spans="1:4" ht="15.75">
      <c r="A102" s="3">
        <v>45945</v>
      </c>
      <c r="B102" s="7" t="s">
        <v>10</v>
      </c>
      <c r="C102" s="5"/>
      <c r="D102" s="5">
        <v>2500</v>
      </c>
    </row>
    <row r="103" spans="1:4" ht="15.75">
      <c r="A103" s="3">
        <v>45946</v>
      </c>
      <c r="B103" s="7" t="s">
        <v>810</v>
      </c>
      <c r="C103" s="7"/>
      <c r="D103" s="5">
        <v>21500000</v>
      </c>
    </row>
    <row r="104" spans="1:4" ht="15.75">
      <c r="A104" s="3">
        <v>45946</v>
      </c>
      <c r="B104" s="7" t="s">
        <v>811</v>
      </c>
      <c r="C104" s="7"/>
      <c r="D104" s="5">
        <v>2432000</v>
      </c>
    </row>
    <row r="105" spans="1:4" ht="15.75">
      <c r="A105" s="3">
        <v>45946</v>
      </c>
      <c r="B105" s="7" t="s">
        <v>16</v>
      </c>
      <c r="C105" s="7"/>
      <c r="D105" s="5">
        <v>897200</v>
      </c>
    </row>
    <row r="106" spans="1:4" ht="15.75">
      <c r="A106" s="3">
        <v>45946</v>
      </c>
      <c r="B106" s="7" t="s">
        <v>812</v>
      </c>
      <c r="C106" s="7"/>
      <c r="D106" s="5">
        <v>285000</v>
      </c>
    </row>
    <row r="107" spans="1:4" ht="15.75">
      <c r="A107" s="3">
        <v>45946</v>
      </c>
      <c r="B107" s="7" t="s">
        <v>813</v>
      </c>
      <c r="C107" s="7"/>
      <c r="D107" s="5">
        <v>27500000</v>
      </c>
    </row>
    <row r="108" spans="1:4" ht="15.75">
      <c r="A108" s="3">
        <v>45946</v>
      </c>
      <c r="B108" s="7" t="s">
        <v>814</v>
      </c>
      <c r="C108" s="7"/>
      <c r="D108" s="5">
        <v>3000000</v>
      </c>
    </row>
    <row r="109" spans="1:4" ht="15.75">
      <c r="A109" s="3">
        <v>45946</v>
      </c>
      <c r="B109" s="7" t="s">
        <v>10</v>
      </c>
      <c r="C109" s="5"/>
      <c r="D109" s="5">
        <v>2500</v>
      </c>
    </row>
    <row r="110" spans="1:4" ht="15.75">
      <c r="A110" s="3">
        <v>45947</v>
      </c>
      <c r="B110" s="7" t="s">
        <v>815</v>
      </c>
      <c r="C110" s="7"/>
      <c r="D110" s="5">
        <v>4002000</v>
      </c>
    </row>
    <row r="111" spans="1:4" ht="15.75">
      <c r="A111" s="3">
        <v>45947</v>
      </c>
      <c r="B111" s="7" t="s">
        <v>10</v>
      </c>
      <c r="C111" s="7"/>
      <c r="D111" s="5">
        <v>2500</v>
      </c>
    </row>
    <row r="112" spans="1:4" ht="15.75">
      <c r="A112" s="3">
        <v>45947</v>
      </c>
      <c r="B112" s="7" t="s">
        <v>816</v>
      </c>
      <c r="C112" s="7"/>
      <c r="D112" s="5">
        <v>1019000</v>
      </c>
    </row>
    <row r="113" spans="1:4" ht="15.75">
      <c r="A113" s="3">
        <v>45947</v>
      </c>
      <c r="B113" s="7" t="s">
        <v>816</v>
      </c>
      <c r="C113" s="7"/>
      <c r="D113" s="5">
        <v>1019000</v>
      </c>
    </row>
    <row r="114" spans="1:4" ht="15.75">
      <c r="A114" s="3">
        <v>45948</v>
      </c>
      <c r="B114" s="7" t="s">
        <v>761</v>
      </c>
      <c r="C114" s="5"/>
      <c r="D114" s="5">
        <v>500000</v>
      </c>
    </row>
    <row r="115" spans="1:4" ht="15.75">
      <c r="A115" s="3">
        <v>45948</v>
      </c>
      <c r="B115" s="7" t="s">
        <v>760</v>
      </c>
      <c r="C115" s="7"/>
      <c r="D115" s="5">
        <v>500000</v>
      </c>
    </row>
    <row r="116" spans="1:4" ht="15.75">
      <c r="A116" s="3">
        <v>45948</v>
      </c>
      <c r="B116" s="7" t="s">
        <v>751</v>
      </c>
      <c r="C116" s="7"/>
      <c r="D116" s="5">
        <v>150000</v>
      </c>
    </row>
    <row r="117" spans="1:4" ht="15.75">
      <c r="A117" s="3">
        <v>45950</v>
      </c>
      <c r="B117" s="4" t="s">
        <v>817</v>
      </c>
      <c r="C117" s="5"/>
      <c r="D117" s="5">
        <v>20520900</v>
      </c>
    </row>
    <row r="118" spans="1:4" ht="15.75">
      <c r="A118" s="3">
        <v>45950</v>
      </c>
      <c r="B118" s="4" t="s">
        <v>818</v>
      </c>
      <c r="C118" s="7"/>
      <c r="D118" s="5">
        <v>36397927</v>
      </c>
    </row>
    <row r="119" spans="1:4" ht="15.75">
      <c r="A119" s="3">
        <v>45950</v>
      </c>
      <c r="B119" s="7" t="s">
        <v>10</v>
      </c>
      <c r="C119" s="4"/>
      <c r="D119" s="5">
        <v>2500</v>
      </c>
    </row>
    <row r="120" spans="1:4" ht="15.75">
      <c r="A120" s="3">
        <v>45950</v>
      </c>
      <c r="B120" s="4" t="s">
        <v>758</v>
      </c>
      <c r="C120" s="4"/>
      <c r="D120" s="44">
        <v>25000000</v>
      </c>
    </row>
    <row r="121" spans="1:4" ht="15.75">
      <c r="A121" s="3">
        <v>45950</v>
      </c>
      <c r="B121" s="7" t="s">
        <v>10</v>
      </c>
      <c r="C121" s="7"/>
      <c r="D121" s="5">
        <v>2500</v>
      </c>
    </row>
    <row r="122" spans="1:4" ht="15.75">
      <c r="A122" s="3">
        <v>45951</v>
      </c>
      <c r="B122" s="7" t="s">
        <v>819</v>
      </c>
      <c r="C122" s="5"/>
      <c r="D122" s="5">
        <v>470000</v>
      </c>
    </row>
    <row r="123" spans="1:4" ht="15.75">
      <c r="A123" s="3">
        <v>45951</v>
      </c>
      <c r="B123" s="7" t="s">
        <v>820</v>
      </c>
      <c r="C123" s="7"/>
      <c r="D123" s="5">
        <v>1000000</v>
      </c>
    </row>
    <row r="124" spans="1:4" ht="15.75">
      <c r="A124" s="3">
        <v>45951</v>
      </c>
      <c r="B124" s="7" t="s">
        <v>124</v>
      </c>
      <c r="C124" s="7"/>
      <c r="D124" s="5">
        <v>80000</v>
      </c>
    </row>
    <row r="125" spans="1:4" ht="15.75">
      <c r="A125" s="3">
        <v>45951</v>
      </c>
      <c r="B125" s="7" t="s">
        <v>821</v>
      </c>
      <c r="C125" s="7"/>
      <c r="D125" s="5">
        <v>530000</v>
      </c>
    </row>
    <row r="126" spans="1:4" ht="15.75">
      <c r="A126" s="3">
        <v>45951</v>
      </c>
      <c r="B126" s="7" t="s">
        <v>822</v>
      </c>
      <c r="C126" s="7"/>
      <c r="D126" s="5">
        <v>363750</v>
      </c>
    </row>
    <row r="127" spans="1:4" ht="15.75">
      <c r="A127" s="3">
        <v>45951</v>
      </c>
      <c r="B127" s="7" t="s">
        <v>823</v>
      </c>
      <c r="C127" s="7"/>
      <c r="D127" s="5">
        <v>2143494</v>
      </c>
    </row>
    <row r="128" spans="1:4" ht="15.75">
      <c r="A128" s="3">
        <v>45951</v>
      </c>
      <c r="B128" s="7" t="s">
        <v>824</v>
      </c>
      <c r="C128" s="7"/>
      <c r="D128" s="5">
        <v>5478720</v>
      </c>
    </row>
    <row r="129" spans="1:4" ht="15.75">
      <c r="A129" s="3">
        <v>45952</v>
      </c>
      <c r="B129" s="4" t="s">
        <v>805</v>
      </c>
      <c r="C129" s="7"/>
      <c r="D129" s="5">
        <v>50000</v>
      </c>
    </row>
    <row r="130" spans="1:4" ht="15.75">
      <c r="A130" s="3">
        <v>45952</v>
      </c>
      <c r="B130" s="7" t="s">
        <v>825</v>
      </c>
      <c r="C130" s="7"/>
      <c r="D130" s="5">
        <v>50000</v>
      </c>
    </row>
    <row r="131" spans="1:4" ht="15.75">
      <c r="A131" s="3">
        <v>45952</v>
      </c>
      <c r="B131" s="7" t="s">
        <v>826</v>
      </c>
      <c r="C131" s="7"/>
      <c r="D131" s="5">
        <v>1300000</v>
      </c>
    </row>
    <row r="132" spans="1:4" ht="15.75">
      <c r="A132" s="3">
        <v>45952</v>
      </c>
      <c r="B132" s="7" t="s">
        <v>10</v>
      </c>
      <c r="C132" s="7"/>
      <c r="D132" s="5">
        <v>2500</v>
      </c>
    </row>
    <row r="133" spans="1:4" ht="15.75">
      <c r="A133" s="3">
        <v>45953</v>
      </c>
      <c r="B133" s="4" t="s">
        <v>827</v>
      </c>
      <c r="C133" s="7"/>
      <c r="D133" s="5">
        <v>3535000</v>
      </c>
    </row>
    <row r="134" spans="1:4" ht="15.75">
      <c r="A134" s="3">
        <v>45953</v>
      </c>
      <c r="B134" s="7" t="s">
        <v>10</v>
      </c>
      <c r="C134" s="7"/>
      <c r="D134" s="5">
        <v>2500</v>
      </c>
    </row>
    <row r="135" spans="1:4" ht="15.75">
      <c r="A135" s="3">
        <v>45953</v>
      </c>
      <c r="B135" s="4" t="s">
        <v>828</v>
      </c>
      <c r="C135" s="4"/>
      <c r="D135" s="5">
        <v>4905000</v>
      </c>
    </row>
    <row r="136" spans="1:4" ht="15.75">
      <c r="A136" s="3">
        <v>45953</v>
      </c>
      <c r="B136" s="7" t="s">
        <v>10</v>
      </c>
      <c r="C136" s="7"/>
      <c r="D136" s="5">
        <v>2500</v>
      </c>
    </row>
    <row r="137" spans="1:4" ht="15.75">
      <c r="A137" s="3">
        <v>45954</v>
      </c>
      <c r="B137" s="7" t="s">
        <v>829</v>
      </c>
      <c r="C137" s="5"/>
      <c r="D137" s="5">
        <v>7880000</v>
      </c>
    </row>
    <row r="138" spans="1:4" ht="15.75">
      <c r="A138" s="3">
        <v>45954</v>
      </c>
      <c r="B138" s="7" t="s">
        <v>10</v>
      </c>
      <c r="C138" s="7"/>
      <c r="D138" s="5">
        <v>2500</v>
      </c>
    </row>
    <row r="139" spans="1:4" ht="15.75">
      <c r="A139" s="3">
        <v>45954</v>
      </c>
      <c r="B139" s="49" t="s">
        <v>830</v>
      </c>
      <c r="C139" s="7"/>
      <c r="D139" s="5">
        <v>9781330</v>
      </c>
    </row>
    <row r="140" spans="1:4" ht="15.75">
      <c r="A140" s="3">
        <v>45954</v>
      </c>
      <c r="B140" s="7" t="s">
        <v>831</v>
      </c>
      <c r="C140" s="7"/>
      <c r="D140" s="5">
        <v>9000000</v>
      </c>
    </row>
    <row r="141" spans="1:4" ht="15.75">
      <c r="A141" s="3">
        <v>45954</v>
      </c>
      <c r="B141" s="7" t="s">
        <v>10</v>
      </c>
      <c r="C141" s="5"/>
      <c r="D141" s="5">
        <v>2500</v>
      </c>
    </row>
    <row r="142" spans="1:4" ht="15.75">
      <c r="A142" s="3">
        <v>45954</v>
      </c>
      <c r="B142" s="7" t="s">
        <v>832</v>
      </c>
      <c r="C142" s="7"/>
      <c r="D142" s="5">
        <v>650000</v>
      </c>
    </row>
    <row r="143" spans="1:4" ht="15.75">
      <c r="A143" s="3">
        <v>45954</v>
      </c>
      <c r="B143" s="7" t="s">
        <v>10</v>
      </c>
      <c r="C143" s="7"/>
      <c r="D143" s="5">
        <v>2500</v>
      </c>
    </row>
    <row r="144" spans="1:4" ht="15.75">
      <c r="A144" s="3">
        <v>45954</v>
      </c>
      <c r="B144" s="7" t="s">
        <v>780</v>
      </c>
      <c r="C144" s="7"/>
      <c r="D144" s="5">
        <v>800000</v>
      </c>
    </row>
    <row r="145" spans="1:4" ht="15.75">
      <c r="A145" s="3">
        <v>45954</v>
      </c>
      <c r="B145" s="7" t="s">
        <v>10</v>
      </c>
      <c r="C145" s="7"/>
      <c r="D145" s="5">
        <v>2500</v>
      </c>
    </row>
    <row r="146" spans="1:4" ht="15.75">
      <c r="A146" s="3">
        <v>45954</v>
      </c>
      <c r="B146" s="7" t="s">
        <v>833</v>
      </c>
      <c r="C146" s="7"/>
      <c r="D146" s="5">
        <v>5000000</v>
      </c>
    </row>
    <row r="147" spans="1:4" ht="15.75">
      <c r="A147" s="3">
        <v>45955</v>
      </c>
      <c r="B147" s="7" t="s">
        <v>834</v>
      </c>
      <c r="C147" s="7"/>
      <c r="D147" s="5">
        <v>18409600</v>
      </c>
    </row>
    <row r="148" spans="1:4" ht="15.75">
      <c r="A148" s="3">
        <v>45956</v>
      </c>
      <c r="B148" s="7" t="s">
        <v>751</v>
      </c>
      <c r="C148" s="5"/>
      <c r="D148" s="5">
        <v>150000</v>
      </c>
    </row>
    <row r="149" spans="1:4" ht="15.75">
      <c r="A149" s="3">
        <v>45956</v>
      </c>
      <c r="B149" s="7" t="s">
        <v>760</v>
      </c>
      <c r="C149" s="7"/>
      <c r="D149" s="5">
        <v>500000</v>
      </c>
    </row>
    <row r="150" spans="1:4" ht="15.75">
      <c r="A150" s="3">
        <v>45956</v>
      </c>
      <c r="B150" s="7" t="s">
        <v>835</v>
      </c>
      <c r="C150" s="5"/>
      <c r="D150" s="5">
        <v>5000000</v>
      </c>
    </row>
    <row r="151" spans="1:4" ht="15.75">
      <c r="A151" s="3">
        <v>45956</v>
      </c>
      <c r="B151" s="7" t="s">
        <v>10</v>
      </c>
      <c r="C151" s="7"/>
      <c r="D151" s="5">
        <v>2500</v>
      </c>
    </row>
    <row r="152" spans="1:4" ht="15.75">
      <c r="A152" s="3">
        <v>45957</v>
      </c>
      <c r="B152" s="7" t="s">
        <v>836</v>
      </c>
      <c r="C152" s="7"/>
      <c r="D152" s="5">
        <v>6775000</v>
      </c>
    </row>
    <row r="153" spans="1:4" ht="15.75">
      <c r="A153" s="3">
        <v>45957</v>
      </c>
      <c r="B153" s="7" t="s">
        <v>10</v>
      </c>
      <c r="C153" s="7"/>
      <c r="D153" s="5">
        <v>2500</v>
      </c>
    </row>
    <row r="154" spans="1:4" ht="15.75">
      <c r="A154" s="3">
        <v>45957</v>
      </c>
      <c r="B154" s="7" t="s">
        <v>837</v>
      </c>
      <c r="C154" s="7"/>
      <c r="D154" s="5">
        <v>644000</v>
      </c>
    </row>
    <row r="155" spans="1:4" ht="15.75">
      <c r="A155" s="3">
        <v>45957</v>
      </c>
      <c r="B155" s="7" t="s">
        <v>10</v>
      </c>
      <c r="C155" s="7"/>
      <c r="D155" s="5">
        <v>2500</v>
      </c>
    </row>
    <row r="156" spans="1:4" ht="15.75">
      <c r="A156" s="3">
        <v>45958</v>
      </c>
      <c r="B156" s="7" t="s">
        <v>640</v>
      </c>
      <c r="C156" s="7"/>
      <c r="D156" s="5">
        <v>7000000</v>
      </c>
    </row>
    <row r="157" spans="1:4" ht="15.75">
      <c r="A157" s="3">
        <v>45958</v>
      </c>
      <c r="B157" s="4" t="s">
        <v>838</v>
      </c>
      <c r="C157" s="7"/>
      <c r="D157" s="5">
        <v>5780000</v>
      </c>
    </row>
    <row r="158" spans="1:4" ht="15.75">
      <c r="A158" s="3">
        <v>45958</v>
      </c>
      <c r="B158" s="7" t="s">
        <v>10</v>
      </c>
      <c r="C158" s="7"/>
      <c r="D158" s="5">
        <v>2500</v>
      </c>
    </row>
    <row r="159" spans="1:4" ht="15.75">
      <c r="A159" s="3">
        <v>45958</v>
      </c>
      <c r="B159" s="7" t="s">
        <v>839</v>
      </c>
      <c r="C159" s="5"/>
      <c r="D159" s="5">
        <v>15000000</v>
      </c>
    </row>
    <row r="160" spans="1:4" ht="15.75">
      <c r="A160" s="3">
        <v>45958</v>
      </c>
      <c r="B160" s="7" t="s">
        <v>10</v>
      </c>
      <c r="C160" s="7"/>
      <c r="D160" s="5">
        <v>2500</v>
      </c>
    </row>
    <row r="161" spans="1:4" ht="15.75">
      <c r="A161" s="3">
        <v>45958</v>
      </c>
      <c r="B161" s="7" t="s">
        <v>840</v>
      </c>
      <c r="C161" s="7"/>
      <c r="D161" s="5">
        <v>25000000</v>
      </c>
    </row>
    <row r="162" spans="1:4" ht="15.75">
      <c r="A162" s="3">
        <v>45958</v>
      </c>
      <c r="B162" s="7" t="s">
        <v>10</v>
      </c>
      <c r="C162" s="7"/>
      <c r="D162" s="5">
        <v>2500</v>
      </c>
    </row>
    <row r="163" spans="1:4" ht="15.75">
      <c r="A163" s="3">
        <v>45958</v>
      </c>
      <c r="B163" s="4" t="s">
        <v>841</v>
      </c>
      <c r="C163" s="7"/>
      <c r="D163" s="5">
        <v>10945000</v>
      </c>
    </row>
    <row r="164" spans="1:4" ht="15.75">
      <c r="A164" s="3">
        <v>45958</v>
      </c>
      <c r="B164" s="7" t="s">
        <v>10</v>
      </c>
      <c r="C164" s="7"/>
      <c r="D164" s="5">
        <v>2500</v>
      </c>
    </row>
    <row r="165" spans="1:4" ht="15.75">
      <c r="A165" s="3">
        <v>45958</v>
      </c>
      <c r="B165" s="4" t="s">
        <v>842</v>
      </c>
      <c r="C165" s="7"/>
      <c r="D165" s="5">
        <v>24974500</v>
      </c>
    </row>
    <row r="166" spans="1:4" ht="15.75">
      <c r="A166" s="3">
        <v>45958</v>
      </c>
      <c r="B166" s="7" t="s">
        <v>10</v>
      </c>
      <c r="C166" s="5"/>
      <c r="D166" s="5">
        <v>2500</v>
      </c>
    </row>
    <row r="167" spans="1:4" ht="15.75">
      <c r="A167" s="3">
        <v>45958</v>
      </c>
      <c r="B167" s="7" t="s">
        <v>843</v>
      </c>
      <c r="C167" s="7"/>
      <c r="D167" s="5">
        <v>8740000</v>
      </c>
    </row>
    <row r="168" spans="1:4" ht="15.75">
      <c r="A168" s="3">
        <v>45958</v>
      </c>
      <c r="B168" s="7" t="s">
        <v>10</v>
      </c>
      <c r="C168" s="7"/>
      <c r="D168" s="5">
        <v>2500</v>
      </c>
    </row>
    <row r="169" spans="1:4" ht="15.75">
      <c r="A169" s="3">
        <v>45958</v>
      </c>
      <c r="B169" s="4" t="s">
        <v>844</v>
      </c>
      <c r="C169" s="7"/>
      <c r="D169" s="5">
        <v>127413121</v>
      </c>
    </row>
    <row r="170" spans="1:4" ht="15.75">
      <c r="A170" s="3">
        <v>45958</v>
      </c>
      <c r="B170" s="7" t="s">
        <v>845</v>
      </c>
      <c r="C170" s="7"/>
      <c r="D170" s="5">
        <v>2800000</v>
      </c>
    </row>
    <row r="171" spans="1:4" ht="15.75">
      <c r="A171" s="3">
        <v>45959</v>
      </c>
      <c r="B171" s="7" t="s">
        <v>805</v>
      </c>
      <c r="C171" s="7"/>
      <c r="D171" s="5">
        <v>200000</v>
      </c>
    </row>
    <row r="172" spans="1:4" ht="15.75">
      <c r="A172" s="3">
        <v>45959</v>
      </c>
      <c r="B172" s="7" t="s">
        <v>846</v>
      </c>
      <c r="C172" s="7"/>
      <c r="D172" s="5">
        <v>17525000</v>
      </c>
    </row>
    <row r="173" spans="1:4" ht="15.75">
      <c r="A173" s="3">
        <v>45959</v>
      </c>
      <c r="B173" s="7" t="s">
        <v>847</v>
      </c>
      <c r="C173" s="5"/>
      <c r="D173" s="5">
        <v>20000000</v>
      </c>
    </row>
    <row r="174" spans="1:4" ht="15.75">
      <c r="A174" s="3">
        <v>45959</v>
      </c>
      <c r="B174" s="7" t="s">
        <v>10</v>
      </c>
      <c r="C174" s="7"/>
      <c r="D174" s="5">
        <v>2500</v>
      </c>
    </row>
    <row r="175" spans="1:4" ht="15.75">
      <c r="A175" s="3">
        <v>45959</v>
      </c>
      <c r="B175" s="7" t="s">
        <v>848</v>
      </c>
      <c r="C175" s="7"/>
      <c r="D175" s="5">
        <v>10240000</v>
      </c>
    </row>
    <row r="176" spans="1:4" ht="15.75">
      <c r="A176" s="3">
        <v>45959</v>
      </c>
      <c r="B176" s="7" t="s">
        <v>10</v>
      </c>
      <c r="C176" s="7"/>
      <c r="D176" s="5">
        <v>2500</v>
      </c>
    </row>
    <row r="177" spans="1:4" ht="15.75">
      <c r="A177" s="3">
        <v>45959</v>
      </c>
      <c r="B177" s="7" t="s">
        <v>849</v>
      </c>
      <c r="C177" s="5"/>
      <c r="D177" s="5">
        <v>128000</v>
      </c>
    </row>
    <row r="178" spans="1:4" ht="15.75">
      <c r="A178" s="3">
        <v>45959</v>
      </c>
      <c r="B178" s="7" t="s">
        <v>10</v>
      </c>
      <c r="C178" s="7"/>
      <c r="D178" s="5">
        <v>2500</v>
      </c>
    </row>
    <row r="179" spans="1:4" ht="15.75">
      <c r="A179" s="3">
        <v>45960</v>
      </c>
      <c r="B179" s="4" t="s">
        <v>775</v>
      </c>
      <c r="C179" s="7"/>
      <c r="D179" s="5">
        <v>3000000</v>
      </c>
    </row>
    <row r="180" spans="1:4" ht="15.75">
      <c r="A180" s="3">
        <v>45961</v>
      </c>
      <c r="B180" s="4" t="s">
        <v>850</v>
      </c>
      <c r="C180" s="7"/>
      <c r="D180" s="5">
        <v>125000000</v>
      </c>
    </row>
    <row r="181" spans="1:4" ht="15.75">
      <c r="A181" s="3">
        <v>45961</v>
      </c>
      <c r="B181" s="7" t="s">
        <v>10</v>
      </c>
      <c r="C181" s="7"/>
      <c r="D181" s="5">
        <v>2500</v>
      </c>
    </row>
    <row r="182" spans="1:4" ht="15.75">
      <c r="A182" s="3">
        <v>45961</v>
      </c>
      <c r="B182" s="7" t="s">
        <v>851</v>
      </c>
      <c r="C182" s="7"/>
      <c r="D182" s="5">
        <v>2812001</v>
      </c>
    </row>
    <row r="183" spans="1:4" ht="15.75">
      <c r="A183" s="3">
        <v>45961</v>
      </c>
      <c r="B183" s="7" t="s">
        <v>852</v>
      </c>
      <c r="C183" s="7"/>
      <c r="D183" s="5">
        <v>31100000</v>
      </c>
    </row>
    <row r="184" spans="1:4" ht="15.75">
      <c r="A184" s="3">
        <v>45961</v>
      </c>
      <c r="B184" s="7" t="s">
        <v>853</v>
      </c>
      <c r="C184" s="7"/>
      <c r="D184" s="5">
        <v>25999996</v>
      </c>
    </row>
    <row r="185" spans="1:4" ht="15.75">
      <c r="A185" s="3">
        <v>45961</v>
      </c>
      <c r="B185" s="7" t="s">
        <v>854</v>
      </c>
      <c r="C185" s="7"/>
      <c r="D185" s="5">
        <v>47099997</v>
      </c>
    </row>
    <row r="186" spans="1:4" ht="15.75">
      <c r="A186" s="3">
        <v>45961</v>
      </c>
      <c r="B186" s="7" t="s">
        <v>855</v>
      </c>
      <c r="C186" s="7"/>
      <c r="D186" s="5">
        <v>12200000</v>
      </c>
    </row>
    <row r="187" spans="1:4" ht="15.75">
      <c r="A187" s="3">
        <v>45961</v>
      </c>
      <c r="B187" s="7" t="s">
        <v>856</v>
      </c>
      <c r="C187" s="7"/>
      <c r="D187" s="5">
        <v>8400000</v>
      </c>
    </row>
    <row r="188" spans="1:4" ht="15.75">
      <c r="A188" s="3">
        <v>45961</v>
      </c>
      <c r="B188" s="7" t="s">
        <v>857</v>
      </c>
      <c r="C188" s="7"/>
      <c r="D188" s="5">
        <v>8700000</v>
      </c>
    </row>
    <row r="189" spans="1:4" ht="15.75">
      <c r="A189" s="3">
        <v>45961</v>
      </c>
      <c r="B189" s="7" t="s">
        <v>10</v>
      </c>
      <c r="C189" s="7"/>
      <c r="D189" s="5">
        <v>2500</v>
      </c>
    </row>
    <row r="190" spans="1:4" ht="15.75">
      <c r="A190" s="3">
        <v>45961</v>
      </c>
      <c r="B190" s="7" t="s">
        <v>858</v>
      </c>
      <c r="C190" s="7"/>
      <c r="D190" s="5">
        <v>18150000</v>
      </c>
    </row>
    <row r="191" spans="1:4" ht="15.75">
      <c r="A191" s="3">
        <v>45961</v>
      </c>
      <c r="B191" s="7" t="s">
        <v>10</v>
      </c>
      <c r="C191" s="7"/>
      <c r="D191" s="5">
        <v>2500</v>
      </c>
    </row>
    <row r="192" spans="1:4" ht="15.75">
      <c r="A192" s="3">
        <v>45961</v>
      </c>
      <c r="B192" s="7" t="s">
        <v>859</v>
      </c>
      <c r="C192" s="7"/>
      <c r="D192" s="5">
        <v>90000000</v>
      </c>
    </row>
    <row r="193" spans="1:4" ht="15.75">
      <c r="A193" s="3">
        <v>45961</v>
      </c>
      <c r="B193" s="7" t="s">
        <v>10</v>
      </c>
      <c r="C193" s="7"/>
      <c r="D193" s="5">
        <v>2500</v>
      </c>
    </row>
    <row r="194" spans="1:4" ht="15.75">
      <c r="A194" s="3"/>
      <c r="B194" s="4" t="s">
        <v>258</v>
      </c>
      <c r="C194" s="5"/>
      <c r="D194" s="5">
        <v>30000</v>
      </c>
    </row>
    <row r="195" spans="1:4" ht="15.75">
      <c r="A195" s="3"/>
      <c r="B195" s="4" t="s">
        <v>70</v>
      </c>
      <c r="C195" s="19"/>
      <c r="D195" s="19">
        <v>11037.97</v>
      </c>
    </row>
    <row r="196" spans="1:4" ht="15.75">
      <c r="A196" s="3"/>
      <c r="B196" s="4"/>
      <c r="C196" s="19"/>
      <c r="D196" s="19"/>
    </row>
    <row r="197" spans="1:4" ht="15.75">
      <c r="A197" s="3"/>
      <c r="B197" s="4"/>
      <c r="C197" s="7"/>
      <c r="D197" s="5"/>
    </row>
    <row r="198" spans="1:4" ht="15.75">
      <c r="A198" s="3"/>
      <c r="B198" s="4"/>
      <c r="C198" s="7"/>
      <c r="D198" s="5"/>
    </row>
    <row r="199" spans="1:4" ht="15.75">
      <c r="A199" s="3"/>
      <c r="B199" s="4"/>
      <c r="C199" s="19"/>
      <c r="D199" s="19">
        <f>SUM(D5:D198)</f>
        <v>2330358936.9699998</v>
      </c>
    </row>
    <row r="200" spans="1:4" ht="15.75">
      <c r="A200" s="3"/>
      <c r="B200" s="4"/>
      <c r="C200" s="19"/>
      <c r="D200" s="19">
        <v>2330358936.9699998</v>
      </c>
    </row>
    <row r="201" spans="1:4" ht="15.75">
      <c r="A201" s="3"/>
      <c r="B201" s="4"/>
      <c r="C201" s="7"/>
      <c r="D201" s="5"/>
    </row>
    <row r="202" spans="1:4" ht="15.75"/>
    <row r="203" spans="1:4" ht="15.75"/>
    <row r="204" spans="1:4" ht="15.75"/>
    <row r="205" spans="1:4" ht="15.75"/>
    <row r="206" spans="1:4" ht="15.75"/>
    <row r="207" spans="1:4" ht="15.75"/>
    <row r="208" spans="1:4" ht="15.75"/>
    <row r="209" ht="15.75"/>
    <row r="210" ht="15.75"/>
    <row r="211" ht="15.75"/>
    <row r="212" ht="15.75"/>
    <row r="213" ht="15.75"/>
    <row r="214" ht="15.75"/>
    <row r="215" ht="15.75"/>
    <row r="216" ht="15.75"/>
    <row r="217" ht="15.7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bryan surya</dc:creator>
  <cp:keywords/>
  <dc:description/>
  <cp:lastModifiedBy>Brady Surya Sie</cp:lastModifiedBy>
  <cp:revision/>
  <dcterms:created xsi:type="dcterms:W3CDTF">2025-11-09T15:01:28Z</dcterms:created>
  <dcterms:modified xsi:type="dcterms:W3CDTF">2025-11-24T12:46:09Z</dcterms:modified>
  <cp:category/>
  <cp:contentStatus/>
</cp:coreProperties>
</file>