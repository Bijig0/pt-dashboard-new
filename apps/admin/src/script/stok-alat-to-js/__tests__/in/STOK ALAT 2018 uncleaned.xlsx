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autoCompressPictures="0"/>
  <bookViews>
    <workbookView xWindow="0" yWindow="0" windowWidth="27320" windowHeight="13320" tabRatio="595" firstSheet="90" activeTab="94"/>
  </bookViews>
  <sheets>
    <sheet name="MF 190(DTF101A)" sheetId="1" r:id="rId1"/>
    <sheet name="MF170(DTF101)" sheetId="2" r:id="rId2"/>
    <sheet name="MF150" sheetId="3" r:id="rId3"/>
    <sheet name="LD120" sheetId="4" r:id="rId4"/>
    <sheet name="LD90(STF90)" sheetId="5" r:id="rId5"/>
    <sheet name="LD50" sheetId="6" r:id="rId6"/>
    <sheet name="CB220(301A)" sheetId="7" r:id="rId7"/>
    <sheet name="CB193" sheetId="8" r:id="rId8"/>
    <sheet name="CB185" sheetId="9" r:id="rId9"/>
    <sheet name="CB172(173)" sheetId="10" r:id="rId10"/>
    <sheet name="CB 205" sheetId="11" r:id="rId11"/>
    <sheet name="CB136" sheetId="12" r:id="rId12"/>
    <sheet name="JOIN PIN" sheetId="13" r:id="rId13"/>
    <sheet name="JB 60" sheetId="14" r:id="rId14"/>
    <sheet name="UHEAD 60" sheetId="15" r:id="rId15"/>
    <sheet name="JB40" sheetId="16" r:id="rId16"/>
    <sheet name="UH40" sheetId="17" r:id="rId17"/>
    <sheet name="TIANG.TANGGA" sheetId="394" r:id="rId18"/>
    <sheet name="STAIR" sheetId="18" r:id="rId19"/>
    <sheet name="CAT WALK" sheetId="19" r:id="rId20"/>
    <sheet name="PIPA SUPORT" sheetId="20" r:id="rId21"/>
    <sheet name="SWIVEL CLAMP" sheetId="21" r:id="rId22"/>
    <sheet name="PIPE 1 M" sheetId="22" r:id="rId23"/>
    <sheet name="PIPE 2 M" sheetId="23" r:id="rId24"/>
    <sheet name="PIPE 3 M" sheetId="24" r:id="rId25"/>
    <sheet name="PIPE 4 M" sheetId="25" r:id="rId26"/>
    <sheet name="PIPE 5 M" sheetId="26" r:id="rId27"/>
    <sheet name="PIPE 6 M" sheetId="27" r:id="rId28"/>
    <sheet name="HB" sheetId="28" r:id="rId29"/>
    <sheet name="RODA" sheetId="29" r:id="rId30"/>
    <sheet name="UH 85" sheetId="30" r:id="rId31"/>
    <sheet name="JB PCH 85CM" sheetId="31" r:id="rId32"/>
    <sheet name="JB 55CM" sheetId="32" r:id="rId33"/>
    <sheet name="BODY HARNESS" sheetId="243" r:id="rId34"/>
    <sheet name="PIPA PROF SAPOT" sheetId="97" r:id="rId35"/>
    <sheet name="KSB TIE YOKE" sheetId="33" r:id="rId36"/>
    <sheet name="WINGNUT" sheetId="53" r:id="rId37"/>
    <sheet name="TIE ROD" sheetId="54" r:id="rId38"/>
    <sheet name="TIE ROD 1 M" sheetId="235" r:id="rId39"/>
    <sheet name="TIE ROD 1.5" sheetId="234" r:id="rId40"/>
    <sheet name="TIE ROD 70CM" sheetId="164" r:id="rId41"/>
    <sheet name="TIE ROD 20CM" sheetId="191" r:id="rId42"/>
    <sheet name="TIE ROD 30" sheetId="288" r:id="rId43"/>
    <sheet name="TIE ROD 40" sheetId="376" r:id="rId44"/>
    <sheet name="TIE ROD 50" sheetId="224" r:id="rId45"/>
    <sheet name="TIE ROD 60" sheetId="220" r:id="rId46"/>
    <sheet name="TIE ROD 80" sheetId="221" r:id="rId47"/>
    <sheet name="TIE ROD 120" sheetId="126" r:id="rId48"/>
    <sheet name="TIE ROD 15X17X130" sheetId="122" r:id="rId49"/>
    <sheet name="TIE ROD 15X17X160" sheetId="125" r:id="rId50"/>
    <sheet name="TIE ROD 15X17X140" sheetId="124" r:id="rId51"/>
    <sheet name="TIE ROD 15X17X190" sheetId="127" r:id="rId52"/>
    <sheet name="HOLLOW40X10X3" sheetId="320" r:id="rId53"/>
    <sheet name="HOLLOW40X10X6" sheetId="321" r:id="rId54"/>
    <sheet name="HOLLOW60X60X3.5" sheetId="322" r:id="rId55"/>
    <sheet name="HOLLOW40X80X1" sheetId="93" r:id="rId56"/>
    <sheet name="HOLLOW40X80X3" sheetId="100" r:id="rId57"/>
    <sheet name="HOLLOW40X80X1.5" sheetId="194" r:id="rId58"/>
    <sheet name="HOLLOW40X80X2.5" sheetId="216" r:id="rId59"/>
    <sheet name="HOLLOW 50X50X6" sheetId="55" r:id="rId60"/>
    <sheet name="HOLLOW 50X50X2" sheetId="177" r:id="rId61"/>
    <sheet name="HOLLOW 50X50X2.1" sheetId="396" r:id="rId62"/>
    <sheet name="HOLLOW 50X50X3" sheetId="145" r:id="rId63"/>
    <sheet name="HOLLOW 50X50X3.5" sheetId="371" r:id="rId64"/>
    <sheet name="HOLLOW 5X5X4" sheetId="370" r:id="rId65"/>
    <sheet name="HOLLOW 50X50X2.5" sheetId="172" r:id="rId66"/>
    <sheet name="HOLLO 50X50X1.8" sheetId="148" r:id="rId67"/>
    <sheet name="HOLLOW 50X50X1.5" sheetId="171" r:id="rId68"/>
    <sheet name="HOLLOW 50X50X1" sheetId="170" r:id="rId69"/>
    <sheet name="HOLLOW 50X50X5" sheetId="353" r:id="rId70"/>
    <sheet name="HOLLOW 4X6X8" sheetId="361" r:id="rId71"/>
    <sheet name="HOLLOW 40X60X9" sheetId="364" r:id="rId72"/>
    <sheet name="HOLLOW 40X60X7" sheetId="368" r:id="rId73"/>
    <sheet name="HOLLOW 40X60X7.7" sheetId="384" r:id="rId74"/>
    <sheet name="HOLLOW 40X60X6" sheetId="56" r:id="rId75"/>
    <sheet name="HOLLOW 40X60X5" sheetId="162" r:id="rId76"/>
    <sheet name="HOLLOW 40X60X4" sheetId="57" r:id="rId77"/>
    <sheet name="HOLLOW 40X60X2.5" sheetId="58" r:id="rId78"/>
    <sheet name="HOLLOW 40X60X2" sheetId="59" r:id="rId79"/>
    <sheet name="HOLLOW 40X60X2.3" sheetId="383" r:id="rId80"/>
    <sheet name="HOLLOW40X60X3" sheetId="60" r:id="rId81"/>
    <sheet name="HOLLOW40X60X3.5" sheetId="61" r:id="rId82"/>
    <sheet name="HOLLO40X60X1" sheetId="134" r:id="rId83"/>
    <sheet name="HOLLOW 40X60X120" sheetId="366" r:id="rId84"/>
    <sheet name="HOLOW 40X60X130" sheetId="365" r:id="rId85"/>
    <sheet name="HOLLOW 40X60X170" sheetId="386" r:id="rId86"/>
    <sheet name="HOLLOW 40X60X115" sheetId="363" r:id="rId87"/>
    <sheet name="HOLLOW40X60X1.5" sheetId="62" r:id="rId88"/>
    <sheet name="RANGKA HOLLO 40X60" sheetId="357" r:id="rId89"/>
    <sheet name="HOLLOW 50x10x3" sheetId="99" r:id="rId90"/>
    <sheet name="HOLLO 50.10.2,5" sheetId="242" r:id="rId91"/>
    <sheet name="HOLLO 50X10X2" sheetId="130" r:id="rId92"/>
    <sheet name="HOLLOW5X10X1.5" sheetId="96" r:id="rId93"/>
    <sheet name="HOLLOW5X10X1" sheetId="360" r:id="rId94"/>
    <sheet name="HOLLOW5X10X4DD" sheetId="403" r:id="rId95"/>
    <sheet name="HOLLO5X10X4" sheetId="102" r:id="rId96"/>
    <sheet name="HOLLO5X10X6" sheetId="103" r:id="rId97"/>
    <sheet name="VERTICAL STANDAR 2,5M" sheetId="342" r:id="rId98"/>
    <sheet name="VERTICAL STANDART 2 M" sheetId="63" r:id="rId99"/>
    <sheet name="VERTICAL STAND 0.5M-50CM" sheetId="65" r:id="rId100"/>
    <sheet name="VERTICAL STAND. 1M" sheetId="66" r:id="rId101"/>
    <sheet name="VERTICAL STAND 1.5M" sheetId="67" r:id="rId102"/>
    <sheet name="LEDGEAR 1829" sheetId="340" r:id="rId103"/>
    <sheet name="LEDGER 1524" sheetId="69" r:id="rId104"/>
    <sheet name="LEDGER 1219" sheetId="71" r:id="rId105"/>
    <sheet name="LEDGER 0915M" sheetId="72" r:id="rId106"/>
    <sheet name="SIKU 40-4" sheetId="337" r:id="rId107"/>
    <sheet name="SBB" sheetId="104" r:id="rId108"/>
    <sheet name="SIKU-SBB 55X50" sheetId="374" r:id="rId109"/>
    <sheet name="SBB-55X55" sheetId="395" r:id="rId110"/>
    <sheet name="SIKU-SBB 50X50" sheetId="241" r:id="rId111"/>
    <sheet name="SIKU-SBB 40X40X3" sheetId="385" r:id="rId112"/>
    <sheet name="SIKU-SBB 40X40X6" sheetId="223" r:id="rId113"/>
    <sheet name="SIKU-SBB45X50" sheetId="217" r:id="rId114"/>
    <sheet name="SBB-60X55" sheetId="401" r:id="rId115"/>
    <sheet name="SIKU-SBB 60X65" sheetId="369" r:id="rId116"/>
    <sheet name="SIKU-SBB 60X60" sheetId="219" r:id="rId117"/>
    <sheet name="SIKU-SBB 30X30" sheetId="373" r:id="rId118"/>
    <sheet name="SIKU-SBB 35X35" sheetId="339" r:id="rId119"/>
    <sheet name="SIKU-SBB 30X35" sheetId="74" r:id="rId120"/>
    <sheet name="SIKU-SBB 45X45" sheetId="75" r:id="rId121"/>
    <sheet name="SBB.70X50" sheetId="399" r:id="rId122"/>
    <sheet name="SIKU-SBB 70X70" sheetId="139" r:id="rId123"/>
    <sheet name="SIKU-SBB75X75" sheetId="218" r:id="rId124"/>
    <sheet name="SBB-40X50" sheetId="400" r:id="rId125"/>
    <sheet name="SIKU-SBB 40X45" sheetId="76" r:id="rId126"/>
    <sheet name="TIE BAR 1M" sheetId="232" r:id="rId127"/>
    <sheet name="TIE BAR 1.5M" sheetId="287" r:id="rId128"/>
    <sheet name="TIE BAR 1.2M" sheetId="233" r:id="rId129"/>
    <sheet name="TIE BAR ASSEMBLY 40" sheetId="77" r:id="rId130"/>
    <sheet name="TIE BAR 90" sheetId="292" r:id="rId131"/>
    <sheet name="TIE BAR 60+WING NUT" sheetId="299" r:id="rId132"/>
    <sheet name="TIE BAR 60" sheetId="184" r:id="rId133"/>
    <sheet name="TIE BAR 50" sheetId="185" r:id="rId134"/>
    <sheet name="TIE BAR 80" sheetId="166" r:id="rId135"/>
    <sheet name="TIE BAR 70" sheetId="393" r:id="rId136"/>
    <sheet name="TIE BAR 30" sheetId="387" r:id="rId137"/>
    <sheet name="TRIGER BRACE 2.75" sheetId="78" r:id="rId138"/>
    <sheet name="U-PLATE PCH 8MM" sheetId="79" r:id="rId139"/>
    <sheet name="UNP80X600" sheetId="144" r:id="rId140"/>
    <sheet name="UNP100-600CM" sheetId="140" r:id="rId141"/>
    <sheet name="D.P COUPLER" sheetId="80" r:id="rId142"/>
    <sheet name="VERTICAL BEAM" sheetId="81" r:id="rId143"/>
    <sheet name="BRACKET PERYMETER" sheetId="312" r:id="rId144"/>
    <sheet name="CANTILEVER 0.915" sheetId="83" r:id="rId145"/>
    <sheet name="SURI-SURI 40.60.1.5" sheetId="245" r:id="rId146"/>
    <sheet name="SURI-SURI40.60.2" sheetId="336" r:id="rId147"/>
    <sheet name="SURI-SURI 50X10X1.5" sheetId="335" r:id="rId148"/>
    <sheet name="SURI-SURI 50x10x2M" sheetId="86" r:id="rId149"/>
    <sheet name="SURI&quot;2KAYU" sheetId="392" r:id="rId150"/>
    <sheet name="SURI-SURI KAYU 1.5M" sheetId="388" r:id="rId151"/>
    <sheet name="PRIMER BEAM 2M" sheetId="89" r:id="rId152"/>
    <sheet name="PRIMER BEAM 3 M" sheetId="90" r:id="rId153"/>
    <sheet name="PHENOLIC 15X4X8" sheetId="106" r:id="rId154"/>
    <sheet name="BAUT L+MUR " sheetId="267" r:id="rId155"/>
    <sheet name="BAUT " sheetId="178" r:id="rId156"/>
    <sheet name="BAUT+MUR" sheetId="248" r:id="rId157"/>
    <sheet name="WASHER" sheetId="48" r:id="rId158"/>
    <sheet name="angkur+mur+washer" sheetId="230" r:id="rId159"/>
    <sheet name="ADJUST BEAM BRASE 1" sheetId="189" r:id="rId160"/>
    <sheet name="ADJUSTABLE 2" sheetId="195" r:id="rId161"/>
    <sheet name="ADJUST BEAM BRASE 3" sheetId="187" r:id="rId162"/>
    <sheet name="STILL WALLER 122" sheetId="362" r:id="rId163"/>
    <sheet name="STILL WALLER 5" sheetId="284" r:id="rId164"/>
    <sheet name="STILL WALLER 3" sheetId="285" r:id="rId165"/>
    <sheet name="STILL WALLER 356" sheetId="256" r:id="rId166"/>
    <sheet name="STILL WALLER 478" sheetId="257" r:id="rId167"/>
    <sheet name="STILL WALLER 173" sheetId="258" r:id="rId168"/>
    <sheet name="STIIL WALER 174" sheetId="270" r:id="rId169"/>
    <sheet name="STILL WALLER 117" sheetId="274" r:id="rId170"/>
    <sheet name="STILL WALLER 234" sheetId="259" r:id="rId171"/>
    <sheet name="STIIL WALLER 235" sheetId="273" r:id="rId172"/>
    <sheet name="STILL WALLER 100" sheetId="260" r:id="rId173"/>
    <sheet name="CUTTING W.14&quot;" sheetId="334" r:id="rId174"/>
    <sheet name="CW.700X1400" sheetId="326" r:id="rId175"/>
    <sheet name="CW.67X172" sheetId="359" r:id="rId176"/>
    <sheet name="C.W.650.700" sheetId="261" r:id="rId177"/>
    <sheet name="CW.800X1100" sheetId="319" r:id="rId178"/>
    <sheet name="COLOM WALLER 80X80" sheetId="198" r:id="rId179"/>
    <sheet name="C.W.170X80" sheetId="298" r:id="rId180"/>
    <sheet name="C.W.70X100" sheetId="296" r:id="rId181"/>
    <sheet name="C.W.700X1755" sheetId="283" r:id="rId182"/>
    <sheet name="CW 750X1755" sheetId="316" r:id="rId183"/>
    <sheet name="CW.500X700" sheetId="313" r:id="rId184"/>
    <sheet name="C.W.70X55" sheetId="275" r:id="rId185"/>
    <sheet name="C.W.75X150" sheetId="297" r:id="rId186"/>
    <sheet name="C.W.70X150" sheetId="276" r:id="rId187"/>
    <sheet name="C.W.750X220" sheetId="277" r:id="rId188"/>
    <sheet name="CW.70X220" sheetId="317" r:id="rId189"/>
    <sheet name="CW.70X120" sheetId="380" r:id="rId190"/>
    <sheet name="COLOM WALLER 700X700" sheetId="149" r:id="rId191"/>
    <sheet name="COLUMN WALLER 700X1300" sheetId="203" r:id="rId192"/>
    <sheet name="COLUM WALLER 750.1000" sheetId="247" r:id="rId193"/>
    <sheet name="CW 750X1700" sheetId="318" r:id="rId194"/>
    <sheet name="COLUMN WALLER 700X1800" sheetId="204" r:id="rId195"/>
    <sheet name="CW 70.63" sheetId="290" r:id="rId196"/>
    <sheet name="CW.700X920" sheetId="314" r:id="rId197"/>
    <sheet name="CW.70X90" sheetId="381" r:id="rId198"/>
    <sheet name="CW 63 X 63" sheetId="272" r:id="rId199"/>
    <sheet name="COLOM WELLER 60X60" sheetId="186" r:id="rId200"/>
    <sheet name="COLOM WELER 50X50" sheetId="227" r:id="rId201"/>
    <sheet name="C.W.900.1200" sheetId="282" r:id="rId202"/>
    <sheet name="C.W 90X110" sheetId="358" r:id="rId203"/>
    <sheet name="COLOUM WALLER 90X90" sheetId="199" r:id="rId204"/>
    <sheet name="COLOM WELLER 70X375" sheetId="378" r:id="rId205"/>
    <sheet name="CW 70X345" sheetId="352" r:id="rId206"/>
    <sheet name="COLOUM WALLER 1100X1100" sheetId="202" r:id="rId207"/>
    <sheet name="COLOM WALLER 1000X1000" sheetId="174" r:id="rId208"/>
    <sheet name="C.W.100X55" sheetId="278" r:id="rId209"/>
    <sheet name="C.W 1000.650" sheetId="253" r:id="rId210"/>
    <sheet name="C.W.108.80" sheetId="264" r:id="rId211"/>
    <sheet name="C.W.1000.800" sheetId="255" r:id="rId212"/>
    <sheet name="C.W.600.900" sheetId="254" r:id="rId213"/>
    <sheet name="C.W.150.80" sheetId="289" r:id="rId214"/>
    <sheet name="C.W.1200.800" sheetId="280" r:id="rId215"/>
    <sheet name="CW.400X800" sheetId="325" r:id="rId216"/>
    <sheet name="C.W40X20" sheetId="356" r:id="rId217"/>
    <sheet name="CW.400X400" sheetId="324" r:id="rId218"/>
    <sheet name="COLOUM WALLER 40X100" sheetId="207" r:id="rId219"/>
    <sheet name="COLOUM WALLER 40X150" sheetId="208" r:id="rId220"/>
    <sheet name="COLOUM WELLER" sheetId="377" r:id="rId221"/>
    <sheet name="CW.700X1100" sheetId="315" r:id="rId222"/>
    <sheet name="V.W.Z.117" sheetId="271" r:id="rId223"/>
    <sheet name="V.W.L.117" sheetId="265" r:id="rId224"/>
    <sheet name="V.W.117.36" sheetId="266" r:id="rId225"/>
    <sheet name="TIE YORK" sheetId="286" r:id="rId226"/>
    <sheet name="WEDGE HP" sheetId="151" r:id="rId227"/>
    <sheet name="WADGE K" sheetId="192" r:id="rId228"/>
    <sheet name="WEDGE KZ" sheetId="37" r:id="rId229"/>
    <sheet name="BAJILEADGEAR" sheetId="398" r:id="rId230"/>
    <sheet name="BASE-PALTE" sheetId="153" r:id="rId231"/>
    <sheet name="COUNER COUPLING" sheetId="154" r:id="rId232"/>
    <sheet name="COUNER COUPLING 630 X 630" sheetId="175" r:id="rId233"/>
    <sheet name="COUNER COUPLING 65X65" sheetId="263" r:id="rId234"/>
    <sheet name="C.COUP.1M" sheetId="308" r:id="rId235"/>
    <sheet name="COUPLING 1.5M" sheetId="294" r:id="rId236"/>
    <sheet name="C.COUP.750X1700" sheetId="309" r:id="rId237"/>
    <sheet name="CNP 75X35 161.25" sheetId="310" r:id="rId238"/>
    <sheet name="CNP125X50X32X400" sheetId="176" r:id="rId239"/>
    <sheet name="CNP125X3500" sheetId="150" r:id="rId240"/>
    <sheet name="COLOUM MN WILLING" sheetId="36" r:id="rId241"/>
    <sheet name="STILL COUPLING 1 M" sheetId="279" r:id="rId242"/>
    <sheet name="COUPLING ELEMENT " sheetId="52" r:id="rId243"/>
    <sheet name="BESI DRAT 0.2CM" sheetId="307" r:id="rId244"/>
    <sheet name="BOLT+NUT12X200" sheetId="306" r:id="rId245"/>
    <sheet name="BOLT+NUT12X70" sheetId="305" r:id="rId246"/>
    <sheet name="PHENOLIC18X4X8" sheetId="107" r:id="rId247"/>
    <sheet name="Kewel (clamp beam)" sheetId="135" r:id="rId248"/>
    <sheet name="SCAFFOLJECK" sheetId="152" r:id="rId249"/>
    <sheet name="FORM TIE D-300MM" sheetId="209" r:id="rId250"/>
    <sheet name="NUT 12" sheetId="210" r:id="rId251"/>
    <sheet name="PLASTIC CONE 12X40" sheetId="211" r:id="rId252"/>
    <sheet name="ULTRA RING" sheetId="212" r:id="rId253"/>
    <sheet name="SEPARATOR B 12-300MM" sheetId="213" r:id="rId254"/>
    <sheet name="STAIR COLOM" sheetId="236" r:id="rId255"/>
    <sheet name="CATWALK COLOM" sheetId="237" r:id="rId256"/>
    <sheet name="LOCK PEN" sheetId="343" r:id="rId257"/>
    <sheet name="MUR JACK.32.d" sheetId="346" r:id="rId258"/>
    <sheet name="BESI SIKU 6-3 M" sheetId="350" r:id="rId259"/>
    <sheet name="PAPANASHIBA" sheetId="390" r:id="rId260"/>
    <sheet name="HANDLE" sheetId="397" r:id="rId261"/>
    <sheet name="KALENG" sheetId="402" r:id="rId262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5" i="403" l="1"/>
  <c r="E6" i="403"/>
  <c r="E7" i="403"/>
  <c r="E8" i="403"/>
  <c r="E9" i="403"/>
  <c r="E10" i="403"/>
  <c r="E11" i="403"/>
  <c r="E12" i="403"/>
  <c r="E13" i="403"/>
  <c r="E14" i="403"/>
  <c r="E15" i="403"/>
  <c r="E16" i="403"/>
  <c r="E17" i="403"/>
  <c r="E18" i="403"/>
  <c r="E19" i="403"/>
  <c r="E20" i="403"/>
  <c r="E21" i="403"/>
  <c r="E22" i="403"/>
  <c r="E23" i="403"/>
  <c r="E24" i="403"/>
  <c r="E25" i="403"/>
  <c r="E26" i="403"/>
  <c r="E27" i="403"/>
  <c r="E28" i="403"/>
  <c r="E29" i="403"/>
  <c r="E30" i="403"/>
  <c r="E5" i="79"/>
  <c r="E6" i="79"/>
  <c r="E7" i="79"/>
  <c r="E8" i="79"/>
  <c r="E9" i="79"/>
  <c r="E6" i="27"/>
  <c r="E7" i="27"/>
  <c r="E8" i="27"/>
  <c r="E9" i="27"/>
  <c r="E10" i="27"/>
  <c r="E11" i="27"/>
  <c r="E12" i="27"/>
  <c r="E13" i="27"/>
  <c r="E14" i="27"/>
  <c r="E15" i="27"/>
  <c r="E16" i="27"/>
  <c r="E17" i="27"/>
  <c r="E18" i="27"/>
  <c r="E19" i="27"/>
  <c r="E20" i="27"/>
  <c r="E21" i="27"/>
  <c r="E22" i="27"/>
  <c r="E23" i="27"/>
  <c r="E24" i="27"/>
  <c r="E25" i="27"/>
  <c r="E26" i="27"/>
  <c r="E27" i="27"/>
  <c r="E28" i="27"/>
  <c r="E29" i="27"/>
  <c r="E30" i="27"/>
  <c r="E31" i="27"/>
  <c r="E32" i="27"/>
  <c r="E33" i="27"/>
  <c r="E34" i="27"/>
  <c r="E35" i="27"/>
  <c r="E36" i="27"/>
  <c r="E37" i="27"/>
  <c r="E38" i="27"/>
  <c r="E39" i="27"/>
  <c r="E40" i="27"/>
  <c r="E41" i="27"/>
  <c r="E42" i="27"/>
  <c r="E43" i="27"/>
  <c r="E44" i="27"/>
  <c r="E45" i="27"/>
  <c r="E46" i="27"/>
  <c r="E47" i="27"/>
  <c r="E48" i="27"/>
  <c r="E49" i="27"/>
  <c r="E50" i="27"/>
  <c r="E51" i="27"/>
  <c r="E52" i="27"/>
  <c r="E53" i="27"/>
  <c r="E54" i="27"/>
  <c r="E55" i="27"/>
  <c r="E56" i="27"/>
  <c r="E57" i="27"/>
  <c r="E58" i="27"/>
  <c r="E59" i="27"/>
  <c r="E60" i="27"/>
  <c r="E61" i="27"/>
  <c r="E62" i="27"/>
  <c r="E63" i="27"/>
  <c r="E64" i="27"/>
  <c r="E65" i="27"/>
  <c r="E66" i="27"/>
  <c r="E67" i="27"/>
  <c r="E68" i="27"/>
  <c r="E69" i="27"/>
  <c r="E70" i="27"/>
  <c r="E71" i="27"/>
  <c r="E72" i="27"/>
  <c r="E73" i="27"/>
  <c r="E74" i="27"/>
  <c r="E75" i="27"/>
  <c r="E5" i="25"/>
  <c r="E6" i="25"/>
  <c r="E7" i="25"/>
  <c r="E8" i="25"/>
  <c r="E9" i="25"/>
  <c r="E10" i="25"/>
  <c r="E11" i="25"/>
  <c r="E12" i="25"/>
  <c r="E13" i="25"/>
  <c r="E14" i="25"/>
  <c r="E15" i="25"/>
  <c r="E16" i="25"/>
  <c r="E17" i="25"/>
  <c r="E18" i="25"/>
  <c r="E19" i="25"/>
  <c r="E20" i="25"/>
  <c r="E21" i="25"/>
  <c r="E22" i="25"/>
  <c r="E23" i="25"/>
  <c r="E24" i="25"/>
  <c r="E25" i="25"/>
  <c r="E26" i="25"/>
  <c r="E27" i="25"/>
  <c r="E28" i="25"/>
  <c r="E29" i="25"/>
  <c r="E30" i="25"/>
  <c r="E31" i="25"/>
  <c r="E32" i="25"/>
  <c r="E33" i="25"/>
  <c r="E34" i="25"/>
  <c r="E35" i="25"/>
  <c r="E36" i="25"/>
  <c r="F6" i="24"/>
  <c r="F7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22" i="24"/>
  <c r="F23" i="24"/>
  <c r="F24" i="24"/>
  <c r="F25" i="24"/>
  <c r="F26" i="24"/>
  <c r="F27" i="24"/>
  <c r="F28" i="24"/>
  <c r="F29" i="24"/>
  <c r="F30" i="24"/>
  <c r="F31" i="24"/>
  <c r="F32" i="24"/>
  <c r="F33" i="24"/>
  <c r="F34" i="24"/>
  <c r="F35" i="24"/>
  <c r="F36" i="24"/>
  <c r="F37" i="24"/>
  <c r="F38" i="24"/>
  <c r="F39" i="24"/>
  <c r="F40" i="24"/>
  <c r="F41" i="24"/>
  <c r="F42" i="24"/>
  <c r="F43" i="24"/>
  <c r="F44" i="24"/>
  <c r="F45" i="24"/>
  <c r="F46" i="24"/>
  <c r="F47" i="24"/>
  <c r="F48" i="24"/>
  <c r="F49" i="24"/>
  <c r="F50" i="24"/>
  <c r="F51" i="24"/>
  <c r="F52" i="24"/>
  <c r="F53" i="24"/>
  <c r="F54" i="24"/>
  <c r="F55" i="24"/>
  <c r="F56" i="24"/>
  <c r="F57" i="24"/>
  <c r="F58" i="24"/>
  <c r="F59" i="24"/>
  <c r="F60" i="24"/>
  <c r="F61" i="24"/>
  <c r="F62" i="24"/>
  <c r="F63" i="24"/>
  <c r="F64" i="24"/>
  <c r="F65" i="24"/>
  <c r="F66" i="24"/>
  <c r="F67" i="24"/>
  <c r="F68" i="24"/>
  <c r="F69" i="24"/>
  <c r="F70" i="24"/>
  <c r="F71" i="24"/>
  <c r="F72" i="24"/>
  <c r="F73" i="24"/>
  <c r="F74" i="24"/>
  <c r="F75" i="24"/>
  <c r="F76" i="24"/>
  <c r="F77" i="24"/>
  <c r="F78" i="24"/>
  <c r="F79" i="24"/>
  <c r="F80" i="24"/>
  <c r="F81" i="24"/>
  <c r="F82" i="24"/>
  <c r="F83" i="24"/>
  <c r="F84" i="24"/>
  <c r="F85" i="24"/>
  <c r="E5" i="23"/>
  <c r="E6" i="23"/>
  <c r="E7" i="23"/>
  <c r="E8" i="23"/>
  <c r="E9" i="23"/>
  <c r="E10" i="23"/>
  <c r="E11" i="23"/>
  <c r="E12" i="23"/>
  <c r="E13" i="23"/>
  <c r="E14" i="23"/>
  <c r="E15" i="23"/>
  <c r="E16" i="23"/>
  <c r="E17" i="23"/>
  <c r="E18" i="23"/>
  <c r="E19" i="23"/>
  <c r="E20" i="23"/>
  <c r="E21" i="23"/>
  <c r="E22" i="23"/>
  <c r="E23" i="23"/>
  <c r="E24" i="23"/>
  <c r="E25" i="23"/>
  <c r="E26" i="23"/>
  <c r="E27" i="23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22" i="20"/>
  <c r="E23" i="20"/>
  <c r="E24" i="20"/>
  <c r="E25" i="20"/>
  <c r="E26" i="20"/>
  <c r="E27" i="20"/>
  <c r="E28" i="20"/>
  <c r="E29" i="20"/>
  <c r="E30" i="20"/>
  <c r="E31" i="20"/>
  <c r="E32" i="20"/>
  <c r="E33" i="20"/>
  <c r="E34" i="20"/>
  <c r="E35" i="20"/>
  <c r="E36" i="20"/>
  <c r="E37" i="20"/>
  <c r="E38" i="20"/>
  <c r="E39" i="20"/>
  <c r="E40" i="20"/>
  <c r="E41" i="20"/>
  <c r="E42" i="20"/>
  <c r="E43" i="20"/>
  <c r="E44" i="20"/>
  <c r="E45" i="20"/>
  <c r="E46" i="20"/>
  <c r="E47" i="20"/>
  <c r="E48" i="20"/>
  <c r="E49" i="20"/>
  <c r="E50" i="20"/>
  <c r="E51" i="20"/>
  <c r="E52" i="20"/>
  <c r="E53" i="20"/>
  <c r="E54" i="20"/>
  <c r="E55" i="20"/>
  <c r="E56" i="20"/>
  <c r="E57" i="20"/>
  <c r="E58" i="20"/>
  <c r="E59" i="20"/>
  <c r="E60" i="20"/>
  <c r="E61" i="20"/>
  <c r="E62" i="20"/>
  <c r="E63" i="20"/>
  <c r="E64" i="20"/>
  <c r="E65" i="20"/>
  <c r="E66" i="20"/>
  <c r="E67" i="20"/>
  <c r="G41" i="19"/>
  <c r="G42" i="19"/>
  <c r="G43" i="19"/>
  <c r="G44" i="19"/>
  <c r="G45" i="19"/>
  <c r="G46" i="19"/>
  <c r="G47" i="19"/>
  <c r="G48" i="19"/>
  <c r="G49" i="19"/>
  <c r="G50" i="19"/>
  <c r="G51" i="19"/>
  <c r="G52" i="19"/>
  <c r="G53" i="19"/>
  <c r="G54" i="19"/>
  <c r="G55" i="19"/>
  <c r="G56" i="19"/>
  <c r="G57" i="19"/>
  <c r="G58" i="19"/>
  <c r="G59" i="19"/>
  <c r="G60" i="19"/>
  <c r="G61" i="19"/>
  <c r="G62" i="19"/>
  <c r="G63" i="19"/>
  <c r="G64" i="19"/>
  <c r="G65" i="19"/>
  <c r="G66" i="19"/>
  <c r="G67" i="19"/>
  <c r="G68" i="19"/>
  <c r="G69" i="19"/>
  <c r="G70" i="19"/>
  <c r="G71" i="19"/>
  <c r="G72" i="19"/>
  <c r="G73" i="19"/>
  <c r="G74" i="19"/>
  <c r="G75" i="19"/>
  <c r="G76" i="19"/>
  <c r="G77" i="19"/>
  <c r="G78" i="19"/>
  <c r="G79" i="19"/>
  <c r="G80" i="19"/>
  <c r="G81" i="19"/>
  <c r="G82" i="19"/>
  <c r="G83" i="19"/>
  <c r="G84" i="19"/>
  <c r="G85" i="19"/>
  <c r="G86" i="19"/>
  <c r="G87" i="19"/>
  <c r="G88" i="19"/>
  <c r="G89" i="19"/>
  <c r="G90" i="19"/>
  <c r="G91" i="19"/>
  <c r="G92" i="19"/>
  <c r="G93" i="19"/>
  <c r="G94" i="19"/>
  <c r="G95" i="19"/>
  <c r="G96" i="19"/>
  <c r="G97" i="19"/>
  <c r="G98" i="19"/>
  <c r="G99" i="19"/>
  <c r="G100" i="19"/>
  <c r="G101" i="19"/>
  <c r="G102" i="19"/>
  <c r="G103" i="19"/>
  <c r="G104" i="19"/>
  <c r="G105" i="19"/>
  <c r="G106" i="19"/>
  <c r="G107" i="19"/>
  <c r="G108" i="19"/>
  <c r="G109" i="19"/>
  <c r="G110" i="19"/>
  <c r="G111" i="19"/>
  <c r="G112" i="19"/>
  <c r="G113" i="19"/>
  <c r="G114" i="19"/>
  <c r="G115" i="19"/>
  <c r="G116" i="19"/>
  <c r="G117" i="19"/>
  <c r="G118" i="19"/>
  <c r="G119" i="19"/>
  <c r="G120" i="19"/>
  <c r="G121" i="19"/>
  <c r="G122" i="19"/>
  <c r="G123" i="19"/>
  <c r="G124" i="19"/>
  <c r="G125" i="19"/>
  <c r="G126" i="19"/>
  <c r="G127" i="19"/>
  <c r="G128" i="19"/>
  <c r="G129" i="19"/>
  <c r="G130" i="19"/>
  <c r="G131" i="19"/>
  <c r="G132" i="19"/>
  <c r="G133" i="19"/>
  <c r="G134" i="19"/>
  <c r="G135" i="19"/>
  <c r="G136" i="19"/>
  <c r="G137" i="19"/>
  <c r="G138" i="19"/>
  <c r="G139" i="19"/>
  <c r="G140" i="19"/>
  <c r="G141" i="19"/>
  <c r="G142" i="19"/>
  <c r="G143" i="19"/>
  <c r="G144" i="19"/>
  <c r="G145" i="19"/>
  <c r="G146" i="19"/>
  <c r="G147" i="19"/>
  <c r="G148" i="19"/>
  <c r="G149" i="19"/>
  <c r="G150" i="19"/>
  <c r="G151" i="19"/>
  <c r="G152" i="19"/>
  <c r="G153" i="19"/>
  <c r="G154" i="19"/>
  <c r="G155" i="19"/>
  <c r="G156" i="19"/>
  <c r="G157" i="19"/>
  <c r="G158" i="19"/>
  <c r="G159" i="19"/>
  <c r="G160" i="19"/>
  <c r="G161" i="19"/>
  <c r="G162" i="19"/>
  <c r="G163" i="19"/>
  <c r="G164" i="19"/>
  <c r="G165" i="19"/>
  <c r="G166" i="19"/>
  <c r="G167" i="19"/>
  <c r="G168" i="19"/>
  <c r="G169" i="19"/>
  <c r="G170" i="19"/>
  <c r="G171" i="19"/>
  <c r="G172" i="19"/>
  <c r="G173" i="19"/>
  <c r="G174" i="19"/>
  <c r="G175" i="19"/>
  <c r="G176" i="19"/>
  <c r="G177" i="19"/>
  <c r="G178" i="19"/>
  <c r="G179" i="19"/>
  <c r="G180" i="19"/>
  <c r="G181" i="19"/>
  <c r="G182" i="19"/>
  <c r="G183" i="19"/>
  <c r="G184" i="19"/>
  <c r="G185" i="19"/>
  <c r="G186" i="19"/>
  <c r="G187" i="19"/>
  <c r="G188" i="19"/>
  <c r="G189" i="19"/>
  <c r="G190" i="19"/>
  <c r="G191" i="19"/>
  <c r="G192" i="19"/>
  <c r="G193" i="19"/>
  <c r="G194" i="19"/>
  <c r="G195" i="19"/>
  <c r="G196" i="19"/>
  <c r="G197" i="19"/>
  <c r="G198" i="19"/>
  <c r="G199" i="19"/>
  <c r="G200" i="19"/>
  <c r="G201" i="19"/>
  <c r="G202" i="19"/>
  <c r="G203" i="19"/>
  <c r="G204" i="19"/>
  <c r="G205" i="19"/>
  <c r="G206" i="19"/>
  <c r="G207" i="19"/>
  <c r="G208" i="19"/>
  <c r="G209" i="19"/>
  <c r="G210" i="19"/>
  <c r="G211" i="19"/>
  <c r="G212" i="19"/>
  <c r="G213" i="19"/>
  <c r="G214" i="19"/>
  <c r="G215" i="19"/>
  <c r="G216" i="19"/>
  <c r="G217" i="19"/>
  <c r="G218" i="19"/>
  <c r="G219" i="19"/>
  <c r="G220" i="19"/>
  <c r="G221" i="19"/>
  <c r="G222" i="19"/>
  <c r="G223" i="19"/>
  <c r="G224" i="19"/>
  <c r="G225" i="19"/>
  <c r="G226" i="19"/>
  <c r="G227" i="19"/>
  <c r="G228" i="19"/>
  <c r="G229" i="19"/>
  <c r="G230" i="19"/>
  <c r="G231" i="19"/>
  <c r="G232" i="19"/>
  <c r="G233" i="19"/>
  <c r="G234" i="19"/>
  <c r="G235" i="19"/>
  <c r="G236" i="19"/>
  <c r="G237" i="19"/>
  <c r="G238" i="19"/>
  <c r="G239" i="19"/>
  <c r="G240" i="19"/>
  <c r="E5" i="19"/>
  <c r="E6" i="19"/>
  <c r="E7" i="19"/>
  <c r="E8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7" i="19"/>
  <c r="E28" i="19"/>
  <c r="E29" i="19"/>
  <c r="E30" i="19"/>
  <c r="E31" i="19"/>
  <c r="E32" i="19"/>
  <c r="E33" i="19"/>
  <c r="E34" i="19"/>
  <c r="E35" i="19"/>
  <c r="E36" i="19"/>
  <c r="E37" i="19"/>
  <c r="E38" i="19"/>
  <c r="E39" i="19"/>
  <c r="E40" i="19"/>
  <c r="E41" i="19"/>
  <c r="E42" i="19"/>
  <c r="E43" i="19"/>
  <c r="E44" i="19"/>
  <c r="E45" i="19"/>
  <c r="E46" i="19"/>
  <c r="E47" i="19"/>
  <c r="E48" i="19"/>
  <c r="E49" i="19"/>
  <c r="E50" i="19"/>
  <c r="E51" i="19"/>
  <c r="E52" i="19"/>
  <c r="E53" i="19"/>
  <c r="E54" i="19"/>
  <c r="E55" i="19"/>
  <c r="E56" i="19"/>
  <c r="E57" i="19"/>
  <c r="E58" i="19"/>
  <c r="E59" i="19"/>
  <c r="E60" i="19"/>
  <c r="E61" i="19"/>
  <c r="E62" i="19"/>
  <c r="E63" i="19"/>
  <c r="E64" i="19"/>
  <c r="E65" i="19"/>
  <c r="E66" i="19"/>
  <c r="E67" i="19"/>
  <c r="E68" i="19"/>
  <c r="E69" i="19"/>
  <c r="E70" i="19"/>
  <c r="E71" i="19"/>
  <c r="E72" i="19"/>
  <c r="E73" i="19"/>
  <c r="E74" i="19"/>
  <c r="E75" i="19"/>
  <c r="E76" i="19"/>
  <c r="E77" i="19"/>
  <c r="E78" i="19"/>
  <c r="E79" i="19"/>
  <c r="E80" i="19"/>
  <c r="E81" i="19"/>
  <c r="E82" i="19"/>
  <c r="E83" i="19"/>
  <c r="E84" i="19"/>
  <c r="E85" i="19"/>
  <c r="E86" i="19"/>
  <c r="E87" i="19"/>
  <c r="E88" i="19"/>
  <c r="E89" i="19"/>
  <c r="E90" i="19"/>
  <c r="E91" i="19"/>
  <c r="E92" i="19"/>
  <c r="E93" i="19"/>
  <c r="E94" i="19"/>
  <c r="E95" i="19"/>
  <c r="E96" i="19"/>
  <c r="E97" i="19"/>
  <c r="E98" i="19"/>
  <c r="E99" i="19"/>
  <c r="E100" i="19"/>
  <c r="E101" i="19"/>
  <c r="E102" i="19"/>
  <c r="E103" i="19"/>
  <c r="E104" i="19"/>
  <c r="E105" i="19"/>
  <c r="E106" i="19"/>
  <c r="E107" i="19"/>
  <c r="E108" i="19"/>
  <c r="E109" i="19"/>
  <c r="E110" i="19"/>
  <c r="E111" i="19"/>
  <c r="E112" i="19"/>
  <c r="E113" i="19"/>
  <c r="E114" i="19"/>
  <c r="E115" i="19"/>
  <c r="E116" i="19"/>
  <c r="E117" i="19"/>
  <c r="E118" i="19"/>
  <c r="E119" i="19"/>
  <c r="E120" i="19"/>
  <c r="E121" i="19"/>
  <c r="E122" i="19"/>
  <c r="E123" i="19"/>
  <c r="E124" i="19"/>
  <c r="E125" i="19"/>
  <c r="E126" i="19"/>
  <c r="E127" i="19"/>
  <c r="E128" i="19"/>
  <c r="E129" i="19"/>
  <c r="E130" i="19"/>
  <c r="E131" i="19"/>
  <c r="E132" i="19"/>
  <c r="E133" i="19"/>
  <c r="E134" i="19"/>
  <c r="E135" i="19"/>
  <c r="E136" i="19"/>
  <c r="E137" i="19"/>
  <c r="E138" i="19"/>
  <c r="E139" i="19"/>
  <c r="E140" i="19"/>
  <c r="E141" i="19"/>
  <c r="E142" i="19"/>
  <c r="E143" i="19"/>
  <c r="E144" i="19"/>
  <c r="E145" i="19"/>
  <c r="E146" i="19"/>
  <c r="E147" i="19"/>
  <c r="E148" i="19"/>
  <c r="E149" i="19"/>
  <c r="E150" i="19"/>
  <c r="E151" i="19"/>
  <c r="E152" i="19"/>
  <c r="E153" i="19"/>
  <c r="E154" i="19"/>
  <c r="E155" i="19"/>
  <c r="E156" i="19"/>
  <c r="E157" i="19"/>
  <c r="E158" i="19"/>
  <c r="E159" i="19"/>
  <c r="E160" i="19"/>
  <c r="E161" i="19"/>
  <c r="E162" i="19"/>
  <c r="E163" i="19"/>
  <c r="E164" i="19"/>
  <c r="E165" i="19"/>
  <c r="E166" i="19"/>
  <c r="E167" i="19"/>
  <c r="E168" i="19"/>
  <c r="E169" i="19"/>
  <c r="E170" i="19"/>
  <c r="E171" i="19"/>
  <c r="E172" i="19"/>
  <c r="E173" i="19"/>
  <c r="E174" i="19"/>
  <c r="E175" i="19"/>
  <c r="E176" i="19"/>
  <c r="E177" i="19"/>
  <c r="E178" i="19"/>
  <c r="E179" i="19"/>
  <c r="E180" i="19"/>
  <c r="E181" i="19"/>
  <c r="E182" i="19"/>
  <c r="E183" i="19"/>
  <c r="E184" i="19"/>
  <c r="E185" i="19"/>
  <c r="E186" i="19"/>
  <c r="E187" i="19"/>
  <c r="E188" i="19"/>
  <c r="E189" i="19"/>
  <c r="E190" i="19"/>
  <c r="E191" i="19"/>
  <c r="E192" i="19"/>
  <c r="E193" i="19"/>
  <c r="E194" i="19"/>
  <c r="E195" i="19"/>
  <c r="E196" i="19"/>
  <c r="E197" i="19"/>
  <c r="E198" i="19"/>
  <c r="E199" i="19"/>
  <c r="E200" i="19"/>
  <c r="E201" i="19"/>
  <c r="E202" i="19"/>
  <c r="E203" i="19"/>
  <c r="E204" i="19"/>
  <c r="E205" i="19"/>
  <c r="E206" i="19"/>
  <c r="E207" i="19"/>
  <c r="E208" i="19"/>
  <c r="E209" i="19"/>
  <c r="E210" i="19"/>
  <c r="E211" i="19"/>
  <c r="E212" i="19"/>
  <c r="E213" i="19"/>
  <c r="E214" i="19"/>
  <c r="E215" i="19"/>
  <c r="E216" i="19"/>
  <c r="E217" i="19"/>
  <c r="E218" i="19"/>
  <c r="E219" i="19"/>
  <c r="E220" i="19"/>
  <c r="E221" i="19"/>
  <c r="E222" i="19"/>
  <c r="E223" i="19"/>
  <c r="E224" i="19"/>
  <c r="E225" i="19"/>
  <c r="E226" i="19"/>
  <c r="E227" i="19"/>
  <c r="E228" i="19"/>
  <c r="E229" i="19"/>
  <c r="E230" i="19"/>
  <c r="E231" i="19"/>
  <c r="E232" i="19"/>
  <c r="E233" i="19"/>
  <c r="E234" i="19"/>
  <c r="E235" i="19"/>
  <c r="E236" i="19"/>
  <c r="E237" i="19"/>
  <c r="E238" i="19"/>
  <c r="E239" i="19"/>
  <c r="E240" i="19"/>
  <c r="E6" i="18"/>
  <c r="E7" i="18"/>
  <c r="E8" i="18"/>
  <c r="E9" i="18"/>
  <c r="E10" i="18"/>
  <c r="E11" i="18"/>
  <c r="E12" i="18"/>
  <c r="E13" i="18"/>
  <c r="E14" i="18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47" i="18"/>
  <c r="E48" i="18"/>
  <c r="E49" i="18"/>
  <c r="E50" i="18"/>
  <c r="E51" i="18"/>
  <c r="E52" i="18"/>
  <c r="E53" i="18"/>
  <c r="E54" i="18"/>
  <c r="E55" i="18"/>
  <c r="E56" i="18"/>
  <c r="E57" i="18"/>
  <c r="E58" i="18"/>
  <c r="E59" i="18"/>
  <c r="E60" i="18"/>
  <c r="E61" i="18"/>
  <c r="E62" i="18"/>
  <c r="E63" i="18"/>
  <c r="E64" i="18"/>
  <c r="E65" i="18"/>
  <c r="E66" i="18"/>
  <c r="E67" i="18"/>
  <c r="E68" i="18"/>
  <c r="E69" i="18"/>
  <c r="E70" i="18"/>
  <c r="E71" i="18"/>
  <c r="E72" i="18"/>
  <c r="E73" i="18"/>
  <c r="E74" i="18"/>
  <c r="E75" i="18"/>
  <c r="E76" i="18"/>
  <c r="E77" i="18"/>
  <c r="E78" i="18"/>
  <c r="E79" i="18"/>
  <c r="E80" i="18"/>
  <c r="E81" i="18"/>
  <c r="E82" i="18"/>
  <c r="E83" i="18"/>
  <c r="E84" i="18"/>
  <c r="E85" i="18"/>
  <c r="E86" i="18"/>
  <c r="E87" i="18"/>
  <c r="E88" i="18"/>
  <c r="E89" i="18"/>
  <c r="E90" i="18"/>
  <c r="E91" i="18"/>
  <c r="E92" i="18"/>
  <c r="E93" i="18"/>
  <c r="E94" i="18"/>
  <c r="E95" i="18"/>
  <c r="E96" i="18"/>
  <c r="E97" i="18"/>
  <c r="E98" i="18"/>
  <c r="E99" i="18"/>
  <c r="E100" i="18"/>
  <c r="E101" i="18"/>
  <c r="E102" i="18"/>
  <c r="E103" i="18"/>
  <c r="E104" i="18"/>
  <c r="E105" i="18"/>
  <c r="E106" i="18"/>
  <c r="E107" i="18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E38" i="15"/>
  <c r="E39" i="15"/>
  <c r="E40" i="15"/>
  <c r="E41" i="15"/>
  <c r="E42" i="15"/>
  <c r="E43" i="15"/>
  <c r="E44" i="15"/>
  <c r="E45" i="15"/>
  <c r="E46" i="15"/>
  <c r="E47" i="15"/>
  <c r="E48" i="15"/>
  <c r="E49" i="15"/>
  <c r="E50" i="15"/>
  <c r="E51" i="15"/>
  <c r="E52" i="15"/>
  <c r="E53" i="15"/>
  <c r="E54" i="15"/>
  <c r="E55" i="15"/>
  <c r="E56" i="15"/>
  <c r="E57" i="15"/>
  <c r="E58" i="15"/>
  <c r="E59" i="15"/>
  <c r="E60" i="15"/>
  <c r="E61" i="15"/>
  <c r="E62" i="15"/>
  <c r="E63" i="15"/>
  <c r="E64" i="15"/>
  <c r="E65" i="15"/>
  <c r="E66" i="15"/>
  <c r="E67" i="15"/>
  <c r="E68" i="15"/>
  <c r="E69" i="15"/>
  <c r="E70" i="15"/>
  <c r="E71" i="15"/>
  <c r="E72" i="15"/>
  <c r="E73" i="15"/>
  <c r="E74" i="15"/>
  <c r="E75" i="15"/>
  <c r="E76" i="15"/>
  <c r="E77" i="15"/>
  <c r="E78" i="15"/>
  <c r="E79" i="15"/>
  <c r="E80" i="15"/>
  <c r="E81" i="15"/>
  <c r="E82" i="15"/>
  <c r="E83" i="15"/>
  <c r="E84" i="15"/>
  <c r="E85" i="15"/>
  <c r="E86" i="15"/>
  <c r="E87" i="15"/>
  <c r="E88" i="15"/>
  <c r="E89" i="15"/>
  <c r="E90" i="15"/>
  <c r="E91" i="15"/>
  <c r="E92" i="15"/>
  <c r="E93" i="15"/>
  <c r="E94" i="15"/>
  <c r="E95" i="15"/>
  <c r="E96" i="15"/>
  <c r="E97" i="15"/>
  <c r="E98" i="15"/>
  <c r="E99" i="15"/>
  <c r="E100" i="15"/>
  <c r="E101" i="15"/>
  <c r="E102" i="15"/>
  <c r="E103" i="15"/>
  <c r="E104" i="15"/>
  <c r="E105" i="15"/>
  <c r="E106" i="15"/>
  <c r="E107" i="15"/>
  <c r="E108" i="15"/>
  <c r="E109" i="15"/>
  <c r="E110" i="15"/>
  <c r="E111" i="15"/>
  <c r="E112" i="15"/>
  <c r="E113" i="15"/>
  <c r="E114" i="15"/>
  <c r="E115" i="15"/>
  <c r="E116" i="15"/>
  <c r="E117" i="15"/>
  <c r="E118" i="15"/>
  <c r="E119" i="15"/>
  <c r="E120" i="15"/>
  <c r="E121" i="15"/>
  <c r="E122" i="15"/>
  <c r="E123" i="15"/>
  <c r="E124" i="15"/>
  <c r="E125" i="15"/>
  <c r="E126" i="15"/>
  <c r="E127" i="15"/>
  <c r="E128" i="15"/>
  <c r="E129" i="15"/>
  <c r="E130" i="15"/>
  <c r="E131" i="15"/>
  <c r="E132" i="15"/>
  <c r="E133" i="15"/>
  <c r="E134" i="15"/>
  <c r="E135" i="15"/>
  <c r="E136" i="15"/>
  <c r="E137" i="15"/>
  <c r="E138" i="15"/>
  <c r="E139" i="15"/>
  <c r="E140" i="15"/>
  <c r="E141" i="15"/>
  <c r="E142" i="15"/>
  <c r="E143" i="15"/>
  <c r="E144" i="15"/>
  <c r="E145" i="15"/>
  <c r="E146" i="15"/>
  <c r="E147" i="15"/>
  <c r="E148" i="15"/>
  <c r="E149" i="15"/>
  <c r="E150" i="15"/>
  <c r="E151" i="15"/>
  <c r="E152" i="15"/>
  <c r="E153" i="15"/>
  <c r="E154" i="15"/>
  <c r="E155" i="15"/>
  <c r="E156" i="15"/>
  <c r="E157" i="15"/>
  <c r="E158" i="15"/>
  <c r="E159" i="15"/>
  <c r="E160" i="15"/>
  <c r="E161" i="15"/>
  <c r="E162" i="15"/>
  <c r="E163" i="15"/>
  <c r="E164" i="15"/>
  <c r="E165" i="15"/>
  <c r="E166" i="15"/>
  <c r="E167" i="15"/>
  <c r="E168" i="15"/>
  <c r="E169" i="15"/>
  <c r="E170" i="15"/>
  <c r="E171" i="15"/>
  <c r="E172" i="15"/>
  <c r="E173" i="15"/>
  <c r="E174" i="15"/>
  <c r="E175" i="15"/>
  <c r="E176" i="15"/>
  <c r="E177" i="15"/>
  <c r="E178" i="15"/>
  <c r="E179" i="15"/>
  <c r="E180" i="15"/>
  <c r="E181" i="15"/>
  <c r="E182" i="15"/>
  <c r="E183" i="15"/>
  <c r="E184" i="15"/>
  <c r="E185" i="15"/>
  <c r="E186" i="15"/>
  <c r="E187" i="15"/>
  <c r="E188" i="15"/>
  <c r="E189" i="15"/>
  <c r="E190" i="15"/>
  <c r="E191" i="15"/>
  <c r="E192" i="15"/>
  <c r="E193" i="15"/>
  <c r="E194" i="15"/>
  <c r="E195" i="15"/>
  <c r="E196" i="15"/>
  <c r="E197" i="15"/>
  <c r="E198" i="15"/>
  <c r="E199" i="15"/>
  <c r="E200" i="15"/>
  <c r="E201" i="15"/>
  <c r="E202" i="15"/>
  <c r="E203" i="15"/>
  <c r="E204" i="15"/>
  <c r="E205" i="15"/>
  <c r="E206" i="15"/>
  <c r="E207" i="15"/>
  <c r="E208" i="15"/>
  <c r="E209" i="15"/>
  <c r="E210" i="15"/>
  <c r="E211" i="15"/>
  <c r="E212" i="15"/>
  <c r="E213" i="15"/>
  <c r="E214" i="15"/>
  <c r="E215" i="15"/>
  <c r="E216" i="15"/>
  <c r="E217" i="15"/>
  <c r="E218" i="15"/>
  <c r="E219" i="15"/>
  <c r="E220" i="15"/>
  <c r="E221" i="15"/>
  <c r="E222" i="15"/>
  <c r="E223" i="15"/>
  <c r="E224" i="15"/>
  <c r="E225" i="15"/>
  <c r="E226" i="15"/>
  <c r="E227" i="15"/>
  <c r="E228" i="15"/>
  <c r="E229" i="15"/>
  <c r="E230" i="15"/>
  <c r="F236" i="14"/>
  <c r="F237" i="14"/>
  <c r="F238" i="14"/>
  <c r="F239" i="14"/>
  <c r="F240" i="14"/>
  <c r="F241" i="14"/>
  <c r="F242" i="14"/>
  <c r="F243" i="14"/>
  <c r="F244" i="14"/>
  <c r="F245" i="14"/>
  <c r="F246" i="14"/>
  <c r="F247" i="14"/>
  <c r="F248" i="14"/>
  <c r="F249" i="14"/>
  <c r="F250" i="14"/>
  <c r="F251" i="14"/>
  <c r="F252" i="14"/>
  <c r="F253" i="14"/>
  <c r="F254" i="14"/>
  <c r="F255" i="14"/>
  <c r="F256" i="14"/>
  <c r="F257" i="14"/>
  <c r="F258" i="14"/>
  <c r="F259" i="14"/>
  <c r="F260" i="14"/>
  <c r="F261" i="14"/>
  <c r="F262" i="14"/>
  <c r="F263" i="14"/>
  <c r="F264" i="14"/>
  <c r="F265" i="14"/>
  <c r="F266" i="14"/>
  <c r="F267" i="14"/>
  <c r="F268" i="14"/>
  <c r="F269" i="14"/>
  <c r="F270" i="14"/>
  <c r="E6" i="14"/>
  <c r="E7" i="14"/>
  <c r="E8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E21" i="14"/>
  <c r="E22" i="14"/>
  <c r="E23" i="14"/>
  <c r="E24" i="14"/>
  <c r="E25" i="14"/>
  <c r="E26" i="14"/>
  <c r="E27" i="14"/>
  <c r="E28" i="14"/>
  <c r="E29" i="14"/>
  <c r="E30" i="14"/>
  <c r="E31" i="14"/>
  <c r="E32" i="14"/>
  <c r="E33" i="14"/>
  <c r="E34" i="14"/>
  <c r="E35" i="14"/>
  <c r="E36" i="14"/>
  <c r="E37" i="14"/>
  <c r="E38" i="14"/>
  <c r="E39" i="14"/>
  <c r="E40" i="14"/>
  <c r="E41" i="14"/>
  <c r="E42" i="14"/>
  <c r="E43" i="14"/>
  <c r="E44" i="14"/>
  <c r="E45" i="14"/>
  <c r="E46" i="14"/>
  <c r="E47" i="14"/>
  <c r="E48" i="14"/>
  <c r="E49" i="14"/>
  <c r="E50" i="14"/>
  <c r="E51" i="14"/>
  <c r="E52" i="14"/>
  <c r="E53" i="14"/>
  <c r="E54" i="14"/>
  <c r="E55" i="14"/>
  <c r="E56" i="14"/>
  <c r="E57" i="14"/>
  <c r="E58" i="14"/>
  <c r="E59" i="14"/>
  <c r="E60" i="14"/>
  <c r="E61" i="14"/>
  <c r="E62" i="14"/>
  <c r="E63" i="14"/>
  <c r="E64" i="14"/>
  <c r="E65" i="14"/>
  <c r="E66" i="14"/>
  <c r="E67" i="14"/>
  <c r="E68" i="14"/>
  <c r="E69" i="14"/>
  <c r="E70" i="14"/>
  <c r="E71" i="14"/>
  <c r="E72" i="14"/>
  <c r="E73" i="14"/>
  <c r="E74" i="14"/>
  <c r="E75" i="14"/>
  <c r="E76" i="14"/>
  <c r="E77" i="14"/>
  <c r="E78" i="14"/>
  <c r="E79" i="14"/>
  <c r="E80" i="14"/>
  <c r="E81" i="14"/>
  <c r="E82" i="14"/>
  <c r="E83" i="14"/>
  <c r="E84" i="14"/>
  <c r="E85" i="14"/>
  <c r="E86" i="14"/>
  <c r="E87" i="14"/>
  <c r="E88" i="14"/>
  <c r="E89" i="14"/>
  <c r="E90" i="14"/>
  <c r="E91" i="14"/>
  <c r="E92" i="14"/>
  <c r="E93" i="14"/>
  <c r="E94" i="14"/>
  <c r="E95" i="14"/>
  <c r="E96" i="14"/>
  <c r="E97" i="14"/>
  <c r="E98" i="14"/>
  <c r="E99" i="14"/>
  <c r="E100" i="14"/>
  <c r="E101" i="14"/>
  <c r="E102" i="14"/>
  <c r="E103" i="14"/>
  <c r="E104" i="14"/>
  <c r="E105" i="14"/>
  <c r="E106" i="14"/>
  <c r="E107" i="14"/>
  <c r="E108" i="14"/>
  <c r="E109" i="14"/>
  <c r="E110" i="14"/>
  <c r="E111" i="14"/>
  <c r="E112" i="14"/>
  <c r="E113" i="14"/>
  <c r="E114" i="14"/>
  <c r="E115" i="14"/>
  <c r="E116" i="14"/>
  <c r="E117" i="14"/>
  <c r="E118" i="14"/>
  <c r="E119" i="14"/>
  <c r="E120" i="14"/>
  <c r="E121" i="14"/>
  <c r="E122" i="14"/>
  <c r="E123" i="14"/>
  <c r="E124" i="14"/>
  <c r="E125" i="14"/>
  <c r="E126" i="14"/>
  <c r="E127" i="14"/>
  <c r="E128" i="14"/>
  <c r="E129" i="14"/>
  <c r="E130" i="14"/>
  <c r="E131" i="14"/>
  <c r="E132" i="14"/>
  <c r="E133" i="14"/>
  <c r="E134" i="14"/>
  <c r="E135" i="14"/>
  <c r="E136" i="14"/>
  <c r="E137" i="14"/>
  <c r="E138" i="14"/>
  <c r="E139" i="14"/>
  <c r="E140" i="14"/>
  <c r="E141" i="14"/>
  <c r="E142" i="14"/>
  <c r="E143" i="14"/>
  <c r="E144" i="14"/>
  <c r="E145" i="14"/>
  <c r="E146" i="14"/>
  <c r="E147" i="14"/>
  <c r="E148" i="14"/>
  <c r="E149" i="14"/>
  <c r="E150" i="14"/>
  <c r="E151" i="14"/>
  <c r="E152" i="14"/>
  <c r="E153" i="14"/>
  <c r="E154" i="14"/>
  <c r="E155" i="14"/>
  <c r="E156" i="14"/>
  <c r="E157" i="14"/>
  <c r="E158" i="14"/>
  <c r="E159" i="14"/>
  <c r="E160" i="14"/>
  <c r="E161" i="14"/>
  <c r="E162" i="14"/>
  <c r="E163" i="14"/>
  <c r="E164" i="14"/>
  <c r="E165" i="14"/>
  <c r="E166" i="14"/>
  <c r="E167" i="14"/>
  <c r="E168" i="14"/>
  <c r="E169" i="14"/>
  <c r="E170" i="14"/>
  <c r="E171" i="14"/>
  <c r="E172" i="14"/>
  <c r="E173" i="14"/>
  <c r="E174" i="14"/>
  <c r="E175" i="14"/>
  <c r="E176" i="14"/>
  <c r="E177" i="14"/>
  <c r="E178" i="14"/>
  <c r="E179" i="14"/>
  <c r="E180" i="14"/>
  <c r="E181" i="14"/>
  <c r="E182" i="14"/>
  <c r="E183" i="14"/>
  <c r="E184" i="14"/>
  <c r="E185" i="14"/>
  <c r="E186" i="14"/>
  <c r="E187" i="14"/>
  <c r="E188" i="14"/>
  <c r="E189" i="14"/>
  <c r="E190" i="14"/>
  <c r="E191" i="14"/>
  <c r="E192" i="14"/>
  <c r="E193" i="14"/>
  <c r="E194" i="14"/>
  <c r="E195" i="14"/>
  <c r="E196" i="14"/>
  <c r="E197" i="14"/>
  <c r="E198" i="14"/>
  <c r="E199" i="14"/>
  <c r="E200" i="14"/>
  <c r="E201" i="14"/>
  <c r="E202" i="14"/>
  <c r="E203" i="14"/>
  <c r="E204" i="14"/>
  <c r="E205" i="14"/>
  <c r="E206" i="14"/>
  <c r="E207" i="14"/>
  <c r="E208" i="14"/>
  <c r="E209" i="14"/>
  <c r="E210" i="14"/>
  <c r="E211" i="14"/>
  <c r="E212" i="14"/>
  <c r="E213" i="14"/>
  <c r="E214" i="14"/>
  <c r="E215" i="14"/>
  <c r="E216" i="14"/>
  <c r="E217" i="14"/>
  <c r="E218" i="14"/>
  <c r="E219" i="14"/>
  <c r="E220" i="14"/>
  <c r="E221" i="14"/>
  <c r="E222" i="14"/>
  <c r="E223" i="14"/>
  <c r="E224" i="14"/>
  <c r="E225" i="14"/>
  <c r="E226" i="14"/>
  <c r="E227" i="14"/>
  <c r="E228" i="14"/>
  <c r="E229" i="14"/>
  <c r="E230" i="14"/>
  <c r="E231" i="14"/>
  <c r="E232" i="14"/>
  <c r="E233" i="14"/>
  <c r="E234" i="14"/>
  <c r="E235" i="14"/>
  <c r="E236" i="14"/>
  <c r="E237" i="14"/>
  <c r="E238" i="14"/>
  <c r="E239" i="14"/>
  <c r="E240" i="14"/>
  <c r="E241" i="14"/>
  <c r="E242" i="14"/>
  <c r="E243" i="14"/>
  <c r="E244" i="14"/>
  <c r="E245" i="14"/>
  <c r="E246" i="14"/>
  <c r="E247" i="14"/>
  <c r="E248" i="14"/>
  <c r="E249" i="14"/>
  <c r="E250" i="14"/>
  <c r="E251" i="14"/>
  <c r="E252" i="14"/>
  <c r="E253" i="14"/>
  <c r="E254" i="14"/>
  <c r="E255" i="14"/>
  <c r="E256" i="14"/>
  <c r="E257" i="14"/>
  <c r="E258" i="14"/>
  <c r="E259" i="14"/>
  <c r="E260" i="14"/>
  <c r="E261" i="14"/>
  <c r="E262" i="14"/>
  <c r="E263" i="14"/>
  <c r="E264" i="14"/>
  <c r="E265" i="14"/>
  <c r="E266" i="14"/>
  <c r="E267" i="14"/>
  <c r="E268" i="14"/>
  <c r="E269" i="14"/>
  <c r="E270" i="14"/>
  <c r="E6" i="16"/>
  <c r="E7" i="16"/>
  <c r="E8" i="16"/>
  <c r="E9" i="16"/>
  <c r="E10" i="16"/>
  <c r="E11" i="16"/>
  <c r="E12" i="16"/>
  <c r="E13" i="16"/>
  <c r="E14" i="16"/>
  <c r="E15" i="16"/>
  <c r="E16" i="16"/>
  <c r="E17" i="16"/>
  <c r="E18" i="16"/>
  <c r="E19" i="16"/>
  <c r="E20" i="16"/>
  <c r="E21" i="16"/>
  <c r="E22" i="16"/>
  <c r="E23" i="16"/>
  <c r="E24" i="16"/>
  <c r="E25" i="16"/>
  <c r="E26" i="16"/>
  <c r="E27" i="16"/>
  <c r="E28" i="16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E134" i="13"/>
  <c r="E135" i="13"/>
  <c r="E136" i="13"/>
  <c r="E137" i="13"/>
  <c r="E138" i="13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53" i="13"/>
  <c r="E154" i="13"/>
  <c r="E155" i="13"/>
  <c r="E156" i="13"/>
  <c r="E157" i="13"/>
  <c r="E158" i="13"/>
  <c r="E159" i="13"/>
  <c r="E160" i="13"/>
  <c r="E161" i="13"/>
  <c r="E162" i="13"/>
  <c r="E163" i="13"/>
  <c r="E164" i="13"/>
  <c r="E165" i="13"/>
  <c r="E166" i="13"/>
  <c r="E167" i="13"/>
  <c r="E168" i="13"/>
  <c r="E169" i="13"/>
  <c r="E170" i="13"/>
  <c r="E171" i="13"/>
  <c r="E172" i="13"/>
  <c r="E173" i="13"/>
  <c r="E174" i="13"/>
  <c r="E175" i="13"/>
  <c r="E176" i="13"/>
  <c r="E177" i="13"/>
  <c r="E178" i="13"/>
  <c r="E179" i="13"/>
  <c r="E180" i="13"/>
  <c r="E181" i="13"/>
  <c r="E182" i="13"/>
  <c r="E183" i="13"/>
  <c r="E184" i="13"/>
  <c r="E185" i="13"/>
  <c r="E186" i="13"/>
  <c r="E187" i="13"/>
  <c r="E188" i="13"/>
  <c r="E189" i="13"/>
  <c r="E190" i="13"/>
  <c r="E191" i="13"/>
  <c r="E192" i="13"/>
  <c r="E193" i="13"/>
  <c r="E194" i="13"/>
  <c r="E195" i="13"/>
  <c r="E196" i="13"/>
  <c r="E197" i="13"/>
  <c r="E198" i="13"/>
  <c r="E199" i="13"/>
  <c r="E200" i="13"/>
  <c r="E201" i="13"/>
  <c r="E202" i="13"/>
  <c r="E203" i="13"/>
  <c r="E204" i="13"/>
  <c r="E205" i="13"/>
  <c r="E206" i="13"/>
  <c r="E207" i="13"/>
  <c r="E208" i="13"/>
  <c r="E209" i="13"/>
  <c r="E210" i="13"/>
  <c r="E211" i="13"/>
  <c r="E212" i="13"/>
  <c r="E213" i="13"/>
  <c r="E214" i="13"/>
  <c r="E215" i="13"/>
  <c r="E216" i="13"/>
  <c r="E217" i="13"/>
  <c r="E218" i="13"/>
  <c r="E219" i="13"/>
  <c r="E220" i="13"/>
  <c r="E221" i="13"/>
  <c r="E222" i="13"/>
  <c r="E223" i="13"/>
  <c r="E224" i="13"/>
  <c r="E225" i="13"/>
  <c r="E226" i="13"/>
  <c r="E227" i="13"/>
  <c r="E228" i="13"/>
  <c r="E229" i="13"/>
  <c r="E230" i="13"/>
  <c r="E231" i="13"/>
  <c r="E232" i="13"/>
  <c r="E233" i="13"/>
  <c r="E234" i="13"/>
  <c r="E235" i="13"/>
  <c r="E236" i="13"/>
  <c r="E237" i="13"/>
  <c r="E238" i="13"/>
  <c r="E239" i="13"/>
  <c r="E240" i="13"/>
  <c r="E241" i="13"/>
  <c r="E242" i="13"/>
  <c r="E243" i="13"/>
  <c r="E244" i="13"/>
  <c r="E245" i="13"/>
  <c r="E246" i="13"/>
  <c r="E247" i="13"/>
  <c r="E248" i="13"/>
  <c r="E249" i="13"/>
  <c r="E250" i="13"/>
  <c r="E251" i="13"/>
  <c r="E252" i="13"/>
  <c r="E253" i="13"/>
  <c r="E254" i="13"/>
  <c r="E255" i="13"/>
  <c r="E256" i="13"/>
  <c r="E257" i="13"/>
  <c r="E258" i="13"/>
  <c r="E259" i="13"/>
  <c r="E260" i="13"/>
  <c r="E261" i="13"/>
  <c r="E262" i="13"/>
  <c r="E263" i="13"/>
  <c r="E264" i="13"/>
  <c r="E265" i="13"/>
  <c r="E266" i="13"/>
  <c r="E267" i="13"/>
  <c r="E268" i="13"/>
  <c r="E269" i="13"/>
  <c r="E270" i="13"/>
  <c r="E271" i="13"/>
  <c r="E272" i="13"/>
  <c r="E273" i="13"/>
  <c r="E274" i="13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6" i="3"/>
  <c r="E7" i="3"/>
  <c r="E8" i="3"/>
  <c r="E9" i="3"/>
  <c r="E10" i="3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E33" i="21"/>
  <c r="E34" i="21"/>
  <c r="E35" i="21"/>
  <c r="E36" i="21"/>
  <c r="E37" i="21"/>
  <c r="E38" i="21"/>
  <c r="E39" i="21"/>
  <c r="E40" i="21"/>
  <c r="E41" i="21"/>
  <c r="E42" i="21"/>
  <c r="E43" i="21"/>
  <c r="E44" i="21"/>
  <c r="E45" i="21"/>
  <c r="E46" i="21"/>
  <c r="E47" i="21"/>
  <c r="E48" i="21"/>
  <c r="E49" i="21"/>
  <c r="E50" i="21"/>
  <c r="E51" i="21"/>
  <c r="E52" i="21"/>
  <c r="E53" i="21"/>
  <c r="E54" i="21"/>
  <c r="E55" i="21"/>
  <c r="E56" i="21"/>
  <c r="E57" i="21"/>
  <c r="E58" i="21"/>
  <c r="E59" i="21"/>
  <c r="E60" i="21"/>
  <c r="E61" i="21"/>
  <c r="E62" i="21"/>
  <c r="E63" i="21"/>
  <c r="E64" i="21"/>
  <c r="E65" i="21"/>
  <c r="E66" i="21"/>
  <c r="E67" i="21"/>
  <c r="E68" i="21"/>
  <c r="E69" i="21"/>
  <c r="E70" i="21"/>
  <c r="E71" i="21"/>
  <c r="E72" i="21"/>
  <c r="E73" i="21"/>
  <c r="E74" i="21"/>
  <c r="E75" i="21"/>
  <c r="E76" i="21"/>
  <c r="E77" i="21"/>
  <c r="E78" i="21"/>
  <c r="E79" i="21"/>
  <c r="E80" i="21"/>
  <c r="E81" i="21"/>
  <c r="E82" i="21"/>
  <c r="E83" i="21"/>
  <c r="E84" i="21"/>
  <c r="E85" i="21"/>
  <c r="E86" i="21"/>
  <c r="E87" i="21"/>
  <c r="E88" i="21"/>
  <c r="E89" i="21"/>
  <c r="E90" i="21"/>
  <c r="E91" i="21"/>
  <c r="E92" i="21"/>
  <c r="E93" i="21"/>
  <c r="E94" i="21"/>
  <c r="E95" i="21"/>
  <c r="E96" i="21"/>
  <c r="E97" i="21"/>
  <c r="E98" i="21"/>
  <c r="E99" i="21"/>
  <c r="E100" i="21"/>
  <c r="E101" i="21"/>
  <c r="E102" i="21"/>
  <c r="E103" i="21"/>
  <c r="E104" i="21"/>
  <c r="E105" i="21"/>
  <c r="E106" i="21"/>
  <c r="E107" i="21"/>
  <c r="E108" i="21"/>
  <c r="E109" i="21"/>
  <c r="E110" i="21"/>
  <c r="E111" i="21"/>
  <c r="E112" i="21"/>
  <c r="E113" i="21"/>
  <c r="E114" i="21"/>
  <c r="E115" i="21"/>
  <c r="E116" i="21"/>
  <c r="E117" i="21"/>
  <c r="E118" i="21"/>
  <c r="E119" i="21"/>
  <c r="E120" i="21"/>
  <c r="E121" i="21"/>
  <c r="E122" i="21"/>
  <c r="E123" i="21"/>
  <c r="E124" i="21"/>
  <c r="E125" i="21"/>
  <c r="E126" i="21"/>
  <c r="E127" i="21"/>
  <c r="E128" i="21"/>
  <c r="E129" i="21"/>
  <c r="E130" i="21"/>
  <c r="E131" i="21"/>
  <c r="E6" i="96"/>
  <c r="E6" i="237"/>
  <c r="E5" i="150"/>
  <c r="E6" i="150"/>
  <c r="E8" i="392"/>
  <c r="E9" i="392"/>
  <c r="E10" i="392"/>
  <c r="E11" i="392"/>
  <c r="E5" i="187"/>
  <c r="E6" i="187"/>
  <c r="E7" i="187"/>
  <c r="E8" i="187"/>
  <c r="E9" i="187"/>
  <c r="E10" i="187"/>
  <c r="E5" i="189"/>
  <c r="E6" i="189"/>
  <c r="E7" i="189"/>
  <c r="E8" i="189"/>
  <c r="E9" i="189"/>
  <c r="E10" i="189"/>
  <c r="E11" i="189"/>
  <c r="E6" i="83"/>
  <c r="E7" i="83"/>
  <c r="E6" i="72"/>
  <c r="E7" i="72"/>
  <c r="E8" i="72"/>
  <c r="E9" i="72"/>
  <c r="E10" i="72"/>
  <c r="E11" i="72"/>
  <c r="E12" i="72"/>
  <c r="E13" i="72"/>
  <c r="E14" i="72"/>
  <c r="E15" i="72"/>
  <c r="E16" i="72"/>
  <c r="E17" i="72"/>
  <c r="E18" i="72"/>
  <c r="E19" i="72"/>
  <c r="E6" i="71"/>
  <c r="E7" i="71"/>
  <c r="E8" i="71"/>
  <c r="E9" i="71"/>
  <c r="E10" i="71"/>
  <c r="E11" i="71"/>
  <c r="E12" i="71"/>
  <c r="E13" i="71"/>
  <c r="E14" i="71"/>
  <c r="E15" i="71"/>
  <c r="E16" i="71"/>
  <c r="E17" i="71"/>
  <c r="E18" i="71"/>
  <c r="E19" i="71"/>
  <c r="E20" i="71"/>
  <c r="E21" i="71"/>
  <c r="E22" i="71"/>
  <c r="E23" i="71"/>
  <c r="E24" i="71"/>
  <c r="E25" i="71"/>
  <c r="E26" i="71"/>
  <c r="E27" i="71"/>
  <c r="E28" i="71"/>
  <c r="E29" i="71"/>
  <c r="E30" i="71"/>
  <c r="E31" i="71"/>
  <c r="E32" i="71"/>
  <c r="E33" i="71"/>
  <c r="E34" i="71"/>
  <c r="E35" i="71"/>
  <c r="E36" i="71"/>
  <c r="E37" i="71"/>
  <c r="E38" i="71"/>
  <c r="E39" i="71"/>
  <c r="E40" i="71"/>
  <c r="E41" i="71"/>
  <c r="E42" i="71"/>
  <c r="E43" i="71"/>
  <c r="E44" i="71"/>
  <c r="E45" i="71"/>
  <c r="E46" i="71"/>
  <c r="E47" i="71"/>
  <c r="E48" i="71"/>
  <c r="E49" i="71"/>
  <c r="E50" i="71"/>
  <c r="E6" i="67"/>
  <c r="E7" i="67"/>
  <c r="E8" i="67"/>
  <c r="E9" i="67"/>
  <c r="E10" i="67"/>
  <c r="E11" i="67"/>
  <c r="E12" i="67"/>
  <c r="E13" i="67"/>
  <c r="E14" i="67"/>
  <c r="E15" i="67"/>
  <c r="E16" i="67"/>
  <c r="E17" i="67"/>
  <c r="E18" i="67"/>
  <c r="E19" i="67"/>
  <c r="E20" i="67"/>
  <c r="E21" i="67"/>
  <c r="E22" i="67"/>
  <c r="E23" i="67"/>
  <c r="E24" i="67"/>
  <c r="E25" i="67"/>
  <c r="E6" i="66"/>
  <c r="E7" i="66"/>
  <c r="E8" i="66"/>
  <c r="E9" i="66"/>
  <c r="E10" i="66"/>
  <c r="E11" i="66"/>
  <c r="E12" i="66"/>
  <c r="E13" i="66"/>
  <c r="E14" i="66"/>
  <c r="E15" i="66"/>
  <c r="E16" i="66"/>
  <c r="E17" i="66"/>
  <c r="E18" i="66"/>
  <c r="E19" i="66"/>
  <c r="E29" i="30"/>
  <c r="E30" i="30"/>
  <c r="E31" i="30"/>
  <c r="E56" i="31"/>
  <c r="E57" i="31"/>
  <c r="E58" i="31"/>
  <c r="E59" i="31"/>
  <c r="E60" i="31"/>
  <c r="E61" i="31"/>
  <c r="E62" i="31"/>
  <c r="E63" i="31"/>
  <c r="E64" i="31"/>
  <c r="E65" i="31"/>
  <c r="E66" i="31"/>
  <c r="E67" i="31"/>
  <c r="E68" i="31"/>
  <c r="E69" i="31"/>
  <c r="E70" i="31"/>
  <c r="E71" i="31"/>
  <c r="E72" i="31"/>
  <c r="E73" i="31"/>
  <c r="E74" i="31"/>
  <c r="E75" i="31"/>
  <c r="E76" i="31"/>
  <c r="E77" i="31"/>
  <c r="E78" i="31"/>
  <c r="E79" i="31"/>
  <c r="E80" i="31"/>
  <c r="E81" i="31"/>
  <c r="E82" i="31"/>
  <c r="E83" i="31"/>
  <c r="E84" i="31"/>
  <c r="E85" i="31"/>
  <c r="E86" i="31"/>
  <c r="E6" i="166"/>
  <c r="E7" i="166"/>
  <c r="E8" i="166"/>
  <c r="E9" i="166"/>
  <c r="E10" i="166"/>
  <c r="E5" i="184"/>
  <c r="E6" i="184"/>
  <c r="E7" i="184"/>
  <c r="E8" i="184"/>
  <c r="E9" i="184"/>
  <c r="E10" i="184"/>
  <c r="E11" i="184"/>
  <c r="E12" i="184"/>
  <c r="E13" i="184"/>
  <c r="E14" i="184"/>
  <c r="E15" i="184"/>
  <c r="E16" i="184"/>
  <c r="E17" i="184"/>
  <c r="E18" i="184"/>
  <c r="E19" i="184"/>
  <c r="E20" i="184"/>
  <c r="E21" i="184"/>
  <c r="E22" i="184"/>
  <c r="E23" i="184"/>
  <c r="E24" i="241"/>
  <c r="E25" i="241"/>
  <c r="E26" i="241"/>
  <c r="E27" i="241"/>
  <c r="E28" i="241"/>
  <c r="E6" i="53"/>
  <c r="E7" i="53"/>
  <c r="E8" i="53"/>
  <c r="E9" i="53"/>
  <c r="E10" i="53"/>
  <c r="E11" i="53"/>
  <c r="E12" i="53"/>
  <c r="E13" i="53"/>
  <c r="E14" i="53"/>
  <c r="E15" i="53"/>
  <c r="E16" i="53"/>
  <c r="E17" i="53"/>
  <c r="E18" i="53"/>
  <c r="E19" i="53"/>
  <c r="E20" i="53"/>
  <c r="E21" i="53"/>
  <c r="E22" i="53"/>
  <c r="E23" i="53"/>
  <c r="E24" i="53"/>
  <c r="E25" i="53"/>
  <c r="E26" i="53"/>
  <c r="E27" i="53"/>
  <c r="E28" i="53"/>
  <c r="E29" i="53"/>
  <c r="E30" i="53"/>
  <c r="E31" i="53"/>
  <c r="E32" i="53"/>
  <c r="E33" i="53"/>
  <c r="E34" i="53"/>
  <c r="E5" i="401"/>
  <c r="E6" i="401"/>
  <c r="E7" i="401"/>
  <c r="E8" i="401"/>
  <c r="E9" i="401"/>
  <c r="E10" i="401"/>
  <c r="E11" i="401"/>
  <c r="E12" i="401"/>
  <c r="E13" i="401"/>
  <c r="E6" i="103"/>
  <c r="E7" i="103"/>
  <c r="E6" i="60"/>
  <c r="E7" i="60"/>
  <c r="E8" i="60"/>
  <c r="E9" i="60"/>
  <c r="E10" i="60"/>
  <c r="E11" i="60"/>
  <c r="E12" i="60"/>
  <c r="E13" i="60"/>
  <c r="E14" i="60"/>
  <c r="E15" i="60"/>
  <c r="E16" i="60"/>
  <c r="E17" i="60"/>
  <c r="E18" i="60"/>
  <c r="E19" i="60"/>
  <c r="E20" i="60"/>
  <c r="E21" i="60"/>
  <c r="E22" i="60"/>
  <c r="E23" i="60"/>
  <c r="E24" i="60"/>
  <c r="E6" i="177"/>
  <c r="E7" i="177"/>
  <c r="E8" i="177"/>
  <c r="E9" i="177"/>
  <c r="E10" i="177"/>
  <c r="E11" i="177"/>
  <c r="E12" i="177"/>
  <c r="E13" i="177"/>
  <c r="E14" i="177"/>
  <c r="E5" i="175"/>
  <c r="E6" i="175"/>
  <c r="E7" i="175"/>
  <c r="E8" i="175"/>
  <c r="E9" i="175"/>
  <c r="E6" i="388"/>
  <c r="E7" i="388"/>
  <c r="E8" i="388"/>
  <c r="E9" i="388"/>
  <c r="E10" i="388"/>
  <c r="E7" i="86"/>
  <c r="E8" i="86"/>
  <c r="E9" i="86"/>
  <c r="E10" i="86"/>
  <c r="E11" i="86"/>
  <c r="E8" i="335"/>
  <c r="E9" i="335"/>
  <c r="E10" i="335"/>
  <c r="E11" i="335"/>
  <c r="E12" i="335"/>
  <c r="E6" i="245"/>
  <c r="E7" i="245"/>
  <c r="E8" i="245"/>
  <c r="E9" i="245"/>
  <c r="E10" i="245"/>
  <c r="E11" i="245"/>
  <c r="E12" i="245"/>
  <c r="E13" i="245"/>
  <c r="E14" i="245"/>
  <c r="E15" i="245"/>
  <c r="E16" i="245"/>
  <c r="E17" i="245"/>
  <c r="E18" i="245"/>
  <c r="E19" i="245"/>
  <c r="E20" i="245"/>
  <c r="E21" i="245"/>
  <c r="E22" i="245"/>
  <c r="E6" i="69"/>
  <c r="E7" i="69"/>
  <c r="E8" i="69"/>
  <c r="E9" i="69"/>
  <c r="E10" i="69"/>
  <c r="E11" i="69"/>
  <c r="E12" i="69"/>
  <c r="E13" i="69"/>
  <c r="E14" i="69"/>
  <c r="E6" i="63"/>
  <c r="E7" i="63"/>
  <c r="E8" i="63"/>
  <c r="E9" i="63"/>
  <c r="E10" i="63"/>
  <c r="E11" i="63"/>
  <c r="E12" i="63"/>
  <c r="E13" i="63"/>
  <c r="E14" i="63"/>
  <c r="E15" i="63"/>
  <c r="E16" i="63"/>
  <c r="E17" i="63"/>
  <c r="E18" i="63"/>
  <c r="E19" i="63"/>
  <c r="E20" i="63"/>
  <c r="E21" i="63"/>
  <c r="E22" i="63"/>
  <c r="E23" i="63"/>
  <c r="E24" i="63"/>
  <c r="E25" i="63"/>
  <c r="E26" i="63"/>
  <c r="E27" i="63"/>
  <c r="E28" i="63"/>
  <c r="E29" i="63"/>
  <c r="E30" i="63"/>
  <c r="E31" i="63"/>
  <c r="E32" i="63"/>
  <c r="E33" i="63"/>
  <c r="E34" i="63"/>
  <c r="E35" i="63"/>
  <c r="E36" i="63"/>
  <c r="E37" i="63"/>
  <c r="E6" i="32"/>
  <c r="E7" i="32"/>
  <c r="E8" i="32"/>
  <c r="E9" i="32"/>
  <c r="E10" i="32"/>
  <c r="E11" i="32"/>
  <c r="E5" i="22"/>
  <c r="E6" i="22"/>
  <c r="E7" i="22"/>
  <c r="E8" i="22"/>
  <c r="E9" i="22"/>
  <c r="E10" i="22"/>
  <c r="E11" i="22"/>
  <c r="E12" i="22"/>
  <c r="E13" i="22"/>
  <c r="E14" i="22"/>
  <c r="E15" i="22"/>
  <c r="E16" i="22"/>
  <c r="E6" i="17"/>
  <c r="E7" i="17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5" i="74"/>
  <c r="E7" i="336"/>
  <c r="E8" i="336"/>
  <c r="E9" i="336"/>
  <c r="E10" i="336"/>
  <c r="E11" i="336"/>
  <c r="E12" i="336"/>
  <c r="E6" i="57"/>
  <c r="E7" i="57"/>
  <c r="E8" i="57"/>
  <c r="E9" i="57"/>
  <c r="E10" i="57"/>
  <c r="E11" i="57"/>
  <c r="E12" i="57"/>
  <c r="E13" i="57"/>
  <c r="E14" i="57"/>
  <c r="E15" i="57"/>
  <c r="E6" i="145"/>
  <c r="E7" i="145"/>
  <c r="E8" i="145"/>
  <c r="E9" i="145"/>
  <c r="E10" i="145"/>
  <c r="E11" i="145"/>
  <c r="E12" i="145"/>
  <c r="E13" i="145"/>
  <c r="E14" i="145"/>
  <c r="E15" i="145"/>
  <c r="E16" i="145"/>
  <c r="E17" i="145"/>
  <c r="E18" i="145"/>
  <c r="E19" i="145"/>
  <c r="E20" i="145"/>
  <c r="E21" i="145"/>
  <c r="E22" i="145"/>
  <c r="E23" i="145"/>
  <c r="E24" i="145"/>
  <c r="E25" i="145"/>
  <c r="E26" i="145"/>
  <c r="E27" i="145"/>
  <c r="E28" i="145"/>
  <c r="E29" i="145"/>
  <c r="E30" i="145"/>
  <c r="E31" i="145"/>
  <c r="E6" i="221"/>
  <c r="E7" i="221"/>
  <c r="E8" i="221"/>
  <c r="E9" i="221"/>
  <c r="E10" i="221"/>
  <c r="E11" i="221"/>
  <c r="E12" i="221"/>
  <c r="E15" i="219"/>
  <c r="E16" i="219"/>
  <c r="E17" i="219"/>
  <c r="E18" i="219"/>
  <c r="E19" i="219"/>
  <c r="E20" i="219"/>
  <c r="E21" i="219"/>
  <c r="E6" i="61"/>
  <c r="E7" i="61"/>
  <c r="E8" i="61"/>
  <c r="E9" i="61"/>
  <c r="E10" i="61"/>
  <c r="E11" i="61"/>
  <c r="E12" i="61"/>
  <c r="E13" i="61"/>
  <c r="E6" i="56"/>
  <c r="E5" i="394"/>
  <c r="E44" i="75"/>
  <c r="E45" i="75"/>
  <c r="E46" i="75"/>
  <c r="E8" i="217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6" i="235"/>
  <c r="E7" i="235"/>
  <c r="E8" i="235"/>
  <c r="E9" i="235"/>
  <c r="E10" i="235"/>
  <c r="E11" i="235"/>
  <c r="E12" i="235"/>
  <c r="E13" i="235"/>
  <c r="E14" i="235"/>
  <c r="E15" i="235"/>
  <c r="E6" i="54"/>
  <c r="E6" i="29"/>
  <c r="E7" i="29"/>
  <c r="E6" i="28"/>
  <c r="E7" i="28"/>
  <c r="E8" i="28"/>
  <c r="E9" i="28"/>
  <c r="E10" i="28"/>
  <c r="E11" i="28"/>
  <c r="E12" i="28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5" i="398"/>
  <c r="E5" i="30"/>
  <c r="E6" i="30"/>
  <c r="E7" i="30"/>
  <c r="E8" i="30"/>
  <c r="E9" i="30"/>
  <c r="E10" i="30"/>
  <c r="E11" i="30"/>
  <c r="E12" i="30"/>
  <c r="E13" i="30"/>
  <c r="E14" i="30"/>
  <c r="E15" i="30"/>
  <c r="E16" i="30"/>
  <c r="E17" i="30"/>
  <c r="E18" i="30"/>
  <c r="E19" i="30"/>
  <c r="E20" i="30"/>
  <c r="E21" i="30"/>
  <c r="E22" i="30"/>
  <c r="E23" i="30"/>
  <c r="E24" i="30"/>
  <c r="E25" i="30"/>
  <c r="E26" i="30"/>
  <c r="E6" i="58"/>
  <c r="E7" i="58"/>
  <c r="E8" i="58"/>
  <c r="E9" i="58"/>
  <c r="E10" i="58"/>
  <c r="E11" i="58"/>
  <c r="E12" i="58"/>
  <c r="E13" i="58"/>
  <c r="E14" i="58"/>
  <c r="E15" i="58"/>
  <c r="E16" i="58"/>
  <c r="E17" i="58"/>
  <c r="E6" i="65"/>
  <c r="E7" i="65"/>
  <c r="E8" i="65"/>
  <c r="E9" i="65"/>
  <c r="E10" i="65"/>
  <c r="E11" i="65"/>
  <c r="E12" i="65"/>
  <c r="E13" i="65"/>
  <c r="E5" i="343"/>
  <c r="E6" i="343"/>
  <c r="E7" i="343"/>
  <c r="E6" i="78"/>
  <c r="E7" i="78"/>
  <c r="E6" i="126"/>
  <c r="E7" i="126"/>
  <c r="E8" i="126"/>
  <c r="E9" i="126"/>
  <c r="E10" i="126"/>
  <c r="E6" i="59"/>
  <c r="E7" i="59"/>
  <c r="E8" i="59"/>
  <c r="E9" i="59"/>
  <c r="E10" i="59"/>
  <c r="E11" i="59"/>
  <c r="E12" i="59"/>
  <c r="E13" i="59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20" i="102"/>
  <c r="E21" i="102"/>
  <c r="E22" i="102"/>
  <c r="E6" i="130"/>
  <c r="E7" i="130"/>
  <c r="E8" i="130"/>
  <c r="E9" i="130"/>
  <c r="E10" i="130"/>
  <c r="E11" i="130"/>
  <c r="E12" i="130"/>
  <c r="E13" i="130"/>
  <c r="E14" i="130"/>
  <c r="E15" i="130"/>
  <c r="E16" i="130"/>
  <c r="E17" i="130"/>
  <c r="E5" i="77"/>
  <c r="E6" i="77"/>
  <c r="E6" i="360"/>
  <c r="E6" i="172"/>
  <c r="E7" i="172"/>
  <c r="E8" i="172"/>
  <c r="E5" i="256"/>
  <c r="E6" i="236"/>
  <c r="E7" i="236"/>
  <c r="E5" i="37"/>
  <c r="E6" i="37"/>
  <c r="E7" i="37"/>
  <c r="E5" i="192"/>
  <c r="E6" i="192"/>
  <c r="E7" i="192"/>
  <c r="E5" i="151"/>
  <c r="E6" i="151"/>
  <c r="E7" i="151"/>
  <c r="E5" i="176"/>
  <c r="E6" i="176"/>
  <c r="E7" i="176"/>
  <c r="E8" i="176"/>
  <c r="E6" i="308"/>
  <c r="E7" i="308"/>
  <c r="E8" i="308"/>
  <c r="E6" i="153"/>
  <c r="E7" i="153"/>
  <c r="E8" i="153"/>
  <c r="E6" i="265"/>
  <c r="E5" i="174"/>
  <c r="E6" i="248"/>
  <c r="E5" i="135"/>
  <c r="E5" i="286"/>
  <c r="E5" i="152"/>
  <c r="E6" i="152"/>
  <c r="E6" i="10"/>
  <c r="E7" i="10"/>
  <c r="E8" i="10"/>
  <c r="H40" i="19"/>
  <c r="E7" i="396"/>
  <c r="E8" i="396"/>
  <c r="E9" i="396"/>
  <c r="E6" i="234"/>
  <c r="E6" i="62"/>
  <c r="E6" i="374"/>
  <c r="E7" i="374"/>
  <c r="E12" i="241"/>
  <c r="E13" i="241"/>
  <c r="E14" i="241"/>
  <c r="E15" i="241"/>
  <c r="E16" i="241"/>
  <c r="E17" i="241"/>
  <c r="E18" i="241"/>
  <c r="E19" i="241"/>
  <c r="E20" i="241"/>
  <c r="E21" i="241"/>
  <c r="E6" i="36"/>
  <c r="E7" i="36"/>
  <c r="E8" i="36"/>
  <c r="E9" i="36"/>
  <c r="E10" i="36"/>
  <c r="E11" i="36"/>
  <c r="E5" i="76"/>
  <c r="E6" i="76"/>
  <c r="E7" i="76"/>
  <c r="E8" i="76"/>
  <c r="E9" i="76"/>
  <c r="E10" i="76"/>
  <c r="E11" i="76"/>
  <c r="E12" i="76"/>
  <c r="E13" i="76"/>
  <c r="E14" i="76"/>
  <c r="E15" i="76"/>
  <c r="E16" i="76"/>
  <c r="E17" i="76"/>
  <c r="E18" i="76"/>
  <c r="E19" i="76"/>
  <c r="E20" i="76"/>
  <c r="E21" i="76"/>
  <c r="E22" i="76"/>
  <c r="E23" i="76"/>
  <c r="E24" i="76"/>
  <c r="E25" i="76"/>
  <c r="E26" i="76"/>
  <c r="E27" i="76"/>
  <c r="E28" i="76"/>
  <c r="E29" i="76"/>
  <c r="E30" i="76"/>
  <c r="E31" i="76"/>
  <c r="E32" i="76"/>
  <c r="E33" i="76"/>
  <c r="E34" i="76"/>
  <c r="E35" i="76"/>
  <c r="E36" i="76"/>
  <c r="E37" i="76"/>
  <c r="E38" i="76"/>
  <c r="E39" i="76"/>
  <c r="E40" i="76"/>
  <c r="E41" i="76"/>
  <c r="E42" i="76"/>
  <c r="E43" i="76"/>
  <c r="E44" i="76"/>
  <c r="E45" i="76"/>
  <c r="E46" i="76"/>
  <c r="E47" i="76"/>
  <c r="E48" i="76"/>
  <c r="E49" i="76"/>
  <c r="E50" i="76"/>
  <c r="E51" i="76"/>
  <c r="E52" i="76"/>
  <c r="E53" i="76"/>
  <c r="E54" i="76"/>
  <c r="E4" i="218"/>
  <c r="E5" i="218"/>
  <c r="E6" i="218"/>
  <c r="E7" i="218"/>
  <c r="E8" i="218"/>
  <c r="E9" i="218"/>
  <c r="E10" i="218"/>
  <c r="E11" i="218"/>
  <c r="E12" i="218"/>
  <c r="E13" i="218"/>
  <c r="E14" i="218"/>
  <c r="E15" i="218"/>
  <c r="E16" i="218"/>
  <c r="E17" i="218"/>
  <c r="E18" i="218"/>
  <c r="E19" i="218"/>
  <c r="E20" i="218"/>
  <c r="E21" i="218"/>
  <c r="E22" i="218"/>
  <c r="E5" i="139"/>
  <c r="E6" i="139"/>
  <c r="E7" i="139"/>
  <c r="E8" i="139"/>
  <c r="E25" i="75"/>
  <c r="E26" i="75"/>
  <c r="E27" i="75"/>
  <c r="E28" i="75"/>
  <c r="E29" i="75"/>
  <c r="E30" i="75"/>
  <c r="E31" i="75"/>
  <c r="E32" i="75"/>
  <c r="E33" i="75"/>
  <c r="E34" i="75"/>
  <c r="E35" i="75"/>
  <c r="E36" i="75"/>
  <c r="E37" i="75"/>
  <c r="E38" i="75"/>
  <c r="E39" i="75"/>
  <c r="E40" i="75"/>
  <c r="E41" i="75"/>
  <c r="E42" i="75"/>
  <c r="E20" i="75"/>
  <c r="E21" i="75"/>
  <c r="E22" i="75"/>
  <c r="E4" i="75"/>
  <c r="E5" i="75"/>
  <c r="E6" i="75"/>
  <c r="E7" i="75"/>
  <c r="E8" i="75"/>
  <c r="E9" i="75"/>
  <c r="E10" i="75"/>
  <c r="E11" i="75"/>
  <c r="E12" i="75"/>
  <c r="E13" i="75"/>
  <c r="E14" i="75"/>
  <c r="E15" i="75"/>
  <c r="E16" i="75"/>
  <c r="E17" i="75"/>
  <c r="E18" i="75"/>
  <c r="E5" i="219"/>
  <c r="E6" i="219"/>
  <c r="E7" i="219"/>
  <c r="E8" i="219"/>
  <c r="E9" i="219"/>
  <c r="E10" i="219"/>
  <c r="E11" i="219"/>
  <c r="E12" i="219"/>
  <c r="E13" i="219"/>
  <c r="E5" i="369"/>
  <c r="E6" i="369"/>
  <c r="E7" i="369"/>
  <c r="E8" i="369"/>
  <c r="E9" i="369"/>
  <c r="E10" i="369"/>
  <c r="E11" i="369"/>
  <c r="E12" i="369"/>
  <c r="E13" i="369"/>
  <c r="E5" i="241"/>
  <c r="E4" i="31"/>
  <c r="E5" i="31"/>
  <c r="E6" i="31"/>
  <c r="E7" i="31"/>
  <c r="E8" i="31"/>
  <c r="E9" i="31"/>
  <c r="E10" i="31"/>
  <c r="E11" i="31"/>
  <c r="E12" i="31"/>
  <c r="E13" i="31"/>
  <c r="E14" i="31"/>
  <c r="E15" i="31"/>
  <c r="E16" i="31"/>
  <c r="E17" i="31"/>
  <c r="E18" i="31"/>
  <c r="E19" i="31"/>
  <c r="E20" i="31"/>
  <c r="E21" i="31"/>
  <c r="E22" i="31"/>
  <c r="E23" i="31"/>
  <c r="E24" i="31"/>
  <c r="E25" i="31"/>
  <c r="E26" i="31"/>
  <c r="E27" i="31"/>
  <c r="E28" i="31"/>
  <c r="E29" i="31"/>
  <c r="E30" i="31"/>
  <c r="E31" i="31"/>
  <c r="E32" i="31"/>
  <c r="E33" i="31"/>
  <c r="E34" i="31"/>
  <c r="E35" i="31"/>
  <c r="E36" i="31"/>
  <c r="E37" i="31"/>
  <c r="E38" i="31"/>
  <c r="E39" i="31"/>
  <c r="E40" i="31"/>
  <c r="E41" i="31"/>
  <c r="E42" i="31"/>
  <c r="E43" i="31"/>
  <c r="E44" i="31"/>
  <c r="E45" i="31"/>
  <c r="E46" i="31"/>
  <c r="E47" i="31"/>
  <c r="E48" i="31"/>
  <c r="E49" i="31"/>
  <c r="E50" i="31"/>
  <c r="E51" i="31"/>
  <c r="E52" i="31"/>
  <c r="E53" i="31"/>
  <c r="E54" i="31"/>
</calcChain>
</file>

<file path=xl/sharedStrings.xml><?xml version="1.0" encoding="utf-8"?>
<sst xmlns="http://schemas.openxmlformats.org/spreadsheetml/2006/main" count="8664" uniqueCount="961">
  <si>
    <t>NAMA BARANG : MF 190 (DTF101A)</t>
  </si>
  <si>
    <t>TGL</t>
  </si>
  <si>
    <t>NAMA PROYEK</t>
  </si>
  <si>
    <t>MASUK</t>
  </si>
  <si>
    <t>KELUAR</t>
  </si>
  <si>
    <t>SISA</t>
  </si>
  <si>
    <t>KETERANGAN</t>
  </si>
  <si>
    <t>HOR-MERUYA</t>
  </si>
  <si>
    <t>INDONAKANO-PANASONIC GOBEL</t>
  </si>
  <si>
    <t>IMP</t>
  </si>
  <si>
    <t>EVI JAYA</t>
  </si>
  <si>
    <t>13/5/2017</t>
  </si>
  <si>
    <t>JAGAT-TOMANG</t>
  </si>
  <si>
    <t>GLOBAL-AROSA</t>
  </si>
  <si>
    <t>JAGAT-BEKASI</t>
  </si>
  <si>
    <t>BHINEKA-AHM</t>
  </si>
  <si>
    <t>ACSET-MCC</t>
  </si>
  <si>
    <t>WIKA-TRANS CIBUBUR</t>
  </si>
  <si>
    <t>NAMA BARANG : MF 170 (DTF101)</t>
  </si>
  <si>
    <t>NAMA BARANG : MF 150</t>
  </si>
  <si>
    <t>NAMA BARANG : LD120</t>
  </si>
  <si>
    <r>
      <rPr>
        <b/>
        <sz val="12"/>
        <color indexed="8"/>
        <rFont val="Calibri"/>
        <family val="2"/>
      </rPr>
      <t xml:space="preserve">NAMA BARANG : </t>
    </r>
    <r>
      <rPr>
        <b/>
        <sz val="12"/>
        <rFont val="Calibri"/>
        <family val="2"/>
      </rPr>
      <t>LD90 (STF 90) STAIR TYPE FRAME 90</t>
    </r>
  </si>
  <si>
    <t>NAMA BARANG : LD50</t>
  </si>
  <si>
    <r>
      <rPr>
        <b/>
        <sz val="12"/>
        <color indexed="8"/>
        <rFont val="Calibri"/>
        <family val="2"/>
      </rPr>
      <t xml:space="preserve">NAMA BARANG : </t>
    </r>
    <r>
      <rPr>
        <b/>
        <sz val="12"/>
        <rFont val="Calibri"/>
        <family val="2"/>
      </rPr>
      <t>CB220 (301A)</t>
    </r>
  </si>
  <si>
    <t>TBP-LAVIE</t>
  </si>
  <si>
    <r>
      <rPr>
        <b/>
        <sz val="12"/>
        <color indexed="8"/>
        <rFont val="Calibri"/>
        <family val="2"/>
      </rPr>
      <t xml:space="preserve">NAMA BARANG : </t>
    </r>
    <r>
      <rPr>
        <b/>
        <sz val="12"/>
        <rFont val="Calibri"/>
        <family val="2"/>
      </rPr>
      <t>CB 193</t>
    </r>
  </si>
  <si>
    <t>NAMA BARANG : CB185</t>
  </si>
  <si>
    <t>NAMA BARANG : CB 172 /173</t>
  </si>
  <si>
    <t>Sisa stok 2016</t>
  </si>
  <si>
    <t>NAMA BARANG : CB 205</t>
  </si>
  <si>
    <t>NAMA BARANG : CB 136</t>
  </si>
  <si>
    <r>
      <rPr>
        <b/>
        <sz val="12"/>
        <color indexed="8"/>
        <rFont val="Calibri"/>
        <family val="2"/>
      </rPr>
      <t xml:space="preserve">NAMA BARANG :  </t>
    </r>
    <r>
      <rPr>
        <b/>
        <sz val="12"/>
        <rFont val="Calibri"/>
        <family val="2"/>
      </rPr>
      <t>JOINPIN (JP)</t>
    </r>
  </si>
  <si>
    <t>SPRING LAKE BEKASI</t>
  </si>
  <si>
    <r>
      <rPr>
        <b/>
        <sz val="12"/>
        <color indexed="8"/>
        <rFont val="Calibri"/>
        <family val="2"/>
      </rPr>
      <t>NAMA BARANG :</t>
    </r>
    <r>
      <rPr>
        <b/>
        <sz val="12"/>
        <rFont val="Calibri"/>
        <family val="2"/>
      </rPr>
      <t xml:space="preserve"> U-HEAD JACK 60</t>
    </r>
  </si>
  <si>
    <t>NAMA BARANG : JB40</t>
  </si>
  <si>
    <t>NAMA BARANG : UH40</t>
  </si>
  <si>
    <r>
      <rPr>
        <b/>
        <sz val="12"/>
        <color indexed="8"/>
        <rFont val="Calibri"/>
        <family val="2"/>
      </rPr>
      <t xml:space="preserve">NAMA BARANG : </t>
    </r>
    <r>
      <rPr>
        <b/>
        <sz val="12"/>
        <rFont val="Calibri"/>
        <family val="2"/>
      </rPr>
      <t>STAIR / TANGGA</t>
    </r>
  </si>
  <si>
    <r>
      <rPr>
        <b/>
        <sz val="12"/>
        <color indexed="8"/>
        <rFont val="Calibri"/>
        <family val="2"/>
      </rPr>
      <t xml:space="preserve">NAMA BARANG :  </t>
    </r>
    <r>
      <rPr>
        <b/>
        <sz val="12"/>
        <rFont val="Calibri"/>
        <family val="2"/>
      </rPr>
      <t xml:space="preserve">CAT WALK </t>
    </r>
  </si>
  <si>
    <t>NAMA BARANG : PIPA SUPORT</t>
  </si>
  <si>
    <r>
      <rPr>
        <b/>
        <sz val="12"/>
        <color indexed="8"/>
        <rFont val="Calibri"/>
        <family val="2"/>
      </rPr>
      <t xml:space="preserve">NAMA BARANG : </t>
    </r>
    <r>
      <rPr>
        <b/>
        <sz val="12"/>
        <rFont val="Calibri"/>
        <family val="2"/>
      </rPr>
      <t>SWIVLE CLAMP</t>
    </r>
  </si>
  <si>
    <t>NAMA BARANG : PIPE 1 M</t>
  </si>
  <si>
    <t>NAMA BARANG : PIPE 2 M</t>
  </si>
  <si>
    <r>
      <rPr>
        <b/>
        <sz val="12"/>
        <color indexed="8"/>
        <rFont val="Calibri"/>
        <family val="2"/>
      </rPr>
      <t>NAMA BARANG :</t>
    </r>
    <r>
      <rPr>
        <b/>
        <sz val="12"/>
        <rFont val="Calibri"/>
        <family val="2"/>
      </rPr>
      <t xml:space="preserve"> PIPE 3 M</t>
    </r>
  </si>
  <si>
    <t>NAMA BARANG : PIPE 4 M</t>
  </si>
  <si>
    <t>Sisa stok 2015</t>
  </si>
  <si>
    <t>NAMA BARANG : PIPE 5 M</t>
  </si>
  <si>
    <t>COCOK</t>
  </si>
  <si>
    <r>
      <rPr>
        <b/>
        <sz val="12"/>
        <color indexed="8"/>
        <rFont val="Calibri"/>
        <family val="2"/>
      </rPr>
      <t>NAMA BARANG :</t>
    </r>
    <r>
      <rPr>
        <b/>
        <sz val="12"/>
        <rFont val="Calibri"/>
        <family val="2"/>
      </rPr>
      <t xml:space="preserve"> PIPE 6 M (GALVANIS/HITAM)</t>
    </r>
  </si>
  <si>
    <t>28/11/16</t>
  </si>
  <si>
    <t>NAMA BARANG : HORRY BEAM</t>
  </si>
  <si>
    <t>NAMA BARANG : RODA</t>
  </si>
  <si>
    <t>19/4/16</t>
  </si>
  <si>
    <t>NAMA BARANG UH 85</t>
  </si>
  <si>
    <t>Indonakano-Sanko</t>
  </si>
  <si>
    <t>PERANCAH</t>
  </si>
  <si>
    <t>15/1/16</t>
  </si>
  <si>
    <t>INDONAKANO-SANKO</t>
  </si>
  <si>
    <t>JAGAT-OFFICE-TOMANG</t>
  </si>
  <si>
    <t>18/9/2015</t>
  </si>
  <si>
    <t>INDONAKANO-SANKO LIPPO</t>
  </si>
  <si>
    <t>JAGAT OFFICE-TOMANG</t>
  </si>
  <si>
    <t>22/9/2015</t>
  </si>
  <si>
    <t>IMP (UH-85CM U/ DIJADIKAN JB 85)</t>
  </si>
  <si>
    <t>SANKO-LIPPO CKRG</t>
  </si>
  <si>
    <t>25/9/2015</t>
  </si>
  <si>
    <t>26/9/2015</t>
  </si>
  <si>
    <t>30/9/2015</t>
  </si>
  <si>
    <t>JAGAT OFFICE</t>
  </si>
  <si>
    <t>15/4/16</t>
  </si>
  <si>
    <t>16/4/16</t>
  </si>
  <si>
    <t>TIGA BERSAUDARA</t>
  </si>
  <si>
    <t>13/10/15</t>
  </si>
  <si>
    <t xml:space="preserve">INDONAKANO - SANKO LIPPO </t>
  </si>
  <si>
    <t>20/4/16</t>
  </si>
  <si>
    <t>22/4/16</t>
  </si>
  <si>
    <t>13/11/15</t>
  </si>
  <si>
    <t>14/11/15</t>
  </si>
  <si>
    <t>16/11/15</t>
  </si>
  <si>
    <t>18/11/15</t>
  </si>
  <si>
    <t>19/11/15</t>
  </si>
  <si>
    <t>13/6/16</t>
  </si>
  <si>
    <t>20/11/15</t>
  </si>
  <si>
    <t>23/11/15</t>
  </si>
  <si>
    <t>29/6/16</t>
  </si>
  <si>
    <t>SANKO</t>
  </si>
  <si>
    <t>17/12/2015</t>
  </si>
  <si>
    <t>PT. JAGAT TOMANG</t>
  </si>
  <si>
    <t>22/12/15</t>
  </si>
  <si>
    <t>23/12/15</t>
  </si>
  <si>
    <t>18/8/16</t>
  </si>
  <si>
    <t>19/8/16</t>
  </si>
  <si>
    <t>28/12/15</t>
  </si>
  <si>
    <t>Jagat Office-TOMANG</t>
  </si>
  <si>
    <t>24/8/16</t>
  </si>
  <si>
    <t>26/8/16</t>
  </si>
  <si>
    <t>27/8/16</t>
  </si>
  <si>
    <t>29/8/16</t>
  </si>
  <si>
    <t>30/8/16</t>
  </si>
  <si>
    <t>31/8/16</t>
  </si>
  <si>
    <t>PANCA MITRA</t>
  </si>
  <si>
    <t>16/9/16</t>
  </si>
  <si>
    <t>24/10/16</t>
  </si>
  <si>
    <t>NAMA BARANG   : JACK BASE PCH 85 CM</t>
  </si>
  <si>
    <t>13/1/15</t>
  </si>
  <si>
    <t>TOTAL-SANTIKA 1100+1000</t>
  </si>
  <si>
    <t>15/1/15</t>
  </si>
  <si>
    <t xml:space="preserve">TOTAL-SANTIKA </t>
  </si>
  <si>
    <t>16/1/15</t>
  </si>
  <si>
    <t>TOTAL-SANTIKA</t>
  </si>
  <si>
    <t>20/1/15</t>
  </si>
  <si>
    <t>24/1/15</t>
  </si>
  <si>
    <t>29/1/15</t>
  </si>
  <si>
    <t>14/9/15</t>
  </si>
  <si>
    <t>SANKO - LIPPO CIKARANG</t>
  </si>
  <si>
    <t>19/9/2015</t>
  </si>
  <si>
    <t>IMP ( EKS UH 85)</t>
  </si>
  <si>
    <t>23/9/2015</t>
  </si>
  <si>
    <t>28/9/2015</t>
  </si>
  <si>
    <t>TIGA BERSAUDARA JB BESAR TNP MUR</t>
  </si>
  <si>
    <t xml:space="preserve">SANKO </t>
  </si>
  <si>
    <t>14/12/15</t>
  </si>
  <si>
    <t>TBP-SANTIKA</t>
  </si>
  <si>
    <t>SANTIKA</t>
  </si>
  <si>
    <t>13/1/16</t>
  </si>
  <si>
    <t>24/9/16</t>
  </si>
  <si>
    <t>NAMA BARANG</t>
  </si>
  <si>
    <t>; JACK BASE  55CM</t>
  </si>
  <si>
    <t>21/9/2015</t>
  </si>
  <si>
    <t>NAMA BARANG : BODY HARNES</t>
  </si>
  <si>
    <t>NAMA BARANG : PIPA PROF SAPOT</t>
  </si>
  <si>
    <t>NAMA BARANG : KSB TIE YOKE</t>
  </si>
  <si>
    <t>INDONAKANO -SANKO</t>
  </si>
  <si>
    <t>BAPAK UNTUNG - MESSA</t>
  </si>
  <si>
    <t>NAMA ALAT : WING NUT</t>
  </si>
  <si>
    <t>Tgl</t>
  </si>
  <si>
    <t>Nama PT/Proyek</t>
  </si>
  <si>
    <t>Masuk</t>
  </si>
  <si>
    <t>Keluar</t>
  </si>
  <si>
    <t>Sisa</t>
  </si>
  <si>
    <t>Imp</t>
  </si>
  <si>
    <t>Mesa-Bapak Untung</t>
  </si>
  <si>
    <t>22/10/2015</t>
  </si>
  <si>
    <t>19/12/2015</t>
  </si>
  <si>
    <t>15/3/2016</t>
  </si>
  <si>
    <t>Jagat-Job Tomang</t>
  </si>
  <si>
    <t>Jagat-Springlake</t>
  </si>
  <si>
    <t>21/10/16</t>
  </si>
  <si>
    <t>25/10/16</t>
  </si>
  <si>
    <t>24/11/16</t>
  </si>
  <si>
    <t>14/12/16</t>
  </si>
  <si>
    <t>15/12/16</t>
  </si>
  <si>
    <t>Panca Mitra-TOTO-81 SLIPI</t>
  </si>
  <si>
    <t>16/12/16</t>
  </si>
  <si>
    <t>20/12/16</t>
  </si>
  <si>
    <t>24/12/16</t>
  </si>
  <si>
    <t>26/12/16</t>
  </si>
  <si>
    <t xml:space="preserve">NAMA BARANG :TIE ROD </t>
  </si>
  <si>
    <t>NAMA BARANG : TIE ROD 15x17x100(1 M)</t>
  </si>
  <si>
    <t>18/10/16</t>
  </si>
  <si>
    <t>NAMA BARANG :TIE ROD 70CM</t>
  </si>
  <si>
    <t>Jagat Office</t>
  </si>
  <si>
    <t>JAGAT - BEKASI</t>
  </si>
  <si>
    <t>NAMA BARANG : TIE ROD 20 CM (MODIF)</t>
  </si>
  <si>
    <t>20/10/16</t>
  </si>
  <si>
    <t>NAMA BARANG :TIE ROD 15x17x300cm</t>
  </si>
  <si>
    <t>NAMA BARANG :TIE ROD 40CM</t>
  </si>
  <si>
    <t>NAMA BARANG :TIE ROD 50CM</t>
  </si>
  <si>
    <t>NAMA BARANG : TIE ROD  60CM</t>
  </si>
  <si>
    <t>PANCA MITRA-TOTO81</t>
  </si>
  <si>
    <t>23/12/16</t>
  </si>
  <si>
    <t>NAMA BARANG :TIE ROD  80 CM</t>
  </si>
  <si>
    <t>NAMA BARANG :TIE ROD 15x17x120CM</t>
  </si>
  <si>
    <t>15/9/16</t>
  </si>
  <si>
    <t>25/11/16</t>
  </si>
  <si>
    <t>19/12/16</t>
  </si>
  <si>
    <t>NAMA BARANG :TIE ROD 15x17x130CM</t>
  </si>
  <si>
    <t>NAMA BARANG :     TIE ROD 1.5M (150CM)</t>
  </si>
  <si>
    <t>NAMA BARANG :TIE ROD 15x17x160CM</t>
  </si>
  <si>
    <t>NAMA BARANG :TIE ROD 15x17x140CM</t>
  </si>
  <si>
    <t>NAMA BARANG :TIE ROD  15/17x190 CM</t>
  </si>
  <si>
    <t>NAMA ALAT : HOLLOW 40x100x3M</t>
  </si>
  <si>
    <t>NAMA ALAT : HOLLOW 40x100x6M</t>
  </si>
  <si>
    <t>NAMA ALAT : HOLLOW 60x60x3.5M</t>
  </si>
  <si>
    <t>NAMA BARANG : HOLLOW 40x80x1M</t>
  </si>
  <si>
    <t>NAMA BARANG : HOLLOW 40x80x3M</t>
  </si>
  <si>
    <t>NAMA BARANG : HOLLOW 40x80x1,5M</t>
  </si>
  <si>
    <t>NAMA BARANG : HOLLO 40X80X2.5 M</t>
  </si>
  <si>
    <t>NAMA BARANG : HOLLOW 50x50x6M</t>
  </si>
  <si>
    <t>23/12/2015</t>
  </si>
  <si>
    <t>NAMA BARANG : HOLLO 50X50X2 M</t>
  </si>
  <si>
    <t>13/12/16</t>
  </si>
  <si>
    <t>NAMA BARANG : HOLLOW 50x50x3M</t>
  </si>
  <si>
    <t>NAMA BARANG : HOLLOW 50x50x3,5M</t>
  </si>
  <si>
    <t>NAMA BARANG : HOLLOW 50x50x4M</t>
  </si>
  <si>
    <t>NAMA BARANG : HOLLO 50X50X2.5M</t>
  </si>
  <si>
    <t>NAMA BARANG : HOLLOW 50x50x1,8M</t>
  </si>
  <si>
    <t>NAMA BARANG : HOLLO 50X50X1.5M</t>
  </si>
  <si>
    <t>NAMA BARANG : HOLLO 50X50X1M</t>
  </si>
  <si>
    <t>NAMA BARANG : HOLLO 50X50X5M</t>
  </si>
  <si>
    <t>NAMA BARANG : HOLLOW 40x60x80 CM</t>
  </si>
  <si>
    <t>NAMA BARANG : HOLLOW 40x60x7 CM</t>
  </si>
  <si>
    <t>NAMA BARANG : HOLLOW 40x60x7.7 CM</t>
  </si>
  <si>
    <t>HOR-MERUYA (4X6X7.7)</t>
  </si>
  <si>
    <t>NAMA BARANG : HOLLOW 40x60x6M</t>
  </si>
  <si>
    <t>NAMA BARANG : HOLLOW 40x60x50 CM</t>
  </si>
  <si>
    <t>NAMA BARANG : HOLLOW 40x60x4M</t>
  </si>
  <si>
    <t>22/12/2015</t>
  </si>
  <si>
    <t>30/6/2016</t>
  </si>
  <si>
    <t>NAMA BARANG : HOLLOW 40x60x2,5M</t>
  </si>
  <si>
    <t>NAMA BARANG : HOLLOW 40x60x2M</t>
  </si>
  <si>
    <t>14/12/2015</t>
  </si>
  <si>
    <t>15/4/2016</t>
  </si>
  <si>
    <t>26/8/2016</t>
  </si>
  <si>
    <t>PPA-IMP GUDANG DADAP</t>
  </si>
  <si>
    <t>NAMA BARANG : HOLLOW 40x60x2,3M</t>
  </si>
  <si>
    <t>NAMA BARANG : HOLLOW 40x60x3M</t>
  </si>
  <si>
    <t>Jagat Office-BEKASI</t>
  </si>
  <si>
    <t>22/12/16</t>
  </si>
  <si>
    <t>NAMA BARANG : HOLLOW 40x60x3,5M</t>
  </si>
  <si>
    <t>NAMA BARANG : HOLLOW 40x60x1M</t>
  </si>
  <si>
    <t xml:space="preserve">NAMA BARANG : HOLLOW 40x60X120 </t>
  </si>
  <si>
    <t xml:space="preserve">NAMA BARANG : HOLLOW 40x60X130 </t>
  </si>
  <si>
    <t>NAMA BARANG : HOLLOW 40x60X170</t>
  </si>
  <si>
    <t xml:space="preserve">NAMA BARANG : HOLLOW 40x60X115 </t>
  </si>
  <si>
    <t>NAMA BARANG : HOLLOW 40x60x1,5M</t>
  </si>
  <si>
    <t xml:space="preserve">NAMA BARANG : HOLLOW 40x60 </t>
  </si>
  <si>
    <t>NAMA BARANG : HOLLOW 50x100x3M</t>
  </si>
  <si>
    <t>NAMA BARANG : HOLLOW 50x100x2,5M</t>
  </si>
  <si>
    <t>NAMA BARANG : HOLLOW 50x100x2M</t>
  </si>
  <si>
    <t>NAMA BARANG : HOLLOW 50x10x1.5M</t>
  </si>
  <si>
    <t>28/12/2015</t>
  </si>
  <si>
    <t>NAMA BARANG : HOLLOW 50x100x4M</t>
  </si>
  <si>
    <t>NAMA BARANG : HOLLOW 50x10x6M</t>
  </si>
  <si>
    <t>NAMA BARANG : VERTICAL 2,5 M</t>
  </si>
  <si>
    <t>NAMA BARANG : VERTICAL 2M</t>
  </si>
  <si>
    <t>NAMA BARANG : VERTICAL 0,5M</t>
  </si>
  <si>
    <t>NAMA BARANG : VERTICAL 1M</t>
  </si>
  <si>
    <t>NAMA BARANG : VERTICAL 1,5M</t>
  </si>
  <si>
    <t>17/12/16</t>
  </si>
  <si>
    <t>NAMA BARANG : LEDGER 1829</t>
  </si>
  <si>
    <t>NAMA BARANG : LEDGER 1524</t>
  </si>
  <si>
    <t>NAMA BARANG : LEDGER 1219</t>
  </si>
  <si>
    <t>NAMA BARANG : LEDGER 0915</t>
  </si>
  <si>
    <t>NAMA BARANG : BESI SIKU 40/4 F</t>
  </si>
  <si>
    <t>NAMA BARANG : SIDE BEAM</t>
  </si>
  <si>
    <t>NAMA BARANG : SBB - 55X50</t>
  </si>
  <si>
    <t>NAMA BARANG : SBB - 50X50</t>
  </si>
  <si>
    <t>21/12/2016</t>
  </si>
  <si>
    <t>PANCAMITRA-TOTO 81 SLIPI</t>
  </si>
  <si>
    <t>PANCA MITRA - TOTO 81</t>
  </si>
  <si>
    <t>NAMA BARANG : SIDE BEAM BRACKET 40x40X40X6</t>
  </si>
  <si>
    <t>NAMA BARANG : SIKU- 45X50</t>
  </si>
  <si>
    <t>PT.JAGAT OFFICE</t>
  </si>
  <si>
    <t>JAGAT BEKASI</t>
  </si>
  <si>
    <t>16/10/16</t>
  </si>
  <si>
    <t>NAMA BARANG : SBB - 60X65</t>
  </si>
  <si>
    <t>NAMA BARANG : SBB - 60X60</t>
  </si>
  <si>
    <t>; SIDE BEAM BRACKET 30X30</t>
  </si>
  <si>
    <t>; SIDE BEAM BRACKET 35X35</t>
  </si>
  <si>
    <t>; SIDE BEAM BRACKET 30X35</t>
  </si>
  <si>
    <t>19/11/2015</t>
  </si>
  <si>
    <t>; SIDE BEAM BRACKET 45/45</t>
  </si>
  <si>
    <t>JAGAT BEKASI - SPRING LAKE</t>
  </si>
  <si>
    <t>; SIDE BEAM BRACKET 70/70</t>
  </si>
  <si>
    <t>; SIDE BEAM BRACKET 75/75</t>
  </si>
  <si>
    <t>PPA-Tomang</t>
  </si>
  <si>
    <t>JAGAT - BEKASI 40+34</t>
  </si>
  <si>
    <t>; SIDE BEAM BRACKET 40/45</t>
  </si>
  <si>
    <t>27/3/16</t>
  </si>
  <si>
    <t>JAGAT KONSTUKSI-TOMANG</t>
  </si>
  <si>
    <t>31/3/16</t>
  </si>
  <si>
    <t>JAGAT OFFCE-TOMANG</t>
  </si>
  <si>
    <t>; TIE BAR 1 M</t>
  </si>
  <si>
    <t>; TIE BAR 1,5M</t>
  </si>
  <si>
    <t xml:space="preserve">; TIE BAR 120 </t>
  </si>
  <si>
    <t>; TIE BAR 40</t>
  </si>
  <si>
    <t>; TIE BAR 90</t>
  </si>
  <si>
    <t>; TIE BAR 60+WING NUT</t>
  </si>
  <si>
    <t>; TIE BAR 60</t>
  </si>
  <si>
    <t>; TIE BAR 50</t>
  </si>
  <si>
    <t>; TIE BAR 80</t>
  </si>
  <si>
    <t>; TIE BAR 30</t>
  </si>
  <si>
    <t>; TRIGER BRACE 2,75 OPEN IND</t>
  </si>
  <si>
    <t>; U-PLATE PCH 8MM</t>
  </si>
  <si>
    <t>NAMA BARANG : UNP 80X600CM</t>
  </si>
  <si>
    <t>NAMA BARANG  : UNP 100 600 CM</t>
  </si>
  <si>
    <t>; DOUBLE PRESSED COUPLER</t>
  </si>
  <si>
    <t>NAMA BARANG : VERTICAL BEAM</t>
  </si>
  <si>
    <t xml:space="preserve">NAMA BARANG :  BRACKET PERYMETER </t>
  </si>
  <si>
    <t>NAMA BARANG : CANTILEVER (0,915 SILVER)</t>
  </si>
  <si>
    <t>NAMA BARANG : SURI-SURI 40.60.1.5M</t>
  </si>
  <si>
    <t>PT.PERANCAH PRO ALAT</t>
  </si>
  <si>
    <t xml:space="preserve">NAMA BARANG : SURI-SURI 2M </t>
  </si>
  <si>
    <t>REKAP STOK ALAT KWIKSTAGE</t>
  </si>
  <si>
    <t>NAMA ALAT : SURI - SURI 5x10x 1,5M</t>
  </si>
  <si>
    <t>NAMA BARANG  : PRIMER BEAM 2M</t>
  </si>
  <si>
    <t>NAMA BARANG  : PRIMER BEAM 3M</t>
  </si>
  <si>
    <t>NAMA BARANG  : PHENOLIC FILM 15MMX4X8</t>
  </si>
  <si>
    <t>NAMA BARANG : BAUT L + MUR</t>
  </si>
  <si>
    <t xml:space="preserve">NAMA BARANG  : BAUT  </t>
  </si>
  <si>
    <t>Ppa-Work Shop</t>
  </si>
  <si>
    <t>NAMA BARANG : BAUT + MUR 10X20 CM</t>
  </si>
  <si>
    <t>NAMA BARANG : WASHER</t>
  </si>
  <si>
    <t>NAMA BARANG : ANGKUR + MUR+WASHER</t>
  </si>
  <si>
    <t>NAMA BARANG  : ADJUSTABLE BRACE 1000</t>
  </si>
  <si>
    <t>NAMA BARANG  :  ADJUSTABLE 2 " X 100 CM</t>
  </si>
  <si>
    <t>NAMA BARANG  : ADJUST BEAM BRAKET 3</t>
  </si>
  <si>
    <t>NAMA BARANG  : STILL WALLER 122</t>
  </si>
  <si>
    <t>NAMA BARANG  : STILL WALLER 5 M</t>
  </si>
  <si>
    <t>NAMA BARANG  : STILL WALLER 3 M</t>
  </si>
  <si>
    <t>NAMA BARANG  : STILL WALLER 356 CM</t>
  </si>
  <si>
    <t>NAMA BARANG  : STILL WALLER 478 CM</t>
  </si>
  <si>
    <t>NAMA BARANG  : STILL WALLER 173 CM</t>
  </si>
  <si>
    <t>NAMA BARANG  : STILL WALLER 174 CM</t>
  </si>
  <si>
    <t>NAMA BARANG  : STILL WALLER 117 CM</t>
  </si>
  <si>
    <t>NAMA BARANG  : STILL WALLER 234 CM</t>
  </si>
  <si>
    <t>NAMA BARANG  : STILL WALLER 235 CM</t>
  </si>
  <si>
    <t>NAMA BARANG  : STILL WALLER 100 CM</t>
  </si>
  <si>
    <t>NAMA BARANG  : CUTTING WHELL 14"</t>
  </si>
  <si>
    <t>NAMA BARANG  :KOLOM WALLER 700X1400</t>
  </si>
  <si>
    <t>NAMA ALAT : COULOMN WALLER 650x700(350x400)</t>
  </si>
  <si>
    <t>NAMA ALAT : COULOMN WALLER 800x1100</t>
  </si>
  <si>
    <t>NAMA BARANG  :KOLOM WALLER 80X80</t>
  </si>
  <si>
    <t>NAMA BARANG  :KOLOM WALLER 170X80</t>
  </si>
  <si>
    <t>NAMA BARANG  : KOLOM WALLER 70X100</t>
  </si>
  <si>
    <t xml:space="preserve">NAMA BARANG  : KOLOM WALLER 700X1755 </t>
  </si>
  <si>
    <t>NAMA BARANG  : KOLOM WALLER 750X1755</t>
  </si>
  <si>
    <t>NAMA BARANG  : KOLOM WALLER 700X500</t>
  </si>
  <si>
    <t>NAMA BARANG  : KOLOM WALLER 70X55</t>
  </si>
  <si>
    <t>NAMA BARANG  : KOLOM WALLER 75X150</t>
  </si>
  <si>
    <t>NAMA BARANG  : KOLOM WALLER 70X150</t>
  </si>
  <si>
    <t>NAMA BARANG  : KOLOM WALLER 750X220</t>
  </si>
  <si>
    <t>NAMA BARANG  : KOLOM WALLER 70X220</t>
  </si>
  <si>
    <t>NAMA BARANG  : KOLOM WALLER 70X120</t>
  </si>
  <si>
    <t>NAMA BARANG  :KOLOM WALLER 70X70</t>
  </si>
  <si>
    <t>NAMA BARANG  : KOLOM WALLER 700 X 1300</t>
  </si>
  <si>
    <t>NAMA ALAT : COULOMN WALLER 750x1700</t>
  </si>
  <si>
    <t>NAMA BARANG  : KOLOM WALLER 700 X 1800</t>
  </si>
  <si>
    <t>NAMA BARANG  :KOLOM WALLER 70X63</t>
  </si>
  <si>
    <t>NAMA BARANG  :KOLOM WALLER 700X920</t>
  </si>
  <si>
    <t>NAMA BARANG  :KOLOM WALLER 60X60</t>
  </si>
  <si>
    <t>NAMA BARANG  :KOLOM WALLER 50X50</t>
  </si>
  <si>
    <t>NAMA BARANG  : KOLOM WALLER 90X1200</t>
  </si>
  <si>
    <t>NAMA BARANG  : KOLOM WALLER 90X1100</t>
  </si>
  <si>
    <t>NAMA BARANG  : KOLOM WALLER 90X90</t>
  </si>
  <si>
    <t>NAMA BARANG  : KOLOM WALLER 700X3750</t>
  </si>
  <si>
    <t>NAMA BARANG  : KOLOM WALLER 700X3450</t>
  </si>
  <si>
    <t>NAMA BARANG  : KOLOM WALLER 1100 X 1100</t>
  </si>
  <si>
    <t>NAMA BARANG  : KOLOM WALLER 1000 X 1000</t>
  </si>
  <si>
    <t>NAMA BARANG  : KOLOM WALLER 1000 X 55</t>
  </si>
  <si>
    <t>NAMA BARANG  : KOLOM WALLER 1000 X 650</t>
  </si>
  <si>
    <t xml:space="preserve">NAMA BARANG  : KOLOM WALLER 108 X 80 </t>
  </si>
  <si>
    <t>NAMA BARANG  : KOLOM WALLER 1000 X 800</t>
  </si>
  <si>
    <t>NAMA BARANG  : KOLOM WALLER 600 X 900</t>
  </si>
  <si>
    <t>NAMA BARANG  : KOLOM WALLER 1500 X 800 (500X1200)</t>
  </si>
  <si>
    <t>NAMA BARANG  : KOLOM WALLER 600 X 800</t>
  </si>
  <si>
    <t>NAMA BARANG  : KOLOM WALLER 400 X 800</t>
  </si>
  <si>
    <t>NAMA BARANG  : KOLOM WALLER 400 X 200</t>
  </si>
  <si>
    <t>NAMA BARANG  : KOLOM WALLER 400 X 400</t>
  </si>
  <si>
    <t>NAMA BARANG  : KOLOM WALLER 40 X 100</t>
  </si>
  <si>
    <t>NAMA BARANG  : KOLOM WALLER 40 X 150</t>
  </si>
  <si>
    <t xml:space="preserve">NAMA BARANG  : KOLOM WALLER  </t>
  </si>
  <si>
    <t>NAMA BARANG  : KOLOM WALLER 700 X 1100</t>
  </si>
  <si>
    <t>NAMA BARANG  : VARIO WALLER -Z117</t>
  </si>
  <si>
    <t>NAMA BARANG  : VARIO WALLER -L.117</t>
  </si>
  <si>
    <t>NAMA BARANG  : VARIO WALLER  117.36</t>
  </si>
  <si>
    <t>NAMA BARANG  : TIE YORK</t>
  </si>
  <si>
    <t>NAMA BARANG : WEDGE HEAD PICCE</t>
  </si>
  <si>
    <t xml:space="preserve">NAMA BARANG : WEDGE K </t>
  </si>
  <si>
    <t>NAMA BARANG : WEDGE KZ/BAJI</t>
  </si>
  <si>
    <t xml:space="preserve">NAMA ALAT : BASE PLAT </t>
  </si>
  <si>
    <t>; CORNER COUPLING/COMPLEMENTERY</t>
  </si>
  <si>
    <t>; CORNER COUPLING 630 X 630</t>
  </si>
  <si>
    <t>; CORNER COUPLING 65 X 65</t>
  </si>
  <si>
    <t>NAMA ALAT : CORNER COUPLING 1M</t>
  </si>
  <si>
    <t>;  COUNER COIPLING 1.5 M</t>
  </si>
  <si>
    <t>NAMA ALAT : CORNER COUPLING 750x1700</t>
  </si>
  <si>
    <t>NAMA ALAT : CNP 75x35 161,25CM</t>
  </si>
  <si>
    <t>NAMA BARANG : CNP125X50X32X4000</t>
  </si>
  <si>
    <t>NAMA BARANG : CNP125X3500</t>
  </si>
  <si>
    <t>NAMA BARANG : COLOUM MN WILLING</t>
  </si>
  <si>
    <t>; STILL COIPLING 1 M</t>
  </si>
  <si>
    <t>NAMA BARANG : COUPLING ELEMENT LKB 76/74</t>
  </si>
  <si>
    <t>NAMA ALAT : BESI DRAT 0,2 CM</t>
  </si>
  <si>
    <t>NAMA ALAT : BOLT+NUT 12MMx200MM</t>
  </si>
  <si>
    <t>NAMA ALAT : BOLT+NUT 12MMx70MM</t>
  </si>
  <si>
    <t>NAMA BARANG  : PHENOLIC FILM 18MMX4X8</t>
  </si>
  <si>
    <t>NAMA BARANG : KEWEL (CLEMP BEAM)</t>
  </si>
  <si>
    <t>;SCAFFOL JACK</t>
  </si>
  <si>
    <t>NAMA BARANG :FORM TIE D-300MM</t>
  </si>
  <si>
    <t>NAMA BARANG : NUT 12 L/FT</t>
  </si>
  <si>
    <t>NAMA BARANG : PALSTIC CONE 12X 40</t>
  </si>
  <si>
    <t>NAMA BARANG : ULTRA RING 12 MM</t>
  </si>
  <si>
    <t>NAMA BARANG : SEPARATOR B 12-300MM</t>
  </si>
  <si>
    <t>NAMA BARANG :  STAIR COLOUM</t>
  </si>
  <si>
    <t>NAMA BARANG :  CATWALK  COLOUM (400 x 1200)</t>
  </si>
  <si>
    <t>NAMA BARANG  : LOCK PEN</t>
  </si>
  <si>
    <t>NAMA BARANG : BESI SIKU 6 M</t>
  </si>
  <si>
    <t>NAMA BARANG : BESI SIKU 3 M</t>
  </si>
  <si>
    <t>NAMA BARANG :  PAPAN ASHIBA</t>
  </si>
  <si>
    <t>19/10/2017</t>
  </si>
  <si>
    <t>; TIE BAR 70</t>
  </si>
  <si>
    <t>IDEA MANDIRI</t>
  </si>
  <si>
    <t>NAMA ALAT : SURI - SURI 5x10x 2M KAYU</t>
  </si>
  <si>
    <r>
      <t xml:space="preserve">NAMA BARANG : </t>
    </r>
    <r>
      <rPr>
        <b/>
        <sz val="12"/>
        <rFont val="Calibri"/>
        <family val="2"/>
      </rPr>
      <t xml:space="preserve"> TIANG TANGGA</t>
    </r>
  </si>
  <si>
    <r>
      <t>NAMA BARANG :</t>
    </r>
    <r>
      <rPr>
        <b/>
        <sz val="12"/>
        <rFont val="Calibri"/>
        <family val="2"/>
      </rPr>
      <t xml:space="preserve"> JACK BASE 60</t>
    </r>
  </si>
  <si>
    <t>NKE-WCT</t>
  </si>
  <si>
    <t xml:space="preserve">SISA STOK </t>
  </si>
  <si>
    <t>SISA STOK 2017</t>
  </si>
  <si>
    <t>NINDYA KARYA-SDN 04 MERUYA 38+4</t>
  </si>
  <si>
    <t>STOK ALAT 2017</t>
  </si>
  <si>
    <t>NINDYA KARYA-SDN 04 MERUYA 42+5</t>
  </si>
  <si>
    <t>SISA STOK  2017</t>
  </si>
  <si>
    <t>NINDYA KARYA-SDN 04 MERUYA 21+5</t>
  </si>
  <si>
    <t>Sisa stok 2017</t>
  </si>
  <si>
    <t>NINDYA KARYA-04 MERUYA</t>
  </si>
  <si>
    <t>NINDYA KARYA-SDDN 04 MERUYA</t>
  </si>
  <si>
    <t>TBP-JO.JIEXPO</t>
  </si>
  <si>
    <t>SISA ALAT 2017</t>
  </si>
  <si>
    <t>ALAM JAYA (CONTOH 2)</t>
  </si>
  <si>
    <t>BHINEKA-AHM 15+200</t>
  </si>
  <si>
    <t>BHINEKA-AHM 17+16</t>
  </si>
  <si>
    <t>INDONAKANO-PANASONIC GOBEL 39+102</t>
  </si>
  <si>
    <t>BHINEKA-AHM 80+116+99+36+1</t>
  </si>
  <si>
    <t xml:space="preserve">BHINEKA-AHM </t>
  </si>
  <si>
    <t>GLOBAL-AROSA 18+4</t>
  </si>
  <si>
    <t>SISA STOCK ALAT 2017</t>
  </si>
  <si>
    <t>TBP-BBSI.JO</t>
  </si>
  <si>
    <t>NKE - WCT</t>
  </si>
  <si>
    <t>NAMA PT-PROYEK</t>
  </si>
  <si>
    <t>SISA STOK ALAT 2017</t>
  </si>
  <si>
    <t>NAMA BARANG : HOLLOW 50x10x1M</t>
  </si>
  <si>
    <t>NAMA BARANG : SURI-SURI 50 X 10 X 2M</t>
  </si>
  <si>
    <t>NINDYA KARYA-RS.HARKIT</t>
  </si>
  <si>
    <t>PMI-TOTO</t>
  </si>
  <si>
    <t>POLABAJA-TOYOTA BT CEPER</t>
  </si>
  <si>
    <t>NINDYA.LTM KSO-PUSK.CEGER</t>
  </si>
  <si>
    <t>NINDYA.LTM KSO-PUSK.CEGER 291+10</t>
  </si>
  <si>
    <t xml:space="preserve">NINDYA KARYA-SDN 04 MERUYA </t>
  </si>
  <si>
    <t>BHINEKA - AHM</t>
  </si>
  <si>
    <t>BHINEKA - AHM 180+50</t>
  </si>
  <si>
    <t>BHINEKA-AHM 75+80</t>
  </si>
  <si>
    <t>INDONAKANO-GOBEL</t>
  </si>
  <si>
    <t>WIKA-TRANS CIBUBUR 400+400</t>
  </si>
  <si>
    <t>TOTAL-BBSI.JO</t>
  </si>
  <si>
    <t>NINDYA KARYA-HARAPAN KITA</t>
  </si>
  <si>
    <t>NINDYA KARYA-HARIKIT 213+6+8</t>
  </si>
  <si>
    <t>NINDYA KARYA-HARAPAN KITA 180+20+6</t>
  </si>
  <si>
    <t>ACSET-LRT CAWANG</t>
  </si>
  <si>
    <t>RENDEZ</t>
  </si>
  <si>
    <t>WIKA-TRANS CIBUBUR 600+400</t>
  </si>
  <si>
    <t>WIKA-TRANS CIBUBUR 676+324</t>
  </si>
  <si>
    <t>NINDYA LTM KSO-PUSK.CILILITAN</t>
  </si>
  <si>
    <t>NINDYA LTM-KSO</t>
  </si>
  <si>
    <t>NINDYA.LTM KSO-PUSK.CILILITAN</t>
  </si>
  <si>
    <t>NINYA LTM KSO-PUSK.CILILITAN</t>
  </si>
  <si>
    <t>INDONAKANO-PANASONIC</t>
  </si>
  <si>
    <t>NAMA BARANG : SBB-  SIKU 55X55</t>
  </si>
  <si>
    <t>NAMA BARANG : SIDE BEAM BRACKET 40x40X3</t>
  </si>
  <si>
    <t>INDONAKANO-SEIWA</t>
  </si>
  <si>
    <t>NKE-NARGONDA</t>
  </si>
  <si>
    <t>WIKA-CIBUBUR</t>
  </si>
  <si>
    <t>INDONAKANO-THAI SUMMIT</t>
  </si>
  <si>
    <t>INDONAKANO-THAISUMIT</t>
  </si>
  <si>
    <t>INDONAKANO-THAISUMMIT</t>
  </si>
  <si>
    <t>BCP-AHM 103+66</t>
  </si>
  <si>
    <t>ACSET-VISTA</t>
  </si>
  <si>
    <t>NINDYA KARYA-SDN KAPUK</t>
  </si>
  <si>
    <t>NINDYA KARYA-SDN 04 MERUYA</t>
  </si>
  <si>
    <t>NINDYA KARYA-TAMBORA</t>
  </si>
  <si>
    <t>NINDYA KARYA-PUSK.CMPK PUTIH</t>
  </si>
  <si>
    <t>PANCA MITRA INDOCON</t>
  </si>
  <si>
    <t>NINDYA KARYA-SDN KEB.JERUK 06</t>
  </si>
  <si>
    <t>NINDYA KARYA-SLIPI</t>
  </si>
  <si>
    <t>POLABAJA-TREEPARK</t>
  </si>
  <si>
    <t>BHINEKA-AHM 460+52</t>
  </si>
  <si>
    <t>BHINEKA-AHM 111+51</t>
  </si>
  <si>
    <t>BHINEKA-AHM 136+46</t>
  </si>
  <si>
    <t>BHINEKA-AHM 77+5</t>
  </si>
  <si>
    <t>TBP-RS.GRAHA</t>
  </si>
  <si>
    <t>TBP-RS.GRAHA 37+8</t>
  </si>
  <si>
    <t>BHINEKA-AHM 184+125+2</t>
  </si>
  <si>
    <t>BHINEKA-AHM  112+3+3</t>
  </si>
  <si>
    <t xml:space="preserve">BHINEKA-AHM  </t>
  </si>
  <si>
    <t>NINDYA - LTM KSO</t>
  </si>
  <si>
    <t>BPK-SAIDI</t>
  </si>
  <si>
    <t>WIKA-TRANS CIBUBUR 100+380</t>
  </si>
  <si>
    <t>WIKA-TRANS CIBUBUR 200+800</t>
  </si>
  <si>
    <t>13/1/2018</t>
  </si>
  <si>
    <t>BHINEKA CP-AHM</t>
  </si>
  <si>
    <t>BHINEKA-AHM  4+47</t>
  </si>
  <si>
    <t>BHINEKA-AHM  40+11</t>
  </si>
  <si>
    <t>BHINEKA-AHM  79+11</t>
  </si>
  <si>
    <t>BHINEKA-AHM 50+28</t>
  </si>
  <si>
    <t>BHINEKA-AHM  24+3</t>
  </si>
  <si>
    <t>14/1/2018</t>
  </si>
  <si>
    <t>WIKA-TRANS CIBUBUR 400</t>
  </si>
  <si>
    <t>WIKA-TRANS CIBUBUR 420</t>
  </si>
  <si>
    <t>TOTAL-THAMRIN 161+164+166</t>
  </si>
  <si>
    <t xml:space="preserve">TOTAL-THAMRIN </t>
  </si>
  <si>
    <t>15/1/2018</t>
  </si>
  <si>
    <t>NINDYA-LTM KSO-JOHAR BARU</t>
  </si>
  <si>
    <t>NINDYA-LTM KSO-JOHAR BARU 24+10+2</t>
  </si>
  <si>
    <t>BHINEKA-AHM 47+8</t>
  </si>
  <si>
    <t>ACSET-MCC 84+6</t>
  </si>
  <si>
    <t xml:space="preserve">ACSET-MCC </t>
  </si>
  <si>
    <t>15/1/2017</t>
  </si>
  <si>
    <t>NINDYA KARYA-SMPN 224</t>
  </si>
  <si>
    <t>TBP-THAMRIN 9</t>
  </si>
  <si>
    <t>16/1/2018</t>
  </si>
  <si>
    <t>INDONAKANO-HIRUTA</t>
  </si>
  <si>
    <t>16/1/2017</t>
  </si>
  <si>
    <t>INNOTECH SYSTEMS</t>
  </si>
  <si>
    <t>INNOTECH SYSTEMS-THAMRIN 9</t>
  </si>
  <si>
    <t>NINDYA KARYA-TERPADU TAMBORA</t>
  </si>
  <si>
    <t>EVI JAYA-SAEDI CENGKARENG</t>
  </si>
  <si>
    <t>17/1/2018</t>
  </si>
  <si>
    <t>NINDYA-LTM KSO-PUSK.CEGER</t>
  </si>
  <si>
    <t>NINDYA LTM KSO- PUSK. CILILTAN</t>
  </si>
  <si>
    <t>NINDYA LTM KSO-MENGGARAI</t>
  </si>
  <si>
    <t>LENA-MENTENG</t>
  </si>
  <si>
    <t>PMI-TOTO(CIKOKOL)</t>
  </si>
  <si>
    <t>PMI-MCC</t>
  </si>
  <si>
    <t>PMI-MCC (CIKOKOL)</t>
  </si>
  <si>
    <t>TBP-PAKUBUWONO</t>
  </si>
  <si>
    <t>JKA-JOB GDNG</t>
  </si>
  <si>
    <t>18/1/2018</t>
  </si>
  <si>
    <t>TBP-LAVIE 61+60</t>
  </si>
  <si>
    <t>TBP-LAVIE 21+32</t>
  </si>
  <si>
    <t>TBP-LAVIE 50+1</t>
  </si>
  <si>
    <t>NKE-CNQC-CHADSTONE</t>
  </si>
  <si>
    <t>19/1/2018</t>
  </si>
  <si>
    <t>WIKA-GEDUNG</t>
  </si>
  <si>
    <t>ACSET-MCC 166+10</t>
  </si>
  <si>
    <t>ACSET-TOTO (CIKOKOL)</t>
  </si>
  <si>
    <t>ACSET-MCC (CIKOKOL)</t>
  </si>
  <si>
    <t>19/1/2017</t>
  </si>
  <si>
    <t>PMI-CIKOKOL</t>
  </si>
  <si>
    <t>BAJAMARGA KARISMA</t>
  </si>
  <si>
    <t>TBP-THAMRIN 9 . 166+34</t>
  </si>
  <si>
    <t>TBP-LAVIE 24+10</t>
  </si>
  <si>
    <t>20/1/2018</t>
  </si>
  <si>
    <t>ACSET-MCC-GDNG CIKOKOL</t>
  </si>
  <si>
    <t>CONCREAT-EBONY KAPUK</t>
  </si>
  <si>
    <t>21/1/2018</t>
  </si>
  <si>
    <t>WIKA-TRANS CIBUBUR 100+50</t>
  </si>
  <si>
    <t>22/1/2018</t>
  </si>
  <si>
    <t>21/1/2017</t>
  </si>
  <si>
    <t>NKE-CHADSTONE</t>
  </si>
  <si>
    <t>WIKA-TAMAN SARI BEKASI</t>
  </si>
  <si>
    <t>TBP-APARTEMEN AERIUM TPB 120+40</t>
  </si>
  <si>
    <t>23/1/2018</t>
  </si>
  <si>
    <t>ACSET-WEST VISTA</t>
  </si>
  <si>
    <t>TBP-APARTEMEN AERIUM</t>
  </si>
  <si>
    <t>BCP-AHM</t>
  </si>
  <si>
    <t>ACSET WEST</t>
  </si>
  <si>
    <t>C</t>
  </si>
  <si>
    <t>24/1/2018</t>
  </si>
  <si>
    <t>INDONAKANO-HIRUTA 19+6</t>
  </si>
  <si>
    <t>INDONAKANO-HIRUTA 80+50</t>
  </si>
  <si>
    <t>NINDYA KARYA-VENUE LAYAR</t>
  </si>
  <si>
    <t>CSQC-NKE</t>
  </si>
  <si>
    <t>WIKA-TRANS CIBUBUR 83+85</t>
  </si>
  <si>
    <t>WIKA-TRANS CIBUBUR 166+170</t>
  </si>
  <si>
    <t>25/1/2018</t>
  </si>
  <si>
    <t>NINDYA-LTM KSO.PUSK-MANGGARAI</t>
  </si>
  <si>
    <t>NINDYA KARYA-VENUE</t>
  </si>
  <si>
    <t>WIKA GEDUNG-TRANS CIBUBUR</t>
  </si>
  <si>
    <t>NINDYA KARYA - VENUE LAYAR</t>
  </si>
  <si>
    <t>26/1/2018</t>
  </si>
  <si>
    <t>TBP-LAVIE 71+38</t>
  </si>
  <si>
    <t>TBP-LAVIE 40+4</t>
  </si>
  <si>
    <t>TBP-LAVIE 400+100</t>
  </si>
  <si>
    <t>CONCREAT-JL.MPR R.DLM CILANDAK</t>
  </si>
  <si>
    <t>PMI-TOTO 39+43</t>
  </si>
  <si>
    <t>PMI-TOTO 65+20</t>
  </si>
  <si>
    <t>LENA-MENTENG 322+56+7</t>
  </si>
  <si>
    <t xml:space="preserve">LENA-MENTENG </t>
  </si>
  <si>
    <t>INTERDESIGN-LRT PALEMBANG</t>
  </si>
  <si>
    <t>NINDYA KARYA-VANUE</t>
  </si>
  <si>
    <t>NINDYA KARYA-VANUE LAYAR</t>
  </si>
  <si>
    <t>27/1/2018</t>
  </si>
  <si>
    <t>WIKA-TRANS CIBUBUR 300+100</t>
  </si>
  <si>
    <t>WIKA-TRANS CIBUBUR 600+500</t>
  </si>
  <si>
    <t>WIKA-TRANS CIBUBUR 300+250</t>
  </si>
  <si>
    <t>28/1/2018</t>
  </si>
  <si>
    <t>29/1/2018</t>
  </si>
  <si>
    <t>NINDYA KARYA-HARKIT</t>
  </si>
  <si>
    <t>ACSET-MCC 5X5X2.1</t>
  </si>
  <si>
    <t>WIKA-TAMAN SARI</t>
  </si>
  <si>
    <t>WIKA-TRANS CIBUBUR 250+300</t>
  </si>
  <si>
    <t>WIKA- TRANS CIBUBUR 500+360</t>
  </si>
  <si>
    <t>WIKA- TRANS CIBUBUR 500+600</t>
  </si>
  <si>
    <t>WIKA- TRANS CIBUBUR 500+2000</t>
  </si>
  <si>
    <t>30/1/2018</t>
  </si>
  <si>
    <t>ALI-MARJUKI</t>
  </si>
  <si>
    <t>NINDYA-LTM KSO</t>
  </si>
  <si>
    <t>GLOBAL-BINTARO 120+335</t>
  </si>
  <si>
    <t>31/1/2018</t>
  </si>
  <si>
    <t>NINDYA KARYA-VENEU</t>
  </si>
  <si>
    <t>ACSET-MCC 34</t>
  </si>
  <si>
    <t>POLABAJA-INDRAMAYU</t>
  </si>
  <si>
    <t>NINDYA KARYA-SEKOLAH TAMBORA</t>
  </si>
  <si>
    <t>NKE-RS. PURI CINERE</t>
  </si>
  <si>
    <t>INDONAKANO-YAMADA</t>
  </si>
  <si>
    <t>NINDYA -KTM KSO</t>
  </si>
  <si>
    <t>NINDYA -KTM KSO MANGGARAI</t>
  </si>
  <si>
    <t>NINDYA -KTM KSO MENTENG</t>
  </si>
  <si>
    <t>NINDYA - LTM KSO-PUSKESMAS MANGGARAI</t>
  </si>
  <si>
    <t>NINDYA - LTM KSO-PUSK. JOHAR BARU</t>
  </si>
  <si>
    <t>IMP-GUDANG BRG TITIPAN</t>
  </si>
  <si>
    <t>ACSET-MCC  2+77</t>
  </si>
  <si>
    <t>SINAR LOGAM-H.WAKI</t>
  </si>
  <si>
    <t>NINDYA - LTM KSO-BIDARA CINA</t>
  </si>
  <si>
    <t>NINDYA - LTM KSO-PUSK.SEMPER BARAT III</t>
  </si>
  <si>
    <t>NINDYA-LTM KSO-PUSK.CEMPAKA PTH</t>
  </si>
  <si>
    <t>TBP-VERDE KUNINGAN</t>
  </si>
  <si>
    <t>NINDYA-LTM KSO-PUSK.MANGGARAI</t>
  </si>
  <si>
    <t>NINDYA-LTM KSO-PUSK.MANGGARAI 67+5</t>
  </si>
  <si>
    <t>NINDYA LTM KSO-PUSK.MANGGARAI 5+38</t>
  </si>
  <si>
    <t xml:space="preserve">NINDYA-LTM KSO-PUSK.MANGGARAI </t>
  </si>
  <si>
    <t>NINDYA-LTM KSO PUSK.MANGGARAI</t>
  </si>
  <si>
    <t>PT.WIKA-TRANS CIBUBUR</t>
  </si>
  <si>
    <t>NINDYA-LTM KSO-PUSK.PADEMANGAN</t>
  </si>
  <si>
    <t>NINDYA-LTM KSO-PUSK.KEBON SIRIH</t>
  </si>
  <si>
    <t>TBP-SEQUIS SUDIRMAN</t>
  </si>
  <si>
    <t>NKE-BALARAJA</t>
  </si>
  <si>
    <t>TBP-GOP-BSD</t>
  </si>
  <si>
    <t>IMP-GUDANG TITIPAN</t>
  </si>
  <si>
    <t>STOK GUDANG (WARDI)</t>
  </si>
  <si>
    <t>13/2/2018</t>
  </si>
  <si>
    <t>INTERDESIGN-HOTEL SULTAN</t>
  </si>
  <si>
    <t>NINDYA-LTM KSO-JOHAR BARU 38+4</t>
  </si>
  <si>
    <t>INDONAKANO-HIRUTA 115+4</t>
  </si>
  <si>
    <t xml:space="preserve">INDONAKANO-HIRUTA  </t>
  </si>
  <si>
    <t>ACSET-MCC 145+11</t>
  </si>
  <si>
    <t>14/2/2018</t>
  </si>
  <si>
    <t>NINDYA-LTM KSO-BIDARA CINA</t>
  </si>
  <si>
    <t>15/2/2018</t>
  </si>
  <si>
    <t>15/2/2017</t>
  </si>
  <si>
    <t>WIKA-GEDUNG TRANS CIBUBUR</t>
  </si>
  <si>
    <t>TBP-BEJ - SUDIRMAN</t>
  </si>
  <si>
    <t>TBP-BEJ</t>
  </si>
  <si>
    <t>SISA ALAT 2017 (sdh di revisi)</t>
  </si>
  <si>
    <t>17/2/2018</t>
  </si>
  <si>
    <t>H.WAKI-GDNG RAMBUTAN</t>
  </si>
  <si>
    <t>INDONAKANO-TERAOKA-KARAWANG</t>
  </si>
  <si>
    <t>Hyundai-NKE - ELEMENT</t>
  </si>
  <si>
    <t>TBP-BEJ-SUDIRMAN</t>
  </si>
  <si>
    <t>18/2/2018</t>
  </si>
  <si>
    <t>WIKA-TRANS CIBUBUR 135+200</t>
  </si>
  <si>
    <t>19/2/2018</t>
  </si>
  <si>
    <t>NAMA BARANG :  HANDLE</t>
  </si>
  <si>
    <t>TIGA SAUDARA</t>
  </si>
  <si>
    <t>NINDYA - LTM KSO PUSKESMAS DUREN SAWIT</t>
  </si>
  <si>
    <t>ALI-MATARAM SENOPATI</t>
  </si>
  <si>
    <t>20/2/2018</t>
  </si>
  <si>
    <t>JAGAT-JOB</t>
  </si>
  <si>
    <t>TBP-THAMRIN NINE 160+160</t>
  </si>
  <si>
    <t>TBP-LAVIE 45+47</t>
  </si>
  <si>
    <t xml:space="preserve">TBP-LAVIE </t>
  </si>
  <si>
    <t>21/2/2018</t>
  </si>
  <si>
    <t>NINDYA PUSKESMAS-XDERES</t>
  </si>
  <si>
    <t>AVELO HOTEL</t>
  </si>
  <si>
    <t>NINDYA X-DERES</t>
  </si>
  <si>
    <t>22/2/2018</t>
  </si>
  <si>
    <t>TBP-APT.AERIUM</t>
  </si>
  <si>
    <t>NKE-WCT 1/5M</t>
  </si>
  <si>
    <t>TBP-BURSA EFEK-SUDIRMAN</t>
  </si>
  <si>
    <t>23/2/2018</t>
  </si>
  <si>
    <t xml:space="preserve">TBP-THAMRIN NINE </t>
  </si>
  <si>
    <t>WIKA-CIMANGGIS</t>
  </si>
  <si>
    <t>TBP-BURSA EFEK SUDIRMAN</t>
  </si>
  <si>
    <t xml:space="preserve">NAMA BARANG  :  MUR JACK  GG 32 </t>
  </si>
  <si>
    <t>H TAMIRI-TEGAL</t>
  </si>
  <si>
    <t>INDONAKANO GOBEL</t>
  </si>
  <si>
    <t>PANASONIC-GOBEL</t>
  </si>
  <si>
    <t>24/2/2018</t>
  </si>
  <si>
    <t>TBP-VERDE 2</t>
  </si>
  <si>
    <t>ACSET-THAMRIN 9</t>
  </si>
  <si>
    <t>ACSET-ASTRA BIZ CENTER BSD</t>
  </si>
  <si>
    <t>ACSET-ASTRA BIZ CENTRE BSD TANGGERANG</t>
  </si>
  <si>
    <t>CONCREAT-ALI MARJUKI</t>
  </si>
  <si>
    <t>WIKA TRANS - CIBUBUR</t>
  </si>
  <si>
    <t>HYUNDAY-ELEMENT</t>
  </si>
  <si>
    <t>CONCREAT-MATARAM ALI MARJUKI</t>
  </si>
  <si>
    <t>25/2/2018</t>
  </si>
  <si>
    <t>26/2/2018</t>
  </si>
  <si>
    <t>NINDYA-LTM KSO.PUSK-X-DERES</t>
  </si>
  <si>
    <t>PT.CNQC-NKE.CHADSTONE</t>
  </si>
  <si>
    <t>TBP-AERIUM-PERMATA BUANA</t>
  </si>
  <si>
    <t>CONCREAT-LENA MENTENG</t>
  </si>
  <si>
    <t>CONCREAT-LENA MENTENG 228+50</t>
  </si>
  <si>
    <t>28/2/18</t>
  </si>
  <si>
    <t>27/2/2018</t>
  </si>
  <si>
    <t>TBP-LAVIE 90+185</t>
  </si>
  <si>
    <t>PT.BHINEKA-PERMATA BUANA</t>
  </si>
  <si>
    <t>GLOBAL-AROSA 41+2</t>
  </si>
  <si>
    <t>GLOBAL-AROSA 48+3</t>
  </si>
  <si>
    <t>NINDYA-LTM KSO-PUSK.GDG.X-DERES</t>
  </si>
  <si>
    <t>GELORA-BINTARO</t>
  </si>
  <si>
    <t xml:space="preserve">CONCREAT-MPR RADIO DLM </t>
  </si>
  <si>
    <t>NAMA BARANG : SURI-SURI 1.5M</t>
  </si>
  <si>
    <t>28/2/2018</t>
  </si>
  <si>
    <t>BHINEKA-PERMATA BUANA</t>
  </si>
  <si>
    <t>PANTON-TRIDA BUANA CIPTA CIKUPA</t>
  </si>
  <si>
    <t>IDEA MANDIRI-SCI-CKRNG</t>
  </si>
  <si>
    <t>JAGAT-KONSTRUKSI-BCA HARAPAN INDAH</t>
  </si>
  <si>
    <t xml:space="preserve">BCP-AHM </t>
  </si>
  <si>
    <t>H.WAQI-KP.RAMBUTAN</t>
  </si>
  <si>
    <t>JAGAT-SPRING LAKE BEKASI</t>
  </si>
  <si>
    <t>BCP-AHM 14+5</t>
  </si>
  <si>
    <t>BCP-AHM 190+21</t>
  </si>
  <si>
    <t>BCP-AHM 50+4</t>
  </si>
  <si>
    <t>BCP-AHM  17+5</t>
  </si>
  <si>
    <t>NINDYA-LTM KSO-PUSKESMAS</t>
  </si>
  <si>
    <t>NINDYA KARYA-PUSKESMAS</t>
  </si>
  <si>
    <t>WIKA - TAMAN SARI</t>
  </si>
  <si>
    <t>cocok</t>
  </si>
  <si>
    <t>PANCAMITRA-TOTO</t>
  </si>
  <si>
    <t>GELOBAL-AROSA</t>
  </si>
  <si>
    <t>PANTONTRIDA-ASTRINDO</t>
  </si>
  <si>
    <t>IDEA MANDIRI-SIMPRUG</t>
  </si>
  <si>
    <t>WIKA-TRANS</t>
  </si>
  <si>
    <t>INDONAKANO-SAKURA</t>
  </si>
  <si>
    <t>PANTON TRIDA-TOYOTA BITUNG</t>
  </si>
  <si>
    <t>PT.WIKA-CIMANGGIS</t>
  </si>
  <si>
    <t>WIKA GEDUNG-TAMAN SARI URBANO</t>
  </si>
  <si>
    <t>13/3/2018</t>
  </si>
  <si>
    <t>SINAR LOGAM</t>
  </si>
  <si>
    <t>KAJIMA INDONESIA</t>
  </si>
  <si>
    <t>14/3/2018</t>
  </si>
  <si>
    <t>15/3/2018</t>
  </si>
  <si>
    <t>15/5/2018</t>
  </si>
  <si>
    <t>TBP-CHITA LAND</t>
  </si>
  <si>
    <t>16/3/2018</t>
  </si>
  <si>
    <t>PT-ACSET-THAMRIN9</t>
  </si>
  <si>
    <t>PT.KAJIMA</t>
  </si>
  <si>
    <t>19/3/2018</t>
  </si>
  <si>
    <t>IDEA MANDIRI-WOLTER</t>
  </si>
  <si>
    <t>NINDYA - LTM KASO</t>
  </si>
  <si>
    <t>NINDYA KARYA-KALI DERES</t>
  </si>
  <si>
    <t>20/3/2018</t>
  </si>
  <si>
    <t>21/3/2018</t>
  </si>
  <si>
    <t>22/3/2018</t>
  </si>
  <si>
    <t>TBP-BURSA EFEK</t>
  </si>
  <si>
    <t>TBP-SCBD SUDIRMAN</t>
  </si>
  <si>
    <t>23/3/2018</t>
  </si>
  <si>
    <t>TAKENAKA-INDONESIA ASAHIMAS</t>
  </si>
  <si>
    <t>ACSET MCC</t>
  </si>
  <si>
    <t>24/3/2018</t>
  </si>
  <si>
    <t>NINDYA-LTM KSO-X-DERES</t>
  </si>
  <si>
    <t>GLOBAL-SENAYAN</t>
  </si>
  <si>
    <t>25/3/2018</t>
  </si>
  <si>
    <t>WIKA-TRANS - CIBUBUR</t>
  </si>
  <si>
    <t>26/3/2018</t>
  </si>
  <si>
    <t>GELOBAL-WISMA FAJAR-SENAYAN</t>
  </si>
  <si>
    <t>27/3/2018</t>
  </si>
  <si>
    <t>BPK SONY GUNAWAN-CILANDAK</t>
  </si>
  <si>
    <t>TAKENAKA-ASAHIMAS FLAT</t>
  </si>
  <si>
    <t>TBP-SQUISE TOWER</t>
  </si>
  <si>
    <t>28/3/2018</t>
  </si>
  <si>
    <t>INDONAKANO-AKS</t>
  </si>
  <si>
    <t>29/3/2017</t>
  </si>
  <si>
    <t>29/3/2018</t>
  </si>
  <si>
    <t>NAMA BARANG : BESI BETON 16 M</t>
  </si>
  <si>
    <t>TBP-KEMAYORAN</t>
  </si>
  <si>
    <t>30/3/2018</t>
  </si>
  <si>
    <t>31/3/2018</t>
  </si>
  <si>
    <t>NKE-DAM LARONA</t>
  </si>
  <si>
    <t>GELOBAL-WISMA FAJAR</t>
  </si>
  <si>
    <t>TBP-KEMAYORAN-JIEXPO</t>
  </si>
  <si>
    <t>DHARMA-MENARA ASTRA</t>
  </si>
  <si>
    <t>DHARMA EKA-MENARA ASTRA</t>
  </si>
  <si>
    <t>GELORA-AROSA BINTARO</t>
  </si>
  <si>
    <t>WIKA-PASAR SENEN</t>
  </si>
  <si>
    <t>TAKENAKA INDONESIA-ASAHIMAS</t>
  </si>
  <si>
    <t>CONCREAT-PEJATEN BARAT</t>
  </si>
  <si>
    <t>GLOBAL-WISMA FAJAR</t>
  </si>
  <si>
    <t>TBP-MEIKARTA</t>
  </si>
  <si>
    <t>TAKENAKA-ASAHI MAS</t>
  </si>
  <si>
    <t>TAKENAKA-KOITO</t>
  </si>
  <si>
    <t>PT. PANTON-ASTRIDO TOYOTA</t>
  </si>
  <si>
    <t>WIKA GEDUNG PASAR SENEN</t>
  </si>
  <si>
    <t>GELORA -AROSA</t>
  </si>
  <si>
    <t>BHINEKA-AHM 58+10+3</t>
  </si>
  <si>
    <t>BHINEKA-AHM 346+29</t>
  </si>
  <si>
    <t>BHINEKA-AHM 107+22</t>
  </si>
  <si>
    <t>BCP-AHM 23+13</t>
  </si>
  <si>
    <t>13/4/2018</t>
  </si>
  <si>
    <t>TBP-EXPO KEMAYORAN</t>
  </si>
  <si>
    <t>INTERDESIGN-METRO MALL BANDUNG</t>
  </si>
  <si>
    <t>14/4/2018</t>
  </si>
  <si>
    <t>16/4/2018</t>
  </si>
  <si>
    <t>TBP-VERDE II CONDOMINIUM</t>
  </si>
  <si>
    <t>TBP-RENDES</t>
  </si>
  <si>
    <t>TBP-THAMRI 9</t>
  </si>
  <si>
    <t>TBP-THAMRIN 9 50+50</t>
  </si>
  <si>
    <t>17/4/2018</t>
  </si>
  <si>
    <t>TBP-TPS</t>
  </si>
  <si>
    <t>TBP-</t>
  </si>
  <si>
    <t>17/4/2017</t>
  </si>
  <si>
    <t>IDEA MANDIRI BLOK M</t>
  </si>
  <si>
    <t>IDEA MANDIRI- BLOK M</t>
  </si>
  <si>
    <t>IDEA MANDIRI-BLOK M</t>
  </si>
  <si>
    <t>WIKA GEDUNG-PS SENEN</t>
  </si>
  <si>
    <t>GELORA-WISMA FAJAR SENAYAN</t>
  </si>
  <si>
    <t>NKE-WCT-MEGA KUNINGAN</t>
  </si>
  <si>
    <t>18/4/2018</t>
  </si>
  <si>
    <t>TAKENAKA-ASAHI</t>
  </si>
  <si>
    <t>TOTAL-THAMRIN 9</t>
  </si>
  <si>
    <t>19/4/2018</t>
  </si>
  <si>
    <t>WIKA-GEDUNG-TAMAN SARI</t>
  </si>
  <si>
    <t>WIKA GEDUNG-PS.SENEN</t>
  </si>
  <si>
    <t>19/7/2018</t>
  </si>
  <si>
    <t>20/4/2018</t>
  </si>
  <si>
    <t>WIKA-GEDUNG-PS SENEN</t>
  </si>
  <si>
    <t>TAKENAKA-ASAHIMAS</t>
  </si>
  <si>
    <t>TBP-VERDE</t>
  </si>
  <si>
    <t>CONCREAT-PEJATEN</t>
  </si>
  <si>
    <t>21/4/2018</t>
  </si>
  <si>
    <t xml:space="preserve">FEBRI </t>
  </si>
  <si>
    <t>22/4/2018</t>
  </si>
  <si>
    <t>TAKENAKA-ASAHIMAS 200+200</t>
  </si>
  <si>
    <t>NINDYA KARYA-VIEW LAYAR.ANCOL</t>
  </si>
  <si>
    <t>NKE-WCT KUNIGAN</t>
  </si>
  <si>
    <t>24/4/2018</t>
  </si>
  <si>
    <t>WIKA-PS SENEN</t>
  </si>
  <si>
    <t>FEBRI-DUREN SAWIT</t>
  </si>
  <si>
    <t>23/4/2018</t>
  </si>
  <si>
    <t>WIKA-PS.SENEN</t>
  </si>
  <si>
    <t xml:space="preserve">TBP-THAMRIN 9 </t>
  </si>
  <si>
    <t>25/4/2018</t>
  </si>
  <si>
    <t>GELORA-WISMA FAJAR</t>
  </si>
  <si>
    <t>26/4/2018</t>
  </si>
  <si>
    <t>WIKA-URBANO</t>
  </si>
  <si>
    <t>TBP-BPK MISBAH</t>
  </si>
  <si>
    <t>27/4/2018</t>
  </si>
  <si>
    <t xml:space="preserve">TAKENAKA-ASAHIMAS </t>
  </si>
  <si>
    <t>28/4/2018</t>
  </si>
  <si>
    <t>TBP-SQUIS TOWER</t>
  </si>
  <si>
    <t>WIKA GEDUNG</t>
  </si>
  <si>
    <t>JAGAT-ALEXINDO</t>
  </si>
  <si>
    <t>29/4/2018</t>
  </si>
  <si>
    <t>30/4/2018</t>
  </si>
  <si>
    <t>GELORA-WISATA FAJAR</t>
  </si>
  <si>
    <t>VASTORINDO-TOTO</t>
  </si>
  <si>
    <t>NAMA BARANG : BAJI LEDGEAR</t>
  </si>
  <si>
    <t>BHINEKA-BALARAJA</t>
  </si>
  <si>
    <t>IMP ( UNTUK DI SERVICE)</t>
  </si>
  <si>
    <t>di gudang 928 tgl 5/5/18</t>
  </si>
  <si>
    <t xml:space="preserve">email ibu tgl 7/5/18 - stok </t>
  </si>
  <si>
    <t>GELORA-SENAYAN</t>
  </si>
  <si>
    <t>di gudang wardi tie rod 1 m = 0</t>
  </si>
  <si>
    <t>IMP-SEVICE</t>
  </si>
  <si>
    <t>TBP-THAMRIN-9</t>
  </si>
  <si>
    <t>TBP-MEIKARTA-CIKARANG</t>
  </si>
  <si>
    <t>ACSET- RLT</t>
  </si>
  <si>
    <t>WIKA-JAYA-KONSTRUKSI</t>
  </si>
  <si>
    <t>BHINEKA-DELTA MAS</t>
  </si>
  <si>
    <t>CONCREAT- LENA</t>
  </si>
  <si>
    <t>TBP-BENGKULU</t>
  </si>
  <si>
    <t>13/5/2018</t>
  </si>
  <si>
    <t>14/5/2018</t>
  </si>
  <si>
    <t>; SIDE BEAM BRACKET 70/50</t>
  </si>
  <si>
    <t>WIKA-JAYA.PASAR SENEN</t>
  </si>
  <si>
    <t>WIKA-JAYA SENEN</t>
  </si>
  <si>
    <t>PT.STAIRS</t>
  </si>
  <si>
    <t>IDEA MANDIRI-WOLTERMONGONSIDI</t>
  </si>
  <si>
    <t>WIKA-RESIDECE BSD</t>
  </si>
  <si>
    <t>IDEA MANDIRI-KARAWANG</t>
  </si>
  <si>
    <t>COCOK. Catatan dr bu Lina data stok wardi</t>
  </si>
  <si>
    <t>JB 60 (470+56+63+7+5 = 601) sisa per tgl 15/5</t>
  </si>
  <si>
    <t>STOK GUDANG WARDI</t>
  </si>
  <si>
    <t>16/5/2018</t>
  </si>
  <si>
    <t>CONCREAT</t>
  </si>
  <si>
    <t>TBP-SQUISE SUDIRMAN</t>
  </si>
  <si>
    <t>WIKA-RESIDENCE</t>
  </si>
  <si>
    <t>17/5/2018</t>
  </si>
  <si>
    <t>CV MUTIARA MANDIRI</t>
  </si>
  <si>
    <t>MITRA JAYA</t>
  </si>
  <si>
    <t>BESI SIKU 50/5X6M</t>
  </si>
  <si>
    <t>BPK INDRA-PEJATEN BARAT</t>
  </si>
  <si>
    <t>STOK 0 TGL 19/5/2018</t>
  </si>
  <si>
    <t>18/5/2018</t>
  </si>
  <si>
    <t>WIKA-TSU BEKASI</t>
  </si>
  <si>
    <t>19/5/2018</t>
  </si>
  <si>
    <t>TBP-LEVIE</t>
  </si>
  <si>
    <t>WIKA-B.RESIDENCE</t>
  </si>
  <si>
    <t>21/5/2018</t>
  </si>
  <si>
    <t>WIKA GEDUNG-URBANO</t>
  </si>
  <si>
    <t>WIKA-PS.SENIN</t>
  </si>
  <si>
    <t>WIKA GEDUNG - PS.SENEN</t>
  </si>
  <si>
    <t>22/5/2018</t>
  </si>
  <si>
    <t>NKE-CIPUTRA INTERNATIONAL</t>
  </si>
  <si>
    <t>NINDYA-VENUE LAYAR</t>
  </si>
  <si>
    <t>23/5/2018</t>
  </si>
  <si>
    <t>JOB</t>
  </si>
  <si>
    <t>24/5/2018</t>
  </si>
  <si>
    <t>WIKA GEDUNG -PS. SENEN</t>
  </si>
  <si>
    <t>INDONAKANO-SCOOT</t>
  </si>
  <si>
    <t>; SIDE BEAM BRACKET 40/50</t>
  </si>
  <si>
    <t>STOK GUDANG</t>
  </si>
  <si>
    <t>TGL 26/5 = 57</t>
  </si>
  <si>
    <t>TGL 26/5 = 30</t>
  </si>
  <si>
    <t>TGL 26/5 = 7</t>
  </si>
  <si>
    <t>TGL 26/5 =224</t>
  </si>
  <si>
    <t>25/5/2018</t>
  </si>
  <si>
    <t>BCP-BALARAJA</t>
  </si>
  <si>
    <t>INTERDESIGN-TRANSIT PALEMBANG</t>
  </si>
  <si>
    <t>PT.SOVIN-ROBINA TOWER-GATOT</t>
  </si>
  <si>
    <t>H.WAKI</t>
  </si>
  <si>
    <t>26/5/2018</t>
  </si>
  <si>
    <t>CONCREAT-LENA</t>
  </si>
  <si>
    <t>28/5/2018</t>
  </si>
  <si>
    <t>30/5/2018</t>
  </si>
  <si>
    <t>WIKA KSO-PS.SENEN</t>
  </si>
  <si>
    <t>TPB-BBSI</t>
  </si>
  <si>
    <t>31/5/2018</t>
  </si>
  <si>
    <t>NINDYA-ANCOL</t>
  </si>
  <si>
    <t xml:space="preserve">FLAMBOYAN-KOTA BARU( ALAT AFKIR) </t>
  </si>
  <si>
    <t>FLAMBOYAN-KOTA BAMBU (ALAT AFKIR)</t>
  </si>
  <si>
    <t>LOWER</t>
  </si>
  <si>
    <t>UPPER</t>
  </si>
  <si>
    <t xml:space="preserve">FLAMBOYAN-KOTA BAMBU (ALAS CATWALK-ALAT AFKIR) </t>
  </si>
  <si>
    <t xml:space="preserve">POTONGAN CB </t>
  </si>
  <si>
    <t>PAK.HAJI</t>
  </si>
  <si>
    <t>NAMA BARANG :  KALENG</t>
  </si>
  <si>
    <t>PAK HAJI</t>
  </si>
  <si>
    <t>PAK. HAJI</t>
  </si>
  <si>
    <t>PAK. HAJI - CEWE</t>
  </si>
  <si>
    <t>PAK. HAJI - COWO</t>
  </si>
  <si>
    <t>BPK HAJI</t>
  </si>
  <si>
    <t>H.WAKI (RETURE)</t>
  </si>
  <si>
    <t>CONCREAT-CILANDAK</t>
  </si>
  <si>
    <t>WIKA-JAYA-PS.SENEN</t>
  </si>
  <si>
    <t>PANTONG-ASTRINDO</t>
  </si>
  <si>
    <t>TAKENAKA-ASAHI MAS DAUAN</t>
  </si>
  <si>
    <t>ALAS CATWALK (SJ DR IBU)</t>
  </si>
  <si>
    <t>TANGGA KEROPOS (SJ DR IBU)</t>
  </si>
  <si>
    <t>MF 170 KEROPOS -SJ DR IBU</t>
  </si>
  <si>
    <t>PAK.HAJI (SJ DR IBU)</t>
  </si>
  <si>
    <t xml:space="preserve">PAK.HAJI (SJ DR IBU) </t>
  </si>
  <si>
    <t>NAMA BARANG : HOLLOW 50x10x4M DINDING</t>
  </si>
  <si>
    <t>14/9/16</t>
  </si>
  <si>
    <t>17/9/16</t>
  </si>
  <si>
    <t>20/9/16</t>
  </si>
  <si>
    <t>21/9/16</t>
  </si>
  <si>
    <t>22/9/16</t>
  </si>
  <si>
    <t>26/9/16</t>
  </si>
  <si>
    <t>Ppa-Springlake</t>
  </si>
  <si>
    <t>13/10/16</t>
  </si>
  <si>
    <t>14/10/16</t>
  </si>
  <si>
    <t>15/10/16</t>
  </si>
  <si>
    <t>27/10/16</t>
  </si>
  <si>
    <t>22/11/16</t>
  </si>
  <si>
    <t>18/4/2017</t>
  </si>
  <si>
    <t>HOR-MERUYA (dinding)</t>
  </si>
  <si>
    <t>19/4/2017</t>
  </si>
  <si>
    <t>16/10/2016</t>
  </si>
  <si>
    <t>HOR MERUYA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</si>
</sst>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m/d/yy;@"/>
    <numFmt numFmtId="165" formatCode="mm/dd/yy;@"/>
    <numFmt numFmtId="166" formatCode="m/d/yyyy;@"/>
    <numFmt numFmtId="167" formatCode="m/d;@"/>
  </numFmts>
  <fonts count="152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</font>
    <font>
      <b/>
      <sz val="12"/>
      <name val="Calibri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</font>
    <font>
      <sz val="11"/>
      <name val="Calibri"/>
      <family val="2"/>
      <scheme val="minor"/>
    </font>
    <font>
      <b/>
      <sz val="10"/>
      <color indexed="8"/>
      <name val="Comic Sans MS"/>
      <family val="4"/>
    </font>
    <font>
      <sz val="10"/>
      <color indexed="8"/>
      <name val="Comic Sans MS"/>
      <family val="4"/>
    </font>
    <font>
      <b/>
      <sz val="10"/>
      <name val="Comic Sans MS"/>
      <family val="4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color theme="1"/>
      <name val="Comic Sans MS"/>
      <family val="4"/>
    </font>
    <font>
      <sz val="12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0"/>
      <name val="Comic Sans MS"/>
      <family val="4"/>
    </font>
    <font>
      <sz val="12"/>
      <name val="Calibri"/>
      <family val="2"/>
      <scheme val="minor"/>
    </font>
    <font>
      <sz val="10"/>
      <name val="Arial Unicode MS"/>
      <family val="2"/>
    </font>
    <font>
      <b/>
      <sz val="10"/>
      <name val="Arial Unicode MS"/>
      <family val="2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indexed="8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0"/>
      <color rgb="FFFF0000"/>
      <name val="Comic Sans MS"/>
      <family val="4"/>
    </font>
    <font>
      <b/>
      <sz val="12"/>
      <color theme="1"/>
      <name val="Calibri"/>
      <family val="2"/>
    </font>
    <font>
      <b/>
      <sz val="10"/>
      <color rgb="FFFF0000"/>
      <name val="Comic Sans MS"/>
      <family val="4"/>
    </font>
    <font>
      <b/>
      <sz val="11"/>
      <name val="Calibri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  <font>
      <sz val="10"/>
      <color indexed="8"/>
      <name val="Arial Unicode MS"/>
      <family val="2"/>
    </font>
    <font>
      <sz val="12"/>
      <color rgb="FF7030A0"/>
      <name val="Calibri"/>
      <family val="2"/>
    </font>
    <font>
      <b/>
      <sz val="10"/>
      <color indexed="8"/>
      <name val="Arial Unicode MS"/>
      <family val="2"/>
    </font>
    <font>
      <b/>
      <sz val="12"/>
      <color indexed="8"/>
      <name val="Calibri"/>
      <family val="2"/>
    </font>
    <font>
      <b/>
      <sz val="11"/>
      <color indexed="8"/>
      <name val="Calibri"/>
      <family val="2"/>
      <scheme val="minor"/>
    </font>
    <font>
      <sz val="11"/>
      <color indexed="8"/>
      <name val="Comic Sans MS"/>
      <family val="4"/>
    </font>
    <font>
      <sz val="10"/>
      <color indexed="8"/>
      <name val="Calibri"/>
      <family val="2"/>
    </font>
    <font>
      <sz val="12"/>
      <name val="Times New Roman"/>
      <family val="1"/>
    </font>
    <font>
      <sz val="11"/>
      <color theme="1"/>
      <name val="Arial Unicode MS"/>
      <family val="2"/>
    </font>
    <font>
      <b/>
      <sz val="12"/>
      <color indexed="1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149" fillId="0" borderId="0">
      <alignment vertical="center"/>
    </xf>
  </cellStyleXfs>
  <cellXfs count="737">
    <xf numFmtId="0" fontId="0" fillId="0" borderId="0" xfId="0"/>
    <xf numFmtId="0" fontId="0" fillId="0" borderId="0" xfId="0" applyFont="1"/>
    <xf numFmtId="0" fontId="104" fillId="2" borderId="0" xfId="0" applyNumberFormat="1" applyFont="1" applyFill="1" applyBorder="1" applyAlignment="1">
      <alignment vertical="center"/>
    </xf>
    <xf numFmtId="0" fontId="104" fillId="2" borderId="0" xfId="0" applyNumberFormat="1" applyFont="1" applyFill="1" applyBorder="1" applyAlignment="1">
      <alignment horizontal="center" vertical="center"/>
    </xf>
    <xf numFmtId="0" fontId="104" fillId="2" borderId="1" xfId="0" applyNumberFormat="1" applyFont="1" applyFill="1" applyBorder="1" applyAlignment="1">
      <alignment vertical="center"/>
    </xf>
    <xf numFmtId="14" fontId="105" fillId="0" borderId="2" xfId="0" applyNumberFormat="1" applyFont="1" applyBorder="1"/>
    <xf numFmtId="0" fontId="105" fillId="0" borderId="2" xfId="0" applyFont="1" applyBorder="1"/>
    <xf numFmtId="0" fontId="0" fillId="0" borderId="2" xfId="0" applyFont="1" applyBorder="1"/>
    <xf numFmtId="0" fontId="106" fillId="0" borderId="2" xfId="0" applyFont="1" applyBorder="1"/>
    <xf numFmtId="0" fontId="0" fillId="0" borderId="2" xfId="0" applyBorder="1"/>
    <xf numFmtId="0" fontId="105" fillId="3" borderId="2" xfId="0" applyFont="1" applyFill="1" applyBorder="1"/>
    <xf numFmtId="0" fontId="108" fillId="0" borderId="2" xfId="0" applyFont="1" applyBorder="1"/>
    <xf numFmtId="14" fontId="0" fillId="0" borderId="2" xfId="0" applyNumberFormat="1" applyFont="1" applyBorder="1"/>
    <xf numFmtId="0" fontId="109" fillId="0" borderId="2" xfId="0" applyFont="1" applyBorder="1"/>
    <xf numFmtId="0" fontId="110" fillId="0" borderId="2" xfId="0" applyFont="1" applyBorder="1"/>
    <xf numFmtId="0" fontId="111" fillId="0" borderId="2" xfId="0" applyFont="1" applyBorder="1"/>
    <xf numFmtId="0" fontId="105" fillId="0" borderId="2" xfId="0" applyFont="1" applyFill="1" applyBorder="1"/>
    <xf numFmtId="0" fontId="0" fillId="0" borderId="0" xfId="0" applyFont="1" applyBorder="1"/>
    <xf numFmtId="0" fontId="112" fillId="0" borderId="0" xfId="0" applyFont="1"/>
    <xf numFmtId="0" fontId="113" fillId="0" borderId="0" xfId="0" applyFont="1"/>
    <xf numFmtId="0" fontId="114" fillId="0" borderId="1" xfId="0" applyFont="1" applyBorder="1" applyAlignment="1">
      <alignment vertical="center"/>
    </xf>
    <xf numFmtId="14" fontId="0" fillId="0" borderId="2" xfId="0" applyNumberFormat="1" applyBorder="1"/>
    <xf numFmtId="14" fontId="109" fillId="0" borderId="2" xfId="0" applyNumberFormat="1" applyFont="1" applyBorder="1"/>
    <xf numFmtId="14" fontId="111" fillId="0" borderId="2" xfId="0" applyNumberFormat="1" applyFont="1" applyBorder="1"/>
    <xf numFmtId="0" fontId="0" fillId="0" borderId="2" xfId="0" applyFill="1" applyBorder="1"/>
    <xf numFmtId="0" fontId="111" fillId="0" borderId="2" xfId="0" applyFont="1" applyFill="1" applyBorder="1"/>
    <xf numFmtId="0" fontId="115" fillId="0" borderId="2" xfId="0" applyFont="1" applyBorder="1"/>
    <xf numFmtId="0" fontId="116" fillId="0" borderId="2" xfId="0" applyNumberFormat="1" applyFont="1" applyFill="1" applyBorder="1" applyAlignment="1">
      <alignment vertical="center"/>
    </xf>
    <xf numFmtId="14" fontId="111" fillId="0" borderId="2" xfId="0" applyNumberFormat="1" applyFont="1" applyBorder="1" applyAlignment="1">
      <alignment vertical="center"/>
    </xf>
    <xf numFmtId="0" fontId="111" fillId="0" borderId="2" xfId="0" applyFont="1" applyBorder="1" applyAlignment="1">
      <alignment vertical="center"/>
    </xf>
    <xf numFmtId="14" fontId="117" fillId="0" borderId="2" xfId="0" applyNumberFormat="1" applyFont="1" applyBorder="1" applyAlignment="1">
      <alignment vertical="center"/>
    </xf>
    <xf numFmtId="0" fontId="118" fillId="0" borderId="0" xfId="0" applyFont="1" applyAlignment="1">
      <alignment vertical="center"/>
    </xf>
    <xf numFmtId="0" fontId="118" fillId="0" borderId="2" xfId="0" applyFont="1" applyBorder="1" applyAlignment="1">
      <alignment horizontal="left" vertical="center"/>
    </xf>
    <xf numFmtId="0" fontId="118" fillId="0" borderId="2" xfId="0" applyFont="1" applyBorder="1" applyAlignment="1">
      <alignment vertical="center"/>
    </xf>
    <xf numFmtId="0" fontId="119" fillId="0" borderId="2" xfId="0" applyFont="1" applyBorder="1" applyAlignment="1">
      <alignment vertical="center"/>
    </xf>
    <xf numFmtId="0" fontId="121" fillId="0" borderId="2" xfId="0" applyFont="1" applyBorder="1" applyAlignment="1">
      <alignment vertical="center"/>
    </xf>
    <xf numFmtId="0" fontId="118" fillId="0" borderId="2" xfId="0" applyFont="1" applyFill="1" applyBorder="1" applyAlignment="1">
      <alignment vertical="center"/>
    </xf>
    <xf numFmtId="14" fontId="118" fillId="0" borderId="2" xfId="0" applyNumberFormat="1" applyFont="1" applyBorder="1" applyAlignment="1">
      <alignment vertical="center"/>
    </xf>
    <xf numFmtId="0" fontId="122" fillId="0" borderId="2" xfId="0" applyFont="1" applyBorder="1" applyAlignment="1">
      <alignment vertical="center"/>
    </xf>
    <xf numFmtId="0" fontId="107" fillId="0" borderId="2" xfId="0" applyFont="1" applyBorder="1" applyAlignment="1">
      <alignment vertical="center"/>
    </xf>
    <xf numFmtId="0" fontId="123" fillId="0" borderId="0" xfId="0" applyFont="1" applyAlignment="1">
      <alignment vertical="center"/>
    </xf>
    <xf numFmtId="0" fontId="114" fillId="0" borderId="2" xfId="0" applyFont="1" applyBorder="1" applyAlignment="1">
      <alignment vertical="center"/>
    </xf>
    <xf numFmtId="14" fontId="0" fillId="0" borderId="2" xfId="0" applyNumberFormat="1" applyBorder="1" applyAlignment="1">
      <alignment horizontal="left"/>
    </xf>
    <xf numFmtId="0" fontId="124" fillId="0" borderId="0" xfId="0" applyFont="1" applyAlignment="1">
      <alignment vertical="center"/>
    </xf>
    <xf numFmtId="0" fontId="125" fillId="0" borderId="2" xfId="0" applyFont="1" applyBorder="1"/>
    <xf numFmtId="14" fontId="125" fillId="0" borderId="2" xfId="0" applyNumberFormat="1" applyFont="1" applyBorder="1"/>
    <xf numFmtId="14" fontId="115" fillId="0" borderId="2" xfId="0" applyNumberFormat="1" applyFont="1" applyBorder="1"/>
    <xf numFmtId="0" fontId="126" fillId="0" borderId="2" xfId="0" applyFont="1" applyBorder="1"/>
    <xf numFmtId="0" fontId="126" fillId="0" borderId="2" xfId="0" applyFont="1" applyFill="1" applyBorder="1"/>
    <xf numFmtId="14" fontId="121" fillId="0" borderId="2" xfId="0" applyNumberFormat="1" applyFont="1" applyBorder="1" applyAlignment="1">
      <alignment vertical="center"/>
    </xf>
    <xf numFmtId="0" fontId="127" fillId="0" borderId="0" xfId="0" applyNumberFormat="1" applyFont="1" applyFill="1" applyBorder="1" applyAlignment="1">
      <alignment vertical="center"/>
    </xf>
    <xf numFmtId="0" fontId="127" fillId="0" borderId="0" xfId="0" applyNumberFormat="1" applyFont="1" applyFill="1" applyBorder="1" applyAlignment="1">
      <alignment horizontal="center" vertical="center"/>
    </xf>
    <xf numFmtId="0" fontId="127" fillId="0" borderId="1" xfId="0" applyNumberFormat="1" applyFont="1" applyFill="1" applyBorder="1" applyAlignment="1">
      <alignment vertical="center"/>
    </xf>
    <xf numFmtId="0" fontId="125" fillId="0" borderId="2" xfId="0" applyFont="1" applyFill="1" applyBorder="1"/>
    <xf numFmtId="14" fontId="115" fillId="0" borderId="2" xfId="0" applyNumberFormat="1" applyFont="1" applyFill="1" applyBorder="1" applyAlignment="1">
      <alignment horizontal="left"/>
    </xf>
    <xf numFmtId="0" fontId="115" fillId="0" borderId="2" xfId="0" applyFont="1" applyFill="1" applyBorder="1"/>
    <xf numFmtId="0" fontId="123" fillId="0" borderId="2" xfId="0" applyFont="1" applyBorder="1" applyAlignment="1">
      <alignment vertical="center"/>
    </xf>
    <xf numFmtId="14" fontId="0" fillId="0" borderId="2" xfId="0" applyNumberFormat="1" applyFill="1" applyBorder="1"/>
    <xf numFmtId="14" fontId="128" fillId="0" borderId="2" xfId="0" applyNumberFormat="1" applyFont="1" applyBorder="1" applyAlignment="1">
      <alignment vertical="center"/>
    </xf>
    <xf numFmtId="0" fontId="129" fillId="0" borderId="0" xfId="0" applyFont="1" applyAlignment="1">
      <alignment vertical="center"/>
    </xf>
    <xf numFmtId="0" fontId="117" fillId="0" borderId="0" xfId="0" applyFont="1" applyAlignment="1">
      <alignment vertical="center"/>
    </xf>
    <xf numFmtId="0" fontId="129" fillId="0" borderId="4" xfId="0" applyFont="1" applyBorder="1" applyAlignment="1">
      <alignment horizontal="center" vertical="center"/>
    </xf>
    <xf numFmtId="0" fontId="129" fillId="0" borderId="5" xfId="0" applyFont="1" applyBorder="1" applyAlignment="1">
      <alignment horizontal="center" vertical="center"/>
    </xf>
    <xf numFmtId="0" fontId="129" fillId="0" borderId="6" xfId="0" applyFont="1" applyBorder="1" applyAlignment="1">
      <alignment horizontal="center" vertical="center"/>
    </xf>
    <xf numFmtId="0" fontId="129" fillId="0" borderId="7" xfId="0" applyFont="1" applyBorder="1" applyAlignment="1">
      <alignment horizontal="center" vertical="center"/>
    </xf>
    <xf numFmtId="14" fontId="129" fillId="0" borderId="8" xfId="0" applyNumberFormat="1" applyFont="1" applyBorder="1" applyAlignment="1">
      <alignment vertical="center"/>
    </xf>
    <xf numFmtId="0" fontId="129" fillId="0" borderId="8" xfId="0" applyFont="1" applyBorder="1" applyAlignment="1">
      <alignment vertical="center"/>
    </xf>
    <xf numFmtId="0" fontId="129" fillId="0" borderId="9" xfId="0" applyFont="1" applyBorder="1" applyAlignment="1">
      <alignment vertical="center"/>
    </xf>
    <xf numFmtId="0" fontId="129" fillId="0" borderId="2" xfId="0" applyFont="1" applyBorder="1" applyAlignment="1">
      <alignment vertical="center"/>
    </xf>
    <xf numFmtId="0" fontId="129" fillId="0" borderId="10" xfId="0" applyFont="1" applyBorder="1" applyAlignment="1">
      <alignment vertical="center"/>
    </xf>
    <xf numFmtId="0" fontId="129" fillId="0" borderId="2" xfId="0" applyFont="1" applyBorder="1" applyAlignment="1">
      <alignment horizontal="left" vertical="center"/>
    </xf>
    <xf numFmtId="0" fontId="130" fillId="0" borderId="0" xfId="0" applyFont="1" applyAlignment="1">
      <alignment vertical="center"/>
    </xf>
    <xf numFmtId="0" fontId="130" fillId="0" borderId="0" xfId="0" applyFont="1"/>
    <xf numFmtId="0" fontId="130" fillId="0" borderId="4" xfId="0" applyFont="1" applyBorder="1" applyAlignment="1">
      <alignment horizontal="center" vertical="center"/>
    </xf>
    <xf numFmtId="0" fontId="130" fillId="0" borderId="5" xfId="0" applyFont="1" applyBorder="1" applyAlignment="1">
      <alignment horizontal="center" vertical="center"/>
    </xf>
    <xf numFmtId="0" fontId="130" fillId="0" borderId="6" xfId="0" applyFont="1" applyBorder="1" applyAlignment="1">
      <alignment horizontal="center" vertical="center"/>
    </xf>
    <xf numFmtId="0" fontId="130" fillId="0" borderId="7" xfId="0" applyFont="1" applyBorder="1" applyAlignment="1">
      <alignment horizontal="center" vertical="center"/>
    </xf>
    <xf numFmtId="14" fontId="130" fillId="0" borderId="8" xfId="0" applyNumberFormat="1" applyFont="1" applyBorder="1" applyAlignment="1">
      <alignment horizontal="left" vertical="center"/>
    </xf>
    <xf numFmtId="0" fontId="130" fillId="0" borderId="8" xfId="0" applyFont="1" applyBorder="1" applyAlignment="1">
      <alignment horizontal="right" vertical="center"/>
    </xf>
    <xf numFmtId="0" fontId="130" fillId="0" borderId="8" xfId="0" applyFont="1" applyBorder="1" applyAlignment="1">
      <alignment vertical="center"/>
    </xf>
    <xf numFmtId="0" fontId="130" fillId="0" borderId="9" xfId="0" applyFont="1" applyBorder="1" applyAlignment="1">
      <alignment vertical="center"/>
    </xf>
    <xf numFmtId="0" fontId="130" fillId="0" borderId="2" xfId="0" applyFont="1" applyBorder="1" applyAlignment="1">
      <alignment vertical="center"/>
    </xf>
    <xf numFmtId="0" fontId="130" fillId="0" borderId="10" xfId="0" applyFont="1" applyBorder="1" applyAlignment="1">
      <alignment vertical="center"/>
    </xf>
    <xf numFmtId="0" fontId="130" fillId="0" borderId="2" xfId="0" applyFont="1" applyBorder="1" applyAlignment="1">
      <alignment horizontal="left" vertical="center"/>
    </xf>
    <xf numFmtId="0" fontId="118" fillId="0" borderId="0" xfId="0" applyFont="1" applyAlignment="1">
      <alignment horizontal="center" vertical="center"/>
    </xf>
    <xf numFmtId="0" fontId="118" fillId="0" borderId="1" xfId="0" applyFont="1" applyBorder="1" applyAlignment="1">
      <alignment vertical="center"/>
    </xf>
    <xf numFmtId="0" fontId="0" fillId="0" borderId="11" xfId="0" applyBorder="1"/>
    <xf numFmtId="0" fontId="117" fillId="0" borderId="2" xfId="0" applyFont="1" applyBorder="1" applyAlignment="1">
      <alignment vertical="center"/>
    </xf>
    <xf numFmtId="14" fontId="117" fillId="0" borderId="8" xfId="0" applyNumberFormat="1" applyFont="1" applyBorder="1" applyAlignment="1">
      <alignment horizontal="left" vertical="center"/>
    </xf>
    <xf numFmtId="0" fontId="117" fillId="0" borderId="8" xfId="0" applyFont="1" applyBorder="1" applyAlignment="1">
      <alignment horizontal="left" vertical="center"/>
    </xf>
    <xf numFmtId="0" fontId="117" fillId="0" borderId="8" xfId="0" applyFont="1" applyBorder="1" applyAlignment="1">
      <alignment horizontal="right" vertical="center"/>
    </xf>
    <xf numFmtId="14" fontId="117" fillId="0" borderId="8" xfId="0" applyNumberFormat="1" applyFont="1" applyBorder="1" applyAlignment="1">
      <alignment vertical="center"/>
    </xf>
    <xf numFmtId="0" fontId="117" fillId="0" borderId="8" xfId="0" applyFont="1" applyBorder="1" applyAlignment="1">
      <alignment vertical="center"/>
    </xf>
    <xf numFmtId="0" fontId="0" fillId="0" borderId="2" xfId="0" applyFont="1" applyFill="1" applyBorder="1"/>
    <xf numFmtId="14" fontId="126" fillId="0" borderId="2" xfId="0" applyNumberFormat="1" applyFont="1" applyFill="1" applyBorder="1"/>
    <xf numFmtId="0" fontId="129" fillId="0" borderId="2" xfId="0" applyFont="1" applyBorder="1"/>
    <xf numFmtId="14" fontId="129" fillId="0" borderId="2" xfId="0" applyNumberFormat="1" applyFont="1" applyBorder="1"/>
    <xf numFmtId="0" fontId="115" fillId="0" borderId="0" xfId="0" applyFont="1"/>
    <xf numFmtId="0" fontId="0" fillId="0" borderId="8" xfId="0" applyBorder="1"/>
    <xf numFmtId="0" fontId="117" fillId="0" borderId="4" xfId="0" applyFont="1" applyBorder="1" applyAlignment="1">
      <alignment horizontal="center" vertical="center"/>
    </xf>
    <xf numFmtId="0" fontId="117" fillId="0" borderId="5" xfId="0" applyFont="1" applyBorder="1" applyAlignment="1">
      <alignment horizontal="center" vertical="center"/>
    </xf>
    <xf numFmtId="0" fontId="117" fillId="0" borderId="6" xfId="0" applyFont="1" applyBorder="1" applyAlignment="1">
      <alignment horizontal="center" vertical="center"/>
    </xf>
    <xf numFmtId="0" fontId="117" fillId="0" borderId="7" xfId="0" applyFont="1" applyBorder="1" applyAlignment="1">
      <alignment horizontal="center" vertical="center"/>
    </xf>
    <xf numFmtId="0" fontId="117" fillId="0" borderId="10" xfId="0" applyFont="1" applyBorder="1" applyAlignment="1">
      <alignment vertical="center"/>
    </xf>
    <xf numFmtId="14" fontId="117" fillId="0" borderId="12" xfId="0" applyNumberFormat="1" applyFont="1" applyBorder="1" applyAlignment="1">
      <alignment horizontal="right" vertical="center"/>
    </xf>
    <xf numFmtId="0" fontId="117" fillId="0" borderId="3" xfId="0" applyFont="1" applyBorder="1" applyAlignment="1">
      <alignment horizontal="right" vertical="center"/>
    </xf>
    <xf numFmtId="0" fontId="117" fillId="0" borderId="13" xfId="0" applyFont="1" applyBorder="1" applyAlignment="1">
      <alignment horizontal="right" vertical="center"/>
    </xf>
    <xf numFmtId="0" fontId="117" fillId="0" borderId="2" xfId="0" applyFont="1" applyBorder="1" applyAlignment="1">
      <alignment horizontal="right" vertical="center"/>
    </xf>
    <xf numFmtId="0" fontId="117" fillId="0" borderId="2" xfId="0" applyFont="1" applyBorder="1" applyAlignment="1">
      <alignment horizontal="left" vertical="center"/>
    </xf>
    <xf numFmtId="0" fontId="117" fillId="0" borderId="10" xfId="0" applyFont="1" applyBorder="1" applyAlignment="1">
      <alignment horizontal="right" vertical="center"/>
    </xf>
    <xf numFmtId="14" fontId="130" fillId="0" borderId="1" xfId="0" applyNumberFormat="1" applyFont="1" applyBorder="1" applyAlignment="1">
      <alignment vertical="center"/>
    </xf>
    <xf numFmtId="0" fontId="130" fillId="0" borderId="1" xfId="0" applyFont="1" applyBorder="1" applyAlignment="1">
      <alignment vertical="center"/>
    </xf>
    <xf numFmtId="0" fontId="130" fillId="0" borderId="14" xfId="0" applyFont="1" applyBorder="1" applyAlignment="1">
      <alignment vertical="center"/>
    </xf>
    <xf numFmtId="14" fontId="130" fillId="0" borderId="8" xfId="0" applyNumberFormat="1" applyFont="1" applyBorder="1" applyAlignment="1">
      <alignment horizontal="center" vertical="center"/>
    </xf>
    <xf numFmtId="0" fontId="130" fillId="0" borderId="9" xfId="0" applyFont="1" applyBorder="1" applyAlignment="1">
      <alignment horizontal="right" vertical="center"/>
    </xf>
    <xf numFmtId="14" fontId="129" fillId="0" borderId="2" xfId="0" applyNumberFormat="1" applyFont="1" applyBorder="1" applyAlignment="1">
      <alignment vertical="center"/>
    </xf>
    <xf numFmtId="0" fontId="129" fillId="0" borderId="0" xfId="0" applyFont="1"/>
    <xf numFmtId="0" fontId="132" fillId="0" borderId="0" xfId="0" applyFont="1" applyAlignment="1">
      <alignment vertical="center"/>
    </xf>
    <xf numFmtId="0" fontId="133" fillId="0" borderId="1" xfId="0" applyFont="1" applyBorder="1" applyAlignment="1">
      <alignment vertical="center"/>
    </xf>
    <xf numFmtId="14" fontId="105" fillId="0" borderId="2" xfId="0" applyNumberFormat="1" applyFont="1" applyBorder="1" applyAlignment="1">
      <alignment horizontal="left"/>
    </xf>
    <xf numFmtId="14" fontId="123" fillId="0" borderId="2" xfId="0" applyNumberFormat="1" applyFont="1" applyBorder="1" applyAlignment="1">
      <alignment vertical="center"/>
    </xf>
    <xf numFmtId="0" fontId="133" fillId="0" borderId="2" xfId="0" applyFont="1" applyBorder="1" applyAlignment="1">
      <alignment vertical="center"/>
    </xf>
    <xf numFmtId="0" fontId="121" fillId="0" borderId="8" xfId="0" applyFont="1" applyBorder="1" applyAlignment="1">
      <alignment vertical="center"/>
    </xf>
    <xf numFmtId="0" fontId="121" fillId="0" borderId="9" xfId="0" applyFont="1" applyBorder="1" applyAlignment="1">
      <alignment vertical="center"/>
    </xf>
    <xf numFmtId="0" fontId="109" fillId="3" borderId="2" xfId="0" applyFont="1" applyFill="1" applyBorder="1"/>
    <xf numFmtId="0" fontId="0" fillId="0" borderId="2" xfId="0" applyBorder="1" applyAlignment="1">
      <alignment horizontal="left"/>
    </xf>
    <xf numFmtId="14" fontId="133" fillId="0" borderId="1" xfId="0" applyNumberFormat="1" applyFont="1" applyBorder="1" applyAlignment="1">
      <alignment vertical="center"/>
    </xf>
    <xf numFmtId="14" fontId="117" fillId="0" borderId="2" xfId="0" applyNumberFormat="1" applyFont="1" applyBorder="1" applyAlignment="1">
      <alignment horizontal="right" vertical="center"/>
    </xf>
    <xf numFmtId="0" fontId="135" fillId="0" borderId="2" xfId="0" applyFont="1" applyBorder="1"/>
    <xf numFmtId="0" fontId="135" fillId="0" borderId="0" xfId="0" applyFont="1"/>
    <xf numFmtId="0" fontId="136" fillId="0" borderId="0" xfId="0" applyFont="1"/>
    <xf numFmtId="0" fontId="137" fillId="0" borderId="0" xfId="0" applyFont="1"/>
    <xf numFmtId="0" fontId="138" fillId="0" borderId="1" xfId="0" applyFont="1" applyBorder="1" applyAlignment="1">
      <alignment vertical="center"/>
    </xf>
    <xf numFmtId="14" fontId="139" fillId="0" borderId="2" xfId="0" applyNumberFormat="1" applyFont="1" applyBorder="1"/>
    <xf numFmtId="0" fontId="139" fillId="0" borderId="2" xfId="0" applyFont="1" applyBorder="1"/>
    <xf numFmtId="14" fontId="135" fillId="0" borderId="2" xfId="0" applyNumberFormat="1" applyFont="1" applyBorder="1"/>
    <xf numFmtId="0" fontId="0" fillId="3" borderId="2" xfId="0" applyFill="1" applyBorder="1"/>
    <xf numFmtId="0" fontId="117" fillId="0" borderId="9" xfId="0" applyFont="1" applyBorder="1" applyAlignment="1">
      <alignment vertical="center"/>
    </xf>
    <xf numFmtId="0" fontId="132" fillId="0" borderId="2" xfId="0" applyFont="1" applyBorder="1"/>
    <xf numFmtId="0" fontId="140" fillId="0" borderId="2" xfId="0" applyNumberFormat="1" applyFont="1" applyFill="1" applyBorder="1" applyAlignment="1">
      <alignment vertical="center"/>
    </xf>
    <xf numFmtId="0" fontId="115" fillId="3" borderId="2" xfId="0" applyFont="1" applyFill="1" applyBorder="1"/>
    <xf numFmtId="0" fontId="119" fillId="0" borderId="2" xfId="0" applyFont="1" applyBorder="1"/>
    <xf numFmtId="14" fontId="119" fillId="0" borderId="2" xfId="0" applyNumberFormat="1" applyFont="1" applyBorder="1" applyAlignment="1">
      <alignment vertical="center"/>
    </xf>
    <xf numFmtId="0" fontId="107" fillId="0" borderId="0" xfId="0" applyFont="1" applyAlignment="1">
      <alignment vertical="center"/>
    </xf>
    <xf numFmtId="0" fontId="122" fillId="0" borderId="1" xfId="0" applyFont="1" applyBorder="1" applyAlignment="1">
      <alignment vertical="center"/>
    </xf>
    <xf numFmtId="0" fontId="122" fillId="0" borderId="0" xfId="0" applyFont="1" applyAlignment="1">
      <alignment vertical="center"/>
    </xf>
    <xf numFmtId="0" fontId="138" fillId="0" borderId="0" xfId="0" applyFont="1" applyAlignment="1">
      <alignment vertical="center"/>
    </xf>
    <xf numFmtId="0" fontId="130" fillId="0" borderId="2" xfId="0" applyFont="1" applyBorder="1"/>
    <xf numFmtId="0" fontId="116" fillId="0" borderId="0" xfId="0" applyFont="1"/>
    <xf numFmtId="0" fontId="127" fillId="0" borderId="0" xfId="0" applyFont="1"/>
    <xf numFmtId="0" fontId="134" fillId="0" borderId="1" xfId="0" applyFont="1" applyBorder="1" applyAlignment="1">
      <alignment vertical="center"/>
    </xf>
    <xf numFmtId="0" fontId="141" fillId="0" borderId="2" xfId="0" applyFont="1" applyBorder="1"/>
    <xf numFmtId="0" fontId="119" fillId="0" borderId="0" xfId="0" applyFont="1" applyAlignment="1">
      <alignment vertical="center"/>
    </xf>
    <xf numFmtId="0" fontId="121" fillId="0" borderId="0" xfId="0" applyFont="1" applyAlignment="1">
      <alignment vertical="center"/>
    </xf>
    <xf numFmtId="0" fontId="121" fillId="3" borderId="2" xfId="0" applyFont="1" applyFill="1" applyBorder="1" applyAlignment="1">
      <alignment vertical="center"/>
    </xf>
    <xf numFmtId="0" fontId="131" fillId="3" borderId="2" xfId="0" applyFont="1" applyFill="1" applyBorder="1" applyAlignment="1">
      <alignment vertical="center"/>
    </xf>
    <xf numFmtId="0" fontId="0" fillId="0" borderId="0" xfId="0" applyFill="1"/>
    <xf numFmtId="0" fontId="119" fillId="0" borderId="2" xfId="0" applyFont="1" applyFill="1" applyBorder="1" applyAlignment="1">
      <alignment vertical="center"/>
    </xf>
    <xf numFmtId="0" fontId="117" fillId="0" borderId="2" xfId="0" applyFont="1" applyFill="1" applyBorder="1" applyAlignment="1">
      <alignment vertical="center"/>
    </xf>
    <xf numFmtId="14" fontId="117" fillId="0" borderId="2" xfId="0" applyNumberFormat="1" applyFont="1" applyFill="1" applyBorder="1" applyAlignment="1">
      <alignment vertical="center"/>
    </xf>
    <xf numFmtId="0" fontId="123" fillId="0" borderId="2" xfId="0" applyFont="1" applyFill="1" applyBorder="1" applyAlignment="1">
      <alignment vertical="center"/>
    </xf>
    <xf numFmtId="14" fontId="118" fillId="0" borderId="2" xfId="0" applyNumberFormat="1" applyFont="1" applyFill="1" applyBorder="1" applyAlignment="1">
      <alignment vertical="center"/>
    </xf>
    <xf numFmtId="0" fontId="117" fillId="0" borderId="0" xfId="0" applyFont="1" applyFill="1" applyAlignment="1">
      <alignment vertical="center"/>
    </xf>
    <xf numFmtId="0" fontId="117" fillId="0" borderId="4" xfId="0" applyFont="1" applyFill="1" applyBorder="1" applyAlignment="1">
      <alignment horizontal="center" vertical="center"/>
    </xf>
    <xf numFmtId="0" fontId="117" fillId="0" borderId="5" xfId="0" applyFont="1" applyFill="1" applyBorder="1" applyAlignment="1">
      <alignment horizontal="center" vertical="center"/>
    </xf>
    <xf numFmtId="0" fontId="117" fillId="0" borderId="6" xfId="0" applyFont="1" applyFill="1" applyBorder="1" applyAlignment="1">
      <alignment horizontal="center" vertical="center"/>
    </xf>
    <xf numFmtId="0" fontId="117" fillId="0" borderId="7" xfId="0" applyFont="1" applyFill="1" applyBorder="1" applyAlignment="1">
      <alignment horizontal="center" vertical="center"/>
    </xf>
    <xf numFmtId="0" fontId="143" fillId="0" borderId="2" xfId="0" applyFont="1" applyBorder="1" applyAlignment="1">
      <alignment vertical="center"/>
    </xf>
    <xf numFmtId="0" fontId="110" fillId="3" borderId="2" xfId="0" applyFont="1" applyFill="1" applyBorder="1" applyAlignment="1">
      <alignment vertical="center"/>
    </xf>
    <xf numFmtId="0" fontId="134" fillId="3" borderId="2" xfId="0" applyFont="1" applyFill="1" applyBorder="1" applyAlignment="1">
      <alignment vertical="center"/>
    </xf>
    <xf numFmtId="0" fontId="115" fillId="0" borderId="0" xfId="0" applyFont="1" applyFill="1"/>
    <xf numFmtId="0" fontId="128" fillId="0" borderId="2" xfId="0" applyFont="1" applyBorder="1" applyAlignment="1">
      <alignment vertical="center"/>
    </xf>
    <xf numFmtId="14" fontId="0" fillId="0" borderId="2" xfId="0" applyNumberFormat="1" applyFill="1" applyBorder="1" applyAlignment="1">
      <alignment horizontal="left"/>
    </xf>
    <xf numFmtId="0" fontId="121" fillId="0" borderId="10" xfId="0" applyFont="1" applyBorder="1" applyAlignment="1">
      <alignment vertical="center"/>
    </xf>
    <xf numFmtId="0" fontId="0" fillId="0" borderId="2" xfId="0" applyFill="1" applyBorder="1" applyAlignment="1">
      <alignment horizontal="left"/>
    </xf>
    <xf numFmtId="0" fontId="142" fillId="2" borderId="2" xfId="0" applyNumberFormat="1" applyFont="1" applyFill="1" applyBorder="1" applyAlignment="1">
      <alignment vertical="center"/>
    </xf>
    <xf numFmtId="14" fontId="123" fillId="2" borderId="2" xfId="0" applyNumberFormat="1" applyFont="1" applyFill="1" applyBorder="1"/>
    <xf numFmtId="0" fontId="123" fillId="2" borderId="2" xfId="0" applyFont="1" applyFill="1" applyBorder="1"/>
    <xf numFmtId="0" fontId="123" fillId="2" borderId="2" xfId="0" applyNumberFormat="1" applyFont="1" applyFill="1" applyBorder="1" applyAlignment="1"/>
    <xf numFmtId="164" fontId="123" fillId="2" borderId="2" xfId="0" applyNumberFormat="1" applyFont="1" applyFill="1" applyBorder="1" applyAlignment="1"/>
    <xf numFmtId="14" fontId="142" fillId="2" borderId="2" xfId="0" applyNumberFormat="1" applyFont="1" applyFill="1" applyBorder="1"/>
    <xf numFmtId="0" fontId="142" fillId="2" borderId="2" xfId="0" applyNumberFormat="1" applyFont="1" applyFill="1" applyBorder="1" applyAlignment="1"/>
    <xf numFmtId="0" fontId="144" fillId="2" borderId="2" xfId="0" applyNumberFormat="1" applyFont="1" applyFill="1" applyBorder="1" applyAlignment="1">
      <alignment vertical="center"/>
    </xf>
    <xf numFmtId="0" fontId="124" fillId="2" borderId="2" xfId="0" applyNumberFormat="1" applyFont="1" applyFill="1" applyBorder="1" applyAlignment="1"/>
    <xf numFmtId="14" fontId="134" fillId="3" borderId="2" xfId="0" applyNumberFormat="1" applyFont="1" applyFill="1" applyBorder="1" applyAlignment="1">
      <alignment vertical="center"/>
    </xf>
    <xf numFmtId="0" fontId="115" fillId="3" borderId="0" xfId="0" applyFont="1" applyFill="1"/>
    <xf numFmtId="0" fontId="117" fillId="0" borderId="0" xfId="0" applyFont="1" applyBorder="1" applyAlignment="1">
      <alignment vertical="center"/>
    </xf>
    <xf numFmtId="0" fontId="117" fillId="0" borderId="0" xfId="0" applyFont="1" applyBorder="1" applyAlignment="1">
      <alignment horizontal="center" vertical="center"/>
    </xf>
    <xf numFmtId="14" fontId="124" fillId="2" borderId="2" xfId="0" applyNumberFormat="1" applyFont="1" applyFill="1" applyBorder="1"/>
    <xf numFmtId="0" fontId="124" fillId="2" borderId="2" xfId="0" applyFont="1" applyFill="1" applyBorder="1"/>
    <xf numFmtId="0" fontId="121" fillId="0" borderId="0" xfId="0" applyFont="1" applyBorder="1" applyAlignment="1">
      <alignment vertical="center"/>
    </xf>
    <xf numFmtId="14" fontId="117" fillId="0" borderId="0" xfId="0" applyNumberFormat="1" applyFont="1" applyBorder="1" applyAlignment="1">
      <alignment vertical="center"/>
    </xf>
    <xf numFmtId="14" fontId="111" fillId="0" borderId="2" xfId="0" applyNumberFormat="1" applyFont="1" applyFill="1" applyBorder="1" applyAlignment="1">
      <alignment vertical="center"/>
    </xf>
    <xf numFmtId="0" fontId="111" fillId="0" borderId="2" xfId="0" applyFont="1" applyFill="1" applyBorder="1" applyAlignment="1">
      <alignment vertical="center"/>
    </xf>
    <xf numFmtId="0" fontId="117" fillId="3" borderId="2" xfId="0" applyFont="1" applyFill="1" applyBorder="1" applyAlignment="1">
      <alignment vertical="center"/>
    </xf>
    <xf numFmtId="0" fontId="131" fillId="3" borderId="10" xfId="0" applyFont="1" applyFill="1" applyBorder="1" applyAlignment="1">
      <alignment vertical="center"/>
    </xf>
    <xf numFmtId="0" fontId="0" fillId="3" borderId="2" xfId="0" applyFont="1" applyFill="1" applyBorder="1"/>
    <xf numFmtId="0" fontId="121" fillId="3" borderId="8" xfId="0" applyFont="1" applyFill="1" applyBorder="1" applyAlignment="1">
      <alignment vertical="center"/>
    </xf>
    <xf numFmtId="0" fontId="131" fillId="3" borderId="9" xfId="0" applyFont="1" applyFill="1" applyBorder="1" applyAlignment="1">
      <alignment vertical="center"/>
    </xf>
    <xf numFmtId="0" fontId="142" fillId="2" borderId="0" xfId="0" applyNumberFormat="1" applyFont="1" applyFill="1" applyBorder="1" applyAlignment="1">
      <alignment vertical="center"/>
    </xf>
    <xf numFmtId="0" fontId="142" fillId="2" borderId="0" xfId="0" applyNumberFormat="1" applyFont="1" applyFill="1" applyBorder="1" applyAlignment="1">
      <alignment horizontal="center" vertical="center"/>
    </xf>
    <xf numFmtId="0" fontId="111" fillId="0" borderId="0" xfId="0" applyFont="1" applyAlignment="1">
      <alignment vertical="center"/>
    </xf>
    <xf numFmtId="0" fontId="104" fillId="2" borderId="2" xfId="0" applyNumberFormat="1" applyFont="1" applyFill="1" applyBorder="1" applyAlignment="1">
      <alignment vertical="center"/>
    </xf>
    <xf numFmtId="0" fontId="105" fillId="0" borderId="2" xfId="0" applyFont="1" applyBorder="1" applyAlignment="1">
      <alignment vertical="center"/>
    </xf>
    <xf numFmtId="14" fontId="0" fillId="3" borderId="2" xfId="0" applyNumberFormat="1" applyFont="1" applyFill="1" applyBorder="1"/>
    <xf numFmtId="0" fontId="119" fillId="3" borderId="2" xfId="0" applyFont="1" applyFill="1" applyBorder="1" applyAlignment="1">
      <alignment vertical="center"/>
    </xf>
    <xf numFmtId="0" fontId="114" fillId="0" borderId="0" xfId="0" applyFont="1" applyAlignment="1">
      <alignment vertical="center"/>
    </xf>
    <xf numFmtId="0" fontId="143" fillId="0" borderId="2" xfId="0" applyFont="1" applyFill="1" applyBorder="1" applyAlignment="1">
      <alignment vertical="center"/>
    </xf>
    <xf numFmtId="0" fontId="127" fillId="0" borderId="2" xfId="0" applyFont="1" applyBorder="1" applyAlignment="1">
      <alignment vertical="center"/>
    </xf>
    <xf numFmtId="0" fontId="113" fillId="0" borderId="0" xfId="0" applyFont="1" applyAlignment="1">
      <alignment vertical="center"/>
    </xf>
    <xf numFmtId="0" fontId="145" fillId="0" borderId="0" xfId="0" applyFont="1"/>
    <xf numFmtId="0" fontId="128" fillId="0" borderId="0" xfId="0" applyFont="1"/>
    <xf numFmtId="0" fontId="118" fillId="0" borderId="0" xfId="0" applyFont="1" applyFill="1" applyAlignment="1">
      <alignment vertical="center"/>
    </xf>
    <xf numFmtId="0" fontId="107" fillId="0" borderId="0" xfId="0" applyFont="1" applyFill="1" applyAlignment="1">
      <alignment vertical="center"/>
    </xf>
    <xf numFmtId="0" fontId="128" fillId="0" borderId="0" xfId="0" applyFont="1" applyAlignment="1">
      <alignment vertical="center"/>
    </xf>
    <xf numFmtId="0" fontId="112" fillId="0" borderId="0" xfId="0" applyFont="1" applyAlignment="1">
      <alignment vertical="center"/>
    </xf>
    <xf numFmtId="0" fontId="113" fillId="0" borderId="0" xfId="0" applyFont="1" applyAlignment="1">
      <alignment horizontal="center" vertical="center"/>
    </xf>
    <xf numFmtId="0" fontId="145" fillId="0" borderId="0" xfId="0" applyNumberFormat="1" applyFont="1" applyFill="1" applyBorder="1" applyAlignment="1">
      <alignment vertical="center"/>
    </xf>
    <xf numFmtId="0" fontId="127" fillId="0" borderId="2" xfId="0" applyFont="1" applyBorder="1"/>
    <xf numFmtId="0" fontId="0" fillId="0" borderId="0" xfId="0" applyFont="1" applyAlignment="1">
      <alignment horizontal="left"/>
    </xf>
    <xf numFmtId="0" fontId="0" fillId="0" borderId="0" xfId="0" applyFont="1" applyFill="1" applyBorder="1"/>
    <xf numFmtId="0" fontId="146" fillId="0" borderId="0" xfId="0" applyFont="1" applyAlignment="1">
      <alignment horizontal="left"/>
    </xf>
    <xf numFmtId="0" fontId="104" fillId="0" borderId="0" xfId="0" applyFont="1" applyAlignment="1">
      <alignment horizontal="left"/>
    </xf>
    <xf numFmtId="166" fontId="104" fillId="0" borderId="1" xfId="0" applyNumberFormat="1" applyFont="1" applyFill="1" applyBorder="1" applyAlignment="1">
      <alignment horizontal="left"/>
    </xf>
    <xf numFmtId="0" fontId="127" fillId="0" borderId="1" xfId="0" applyFont="1" applyBorder="1"/>
    <xf numFmtId="0" fontId="127" fillId="5" borderId="1" xfId="0" applyFont="1" applyFill="1" applyBorder="1"/>
    <xf numFmtId="14" fontId="104" fillId="0" borderId="2" xfId="0" applyNumberFormat="1" applyFont="1" applyBorder="1" applyAlignment="1">
      <alignment horizontal="left"/>
    </xf>
    <xf numFmtId="0" fontId="127" fillId="5" borderId="2" xfId="0" applyFont="1" applyFill="1" applyBorder="1"/>
    <xf numFmtId="167" fontId="104" fillId="0" borderId="2" xfId="0" applyNumberFormat="1" applyFont="1" applyFill="1" applyBorder="1" applyAlignment="1">
      <alignment horizontal="left"/>
    </xf>
    <xf numFmtId="0" fontId="119" fillId="0" borderId="2" xfId="0" applyNumberFormat="1" applyFont="1" applyFill="1" applyBorder="1" applyAlignment="1"/>
    <xf numFmtId="0" fontId="127" fillId="5" borderId="2" xfId="0" applyNumberFormat="1" applyFont="1" applyFill="1" applyBorder="1" applyAlignment="1"/>
    <xf numFmtId="0" fontId="111" fillId="0" borderId="2" xfId="0" applyFont="1" applyBorder="1" applyAlignment="1">
      <alignment horizontal="left"/>
    </xf>
    <xf numFmtId="0" fontId="119" fillId="0" borderId="2" xfId="0" applyFont="1" applyFill="1" applyBorder="1"/>
    <xf numFmtId="0" fontId="119" fillId="5" borderId="2" xfId="0" applyFont="1" applyFill="1" applyBorder="1"/>
    <xf numFmtId="0" fontId="119" fillId="0" borderId="0" xfId="0" applyFont="1"/>
    <xf numFmtId="0" fontId="127" fillId="0" borderId="2" xfId="0" applyFont="1" applyFill="1" applyBorder="1"/>
    <xf numFmtId="0" fontId="127" fillId="0" borderId="0" xfId="0" applyFont="1" applyFill="1"/>
    <xf numFmtId="0" fontId="104" fillId="0" borderId="2" xfId="0" applyFont="1" applyBorder="1" applyAlignment="1">
      <alignment horizontal="left"/>
    </xf>
    <xf numFmtId="0" fontId="120" fillId="0" borderId="2" xfId="0" applyFont="1" applyBorder="1"/>
    <xf numFmtId="0" fontId="120" fillId="5" borderId="2" xfId="0" applyFont="1" applyFill="1" applyBorder="1"/>
    <xf numFmtId="167" fontId="104" fillId="0" borderId="2" xfId="0" applyNumberFormat="1" applyFont="1" applyBorder="1" applyAlignment="1">
      <alignment horizontal="left"/>
    </xf>
    <xf numFmtId="0" fontId="147" fillId="0" borderId="2" xfId="0" applyFont="1" applyBorder="1"/>
    <xf numFmtId="0" fontId="0" fillId="0" borderId="0" xfId="0" applyFont="1" applyFill="1"/>
    <xf numFmtId="16" fontId="104" fillId="0" borderId="2" xfId="0" applyNumberFormat="1" applyFont="1" applyFill="1" applyBorder="1" applyAlignment="1">
      <alignment horizontal="left"/>
    </xf>
    <xf numFmtId="0" fontId="0" fillId="0" borderId="2" xfId="0" applyFont="1" applyBorder="1" applyAlignment="1">
      <alignment horizontal="left"/>
    </xf>
    <xf numFmtId="15" fontId="0" fillId="0" borderId="2" xfId="0" applyNumberFormat="1" applyFont="1" applyFill="1" applyBorder="1" applyAlignment="1">
      <alignment horizontal="left"/>
    </xf>
    <xf numFmtId="0" fontId="115" fillId="0" borderId="2" xfId="0" applyFont="1" applyBorder="1" applyAlignment="1">
      <alignment horizontal="left"/>
    </xf>
    <xf numFmtId="0" fontId="116" fillId="0" borderId="0" xfId="0" applyFont="1" applyFill="1" applyBorder="1"/>
    <xf numFmtId="0" fontId="127" fillId="0" borderId="0" xfId="0" applyFont="1" applyFill="1" applyBorder="1"/>
    <xf numFmtId="0" fontId="134" fillId="0" borderId="0" xfId="0" applyFont="1" applyFill="1" applyBorder="1" applyAlignment="1">
      <alignment vertical="center"/>
    </xf>
    <xf numFmtId="166" fontId="127" fillId="0" borderId="0" xfId="0" applyNumberFormat="1" applyFont="1" applyFill="1" applyBorder="1"/>
    <xf numFmtId="14" fontId="127" fillId="0" borderId="0" xfId="0" applyNumberFormat="1" applyFont="1" applyFill="1" applyBorder="1"/>
    <xf numFmtId="0" fontId="119" fillId="0" borderId="0" xfId="0" applyFont="1" applyFill="1" applyBorder="1"/>
    <xf numFmtId="167" fontId="127" fillId="0" borderId="0" xfId="0" applyNumberFormat="1" applyFont="1" applyFill="1" applyBorder="1"/>
    <xf numFmtId="0" fontId="119" fillId="0" borderId="0" xfId="0" applyNumberFormat="1" applyFont="1" applyFill="1" applyBorder="1" applyAlignment="1"/>
    <xf numFmtId="0" fontId="127" fillId="0" borderId="0" xfId="0" applyNumberFormat="1" applyFont="1" applyFill="1" applyBorder="1" applyAlignment="1"/>
    <xf numFmtId="14" fontId="120" fillId="0" borderId="0" xfId="0" applyNumberFormat="1" applyFont="1" applyFill="1" applyBorder="1"/>
    <xf numFmtId="0" fontId="120" fillId="0" borderId="0" xfId="0" applyFont="1" applyFill="1" applyBorder="1"/>
    <xf numFmtId="167" fontId="147" fillId="0" borderId="0" xfId="0" applyNumberFormat="1" applyFont="1" applyFill="1" applyBorder="1"/>
    <xf numFmtId="0" fontId="147" fillId="0" borderId="0" xfId="0" applyFont="1" applyFill="1" applyBorder="1"/>
    <xf numFmtId="16" fontId="127" fillId="0" borderId="0" xfId="0" applyNumberFormat="1" applyFont="1" applyFill="1" applyBorder="1"/>
    <xf numFmtId="15" fontId="0" fillId="0" borderId="0" xfId="0" applyNumberFormat="1" applyFont="1" applyFill="1" applyBorder="1"/>
    <xf numFmtId="0" fontId="127" fillId="0" borderId="2" xfId="0" applyNumberFormat="1" applyFont="1" applyFill="1" applyBorder="1" applyAlignment="1">
      <alignment vertical="center"/>
    </xf>
    <xf numFmtId="0" fontId="116" fillId="0" borderId="0" xfId="0" applyNumberFormat="1" applyFont="1" applyFill="1" applyBorder="1" applyAlignment="1">
      <alignment vertical="center"/>
    </xf>
    <xf numFmtId="0" fontId="0" fillId="0" borderId="0" xfId="0" applyAlignment="1">
      <alignment horizontal="left"/>
    </xf>
    <xf numFmtId="0" fontId="127" fillId="0" borderId="0" xfId="0" applyFont="1" applyAlignment="1">
      <alignment horizontal="left"/>
    </xf>
    <xf numFmtId="0" fontId="128" fillId="0" borderId="0" xfId="0" applyNumberFormat="1" applyFont="1" applyFill="1" applyBorder="1" applyAlignment="1">
      <alignment vertical="center"/>
    </xf>
    <xf numFmtId="0" fontId="145" fillId="0" borderId="0" xfId="0" applyFont="1" applyAlignment="1">
      <alignment vertical="center"/>
    </xf>
    <xf numFmtId="0" fontId="128" fillId="0" borderId="0" xfId="0" applyFont="1" applyAlignment="1">
      <alignment horizontal="center" vertical="center"/>
    </xf>
    <xf numFmtId="0" fontId="148" fillId="0" borderId="0" xfId="0" applyNumberFormat="1" applyFont="1" applyFill="1" applyBorder="1" applyAlignment="1">
      <alignment vertical="center"/>
    </xf>
    <xf numFmtId="0" fontId="148" fillId="0" borderId="0" xfId="0" applyNumberFormat="1" applyFont="1" applyFill="1" applyBorder="1" applyAlignment="1">
      <alignment horizontal="center" vertical="center"/>
    </xf>
    <xf numFmtId="0" fontId="107" fillId="0" borderId="0" xfId="0" applyNumberFormat="1" applyFont="1" applyFill="1" applyBorder="1" applyAlignment="1">
      <alignment vertical="center"/>
    </xf>
    <xf numFmtId="0" fontId="119" fillId="0" borderId="0" xfId="0" applyNumberFormat="1" applyFont="1" applyFill="1" applyBorder="1" applyAlignment="1">
      <alignment vertical="center"/>
    </xf>
    <xf numFmtId="0" fontId="139" fillId="0" borderId="0" xfId="0" applyFont="1"/>
    <xf numFmtId="0" fontId="111" fillId="0" borderId="0" xfId="0" applyFont="1" applyFill="1"/>
    <xf numFmtId="0" fontId="118" fillId="0" borderId="0" xfId="0" applyNumberFormat="1" applyFont="1" applyFill="1" applyBorder="1" applyAlignment="1">
      <alignment vertical="center"/>
    </xf>
    <xf numFmtId="0" fontId="122" fillId="0" borderId="0" xfId="0" applyFont="1" applyFill="1"/>
    <xf numFmtId="0" fontId="119" fillId="0" borderId="0" xfId="0" applyNumberFormat="1" applyFont="1" applyFill="1" applyBorder="1" applyAlignment="1">
      <alignment horizontal="center" vertical="center"/>
    </xf>
    <xf numFmtId="0" fontId="145" fillId="0" borderId="0" xfId="0" applyNumberFormat="1" applyFont="1" applyFill="1" applyBorder="1" applyAlignment="1">
      <alignment horizontal="left" vertical="center"/>
    </xf>
    <xf numFmtId="0" fontId="127" fillId="0" borderId="0" xfId="0" applyNumberFormat="1" applyFont="1" applyFill="1" applyBorder="1" applyAlignment="1">
      <alignment horizontal="left" vertical="center"/>
    </xf>
    <xf numFmtId="0" fontId="139" fillId="0" borderId="0" xfId="0" applyFont="1" applyFill="1"/>
    <xf numFmtId="0" fontId="139" fillId="0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horizontal="center" vertical="center"/>
    </xf>
    <xf numFmtId="0" fontId="135" fillId="0" borderId="0" xfId="0" applyFont="1" applyFill="1"/>
    <xf numFmtId="0" fontId="128" fillId="0" borderId="0" xfId="0" applyNumberFormat="1" applyFont="1" applyFill="1" applyBorder="1" applyAlignment="1">
      <alignment horizontal="center" vertical="center"/>
    </xf>
    <xf numFmtId="0" fontId="0" fillId="4" borderId="2" xfId="0" applyFill="1" applyBorder="1"/>
    <xf numFmtId="0" fontId="104" fillId="0" borderId="2" xfId="0" quotePrefix="1" applyFont="1" applyBorder="1" applyAlignment="1">
      <alignment horizontal="left"/>
    </xf>
    <xf numFmtId="165" fontId="0" fillId="0" borderId="2" xfId="0" applyNumberFormat="1" applyFill="1" applyBorder="1" applyAlignment="1">
      <alignment horizontal="left"/>
    </xf>
    <xf numFmtId="0" fontId="115" fillId="0" borderId="2" xfId="0" applyFont="1" applyFill="1" applyBorder="1" applyAlignment="1">
      <alignment horizontal="left"/>
    </xf>
    <xf numFmtId="0" fontId="103" fillId="0" borderId="2" xfId="0" applyFont="1" applyFill="1" applyBorder="1"/>
    <xf numFmtId="0" fontId="0" fillId="0" borderId="0" xfId="0" applyFill="1" applyAlignment="1">
      <alignment horizontal="left"/>
    </xf>
    <xf numFmtId="0" fontId="102" fillId="0" borderId="2" xfId="0" applyFont="1" applyBorder="1"/>
    <xf numFmtId="0" fontId="101" fillId="0" borderId="2" xfId="0" applyFont="1" applyBorder="1"/>
    <xf numFmtId="0" fontId="100" fillId="0" borderId="0" xfId="0" applyFont="1"/>
    <xf numFmtId="0" fontId="99" fillId="0" borderId="2" xfId="0" applyFont="1" applyBorder="1"/>
    <xf numFmtId="0" fontId="98" fillId="0" borderId="2" xfId="0" applyFont="1" applyFill="1" applyBorder="1" applyAlignment="1">
      <alignment horizontal="left"/>
    </xf>
    <xf numFmtId="0" fontId="97" fillId="0" borderId="2" xfId="0" applyFont="1" applyFill="1" applyBorder="1"/>
    <xf numFmtId="0" fontId="97" fillId="0" borderId="2" xfId="0" applyFont="1" applyBorder="1"/>
    <xf numFmtId="0" fontId="96" fillId="0" borderId="2" xfId="0" applyFont="1" applyBorder="1"/>
    <xf numFmtId="0" fontId="150" fillId="0" borderId="2" xfId="0" applyFont="1" applyBorder="1" applyAlignment="1">
      <alignment horizontal="left"/>
    </xf>
    <xf numFmtId="0" fontId="150" fillId="0" borderId="2" xfId="0" applyFont="1" applyBorder="1"/>
    <xf numFmtId="0" fontId="150" fillId="0" borderId="0" xfId="0" applyFont="1"/>
    <xf numFmtId="0" fontId="96" fillId="0" borderId="2" xfId="0" applyFont="1" applyFill="1" applyBorder="1"/>
    <xf numFmtId="0" fontId="96" fillId="0" borderId="0" xfId="0" applyFont="1"/>
    <xf numFmtId="0" fontId="96" fillId="0" borderId="0" xfId="0" applyFont="1" applyFill="1"/>
    <xf numFmtId="0" fontId="95" fillId="0" borderId="2" xfId="0" applyFont="1" applyBorder="1"/>
    <xf numFmtId="0" fontId="95" fillId="0" borderId="2" xfId="0" applyFont="1" applyFill="1" applyBorder="1"/>
    <xf numFmtId="0" fontId="95" fillId="0" borderId="0" xfId="0" applyFont="1"/>
    <xf numFmtId="0" fontId="95" fillId="0" borderId="0" xfId="0" applyFont="1" applyFill="1"/>
    <xf numFmtId="0" fontId="94" fillId="0" borderId="2" xfId="0" applyFont="1" applyBorder="1"/>
    <xf numFmtId="0" fontId="123" fillId="0" borderId="8" xfId="0" applyFont="1" applyBorder="1" applyAlignment="1">
      <alignment vertical="center"/>
    </xf>
    <xf numFmtId="0" fontId="94" fillId="0" borderId="2" xfId="0" applyFont="1" applyFill="1" applyBorder="1"/>
    <xf numFmtId="0" fontId="93" fillId="0" borderId="2" xfId="0" applyFont="1" applyBorder="1"/>
    <xf numFmtId="0" fontId="93" fillId="0" borderId="2" xfId="0" applyFont="1" applyFill="1" applyBorder="1"/>
    <xf numFmtId="0" fontId="93" fillId="0" borderId="0" xfId="0" applyFont="1"/>
    <xf numFmtId="0" fontId="93" fillId="0" borderId="0" xfId="0" applyFont="1" applyFill="1"/>
    <xf numFmtId="0" fontId="92" fillId="0" borderId="2" xfId="0" applyFont="1" applyBorder="1"/>
    <xf numFmtId="0" fontId="92" fillId="0" borderId="2" xfId="0" applyFont="1" applyFill="1" applyBorder="1"/>
    <xf numFmtId="14" fontId="0" fillId="0" borderId="2" xfId="0" applyNumberFormat="1" applyFont="1" applyBorder="1" applyAlignment="1">
      <alignment horizontal="left"/>
    </xf>
    <xf numFmtId="0" fontId="91" fillId="0" borderId="2" xfId="0" applyFont="1" applyBorder="1"/>
    <xf numFmtId="0" fontId="91" fillId="0" borderId="2" xfId="0" applyFont="1" applyFill="1" applyBorder="1"/>
    <xf numFmtId="14" fontId="111" fillId="0" borderId="2" xfId="0" applyNumberFormat="1" applyFont="1" applyFill="1" applyBorder="1"/>
    <xf numFmtId="0" fontId="91" fillId="0" borderId="0" xfId="0" applyFont="1" applyFill="1"/>
    <xf numFmtId="0" fontId="91" fillId="0" borderId="0" xfId="0" applyFont="1"/>
    <xf numFmtId="0" fontId="90" fillId="0" borderId="2" xfId="0" applyFont="1" applyBorder="1"/>
    <xf numFmtId="0" fontId="89" fillId="0" borderId="2" xfId="0" applyFont="1" applyBorder="1"/>
    <xf numFmtId="0" fontId="89" fillId="0" borderId="2" xfId="0" applyFont="1" applyFill="1" applyBorder="1"/>
    <xf numFmtId="0" fontId="89" fillId="0" borderId="0" xfId="0" applyFont="1" applyFill="1"/>
    <xf numFmtId="0" fontId="89" fillId="0" borderId="0" xfId="0" applyFont="1"/>
    <xf numFmtId="0" fontId="88" fillId="0" borderId="2" xfId="0" applyFont="1" applyBorder="1"/>
    <xf numFmtId="0" fontId="88" fillId="0" borderId="2" xfId="0" applyFont="1" applyFill="1" applyBorder="1"/>
    <xf numFmtId="0" fontId="88" fillId="0" borderId="0" xfId="0" applyFont="1" applyFill="1"/>
    <xf numFmtId="0" fontId="88" fillId="0" borderId="0" xfId="0" applyFont="1"/>
    <xf numFmtId="0" fontId="87" fillId="0" borderId="2" xfId="0" applyFont="1" applyBorder="1"/>
    <xf numFmtId="14" fontId="87" fillId="0" borderId="2" xfId="0" applyNumberFormat="1" applyFont="1" applyBorder="1"/>
    <xf numFmtId="0" fontId="87" fillId="0" borderId="2" xfId="0" applyFont="1" applyBorder="1" applyAlignment="1">
      <alignment horizontal="left"/>
    </xf>
    <xf numFmtId="0" fontId="86" fillId="0" borderId="2" xfId="0" applyFont="1" applyFill="1" applyBorder="1"/>
    <xf numFmtId="0" fontId="86" fillId="0" borderId="2" xfId="0" applyFont="1" applyBorder="1"/>
    <xf numFmtId="0" fontId="86" fillId="0" borderId="2" xfId="0" applyFont="1" applyBorder="1" applyAlignment="1">
      <alignment horizontal="left"/>
    </xf>
    <xf numFmtId="14" fontId="85" fillId="0" borderId="2" xfId="0" applyNumberFormat="1" applyFont="1" applyBorder="1"/>
    <xf numFmtId="0" fontId="85" fillId="0" borderId="2" xfId="0" applyFont="1" applyBorder="1"/>
    <xf numFmtId="0" fontId="85" fillId="0" borderId="2" xfId="0" applyFont="1" applyBorder="1" applyAlignment="1">
      <alignment horizontal="left"/>
    </xf>
    <xf numFmtId="0" fontId="85" fillId="0" borderId="2" xfId="0" applyFont="1" applyFill="1" applyBorder="1" applyAlignment="1">
      <alignment horizontal="left"/>
    </xf>
    <xf numFmtId="0" fontId="85" fillId="0" borderId="2" xfId="0" applyFont="1" applyFill="1" applyBorder="1"/>
    <xf numFmtId="0" fontId="85" fillId="0" borderId="0" xfId="0" applyFont="1"/>
    <xf numFmtId="0" fontId="85" fillId="0" borderId="0" xfId="0" applyFont="1" applyFill="1"/>
    <xf numFmtId="0" fontId="84" fillId="0" borderId="2" xfId="0" applyFont="1" applyBorder="1" applyAlignment="1">
      <alignment horizontal="left"/>
    </xf>
    <xf numFmtId="0" fontId="84" fillId="0" borderId="2" xfId="0" applyFont="1" applyBorder="1"/>
    <xf numFmtId="0" fontId="84" fillId="0" borderId="2" xfId="0" applyFont="1" applyFill="1" applyBorder="1" applyAlignment="1">
      <alignment horizontal="left"/>
    </xf>
    <xf numFmtId="0" fontId="84" fillId="0" borderId="2" xfId="0" applyFont="1" applyFill="1" applyBorder="1"/>
    <xf numFmtId="0" fontId="84" fillId="0" borderId="0" xfId="0" applyFont="1" applyFill="1"/>
    <xf numFmtId="0" fontId="84" fillId="0" borderId="0" xfId="0" applyFont="1"/>
    <xf numFmtId="0" fontId="83" fillId="0" borderId="2" xfId="0" applyFont="1" applyBorder="1"/>
    <xf numFmtId="0" fontId="83" fillId="0" borderId="2" xfId="0" applyFont="1" applyFill="1" applyBorder="1"/>
    <xf numFmtId="0" fontId="83" fillId="0" borderId="0" xfId="0" applyFont="1" applyFill="1"/>
    <xf numFmtId="0" fontId="83" fillId="0" borderId="0" xfId="0" applyFont="1"/>
    <xf numFmtId="0" fontId="82" fillId="0" borderId="2" xfId="0" applyFont="1" applyBorder="1"/>
    <xf numFmtId="0" fontId="82" fillId="0" borderId="2" xfId="0" applyFont="1" applyBorder="1" applyAlignment="1">
      <alignment horizontal="left"/>
    </xf>
    <xf numFmtId="0" fontId="82" fillId="0" borderId="2" xfId="0" applyFont="1" applyFill="1" applyBorder="1"/>
    <xf numFmtId="0" fontId="82" fillId="0" borderId="2" xfId="0" applyFont="1" applyFill="1" applyBorder="1" applyAlignment="1">
      <alignment horizontal="left"/>
    </xf>
    <xf numFmtId="14" fontId="82" fillId="0" borderId="2" xfId="0" applyNumberFormat="1" applyFont="1" applyBorder="1"/>
    <xf numFmtId="0" fontId="82" fillId="0" borderId="0" xfId="0" applyFont="1" applyFill="1"/>
    <xf numFmtId="0" fontId="82" fillId="0" borderId="0" xfId="0" applyFont="1"/>
    <xf numFmtId="0" fontId="81" fillId="0" borderId="2" xfId="0" applyFont="1" applyFill="1" applyBorder="1"/>
    <xf numFmtId="0" fontId="81" fillId="0" borderId="2" xfId="0" applyFont="1" applyBorder="1"/>
    <xf numFmtId="0" fontId="81" fillId="0" borderId="0" xfId="0" applyFont="1" applyFill="1"/>
    <xf numFmtId="0" fontId="81" fillId="0" borderId="0" xfId="0" applyFont="1"/>
    <xf numFmtId="0" fontId="80" fillId="0" borderId="2" xfId="0" applyFont="1" applyBorder="1" applyAlignment="1">
      <alignment horizontal="left"/>
    </xf>
    <xf numFmtId="0" fontId="80" fillId="0" borderId="2" xfId="0" applyFont="1" applyBorder="1"/>
    <xf numFmtId="0" fontId="80" fillId="0" borderId="2" xfId="0" applyFont="1" applyFill="1" applyBorder="1" applyAlignment="1">
      <alignment horizontal="left"/>
    </xf>
    <xf numFmtId="0" fontId="80" fillId="0" borderId="2" xfId="0" applyFont="1" applyFill="1" applyBorder="1"/>
    <xf numFmtId="0" fontId="80" fillId="0" borderId="0" xfId="0" applyFont="1"/>
    <xf numFmtId="0" fontId="80" fillId="0" borderId="0" xfId="0" applyFont="1" applyFill="1"/>
    <xf numFmtId="0" fontId="79" fillId="0" borderId="2" xfId="0" applyFont="1" applyBorder="1" applyAlignment="1">
      <alignment horizontal="left"/>
    </xf>
    <xf numFmtId="0" fontId="79" fillId="0" borderId="2" xfId="0" applyFont="1" applyBorder="1"/>
    <xf numFmtId="0" fontId="79" fillId="0" borderId="2" xfId="0" applyFont="1" applyFill="1" applyBorder="1" applyAlignment="1">
      <alignment horizontal="left"/>
    </xf>
    <xf numFmtId="0" fontId="79" fillId="0" borderId="2" xfId="0" applyFont="1" applyFill="1" applyBorder="1"/>
    <xf numFmtId="0" fontId="79" fillId="0" borderId="0" xfId="0" applyFont="1" applyFill="1"/>
    <xf numFmtId="0" fontId="79" fillId="0" borderId="0" xfId="0" applyFont="1"/>
    <xf numFmtId="0" fontId="78" fillId="0" borderId="2" xfId="0" applyFont="1" applyBorder="1" applyAlignment="1">
      <alignment horizontal="left"/>
    </xf>
    <xf numFmtId="0" fontId="78" fillId="0" borderId="2" xfId="0" applyFont="1" applyBorder="1"/>
    <xf numFmtId="0" fontId="78" fillId="0" borderId="2" xfId="0" applyFont="1" applyFill="1" applyBorder="1"/>
    <xf numFmtId="0" fontId="78" fillId="0" borderId="0" xfId="0" applyFont="1" applyFill="1"/>
    <xf numFmtId="0" fontId="78" fillId="0" borderId="0" xfId="0" applyFont="1"/>
    <xf numFmtId="0" fontId="77" fillId="0" borderId="2" xfId="0" applyFont="1" applyBorder="1" applyAlignment="1">
      <alignment horizontal="left"/>
    </xf>
    <xf numFmtId="0" fontId="77" fillId="0" borderId="2" xfId="0" applyFont="1" applyBorder="1"/>
    <xf numFmtId="0" fontId="77" fillId="0" borderId="2" xfId="0" applyFont="1" applyFill="1" applyBorder="1"/>
    <xf numFmtId="0" fontId="77" fillId="0" borderId="0" xfId="0" applyFont="1"/>
    <xf numFmtId="0" fontId="76" fillId="0" borderId="2" xfId="0" applyFont="1" applyFill="1" applyBorder="1"/>
    <xf numFmtId="0" fontId="76" fillId="0" borderId="2" xfId="0" applyFont="1" applyBorder="1"/>
    <xf numFmtId="0" fontId="76" fillId="0" borderId="0" xfId="0" applyFont="1" applyFill="1"/>
    <xf numFmtId="0" fontId="76" fillId="0" borderId="0" xfId="0" applyFont="1"/>
    <xf numFmtId="0" fontId="129" fillId="6" borderId="2" xfId="0" applyFont="1" applyFill="1" applyBorder="1"/>
    <xf numFmtId="0" fontId="0" fillId="0" borderId="3" xfId="0" applyFill="1" applyBorder="1"/>
    <xf numFmtId="0" fontId="75" fillId="0" borderId="2" xfId="0" applyFont="1" applyBorder="1"/>
    <xf numFmtId="0" fontId="75" fillId="0" borderId="0" xfId="0" applyFont="1"/>
    <xf numFmtId="0" fontId="75" fillId="0" borderId="0" xfId="0" applyFont="1" applyFill="1"/>
    <xf numFmtId="0" fontId="74" fillId="0" borderId="2" xfId="0" applyFont="1" applyBorder="1"/>
    <xf numFmtId="0" fontId="74" fillId="0" borderId="2" xfId="0" applyFont="1" applyFill="1" applyBorder="1"/>
    <xf numFmtId="0" fontId="74" fillId="0" borderId="0" xfId="0" applyFont="1"/>
    <xf numFmtId="0" fontId="73" fillId="0" borderId="2" xfId="0" applyFont="1" applyBorder="1"/>
    <xf numFmtId="0" fontId="73" fillId="0" borderId="2" xfId="0" applyFont="1" applyFill="1" applyBorder="1"/>
    <xf numFmtId="14" fontId="0" fillId="0" borderId="0" xfId="0" applyNumberFormat="1"/>
    <xf numFmtId="0" fontId="73" fillId="0" borderId="0" xfId="0" applyFont="1"/>
    <xf numFmtId="0" fontId="0" fillId="0" borderId="1" xfId="0" applyFill="1" applyBorder="1"/>
    <xf numFmtId="0" fontId="73" fillId="0" borderId="0" xfId="0" applyFont="1" applyFill="1"/>
    <xf numFmtId="0" fontId="72" fillId="0" borderId="2" xfId="0" applyFont="1" applyBorder="1"/>
    <xf numFmtId="0" fontId="72" fillId="0" borderId="2" xfId="0" applyFont="1" applyFill="1" applyBorder="1"/>
    <xf numFmtId="0" fontId="72" fillId="0" borderId="0" xfId="0" applyFont="1" applyFill="1"/>
    <xf numFmtId="0" fontId="72" fillId="0" borderId="0" xfId="0" applyFont="1"/>
    <xf numFmtId="0" fontId="71" fillId="0" borderId="2" xfId="0" applyFont="1" applyBorder="1"/>
    <xf numFmtId="0" fontId="71" fillId="0" borderId="2" xfId="0" applyFont="1" applyFill="1" applyBorder="1"/>
    <xf numFmtId="0" fontId="71" fillId="0" borderId="0" xfId="0" applyFont="1" applyFill="1"/>
    <xf numFmtId="0" fontId="71" fillId="0" borderId="0" xfId="0" applyFont="1"/>
    <xf numFmtId="0" fontId="70" fillId="0" borderId="2" xfId="0" applyFont="1" applyBorder="1"/>
    <xf numFmtId="0" fontId="70" fillId="0" borderId="2" xfId="0" applyFont="1" applyFill="1" applyBorder="1"/>
    <xf numFmtId="0" fontId="70" fillId="0" borderId="0" xfId="0" applyFont="1" applyFill="1"/>
    <xf numFmtId="0" fontId="70" fillId="0" borderId="0" xfId="0" applyFont="1"/>
    <xf numFmtId="14" fontId="118" fillId="0" borderId="2" xfId="0" applyNumberFormat="1" applyFont="1" applyBorder="1" applyAlignment="1">
      <alignment horizontal="left" vertical="center"/>
    </xf>
    <xf numFmtId="14" fontId="118" fillId="0" borderId="2" xfId="0" applyNumberFormat="1" applyFont="1" applyFill="1" applyBorder="1" applyAlignment="1">
      <alignment horizontal="left" vertical="center"/>
    </xf>
    <xf numFmtId="0" fontId="129" fillId="0" borderId="2" xfId="0" applyFont="1" applyBorder="1" applyAlignment="1">
      <alignment horizontal="left"/>
    </xf>
    <xf numFmtId="0" fontId="69" fillId="0" borderId="2" xfId="0" applyFont="1" applyBorder="1"/>
    <xf numFmtId="0" fontId="69" fillId="0" borderId="2" xfId="0" applyFont="1" applyFill="1" applyBorder="1"/>
    <xf numFmtId="14" fontId="69" fillId="0" borderId="2" xfId="0" applyNumberFormat="1" applyFont="1" applyFill="1" applyBorder="1" applyAlignment="1">
      <alignment horizontal="left"/>
    </xf>
    <xf numFmtId="0" fontId="69" fillId="0" borderId="0" xfId="0" applyFont="1" applyFill="1"/>
    <xf numFmtId="0" fontId="69" fillId="0" borderId="0" xfId="0" applyFont="1"/>
    <xf numFmtId="0" fontId="116" fillId="0" borderId="2" xfId="0" applyNumberFormat="1" applyFont="1" applyFill="1" applyBorder="1" applyAlignment="1">
      <alignment horizontal="center" vertical="center" wrapText="1"/>
    </xf>
    <xf numFmtId="0" fontId="68" fillId="0" borderId="2" xfId="0" applyFont="1" applyBorder="1"/>
    <xf numFmtId="0" fontId="67" fillId="0" borderId="2" xfId="0" applyFont="1" applyBorder="1"/>
    <xf numFmtId="14" fontId="67" fillId="0" borderId="2" xfId="0" applyNumberFormat="1" applyFont="1" applyBorder="1" applyAlignment="1">
      <alignment horizontal="left"/>
    </xf>
    <xf numFmtId="0" fontId="67" fillId="0" borderId="2" xfId="0" applyFont="1" applyFill="1" applyBorder="1"/>
    <xf numFmtId="0" fontId="67" fillId="0" borderId="0" xfId="0" applyFont="1" applyFill="1"/>
    <xf numFmtId="0" fontId="67" fillId="0" borderId="0" xfId="0" applyFont="1"/>
    <xf numFmtId="0" fontId="66" fillId="0" borderId="2" xfId="0" applyFont="1" applyBorder="1"/>
    <xf numFmtId="0" fontId="66" fillId="0" borderId="0" xfId="0" applyFont="1"/>
    <xf numFmtId="0" fontId="65" fillId="0" borderId="2" xfId="0" applyFont="1" applyBorder="1" applyAlignment="1">
      <alignment horizontal="left"/>
    </xf>
    <xf numFmtId="0" fontId="65" fillId="0" borderId="2" xfId="0" applyFont="1" applyBorder="1"/>
    <xf numFmtId="0" fontId="65" fillId="0" borderId="2" xfId="0" applyFont="1" applyFill="1" applyBorder="1"/>
    <xf numFmtId="0" fontId="65" fillId="0" borderId="0" xfId="0" applyFont="1" applyFill="1"/>
    <xf numFmtId="0" fontId="65" fillId="0" borderId="0" xfId="0" applyFont="1"/>
    <xf numFmtId="0" fontId="64" fillId="0" borderId="2" xfId="0" applyFont="1" applyBorder="1"/>
    <xf numFmtId="0" fontId="0" fillId="3" borderId="0" xfId="0" applyFill="1"/>
    <xf numFmtId="0" fontId="63" fillId="0" borderId="2" xfId="0" applyFont="1" applyBorder="1" applyAlignment="1">
      <alignment horizontal="left"/>
    </xf>
    <xf numFmtId="0" fontId="63" fillId="0" borderId="2" xfId="0" applyFont="1" applyBorder="1"/>
    <xf numFmtId="0" fontId="63" fillId="0" borderId="2" xfId="0" applyFont="1" applyFill="1" applyBorder="1"/>
    <xf numFmtId="0" fontId="63" fillId="0" borderId="2" xfId="0" applyFont="1" applyFill="1" applyBorder="1" applyAlignment="1">
      <alignment horizontal="left"/>
    </xf>
    <xf numFmtId="0" fontId="63" fillId="0" borderId="0" xfId="0" applyFont="1"/>
    <xf numFmtId="0" fontId="62" fillId="0" borderId="2" xfId="0" applyFont="1" applyBorder="1" applyAlignment="1">
      <alignment horizontal="left"/>
    </xf>
    <xf numFmtId="0" fontId="62" fillId="0" borderId="2" xfId="0" applyFont="1" applyBorder="1"/>
    <xf numFmtId="0" fontId="62" fillId="0" borderId="2" xfId="0" applyFont="1" applyFill="1" applyBorder="1"/>
    <xf numFmtId="0" fontId="62" fillId="0" borderId="0" xfId="0" applyFont="1"/>
    <xf numFmtId="0" fontId="61" fillId="0" borderId="2" xfId="0" applyFont="1" applyBorder="1"/>
    <xf numFmtId="0" fontId="61" fillId="0" borderId="0" xfId="0" applyFont="1"/>
    <xf numFmtId="0" fontId="61" fillId="0" borderId="2" xfId="0" applyFont="1" applyBorder="1" applyAlignment="1">
      <alignment horizontal="left"/>
    </xf>
    <xf numFmtId="0" fontId="61" fillId="0" borderId="2" xfId="0" applyFont="1" applyFill="1" applyBorder="1" applyAlignment="1">
      <alignment horizontal="left"/>
    </xf>
    <xf numFmtId="0" fontId="61" fillId="0" borderId="2" xfId="0" applyFont="1" applyFill="1" applyBorder="1"/>
    <xf numFmtId="0" fontId="60" fillId="0" borderId="2" xfId="0" applyFont="1" applyBorder="1"/>
    <xf numFmtId="0" fontId="60" fillId="0" borderId="2" xfId="0" applyFont="1" applyFill="1" applyBorder="1"/>
    <xf numFmtId="0" fontId="60" fillId="0" borderId="2" xfId="0" applyFont="1" applyBorder="1" applyAlignment="1">
      <alignment horizontal="left"/>
    </xf>
    <xf numFmtId="0" fontId="60" fillId="0" borderId="0" xfId="0" applyFont="1" applyFill="1"/>
    <xf numFmtId="0" fontId="60" fillId="0" borderId="0" xfId="0" applyFont="1"/>
    <xf numFmtId="0" fontId="59" fillId="0" borderId="2" xfId="0" applyFont="1" applyBorder="1"/>
    <xf numFmtId="0" fontId="59" fillId="0" borderId="2" xfId="0" applyFont="1" applyBorder="1" applyAlignment="1">
      <alignment horizontal="left"/>
    </xf>
    <xf numFmtId="0" fontId="59" fillId="0" borderId="2" xfId="0" applyFont="1" applyFill="1" applyBorder="1"/>
    <xf numFmtId="0" fontId="59" fillId="0" borderId="0" xfId="0" applyFont="1" applyFill="1"/>
    <xf numFmtId="0" fontId="59" fillId="0" borderId="0" xfId="0" applyFont="1"/>
    <xf numFmtId="0" fontId="58" fillId="0" borderId="2" xfId="0" applyFont="1" applyBorder="1"/>
    <xf numFmtId="0" fontId="58" fillId="0" borderId="2" xfId="0" applyFont="1" applyFill="1" applyBorder="1"/>
    <xf numFmtId="0" fontId="58" fillId="0" borderId="2" xfId="0" applyFont="1" applyBorder="1" applyAlignment="1">
      <alignment horizontal="left"/>
    </xf>
    <xf numFmtId="0" fontId="58" fillId="0" borderId="0" xfId="0" applyFont="1" applyFill="1"/>
    <xf numFmtId="0" fontId="58" fillId="0" borderId="0" xfId="0" applyFont="1"/>
    <xf numFmtId="0" fontId="57" fillId="0" borderId="2" xfId="0" applyFont="1" applyBorder="1"/>
    <xf numFmtId="0" fontId="57" fillId="0" borderId="2" xfId="0" applyFont="1" applyBorder="1" applyAlignment="1">
      <alignment horizontal="left"/>
    </xf>
    <xf numFmtId="0" fontId="57" fillId="0" borderId="2" xfId="0" applyFont="1" applyFill="1" applyBorder="1"/>
    <xf numFmtId="0" fontId="57" fillId="0" borderId="0" xfId="0" applyFont="1"/>
    <xf numFmtId="0" fontId="57" fillId="0" borderId="0" xfId="0" applyFont="1" applyFill="1"/>
    <xf numFmtId="0" fontId="56" fillId="0" borderId="2" xfId="0" applyFont="1" applyBorder="1" applyAlignment="1">
      <alignment horizontal="left"/>
    </xf>
    <xf numFmtId="0" fontId="56" fillId="0" borderId="2" xfId="0" applyFont="1" applyBorder="1"/>
    <xf numFmtId="0" fontId="55" fillId="0" borderId="2" xfId="0" applyFont="1" applyBorder="1"/>
    <xf numFmtId="0" fontId="55" fillId="0" borderId="0" xfId="0" applyFont="1"/>
    <xf numFmtId="0" fontId="55" fillId="0" borderId="0" xfId="0" applyFont="1" applyFill="1"/>
    <xf numFmtId="0" fontId="54" fillId="0" borderId="2" xfId="0" applyFont="1" applyBorder="1"/>
    <xf numFmtId="14" fontId="63" fillId="0" borderId="2" xfId="0" applyNumberFormat="1" applyFont="1" applyBorder="1" applyAlignment="1">
      <alignment horizontal="left"/>
    </xf>
    <xf numFmtId="0" fontId="54" fillId="0" borderId="0" xfId="0" applyFont="1"/>
    <xf numFmtId="0" fontId="54" fillId="0" borderId="2" xfId="0" applyFont="1" applyFill="1" applyBorder="1"/>
    <xf numFmtId="0" fontId="54" fillId="0" borderId="0" xfId="0" applyFont="1" applyFill="1"/>
    <xf numFmtId="0" fontId="53" fillId="0" borderId="2" xfId="0" applyFont="1" applyBorder="1"/>
    <xf numFmtId="0" fontId="53" fillId="0" borderId="2" xfId="0" applyFont="1" applyBorder="1" applyAlignment="1">
      <alignment horizontal="left"/>
    </xf>
    <xf numFmtId="14" fontId="59" fillId="0" borderId="2" xfId="0" applyNumberFormat="1" applyFont="1" applyBorder="1" applyAlignment="1">
      <alignment horizontal="left"/>
    </xf>
    <xf numFmtId="0" fontId="53" fillId="0" borderId="0" xfId="0" applyFont="1" applyFill="1"/>
    <xf numFmtId="0" fontId="53" fillId="0" borderId="0" xfId="0" applyFont="1"/>
    <xf numFmtId="0" fontId="52" fillId="0" borderId="2" xfId="0" applyFont="1" applyBorder="1"/>
    <xf numFmtId="0" fontId="52" fillId="0" borderId="2" xfId="0" applyFont="1" applyFill="1" applyBorder="1"/>
    <xf numFmtId="0" fontId="52" fillId="0" borderId="0" xfId="0" applyFont="1" applyFill="1"/>
    <xf numFmtId="0" fontId="52" fillId="0" borderId="0" xfId="0" applyFont="1"/>
    <xf numFmtId="0" fontId="51" fillId="0" borderId="0" xfId="0" applyFont="1"/>
    <xf numFmtId="0" fontId="50" fillId="0" borderId="2" xfId="0" applyFont="1" applyBorder="1"/>
    <xf numFmtId="0" fontId="49" fillId="0" borderId="2" xfId="0" applyFont="1" applyBorder="1"/>
    <xf numFmtId="0" fontId="49" fillId="0" borderId="2" xfId="0" applyFont="1" applyFill="1" applyBorder="1"/>
    <xf numFmtId="0" fontId="49" fillId="0" borderId="0" xfId="0" applyFont="1" applyFill="1"/>
    <xf numFmtId="0" fontId="49" fillId="0" borderId="0" xfId="0" applyFont="1"/>
    <xf numFmtId="0" fontId="48" fillId="0" borderId="2" xfId="0" applyFont="1" applyBorder="1"/>
    <xf numFmtId="0" fontId="48" fillId="0" borderId="2" xfId="0" applyFont="1" applyFill="1" applyBorder="1"/>
    <xf numFmtId="0" fontId="48" fillId="0" borderId="2" xfId="0" applyFont="1" applyBorder="1" applyAlignment="1">
      <alignment horizontal="left"/>
    </xf>
    <xf numFmtId="0" fontId="48" fillId="0" borderId="0" xfId="0" applyFont="1" applyFill="1"/>
    <xf numFmtId="0" fontId="48" fillId="0" borderId="0" xfId="0" applyFont="1"/>
    <xf numFmtId="0" fontId="47" fillId="0" borderId="2" xfId="0" applyFont="1" applyBorder="1" applyAlignment="1">
      <alignment horizontal="left"/>
    </xf>
    <xf numFmtId="0" fontId="47" fillId="0" borderId="2" xfId="0" applyFont="1" applyBorder="1"/>
    <xf numFmtId="0" fontId="47" fillId="0" borderId="2" xfId="0" applyFont="1" applyFill="1" applyBorder="1"/>
    <xf numFmtId="0" fontId="47" fillId="0" borderId="0" xfId="0" applyFont="1"/>
    <xf numFmtId="0" fontId="47" fillId="0" borderId="0" xfId="0" applyFont="1" applyFill="1"/>
    <xf numFmtId="0" fontId="46" fillId="0" borderId="2" xfId="0" applyFont="1" applyBorder="1" applyAlignment="1">
      <alignment horizontal="left"/>
    </xf>
    <xf numFmtId="0" fontId="46" fillId="0" borderId="2" xfId="0" applyFont="1" applyBorder="1"/>
    <xf numFmtId="0" fontId="46" fillId="0" borderId="2" xfId="0" applyFont="1" applyFill="1" applyBorder="1"/>
    <xf numFmtId="0" fontId="46" fillId="0" borderId="0" xfId="0" applyFont="1" applyFill="1"/>
    <xf numFmtId="0" fontId="46" fillId="0" borderId="0" xfId="0" applyFont="1"/>
    <xf numFmtId="0" fontId="45" fillId="0" borderId="2" xfId="0" applyFont="1" applyBorder="1"/>
    <xf numFmtId="0" fontId="45" fillId="0" borderId="2" xfId="0" applyFont="1" applyBorder="1" applyAlignment="1">
      <alignment horizontal="left"/>
    </xf>
    <xf numFmtId="0" fontId="45" fillId="0" borderId="0" xfId="0" applyFont="1" applyFill="1"/>
    <xf numFmtId="0" fontId="45" fillId="0" borderId="0" xfId="0" applyFont="1"/>
    <xf numFmtId="0" fontId="44" fillId="0" borderId="2" xfId="0" applyFont="1" applyBorder="1"/>
    <xf numFmtId="0" fontId="44" fillId="0" borderId="2" xfId="0" applyFont="1" applyBorder="1" applyAlignment="1">
      <alignment horizontal="left"/>
    </xf>
    <xf numFmtId="0" fontId="44" fillId="0" borderId="2" xfId="0" applyFont="1" applyFill="1" applyBorder="1" applyAlignment="1">
      <alignment horizontal="left"/>
    </xf>
    <xf numFmtId="0" fontId="44" fillId="0" borderId="2" xfId="0" applyFont="1" applyFill="1" applyBorder="1"/>
    <xf numFmtId="0" fontId="44" fillId="0" borderId="0" xfId="0" applyFont="1" applyFill="1"/>
    <xf numFmtId="0" fontId="44" fillId="0" borderId="0" xfId="0" applyFont="1"/>
    <xf numFmtId="0" fontId="43" fillId="0" borderId="2" xfId="0" applyFont="1" applyBorder="1" applyAlignment="1">
      <alignment horizontal="left"/>
    </xf>
    <xf numFmtId="0" fontId="43" fillId="0" borderId="2" xfId="0" applyFont="1" applyBorder="1"/>
    <xf numFmtId="0" fontId="43" fillId="0" borderId="0" xfId="0" applyFont="1"/>
    <xf numFmtId="0" fontId="43" fillId="0" borderId="0" xfId="0" applyFont="1" applyFill="1"/>
    <xf numFmtId="0" fontId="43" fillId="0" borderId="2" xfId="0" applyFont="1" applyFill="1" applyBorder="1"/>
    <xf numFmtId="0" fontId="43" fillId="0" borderId="2" xfId="0" applyFont="1" applyFill="1" applyBorder="1" applyAlignment="1">
      <alignment horizontal="left"/>
    </xf>
    <xf numFmtId="0" fontId="42" fillId="0" borderId="2" xfId="0" applyFont="1" applyBorder="1"/>
    <xf numFmtId="0" fontId="42" fillId="0" borderId="2" xfId="0" applyFont="1" applyBorder="1" applyAlignment="1">
      <alignment horizontal="left"/>
    </xf>
    <xf numFmtId="0" fontId="42" fillId="0" borderId="0" xfId="0" applyFont="1" applyFill="1"/>
    <xf numFmtId="0" fontId="42" fillId="0" borderId="0" xfId="0" applyFont="1"/>
    <xf numFmtId="0" fontId="41" fillId="0" borderId="2" xfId="0" applyFont="1" applyFill="1" applyBorder="1"/>
    <xf numFmtId="0" fontId="41" fillId="0" borderId="2" xfId="0" applyFont="1" applyBorder="1"/>
    <xf numFmtId="0" fontId="41" fillId="0" borderId="2" xfId="0" applyFont="1" applyBorder="1" applyAlignment="1">
      <alignment horizontal="left"/>
    </xf>
    <xf numFmtId="0" fontId="41" fillId="0" borderId="0" xfId="0" applyFont="1" applyFill="1"/>
    <xf numFmtId="0" fontId="41" fillId="0" borderId="0" xfId="0" applyFont="1"/>
    <xf numFmtId="0" fontId="40" fillId="0" borderId="2" xfId="0" applyFont="1" applyBorder="1"/>
    <xf numFmtId="0" fontId="40" fillId="0" borderId="2" xfId="0" applyFont="1" applyBorder="1" applyAlignment="1">
      <alignment horizontal="left"/>
    </xf>
    <xf numFmtId="0" fontId="40" fillId="0" borderId="2" xfId="0" applyFont="1" applyFill="1" applyBorder="1"/>
    <xf numFmtId="0" fontId="40" fillId="0" borderId="0" xfId="0" applyFont="1"/>
    <xf numFmtId="0" fontId="40" fillId="0" borderId="0" xfId="0" applyFont="1" applyFill="1"/>
    <xf numFmtId="0" fontId="39" fillId="0" borderId="2" xfId="0" applyFont="1" applyBorder="1"/>
    <xf numFmtId="0" fontId="38" fillId="0" borderId="2" xfId="0" applyFont="1" applyBorder="1"/>
    <xf numFmtId="0" fontId="38" fillId="0" borderId="2" xfId="0" applyFont="1" applyFill="1" applyBorder="1"/>
    <xf numFmtId="0" fontId="38" fillId="0" borderId="0" xfId="0" applyFont="1" applyFill="1"/>
    <xf numFmtId="0" fontId="38" fillId="0" borderId="0" xfId="0" applyFont="1"/>
    <xf numFmtId="0" fontId="37" fillId="0" borderId="0" xfId="0" applyFont="1"/>
    <xf numFmtId="0" fontId="36" fillId="0" borderId="2" xfId="0" applyFont="1" applyBorder="1"/>
    <xf numFmtId="0" fontId="35" fillId="0" borderId="2" xfId="0" applyFont="1" applyBorder="1"/>
    <xf numFmtId="0" fontId="35" fillId="0" borderId="2" xfId="0" applyFont="1" applyFill="1" applyBorder="1"/>
    <xf numFmtId="0" fontId="35" fillId="0" borderId="0" xfId="0" applyFont="1"/>
    <xf numFmtId="0" fontId="35" fillId="0" borderId="0" xfId="0" applyFont="1" applyFill="1"/>
    <xf numFmtId="0" fontId="34" fillId="0" borderId="2" xfId="0" applyFont="1" applyBorder="1"/>
    <xf numFmtId="0" fontId="33" fillId="0" borderId="2" xfId="0" applyFont="1" applyBorder="1"/>
    <xf numFmtId="0" fontId="33" fillId="0" borderId="0" xfId="0" applyFont="1"/>
    <xf numFmtId="0" fontId="33" fillId="0" borderId="0" xfId="0" applyFont="1" applyFill="1"/>
    <xf numFmtId="0" fontId="33" fillId="0" borderId="2" xfId="0" applyFont="1" applyFill="1" applyBorder="1"/>
    <xf numFmtId="14" fontId="107" fillId="0" borderId="2" xfId="0" applyNumberFormat="1" applyFont="1" applyBorder="1" applyAlignment="1">
      <alignment vertical="center"/>
    </xf>
    <xf numFmtId="0" fontId="32" fillId="0" borderId="2" xfId="0" applyFont="1" applyBorder="1"/>
    <xf numFmtId="0" fontId="32" fillId="0" borderId="2" xfId="0" applyFont="1" applyFill="1" applyBorder="1"/>
    <xf numFmtId="0" fontId="31" fillId="0" borderId="2" xfId="0" applyFont="1" applyFill="1" applyBorder="1"/>
    <xf numFmtId="0" fontId="31" fillId="0" borderId="0" xfId="0" applyFont="1" applyFill="1"/>
    <xf numFmtId="0" fontId="31" fillId="0" borderId="0" xfId="0" applyFont="1"/>
    <xf numFmtId="0" fontId="31" fillId="0" borderId="2" xfId="0" applyFont="1" applyBorder="1"/>
    <xf numFmtId="0" fontId="30" fillId="0" borderId="2" xfId="0" applyFont="1" applyBorder="1"/>
    <xf numFmtId="0" fontId="30" fillId="0" borderId="2" xfId="0" applyFont="1" applyBorder="1" applyAlignment="1">
      <alignment horizontal="left"/>
    </xf>
    <xf numFmtId="0" fontId="30" fillId="0" borderId="2" xfId="0" applyFont="1" applyFill="1" applyBorder="1"/>
    <xf numFmtId="0" fontId="30" fillId="0" borderId="0" xfId="0" applyFont="1" applyFill="1"/>
    <xf numFmtId="0" fontId="30" fillId="0" borderId="0" xfId="0" applyFont="1"/>
    <xf numFmtId="0" fontId="29" fillId="0" borderId="2" xfId="0" applyFont="1" applyFill="1" applyBorder="1"/>
    <xf numFmtId="0" fontId="29" fillId="0" borderId="2" xfId="0" applyFont="1" applyBorder="1"/>
    <xf numFmtId="0" fontId="29" fillId="0" borderId="2" xfId="0" applyFont="1" applyFill="1" applyBorder="1" applyAlignment="1">
      <alignment horizontal="left"/>
    </xf>
    <xf numFmtId="0" fontId="29" fillId="0" borderId="2" xfId="0" applyFont="1" applyBorder="1" applyAlignment="1">
      <alignment horizontal="left"/>
    </xf>
    <xf numFmtId="0" fontId="29" fillId="0" borderId="0" xfId="0" applyFont="1"/>
    <xf numFmtId="0" fontId="29" fillId="0" borderId="0" xfId="0" applyFont="1" applyFill="1"/>
    <xf numFmtId="0" fontId="28" fillId="0" borderId="2" xfId="0" applyFont="1" applyBorder="1"/>
    <xf numFmtId="0" fontId="28" fillId="0" borderId="2" xfId="0" applyFont="1" applyBorder="1" applyAlignment="1">
      <alignment horizontal="left"/>
    </xf>
    <xf numFmtId="0" fontId="28" fillId="0" borderId="2" xfId="0" applyFont="1" applyFill="1" applyBorder="1"/>
    <xf numFmtId="0" fontId="28" fillId="0" borderId="0" xfId="0" applyFont="1"/>
    <xf numFmtId="0" fontId="28" fillId="0" borderId="0" xfId="0" applyFont="1" applyFill="1"/>
    <xf numFmtId="0" fontId="27" fillId="0" borderId="2" xfId="0" applyFont="1" applyBorder="1" applyAlignment="1">
      <alignment horizontal="left"/>
    </xf>
    <xf numFmtId="0" fontId="27" fillId="0" borderId="2" xfId="0" applyFont="1" applyBorder="1"/>
    <xf numFmtId="0" fontId="27" fillId="0" borderId="2" xfId="0" applyFont="1" applyFill="1" applyBorder="1" applyAlignment="1">
      <alignment horizontal="left"/>
    </xf>
    <xf numFmtId="0" fontId="27" fillId="0" borderId="2" xfId="0" applyFont="1" applyFill="1" applyBorder="1"/>
    <xf numFmtId="0" fontId="27" fillId="0" borderId="0" xfId="0" applyFont="1" applyFill="1"/>
    <xf numFmtId="0" fontId="27" fillId="0" borderId="0" xfId="0" applyFont="1"/>
    <xf numFmtId="0" fontId="26" fillId="0" borderId="2" xfId="0" applyFont="1" applyBorder="1"/>
    <xf numFmtId="0" fontId="26" fillId="0" borderId="2" xfId="0" applyFont="1" applyFill="1" applyBorder="1" applyAlignment="1">
      <alignment horizontal="left"/>
    </xf>
    <xf numFmtId="0" fontId="26" fillId="0" borderId="2" xfId="0" applyFont="1" applyFill="1" applyBorder="1"/>
    <xf numFmtId="0" fontId="26" fillId="0" borderId="2" xfId="0" applyFont="1" applyBorder="1" applyAlignment="1">
      <alignment horizontal="left"/>
    </xf>
    <xf numFmtId="0" fontId="26" fillId="0" borderId="0" xfId="0" applyFont="1" applyFill="1"/>
    <xf numFmtId="0" fontId="26" fillId="0" borderId="0" xfId="0" applyFont="1"/>
    <xf numFmtId="0" fontId="25" fillId="0" borderId="2" xfId="0" applyFont="1" applyBorder="1"/>
    <xf numFmtId="0" fontId="25" fillId="0" borderId="2" xfId="0" applyFont="1" applyFill="1" applyBorder="1" applyAlignment="1">
      <alignment horizontal="left"/>
    </xf>
    <xf numFmtId="0" fontId="25" fillId="0" borderId="2" xfId="0" applyFont="1" applyFill="1" applyBorder="1"/>
    <xf numFmtId="0" fontId="25" fillId="0" borderId="2" xfId="0" applyFont="1" applyBorder="1" applyAlignment="1">
      <alignment horizontal="left"/>
    </xf>
    <xf numFmtId="0" fontId="25" fillId="0" borderId="0" xfId="0" applyFont="1" applyFill="1"/>
    <xf numFmtId="0" fontId="25" fillId="0" borderId="0" xfId="0" applyFont="1"/>
    <xf numFmtId="0" fontId="0" fillId="7" borderId="2" xfId="0" applyFill="1" applyBorder="1"/>
    <xf numFmtId="0" fontId="24" fillId="0" borderId="2" xfId="0" applyFont="1" applyBorder="1" applyAlignment="1">
      <alignment horizontal="left"/>
    </xf>
    <xf numFmtId="0" fontId="24" fillId="0" borderId="2" xfId="0" applyFont="1" applyBorder="1"/>
    <xf numFmtId="0" fontId="23" fillId="0" borderId="2" xfId="0" applyFont="1" applyBorder="1" applyAlignment="1">
      <alignment horizontal="left"/>
    </xf>
    <xf numFmtId="0" fontId="23" fillId="0" borderId="2" xfId="0" applyFont="1" applyBorder="1"/>
    <xf numFmtId="0" fontId="23" fillId="0" borderId="0" xfId="0" applyFont="1" applyFill="1"/>
    <xf numFmtId="0" fontId="23" fillId="0" borderId="2" xfId="0" applyFont="1" applyFill="1" applyBorder="1"/>
    <xf numFmtId="0" fontId="23" fillId="0" borderId="0" xfId="0" applyFont="1"/>
    <xf numFmtId="0" fontId="22" fillId="0" borderId="2" xfId="0" applyFont="1" applyFill="1" applyBorder="1" applyAlignment="1">
      <alignment horizontal="left"/>
    </xf>
    <xf numFmtId="0" fontId="22" fillId="0" borderId="2" xfId="0" applyFont="1" applyFill="1" applyBorder="1"/>
    <xf numFmtId="0" fontId="22" fillId="0" borderId="0" xfId="0" applyFont="1"/>
    <xf numFmtId="0" fontId="21" fillId="0" borderId="2" xfId="0" applyFont="1" applyBorder="1" applyAlignment="1">
      <alignment horizontal="left"/>
    </xf>
    <xf numFmtId="0" fontId="21" fillId="0" borderId="2" xfId="0" applyFont="1" applyBorder="1"/>
    <xf numFmtId="0" fontId="21" fillId="0" borderId="2" xfId="0" applyFont="1" applyFill="1" applyBorder="1"/>
    <xf numFmtId="0" fontId="21" fillId="0" borderId="0" xfId="0" applyFont="1"/>
    <xf numFmtId="0" fontId="21" fillId="0" borderId="0" xfId="0" applyFont="1" applyFill="1"/>
    <xf numFmtId="0" fontId="20" fillId="0" borderId="0" xfId="0" applyFont="1"/>
    <xf numFmtId="0" fontId="20" fillId="0" borderId="2" xfId="0" applyFont="1" applyBorder="1"/>
    <xf numFmtId="0" fontId="19" fillId="0" borderId="2" xfId="0" applyFont="1" applyBorder="1"/>
    <xf numFmtId="0" fontId="18" fillId="0" borderId="2" xfId="0" applyFont="1" applyBorder="1"/>
    <xf numFmtId="0" fontId="18" fillId="0" borderId="0" xfId="0" applyFont="1"/>
    <xf numFmtId="0" fontId="18" fillId="0" borderId="0" xfId="0" applyFont="1" applyFill="1"/>
    <xf numFmtId="0" fontId="17" fillId="0" borderId="0" xfId="0" applyFont="1"/>
    <xf numFmtId="0" fontId="17" fillId="3" borderId="2" xfId="0" applyFont="1" applyFill="1" applyBorder="1"/>
    <xf numFmtId="0" fontId="30" fillId="3" borderId="2" xfId="0" applyFont="1" applyFill="1" applyBorder="1"/>
    <xf numFmtId="0" fontId="16" fillId="0" borderId="2" xfId="0" applyFont="1" applyBorder="1"/>
    <xf numFmtId="0" fontId="16" fillId="0" borderId="2" xfId="0" applyFont="1" applyFill="1" applyBorder="1"/>
    <xf numFmtId="0" fontId="15" fillId="0" borderId="2" xfId="0" applyFont="1" applyBorder="1"/>
    <xf numFmtId="14" fontId="99" fillId="0" borderId="2" xfId="0" applyNumberFormat="1" applyFont="1" applyBorder="1"/>
    <xf numFmtId="0" fontId="15" fillId="0" borderId="2" xfId="0" applyFont="1" applyFill="1" applyBorder="1"/>
    <xf numFmtId="0" fontId="127" fillId="0" borderId="1" xfId="0" applyNumberFormat="1" applyFont="1" applyFill="1" applyBorder="1" applyAlignment="1">
      <alignment horizontal="left" vertical="center"/>
    </xf>
    <xf numFmtId="14" fontId="121" fillId="0" borderId="2" xfId="0" applyNumberFormat="1" applyFont="1" applyBorder="1" applyAlignment="1">
      <alignment horizontal="left" vertical="center"/>
    </xf>
    <xf numFmtId="14" fontId="111" fillId="0" borderId="2" xfId="0" applyNumberFormat="1" applyFont="1" applyFill="1" applyBorder="1" applyAlignment="1">
      <alignment horizontal="left"/>
    </xf>
    <xf numFmtId="0" fontId="81" fillId="0" borderId="2" xfId="0" applyFont="1" applyBorder="1" applyAlignment="1">
      <alignment horizontal="left"/>
    </xf>
    <xf numFmtId="0" fontId="81" fillId="0" borderId="2" xfId="0" applyFont="1" applyFill="1" applyBorder="1" applyAlignment="1">
      <alignment horizontal="left"/>
    </xf>
    <xf numFmtId="14" fontId="119" fillId="0" borderId="2" xfId="0" applyNumberFormat="1" applyFont="1" applyBorder="1" applyAlignment="1">
      <alignment horizontal="left" vertical="center"/>
    </xf>
    <xf numFmtId="0" fontId="67" fillId="0" borderId="2" xfId="0" applyFont="1" applyBorder="1" applyAlignment="1">
      <alignment horizontal="left"/>
    </xf>
    <xf numFmtId="0" fontId="66" fillId="0" borderId="2" xfId="0" applyFont="1" applyBorder="1" applyAlignment="1">
      <alignment horizontal="left"/>
    </xf>
    <xf numFmtId="0" fontId="59" fillId="0" borderId="2" xfId="0" applyFont="1" applyFill="1" applyBorder="1" applyAlignment="1">
      <alignment horizontal="left"/>
    </xf>
    <xf numFmtId="0" fontId="111" fillId="0" borderId="2" xfId="0" applyFont="1" applyFill="1" applyBorder="1" applyAlignment="1">
      <alignment horizontal="left"/>
    </xf>
    <xf numFmtId="0" fontId="41" fillId="0" borderId="2" xfId="0" applyFont="1" applyFill="1" applyBorder="1" applyAlignment="1">
      <alignment horizontal="left"/>
    </xf>
    <xf numFmtId="0" fontId="40" fillId="0" borderId="2" xfId="0" applyFont="1" applyFill="1" applyBorder="1" applyAlignment="1">
      <alignment horizontal="left"/>
    </xf>
    <xf numFmtId="0" fontId="15" fillId="0" borderId="2" xfId="0" applyFont="1" applyBorder="1" applyAlignment="1">
      <alignment horizontal="left"/>
    </xf>
    <xf numFmtId="14" fontId="87" fillId="0" borderId="2" xfId="0" applyNumberFormat="1" applyFont="1" applyBorder="1" applyAlignment="1">
      <alignment horizontal="left"/>
    </xf>
    <xf numFmtId="0" fontId="30" fillId="0" borderId="2" xfId="0" applyFont="1" applyFill="1" applyBorder="1" applyAlignment="1">
      <alignment horizontal="left"/>
    </xf>
    <xf numFmtId="0" fontId="127" fillId="0" borderId="1" xfId="0" applyNumberFormat="1" applyFont="1" applyFill="1" applyBorder="1" applyAlignment="1">
      <alignment horizontal="center" vertical="center"/>
    </xf>
    <xf numFmtId="0" fontId="111" fillId="0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8" fillId="0" borderId="2" xfId="0" applyFont="1" applyBorder="1" applyAlignment="1">
      <alignment horizontal="left"/>
    </xf>
    <xf numFmtId="14" fontId="117" fillId="0" borderId="2" xfId="0" applyNumberFormat="1" applyFont="1" applyFill="1" applyBorder="1" applyAlignment="1">
      <alignment horizontal="left" vertical="center"/>
    </xf>
    <xf numFmtId="0" fontId="15" fillId="0" borderId="2" xfId="0" applyFont="1" applyFill="1" applyBorder="1" applyAlignment="1">
      <alignment horizontal="left"/>
    </xf>
    <xf numFmtId="0" fontId="60" fillId="0" borderId="2" xfId="0" applyFont="1" applyFill="1" applyBorder="1" applyAlignment="1">
      <alignment horizontal="left"/>
    </xf>
    <xf numFmtId="0" fontId="14" fillId="0" borderId="2" xfId="0" applyFont="1" applyBorder="1"/>
    <xf numFmtId="14" fontId="14" fillId="0" borderId="2" xfId="0" applyNumberFormat="1" applyFont="1" applyBorder="1"/>
    <xf numFmtId="0" fontId="14" fillId="0" borderId="0" xfId="0" applyFont="1"/>
    <xf numFmtId="0" fontId="14" fillId="0" borderId="2" xfId="0" applyFont="1" applyBorder="1" applyAlignment="1">
      <alignment horizontal="left"/>
    </xf>
    <xf numFmtId="0" fontId="14" fillId="0" borderId="2" xfId="0" applyFont="1" applyFill="1" applyBorder="1"/>
    <xf numFmtId="0" fontId="14" fillId="0" borderId="0" xfId="0" applyFont="1" applyFill="1"/>
    <xf numFmtId="0" fontId="13" fillId="0" borderId="2" xfId="0" applyFont="1" applyBorder="1"/>
    <xf numFmtId="0" fontId="127" fillId="0" borderId="1" xfId="0" applyNumberFormat="1" applyFont="1" applyFill="1" applyBorder="1" applyAlignment="1">
      <alignment horizontal="center" vertical="center" wrapText="1"/>
    </xf>
    <xf numFmtId="0" fontId="12" fillId="0" borderId="2" xfId="0" applyFont="1" applyBorder="1"/>
    <xf numFmtId="0" fontId="12" fillId="0" borderId="2" xfId="0" applyFont="1" applyBorder="1" applyAlignment="1">
      <alignment horizontal="left"/>
    </xf>
    <xf numFmtId="0" fontId="12" fillId="0" borderId="2" xfId="0" applyFont="1" applyFill="1" applyBorder="1" applyAlignment="1">
      <alignment horizontal="left"/>
    </xf>
    <xf numFmtId="0" fontId="12" fillId="0" borderId="2" xfId="0" applyFont="1" applyFill="1" applyBorder="1"/>
    <xf numFmtId="0" fontId="12" fillId="0" borderId="0" xfId="0" applyFont="1" applyFill="1"/>
    <xf numFmtId="0" fontId="12" fillId="0" borderId="0" xfId="0" applyFont="1"/>
    <xf numFmtId="0" fontId="11" fillId="0" borderId="2" xfId="0" applyFont="1" applyBorder="1" applyAlignment="1">
      <alignment horizontal="left"/>
    </xf>
    <xf numFmtId="0" fontId="11" fillId="0" borderId="2" xfId="0" applyFont="1" applyBorder="1"/>
    <xf numFmtId="0" fontId="11" fillId="0" borderId="2" xfId="0" applyFont="1" applyFill="1" applyBorder="1" applyAlignment="1">
      <alignment horizontal="left"/>
    </xf>
    <xf numFmtId="0" fontId="11" fillId="0" borderId="2" xfId="0" applyFont="1" applyFill="1" applyBorder="1"/>
    <xf numFmtId="0" fontId="11" fillId="0" borderId="0" xfId="0" applyFont="1" applyFill="1"/>
    <xf numFmtId="0" fontId="11" fillId="0" borderId="0" xfId="0" applyFont="1"/>
    <xf numFmtId="0" fontId="10" fillId="0" borderId="2" xfId="0" applyFont="1" applyBorder="1" applyAlignment="1">
      <alignment horizontal="left"/>
    </xf>
    <xf numFmtId="0" fontId="10" fillId="0" borderId="2" xfId="0" applyFont="1" applyBorder="1"/>
    <xf numFmtId="14" fontId="10" fillId="0" borderId="2" xfId="0" applyNumberFormat="1" applyFont="1" applyBorder="1"/>
    <xf numFmtId="0" fontId="10" fillId="0" borderId="2" xfId="0" applyFont="1" applyFill="1" applyBorder="1" applyAlignment="1">
      <alignment horizontal="left"/>
    </xf>
    <xf numFmtId="0" fontId="10" fillId="0" borderId="2" xfId="0" applyFont="1" applyFill="1" applyBorder="1"/>
    <xf numFmtId="0" fontId="10" fillId="0" borderId="0" xfId="0" applyFont="1" applyFill="1"/>
    <xf numFmtId="0" fontId="10" fillId="0" borderId="0" xfId="0" applyFont="1"/>
    <xf numFmtId="0" fontId="9" fillId="0" borderId="2" xfId="0" applyFont="1" applyBorder="1" applyAlignment="1">
      <alignment horizontal="left"/>
    </xf>
    <xf numFmtId="0" fontId="9" fillId="0" borderId="2" xfId="0" applyFont="1" applyBorder="1"/>
    <xf numFmtId="0" fontId="9" fillId="0" borderId="2" xfId="0" applyFont="1" applyFill="1" applyBorder="1" applyAlignment="1">
      <alignment horizontal="left"/>
    </xf>
    <xf numFmtId="0" fontId="9" fillId="0" borderId="2" xfId="0" applyFont="1" applyFill="1" applyBorder="1"/>
    <xf numFmtId="0" fontId="9" fillId="0" borderId="0" xfId="0" applyFont="1"/>
    <xf numFmtId="0" fontId="9" fillId="0" borderId="0" xfId="0" applyFont="1" applyFill="1"/>
    <xf numFmtId="0" fontId="8" fillId="0" borderId="2" xfId="0" applyFont="1" applyBorder="1"/>
    <xf numFmtId="0" fontId="7" fillId="0" borderId="2" xfId="0" applyFont="1" applyBorder="1"/>
    <xf numFmtId="0" fontId="7" fillId="0" borderId="2" xfId="0" applyFont="1" applyFill="1" applyBorder="1"/>
    <xf numFmtId="0" fontId="7" fillId="0" borderId="2" xfId="0" applyFont="1" applyBorder="1" applyAlignment="1">
      <alignment horizontal="left"/>
    </xf>
    <xf numFmtId="0" fontId="7" fillId="0" borderId="0" xfId="0" applyFont="1"/>
    <xf numFmtId="0" fontId="0" fillId="0" borderId="1" xfId="0" applyFont="1" applyBorder="1"/>
    <xf numFmtId="0" fontId="94" fillId="0" borderId="1" xfId="0" applyFont="1" applyBorder="1"/>
    <xf numFmtId="0" fontId="7" fillId="0" borderId="0" xfId="0" applyFont="1" applyFill="1"/>
    <xf numFmtId="0" fontId="6" fillId="0" borderId="2" xfId="0" applyFont="1" applyBorder="1" applyAlignment="1">
      <alignment horizontal="left"/>
    </xf>
    <xf numFmtId="0" fontId="6" fillId="0" borderId="2" xfId="0" applyFont="1" applyBorder="1"/>
    <xf numFmtId="0" fontId="6" fillId="0" borderId="2" xfId="0" applyFont="1" applyFill="1" applyBorder="1"/>
    <xf numFmtId="0" fontId="6" fillId="0" borderId="0" xfId="0" applyFont="1" applyFill="1"/>
    <xf numFmtId="0" fontId="6" fillId="0" borderId="0" xfId="0" applyFont="1"/>
    <xf numFmtId="0" fontId="5" fillId="0" borderId="2" xfId="0" applyFont="1" applyBorder="1" applyAlignment="1">
      <alignment horizontal="left"/>
    </xf>
    <xf numFmtId="0" fontId="5" fillId="0" borderId="2" xfId="0" applyFont="1" applyBorder="1"/>
    <xf numFmtId="14" fontId="5" fillId="0" borderId="2" xfId="0" applyNumberFormat="1" applyFont="1" applyBorder="1" applyAlignment="1">
      <alignment horizontal="left"/>
    </xf>
    <xf numFmtId="0" fontId="5" fillId="0" borderId="2" xfId="0" applyFont="1" applyFill="1" applyBorder="1"/>
    <xf numFmtId="0" fontId="5" fillId="0" borderId="0" xfId="0" applyFont="1" applyFill="1"/>
    <xf numFmtId="0" fontId="5" fillId="0" borderId="0" xfId="0" applyFont="1"/>
    <xf numFmtId="0" fontId="4" fillId="0" borderId="2" xfId="0" applyFont="1" applyBorder="1"/>
    <xf numFmtId="0" fontId="108" fillId="0" borderId="2" xfId="0" applyFont="1" applyFill="1" applyBorder="1"/>
    <xf numFmtId="0" fontId="111" fillId="0" borderId="2" xfId="0" applyFont="1" applyFill="1" applyBorder="1" applyAlignment="1"/>
    <xf numFmtId="0" fontId="4" fillId="0" borderId="2" xfId="0" applyFont="1" applyFill="1" applyBorder="1"/>
    <xf numFmtId="0" fontId="0" fillId="8" borderId="2" xfId="0" applyFill="1" applyBorder="1"/>
    <xf numFmtId="0" fontId="108" fillId="8" borderId="2" xfId="0" applyFont="1" applyFill="1" applyBorder="1"/>
    <xf numFmtId="0" fontId="3" fillId="0" borderId="0" xfId="0" applyFont="1"/>
    <xf numFmtId="0" fontId="2" fillId="0" borderId="2" xfId="0" applyFont="1" applyBorder="1"/>
    <xf numFmtId="0" fontId="2" fillId="0" borderId="2" xfId="0" applyFont="1" applyFill="1" applyBorder="1"/>
    <xf numFmtId="14" fontId="109" fillId="0" borderId="2" xfId="0" applyNumberFormat="1" applyFont="1" applyFill="1" applyBorder="1"/>
    <xf numFmtId="0" fontId="109" fillId="0" borderId="2" xfId="0" applyFont="1" applyFill="1" applyBorder="1" applyAlignment="1"/>
    <xf numFmtId="0" fontId="109" fillId="0" borderId="0" xfId="0" applyFont="1"/>
    <xf numFmtId="14" fontId="109" fillId="0" borderId="2" xfId="0" applyNumberFormat="1" applyFont="1" applyBorder="1" applyAlignment="1">
      <alignment horizontal="left"/>
    </xf>
    <xf numFmtId="0" fontId="2" fillId="0" borderId="0" xfId="0" applyFont="1"/>
    <xf numFmtId="0" fontId="2" fillId="0" borderId="0" xfId="0" applyFont="1" applyFill="1"/>
    <xf numFmtId="0" fontId="107" fillId="6" borderId="2" xfId="0" applyFont="1" applyFill="1" applyBorder="1" applyAlignment="1">
      <alignment vertical="center"/>
    </xf>
    <xf numFmtId="0" fontId="118" fillId="6" borderId="2" xfId="0" applyFont="1" applyFill="1" applyBorder="1" applyAlignment="1">
      <alignment vertical="center"/>
    </xf>
    <xf numFmtId="14" fontId="133" fillId="9" borderId="2" xfId="0" applyNumberFormat="1" applyFont="1" applyFill="1" applyBorder="1" applyAlignment="1">
      <alignment vertical="center"/>
    </xf>
    <xf numFmtId="0" fontId="133" fillId="9" borderId="2" xfId="0" applyFont="1" applyFill="1" applyBorder="1" applyAlignment="1">
      <alignment vertical="center"/>
    </xf>
    <xf numFmtId="0" fontId="110" fillId="9" borderId="2" xfId="0" applyFont="1" applyFill="1" applyBorder="1" applyAlignment="1">
      <alignment vertical="center"/>
    </xf>
    <xf numFmtId="0" fontId="151" fillId="6" borderId="2" xfId="0" applyFont="1" applyFill="1" applyBorder="1" applyAlignment="1">
      <alignment vertical="center"/>
    </xf>
    <xf numFmtId="0" fontId="151" fillId="0" borderId="2" xfId="0" applyFont="1" applyBorder="1" applyAlignment="1">
      <alignment vertical="center"/>
    </xf>
    <xf numFmtId="14" fontId="110" fillId="0" borderId="2" xfId="0" applyNumberFormat="1" applyFont="1" applyBorder="1" applyAlignment="1">
      <alignment vertical="center"/>
    </xf>
    <xf numFmtId="0" fontId="110" fillId="0" borderId="2" xfId="0" applyFont="1" applyBorder="1" applyAlignment="1">
      <alignment vertical="center"/>
    </xf>
    <xf numFmtId="0" fontId="110" fillId="6" borderId="2" xfId="0" applyFont="1" applyFill="1" applyBorder="1" applyAlignment="1">
      <alignment horizontal="right" vertical="center"/>
    </xf>
    <xf numFmtId="0" fontId="128" fillId="6" borderId="2" xfId="0" applyFont="1" applyFill="1" applyBorder="1" applyAlignment="1">
      <alignment vertical="center"/>
    </xf>
    <xf numFmtId="0" fontId="118" fillId="10" borderId="2" xfId="0" applyFont="1" applyFill="1" applyBorder="1" applyAlignment="1">
      <alignment vertical="center"/>
    </xf>
    <xf numFmtId="0" fontId="1" fillId="0" borderId="2" xfId="0" applyFont="1" applyBorder="1"/>
    <xf numFmtId="0" fontId="107" fillId="10" borderId="2" xfId="0" applyFont="1" applyFill="1" applyBorder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260" Type="http://schemas.openxmlformats.org/officeDocument/2006/relationships/worksheet" Target="worksheets/sheet260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61" Type="http://schemas.openxmlformats.org/officeDocument/2006/relationships/worksheet" Target="worksheets/sheet261.xml"/><Relationship Id="rId262" Type="http://schemas.openxmlformats.org/officeDocument/2006/relationships/worksheet" Target="worksheets/sheet262.xml"/><Relationship Id="rId263" Type="http://schemas.openxmlformats.org/officeDocument/2006/relationships/theme" Target="theme/theme1.xml"/><Relationship Id="rId264" Type="http://schemas.openxmlformats.org/officeDocument/2006/relationships/styles" Target="styles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65" Type="http://schemas.openxmlformats.org/officeDocument/2006/relationships/sharedStrings" Target="sharedStrings.xml"/><Relationship Id="rId26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worksheet" Target="worksheets/sheet232.xml"/><Relationship Id="rId233" Type="http://schemas.openxmlformats.org/officeDocument/2006/relationships/worksheet" Target="worksheets/sheet233.xml"/><Relationship Id="rId234" Type="http://schemas.openxmlformats.org/officeDocument/2006/relationships/worksheet" Target="worksheets/sheet234.xml"/><Relationship Id="rId235" Type="http://schemas.openxmlformats.org/officeDocument/2006/relationships/worksheet" Target="worksheets/sheet235.xml"/><Relationship Id="rId236" Type="http://schemas.openxmlformats.org/officeDocument/2006/relationships/worksheet" Target="worksheets/sheet236.xml"/><Relationship Id="rId237" Type="http://schemas.openxmlformats.org/officeDocument/2006/relationships/worksheet" Target="worksheets/sheet237.xml"/><Relationship Id="rId238" Type="http://schemas.openxmlformats.org/officeDocument/2006/relationships/worksheet" Target="worksheets/sheet238.xml"/><Relationship Id="rId239" Type="http://schemas.openxmlformats.org/officeDocument/2006/relationships/worksheet" Target="worksheets/sheet23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240" Type="http://schemas.openxmlformats.org/officeDocument/2006/relationships/worksheet" Target="worksheets/sheet240.xml"/><Relationship Id="rId241" Type="http://schemas.openxmlformats.org/officeDocument/2006/relationships/worksheet" Target="worksheets/sheet241.xml"/><Relationship Id="rId242" Type="http://schemas.openxmlformats.org/officeDocument/2006/relationships/worksheet" Target="worksheets/sheet242.xml"/><Relationship Id="rId243" Type="http://schemas.openxmlformats.org/officeDocument/2006/relationships/worksheet" Target="worksheets/sheet243.xml"/><Relationship Id="rId244" Type="http://schemas.openxmlformats.org/officeDocument/2006/relationships/worksheet" Target="worksheets/sheet244.xml"/><Relationship Id="rId245" Type="http://schemas.openxmlformats.org/officeDocument/2006/relationships/worksheet" Target="worksheets/sheet245.xml"/><Relationship Id="rId246" Type="http://schemas.openxmlformats.org/officeDocument/2006/relationships/worksheet" Target="worksheets/sheet246.xml"/><Relationship Id="rId247" Type="http://schemas.openxmlformats.org/officeDocument/2006/relationships/worksheet" Target="worksheets/sheet247.xml"/><Relationship Id="rId248" Type="http://schemas.openxmlformats.org/officeDocument/2006/relationships/worksheet" Target="worksheets/sheet248.xml"/><Relationship Id="rId249" Type="http://schemas.openxmlformats.org/officeDocument/2006/relationships/worksheet" Target="worksheets/sheet24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250" Type="http://schemas.openxmlformats.org/officeDocument/2006/relationships/worksheet" Target="worksheets/sheet250.xml"/><Relationship Id="rId251" Type="http://schemas.openxmlformats.org/officeDocument/2006/relationships/worksheet" Target="worksheets/sheet251.xml"/><Relationship Id="rId252" Type="http://schemas.openxmlformats.org/officeDocument/2006/relationships/worksheet" Target="worksheets/sheet252.xml"/><Relationship Id="rId253" Type="http://schemas.openxmlformats.org/officeDocument/2006/relationships/worksheet" Target="worksheets/sheet253.xml"/><Relationship Id="rId254" Type="http://schemas.openxmlformats.org/officeDocument/2006/relationships/worksheet" Target="worksheets/sheet254.xml"/><Relationship Id="rId255" Type="http://schemas.openxmlformats.org/officeDocument/2006/relationships/worksheet" Target="worksheets/sheet255.xml"/><Relationship Id="rId256" Type="http://schemas.openxmlformats.org/officeDocument/2006/relationships/worksheet" Target="worksheets/sheet256.xml"/><Relationship Id="rId257" Type="http://schemas.openxmlformats.org/officeDocument/2006/relationships/worksheet" Target="worksheets/sheet257.xml"/><Relationship Id="rId258" Type="http://schemas.openxmlformats.org/officeDocument/2006/relationships/worksheet" Target="worksheets/sheet258.xml"/><Relationship Id="rId259" Type="http://schemas.openxmlformats.org/officeDocument/2006/relationships/worksheet" Target="worksheets/sheet25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33"/>
  <sheetViews>
    <sheetView topLeftCell="A299" zoomScale="110" zoomScaleNormal="110" zoomScalePageLayoutView="110" workbookViewId="0">
      <selection activeCell="F326" sqref="F326"/>
    </sheetView>
  </sheetViews>
  <sheetFormatPr baseColWidth="10" defaultColWidth="9" defaultRowHeight="14" x14ac:dyDescent="0"/>
  <cols>
    <col min="1" max="1" width="10.83203125" style="264" customWidth="1"/>
    <col min="2" max="2" width="41.5" bestFit="1" customWidth="1"/>
    <col min="5" max="5" width="9" customWidth="1"/>
    <col min="6" max="6" width="12" customWidth="1"/>
  </cols>
  <sheetData>
    <row r="2" spans="1:6" ht="15">
      <c r="A2" s="278" t="s">
        <v>0</v>
      </c>
      <c r="B2" s="217"/>
      <c r="C2" s="50"/>
      <c r="D2" s="50"/>
      <c r="E2" s="50"/>
    </row>
    <row r="3" spans="1:6">
      <c r="A3" s="279"/>
      <c r="B3" s="51"/>
      <c r="C3" s="50"/>
      <c r="D3" s="50"/>
      <c r="E3" s="50"/>
    </row>
    <row r="4" spans="1:6">
      <c r="A4" s="52" t="s">
        <v>1</v>
      </c>
      <c r="B4" s="52" t="s">
        <v>429</v>
      </c>
      <c r="C4" s="52" t="s">
        <v>3</v>
      </c>
      <c r="D4" s="52" t="s">
        <v>4</v>
      </c>
      <c r="E4" s="52" t="s">
        <v>5</v>
      </c>
      <c r="F4" s="25" t="s">
        <v>6</v>
      </c>
    </row>
    <row r="5" spans="1:6" s="97" customFormat="1">
      <c r="A5" s="246"/>
      <c r="B5" s="26" t="s">
        <v>408</v>
      </c>
      <c r="C5" s="26"/>
      <c r="D5" s="26"/>
      <c r="E5" s="26">
        <v>10569</v>
      </c>
      <c r="F5" s="26"/>
    </row>
    <row r="6" spans="1:6">
      <c r="A6" s="42">
        <v>43132</v>
      </c>
      <c r="B6" s="9" t="s">
        <v>409</v>
      </c>
      <c r="C6" s="9">
        <v>42</v>
      </c>
      <c r="D6" s="9"/>
      <c r="E6" s="9">
        <f t="shared" ref="E6:E69" si="0">E5+C6-D6</f>
        <v>10611</v>
      </c>
      <c r="F6" s="9"/>
    </row>
    <row r="7" spans="1:6">
      <c r="A7" s="42">
        <v>43132</v>
      </c>
      <c r="B7" s="298" t="s">
        <v>16</v>
      </c>
      <c r="C7" s="9">
        <v>13</v>
      </c>
      <c r="D7" s="9"/>
      <c r="E7" s="9">
        <f t="shared" si="0"/>
        <v>10624</v>
      </c>
      <c r="F7" s="9"/>
    </row>
    <row r="8" spans="1:6">
      <c r="A8" s="42">
        <v>43132</v>
      </c>
      <c r="B8" s="298" t="s">
        <v>13</v>
      </c>
      <c r="C8" s="9">
        <v>3</v>
      </c>
      <c r="D8" s="9"/>
      <c r="E8" s="9">
        <f t="shared" si="0"/>
        <v>10627</v>
      </c>
      <c r="F8" s="9"/>
    </row>
    <row r="9" spans="1:6">
      <c r="A9" s="42">
        <v>43132</v>
      </c>
      <c r="B9" s="298" t="s">
        <v>13</v>
      </c>
      <c r="C9" s="9">
        <v>66</v>
      </c>
      <c r="D9" s="9"/>
      <c r="E9" s="9">
        <f t="shared" si="0"/>
        <v>10693</v>
      </c>
      <c r="F9" s="9"/>
    </row>
    <row r="10" spans="1:6">
      <c r="A10" s="42">
        <v>43132</v>
      </c>
      <c r="B10" s="298" t="s">
        <v>24</v>
      </c>
      <c r="C10" s="9">
        <v>82</v>
      </c>
      <c r="D10" s="9"/>
      <c r="E10" s="9">
        <f t="shared" si="0"/>
        <v>10775</v>
      </c>
      <c r="F10" s="9"/>
    </row>
    <row r="11" spans="1:6">
      <c r="A11" s="42">
        <v>43132</v>
      </c>
      <c r="B11" s="298" t="s">
        <v>417</v>
      </c>
      <c r="C11" s="9">
        <v>220</v>
      </c>
      <c r="D11" s="9"/>
      <c r="E11" s="9">
        <f t="shared" si="0"/>
        <v>10995</v>
      </c>
      <c r="F11" s="9"/>
    </row>
    <row r="12" spans="1:6">
      <c r="A12" s="42">
        <v>43160</v>
      </c>
      <c r="B12" s="299" t="s">
        <v>8</v>
      </c>
      <c r="C12" s="9">
        <v>151</v>
      </c>
      <c r="D12" s="9"/>
      <c r="E12" s="9">
        <f t="shared" si="0"/>
        <v>11146</v>
      </c>
      <c r="F12" s="9"/>
    </row>
    <row r="13" spans="1:6">
      <c r="A13" s="42">
        <v>43160</v>
      </c>
      <c r="B13" s="299" t="s">
        <v>15</v>
      </c>
      <c r="C13" s="9">
        <v>295</v>
      </c>
      <c r="D13" s="9"/>
      <c r="E13" s="9">
        <f t="shared" si="0"/>
        <v>11441</v>
      </c>
      <c r="F13" s="299" t="s">
        <v>46</v>
      </c>
    </row>
    <row r="14" spans="1:6">
      <c r="A14" s="172">
        <v>43191</v>
      </c>
      <c r="B14" s="299" t="s">
        <v>15</v>
      </c>
      <c r="C14" s="9">
        <v>83</v>
      </c>
      <c r="D14" s="9"/>
      <c r="E14" s="9">
        <f t="shared" si="0"/>
        <v>11524</v>
      </c>
      <c r="F14" s="9"/>
    </row>
    <row r="15" spans="1:6">
      <c r="A15" s="42">
        <v>43191</v>
      </c>
      <c r="B15" s="306" t="s">
        <v>13</v>
      </c>
      <c r="C15" s="9">
        <v>22</v>
      </c>
      <c r="D15" s="9"/>
      <c r="E15" s="9">
        <f t="shared" si="0"/>
        <v>11546</v>
      </c>
      <c r="F15" s="9"/>
    </row>
    <row r="16" spans="1:6">
      <c r="A16" s="42">
        <v>43191</v>
      </c>
      <c r="B16" s="306" t="s">
        <v>24</v>
      </c>
      <c r="C16" s="9">
        <v>73</v>
      </c>
      <c r="D16" s="9"/>
      <c r="E16" s="9">
        <f t="shared" si="0"/>
        <v>11619</v>
      </c>
      <c r="F16" s="9"/>
    </row>
    <row r="17" spans="1:6">
      <c r="A17" s="42">
        <v>43191</v>
      </c>
      <c r="B17" s="306" t="s">
        <v>427</v>
      </c>
      <c r="C17" s="9">
        <v>82</v>
      </c>
      <c r="D17" s="9"/>
      <c r="E17" s="9">
        <f t="shared" si="0"/>
        <v>11701</v>
      </c>
      <c r="F17" s="306" t="s">
        <v>46</v>
      </c>
    </row>
    <row r="18" spans="1:6">
      <c r="A18" s="42">
        <v>43221</v>
      </c>
      <c r="B18" s="313" t="s">
        <v>24</v>
      </c>
      <c r="C18" s="9">
        <v>55</v>
      </c>
      <c r="D18" s="9"/>
      <c r="E18" s="9">
        <f t="shared" si="0"/>
        <v>11756</v>
      </c>
      <c r="F18" s="9"/>
    </row>
    <row r="19" spans="1:6">
      <c r="A19" s="42">
        <v>43221</v>
      </c>
      <c r="B19" s="313" t="s">
        <v>433</v>
      </c>
      <c r="C19" s="9">
        <v>99</v>
      </c>
      <c r="D19" s="9"/>
      <c r="E19" s="9">
        <f t="shared" si="0"/>
        <v>11855</v>
      </c>
      <c r="F19" s="9"/>
    </row>
    <row r="20" spans="1:6">
      <c r="A20" s="42">
        <v>43221</v>
      </c>
      <c r="B20" s="313" t="s">
        <v>438</v>
      </c>
      <c r="C20" s="9">
        <v>17</v>
      </c>
      <c r="D20" s="9"/>
      <c r="E20" s="9">
        <f t="shared" si="0"/>
        <v>11872</v>
      </c>
      <c r="F20" s="9"/>
    </row>
    <row r="21" spans="1:6">
      <c r="A21" s="42">
        <v>43221</v>
      </c>
      <c r="B21" s="313" t="s">
        <v>15</v>
      </c>
      <c r="C21" s="9">
        <v>56</v>
      </c>
      <c r="D21" s="9"/>
      <c r="E21" s="9">
        <f t="shared" si="0"/>
        <v>11928</v>
      </c>
      <c r="F21" s="9"/>
    </row>
    <row r="22" spans="1:6">
      <c r="A22" s="42">
        <v>43221</v>
      </c>
      <c r="B22" s="313" t="s">
        <v>8</v>
      </c>
      <c r="C22" s="9">
        <v>55</v>
      </c>
      <c r="D22" s="9"/>
      <c r="E22" s="9">
        <f t="shared" si="0"/>
        <v>11983</v>
      </c>
      <c r="F22" s="313" t="s">
        <v>46</v>
      </c>
    </row>
    <row r="23" spans="1:6">
      <c r="A23" s="42">
        <v>43252</v>
      </c>
      <c r="B23" s="317" t="s">
        <v>444</v>
      </c>
      <c r="C23" s="9">
        <v>82</v>
      </c>
      <c r="D23" s="9"/>
      <c r="E23" s="9">
        <f t="shared" si="0"/>
        <v>12065</v>
      </c>
      <c r="F23" s="9"/>
    </row>
    <row r="24" spans="1:6">
      <c r="A24" s="42">
        <v>43252</v>
      </c>
      <c r="B24" s="317" t="s">
        <v>16</v>
      </c>
      <c r="C24" s="9">
        <v>100</v>
      </c>
      <c r="D24" s="9"/>
      <c r="E24" s="9">
        <f t="shared" si="0"/>
        <v>12165</v>
      </c>
      <c r="F24" s="9"/>
    </row>
    <row r="25" spans="1:6">
      <c r="A25" s="42">
        <v>43252</v>
      </c>
      <c r="B25" s="317" t="s">
        <v>445</v>
      </c>
      <c r="C25" s="9">
        <v>59</v>
      </c>
      <c r="D25" s="9"/>
      <c r="E25" s="9">
        <f t="shared" si="0"/>
        <v>12224</v>
      </c>
      <c r="F25" s="9"/>
    </row>
    <row r="26" spans="1:6">
      <c r="A26" s="42">
        <v>43282</v>
      </c>
      <c r="B26" s="317" t="s">
        <v>17</v>
      </c>
      <c r="C26" s="9"/>
      <c r="D26" s="9">
        <v>320</v>
      </c>
      <c r="E26" s="9">
        <f t="shared" si="0"/>
        <v>11904</v>
      </c>
      <c r="F26" s="9"/>
    </row>
    <row r="27" spans="1:6">
      <c r="A27" s="42">
        <v>43313</v>
      </c>
      <c r="B27" s="320" t="s">
        <v>452</v>
      </c>
      <c r="C27" s="9">
        <v>35</v>
      </c>
      <c r="D27" s="9"/>
      <c r="E27" s="9">
        <f t="shared" si="0"/>
        <v>11939</v>
      </c>
      <c r="F27" s="9"/>
    </row>
    <row r="28" spans="1:6">
      <c r="A28" s="42">
        <v>43313</v>
      </c>
      <c r="B28" s="320" t="s">
        <v>17</v>
      </c>
      <c r="C28" s="9"/>
      <c r="D28" s="9">
        <v>410</v>
      </c>
      <c r="E28" s="9">
        <f t="shared" si="0"/>
        <v>11529</v>
      </c>
      <c r="F28" s="320" t="s">
        <v>46</v>
      </c>
    </row>
    <row r="29" spans="1:6">
      <c r="A29" s="42">
        <v>43313</v>
      </c>
      <c r="B29" s="326" t="s">
        <v>462</v>
      </c>
      <c r="C29" s="9">
        <v>80</v>
      </c>
      <c r="D29" s="9"/>
      <c r="E29" s="9">
        <f t="shared" si="0"/>
        <v>11609</v>
      </c>
      <c r="F29" s="320"/>
    </row>
    <row r="30" spans="1:6">
      <c r="A30" s="42">
        <v>43313</v>
      </c>
      <c r="B30" s="326" t="s">
        <v>466</v>
      </c>
      <c r="C30" s="9">
        <v>90</v>
      </c>
      <c r="D30" s="9"/>
      <c r="E30" s="9">
        <f t="shared" si="0"/>
        <v>11699</v>
      </c>
      <c r="F30" s="320"/>
    </row>
    <row r="31" spans="1:6">
      <c r="A31" s="42">
        <v>43344</v>
      </c>
      <c r="B31" s="325" t="s">
        <v>444</v>
      </c>
      <c r="C31" s="9">
        <v>83</v>
      </c>
      <c r="D31" s="9"/>
      <c r="E31" s="9">
        <f t="shared" si="0"/>
        <v>11782</v>
      </c>
      <c r="F31" s="9" t="s">
        <v>46</v>
      </c>
    </row>
    <row r="32" spans="1:6">
      <c r="A32" s="42">
        <v>43374</v>
      </c>
      <c r="B32" s="326" t="s">
        <v>16</v>
      </c>
      <c r="C32" s="9">
        <v>45</v>
      </c>
      <c r="D32" s="9"/>
      <c r="E32" s="9">
        <f t="shared" si="0"/>
        <v>11827</v>
      </c>
      <c r="F32" s="9"/>
    </row>
    <row r="33" spans="1:6">
      <c r="A33" s="42">
        <v>43374</v>
      </c>
      <c r="B33" s="326" t="s">
        <v>468</v>
      </c>
      <c r="C33" s="9">
        <v>7</v>
      </c>
      <c r="D33" s="9"/>
      <c r="E33" s="9">
        <f t="shared" si="0"/>
        <v>11834</v>
      </c>
      <c r="F33" s="9"/>
    </row>
    <row r="34" spans="1:6">
      <c r="A34" s="42">
        <v>43374</v>
      </c>
      <c r="B34" s="326" t="s">
        <v>17</v>
      </c>
      <c r="C34" s="9"/>
      <c r="D34" s="9">
        <v>300</v>
      </c>
      <c r="E34" s="9">
        <f t="shared" si="0"/>
        <v>11534</v>
      </c>
      <c r="F34" s="326" t="s">
        <v>46</v>
      </c>
    </row>
    <row r="35" spans="1:6">
      <c r="A35" s="42">
        <v>43405</v>
      </c>
      <c r="B35" s="330" t="s">
        <v>444</v>
      </c>
      <c r="C35" s="9">
        <v>83</v>
      </c>
      <c r="D35" s="9"/>
      <c r="E35" s="9">
        <f t="shared" si="0"/>
        <v>11617</v>
      </c>
      <c r="F35" s="9"/>
    </row>
    <row r="36" spans="1:6" ht="15">
      <c r="A36" s="49">
        <v>43405</v>
      </c>
      <c r="B36" s="35" t="s">
        <v>472</v>
      </c>
      <c r="C36" s="9">
        <v>13</v>
      </c>
      <c r="D36" s="9"/>
      <c r="E36" s="9">
        <f t="shared" si="0"/>
        <v>11630</v>
      </c>
      <c r="F36" s="9"/>
    </row>
    <row r="37" spans="1:6">
      <c r="A37" s="42">
        <v>43405</v>
      </c>
      <c r="B37" s="330" t="s">
        <v>17</v>
      </c>
      <c r="C37" s="9"/>
      <c r="D37" s="9">
        <v>400</v>
      </c>
      <c r="E37" s="9">
        <f t="shared" si="0"/>
        <v>11230</v>
      </c>
      <c r="F37" s="9"/>
    </row>
    <row r="38" spans="1:6">
      <c r="A38" s="21">
        <v>43435</v>
      </c>
      <c r="B38" s="330" t="s">
        <v>445</v>
      </c>
      <c r="C38" s="9">
        <v>86</v>
      </c>
      <c r="D38" s="9"/>
      <c r="E38" s="9">
        <f t="shared" si="0"/>
        <v>11316</v>
      </c>
      <c r="F38" s="9"/>
    </row>
    <row r="39" spans="1:6">
      <c r="A39" s="42">
        <v>43435</v>
      </c>
      <c r="B39" s="330" t="s">
        <v>486</v>
      </c>
      <c r="C39" s="9"/>
      <c r="D39" s="9">
        <v>480</v>
      </c>
      <c r="E39" s="9">
        <f t="shared" si="0"/>
        <v>10836</v>
      </c>
      <c r="F39" s="330" t="s">
        <v>46</v>
      </c>
    </row>
    <row r="40" spans="1:6" ht="15">
      <c r="A40" s="68" t="s">
        <v>488</v>
      </c>
      <c r="B40" s="68" t="s">
        <v>16</v>
      </c>
      <c r="C40" s="9">
        <v>40</v>
      </c>
      <c r="D40" s="9"/>
      <c r="E40" s="9">
        <f t="shared" si="0"/>
        <v>10876</v>
      </c>
      <c r="F40" s="9"/>
    </row>
    <row r="41" spans="1:6">
      <c r="A41" s="334" t="s">
        <v>488</v>
      </c>
      <c r="B41" s="334" t="s">
        <v>489</v>
      </c>
      <c r="C41" s="9">
        <v>3</v>
      </c>
      <c r="D41" s="9"/>
      <c r="E41" s="9">
        <f t="shared" si="0"/>
        <v>10879</v>
      </c>
      <c r="F41" s="9"/>
    </row>
    <row r="42" spans="1:6">
      <c r="A42" s="334" t="s">
        <v>488</v>
      </c>
      <c r="B42" s="334" t="s">
        <v>24</v>
      </c>
      <c r="C42" s="9">
        <v>19</v>
      </c>
      <c r="D42" s="9"/>
      <c r="E42" s="9">
        <f t="shared" si="0"/>
        <v>10898</v>
      </c>
      <c r="F42" s="9"/>
    </row>
    <row r="43" spans="1:6">
      <c r="A43" s="336" t="s">
        <v>488</v>
      </c>
      <c r="B43" s="334" t="s">
        <v>444</v>
      </c>
      <c r="C43" s="9">
        <v>81</v>
      </c>
      <c r="D43" s="9"/>
      <c r="E43" s="9">
        <f t="shared" si="0"/>
        <v>10979</v>
      </c>
      <c r="F43" s="9"/>
    </row>
    <row r="44" spans="1:6">
      <c r="A44" s="336" t="s">
        <v>488</v>
      </c>
      <c r="B44" s="338" t="s">
        <v>496</v>
      </c>
      <c r="C44" s="9"/>
      <c r="D44" s="9">
        <v>400</v>
      </c>
      <c r="E44" s="9">
        <f t="shared" si="0"/>
        <v>10579</v>
      </c>
      <c r="F44" s="9"/>
    </row>
    <row r="45" spans="1:6">
      <c r="A45" s="339" t="s">
        <v>495</v>
      </c>
      <c r="B45" s="338" t="s">
        <v>497</v>
      </c>
      <c r="C45" s="9"/>
      <c r="D45" s="9">
        <v>420</v>
      </c>
      <c r="E45" s="9">
        <f t="shared" si="0"/>
        <v>10159</v>
      </c>
      <c r="F45" s="9"/>
    </row>
    <row r="46" spans="1:6">
      <c r="A46" s="342" t="s">
        <v>500</v>
      </c>
      <c r="B46" s="341" t="s">
        <v>15</v>
      </c>
      <c r="C46" s="9">
        <v>70</v>
      </c>
      <c r="D46" s="9"/>
      <c r="E46" s="9">
        <f t="shared" si="0"/>
        <v>10229</v>
      </c>
      <c r="F46" s="9"/>
    </row>
    <row r="47" spans="1:6">
      <c r="A47" s="342" t="s">
        <v>500</v>
      </c>
      <c r="B47" s="341" t="s">
        <v>16</v>
      </c>
      <c r="C47" s="9">
        <v>28</v>
      </c>
      <c r="D47" s="9"/>
      <c r="E47" s="9">
        <f t="shared" si="0"/>
        <v>10257</v>
      </c>
      <c r="F47" s="9"/>
    </row>
    <row r="48" spans="1:6">
      <c r="A48" s="342" t="s">
        <v>509</v>
      </c>
      <c r="B48" s="341" t="s">
        <v>427</v>
      </c>
      <c r="C48" s="9">
        <v>53</v>
      </c>
      <c r="D48" s="9"/>
      <c r="E48" s="9">
        <f t="shared" si="0"/>
        <v>10310</v>
      </c>
      <c r="F48" s="9"/>
    </row>
    <row r="49" spans="1:6">
      <c r="A49" s="341" t="s">
        <v>509</v>
      </c>
      <c r="B49" s="341" t="s">
        <v>468</v>
      </c>
      <c r="C49" s="9">
        <v>2</v>
      </c>
      <c r="D49" s="9"/>
      <c r="E49" s="9">
        <f t="shared" si="0"/>
        <v>10312</v>
      </c>
      <c r="F49" s="341" t="s">
        <v>46</v>
      </c>
    </row>
    <row r="50" spans="1:6">
      <c r="A50" s="347" t="s">
        <v>516</v>
      </c>
      <c r="B50" s="348" t="s">
        <v>452</v>
      </c>
      <c r="C50" s="9">
        <v>34</v>
      </c>
      <c r="D50" s="9"/>
      <c r="E50" s="9">
        <f t="shared" si="0"/>
        <v>10346</v>
      </c>
      <c r="F50" s="9"/>
    </row>
    <row r="51" spans="1:6">
      <c r="A51" s="349" t="s">
        <v>516</v>
      </c>
      <c r="B51" s="350" t="s">
        <v>519</v>
      </c>
      <c r="C51" s="9">
        <v>8</v>
      </c>
      <c r="D51" s="9"/>
      <c r="E51" s="9">
        <f t="shared" si="0"/>
        <v>10354</v>
      </c>
      <c r="F51" s="9"/>
    </row>
    <row r="52" spans="1:6">
      <c r="A52" s="347" t="s">
        <v>516</v>
      </c>
      <c r="B52" s="348" t="s">
        <v>520</v>
      </c>
      <c r="C52" s="9">
        <v>17</v>
      </c>
      <c r="D52" s="9"/>
      <c r="E52" s="9">
        <f t="shared" si="0"/>
        <v>10371</v>
      </c>
      <c r="F52" s="9"/>
    </row>
    <row r="53" spans="1:6">
      <c r="A53" s="347" t="s">
        <v>516</v>
      </c>
      <c r="B53" s="348" t="s">
        <v>433</v>
      </c>
      <c r="C53" s="9">
        <v>45</v>
      </c>
      <c r="D53" s="9"/>
      <c r="E53" s="9">
        <f t="shared" si="0"/>
        <v>10416</v>
      </c>
      <c r="F53" s="9"/>
    </row>
    <row r="54" spans="1:6">
      <c r="A54" s="347" t="s">
        <v>516</v>
      </c>
      <c r="B54" s="348" t="s">
        <v>525</v>
      </c>
      <c r="C54" s="9">
        <v>42</v>
      </c>
      <c r="D54" s="9"/>
      <c r="E54" s="9">
        <f t="shared" si="0"/>
        <v>10458</v>
      </c>
      <c r="F54" s="9"/>
    </row>
    <row r="55" spans="1:6">
      <c r="A55" s="347" t="s">
        <v>526</v>
      </c>
      <c r="B55" s="348" t="s">
        <v>462</v>
      </c>
      <c r="C55" s="9">
        <v>56</v>
      </c>
      <c r="D55" s="9"/>
      <c r="E55" s="9">
        <f t="shared" si="0"/>
        <v>10514</v>
      </c>
      <c r="F55" s="9"/>
    </row>
    <row r="56" spans="1:6">
      <c r="A56" s="347" t="s">
        <v>526</v>
      </c>
      <c r="B56" s="348" t="s">
        <v>527</v>
      </c>
      <c r="C56" s="9">
        <v>121</v>
      </c>
      <c r="D56" s="9"/>
      <c r="E56" s="9">
        <f t="shared" si="0"/>
        <v>10635</v>
      </c>
      <c r="F56" s="9"/>
    </row>
    <row r="57" spans="1:6">
      <c r="A57" s="347" t="s">
        <v>531</v>
      </c>
      <c r="B57" s="348" t="s">
        <v>445</v>
      </c>
      <c r="C57" s="9">
        <v>39</v>
      </c>
      <c r="D57" s="9"/>
      <c r="E57" s="9">
        <f t="shared" si="0"/>
        <v>10674</v>
      </c>
      <c r="F57" s="9"/>
    </row>
    <row r="58" spans="1:6">
      <c r="A58" s="347" t="s">
        <v>531</v>
      </c>
      <c r="B58" s="348" t="s">
        <v>16</v>
      </c>
      <c r="C58" s="9">
        <v>22</v>
      </c>
      <c r="D58" s="9"/>
      <c r="E58" s="9">
        <f t="shared" si="0"/>
        <v>10696</v>
      </c>
      <c r="F58" s="348" t="s">
        <v>46</v>
      </c>
    </row>
    <row r="59" spans="1:6">
      <c r="A59" s="125" t="s">
        <v>541</v>
      </c>
      <c r="B59" s="9" t="s">
        <v>24</v>
      </c>
      <c r="C59" s="9">
        <v>35</v>
      </c>
      <c r="D59" s="9"/>
      <c r="E59" s="9">
        <f t="shared" si="0"/>
        <v>10731</v>
      </c>
      <c r="F59" s="9"/>
    </row>
    <row r="60" spans="1:6">
      <c r="A60" s="125" t="s">
        <v>541</v>
      </c>
      <c r="B60" s="9" t="s">
        <v>542</v>
      </c>
      <c r="C60" s="9">
        <v>82</v>
      </c>
      <c r="D60" s="9"/>
      <c r="E60" s="9">
        <f t="shared" si="0"/>
        <v>10813</v>
      </c>
      <c r="F60" s="9"/>
    </row>
    <row r="61" spans="1:6">
      <c r="A61" s="125" t="s">
        <v>541</v>
      </c>
      <c r="B61" s="9" t="s">
        <v>520</v>
      </c>
      <c r="C61" s="9">
        <v>53</v>
      </c>
      <c r="D61" s="9"/>
      <c r="E61" s="9">
        <f t="shared" si="0"/>
        <v>10866</v>
      </c>
      <c r="F61" s="9"/>
    </row>
    <row r="62" spans="1:6">
      <c r="A62" s="125" t="s">
        <v>541</v>
      </c>
      <c r="B62" s="9" t="s">
        <v>543</v>
      </c>
      <c r="C62" s="9"/>
      <c r="D62" s="9">
        <v>92</v>
      </c>
      <c r="E62" s="9">
        <f t="shared" si="0"/>
        <v>10774</v>
      </c>
      <c r="F62" s="9"/>
    </row>
    <row r="63" spans="1:6">
      <c r="A63" s="125" t="s">
        <v>544</v>
      </c>
      <c r="B63" s="9" t="s">
        <v>17</v>
      </c>
      <c r="C63" s="9"/>
      <c r="D63" s="9">
        <v>50</v>
      </c>
      <c r="E63" s="9">
        <f t="shared" si="0"/>
        <v>10724</v>
      </c>
      <c r="F63" s="353" t="s">
        <v>46</v>
      </c>
    </row>
    <row r="64" spans="1:6">
      <c r="A64" s="125" t="s">
        <v>546</v>
      </c>
      <c r="B64" s="9" t="s">
        <v>24</v>
      </c>
      <c r="C64" s="9">
        <v>65</v>
      </c>
      <c r="D64" s="9"/>
      <c r="E64" s="9">
        <f t="shared" si="0"/>
        <v>10789</v>
      </c>
      <c r="F64" s="9"/>
    </row>
    <row r="65" spans="1:6">
      <c r="A65" s="358" t="s">
        <v>546</v>
      </c>
      <c r="B65" s="357" t="s">
        <v>427</v>
      </c>
      <c r="C65" s="9">
        <v>149</v>
      </c>
      <c r="D65" s="9"/>
      <c r="E65" s="9">
        <f t="shared" si="0"/>
        <v>10938</v>
      </c>
      <c r="F65" s="9"/>
    </row>
    <row r="66" spans="1:6">
      <c r="A66" s="358" t="s">
        <v>551</v>
      </c>
      <c r="B66" s="357" t="s">
        <v>24</v>
      </c>
      <c r="C66" s="9">
        <v>26</v>
      </c>
      <c r="D66" s="9"/>
      <c r="E66" s="9">
        <f t="shared" si="0"/>
        <v>10964</v>
      </c>
      <c r="F66" s="9"/>
    </row>
    <row r="67" spans="1:6">
      <c r="A67" s="358" t="s">
        <v>551</v>
      </c>
      <c r="B67" s="357" t="s">
        <v>552</v>
      </c>
      <c r="C67" s="9">
        <v>48</v>
      </c>
      <c r="D67" s="9"/>
      <c r="E67" s="9">
        <f t="shared" si="0"/>
        <v>11012</v>
      </c>
      <c r="F67" s="357" t="s">
        <v>46</v>
      </c>
    </row>
    <row r="68" spans="1:6">
      <c r="A68" s="365" t="s">
        <v>557</v>
      </c>
      <c r="B68" s="365" t="s">
        <v>433</v>
      </c>
      <c r="C68" s="9">
        <v>15</v>
      </c>
      <c r="D68" s="9"/>
      <c r="E68" s="9">
        <f t="shared" si="0"/>
        <v>11027</v>
      </c>
      <c r="F68" s="365" t="s">
        <v>46</v>
      </c>
    </row>
    <row r="69" spans="1:6">
      <c r="A69" s="368" t="s">
        <v>564</v>
      </c>
      <c r="B69" s="369" t="s">
        <v>24</v>
      </c>
      <c r="C69" s="9">
        <v>10</v>
      </c>
      <c r="D69" s="9"/>
      <c r="E69" s="9">
        <f t="shared" si="0"/>
        <v>11037</v>
      </c>
      <c r="F69" s="9"/>
    </row>
    <row r="70" spans="1:6">
      <c r="A70" s="368" t="s">
        <v>564</v>
      </c>
      <c r="B70" s="369" t="s">
        <v>524</v>
      </c>
      <c r="C70" s="9">
        <v>42</v>
      </c>
      <c r="D70" s="9"/>
      <c r="E70" s="9">
        <f t="shared" ref="E70:E99" si="1">E69+C70-D70</f>
        <v>11079</v>
      </c>
      <c r="F70" s="9"/>
    </row>
    <row r="71" spans="1:6">
      <c r="A71" s="368" t="s">
        <v>564</v>
      </c>
      <c r="B71" s="369" t="s">
        <v>552</v>
      </c>
      <c r="C71" s="9">
        <v>100</v>
      </c>
      <c r="D71" s="9"/>
      <c r="E71" s="9">
        <f t="shared" si="1"/>
        <v>11179</v>
      </c>
      <c r="F71" s="9"/>
    </row>
    <row r="72" spans="1:6">
      <c r="A72" s="368" t="s">
        <v>564</v>
      </c>
      <c r="B72" s="369" t="s">
        <v>568</v>
      </c>
      <c r="C72" s="9"/>
      <c r="D72" s="9">
        <v>200</v>
      </c>
      <c r="E72" s="9">
        <f t="shared" si="1"/>
        <v>10979</v>
      </c>
      <c r="F72" s="9"/>
    </row>
    <row r="73" spans="1:6">
      <c r="A73" s="368" t="s">
        <v>569</v>
      </c>
      <c r="B73" s="369" t="s">
        <v>573</v>
      </c>
      <c r="C73" s="9">
        <v>47</v>
      </c>
      <c r="D73" s="9"/>
      <c r="E73" s="9">
        <f t="shared" si="1"/>
        <v>11026</v>
      </c>
      <c r="F73" s="9"/>
    </row>
    <row r="74" spans="1:6">
      <c r="A74" s="369" t="s">
        <v>569</v>
      </c>
      <c r="B74" s="369" t="s">
        <v>456</v>
      </c>
      <c r="C74" s="9">
        <v>96</v>
      </c>
      <c r="D74" s="9"/>
      <c r="E74" s="9">
        <f t="shared" si="1"/>
        <v>11122</v>
      </c>
      <c r="F74" s="9"/>
    </row>
    <row r="75" spans="1:6">
      <c r="A75" s="368" t="s">
        <v>569</v>
      </c>
      <c r="B75" s="369" t="s">
        <v>574</v>
      </c>
      <c r="C75" s="9">
        <v>82</v>
      </c>
      <c r="D75" s="9"/>
      <c r="E75" s="9">
        <f t="shared" si="1"/>
        <v>11204</v>
      </c>
      <c r="F75" s="369" t="s">
        <v>46</v>
      </c>
    </row>
    <row r="76" spans="1:6">
      <c r="A76" s="374" t="s">
        <v>581</v>
      </c>
      <c r="B76" s="375" t="s">
        <v>16</v>
      </c>
      <c r="C76" s="9">
        <v>11</v>
      </c>
      <c r="D76" s="9"/>
      <c r="E76" s="9">
        <f t="shared" si="1"/>
        <v>11215</v>
      </c>
      <c r="F76" s="369"/>
    </row>
    <row r="77" spans="1:6">
      <c r="A77" s="374" t="s">
        <v>581</v>
      </c>
      <c r="B77" s="375" t="s">
        <v>582</v>
      </c>
      <c r="C77" s="9"/>
      <c r="D77" s="9">
        <v>400</v>
      </c>
      <c r="E77" s="9">
        <f t="shared" si="1"/>
        <v>10815</v>
      </c>
      <c r="F77" s="369"/>
    </row>
    <row r="78" spans="1:6" ht="15">
      <c r="A78" s="33" t="s">
        <v>586</v>
      </c>
      <c r="B78" s="33" t="s">
        <v>587</v>
      </c>
      <c r="C78" s="9">
        <v>67</v>
      </c>
      <c r="D78" s="9"/>
      <c r="E78" s="9">
        <f t="shared" si="1"/>
        <v>10882</v>
      </c>
      <c r="F78" s="369"/>
    </row>
    <row r="79" spans="1:6">
      <c r="A79" s="374" t="s">
        <v>586</v>
      </c>
      <c r="B79" s="375" t="s">
        <v>17</v>
      </c>
      <c r="C79" s="9"/>
      <c r="D79" s="9">
        <v>300</v>
      </c>
      <c r="E79" s="9">
        <f t="shared" si="1"/>
        <v>10582</v>
      </c>
      <c r="F79" s="375" t="s">
        <v>46</v>
      </c>
    </row>
    <row r="80" spans="1:6">
      <c r="A80" s="380" t="s">
        <v>594</v>
      </c>
      <c r="B80" s="381" t="s">
        <v>524</v>
      </c>
      <c r="C80" s="9">
        <v>56</v>
      </c>
      <c r="D80" s="9"/>
      <c r="E80" s="9">
        <f t="shared" si="1"/>
        <v>10638</v>
      </c>
      <c r="F80" s="9"/>
    </row>
    <row r="81" spans="1:6">
      <c r="A81" s="380" t="s">
        <v>594</v>
      </c>
      <c r="B81" s="381" t="s">
        <v>596</v>
      </c>
      <c r="C81" s="9">
        <v>4</v>
      </c>
      <c r="D81" s="9"/>
      <c r="E81" s="9">
        <f t="shared" si="1"/>
        <v>10642</v>
      </c>
      <c r="F81" s="9"/>
    </row>
    <row r="82" spans="1:6">
      <c r="A82" s="380" t="s">
        <v>594</v>
      </c>
      <c r="B82" s="381" t="s">
        <v>16</v>
      </c>
      <c r="C82" s="9">
        <v>30</v>
      </c>
      <c r="D82" s="9"/>
      <c r="E82" s="9">
        <f t="shared" si="1"/>
        <v>10672</v>
      </c>
      <c r="F82" s="9"/>
    </row>
    <row r="83" spans="1:6">
      <c r="A83" s="380" t="s">
        <v>594</v>
      </c>
      <c r="B83" s="381" t="s">
        <v>17</v>
      </c>
      <c r="C83" s="9"/>
      <c r="D83" s="9">
        <v>250</v>
      </c>
      <c r="E83" s="9">
        <f t="shared" si="1"/>
        <v>10422</v>
      </c>
      <c r="F83" s="381" t="s">
        <v>46</v>
      </c>
    </row>
    <row r="84" spans="1:6">
      <c r="A84" s="125" t="s">
        <v>598</v>
      </c>
      <c r="B84" s="9" t="s">
        <v>524</v>
      </c>
      <c r="C84" s="9">
        <v>6</v>
      </c>
      <c r="D84" s="9"/>
      <c r="E84" s="9">
        <f t="shared" si="1"/>
        <v>10428</v>
      </c>
      <c r="F84" s="9"/>
    </row>
    <row r="85" spans="1:6">
      <c r="A85" s="9" t="s">
        <v>598</v>
      </c>
      <c r="B85" s="9" t="s">
        <v>587</v>
      </c>
      <c r="C85" s="9">
        <v>47</v>
      </c>
      <c r="D85" s="9"/>
      <c r="E85" s="9">
        <f t="shared" si="1"/>
        <v>10475</v>
      </c>
      <c r="F85" s="9"/>
    </row>
    <row r="86" spans="1:6">
      <c r="A86" s="385" t="s">
        <v>598</v>
      </c>
      <c r="B86" s="386" t="s">
        <v>16</v>
      </c>
      <c r="C86" s="9">
        <v>6</v>
      </c>
      <c r="D86" s="9"/>
      <c r="E86" s="9">
        <f t="shared" si="1"/>
        <v>10481</v>
      </c>
      <c r="F86" s="386" t="s">
        <v>46</v>
      </c>
    </row>
    <row r="87" spans="1:6">
      <c r="A87" s="172">
        <v>43102</v>
      </c>
      <c r="B87" s="389" t="s">
        <v>596</v>
      </c>
      <c r="C87" s="9">
        <v>2</v>
      </c>
      <c r="D87" s="9"/>
      <c r="E87" s="9">
        <f t="shared" si="1"/>
        <v>10483</v>
      </c>
      <c r="F87" s="9"/>
    </row>
    <row r="88" spans="1:6">
      <c r="A88" s="42">
        <v>43102</v>
      </c>
      <c r="B88" s="390" t="s">
        <v>552</v>
      </c>
      <c r="C88" s="9">
        <v>62</v>
      </c>
      <c r="D88" s="9"/>
      <c r="E88" s="9">
        <f t="shared" si="1"/>
        <v>10545</v>
      </c>
      <c r="F88" s="9"/>
    </row>
    <row r="89" spans="1:6">
      <c r="A89" s="42">
        <v>43102</v>
      </c>
      <c r="B89" s="390" t="s">
        <v>560</v>
      </c>
      <c r="C89" s="9"/>
      <c r="D89" s="9">
        <v>200</v>
      </c>
      <c r="E89" s="9">
        <f t="shared" si="1"/>
        <v>10345</v>
      </c>
      <c r="F89" s="390" t="s">
        <v>46</v>
      </c>
    </row>
    <row r="90" spans="1:6">
      <c r="A90" s="42">
        <v>43133</v>
      </c>
      <c r="B90" s="9" t="s">
        <v>13</v>
      </c>
      <c r="C90" s="9">
        <v>7</v>
      </c>
      <c r="D90" s="9"/>
      <c r="E90" s="9">
        <f t="shared" si="1"/>
        <v>10352</v>
      </c>
      <c r="F90" s="9"/>
    </row>
    <row r="91" spans="1:6">
      <c r="A91" s="42">
        <v>43133</v>
      </c>
      <c r="B91" s="395" t="s">
        <v>462</v>
      </c>
      <c r="C91" s="9">
        <v>110</v>
      </c>
      <c r="D91" s="9"/>
      <c r="E91" s="9">
        <f t="shared" si="1"/>
        <v>10462</v>
      </c>
      <c r="F91" s="9"/>
    </row>
    <row r="92" spans="1:6">
      <c r="A92" s="42">
        <v>43133</v>
      </c>
      <c r="B92" s="395" t="s">
        <v>466</v>
      </c>
      <c r="C92" s="9">
        <v>21</v>
      </c>
      <c r="D92" s="9"/>
      <c r="E92" s="9">
        <f t="shared" si="1"/>
        <v>10483</v>
      </c>
      <c r="F92" s="395" t="s">
        <v>46</v>
      </c>
    </row>
    <row r="93" spans="1:6">
      <c r="A93" s="21">
        <v>43161</v>
      </c>
      <c r="B93" s="398" t="s">
        <v>587</v>
      </c>
      <c r="C93" s="9">
        <v>13</v>
      </c>
      <c r="D93" s="9"/>
      <c r="E93" s="9">
        <f t="shared" si="1"/>
        <v>10496</v>
      </c>
      <c r="F93" s="9"/>
    </row>
    <row r="94" spans="1:6">
      <c r="A94" s="42">
        <v>43161</v>
      </c>
      <c r="B94" s="398" t="s">
        <v>514</v>
      </c>
      <c r="C94" s="9">
        <v>24</v>
      </c>
      <c r="D94" s="9"/>
      <c r="E94" s="9">
        <f t="shared" si="1"/>
        <v>10520</v>
      </c>
      <c r="F94" s="398" t="s">
        <v>46</v>
      </c>
    </row>
    <row r="95" spans="1:6">
      <c r="A95" s="42">
        <v>43222</v>
      </c>
      <c r="B95" s="9" t="s">
        <v>24</v>
      </c>
      <c r="C95" s="9">
        <v>25</v>
      </c>
      <c r="D95" s="9"/>
      <c r="E95" s="9">
        <f t="shared" si="1"/>
        <v>10545</v>
      </c>
      <c r="F95" s="9"/>
    </row>
    <row r="96" spans="1:6">
      <c r="A96" s="42">
        <v>43222</v>
      </c>
      <c r="B96" s="401" t="s">
        <v>587</v>
      </c>
      <c r="C96" s="9">
        <v>42</v>
      </c>
      <c r="D96" s="9"/>
      <c r="E96" s="9">
        <f t="shared" si="1"/>
        <v>10587</v>
      </c>
      <c r="F96" s="9"/>
    </row>
    <row r="97" spans="1:6">
      <c r="A97" s="42">
        <v>43222</v>
      </c>
      <c r="B97" s="401" t="s">
        <v>604</v>
      </c>
      <c r="C97" s="9">
        <v>12</v>
      </c>
      <c r="D97" s="9"/>
      <c r="E97" s="9">
        <f t="shared" si="1"/>
        <v>10599</v>
      </c>
      <c r="F97" s="9"/>
    </row>
    <row r="98" spans="1:6">
      <c r="A98" s="42">
        <v>43222</v>
      </c>
      <c r="B98" s="401" t="s">
        <v>520</v>
      </c>
      <c r="C98" s="9">
        <v>76</v>
      </c>
      <c r="D98" s="9"/>
      <c r="E98" s="9">
        <f t="shared" si="1"/>
        <v>10675</v>
      </c>
      <c r="F98" s="401" t="s">
        <v>46</v>
      </c>
    </row>
    <row r="99" spans="1:6">
      <c r="A99" s="42">
        <v>43253</v>
      </c>
      <c r="B99" s="9" t="s">
        <v>608</v>
      </c>
      <c r="C99" s="9">
        <v>10</v>
      </c>
      <c r="D99" s="9"/>
      <c r="E99" s="9">
        <f t="shared" si="1"/>
        <v>10685</v>
      </c>
      <c r="F99" s="9"/>
    </row>
    <row r="100" spans="1:6">
      <c r="A100" s="21">
        <v>43253</v>
      </c>
      <c r="B100" s="407" t="s">
        <v>435</v>
      </c>
      <c r="C100" s="9">
        <v>52</v>
      </c>
      <c r="D100" s="9"/>
      <c r="E100" s="9">
        <f>E99+C100-D100</f>
        <v>10737</v>
      </c>
      <c r="F100" s="407" t="s">
        <v>46</v>
      </c>
    </row>
    <row r="101" spans="1:6">
      <c r="A101" s="42">
        <v>43283</v>
      </c>
      <c r="B101" s="411" t="s">
        <v>524</v>
      </c>
      <c r="C101" s="9">
        <v>21</v>
      </c>
      <c r="D101" s="9"/>
      <c r="E101" s="9">
        <f t="shared" ref="E101:E165" si="2">E100+C101-D101</f>
        <v>10758</v>
      </c>
      <c r="F101" s="9"/>
    </row>
    <row r="102" spans="1:6">
      <c r="A102" s="42">
        <v>43283</v>
      </c>
      <c r="B102" s="411" t="s">
        <v>613</v>
      </c>
      <c r="C102" s="9">
        <v>4</v>
      </c>
      <c r="D102" s="9"/>
      <c r="E102" s="9">
        <f t="shared" si="2"/>
        <v>10762</v>
      </c>
      <c r="F102" s="9"/>
    </row>
    <row r="103" spans="1:6">
      <c r="A103" s="21">
        <v>43283</v>
      </c>
      <c r="B103" s="411" t="s">
        <v>614</v>
      </c>
      <c r="C103" s="9">
        <v>27</v>
      </c>
      <c r="D103" s="9"/>
      <c r="E103" s="9">
        <f t="shared" si="2"/>
        <v>10789</v>
      </c>
      <c r="F103" s="9"/>
    </row>
    <row r="104" spans="1:6">
      <c r="A104" s="42">
        <v>43283</v>
      </c>
      <c r="B104" s="411" t="s">
        <v>560</v>
      </c>
      <c r="C104" s="9"/>
      <c r="D104" s="9">
        <v>150</v>
      </c>
      <c r="E104" s="9">
        <f t="shared" si="2"/>
        <v>10639</v>
      </c>
      <c r="F104" s="9"/>
    </row>
    <row r="105" spans="1:6">
      <c r="A105" s="42">
        <v>43283</v>
      </c>
      <c r="B105" s="411" t="s">
        <v>616</v>
      </c>
      <c r="C105" s="9"/>
      <c r="D105" s="9">
        <v>83</v>
      </c>
      <c r="E105" s="9">
        <f t="shared" si="2"/>
        <v>10556</v>
      </c>
      <c r="F105" s="9"/>
    </row>
    <row r="106" spans="1:6">
      <c r="A106" s="42">
        <v>43314</v>
      </c>
      <c r="B106" s="411" t="s">
        <v>510</v>
      </c>
      <c r="C106" s="9">
        <v>3</v>
      </c>
      <c r="D106" s="9"/>
      <c r="E106" s="9">
        <f t="shared" si="2"/>
        <v>10559</v>
      </c>
      <c r="F106" s="9"/>
    </row>
    <row r="107" spans="1:6">
      <c r="A107" s="21">
        <v>43314</v>
      </c>
      <c r="B107" s="411" t="s">
        <v>621</v>
      </c>
      <c r="C107" s="9">
        <v>3</v>
      </c>
      <c r="D107" s="9"/>
      <c r="E107" s="9">
        <f t="shared" si="2"/>
        <v>10562</v>
      </c>
      <c r="F107" s="9"/>
    </row>
    <row r="108" spans="1:6">
      <c r="A108" s="42">
        <v>43314</v>
      </c>
      <c r="B108" s="411" t="s">
        <v>616</v>
      </c>
      <c r="C108" s="9"/>
      <c r="D108" s="9">
        <v>17</v>
      </c>
      <c r="E108" s="9">
        <f t="shared" si="2"/>
        <v>10545</v>
      </c>
      <c r="F108" s="411" t="s">
        <v>46</v>
      </c>
    </row>
    <row r="109" spans="1:6">
      <c r="A109" s="42">
        <v>43345</v>
      </c>
      <c r="B109" s="415" t="s">
        <v>524</v>
      </c>
      <c r="C109" s="9">
        <v>55</v>
      </c>
      <c r="D109" s="9"/>
      <c r="E109" s="9">
        <f t="shared" si="2"/>
        <v>10600</v>
      </c>
      <c r="F109" s="9"/>
    </row>
    <row r="110" spans="1:6">
      <c r="A110" s="42">
        <v>43345</v>
      </c>
      <c r="B110" s="415" t="s">
        <v>427</v>
      </c>
      <c r="C110" s="9">
        <v>82</v>
      </c>
      <c r="D110" s="9"/>
      <c r="E110" s="9">
        <f t="shared" si="2"/>
        <v>10682</v>
      </c>
      <c r="F110" s="9"/>
    </row>
    <row r="111" spans="1:6">
      <c r="A111" s="21">
        <v>43345</v>
      </c>
      <c r="B111" s="415" t="s">
        <v>623</v>
      </c>
      <c r="C111" s="9">
        <v>10</v>
      </c>
      <c r="D111" s="9"/>
      <c r="E111" s="9">
        <f t="shared" si="2"/>
        <v>10692</v>
      </c>
      <c r="F111" s="9"/>
    </row>
    <row r="112" spans="1:6">
      <c r="A112" s="42">
        <v>43345</v>
      </c>
      <c r="B112" s="415" t="s">
        <v>560</v>
      </c>
      <c r="C112" s="9"/>
      <c r="D112" s="9">
        <v>250</v>
      </c>
      <c r="E112" s="9">
        <f t="shared" si="2"/>
        <v>10442</v>
      </c>
      <c r="F112" s="9"/>
    </row>
    <row r="113" spans="1:6">
      <c r="A113" s="42">
        <v>43345</v>
      </c>
      <c r="B113" s="415" t="s">
        <v>625</v>
      </c>
      <c r="C113" s="9"/>
      <c r="D113" s="9">
        <v>50</v>
      </c>
      <c r="E113" s="9">
        <f t="shared" si="2"/>
        <v>10392</v>
      </c>
      <c r="F113" s="9"/>
    </row>
    <row r="114" spans="1:6">
      <c r="A114" s="42">
        <v>43345</v>
      </c>
      <c r="B114" s="415" t="s">
        <v>17</v>
      </c>
      <c r="C114" s="9"/>
      <c r="D114" s="9">
        <v>250</v>
      </c>
      <c r="E114" s="9">
        <f t="shared" si="2"/>
        <v>10142</v>
      </c>
      <c r="F114" s="415" t="s">
        <v>46</v>
      </c>
    </row>
    <row r="115" spans="1:6" ht="15">
      <c r="A115" s="161">
        <v>43375</v>
      </c>
      <c r="B115" s="36" t="s">
        <v>469</v>
      </c>
      <c r="C115" s="9">
        <v>7</v>
      </c>
      <c r="D115" s="9"/>
      <c r="E115" s="9">
        <f t="shared" si="2"/>
        <v>10149</v>
      </c>
      <c r="F115" s="415"/>
    </row>
    <row r="116" spans="1:6">
      <c r="A116" s="42">
        <v>43375</v>
      </c>
      <c r="B116" s="422" t="s">
        <v>17</v>
      </c>
      <c r="C116" s="9"/>
      <c r="D116" s="9">
        <v>200</v>
      </c>
      <c r="E116" s="9">
        <f t="shared" si="2"/>
        <v>9949</v>
      </c>
      <c r="F116" s="415"/>
    </row>
    <row r="117" spans="1:6">
      <c r="A117" s="42">
        <v>43436</v>
      </c>
      <c r="B117" s="422" t="s">
        <v>524</v>
      </c>
      <c r="C117" s="9">
        <v>38</v>
      </c>
      <c r="D117" s="9"/>
      <c r="E117" s="9">
        <f t="shared" si="2"/>
        <v>9987</v>
      </c>
      <c r="F117" s="415"/>
    </row>
    <row r="118" spans="1:6">
      <c r="A118" s="42">
        <v>43436</v>
      </c>
      <c r="B118" s="422" t="s">
        <v>17</v>
      </c>
      <c r="C118" s="9"/>
      <c r="D118" s="9">
        <v>215</v>
      </c>
      <c r="E118" s="9">
        <f t="shared" si="2"/>
        <v>9772</v>
      </c>
      <c r="F118" s="422"/>
    </row>
    <row r="119" spans="1:6">
      <c r="A119" s="429" t="s">
        <v>630</v>
      </c>
      <c r="B119" s="429" t="s">
        <v>510</v>
      </c>
      <c r="C119" s="9">
        <v>2</v>
      </c>
      <c r="D119" s="9"/>
      <c r="E119" s="9">
        <f t="shared" si="2"/>
        <v>9774</v>
      </c>
      <c r="F119" s="422"/>
    </row>
    <row r="120" spans="1:6">
      <c r="A120" s="430" t="s">
        <v>630</v>
      </c>
      <c r="B120" s="429" t="s">
        <v>587</v>
      </c>
      <c r="C120" s="9">
        <v>62</v>
      </c>
      <c r="D120" s="9"/>
      <c r="E120" s="9">
        <f t="shared" si="2"/>
        <v>9836</v>
      </c>
      <c r="F120" s="422"/>
    </row>
    <row r="121" spans="1:6">
      <c r="A121" s="430" t="s">
        <v>636</v>
      </c>
      <c r="B121" s="429" t="s">
        <v>24</v>
      </c>
      <c r="C121" s="9">
        <v>33</v>
      </c>
      <c r="D121" s="9"/>
      <c r="E121" s="9">
        <f t="shared" si="2"/>
        <v>9869</v>
      </c>
      <c r="F121" s="422"/>
    </row>
    <row r="122" spans="1:6">
      <c r="A122" s="429" t="s">
        <v>636</v>
      </c>
      <c r="B122" s="429" t="s">
        <v>637</v>
      </c>
      <c r="C122" s="9">
        <v>1</v>
      </c>
      <c r="D122" s="9"/>
      <c r="E122" s="9">
        <f t="shared" si="2"/>
        <v>9870</v>
      </c>
      <c r="F122" s="422"/>
    </row>
    <row r="123" spans="1:6">
      <c r="A123" s="430" t="s">
        <v>636</v>
      </c>
      <c r="B123" s="429" t="s">
        <v>17</v>
      </c>
      <c r="C123" s="9"/>
      <c r="D123" s="9">
        <v>400</v>
      </c>
      <c r="E123" s="9">
        <f t="shared" si="2"/>
        <v>9470</v>
      </c>
      <c r="F123" s="415"/>
    </row>
    <row r="124" spans="1:6">
      <c r="A124" s="430" t="s">
        <v>636</v>
      </c>
      <c r="B124" s="429" t="s">
        <v>16</v>
      </c>
      <c r="C124" s="9">
        <v>27</v>
      </c>
      <c r="D124" s="9"/>
      <c r="E124" s="9">
        <f t="shared" si="2"/>
        <v>9497</v>
      </c>
      <c r="F124" s="429"/>
    </row>
    <row r="125" spans="1:6">
      <c r="A125" s="125" t="s">
        <v>630</v>
      </c>
      <c r="B125" s="9" t="s">
        <v>524</v>
      </c>
      <c r="C125" s="9">
        <v>40</v>
      </c>
      <c r="D125" s="9"/>
      <c r="E125" s="9">
        <f t="shared" si="2"/>
        <v>9537</v>
      </c>
      <c r="F125" s="429"/>
    </row>
    <row r="126" spans="1:6">
      <c r="A126" s="436" t="s">
        <v>644</v>
      </c>
      <c r="B126" s="437" t="s">
        <v>616</v>
      </c>
      <c r="C126" s="9">
        <v>61</v>
      </c>
      <c r="D126" s="9"/>
      <c r="E126" s="9">
        <f t="shared" si="2"/>
        <v>9598</v>
      </c>
      <c r="F126" s="9"/>
    </row>
    <row r="127" spans="1:6">
      <c r="A127" s="436" t="s">
        <v>644</v>
      </c>
      <c r="B127" s="437" t="s">
        <v>646</v>
      </c>
      <c r="C127" s="9"/>
      <c r="D127" s="9">
        <v>40</v>
      </c>
      <c r="E127" s="9">
        <f t="shared" si="2"/>
        <v>9558</v>
      </c>
      <c r="F127" s="9"/>
    </row>
    <row r="128" spans="1:6" ht="15">
      <c r="A128" s="33" t="s">
        <v>649</v>
      </c>
      <c r="B128" s="33" t="s">
        <v>17</v>
      </c>
      <c r="C128" s="9"/>
      <c r="D128" s="9">
        <v>100</v>
      </c>
      <c r="E128" s="9">
        <f t="shared" si="2"/>
        <v>9458</v>
      </c>
      <c r="F128" s="437"/>
    </row>
    <row r="129" spans="1:6">
      <c r="A129" s="443" t="s">
        <v>651</v>
      </c>
      <c r="B129" s="444" t="s">
        <v>616</v>
      </c>
      <c r="C129" s="9">
        <v>38</v>
      </c>
      <c r="D129" s="9"/>
      <c r="E129" s="9">
        <f t="shared" si="2"/>
        <v>9496</v>
      </c>
      <c r="F129" s="9"/>
    </row>
    <row r="130" spans="1:6">
      <c r="A130" s="445" t="s">
        <v>651</v>
      </c>
      <c r="B130" s="445" t="s">
        <v>587</v>
      </c>
      <c r="C130" s="9">
        <v>46</v>
      </c>
      <c r="D130" s="9"/>
      <c r="E130" s="9">
        <f t="shared" si="2"/>
        <v>9542</v>
      </c>
      <c r="F130" s="9"/>
    </row>
    <row r="131" spans="1:6">
      <c r="A131" s="443" t="s">
        <v>651</v>
      </c>
      <c r="B131" s="444" t="s">
        <v>17</v>
      </c>
      <c r="C131" s="9"/>
      <c r="D131" s="9">
        <v>150</v>
      </c>
      <c r="E131" s="9">
        <f t="shared" si="2"/>
        <v>9392</v>
      </c>
      <c r="F131" s="9"/>
    </row>
    <row r="132" spans="1:6">
      <c r="A132" s="444" t="s">
        <v>651</v>
      </c>
      <c r="B132" s="444" t="s">
        <v>655</v>
      </c>
      <c r="C132" s="9">
        <v>82</v>
      </c>
      <c r="D132" s="9"/>
      <c r="E132" s="9">
        <f t="shared" si="2"/>
        <v>9474</v>
      </c>
      <c r="F132" s="9"/>
    </row>
    <row r="133" spans="1:6">
      <c r="A133" s="444" t="s">
        <v>656</v>
      </c>
      <c r="B133" s="444" t="s">
        <v>601</v>
      </c>
      <c r="C133" s="9">
        <v>18</v>
      </c>
      <c r="D133" s="9"/>
      <c r="E133" s="9">
        <f t="shared" si="2"/>
        <v>9492</v>
      </c>
      <c r="F133" s="444"/>
    </row>
    <row r="134" spans="1:6">
      <c r="A134" s="125" t="s">
        <v>661</v>
      </c>
      <c r="B134" s="9" t="s">
        <v>655</v>
      </c>
      <c r="C134" s="9">
        <v>83</v>
      </c>
      <c r="D134" s="9"/>
      <c r="E134" s="9">
        <f t="shared" si="2"/>
        <v>9575</v>
      </c>
      <c r="F134" s="449"/>
    </row>
    <row r="135" spans="1:6">
      <c r="A135" s="454" t="s">
        <v>665</v>
      </c>
      <c r="B135" s="452" t="s">
        <v>621</v>
      </c>
      <c r="C135" s="9">
        <v>39</v>
      </c>
      <c r="D135" s="9"/>
      <c r="E135" s="9">
        <f t="shared" si="2"/>
        <v>9614</v>
      </c>
      <c r="F135" s="452"/>
    </row>
    <row r="136" spans="1:6">
      <c r="A136" s="459" t="s">
        <v>669</v>
      </c>
      <c r="B136" s="457" t="s">
        <v>456</v>
      </c>
      <c r="C136" s="9">
        <v>77</v>
      </c>
      <c r="D136" s="9"/>
      <c r="E136" s="9">
        <f t="shared" si="2"/>
        <v>9691</v>
      </c>
      <c r="F136" s="457"/>
    </row>
    <row r="137" spans="1:6">
      <c r="A137" s="463" t="s">
        <v>677</v>
      </c>
      <c r="B137" s="462" t="s">
        <v>680</v>
      </c>
      <c r="C137" s="9">
        <v>48</v>
      </c>
      <c r="D137" s="9"/>
      <c r="E137" s="9">
        <f t="shared" si="2"/>
        <v>9739</v>
      </c>
      <c r="F137" s="9"/>
    </row>
    <row r="138" spans="1:6">
      <c r="A138" s="463" t="s">
        <v>677</v>
      </c>
      <c r="B138" s="462" t="s">
        <v>685</v>
      </c>
      <c r="C138" s="9">
        <v>69</v>
      </c>
      <c r="D138" s="9"/>
      <c r="E138" s="9">
        <f t="shared" si="2"/>
        <v>9808</v>
      </c>
      <c r="F138" s="462"/>
    </row>
    <row r="139" spans="1:6">
      <c r="A139" s="473" t="s">
        <v>694</v>
      </c>
      <c r="B139" s="472" t="s">
        <v>701</v>
      </c>
      <c r="C139" s="9">
        <v>52</v>
      </c>
      <c r="D139" s="9"/>
      <c r="E139" s="9">
        <f t="shared" si="2"/>
        <v>9860</v>
      </c>
      <c r="F139" s="9"/>
    </row>
    <row r="140" spans="1:6">
      <c r="A140" s="473" t="s">
        <v>694</v>
      </c>
      <c r="B140" s="472" t="s">
        <v>24</v>
      </c>
      <c r="C140" s="9">
        <v>6</v>
      </c>
      <c r="D140" s="9"/>
      <c r="E140" s="9">
        <f t="shared" si="2"/>
        <v>9866</v>
      </c>
      <c r="F140" s="9"/>
    </row>
    <row r="141" spans="1:6">
      <c r="A141" s="472" t="s">
        <v>694</v>
      </c>
      <c r="B141" s="472" t="s">
        <v>13</v>
      </c>
      <c r="C141" s="9">
        <v>52</v>
      </c>
      <c r="D141" s="9"/>
      <c r="E141" s="9">
        <f t="shared" si="2"/>
        <v>9918</v>
      </c>
      <c r="F141" s="9"/>
    </row>
    <row r="142" spans="1:6">
      <c r="A142" s="473" t="s">
        <v>694</v>
      </c>
      <c r="B142" s="472" t="s">
        <v>699</v>
      </c>
      <c r="C142" s="9">
        <v>62</v>
      </c>
      <c r="D142" s="9"/>
      <c r="E142" s="9">
        <f t="shared" si="2"/>
        <v>9980</v>
      </c>
      <c r="F142" s="472"/>
    </row>
    <row r="143" spans="1:6">
      <c r="A143" s="477" t="s">
        <v>703</v>
      </c>
      <c r="B143" s="478" t="s">
        <v>543</v>
      </c>
      <c r="C143" s="9"/>
      <c r="D143" s="9">
        <v>24</v>
      </c>
      <c r="E143" s="9">
        <f t="shared" si="2"/>
        <v>9956</v>
      </c>
      <c r="F143" s="479"/>
    </row>
    <row r="144" spans="1:6">
      <c r="A144" s="319">
        <v>43103</v>
      </c>
      <c r="B144" s="7" t="s">
        <v>15</v>
      </c>
      <c r="C144" s="9">
        <v>80</v>
      </c>
      <c r="D144" s="9"/>
      <c r="E144" s="9">
        <f t="shared" si="2"/>
        <v>10036</v>
      </c>
      <c r="F144" s="482"/>
    </row>
    <row r="145" spans="1:6">
      <c r="A145" s="489">
        <v>43162</v>
      </c>
      <c r="B145" s="487" t="s">
        <v>469</v>
      </c>
      <c r="C145" s="9"/>
      <c r="D145" s="9">
        <v>19</v>
      </c>
      <c r="E145" s="9">
        <f t="shared" si="2"/>
        <v>10017</v>
      </c>
      <c r="F145" s="9"/>
    </row>
    <row r="146" spans="1:6">
      <c r="A146" s="489">
        <v>43162</v>
      </c>
      <c r="B146" s="487" t="s">
        <v>706</v>
      </c>
      <c r="C146" s="9"/>
      <c r="D146" s="9">
        <v>40</v>
      </c>
      <c r="E146" s="9">
        <f t="shared" si="2"/>
        <v>9977</v>
      </c>
      <c r="F146" s="487"/>
    </row>
    <row r="147" spans="1:6">
      <c r="A147" s="489">
        <v>43223</v>
      </c>
      <c r="B147" s="492" t="s">
        <v>524</v>
      </c>
      <c r="C147" s="9">
        <v>3</v>
      </c>
      <c r="D147" s="9"/>
      <c r="E147" s="9">
        <f t="shared" si="2"/>
        <v>9980</v>
      </c>
      <c r="F147" s="9"/>
    </row>
    <row r="148" spans="1:6">
      <c r="A148" s="483">
        <v>43223</v>
      </c>
      <c r="B148" s="492" t="s">
        <v>510</v>
      </c>
      <c r="C148" s="9">
        <v>6</v>
      </c>
      <c r="D148" s="9"/>
      <c r="E148" s="9">
        <f t="shared" si="2"/>
        <v>9986</v>
      </c>
      <c r="F148" s="9"/>
    </row>
    <row r="149" spans="1:6">
      <c r="A149" s="21">
        <v>43254</v>
      </c>
      <c r="B149" s="492" t="s">
        <v>708</v>
      </c>
      <c r="C149" s="9">
        <v>74</v>
      </c>
      <c r="D149" s="9"/>
      <c r="E149" s="9">
        <f t="shared" si="2"/>
        <v>10060</v>
      </c>
      <c r="F149" s="9"/>
    </row>
    <row r="150" spans="1:6">
      <c r="A150" s="42">
        <v>43254</v>
      </c>
      <c r="B150" s="492" t="s">
        <v>716</v>
      </c>
      <c r="C150" s="9"/>
      <c r="D150" s="9">
        <v>26</v>
      </c>
      <c r="E150" s="9">
        <f t="shared" si="2"/>
        <v>10034</v>
      </c>
      <c r="F150" s="492" t="s">
        <v>46</v>
      </c>
    </row>
    <row r="151" spans="1:6">
      <c r="A151" s="42">
        <v>43284</v>
      </c>
      <c r="B151" s="9" t="s">
        <v>552</v>
      </c>
      <c r="C151" s="9">
        <v>71</v>
      </c>
      <c r="D151" s="9"/>
      <c r="E151" s="9">
        <f t="shared" si="2"/>
        <v>10105</v>
      </c>
      <c r="F151" s="9"/>
    </row>
    <row r="152" spans="1:6">
      <c r="A152" s="42">
        <v>43284</v>
      </c>
      <c r="B152" s="9" t="s">
        <v>708</v>
      </c>
      <c r="C152" s="9">
        <v>100</v>
      </c>
      <c r="D152" s="9"/>
      <c r="E152" s="9">
        <f t="shared" si="2"/>
        <v>10205</v>
      </c>
      <c r="F152" s="9"/>
    </row>
    <row r="153" spans="1:6">
      <c r="A153" s="42">
        <v>43284</v>
      </c>
      <c r="B153" s="9" t="s">
        <v>655</v>
      </c>
      <c r="C153" s="9">
        <v>36</v>
      </c>
      <c r="D153" s="9"/>
      <c r="E153" s="9">
        <f t="shared" si="2"/>
        <v>10241</v>
      </c>
      <c r="F153" s="9" t="s">
        <v>46</v>
      </c>
    </row>
    <row r="154" spans="1:6">
      <c r="A154" s="42">
        <v>43315</v>
      </c>
      <c r="B154" s="497" t="s">
        <v>522</v>
      </c>
      <c r="C154" s="9">
        <v>8</v>
      </c>
      <c r="D154" s="9"/>
      <c r="E154" s="9">
        <f t="shared" si="2"/>
        <v>10249</v>
      </c>
      <c r="F154" s="9"/>
    </row>
    <row r="155" spans="1:6">
      <c r="A155" s="42">
        <v>43315</v>
      </c>
      <c r="B155" s="497" t="s">
        <v>720</v>
      </c>
      <c r="C155" s="9">
        <v>81</v>
      </c>
      <c r="D155" s="9"/>
      <c r="E155" s="9">
        <f t="shared" si="2"/>
        <v>10330</v>
      </c>
      <c r="F155" s="9"/>
    </row>
    <row r="156" spans="1:6">
      <c r="A156" s="42">
        <v>43315</v>
      </c>
      <c r="B156" s="497" t="s">
        <v>524</v>
      </c>
      <c r="C156" s="9">
        <v>11</v>
      </c>
      <c r="D156" s="9"/>
      <c r="E156" s="9">
        <f t="shared" si="2"/>
        <v>10341</v>
      </c>
      <c r="F156" s="9"/>
    </row>
    <row r="157" spans="1:6">
      <c r="A157" s="42">
        <v>43315</v>
      </c>
      <c r="B157" s="497" t="s">
        <v>462</v>
      </c>
      <c r="C157" s="9">
        <v>28</v>
      </c>
      <c r="D157" s="9"/>
      <c r="E157" s="9">
        <f t="shared" si="2"/>
        <v>10369</v>
      </c>
      <c r="F157" s="9"/>
    </row>
    <row r="158" spans="1:6">
      <c r="A158" s="42">
        <v>43346</v>
      </c>
      <c r="B158" s="497" t="s">
        <v>722</v>
      </c>
      <c r="C158" s="9"/>
      <c r="D158" s="9">
        <v>100</v>
      </c>
      <c r="E158" s="9">
        <f t="shared" si="2"/>
        <v>10269</v>
      </c>
      <c r="F158" s="9"/>
    </row>
    <row r="159" spans="1:6">
      <c r="A159" s="42">
        <v>43376</v>
      </c>
      <c r="B159" s="498" t="s">
        <v>708</v>
      </c>
      <c r="C159" s="9">
        <v>127</v>
      </c>
      <c r="D159" s="9"/>
      <c r="E159" s="9">
        <f t="shared" si="2"/>
        <v>10396</v>
      </c>
      <c r="F159" s="9"/>
    </row>
    <row r="160" spans="1:6">
      <c r="A160" s="42">
        <v>43376</v>
      </c>
      <c r="B160" s="498" t="s">
        <v>725</v>
      </c>
      <c r="C160" s="9"/>
      <c r="D160" s="9">
        <v>55</v>
      </c>
      <c r="E160" s="9">
        <f t="shared" si="2"/>
        <v>10341</v>
      </c>
      <c r="F160" s="498" t="s">
        <v>46</v>
      </c>
    </row>
    <row r="161" spans="1:6">
      <c r="A161" s="42">
        <v>43437</v>
      </c>
      <c r="B161" s="502" t="s">
        <v>8</v>
      </c>
      <c r="C161" s="9">
        <v>16</v>
      </c>
      <c r="D161" s="9"/>
      <c r="E161" s="9">
        <f t="shared" si="2"/>
        <v>10357</v>
      </c>
      <c r="F161" s="9"/>
    </row>
    <row r="162" spans="1:6">
      <c r="A162" s="502" t="s">
        <v>728</v>
      </c>
      <c r="B162" s="502" t="s">
        <v>524</v>
      </c>
      <c r="C162" s="9">
        <v>16</v>
      </c>
      <c r="D162" s="9"/>
      <c r="E162" s="9">
        <f t="shared" si="2"/>
        <v>10373</v>
      </c>
      <c r="F162" s="9"/>
    </row>
    <row r="163" spans="1:6">
      <c r="A163" s="504" t="s">
        <v>728</v>
      </c>
      <c r="B163" s="502" t="s">
        <v>17</v>
      </c>
      <c r="C163" s="9"/>
      <c r="D163" s="9">
        <v>82</v>
      </c>
      <c r="E163" s="9">
        <f t="shared" si="2"/>
        <v>10291</v>
      </c>
      <c r="F163" s="9"/>
    </row>
    <row r="164" spans="1:6">
      <c r="A164" s="504" t="s">
        <v>728</v>
      </c>
      <c r="B164" s="502" t="s">
        <v>17</v>
      </c>
      <c r="C164" s="9"/>
      <c r="D164" s="9">
        <v>83</v>
      </c>
      <c r="E164" s="9">
        <f t="shared" si="2"/>
        <v>10208</v>
      </c>
      <c r="F164" s="502" t="s">
        <v>46</v>
      </c>
    </row>
    <row r="165" spans="1:6">
      <c r="A165" s="125" t="s">
        <v>731</v>
      </c>
      <c r="B165" s="9" t="s">
        <v>524</v>
      </c>
      <c r="C165" s="9">
        <v>33</v>
      </c>
      <c r="D165" s="9"/>
      <c r="E165" s="9">
        <f t="shared" si="2"/>
        <v>10241</v>
      </c>
      <c r="F165" s="9"/>
    </row>
    <row r="166" spans="1:6">
      <c r="A166" s="125" t="s">
        <v>731</v>
      </c>
      <c r="B166" s="9" t="s">
        <v>720</v>
      </c>
      <c r="C166" s="9">
        <v>100</v>
      </c>
      <c r="D166" s="9"/>
      <c r="E166" s="9">
        <f t="shared" ref="E166:E206" si="3">E165+C166-D166</f>
        <v>10341</v>
      </c>
      <c r="F166" s="9"/>
    </row>
    <row r="167" spans="1:6">
      <c r="A167" s="125" t="s">
        <v>731</v>
      </c>
      <c r="B167" s="9" t="s">
        <v>17</v>
      </c>
      <c r="C167" s="9"/>
      <c r="D167" s="9">
        <v>170</v>
      </c>
      <c r="E167" s="9">
        <f t="shared" si="3"/>
        <v>10171</v>
      </c>
      <c r="F167" s="9"/>
    </row>
    <row r="168" spans="1:6">
      <c r="A168" s="125" t="s">
        <v>732</v>
      </c>
      <c r="B168" s="9" t="s">
        <v>720</v>
      </c>
      <c r="C168" s="9">
        <v>55</v>
      </c>
      <c r="D168" s="9"/>
      <c r="E168" s="9">
        <f t="shared" si="3"/>
        <v>10226</v>
      </c>
      <c r="F168" s="9"/>
    </row>
    <row r="169" spans="1:6">
      <c r="A169" s="507" t="s">
        <v>732</v>
      </c>
      <c r="B169" s="508" t="s">
        <v>734</v>
      </c>
      <c r="C169" s="9"/>
      <c r="D169" s="9">
        <v>200</v>
      </c>
      <c r="E169" s="9">
        <f t="shared" si="3"/>
        <v>10026</v>
      </c>
      <c r="F169" s="9"/>
    </row>
    <row r="170" spans="1:6">
      <c r="A170" s="507" t="s">
        <v>732</v>
      </c>
      <c r="B170" s="508" t="s">
        <v>679</v>
      </c>
      <c r="C170" s="9"/>
      <c r="D170" s="9">
        <v>250</v>
      </c>
      <c r="E170" s="9">
        <f t="shared" si="3"/>
        <v>9776</v>
      </c>
      <c r="F170" s="508" t="s">
        <v>46</v>
      </c>
    </row>
    <row r="171" spans="1:6">
      <c r="A171" s="125" t="s">
        <v>735</v>
      </c>
      <c r="B171" s="9" t="s">
        <v>24</v>
      </c>
      <c r="C171" s="9">
        <v>35</v>
      </c>
      <c r="D171" s="9"/>
      <c r="E171" s="9">
        <f t="shared" si="3"/>
        <v>9811</v>
      </c>
      <c r="F171" s="9"/>
    </row>
    <row r="172" spans="1:6">
      <c r="A172" s="125" t="s">
        <v>735</v>
      </c>
      <c r="B172" s="9" t="s">
        <v>524</v>
      </c>
      <c r="C172" s="9">
        <v>16</v>
      </c>
      <c r="D172" s="9"/>
      <c r="E172" s="9">
        <f t="shared" si="3"/>
        <v>9827</v>
      </c>
      <c r="F172" s="9"/>
    </row>
    <row r="173" spans="1:6">
      <c r="A173" s="125" t="s">
        <v>735</v>
      </c>
      <c r="B173" s="9" t="s">
        <v>708</v>
      </c>
      <c r="C173" s="9">
        <v>59</v>
      </c>
      <c r="D173" s="9"/>
      <c r="E173" s="9">
        <f t="shared" si="3"/>
        <v>9886</v>
      </c>
      <c r="F173" s="9"/>
    </row>
    <row r="174" spans="1:6">
      <c r="A174" s="125" t="s">
        <v>735</v>
      </c>
      <c r="B174" s="9" t="s">
        <v>736</v>
      </c>
      <c r="C174" s="9"/>
      <c r="D174" s="9">
        <v>300</v>
      </c>
      <c r="E174" s="9">
        <f t="shared" si="3"/>
        <v>9586</v>
      </c>
      <c r="F174" s="9"/>
    </row>
    <row r="175" spans="1:6">
      <c r="A175" s="512" t="s">
        <v>738</v>
      </c>
      <c r="B175" s="513" t="s">
        <v>448</v>
      </c>
      <c r="C175" s="9">
        <v>63</v>
      </c>
      <c r="D175" s="9"/>
      <c r="E175" s="9">
        <f t="shared" si="3"/>
        <v>9649</v>
      </c>
      <c r="F175" s="513" t="s">
        <v>46</v>
      </c>
    </row>
    <row r="176" spans="1:6">
      <c r="A176" s="518" t="s">
        <v>742</v>
      </c>
      <c r="B176" s="517" t="s">
        <v>10</v>
      </c>
      <c r="C176" s="9">
        <v>50</v>
      </c>
      <c r="D176" s="9"/>
      <c r="E176" s="9">
        <f t="shared" si="3"/>
        <v>9699</v>
      </c>
      <c r="F176" s="9"/>
    </row>
    <row r="177" spans="1:6">
      <c r="A177" s="518" t="s">
        <v>742</v>
      </c>
      <c r="B177" s="517" t="s">
        <v>679</v>
      </c>
      <c r="C177" s="9">
        <v>56</v>
      </c>
      <c r="D177" s="9"/>
      <c r="E177" s="9">
        <f t="shared" si="3"/>
        <v>9755</v>
      </c>
      <c r="F177" s="9"/>
    </row>
    <row r="178" spans="1:6">
      <c r="A178" s="518" t="s">
        <v>742</v>
      </c>
      <c r="B178" s="517" t="s">
        <v>679</v>
      </c>
      <c r="C178" s="9"/>
      <c r="D178" s="9">
        <v>50</v>
      </c>
      <c r="E178" s="9">
        <f t="shared" si="3"/>
        <v>9705</v>
      </c>
      <c r="F178" s="9"/>
    </row>
    <row r="179" spans="1:6">
      <c r="A179" s="518" t="s">
        <v>742</v>
      </c>
      <c r="B179" s="517" t="s">
        <v>679</v>
      </c>
      <c r="C179" s="9"/>
      <c r="D179" s="9">
        <v>6</v>
      </c>
      <c r="E179" s="9">
        <f t="shared" si="3"/>
        <v>9699</v>
      </c>
      <c r="F179" s="517" t="s">
        <v>46</v>
      </c>
    </row>
    <row r="180" spans="1:6">
      <c r="A180" s="522" t="s">
        <v>743</v>
      </c>
      <c r="B180" s="517" t="s">
        <v>679</v>
      </c>
      <c r="C180" s="9">
        <v>110</v>
      </c>
      <c r="D180" s="9"/>
      <c r="E180" s="9">
        <f t="shared" si="3"/>
        <v>9809</v>
      </c>
      <c r="F180" s="9"/>
    </row>
    <row r="181" spans="1:6">
      <c r="A181" s="522" t="s">
        <v>743</v>
      </c>
      <c r="B181" s="521" t="s">
        <v>8</v>
      </c>
      <c r="C181" s="9">
        <v>101</v>
      </c>
      <c r="D181" s="9"/>
      <c r="E181" s="9">
        <f t="shared" si="3"/>
        <v>9910</v>
      </c>
      <c r="F181" s="521" t="s">
        <v>46</v>
      </c>
    </row>
    <row r="182" spans="1:6">
      <c r="A182" s="125" t="s">
        <v>744</v>
      </c>
      <c r="B182" s="9" t="s">
        <v>24</v>
      </c>
      <c r="C182" s="9">
        <v>71</v>
      </c>
      <c r="D182" s="9"/>
      <c r="E182" s="9">
        <f t="shared" si="3"/>
        <v>9981</v>
      </c>
      <c r="F182" s="9"/>
    </row>
    <row r="183" spans="1:6">
      <c r="A183" s="527" t="s">
        <v>744</v>
      </c>
      <c r="B183" s="528" t="s">
        <v>746</v>
      </c>
      <c r="C183" s="9"/>
      <c r="D183" s="9">
        <v>80</v>
      </c>
      <c r="E183" s="9">
        <f t="shared" si="3"/>
        <v>9901</v>
      </c>
      <c r="F183" s="528" t="s">
        <v>46</v>
      </c>
    </row>
    <row r="184" spans="1:6">
      <c r="A184" s="527" t="s">
        <v>744</v>
      </c>
      <c r="B184" s="528" t="s">
        <v>16</v>
      </c>
      <c r="C184" s="9">
        <v>29</v>
      </c>
      <c r="D184" s="9"/>
      <c r="E184" s="9">
        <f t="shared" si="3"/>
        <v>9930</v>
      </c>
      <c r="F184" s="9"/>
    </row>
    <row r="185" spans="1:6">
      <c r="A185" s="527" t="s">
        <v>744</v>
      </c>
      <c r="B185" s="528" t="s">
        <v>679</v>
      </c>
      <c r="C185" s="9">
        <v>100</v>
      </c>
      <c r="D185" s="9"/>
      <c r="E185" s="9">
        <f t="shared" si="3"/>
        <v>10030</v>
      </c>
      <c r="F185" s="9"/>
    </row>
    <row r="186" spans="1:6">
      <c r="A186" s="527" t="s">
        <v>747</v>
      </c>
      <c r="B186" s="528" t="s">
        <v>524</v>
      </c>
      <c r="C186" s="9">
        <v>25</v>
      </c>
      <c r="D186" s="9"/>
      <c r="E186" s="9">
        <f t="shared" si="3"/>
        <v>10055</v>
      </c>
      <c r="F186" s="9"/>
    </row>
    <row r="187" spans="1:6">
      <c r="A187" s="527" t="s">
        <v>747</v>
      </c>
      <c r="B187" s="528" t="s">
        <v>679</v>
      </c>
      <c r="C187" s="9">
        <v>100</v>
      </c>
      <c r="D187" s="9"/>
      <c r="E187" s="9">
        <f t="shared" si="3"/>
        <v>10155</v>
      </c>
      <c r="F187" s="9"/>
    </row>
    <row r="188" spans="1:6">
      <c r="A188" s="527" t="s">
        <v>747</v>
      </c>
      <c r="B188" s="528" t="s">
        <v>720</v>
      </c>
      <c r="C188" s="9">
        <v>58</v>
      </c>
      <c r="D188" s="9"/>
      <c r="E188" s="9">
        <f t="shared" si="3"/>
        <v>10213</v>
      </c>
      <c r="F188" s="9"/>
    </row>
    <row r="189" spans="1:6">
      <c r="A189" s="527" t="s">
        <v>747</v>
      </c>
      <c r="B189" s="528" t="s">
        <v>17</v>
      </c>
      <c r="C189" s="9"/>
      <c r="D189" s="9">
        <v>100</v>
      </c>
      <c r="E189" s="9">
        <f t="shared" si="3"/>
        <v>10113</v>
      </c>
      <c r="F189" s="528" t="s">
        <v>46</v>
      </c>
    </row>
    <row r="190" spans="1:6">
      <c r="A190" s="533" t="s">
        <v>750</v>
      </c>
      <c r="B190" s="533" t="s">
        <v>24</v>
      </c>
      <c r="C190" s="9">
        <v>75</v>
      </c>
      <c r="D190" s="9"/>
      <c r="E190" s="9">
        <f t="shared" si="3"/>
        <v>10188</v>
      </c>
      <c r="F190" s="9"/>
    </row>
    <row r="191" spans="1:6">
      <c r="A191" s="125" t="s">
        <v>750</v>
      </c>
      <c r="B191" s="9" t="s">
        <v>520</v>
      </c>
      <c r="C191" s="9">
        <v>100</v>
      </c>
      <c r="D191" s="9"/>
      <c r="E191" s="9">
        <f t="shared" si="3"/>
        <v>10288</v>
      </c>
      <c r="F191" s="9"/>
    </row>
    <row r="192" spans="1:6">
      <c r="A192" s="125" t="s">
        <v>750</v>
      </c>
      <c r="B192" s="9" t="s">
        <v>679</v>
      </c>
      <c r="C192" s="9">
        <v>124</v>
      </c>
      <c r="D192" s="9"/>
      <c r="E192" s="9">
        <f t="shared" si="3"/>
        <v>10412</v>
      </c>
      <c r="F192" s="9"/>
    </row>
    <row r="193" spans="1:6">
      <c r="A193" s="125" t="s">
        <v>750</v>
      </c>
      <c r="B193" s="9" t="s">
        <v>679</v>
      </c>
      <c r="C193" s="9">
        <v>61</v>
      </c>
      <c r="D193" s="9"/>
      <c r="E193" s="9">
        <f t="shared" si="3"/>
        <v>10473</v>
      </c>
      <c r="F193" s="9"/>
    </row>
    <row r="194" spans="1:6">
      <c r="A194" s="533" t="s">
        <v>750</v>
      </c>
      <c r="B194" s="533" t="s">
        <v>752</v>
      </c>
      <c r="C194" s="9"/>
      <c r="D194" s="9">
        <v>100</v>
      </c>
      <c r="E194" s="9">
        <f t="shared" si="3"/>
        <v>10373</v>
      </c>
      <c r="F194" s="9"/>
    </row>
    <row r="195" spans="1:6">
      <c r="A195" s="533" t="s">
        <v>750</v>
      </c>
      <c r="B195" s="533" t="s">
        <v>752</v>
      </c>
      <c r="C195" s="9"/>
      <c r="D195" s="9">
        <v>400</v>
      </c>
      <c r="E195" s="9">
        <f t="shared" si="3"/>
        <v>9973</v>
      </c>
      <c r="F195" s="9"/>
    </row>
    <row r="196" spans="1:6">
      <c r="A196" s="533" t="s">
        <v>750</v>
      </c>
      <c r="B196" s="533" t="s">
        <v>752</v>
      </c>
      <c r="C196" s="9"/>
      <c r="D196" s="9">
        <v>75</v>
      </c>
      <c r="E196" s="9">
        <f t="shared" si="3"/>
        <v>9898</v>
      </c>
      <c r="F196" s="9"/>
    </row>
    <row r="197" spans="1:6">
      <c r="A197" s="534" t="s">
        <v>753</v>
      </c>
      <c r="B197" s="533" t="s">
        <v>752</v>
      </c>
      <c r="C197" s="9"/>
      <c r="D197" s="9">
        <v>330</v>
      </c>
      <c r="E197" s="9">
        <f t="shared" si="3"/>
        <v>9568</v>
      </c>
      <c r="F197" s="533" t="s">
        <v>46</v>
      </c>
    </row>
    <row r="198" spans="1:6">
      <c r="A198" s="539" t="s">
        <v>755</v>
      </c>
      <c r="B198" s="538" t="s">
        <v>522</v>
      </c>
      <c r="C198" s="9">
        <v>33</v>
      </c>
      <c r="D198" s="9"/>
      <c r="E198" s="9">
        <f t="shared" si="3"/>
        <v>9601</v>
      </c>
      <c r="F198" s="9"/>
    </row>
    <row r="199" spans="1:6">
      <c r="A199" s="539" t="s">
        <v>755</v>
      </c>
      <c r="B199" s="538" t="s">
        <v>459</v>
      </c>
      <c r="C199" s="9">
        <v>16</v>
      </c>
      <c r="D199" s="9"/>
      <c r="E199" s="9">
        <f t="shared" si="3"/>
        <v>9617</v>
      </c>
      <c r="F199" s="9"/>
    </row>
    <row r="200" spans="1:6">
      <c r="A200" s="539" t="s">
        <v>755</v>
      </c>
      <c r="B200" s="538" t="s">
        <v>17</v>
      </c>
      <c r="C200" s="9"/>
      <c r="D200" s="9">
        <v>100</v>
      </c>
      <c r="E200" s="9">
        <f t="shared" si="3"/>
        <v>9517</v>
      </c>
      <c r="F200" s="9"/>
    </row>
    <row r="201" spans="1:6">
      <c r="A201" s="539" t="s">
        <v>755</v>
      </c>
      <c r="B201" s="538" t="s">
        <v>756</v>
      </c>
      <c r="C201" s="9"/>
      <c r="D201" s="9">
        <v>86</v>
      </c>
      <c r="E201" s="9">
        <f t="shared" si="3"/>
        <v>9431</v>
      </c>
      <c r="F201" s="9"/>
    </row>
    <row r="202" spans="1:6">
      <c r="A202" s="539" t="s">
        <v>757</v>
      </c>
      <c r="B202" s="538" t="s">
        <v>758</v>
      </c>
      <c r="C202" s="9">
        <v>49</v>
      </c>
      <c r="D202" s="9"/>
      <c r="E202" s="9">
        <f t="shared" si="3"/>
        <v>9480</v>
      </c>
      <c r="F202" s="538" t="s">
        <v>46</v>
      </c>
    </row>
    <row r="203" spans="1:6">
      <c r="A203" s="543" t="s">
        <v>761</v>
      </c>
      <c r="B203" s="542" t="s">
        <v>604</v>
      </c>
      <c r="C203" s="9">
        <v>1</v>
      </c>
      <c r="D203" s="9"/>
      <c r="E203" s="9">
        <f t="shared" si="3"/>
        <v>9481</v>
      </c>
      <c r="F203" s="9"/>
    </row>
    <row r="204" spans="1:6">
      <c r="A204" s="543" t="s">
        <v>764</v>
      </c>
      <c r="B204" s="542" t="s">
        <v>691</v>
      </c>
      <c r="C204" s="9">
        <v>69</v>
      </c>
      <c r="D204" s="9"/>
      <c r="E204" s="9">
        <f t="shared" si="3"/>
        <v>9550</v>
      </c>
      <c r="F204" s="9"/>
    </row>
    <row r="205" spans="1:6">
      <c r="A205" s="543" t="s">
        <v>764</v>
      </c>
      <c r="B205" s="542" t="s">
        <v>766</v>
      </c>
      <c r="C205" s="9"/>
      <c r="D205" s="9">
        <v>100</v>
      </c>
      <c r="E205" s="9">
        <f t="shared" si="3"/>
        <v>9450</v>
      </c>
      <c r="F205" s="9"/>
    </row>
    <row r="206" spans="1:6">
      <c r="A206" s="543" t="s">
        <v>764</v>
      </c>
      <c r="B206" s="542" t="s">
        <v>766</v>
      </c>
      <c r="C206" s="9"/>
      <c r="D206" s="9">
        <v>25</v>
      </c>
      <c r="E206" s="9">
        <f t="shared" si="3"/>
        <v>9425</v>
      </c>
      <c r="F206" s="9"/>
    </row>
    <row r="207" spans="1:6">
      <c r="A207" s="543" t="s">
        <v>764</v>
      </c>
      <c r="B207" s="542" t="s">
        <v>766</v>
      </c>
      <c r="C207" s="9"/>
      <c r="D207" s="9">
        <v>220</v>
      </c>
      <c r="E207" s="9">
        <f t="shared" ref="E207:E222" si="4">E206+C207-D207</f>
        <v>9205</v>
      </c>
      <c r="F207" s="542" t="s">
        <v>46</v>
      </c>
    </row>
    <row r="208" spans="1:6">
      <c r="A208" s="125" t="s">
        <v>768</v>
      </c>
      <c r="B208" s="9" t="s">
        <v>552</v>
      </c>
      <c r="C208" s="9">
        <v>73</v>
      </c>
      <c r="D208" s="9"/>
      <c r="E208" s="9">
        <f t="shared" si="4"/>
        <v>9278</v>
      </c>
      <c r="F208" s="9" t="s">
        <v>46</v>
      </c>
    </row>
    <row r="209" spans="1:6">
      <c r="A209" s="42">
        <v>43135</v>
      </c>
      <c r="B209" s="548" t="s">
        <v>8</v>
      </c>
      <c r="C209" s="9">
        <v>56</v>
      </c>
      <c r="D209" s="9"/>
      <c r="E209" s="9">
        <f t="shared" si="4"/>
        <v>9334</v>
      </c>
      <c r="F209" s="9"/>
    </row>
    <row r="210" spans="1:6">
      <c r="A210" s="42">
        <v>43135</v>
      </c>
      <c r="B210" s="548" t="s">
        <v>17</v>
      </c>
      <c r="C210" s="9"/>
      <c r="D210" s="9">
        <v>330</v>
      </c>
      <c r="E210" s="9">
        <f t="shared" si="4"/>
        <v>9004</v>
      </c>
      <c r="F210" s="9"/>
    </row>
    <row r="211" spans="1:6">
      <c r="A211" s="42">
        <v>43135</v>
      </c>
      <c r="B211" s="548" t="s">
        <v>771</v>
      </c>
      <c r="C211" s="9"/>
      <c r="D211" s="9">
        <v>55</v>
      </c>
      <c r="E211" s="9">
        <f t="shared" si="4"/>
        <v>8949</v>
      </c>
      <c r="F211" s="548" t="s">
        <v>46</v>
      </c>
    </row>
    <row r="212" spans="1:6">
      <c r="A212" s="21">
        <v>43194</v>
      </c>
      <c r="B212" s="9" t="s">
        <v>774</v>
      </c>
      <c r="C212" s="9">
        <v>84</v>
      </c>
      <c r="D212" s="9"/>
      <c r="E212" s="9">
        <f t="shared" si="4"/>
        <v>9033</v>
      </c>
      <c r="F212" s="9" t="s">
        <v>46</v>
      </c>
    </row>
    <row r="213" spans="1:6">
      <c r="A213" s="42">
        <v>43224</v>
      </c>
      <c r="B213" s="554" t="s">
        <v>17</v>
      </c>
      <c r="C213" s="9"/>
      <c r="D213" s="9">
        <v>300</v>
      </c>
      <c r="E213" s="9">
        <f t="shared" si="4"/>
        <v>8733</v>
      </c>
      <c r="F213" s="9"/>
    </row>
    <row r="214" spans="1:6">
      <c r="A214" s="42">
        <v>43255</v>
      </c>
      <c r="B214" s="554" t="s">
        <v>15</v>
      </c>
      <c r="C214" s="9">
        <v>202</v>
      </c>
      <c r="D214" s="9"/>
      <c r="E214" s="9">
        <f t="shared" si="4"/>
        <v>8935</v>
      </c>
      <c r="F214" s="9"/>
    </row>
    <row r="215" spans="1:6">
      <c r="A215" s="42">
        <v>43255</v>
      </c>
      <c r="B215" s="554" t="s">
        <v>775</v>
      </c>
      <c r="C215" s="9"/>
      <c r="D215" s="9">
        <v>50</v>
      </c>
      <c r="E215" s="9">
        <f t="shared" si="4"/>
        <v>8885</v>
      </c>
      <c r="F215" s="9"/>
    </row>
    <row r="216" spans="1:6">
      <c r="A216" s="42">
        <v>43285</v>
      </c>
      <c r="B216" s="554" t="s">
        <v>775</v>
      </c>
      <c r="C216" s="9"/>
      <c r="D216" s="9">
        <v>70</v>
      </c>
      <c r="E216" s="9">
        <f t="shared" si="4"/>
        <v>8815</v>
      </c>
      <c r="F216" s="9"/>
    </row>
    <row r="217" spans="1:6">
      <c r="A217" s="42">
        <v>43347</v>
      </c>
      <c r="B217" s="554" t="s">
        <v>524</v>
      </c>
      <c r="C217" s="9">
        <v>20</v>
      </c>
      <c r="D217" s="9"/>
      <c r="E217" s="9">
        <f t="shared" si="4"/>
        <v>8835</v>
      </c>
      <c r="F217" s="554" t="s">
        <v>46</v>
      </c>
    </row>
    <row r="218" spans="1:6">
      <c r="A218" s="42">
        <v>43377</v>
      </c>
      <c r="B218" s="558" t="s">
        <v>784</v>
      </c>
      <c r="C218" s="9">
        <v>71</v>
      </c>
      <c r="D218" s="9"/>
      <c r="E218" s="9">
        <f t="shared" si="4"/>
        <v>8906</v>
      </c>
      <c r="F218" s="9"/>
    </row>
    <row r="219" spans="1:6">
      <c r="A219" s="42">
        <v>43408</v>
      </c>
      <c r="B219" s="9" t="s">
        <v>24</v>
      </c>
      <c r="C219" s="9">
        <v>67</v>
      </c>
      <c r="D219" s="9"/>
      <c r="E219" s="9">
        <f t="shared" si="4"/>
        <v>8973</v>
      </c>
      <c r="F219" s="9"/>
    </row>
    <row r="220" spans="1:6">
      <c r="A220" s="21">
        <v>43408</v>
      </c>
      <c r="B220" s="559" t="s">
        <v>710</v>
      </c>
      <c r="C220" s="9">
        <v>6</v>
      </c>
      <c r="D220" s="9"/>
      <c r="E220" s="9">
        <f t="shared" si="4"/>
        <v>8979</v>
      </c>
      <c r="F220" s="559" t="s">
        <v>46</v>
      </c>
    </row>
    <row r="221" spans="1:6">
      <c r="A221" s="42">
        <v>43438</v>
      </c>
      <c r="B221" s="564" t="s">
        <v>524</v>
      </c>
      <c r="C221" s="9">
        <v>13</v>
      </c>
      <c r="D221" s="9"/>
      <c r="E221" s="9">
        <f t="shared" si="4"/>
        <v>8992</v>
      </c>
      <c r="F221" s="9"/>
    </row>
    <row r="222" spans="1:6">
      <c r="A222" s="172">
        <v>43438</v>
      </c>
      <c r="B222" s="565" t="s">
        <v>15</v>
      </c>
      <c r="C222" s="9">
        <v>13</v>
      </c>
      <c r="D222" s="9"/>
      <c r="E222" s="9">
        <f t="shared" si="4"/>
        <v>9005</v>
      </c>
      <c r="F222" s="9" t="s">
        <v>46</v>
      </c>
    </row>
    <row r="223" spans="1:6">
      <c r="A223" s="42" t="s">
        <v>789</v>
      </c>
      <c r="B223" s="9" t="s">
        <v>524</v>
      </c>
      <c r="C223" s="9">
        <v>29</v>
      </c>
      <c r="D223" s="9"/>
      <c r="E223" s="9">
        <f t="shared" ref="E223:E286" si="5">E222+C223-D223</f>
        <v>9034</v>
      </c>
      <c r="F223" s="9"/>
    </row>
    <row r="224" spans="1:6">
      <c r="A224" s="571" t="s">
        <v>793</v>
      </c>
      <c r="B224" s="570" t="s">
        <v>524</v>
      </c>
      <c r="C224" s="9">
        <v>40</v>
      </c>
      <c r="D224" s="9"/>
      <c r="E224" s="9">
        <f t="shared" si="5"/>
        <v>9074</v>
      </c>
      <c r="F224" s="9"/>
    </row>
    <row r="225" spans="1:6">
      <c r="A225" s="571" t="s">
        <v>793</v>
      </c>
      <c r="B225" s="570" t="s">
        <v>796</v>
      </c>
      <c r="C225" s="9"/>
      <c r="D225" s="9">
        <v>84</v>
      </c>
      <c r="E225" s="9">
        <f t="shared" si="5"/>
        <v>8990</v>
      </c>
      <c r="F225" s="9"/>
    </row>
    <row r="226" spans="1:6">
      <c r="A226" s="571" t="s">
        <v>793</v>
      </c>
      <c r="B226" s="570" t="s">
        <v>508</v>
      </c>
      <c r="C226" s="9"/>
      <c r="D226" s="9">
        <v>84</v>
      </c>
      <c r="E226" s="9">
        <f t="shared" si="5"/>
        <v>8906</v>
      </c>
      <c r="F226" s="570" t="s">
        <v>46</v>
      </c>
    </row>
    <row r="227" spans="1:6">
      <c r="A227" s="125" t="s">
        <v>798</v>
      </c>
      <c r="B227" s="9" t="s">
        <v>799</v>
      </c>
      <c r="C227" s="9">
        <v>40</v>
      </c>
      <c r="D227" s="9"/>
      <c r="E227" s="9">
        <f t="shared" si="5"/>
        <v>8946</v>
      </c>
      <c r="F227" s="9"/>
    </row>
    <row r="228" spans="1:6">
      <c r="A228" s="576" t="s">
        <v>798</v>
      </c>
      <c r="B228" s="576" t="s">
        <v>805</v>
      </c>
      <c r="C228" s="9"/>
      <c r="D228" s="9">
        <v>84</v>
      </c>
      <c r="E228" s="9">
        <f t="shared" si="5"/>
        <v>8862</v>
      </c>
      <c r="F228" s="9"/>
    </row>
    <row r="229" spans="1:6">
      <c r="A229" s="578" t="s">
        <v>808</v>
      </c>
      <c r="B229" s="576" t="s">
        <v>524</v>
      </c>
      <c r="C229" s="9">
        <v>40</v>
      </c>
      <c r="D229" s="9"/>
      <c r="E229" s="9">
        <f t="shared" si="5"/>
        <v>8902</v>
      </c>
      <c r="F229" s="9"/>
    </row>
    <row r="230" spans="1:6">
      <c r="A230" s="578" t="s">
        <v>808</v>
      </c>
      <c r="B230" s="576" t="s">
        <v>616</v>
      </c>
      <c r="C230" s="9"/>
      <c r="D230" s="9">
        <v>85</v>
      </c>
      <c r="E230" s="9">
        <f t="shared" si="5"/>
        <v>8817</v>
      </c>
      <c r="F230" s="576" t="s">
        <v>46</v>
      </c>
    </row>
    <row r="231" spans="1:6">
      <c r="A231" s="125" t="s">
        <v>811</v>
      </c>
      <c r="B231" s="9" t="s">
        <v>720</v>
      </c>
      <c r="C231" s="9">
        <v>32</v>
      </c>
      <c r="D231" s="9"/>
      <c r="E231" s="9">
        <f t="shared" si="5"/>
        <v>8849</v>
      </c>
      <c r="F231" s="9"/>
    </row>
    <row r="232" spans="1:6">
      <c r="A232" s="582" t="s">
        <v>814</v>
      </c>
      <c r="B232" s="581" t="s">
        <v>508</v>
      </c>
      <c r="C232" s="9"/>
      <c r="D232" s="9">
        <v>84</v>
      </c>
      <c r="E232" s="9">
        <f t="shared" si="5"/>
        <v>8765</v>
      </c>
      <c r="F232" s="581" t="s">
        <v>46</v>
      </c>
    </row>
    <row r="233" spans="1:6">
      <c r="A233" s="586" t="s">
        <v>815</v>
      </c>
      <c r="B233" s="587" t="s">
        <v>552</v>
      </c>
      <c r="C233" s="9">
        <v>107</v>
      </c>
      <c r="D233" s="9"/>
      <c r="E233" s="9">
        <f t="shared" si="5"/>
        <v>8872</v>
      </c>
      <c r="F233" s="9"/>
    </row>
    <row r="234" spans="1:6">
      <c r="A234" s="586" t="s">
        <v>815</v>
      </c>
      <c r="B234" s="587" t="s">
        <v>816</v>
      </c>
      <c r="C234" s="9"/>
      <c r="D234" s="9">
        <v>41</v>
      </c>
      <c r="E234" s="9">
        <f t="shared" si="5"/>
        <v>8831</v>
      </c>
      <c r="F234" s="9"/>
    </row>
    <row r="235" spans="1:6">
      <c r="A235" s="586" t="s">
        <v>815</v>
      </c>
      <c r="B235" s="587" t="s">
        <v>817</v>
      </c>
      <c r="C235" s="9"/>
      <c r="D235" s="9">
        <v>300</v>
      </c>
      <c r="E235" s="9">
        <f t="shared" si="5"/>
        <v>8531</v>
      </c>
      <c r="F235" s="9"/>
    </row>
    <row r="236" spans="1:6">
      <c r="A236" s="586" t="s">
        <v>815</v>
      </c>
      <c r="B236" s="587" t="s">
        <v>616</v>
      </c>
      <c r="C236" s="9"/>
      <c r="D236" s="9">
        <v>84</v>
      </c>
      <c r="E236" s="9">
        <f t="shared" si="5"/>
        <v>8447</v>
      </c>
      <c r="F236" s="587" t="s">
        <v>46</v>
      </c>
    </row>
    <row r="237" spans="1:6">
      <c r="A237" s="595" t="s">
        <v>820</v>
      </c>
      <c r="B237" s="592" t="s">
        <v>508</v>
      </c>
      <c r="C237" s="9"/>
      <c r="D237" s="9">
        <v>24</v>
      </c>
      <c r="E237" s="9">
        <f t="shared" si="5"/>
        <v>8423</v>
      </c>
      <c r="F237" s="9"/>
    </row>
    <row r="238" spans="1:6">
      <c r="A238" s="595" t="s">
        <v>820</v>
      </c>
      <c r="B238" s="592" t="s">
        <v>817</v>
      </c>
      <c r="C238" s="9"/>
      <c r="D238" s="9">
        <v>400</v>
      </c>
      <c r="E238" s="9">
        <f t="shared" si="5"/>
        <v>8023</v>
      </c>
      <c r="F238" s="9"/>
    </row>
    <row r="239" spans="1:6">
      <c r="A239" s="595" t="s">
        <v>822</v>
      </c>
      <c r="B239" s="592" t="s">
        <v>817</v>
      </c>
      <c r="C239" s="9"/>
      <c r="D239" s="9">
        <v>100</v>
      </c>
      <c r="E239" s="9">
        <f t="shared" si="5"/>
        <v>7923</v>
      </c>
      <c r="F239" s="592"/>
    </row>
    <row r="240" spans="1:6">
      <c r="A240" s="601" t="s">
        <v>829</v>
      </c>
      <c r="B240" s="598" t="s">
        <v>524</v>
      </c>
      <c r="C240" s="9">
        <v>26</v>
      </c>
      <c r="D240" s="9"/>
      <c r="E240" s="9">
        <f t="shared" si="5"/>
        <v>7949</v>
      </c>
      <c r="F240" s="9"/>
    </row>
    <row r="241" spans="1:6">
      <c r="A241" s="601" t="s">
        <v>829</v>
      </c>
      <c r="B241" s="598" t="s">
        <v>616</v>
      </c>
      <c r="C241" s="9"/>
      <c r="D241" s="9">
        <v>31</v>
      </c>
      <c r="E241" s="9">
        <f t="shared" si="5"/>
        <v>7918</v>
      </c>
      <c r="F241" s="598"/>
    </row>
    <row r="242" spans="1:6">
      <c r="A242" s="605" t="s">
        <v>832</v>
      </c>
      <c r="B242" s="606" t="s">
        <v>833</v>
      </c>
      <c r="C242" s="9">
        <v>119</v>
      </c>
      <c r="D242" s="9"/>
      <c r="E242" s="9">
        <f t="shared" si="5"/>
        <v>8037</v>
      </c>
      <c r="F242" s="9"/>
    </row>
    <row r="243" spans="1:6">
      <c r="A243" s="605" t="s">
        <v>832</v>
      </c>
      <c r="B243" s="606" t="s">
        <v>833</v>
      </c>
      <c r="C243" s="9">
        <v>117</v>
      </c>
      <c r="D243" s="9"/>
      <c r="E243" s="9">
        <f t="shared" si="5"/>
        <v>8154</v>
      </c>
      <c r="F243" s="606"/>
    </row>
    <row r="244" spans="1:6">
      <c r="A244" s="125" t="s">
        <v>832</v>
      </c>
      <c r="B244" s="9" t="s">
        <v>817</v>
      </c>
      <c r="C244" s="9"/>
      <c r="D244" s="9">
        <v>300</v>
      </c>
      <c r="E244" s="9">
        <f t="shared" si="5"/>
        <v>7854</v>
      </c>
      <c r="F244" s="9"/>
    </row>
    <row r="245" spans="1:6">
      <c r="A245" s="607" t="s">
        <v>834</v>
      </c>
      <c r="B245" s="608" t="s">
        <v>817</v>
      </c>
      <c r="C245" s="9"/>
      <c r="D245" s="9">
        <v>430</v>
      </c>
      <c r="E245" s="9">
        <f t="shared" si="5"/>
        <v>7424</v>
      </c>
      <c r="F245" s="608"/>
    </row>
    <row r="246" spans="1:6">
      <c r="A246" s="615" t="s">
        <v>834</v>
      </c>
      <c r="B246" s="616" t="s">
        <v>817</v>
      </c>
      <c r="C246" s="9"/>
      <c r="D246" s="9">
        <v>280</v>
      </c>
      <c r="E246" s="9">
        <f t="shared" si="5"/>
        <v>7144</v>
      </c>
      <c r="F246" s="608"/>
    </row>
    <row r="247" spans="1:6">
      <c r="A247" s="125" t="s">
        <v>837</v>
      </c>
      <c r="B247" s="9" t="s">
        <v>756</v>
      </c>
      <c r="C247" s="9">
        <v>115</v>
      </c>
      <c r="D247" s="9"/>
      <c r="E247" s="9">
        <f t="shared" si="5"/>
        <v>7259</v>
      </c>
      <c r="F247" s="9"/>
    </row>
    <row r="248" spans="1:6">
      <c r="A248" s="125" t="s">
        <v>837</v>
      </c>
      <c r="B248" s="9" t="s">
        <v>456</v>
      </c>
      <c r="C248" s="9">
        <v>9</v>
      </c>
      <c r="D248" s="9"/>
      <c r="E248" s="9">
        <f t="shared" si="5"/>
        <v>7268</v>
      </c>
      <c r="F248" s="9" t="s">
        <v>46</v>
      </c>
    </row>
    <row r="249" spans="1:6" ht="15">
      <c r="A249" s="33" t="s">
        <v>839</v>
      </c>
      <c r="B249" s="33" t="s">
        <v>679</v>
      </c>
      <c r="C249" s="9">
        <v>44</v>
      </c>
      <c r="D249" s="9"/>
      <c r="E249" s="9">
        <f t="shared" si="5"/>
        <v>7312</v>
      </c>
      <c r="F249" s="9"/>
    </row>
    <row r="250" spans="1:6">
      <c r="A250" s="615" t="s">
        <v>839</v>
      </c>
      <c r="B250" s="616" t="s">
        <v>833</v>
      </c>
      <c r="C250" s="9">
        <v>77</v>
      </c>
      <c r="D250" s="9"/>
      <c r="E250" s="9">
        <f t="shared" si="5"/>
        <v>7389</v>
      </c>
      <c r="F250" s="9"/>
    </row>
    <row r="251" spans="1:6">
      <c r="A251" s="615" t="s">
        <v>843</v>
      </c>
      <c r="B251" s="616" t="s">
        <v>817</v>
      </c>
      <c r="C251" s="9"/>
      <c r="D251" s="9">
        <v>350</v>
      </c>
      <c r="E251" s="9">
        <f t="shared" si="5"/>
        <v>7039</v>
      </c>
      <c r="F251" s="9"/>
    </row>
    <row r="252" spans="1:6">
      <c r="A252" s="615" t="s">
        <v>844</v>
      </c>
      <c r="B252" s="616" t="s">
        <v>524</v>
      </c>
      <c r="C252" s="9">
        <v>13</v>
      </c>
      <c r="D252" s="9"/>
      <c r="E252" s="9">
        <f t="shared" si="5"/>
        <v>7052</v>
      </c>
      <c r="F252" s="9"/>
    </row>
    <row r="253" spans="1:6">
      <c r="A253" s="615" t="s">
        <v>844</v>
      </c>
      <c r="B253" s="616" t="s">
        <v>845</v>
      </c>
      <c r="C253" s="9">
        <v>59</v>
      </c>
      <c r="D253" s="9"/>
      <c r="E253" s="9">
        <f t="shared" si="5"/>
        <v>7111</v>
      </c>
      <c r="F253" s="9"/>
    </row>
    <row r="254" spans="1:6">
      <c r="A254" s="615" t="s">
        <v>844</v>
      </c>
      <c r="B254" s="616" t="s">
        <v>846</v>
      </c>
      <c r="C254" s="9">
        <v>8</v>
      </c>
      <c r="D254" s="9"/>
      <c r="E254" s="9">
        <f t="shared" si="5"/>
        <v>7119</v>
      </c>
      <c r="F254" s="9"/>
    </row>
    <row r="255" spans="1:6">
      <c r="A255" s="616" t="s">
        <v>844</v>
      </c>
      <c r="B255" s="616" t="s">
        <v>817</v>
      </c>
      <c r="C255" s="9"/>
      <c r="D255" s="9">
        <v>242</v>
      </c>
      <c r="E255" s="9">
        <f t="shared" si="5"/>
        <v>6877</v>
      </c>
      <c r="F255" s="616"/>
    </row>
    <row r="256" spans="1:6">
      <c r="A256" s="21">
        <v>43136</v>
      </c>
      <c r="B256" s="9" t="s">
        <v>774</v>
      </c>
      <c r="C256" s="9">
        <v>54</v>
      </c>
      <c r="D256" s="9"/>
      <c r="E256" s="9">
        <f t="shared" si="5"/>
        <v>6931</v>
      </c>
      <c r="F256" s="9" t="s">
        <v>46</v>
      </c>
    </row>
    <row r="257" spans="1:6">
      <c r="A257" s="42">
        <v>43164</v>
      </c>
      <c r="B257" s="9" t="s">
        <v>691</v>
      </c>
      <c r="C257" s="9">
        <v>83</v>
      </c>
      <c r="D257" s="9"/>
      <c r="E257" s="9">
        <f t="shared" si="5"/>
        <v>7014</v>
      </c>
      <c r="F257" s="9"/>
    </row>
    <row r="258" spans="1:6">
      <c r="A258" s="42">
        <v>43164</v>
      </c>
      <c r="B258" s="9" t="s">
        <v>508</v>
      </c>
      <c r="C258" s="9"/>
      <c r="D258" s="9">
        <v>82</v>
      </c>
      <c r="E258" s="9">
        <f t="shared" si="5"/>
        <v>6932</v>
      </c>
      <c r="F258" s="9"/>
    </row>
    <row r="259" spans="1:6">
      <c r="A259" s="42">
        <v>43164</v>
      </c>
      <c r="B259" s="9" t="s">
        <v>567</v>
      </c>
      <c r="C259" s="9"/>
      <c r="D259" s="9">
        <v>152</v>
      </c>
      <c r="E259" s="9">
        <f t="shared" si="5"/>
        <v>6780</v>
      </c>
      <c r="F259" s="9"/>
    </row>
    <row r="260" spans="1:6">
      <c r="A260" s="42">
        <v>43195</v>
      </c>
      <c r="B260" s="9" t="s">
        <v>10</v>
      </c>
      <c r="C260" s="9">
        <v>73</v>
      </c>
      <c r="D260" s="9"/>
      <c r="E260" s="9">
        <f t="shared" si="5"/>
        <v>6853</v>
      </c>
      <c r="F260" s="9"/>
    </row>
    <row r="261" spans="1:6">
      <c r="A261" s="42">
        <v>43195</v>
      </c>
      <c r="B261" s="9" t="s">
        <v>552</v>
      </c>
      <c r="C261" s="9">
        <v>75</v>
      </c>
      <c r="D261" s="9"/>
      <c r="E261" s="9">
        <f t="shared" si="5"/>
        <v>6928</v>
      </c>
      <c r="F261" s="9"/>
    </row>
    <row r="262" spans="1:6">
      <c r="A262" s="42">
        <v>43195</v>
      </c>
      <c r="B262" s="9" t="s">
        <v>508</v>
      </c>
      <c r="C262" s="9"/>
      <c r="D262" s="9">
        <v>83</v>
      </c>
      <c r="E262" s="9">
        <f t="shared" si="5"/>
        <v>6845</v>
      </c>
      <c r="F262" s="9"/>
    </row>
    <row r="263" spans="1:6">
      <c r="A263" s="42">
        <v>43195</v>
      </c>
      <c r="B263" s="9" t="s">
        <v>508</v>
      </c>
      <c r="C263" s="9"/>
      <c r="D263" s="9">
        <v>30</v>
      </c>
      <c r="E263" s="9">
        <f t="shared" si="5"/>
        <v>6815</v>
      </c>
      <c r="F263" s="9"/>
    </row>
    <row r="264" spans="1:6">
      <c r="A264" s="21">
        <v>43195</v>
      </c>
      <c r="B264" s="9" t="s">
        <v>710</v>
      </c>
      <c r="C264" s="9">
        <v>5</v>
      </c>
      <c r="D264" s="9"/>
      <c r="E264" s="9">
        <f t="shared" si="5"/>
        <v>6820</v>
      </c>
      <c r="F264" s="623" t="s">
        <v>46</v>
      </c>
    </row>
    <row r="265" spans="1:6">
      <c r="A265" s="42">
        <v>43225</v>
      </c>
      <c r="B265" s="9" t="s">
        <v>833</v>
      </c>
      <c r="C265" s="9"/>
      <c r="D265" s="9">
        <v>80</v>
      </c>
      <c r="E265" s="9">
        <f t="shared" si="5"/>
        <v>6740</v>
      </c>
      <c r="F265" s="9" t="s">
        <v>46</v>
      </c>
    </row>
    <row r="266" spans="1:6">
      <c r="A266" s="21">
        <v>43286</v>
      </c>
      <c r="B266" s="24" t="s">
        <v>24</v>
      </c>
      <c r="C266" s="9">
        <v>91</v>
      </c>
      <c r="D266" s="9"/>
      <c r="E266" s="9">
        <f t="shared" si="5"/>
        <v>6831</v>
      </c>
      <c r="F266" s="9"/>
    </row>
    <row r="267" spans="1:6">
      <c r="A267" s="42">
        <v>43286</v>
      </c>
      <c r="B267" s="629" t="s">
        <v>833</v>
      </c>
      <c r="C267" s="9"/>
      <c r="D267" s="9">
        <v>210</v>
      </c>
      <c r="E267" s="9">
        <f t="shared" si="5"/>
        <v>6621</v>
      </c>
      <c r="F267" s="9"/>
    </row>
    <row r="268" spans="1:6">
      <c r="A268" s="42">
        <v>43317</v>
      </c>
      <c r="B268" s="629" t="s">
        <v>857</v>
      </c>
      <c r="C268" s="9">
        <v>55</v>
      </c>
      <c r="D268" s="9"/>
      <c r="E268" s="9">
        <f t="shared" si="5"/>
        <v>6676</v>
      </c>
      <c r="F268" s="9"/>
    </row>
    <row r="269" spans="1:6">
      <c r="A269" s="42">
        <v>43317</v>
      </c>
      <c r="B269" s="629" t="s">
        <v>24</v>
      </c>
      <c r="C269" s="9">
        <v>17</v>
      </c>
      <c r="D269" s="9"/>
      <c r="E269" s="9">
        <f t="shared" si="5"/>
        <v>6693</v>
      </c>
      <c r="F269" s="9"/>
    </row>
    <row r="270" spans="1:6" ht="15">
      <c r="A270" s="161">
        <v>43348</v>
      </c>
      <c r="B270" s="36" t="s">
        <v>858</v>
      </c>
      <c r="C270" s="9"/>
      <c r="D270" s="9">
        <v>82</v>
      </c>
      <c r="E270" s="9">
        <f t="shared" si="5"/>
        <v>6611</v>
      </c>
      <c r="F270" s="9"/>
    </row>
    <row r="271" spans="1:6">
      <c r="A271" s="42">
        <v>43378</v>
      </c>
      <c r="B271" s="631" t="s">
        <v>859</v>
      </c>
      <c r="C271" s="9">
        <v>52</v>
      </c>
      <c r="D271" s="9"/>
      <c r="E271" s="9">
        <f t="shared" si="5"/>
        <v>6663</v>
      </c>
      <c r="F271" s="9"/>
    </row>
    <row r="272" spans="1:6">
      <c r="A272" s="21">
        <v>43409</v>
      </c>
      <c r="B272" s="631" t="s">
        <v>794</v>
      </c>
      <c r="C272" s="9">
        <v>20</v>
      </c>
      <c r="D272" s="9"/>
      <c r="E272" s="9">
        <f t="shared" si="5"/>
        <v>6683</v>
      </c>
      <c r="F272" s="9"/>
    </row>
    <row r="273" spans="1:6">
      <c r="A273" s="42">
        <v>43409</v>
      </c>
      <c r="B273" s="629" t="s">
        <v>24</v>
      </c>
      <c r="C273" s="9">
        <v>55</v>
      </c>
      <c r="D273" s="9"/>
      <c r="E273" s="9">
        <f t="shared" si="5"/>
        <v>6738</v>
      </c>
      <c r="F273" s="9"/>
    </row>
    <row r="274" spans="1:6">
      <c r="A274" s="42">
        <v>43409</v>
      </c>
      <c r="B274" s="631" t="s">
        <v>833</v>
      </c>
      <c r="C274" s="9"/>
      <c r="D274" s="9">
        <v>82</v>
      </c>
      <c r="E274" s="9">
        <f t="shared" si="5"/>
        <v>6656</v>
      </c>
      <c r="F274" s="9"/>
    </row>
    <row r="275" spans="1:6">
      <c r="A275" s="21">
        <v>43439</v>
      </c>
      <c r="B275" s="631" t="s">
        <v>860</v>
      </c>
      <c r="C275" s="9">
        <v>29</v>
      </c>
      <c r="D275" s="9"/>
      <c r="E275" s="9">
        <f t="shared" si="5"/>
        <v>6685</v>
      </c>
      <c r="F275" s="9"/>
    </row>
    <row r="276" spans="1:6">
      <c r="A276" s="42">
        <v>43439</v>
      </c>
      <c r="B276" s="631" t="s">
        <v>24</v>
      </c>
      <c r="C276" s="9">
        <v>83</v>
      </c>
      <c r="D276" s="9"/>
      <c r="E276" s="9">
        <f t="shared" si="5"/>
        <v>6768</v>
      </c>
      <c r="F276" s="9"/>
    </row>
    <row r="277" spans="1:6">
      <c r="A277" s="633" t="s">
        <v>862</v>
      </c>
      <c r="B277" s="633" t="s">
        <v>24</v>
      </c>
      <c r="C277" s="9">
        <v>10</v>
      </c>
      <c r="D277" s="9"/>
      <c r="E277" s="9">
        <f t="shared" si="5"/>
        <v>6778</v>
      </c>
      <c r="F277" s="9"/>
    </row>
    <row r="278" spans="1:6">
      <c r="A278" s="631" t="s">
        <v>862</v>
      </c>
      <c r="B278" s="631" t="s">
        <v>710</v>
      </c>
      <c r="C278" s="9">
        <v>1</v>
      </c>
      <c r="D278" s="9"/>
      <c r="E278" s="9">
        <f t="shared" si="5"/>
        <v>6779</v>
      </c>
      <c r="F278" s="9"/>
    </row>
    <row r="279" spans="1:6">
      <c r="A279" s="125" t="s">
        <v>863</v>
      </c>
      <c r="B279" s="9" t="s">
        <v>722</v>
      </c>
      <c r="C279" s="9">
        <v>68</v>
      </c>
      <c r="D279" s="9"/>
      <c r="E279" s="9">
        <f t="shared" si="5"/>
        <v>6847</v>
      </c>
      <c r="F279" s="9"/>
    </row>
    <row r="280" spans="1:6">
      <c r="A280" s="125" t="s">
        <v>863</v>
      </c>
      <c r="B280" s="9" t="s">
        <v>24</v>
      </c>
      <c r="C280" s="9">
        <v>10</v>
      </c>
      <c r="D280" s="9"/>
      <c r="E280" s="9">
        <f t="shared" si="5"/>
        <v>6857</v>
      </c>
      <c r="F280" s="9"/>
    </row>
    <row r="281" spans="1:6">
      <c r="A281" s="125" t="s">
        <v>863</v>
      </c>
      <c r="B281" s="9" t="s">
        <v>560</v>
      </c>
      <c r="C281" s="9">
        <v>50</v>
      </c>
      <c r="D281" s="9"/>
      <c r="E281" s="9">
        <f t="shared" si="5"/>
        <v>6907</v>
      </c>
      <c r="F281" s="9"/>
    </row>
    <row r="282" spans="1:6">
      <c r="A282" s="656" t="s">
        <v>733</v>
      </c>
      <c r="B282" s="662" t="s">
        <v>870</v>
      </c>
      <c r="C282" s="9">
        <v>95</v>
      </c>
      <c r="D282" s="9"/>
      <c r="E282" s="9">
        <f t="shared" si="5"/>
        <v>7002</v>
      </c>
      <c r="F282" s="9"/>
    </row>
    <row r="283" spans="1:6">
      <c r="A283" s="659" t="s">
        <v>733</v>
      </c>
      <c r="B283" s="664" t="s">
        <v>762</v>
      </c>
      <c r="C283" s="9"/>
      <c r="D283" s="9">
        <v>60</v>
      </c>
      <c r="E283" s="9">
        <f t="shared" si="5"/>
        <v>6942</v>
      </c>
      <c r="F283" s="656" t="s">
        <v>46</v>
      </c>
    </row>
    <row r="284" spans="1:6">
      <c r="A284" s="125" t="s">
        <v>874</v>
      </c>
      <c r="B284" s="9" t="s">
        <v>508</v>
      </c>
      <c r="C284" s="9">
        <v>60</v>
      </c>
      <c r="D284" s="9"/>
      <c r="E284" s="9">
        <f t="shared" si="5"/>
        <v>7002</v>
      </c>
      <c r="F284" s="9"/>
    </row>
    <row r="285" spans="1:6">
      <c r="A285" s="125" t="s">
        <v>874</v>
      </c>
      <c r="B285" s="9" t="s">
        <v>691</v>
      </c>
      <c r="C285" s="9"/>
      <c r="D285" s="9">
        <v>2</v>
      </c>
      <c r="E285" s="9">
        <f t="shared" si="5"/>
        <v>7000</v>
      </c>
      <c r="F285" s="9"/>
    </row>
    <row r="286" spans="1:6">
      <c r="A286" s="125" t="s">
        <v>874</v>
      </c>
      <c r="B286" s="9" t="s">
        <v>876</v>
      </c>
      <c r="C286" s="9"/>
      <c r="D286" s="9">
        <v>30</v>
      </c>
      <c r="E286" s="9">
        <f t="shared" si="5"/>
        <v>6970</v>
      </c>
      <c r="F286" s="9"/>
    </row>
    <row r="287" spans="1:6">
      <c r="A287" s="665" t="s">
        <v>878</v>
      </c>
      <c r="B287" s="664" t="s">
        <v>508</v>
      </c>
      <c r="C287" s="9">
        <v>60</v>
      </c>
      <c r="D287" s="9"/>
      <c r="E287" s="9">
        <f t="shared" ref="E287:E325" si="6">E286+C287-D287</f>
        <v>7030</v>
      </c>
      <c r="F287" s="9"/>
    </row>
    <row r="288" spans="1:6">
      <c r="A288" s="664" t="s">
        <v>878</v>
      </c>
      <c r="B288" s="664" t="s">
        <v>24</v>
      </c>
      <c r="C288" s="9">
        <v>42</v>
      </c>
      <c r="D288" s="9"/>
      <c r="E288" s="9">
        <f t="shared" si="6"/>
        <v>7072</v>
      </c>
      <c r="F288" s="9"/>
    </row>
    <row r="289" spans="1:6">
      <c r="A289" s="665" t="s">
        <v>878</v>
      </c>
      <c r="B289" s="664" t="s">
        <v>24</v>
      </c>
      <c r="C289" s="9">
        <v>8</v>
      </c>
      <c r="D289" s="9"/>
      <c r="E289" s="9">
        <f t="shared" si="6"/>
        <v>7080</v>
      </c>
      <c r="F289" s="9"/>
    </row>
    <row r="290" spans="1:6">
      <c r="A290" s="665" t="s">
        <v>878</v>
      </c>
      <c r="B290" s="664" t="s">
        <v>679</v>
      </c>
      <c r="C290" s="9">
        <v>11</v>
      </c>
      <c r="D290" s="9"/>
      <c r="E290" s="9">
        <f t="shared" si="6"/>
        <v>7091</v>
      </c>
      <c r="F290" s="9"/>
    </row>
    <row r="291" spans="1:6">
      <c r="A291" s="665" t="s">
        <v>878</v>
      </c>
      <c r="B291" s="664" t="s">
        <v>876</v>
      </c>
      <c r="C291" s="9"/>
      <c r="D291" s="9">
        <v>20</v>
      </c>
      <c r="E291" s="9">
        <f t="shared" si="6"/>
        <v>7071</v>
      </c>
      <c r="F291" s="664" t="s">
        <v>46</v>
      </c>
    </row>
    <row r="292" spans="1:6">
      <c r="A292" s="670" t="s">
        <v>884</v>
      </c>
      <c r="B292" s="671" t="s">
        <v>560</v>
      </c>
      <c r="C292" s="9">
        <v>80</v>
      </c>
      <c r="D292" s="9"/>
      <c r="E292" s="9">
        <f t="shared" si="6"/>
        <v>7151</v>
      </c>
      <c r="F292" s="671" t="s">
        <v>46</v>
      </c>
    </row>
    <row r="293" spans="1:6">
      <c r="A293" s="677" t="s">
        <v>884</v>
      </c>
      <c r="B293" s="677" t="s">
        <v>897</v>
      </c>
      <c r="C293" s="9">
        <v>8</v>
      </c>
      <c r="D293" s="9"/>
      <c r="E293" s="9">
        <f t="shared" si="6"/>
        <v>7159</v>
      </c>
      <c r="F293" s="671"/>
    </row>
    <row r="294" spans="1:6">
      <c r="A294" s="125" t="s">
        <v>886</v>
      </c>
      <c r="B294" s="677" t="s">
        <v>24</v>
      </c>
      <c r="C294" s="9">
        <v>6</v>
      </c>
      <c r="D294" s="9"/>
      <c r="E294" s="9">
        <f t="shared" si="6"/>
        <v>7165</v>
      </c>
      <c r="F294" s="9"/>
    </row>
    <row r="295" spans="1:6">
      <c r="A295" s="676" t="s">
        <v>889</v>
      </c>
      <c r="B295" s="677" t="s">
        <v>774</v>
      </c>
      <c r="C295" s="9">
        <v>92</v>
      </c>
      <c r="D295" s="9"/>
      <c r="E295" s="9">
        <f t="shared" si="6"/>
        <v>7257</v>
      </c>
      <c r="F295" s="9"/>
    </row>
    <row r="296" spans="1:6">
      <c r="A296" s="676" t="s">
        <v>889</v>
      </c>
      <c r="B296" s="677" t="s">
        <v>552</v>
      </c>
      <c r="C296" s="9">
        <v>40</v>
      </c>
      <c r="D296" s="9"/>
      <c r="E296" s="9">
        <f t="shared" si="6"/>
        <v>7297</v>
      </c>
      <c r="F296" s="9"/>
    </row>
    <row r="297" spans="1:6">
      <c r="A297" s="676" t="s">
        <v>893</v>
      </c>
      <c r="B297" s="677" t="s">
        <v>895</v>
      </c>
      <c r="C297" s="9">
        <v>157</v>
      </c>
      <c r="D297" s="9"/>
      <c r="E297" s="9">
        <f t="shared" si="6"/>
        <v>7454</v>
      </c>
      <c r="F297" s="9"/>
    </row>
    <row r="298" spans="1:6">
      <c r="A298" s="676" t="s">
        <v>893</v>
      </c>
      <c r="B298" s="677" t="s">
        <v>708</v>
      </c>
      <c r="C298" s="9">
        <v>66</v>
      </c>
      <c r="D298" s="9"/>
      <c r="E298" s="9">
        <f t="shared" si="6"/>
        <v>7520</v>
      </c>
      <c r="F298" s="9"/>
    </row>
    <row r="299" spans="1:6">
      <c r="A299" s="676" t="s">
        <v>896</v>
      </c>
      <c r="B299" s="677" t="s">
        <v>427</v>
      </c>
      <c r="C299" s="9">
        <v>246</v>
      </c>
      <c r="D299" s="9"/>
      <c r="E299" s="9">
        <f t="shared" si="6"/>
        <v>7766</v>
      </c>
      <c r="F299" s="9"/>
    </row>
    <row r="300" spans="1:6">
      <c r="A300" s="676" t="s">
        <v>896</v>
      </c>
      <c r="B300" s="677" t="s">
        <v>24</v>
      </c>
      <c r="C300" s="9">
        <v>27</v>
      </c>
      <c r="D300" s="9"/>
      <c r="E300" s="9">
        <f t="shared" si="6"/>
        <v>7793</v>
      </c>
      <c r="F300" s="9"/>
    </row>
    <row r="301" spans="1:6">
      <c r="A301" s="676" t="s">
        <v>896</v>
      </c>
      <c r="B301" s="677" t="s">
        <v>508</v>
      </c>
      <c r="C301" s="9">
        <v>84</v>
      </c>
      <c r="D301" s="9"/>
      <c r="E301" s="9">
        <f t="shared" si="6"/>
        <v>7877</v>
      </c>
      <c r="F301" s="677" t="s">
        <v>46</v>
      </c>
    </row>
    <row r="302" spans="1:6">
      <c r="A302" s="683" t="s">
        <v>898</v>
      </c>
      <c r="B302" s="684" t="s">
        <v>427</v>
      </c>
      <c r="C302" s="9">
        <v>190</v>
      </c>
      <c r="D302" s="9"/>
      <c r="E302" s="9">
        <f t="shared" si="6"/>
        <v>8067</v>
      </c>
      <c r="F302" s="9"/>
    </row>
    <row r="303" spans="1:6">
      <c r="A303" s="683" t="s">
        <v>898</v>
      </c>
      <c r="B303" s="689" t="s">
        <v>646</v>
      </c>
      <c r="C303" s="9">
        <v>40</v>
      </c>
      <c r="D303" s="9"/>
      <c r="E303" s="9">
        <f t="shared" si="6"/>
        <v>8107</v>
      </c>
      <c r="F303" s="684" t="s">
        <v>46</v>
      </c>
    </row>
    <row r="304" spans="1:6">
      <c r="A304" s="9" t="s">
        <v>907</v>
      </c>
      <c r="B304" s="9" t="s">
        <v>910</v>
      </c>
      <c r="C304" s="9"/>
      <c r="D304" s="9">
        <v>48</v>
      </c>
      <c r="E304" s="9">
        <f t="shared" si="6"/>
        <v>8059</v>
      </c>
      <c r="F304" s="9"/>
    </row>
    <row r="305" spans="1:6">
      <c r="A305" s="690" t="s">
        <v>912</v>
      </c>
      <c r="B305" s="9" t="s">
        <v>909</v>
      </c>
      <c r="C305" s="9">
        <v>1</v>
      </c>
      <c r="D305" s="9"/>
      <c r="E305" s="9">
        <f t="shared" si="6"/>
        <v>8060</v>
      </c>
      <c r="F305" s="9"/>
    </row>
    <row r="306" spans="1:6">
      <c r="A306" s="692" t="s">
        <v>914</v>
      </c>
      <c r="B306" s="690" t="s">
        <v>24</v>
      </c>
      <c r="C306" s="9">
        <v>67</v>
      </c>
      <c r="D306" s="9"/>
      <c r="E306" s="9">
        <f t="shared" si="6"/>
        <v>8127</v>
      </c>
      <c r="F306" s="9"/>
    </row>
    <row r="307" spans="1:6">
      <c r="A307" s="692" t="s">
        <v>914</v>
      </c>
      <c r="B307" s="690" t="s">
        <v>548</v>
      </c>
      <c r="C307" s="9"/>
      <c r="D307" s="9">
        <v>200</v>
      </c>
      <c r="E307" s="9">
        <f t="shared" si="6"/>
        <v>7927</v>
      </c>
      <c r="F307" s="690" t="s">
        <v>46</v>
      </c>
    </row>
    <row r="308" spans="1:6">
      <c r="A308" s="697" t="s">
        <v>915</v>
      </c>
      <c r="B308" s="698" t="s">
        <v>916</v>
      </c>
      <c r="C308" s="9">
        <v>14</v>
      </c>
      <c r="D308" s="9"/>
      <c r="E308" s="9">
        <f t="shared" si="6"/>
        <v>7941</v>
      </c>
      <c r="F308" s="9"/>
    </row>
    <row r="309" spans="1:6">
      <c r="A309" s="697" t="s">
        <v>915</v>
      </c>
      <c r="B309" s="698" t="s">
        <v>427</v>
      </c>
      <c r="C309" s="9">
        <v>214</v>
      </c>
      <c r="D309" s="9"/>
      <c r="E309" s="9">
        <f t="shared" si="6"/>
        <v>8155</v>
      </c>
      <c r="F309" s="9"/>
    </row>
    <row r="310" spans="1:6">
      <c r="A310" s="697" t="s">
        <v>915</v>
      </c>
      <c r="B310" s="698" t="s">
        <v>24</v>
      </c>
      <c r="C310" s="9">
        <v>51</v>
      </c>
      <c r="D310" s="9"/>
      <c r="E310" s="9">
        <f t="shared" si="6"/>
        <v>8206</v>
      </c>
      <c r="F310" s="9"/>
    </row>
    <row r="311" spans="1:6">
      <c r="A311" s="697" t="s">
        <v>915</v>
      </c>
      <c r="B311" s="698" t="s">
        <v>548</v>
      </c>
      <c r="C311" s="9"/>
      <c r="D311" s="9">
        <v>100</v>
      </c>
      <c r="E311" s="9">
        <f t="shared" si="6"/>
        <v>8106</v>
      </c>
      <c r="F311" s="698" t="s">
        <v>46</v>
      </c>
    </row>
    <row r="312" spans="1:6">
      <c r="A312" s="702" t="s">
        <v>918</v>
      </c>
      <c r="B312" s="703" t="s">
        <v>508</v>
      </c>
      <c r="C312" s="9">
        <v>32</v>
      </c>
      <c r="D312" s="9"/>
      <c r="E312" s="9">
        <f t="shared" si="6"/>
        <v>8138</v>
      </c>
      <c r="F312" s="9"/>
    </row>
    <row r="313" spans="1:6">
      <c r="A313" s="702" t="s">
        <v>918</v>
      </c>
      <c r="B313" s="703" t="s">
        <v>775</v>
      </c>
      <c r="C313" s="9">
        <v>28</v>
      </c>
      <c r="D313" s="9"/>
      <c r="E313" s="9">
        <f t="shared" si="6"/>
        <v>8166</v>
      </c>
      <c r="F313" s="9"/>
    </row>
    <row r="314" spans="1:6">
      <c r="A314" s="702" t="s">
        <v>918</v>
      </c>
      <c r="B314" s="703" t="s">
        <v>24</v>
      </c>
      <c r="C314" s="9">
        <v>18</v>
      </c>
      <c r="D314" s="9"/>
      <c r="E314" s="9">
        <f t="shared" si="6"/>
        <v>8184</v>
      </c>
      <c r="F314" s="9"/>
    </row>
    <row r="315" spans="1:6">
      <c r="A315" s="702" t="s">
        <v>918</v>
      </c>
      <c r="B315" s="703" t="s">
        <v>406</v>
      </c>
      <c r="C315" s="9">
        <v>170</v>
      </c>
      <c r="D315" s="9"/>
      <c r="E315" s="9">
        <f t="shared" si="6"/>
        <v>8354</v>
      </c>
      <c r="F315" s="9"/>
    </row>
    <row r="316" spans="1:6">
      <c r="A316" s="704">
        <v>43106</v>
      </c>
      <c r="B316" s="703" t="s">
        <v>817</v>
      </c>
      <c r="C316" s="9">
        <v>350</v>
      </c>
      <c r="D316" s="9"/>
      <c r="E316" s="9">
        <f t="shared" si="6"/>
        <v>8704</v>
      </c>
      <c r="F316" s="9"/>
    </row>
    <row r="317" spans="1:6">
      <c r="A317" s="704">
        <v>43106</v>
      </c>
      <c r="B317" s="708" t="s">
        <v>920</v>
      </c>
      <c r="C317" s="9"/>
      <c r="D317" s="26">
        <v>48</v>
      </c>
      <c r="E317" s="9">
        <f t="shared" si="6"/>
        <v>8656</v>
      </c>
      <c r="F317" s="9"/>
    </row>
    <row r="318" spans="1:6">
      <c r="A318" s="172">
        <v>43137</v>
      </c>
      <c r="B318" s="705" t="s">
        <v>919</v>
      </c>
      <c r="C318" s="9">
        <v>89</v>
      </c>
      <c r="D318" s="9"/>
      <c r="E318" s="9">
        <f t="shared" si="6"/>
        <v>8745</v>
      </c>
      <c r="F318" s="703" t="s">
        <v>46</v>
      </c>
    </row>
    <row r="319" spans="1:6">
      <c r="A319" s="172">
        <v>43137</v>
      </c>
      <c r="B319" s="716" t="s">
        <v>543</v>
      </c>
      <c r="C319" s="9">
        <v>92</v>
      </c>
      <c r="D319" s="9"/>
      <c r="E319" s="9">
        <f t="shared" si="6"/>
        <v>8837</v>
      </c>
      <c r="F319" s="703"/>
    </row>
    <row r="320" spans="1:6">
      <c r="A320" s="172">
        <v>43137</v>
      </c>
      <c r="B320" s="716" t="s">
        <v>24</v>
      </c>
      <c r="C320" s="9">
        <v>40</v>
      </c>
      <c r="D320" s="9"/>
      <c r="E320" s="9">
        <f t="shared" si="6"/>
        <v>8877</v>
      </c>
      <c r="F320" s="703"/>
    </row>
    <row r="321" spans="1:6">
      <c r="A321" s="172">
        <v>43137</v>
      </c>
      <c r="B321" s="716" t="s">
        <v>794</v>
      </c>
      <c r="C321" s="9">
        <v>32</v>
      </c>
      <c r="D321" s="9"/>
      <c r="E321" s="9">
        <f t="shared" si="6"/>
        <v>8909</v>
      </c>
      <c r="F321" s="703"/>
    </row>
    <row r="322" spans="1:6">
      <c r="A322" s="172">
        <v>43165</v>
      </c>
      <c r="B322" s="711" t="s">
        <v>932</v>
      </c>
      <c r="C322" s="9"/>
      <c r="D322" s="9">
        <v>3</v>
      </c>
      <c r="E322" s="9">
        <f t="shared" si="6"/>
        <v>8906</v>
      </c>
      <c r="F322" s="9"/>
    </row>
    <row r="323" spans="1:6">
      <c r="A323" s="42">
        <v>43196</v>
      </c>
      <c r="B323" s="9" t="s">
        <v>774</v>
      </c>
      <c r="C323" s="9">
        <v>46</v>
      </c>
      <c r="D323" s="9"/>
      <c r="E323" s="9">
        <f t="shared" si="6"/>
        <v>8952</v>
      </c>
      <c r="F323" s="9"/>
    </row>
    <row r="324" spans="1:6">
      <c r="A324" s="42">
        <v>43226</v>
      </c>
      <c r="B324" s="715" t="s">
        <v>427</v>
      </c>
      <c r="C324" s="9">
        <v>118</v>
      </c>
      <c r="D324" s="9"/>
      <c r="E324" s="9">
        <f t="shared" si="6"/>
        <v>9070</v>
      </c>
      <c r="F324" s="9"/>
    </row>
    <row r="325" spans="1:6">
      <c r="A325" s="42">
        <v>43226</v>
      </c>
      <c r="B325" s="715" t="s">
        <v>876</v>
      </c>
      <c r="C325" s="9">
        <v>20</v>
      </c>
      <c r="D325" s="9"/>
      <c r="E325" s="9">
        <f t="shared" si="6"/>
        <v>9090</v>
      </c>
      <c r="F325" s="715" t="s">
        <v>46</v>
      </c>
    </row>
    <row r="326" spans="1:6">
      <c r="A326" s="125"/>
      <c r="B326" s="9"/>
      <c r="C326" s="9"/>
      <c r="D326" s="9"/>
      <c r="E326" s="9"/>
      <c r="F326" s="9"/>
    </row>
    <row r="327" spans="1:6">
      <c r="A327" s="125"/>
      <c r="B327" s="9"/>
      <c r="C327" s="9"/>
      <c r="D327" s="9"/>
      <c r="E327" s="9"/>
      <c r="F327" s="9"/>
    </row>
    <row r="328" spans="1:6">
      <c r="A328" s="125"/>
      <c r="B328" s="9"/>
      <c r="C328" s="9"/>
      <c r="D328" s="9"/>
      <c r="E328" s="9"/>
      <c r="F328" s="9"/>
    </row>
    <row r="329" spans="1:6">
      <c r="A329" s="125"/>
      <c r="B329" s="9"/>
      <c r="C329" s="9"/>
      <c r="D329" s="9"/>
      <c r="E329" s="9"/>
      <c r="F329" s="9"/>
    </row>
    <row r="330" spans="1:6">
      <c r="A330" s="125"/>
      <c r="B330" s="9"/>
      <c r="C330" s="9"/>
      <c r="D330" s="9"/>
      <c r="E330" s="9"/>
      <c r="F330" s="9"/>
    </row>
    <row r="331" spans="1:6">
      <c r="A331" s="125"/>
      <c r="B331" s="9"/>
      <c r="C331" s="9"/>
      <c r="D331" s="9"/>
      <c r="E331" s="9"/>
      <c r="F331" s="9"/>
    </row>
    <row r="332" spans="1:6">
      <c r="A332" s="125"/>
      <c r="B332" s="9"/>
      <c r="C332" s="9"/>
      <c r="D332" s="9"/>
      <c r="E332" s="9"/>
      <c r="F332" s="9"/>
    </row>
    <row r="333" spans="1:6">
      <c r="A333" s="125"/>
      <c r="B333" s="9"/>
      <c r="C333" s="9"/>
      <c r="D333" s="9"/>
      <c r="E333" s="9"/>
      <c r="F333" s="9"/>
    </row>
  </sheetData>
  <pageMargins left="0.69930555555555596" right="0.69930555555555596" top="0" bottom="0" header="0.3" footer="0.3"/>
  <pageSetup paperSize="136" scale="90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43"/>
  <sheetViews>
    <sheetView topLeftCell="A209" zoomScale="110" zoomScaleNormal="110" zoomScalePageLayoutView="110" workbookViewId="0">
      <selection activeCell="F231" sqref="F231"/>
    </sheetView>
  </sheetViews>
  <sheetFormatPr baseColWidth="10" defaultColWidth="9" defaultRowHeight="14" x14ac:dyDescent="0"/>
  <cols>
    <col min="1" max="1" width="12.1640625" customWidth="1"/>
    <col min="2" max="2" width="43.5" customWidth="1"/>
    <col min="3" max="3" width="7.83203125" customWidth="1"/>
    <col min="6" max="6" width="12.5" customWidth="1"/>
  </cols>
  <sheetData>
    <row r="2" spans="1:6" ht="15">
      <c r="A2" s="217" t="s">
        <v>18</v>
      </c>
      <c r="B2" s="217"/>
      <c r="C2" s="50"/>
      <c r="D2" s="50"/>
      <c r="E2" s="50"/>
    </row>
    <row r="3" spans="1:6">
      <c r="A3" s="50"/>
      <c r="B3" s="51"/>
      <c r="C3" s="50"/>
      <c r="D3" s="50"/>
      <c r="E3" s="50"/>
    </row>
    <row r="4" spans="1:6">
      <c r="A4" s="52" t="s">
        <v>1</v>
      </c>
      <c r="B4" s="52" t="s">
        <v>429</v>
      </c>
      <c r="C4" s="52" t="s">
        <v>3</v>
      </c>
      <c r="D4" s="52" t="s">
        <v>4</v>
      </c>
      <c r="E4" s="52" t="s">
        <v>5</v>
      </c>
      <c r="F4" s="25" t="s">
        <v>6</v>
      </c>
    </row>
    <row r="5" spans="1:6" s="97" customFormat="1">
      <c r="A5" s="26"/>
      <c r="B5" s="26" t="s">
        <v>410</v>
      </c>
      <c r="C5" s="26"/>
      <c r="D5" s="26"/>
      <c r="E5" s="26">
        <v>8697</v>
      </c>
      <c r="F5" s="26"/>
    </row>
    <row r="6" spans="1:6">
      <c r="A6" s="42">
        <v>43132</v>
      </c>
      <c r="B6" s="9" t="s">
        <v>411</v>
      </c>
      <c r="C6" s="9">
        <v>47</v>
      </c>
      <c r="D6" s="9"/>
      <c r="E6" s="9">
        <f>E5+C6-D6</f>
        <v>8744</v>
      </c>
      <c r="F6" s="9"/>
    </row>
    <row r="7" spans="1:6">
      <c r="A7" s="42">
        <v>43132</v>
      </c>
      <c r="B7" s="298" t="s">
        <v>16</v>
      </c>
      <c r="C7" s="9">
        <v>7</v>
      </c>
      <c r="D7" s="9"/>
      <c r="E7" s="9">
        <f t="shared" ref="E7:E10" si="0">E6+C7-D7</f>
        <v>8751</v>
      </c>
      <c r="F7" s="9"/>
    </row>
    <row r="8" spans="1:6">
      <c r="A8" s="42">
        <v>43132</v>
      </c>
      <c r="B8" s="298" t="s">
        <v>13</v>
      </c>
      <c r="C8" s="9">
        <v>2</v>
      </c>
      <c r="D8" s="9"/>
      <c r="E8" s="9">
        <f t="shared" si="0"/>
        <v>8753</v>
      </c>
      <c r="F8" s="9"/>
    </row>
    <row r="9" spans="1:6">
      <c r="A9" s="42">
        <v>43132</v>
      </c>
      <c r="B9" s="298" t="s">
        <v>13</v>
      </c>
      <c r="C9" s="9">
        <v>27</v>
      </c>
      <c r="D9" s="9"/>
      <c r="E9" s="9">
        <f t="shared" si="0"/>
        <v>8780</v>
      </c>
      <c r="F9" s="9"/>
    </row>
    <row r="10" spans="1:6">
      <c r="A10" s="42">
        <v>43160</v>
      </c>
      <c r="B10" s="299" t="s">
        <v>420</v>
      </c>
      <c r="C10" s="9">
        <v>215</v>
      </c>
      <c r="D10" s="9"/>
      <c r="E10" s="9">
        <f t="shared" si="0"/>
        <v>8995</v>
      </c>
      <c r="F10" s="9"/>
    </row>
    <row r="11" spans="1:6">
      <c r="A11" s="21">
        <v>43160</v>
      </c>
      <c r="B11" s="299" t="s">
        <v>402</v>
      </c>
      <c r="C11" s="9">
        <v>100</v>
      </c>
      <c r="D11" s="9"/>
      <c r="E11" s="9">
        <f>E10+C11-D11</f>
        <v>9095</v>
      </c>
      <c r="F11" s="299" t="s">
        <v>46</v>
      </c>
    </row>
    <row r="12" spans="1:6">
      <c r="A12" s="42">
        <v>43191</v>
      </c>
      <c r="B12" s="306" t="s">
        <v>24</v>
      </c>
      <c r="C12" s="9">
        <v>1</v>
      </c>
      <c r="D12" s="9"/>
      <c r="E12" s="9">
        <f>E11+C12-D12</f>
        <v>9096</v>
      </c>
      <c r="F12" s="9"/>
    </row>
    <row r="13" spans="1:6">
      <c r="A13" s="42">
        <v>43221</v>
      </c>
      <c r="B13" s="313" t="s">
        <v>433</v>
      </c>
      <c r="C13" s="9">
        <v>121</v>
      </c>
      <c r="D13" s="9"/>
      <c r="E13" s="9">
        <f t="shared" ref="E13:E72" si="1">E12+C13-D13</f>
        <v>9217</v>
      </c>
      <c r="F13" s="9"/>
    </row>
    <row r="14" spans="1:6">
      <c r="A14" s="21">
        <v>43221</v>
      </c>
      <c r="B14" s="313" t="s">
        <v>436</v>
      </c>
      <c r="C14" s="9">
        <v>58</v>
      </c>
      <c r="D14" s="9"/>
      <c r="E14" s="9">
        <f t="shared" si="1"/>
        <v>9275</v>
      </c>
      <c r="F14" s="9"/>
    </row>
    <row r="15" spans="1:6">
      <c r="A15" s="42">
        <v>43221</v>
      </c>
      <c r="B15" s="313" t="s">
        <v>438</v>
      </c>
      <c r="C15" s="9">
        <v>19</v>
      </c>
      <c r="D15" s="9"/>
      <c r="E15" s="9">
        <f t="shared" si="1"/>
        <v>9294</v>
      </c>
      <c r="F15" s="9"/>
    </row>
    <row r="16" spans="1:6">
      <c r="A16" s="42">
        <v>43221</v>
      </c>
      <c r="B16" s="313" t="s">
        <v>15</v>
      </c>
      <c r="C16" s="9">
        <v>91</v>
      </c>
      <c r="D16" s="9"/>
      <c r="E16" s="9">
        <f t="shared" si="1"/>
        <v>9385</v>
      </c>
      <c r="F16" s="9"/>
    </row>
    <row r="17" spans="1:6">
      <c r="A17" s="21">
        <v>42856</v>
      </c>
      <c r="B17" s="313" t="s">
        <v>442</v>
      </c>
      <c r="C17" s="9">
        <v>50</v>
      </c>
      <c r="D17" s="9"/>
      <c r="E17" s="9">
        <f>E16+C17-D17</f>
        <v>9435</v>
      </c>
      <c r="F17" s="313" t="s">
        <v>46</v>
      </c>
    </row>
    <row r="18" spans="1:6">
      <c r="A18" s="42">
        <v>43252</v>
      </c>
      <c r="B18" s="317" t="s">
        <v>445</v>
      </c>
      <c r="C18" s="9">
        <v>107</v>
      </c>
      <c r="D18" s="9"/>
      <c r="E18" s="9">
        <f t="shared" si="1"/>
        <v>9542</v>
      </c>
      <c r="F18" s="9"/>
    </row>
    <row r="19" spans="1:6">
      <c r="A19" s="21">
        <v>43252</v>
      </c>
      <c r="B19" s="317" t="s">
        <v>434</v>
      </c>
      <c r="C19" s="9">
        <v>85</v>
      </c>
      <c r="D19" s="9"/>
      <c r="E19" s="9">
        <f t="shared" si="1"/>
        <v>9627</v>
      </c>
      <c r="F19" s="9"/>
    </row>
    <row r="20" spans="1:6">
      <c r="A20" s="42">
        <v>43313</v>
      </c>
      <c r="B20" s="320" t="s">
        <v>452</v>
      </c>
      <c r="C20" s="9">
        <v>61</v>
      </c>
      <c r="D20" s="9"/>
      <c r="E20" s="9">
        <f t="shared" si="1"/>
        <v>9688</v>
      </c>
      <c r="F20" s="9"/>
    </row>
    <row r="21" spans="1:6">
      <c r="A21" s="21">
        <v>43313</v>
      </c>
      <c r="B21" s="320" t="s">
        <v>456</v>
      </c>
      <c r="C21" s="9">
        <v>1</v>
      </c>
      <c r="D21" s="9"/>
      <c r="E21" s="9">
        <f t="shared" si="1"/>
        <v>9689</v>
      </c>
      <c r="F21" s="320" t="s">
        <v>46</v>
      </c>
    </row>
    <row r="22" spans="1:6">
      <c r="A22" s="21">
        <v>43313</v>
      </c>
      <c r="B22" s="326" t="s">
        <v>462</v>
      </c>
      <c r="C22" s="9">
        <v>3</v>
      </c>
      <c r="D22" s="9"/>
      <c r="E22" s="9">
        <f t="shared" si="1"/>
        <v>9692</v>
      </c>
      <c r="F22" s="320"/>
    </row>
    <row r="23" spans="1:6">
      <c r="A23" s="21">
        <v>43344</v>
      </c>
      <c r="B23" s="9" t="s">
        <v>459</v>
      </c>
      <c r="C23" s="9">
        <v>96</v>
      </c>
      <c r="D23" s="9"/>
      <c r="E23" s="9">
        <f t="shared" si="1"/>
        <v>9788</v>
      </c>
      <c r="F23" s="9" t="s">
        <v>46</v>
      </c>
    </row>
    <row r="24" spans="1:6">
      <c r="A24" s="21">
        <v>43374</v>
      </c>
      <c r="B24" s="9" t="s">
        <v>459</v>
      </c>
      <c r="C24" s="9">
        <v>51</v>
      </c>
      <c r="D24" s="9"/>
      <c r="E24" s="9">
        <f t="shared" si="1"/>
        <v>9839</v>
      </c>
      <c r="F24" s="9"/>
    </row>
    <row r="25" spans="1:6">
      <c r="A25" s="42">
        <v>43374</v>
      </c>
      <c r="B25" s="326" t="s">
        <v>16</v>
      </c>
      <c r="C25" s="9">
        <v>10</v>
      </c>
      <c r="D25" s="9"/>
      <c r="E25" s="9">
        <f t="shared" si="1"/>
        <v>9849</v>
      </c>
      <c r="F25" s="9"/>
    </row>
    <row r="26" spans="1:6">
      <c r="A26" s="42">
        <v>43374</v>
      </c>
      <c r="B26" s="326" t="s">
        <v>468</v>
      </c>
      <c r="C26" s="9">
        <v>11</v>
      </c>
      <c r="D26" s="9"/>
      <c r="E26" s="9">
        <f t="shared" si="1"/>
        <v>9860</v>
      </c>
      <c r="F26" s="9"/>
    </row>
    <row r="27" spans="1:6">
      <c r="A27" s="21">
        <v>43374</v>
      </c>
      <c r="B27" s="326" t="s">
        <v>470</v>
      </c>
      <c r="C27" s="9">
        <v>60</v>
      </c>
      <c r="D27" s="9"/>
      <c r="E27" s="9">
        <f t="shared" si="1"/>
        <v>9920</v>
      </c>
      <c r="F27" s="326" t="s">
        <v>46</v>
      </c>
    </row>
    <row r="28" spans="1:6" ht="15">
      <c r="A28" s="49">
        <v>43405</v>
      </c>
      <c r="B28" s="35" t="s">
        <v>472</v>
      </c>
      <c r="C28" s="9">
        <v>4</v>
      </c>
      <c r="D28" s="9"/>
      <c r="E28" s="9">
        <f t="shared" si="1"/>
        <v>9924</v>
      </c>
      <c r="F28" s="9"/>
    </row>
    <row r="29" spans="1:6">
      <c r="A29" s="21">
        <v>43435</v>
      </c>
      <c r="B29" s="330" t="s">
        <v>445</v>
      </c>
      <c r="C29" s="9">
        <v>91</v>
      </c>
      <c r="D29" s="9"/>
      <c r="E29" s="9">
        <f t="shared" si="1"/>
        <v>10015</v>
      </c>
      <c r="F29" s="330" t="s">
        <v>46</v>
      </c>
    </row>
    <row r="30" spans="1:6">
      <c r="A30" s="42" t="s">
        <v>488</v>
      </c>
      <c r="B30" s="334" t="s">
        <v>434</v>
      </c>
      <c r="C30" s="9">
        <v>21</v>
      </c>
      <c r="D30" s="9"/>
      <c r="E30" s="9">
        <f t="shared" si="1"/>
        <v>10036</v>
      </c>
      <c r="F30" s="330"/>
    </row>
    <row r="31" spans="1:6" ht="15">
      <c r="A31" s="68" t="s">
        <v>488</v>
      </c>
      <c r="B31" s="68" t="s">
        <v>16</v>
      </c>
      <c r="C31" s="9">
        <v>20</v>
      </c>
      <c r="D31" s="9"/>
      <c r="E31" s="9">
        <f t="shared" si="1"/>
        <v>10056</v>
      </c>
      <c r="F31" s="9"/>
    </row>
    <row r="32" spans="1:6">
      <c r="A32" s="334" t="s">
        <v>488</v>
      </c>
      <c r="B32" s="334" t="s">
        <v>489</v>
      </c>
      <c r="C32" s="9">
        <v>11</v>
      </c>
      <c r="D32" s="9"/>
      <c r="E32" s="9">
        <f t="shared" si="1"/>
        <v>10067</v>
      </c>
      <c r="F32" s="9"/>
    </row>
    <row r="33" spans="1:6">
      <c r="A33" s="340" t="s">
        <v>500</v>
      </c>
      <c r="B33" s="341" t="s">
        <v>501</v>
      </c>
      <c r="C33" s="9">
        <v>57</v>
      </c>
      <c r="D33" s="9"/>
      <c r="E33" s="9">
        <f t="shared" si="1"/>
        <v>10124</v>
      </c>
      <c r="F33" s="9"/>
    </row>
    <row r="34" spans="1:6">
      <c r="A34" s="342" t="s">
        <v>500</v>
      </c>
      <c r="B34" s="341" t="s">
        <v>15</v>
      </c>
      <c r="C34" s="9">
        <v>27</v>
      </c>
      <c r="D34" s="9"/>
      <c r="E34" s="9">
        <f t="shared" si="1"/>
        <v>10151</v>
      </c>
      <c r="F34" s="9"/>
    </row>
    <row r="35" spans="1:6">
      <c r="A35" s="342" t="s">
        <v>500</v>
      </c>
      <c r="B35" s="341" t="s">
        <v>16</v>
      </c>
      <c r="C35" s="9">
        <v>14</v>
      </c>
      <c r="D35" s="9"/>
      <c r="E35" s="9">
        <f t="shared" si="1"/>
        <v>10165</v>
      </c>
      <c r="F35" s="9"/>
    </row>
    <row r="36" spans="1:6">
      <c r="A36" s="341" t="s">
        <v>500</v>
      </c>
      <c r="B36" s="341" t="s">
        <v>17</v>
      </c>
      <c r="C36" s="9"/>
      <c r="D36" s="9">
        <v>350</v>
      </c>
      <c r="E36" s="9">
        <f t="shared" si="1"/>
        <v>9815</v>
      </c>
      <c r="F36" s="9"/>
    </row>
    <row r="37" spans="1:6">
      <c r="A37" s="341" t="s">
        <v>500</v>
      </c>
      <c r="B37" s="341" t="s">
        <v>17</v>
      </c>
      <c r="C37" s="9"/>
      <c r="D37" s="9">
        <v>450</v>
      </c>
      <c r="E37" s="9">
        <f t="shared" si="1"/>
        <v>9365</v>
      </c>
      <c r="F37" s="9"/>
    </row>
    <row r="38" spans="1:6">
      <c r="A38" s="341" t="s">
        <v>509</v>
      </c>
      <c r="B38" s="341" t="s">
        <v>468</v>
      </c>
      <c r="C38" s="9">
        <v>2</v>
      </c>
      <c r="D38" s="9"/>
      <c r="E38" s="9">
        <f t="shared" si="1"/>
        <v>9367</v>
      </c>
      <c r="F38" s="9"/>
    </row>
    <row r="39" spans="1:6">
      <c r="A39" s="341" t="s">
        <v>509</v>
      </c>
      <c r="B39" s="341" t="s">
        <v>17</v>
      </c>
      <c r="C39" s="9"/>
      <c r="D39" s="9">
        <v>400</v>
      </c>
      <c r="E39" s="9">
        <f t="shared" si="1"/>
        <v>8967</v>
      </c>
      <c r="F39" s="341" t="s">
        <v>46</v>
      </c>
    </row>
    <row r="40" spans="1:6">
      <c r="A40" s="9" t="s">
        <v>516</v>
      </c>
      <c r="B40" s="9" t="s">
        <v>517</v>
      </c>
      <c r="C40" s="9">
        <v>53</v>
      </c>
      <c r="D40" s="9"/>
      <c r="E40" s="9">
        <f t="shared" si="1"/>
        <v>9020</v>
      </c>
      <c r="F40" s="9"/>
    </row>
    <row r="41" spans="1:6">
      <c r="A41" s="348" t="s">
        <v>516</v>
      </c>
      <c r="B41" s="348" t="s">
        <v>518</v>
      </c>
      <c r="C41" s="9">
        <v>35</v>
      </c>
      <c r="D41" s="9"/>
      <c r="E41" s="9">
        <f t="shared" si="1"/>
        <v>9055</v>
      </c>
      <c r="F41" s="9"/>
    </row>
    <row r="42" spans="1:6">
      <c r="A42" s="349" t="s">
        <v>516</v>
      </c>
      <c r="B42" s="350" t="s">
        <v>519</v>
      </c>
      <c r="C42" s="9">
        <v>69</v>
      </c>
      <c r="D42" s="9"/>
      <c r="E42" s="9">
        <f t="shared" si="1"/>
        <v>9124</v>
      </c>
      <c r="F42" s="9"/>
    </row>
    <row r="43" spans="1:6">
      <c r="A43" s="347" t="s">
        <v>516</v>
      </c>
      <c r="B43" s="348" t="s">
        <v>520</v>
      </c>
      <c r="C43" s="9">
        <v>100</v>
      </c>
      <c r="D43" s="9"/>
      <c r="E43" s="9">
        <f t="shared" si="1"/>
        <v>9224</v>
      </c>
      <c r="F43" s="9"/>
    </row>
    <row r="44" spans="1:6">
      <c r="A44" s="347" t="s">
        <v>516</v>
      </c>
      <c r="B44" s="348" t="s">
        <v>433</v>
      </c>
      <c r="C44" s="9">
        <v>11</v>
      </c>
      <c r="D44" s="9"/>
      <c r="E44" s="9">
        <f t="shared" si="1"/>
        <v>9235</v>
      </c>
      <c r="F44" s="9"/>
    </row>
    <row r="45" spans="1:6">
      <c r="A45" s="348" t="s">
        <v>516</v>
      </c>
      <c r="B45" s="348" t="s">
        <v>524</v>
      </c>
      <c r="C45" s="9"/>
      <c r="D45" s="9">
        <v>6</v>
      </c>
      <c r="E45" s="9">
        <f t="shared" si="1"/>
        <v>9229</v>
      </c>
      <c r="F45" s="9"/>
    </row>
    <row r="46" spans="1:6">
      <c r="A46" s="347" t="s">
        <v>516</v>
      </c>
      <c r="B46" s="348" t="s">
        <v>525</v>
      </c>
      <c r="C46" s="9">
        <v>2</v>
      </c>
      <c r="D46" s="9"/>
      <c r="E46" s="9">
        <f t="shared" si="1"/>
        <v>9231</v>
      </c>
      <c r="F46" s="9"/>
    </row>
    <row r="47" spans="1:6">
      <c r="A47" s="349" t="s">
        <v>526</v>
      </c>
      <c r="B47" s="350" t="s">
        <v>24</v>
      </c>
      <c r="C47" s="9">
        <v>1</v>
      </c>
      <c r="D47" s="9"/>
      <c r="E47" s="9">
        <f t="shared" si="1"/>
        <v>9232</v>
      </c>
      <c r="F47" s="9"/>
    </row>
    <row r="48" spans="1:6">
      <c r="A48" s="347" t="s">
        <v>531</v>
      </c>
      <c r="B48" s="348" t="s">
        <v>445</v>
      </c>
      <c r="C48" s="9">
        <v>21</v>
      </c>
      <c r="D48" s="9"/>
      <c r="E48" s="9">
        <f t="shared" si="1"/>
        <v>9253</v>
      </c>
      <c r="F48" s="9"/>
    </row>
    <row r="49" spans="1:6">
      <c r="A49" s="347" t="s">
        <v>531</v>
      </c>
      <c r="B49" s="348" t="s">
        <v>16</v>
      </c>
      <c r="C49" s="9">
        <v>33</v>
      </c>
      <c r="D49" s="9"/>
      <c r="E49" s="9">
        <f t="shared" si="1"/>
        <v>9286</v>
      </c>
      <c r="F49" s="348" t="s">
        <v>46</v>
      </c>
    </row>
    <row r="50" spans="1:6">
      <c r="A50" s="125" t="s">
        <v>541</v>
      </c>
      <c r="B50" s="9" t="s">
        <v>24</v>
      </c>
      <c r="C50" s="9">
        <v>1</v>
      </c>
      <c r="D50" s="9"/>
      <c r="E50" s="9">
        <f t="shared" si="1"/>
        <v>9287</v>
      </c>
      <c r="F50" s="9"/>
    </row>
    <row r="51" spans="1:6">
      <c r="A51" s="125" t="s">
        <v>541</v>
      </c>
      <c r="B51" s="9" t="s">
        <v>520</v>
      </c>
      <c r="C51" s="9">
        <v>30</v>
      </c>
      <c r="D51" s="9"/>
      <c r="E51" s="9">
        <f t="shared" si="1"/>
        <v>9317</v>
      </c>
      <c r="F51" s="9"/>
    </row>
    <row r="52" spans="1:6">
      <c r="A52" s="125" t="s">
        <v>544</v>
      </c>
      <c r="B52" s="9" t="s">
        <v>17</v>
      </c>
      <c r="C52" s="9"/>
      <c r="D52" s="9">
        <v>100</v>
      </c>
      <c r="E52" s="9">
        <f t="shared" si="1"/>
        <v>9217</v>
      </c>
      <c r="F52" s="353" t="s">
        <v>46</v>
      </c>
    </row>
    <row r="53" spans="1:6">
      <c r="A53" s="357" t="s">
        <v>546</v>
      </c>
      <c r="B53" s="357" t="s">
        <v>548</v>
      </c>
      <c r="C53" s="9"/>
      <c r="D53" s="9">
        <v>430</v>
      </c>
      <c r="E53" s="9">
        <f t="shared" si="1"/>
        <v>8787</v>
      </c>
      <c r="F53" s="9"/>
    </row>
    <row r="54" spans="1:6">
      <c r="A54" s="357" t="s">
        <v>546</v>
      </c>
      <c r="B54" s="357" t="s">
        <v>17</v>
      </c>
      <c r="C54" s="9"/>
      <c r="D54" s="9">
        <v>300</v>
      </c>
      <c r="E54" s="9">
        <f t="shared" si="1"/>
        <v>8487</v>
      </c>
      <c r="F54" s="9"/>
    </row>
    <row r="55" spans="1:6">
      <c r="A55" s="357" t="s">
        <v>551</v>
      </c>
      <c r="B55" s="357" t="s">
        <v>402</v>
      </c>
      <c r="C55" s="9">
        <v>27</v>
      </c>
      <c r="D55" s="9"/>
      <c r="E55" s="9">
        <f t="shared" si="1"/>
        <v>8514</v>
      </c>
      <c r="F55" s="9"/>
    </row>
    <row r="56" spans="1:6">
      <c r="A56" s="357" t="s">
        <v>551</v>
      </c>
      <c r="B56" s="357" t="s">
        <v>17</v>
      </c>
      <c r="C56" s="9"/>
      <c r="D56" s="9">
        <v>270</v>
      </c>
      <c r="E56" s="9">
        <f t="shared" si="1"/>
        <v>8244</v>
      </c>
      <c r="F56" s="357" t="s">
        <v>46</v>
      </c>
    </row>
    <row r="57" spans="1:6">
      <c r="A57" s="9" t="s">
        <v>557</v>
      </c>
      <c r="B57" s="9" t="s">
        <v>510</v>
      </c>
      <c r="C57" s="9">
        <v>29</v>
      </c>
      <c r="D57" s="9"/>
      <c r="E57" s="9">
        <f t="shared" si="1"/>
        <v>8273</v>
      </c>
      <c r="F57" s="9"/>
    </row>
    <row r="58" spans="1:6">
      <c r="A58" s="365" t="s">
        <v>557</v>
      </c>
      <c r="B58" s="365" t="s">
        <v>433</v>
      </c>
      <c r="C58" s="9">
        <v>32</v>
      </c>
      <c r="D58" s="9"/>
      <c r="E58" s="9">
        <f t="shared" si="1"/>
        <v>8305</v>
      </c>
      <c r="F58" s="9"/>
    </row>
    <row r="59" spans="1:6">
      <c r="A59" s="365" t="s">
        <v>557</v>
      </c>
      <c r="B59" s="365" t="s">
        <v>561</v>
      </c>
      <c r="C59" s="9"/>
      <c r="D59" s="9">
        <v>140</v>
      </c>
      <c r="E59" s="9">
        <f t="shared" si="1"/>
        <v>8165</v>
      </c>
      <c r="F59" s="9"/>
    </row>
    <row r="60" spans="1:6">
      <c r="A60" s="365" t="s">
        <v>557</v>
      </c>
      <c r="B60" s="365" t="s">
        <v>562</v>
      </c>
      <c r="C60" s="9"/>
      <c r="D60" s="9">
        <v>168</v>
      </c>
      <c r="E60" s="9">
        <f t="shared" si="1"/>
        <v>7997</v>
      </c>
      <c r="F60" s="365" t="s">
        <v>46</v>
      </c>
    </row>
    <row r="61" spans="1:6">
      <c r="A61" s="369" t="s">
        <v>564</v>
      </c>
      <c r="B61" s="369" t="s">
        <v>565</v>
      </c>
      <c r="C61" s="9">
        <v>82</v>
      </c>
      <c r="D61" s="9"/>
      <c r="E61" s="9">
        <f t="shared" si="1"/>
        <v>8079</v>
      </c>
      <c r="F61" s="9"/>
    </row>
    <row r="62" spans="1:6">
      <c r="A62" s="369" t="s">
        <v>564</v>
      </c>
      <c r="B62" s="369" t="s">
        <v>459</v>
      </c>
      <c r="C62" s="9"/>
      <c r="D62" s="9">
        <v>29</v>
      </c>
      <c r="E62" s="9">
        <f t="shared" si="1"/>
        <v>8050</v>
      </c>
      <c r="F62" s="9"/>
    </row>
    <row r="63" spans="1:6">
      <c r="A63" s="369" t="s">
        <v>564</v>
      </c>
      <c r="B63" s="369" t="s">
        <v>567</v>
      </c>
      <c r="C63" s="9"/>
      <c r="D63" s="9">
        <v>300</v>
      </c>
      <c r="E63" s="9">
        <f t="shared" si="1"/>
        <v>7750</v>
      </c>
      <c r="F63" s="9"/>
    </row>
    <row r="64" spans="1:6">
      <c r="A64" s="368" t="s">
        <v>564</v>
      </c>
      <c r="B64" s="369" t="s">
        <v>568</v>
      </c>
      <c r="C64" s="9"/>
      <c r="D64" s="9">
        <v>100</v>
      </c>
      <c r="E64" s="9">
        <f t="shared" si="1"/>
        <v>7650</v>
      </c>
      <c r="F64" s="9"/>
    </row>
    <row r="65" spans="1:6">
      <c r="A65" s="369" t="s">
        <v>569</v>
      </c>
      <c r="B65" s="369" t="s">
        <v>456</v>
      </c>
      <c r="C65" s="9">
        <v>70</v>
      </c>
      <c r="D65" s="9"/>
      <c r="E65" s="9">
        <f t="shared" si="1"/>
        <v>7720</v>
      </c>
      <c r="F65" s="9"/>
    </row>
    <row r="66" spans="1:6">
      <c r="A66" s="369" t="s">
        <v>569</v>
      </c>
      <c r="B66" s="369" t="s">
        <v>17</v>
      </c>
      <c r="C66" s="9"/>
      <c r="D66" s="9">
        <v>300</v>
      </c>
      <c r="E66" s="9">
        <f t="shared" si="1"/>
        <v>7420</v>
      </c>
      <c r="F66" s="369" t="s">
        <v>46</v>
      </c>
    </row>
    <row r="67" spans="1:6">
      <c r="A67" s="375" t="s">
        <v>581</v>
      </c>
      <c r="B67" s="369" t="s">
        <v>17</v>
      </c>
      <c r="C67" s="9"/>
      <c r="D67" s="9">
        <v>150</v>
      </c>
      <c r="E67" s="9">
        <f t="shared" si="1"/>
        <v>7270</v>
      </c>
      <c r="F67" s="9"/>
    </row>
    <row r="68" spans="1:6">
      <c r="A68" s="375" t="s">
        <v>586</v>
      </c>
      <c r="B68" s="375" t="s">
        <v>445</v>
      </c>
      <c r="C68" s="9">
        <v>53</v>
      </c>
      <c r="D68" s="9"/>
      <c r="E68" s="9">
        <f t="shared" si="1"/>
        <v>7323</v>
      </c>
      <c r="F68" s="9"/>
    </row>
    <row r="69" spans="1:6">
      <c r="A69" s="375" t="s">
        <v>586</v>
      </c>
      <c r="B69" s="375" t="s">
        <v>17</v>
      </c>
      <c r="C69" s="9"/>
      <c r="D69" s="9">
        <v>250</v>
      </c>
      <c r="E69" s="9">
        <f t="shared" si="1"/>
        <v>7073</v>
      </c>
      <c r="F69" s="375" t="s">
        <v>46</v>
      </c>
    </row>
    <row r="70" spans="1:6">
      <c r="A70" s="380" t="s">
        <v>594</v>
      </c>
      <c r="B70" s="381" t="s">
        <v>596</v>
      </c>
      <c r="C70" s="9">
        <v>110</v>
      </c>
      <c r="D70" s="9"/>
      <c r="E70" s="9">
        <f t="shared" si="1"/>
        <v>7183</v>
      </c>
      <c r="F70" s="9"/>
    </row>
    <row r="71" spans="1:6">
      <c r="A71" s="380" t="s">
        <v>594</v>
      </c>
      <c r="B71" s="381" t="s">
        <v>16</v>
      </c>
      <c r="C71" s="9">
        <v>4</v>
      </c>
      <c r="D71" s="9"/>
      <c r="E71" s="9">
        <f t="shared" si="1"/>
        <v>7187</v>
      </c>
      <c r="F71" s="9"/>
    </row>
    <row r="72" spans="1:6">
      <c r="A72" s="380" t="s">
        <v>594</v>
      </c>
      <c r="B72" s="381" t="s">
        <v>17</v>
      </c>
      <c r="C72" s="9"/>
      <c r="D72" s="9">
        <v>62</v>
      </c>
      <c r="E72" s="9">
        <f t="shared" si="1"/>
        <v>7125</v>
      </c>
      <c r="F72" s="381" t="s">
        <v>46</v>
      </c>
    </row>
    <row r="73" spans="1:6">
      <c r="A73" s="9" t="s">
        <v>598</v>
      </c>
      <c r="B73" s="9" t="s">
        <v>587</v>
      </c>
      <c r="C73" s="9">
        <v>33</v>
      </c>
      <c r="D73" s="9"/>
      <c r="E73" s="9">
        <f>E72+C73-D73</f>
        <v>7158</v>
      </c>
      <c r="F73" s="386" t="s">
        <v>46</v>
      </c>
    </row>
    <row r="74" spans="1:6">
      <c r="A74" s="57">
        <v>43102</v>
      </c>
      <c r="B74" s="389" t="s">
        <v>596</v>
      </c>
      <c r="C74" s="9">
        <v>25</v>
      </c>
      <c r="D74" s="9"/>
      <c r="E74" s="9">
        <f>E73+C74-D74</f>
        <v>7183</v>
      </c>
      <c r="F74" s="390" t="s">
        <v>46</v>
      </c>
    </row>
    <row r="75" spans="1:6">
      <c r="A75" s="21">
        <v>43133</v>
      </c>
      <c r="B75" s="9" t="s">
        <v>13</v>
      </c>
      <c r="C75" s="9">
        <v>5</v>
      </c>
      <c r="D75" s="9"/>
      <c r="E75" s="9">
        <f>E74+C75-D75</f>
        <v>7188</v>
      </c>
      <c r="F75" s="395" t="s">
        <v>46</v>
      </c>
    </row>
    <row r="76" spans="1:6">
      <c r="A76" s="21">
        <v>43161</v>
      </c>
      <c r="B76" s="398" t="s">
        <v>587</v>
      </c>
      <c r="C76" s="9">
        <v>13</v>
      </c>
      <c r="D76" s="9"/>
      <c r="E76" s="9">
        <f t="shared" ref="E76:E120" si="2">E75+C76-D76</f>
        <v>7201</v>
      </c>
      <c r="F76" s="9"/>
    </row>
    <row r="77" spans="1:6">
      <c r="A77" s="42">
        <v>43161</v>
      </c>
      <c r="B77" s="398" t="s">
        <v>514</v>
      </c>
      <c r="C77" s="9">
        <v>30</v>
      </c>
      <c r="D77" s="9"/>
      <c r="E77" s="9">
        <f t="shared" si="2"/>
        <v>7231</v>
      </c>
      <c r="F77" s="398" t="s">
        <v>46</v>
      </c>
    </row>
    <row r="78" spans="1:6">
      <c r="A78" s="21">
        <v>43222</v>
      </c>
      <c r="B78" s="9" t="s">
        <v>24</v>
      </c>
      <c r="C78" s="9">
        <v>1</v>
      </c>
      <c r="D78" s="9"/>
      <c r="E78" s="9">
        <f t="shared" si="2"/>
        <v>7232</v>
      </c>
      <c r="F78" s="9"/>
    </row>
    <row r="79" spans="1:6">
      <c r="A79" s="42">
        <v>43222</v>
      </c>
      <c r="B79" s="401" t="s">
        <v>587</v>
      </c>
      <c r="C79" s="9">
        <v>38</v>
      </c>
      <c r="D79" s="9"/>
      <c r="E79" s="9">
        <f t="shared" si="2"/>
        <v>7270</v>
      </c>
      <c r="F79" s="9"/>
    </row>
    <row r="80" spans="1:6">
      <c r="A80" s="42">
        <v>43222</v>
      </c>
      <c r="B80" s="401" t="s">
        <v>604</v>
      </c>
      <c r="C80" s="9">
        <v>4</v>
      </c>
      <c r="D80" s="9"/>
      <c r="E80" s="9">
        <f t="shared" si="2"/>
        <v>7274</v>
      </c>
      <c r="F80" s="9"/>
    </row>
    <row r="81" spans="1:6">
      <c r="A81" s="21">
        <v>43222</v>
      </c>
      <c r="B81" s="401" t="s">
        <v>520</v>
      </c>
      <c r="C81" s="24">
        <v>4</v>
      </c>
      <c r="D81" s="9"/>
      <c r="E81" s="9">
        <f t="shared" si="2"/>
        <v>7278</v>
      </c>
      <c r="F81" s="9"/>
    </row>
    <row r="82" spans="1:6">
      <c r="A82" s="21">
        <v>43222</v>
      </c>
      <c r="B82" s="401" t="s">
        <v>605</v>
      </c>
      <c r="C82" s="24">
        <v>15</v>
      </c>
      <c r="D82" s="9"/>
      <c r="E82" s="9">
        <f t="shared" si="2"/>
        <v>7293</v>
      </c>
      <c r="F82" s="9"/>
    </row>
    <row r="83" spans="1:6">
      <c r="A83" s="21">
        <v>43222</v>
      </c>
      <c r="B83" s="401" t="s">
        <v>17</v>
      </c>
      <c r="C83" s="9"/>
      <c r="D83" s="9">
        <v>250</v>
      </c>
      <c r="E83" s="9">
        <f t="shared" si="2"/>
        <v>7043</v>
      </c>
      <c r="F83" s="401" t="s">
        <v>46</v>
      </c>
    </row>
    <row r="84" spans="1:6">
      <c r="A84" s="42">
        <v>43253</v>
      </c>
      <c r="B84" s="9" t="s">
        <v>608</v>
      </c>
      <c r="C84" s="9">
        <v>73</v>
      </c>
      <c r="D84" s="9"/>
      <c r="E84" s="9">
        <f t="shared" si="2"/>
        <v>7116</v>
      </c>
      <c r="F84" s="9"/>
    </row>
    <row r="85" spans="1:6">
      <c r="A85" s="21">
        <v>43253</v>
      </c>
      <c r="B85" s="9" t="s">
        <v>609</v>
      </c>
      <c r="C85" s="9">
        <v>111</v>
      </c>
      <c r="D85" s="9"/>
      <c r="E85" s="9">
        <f t="shared" si="2"/>
        <v>7227</v>
      </c>
      <c r="F85" s="9"/>
    </row>
    <row r="86" spans="1:6">
      <c r="A86" s="21">
        <v>43253</v>
      </c>
      <c r="B86" s="9" t="s">
        <v>610</v>
      </c>
      <c r="C86" s="604">
        <v>500</v>
      </c>
      <c r="D86" s="9"/>
      <c r="E86" s="9">
        <f t="shared" si="2"/>
        <v>7727</v>
      </c>
      <c r="F86" s="407" t="s">
        <v>46</v>
      </c>
    </row>
    <row r="87" spans="1:6">
      <c r="A87" s="42">
        <v>43283</v>
      </c>
      <c r="B87" s="411" t="s">
        <v>613</v>
      </c>
      <c r="C87" s="9">
        <v>18</v>
      </c>
      <c r="D87" s="9"/>
      <c r="E87" s="9">
        <f t="shared" si="2"/>
        <v>7745</v>
      </c>
      <c r="F87" s="9"/>
    </row>
    <row r="88" spans="1:6">
      <c r="A88" s="21">
        <v>43283</v>
      </c>
      <c r="B88" s="411" t="s">
        <v>614</v>
      </c>
      <c r="C88" s="9">
        <v>22</v>
      </c>
      <c r="D88" s="9"/>
      <c r="E88" s="9">
        <f t="shared" si="2"/>
        <v>7767</v>
      </c>
      <c r="F88" s="9"/>
    </row>
    <row r="89" spans="1:6">
      <c r="A89" s="42">
        <v>43283</v>
      </c>
      <c r="B89" s="411" t="s">
        <v>560</v>
      </c>
      <c r="C89" s="9"/>
      <c r="D89" s="9">
        <v>100</v>
      </c>
      <c r="E89" s="9">
        <f t="shared" si="2"/>
        <v>7667</v>
      </c>
      <c r="F89" s="9"/>
    </row>
    <row r="90" spans="1:6">
      <c r="A90" s="21">
        <v>43283</v>
      </c>
      <c r="B90" s="411" t="s">
        <v>17</v>
      </c>
      <c r="C90" s="9"/>
      <c r="D90" s="9">
        <v>250</v>
      </c>
      <c r="E90" s="9">
        <f t="shared" si="2"/>
        <v>7417</v>
      </c>
      <c r="F90" s="9"/>
    </row>
    <row r="91" spans="1:6">
      <c r="A91" s="42">
        <v>43314</v>
      </c>
      <c r="B91" s="411" t="s">
        <v>510</v>
      </c>
      <c r="C91" s="9">
        <v>54</v>
      </c>
      <c r="D91" s="9"/>
      <c r="E91" s="9">
        <f t="shared" si="2"/>
        <v>7471</v>
      </c>
      <c r="F91" s="9"/>
    </row>
    <row r="92" spans="1:6">
      <c r="A92" s="21">
        <v>43314</v>
      </c>
      <c r="B92" s="411" t="s">
        <v>621</v>
      </c>
      <c r="C92" s="9">
        <v>14</v>
      </c>
      <c r="D92" s="9"/>
      <c r="E92" s="9">
        <f t="shared" si="2"/>
        <v>7485</v>
      </c>
      <c r="F92" s="9"/>
    </row>
    <row r="93" spans="1:6">
      <c r="A93" s="21">
        <v>43314</v>
      </c>
      <c r="B93" s="411" t="s">
        <v>622</v>
      </c>
      <c r="C93" s="9"/>
      <c r="D93" s="9">
        <v>400</v>
      </c>
      <c r="E93" s="9">
        <f t="shared" si="2"/>
        <v>7085</v>
      </c>
      <c r="F93" s="411"/>
    </row>
    <row r="94" spans="1:6">
      <c r="A94" s="21">
        <v>43345</v>
      </c>
      <c r="B94" s="415" t="s">
        <v>623</v>
      </c>
      <c r="C94" s="9">
        <v>7</v>
      </c>
      <c r="D94" s="9"/>
      <c r="E94" s="9">
        <f t="shared" si="2"/>
        <v>7092</v>
      </c>
      <c r="F94" s="9"/>
    </row>
    <row r="95" spans="1:6">
      <c r="A95" s="21">
        <v>43345</v>
      </c>
      <c r="B95" s="415" t="s">
        <v>624</v>
      </c>
      <c r="C95" s="9">
        <v>118</v>
      </c>
      <c r="D95" s="9"/>
      <c r="E95" s="9">
        <f t="shared" si="2"/>
        <v>7210</v>
      </c>
      <c r="F95" s="9"/>
    </row>
    <row r="96" spans="1:6">
      <c r="A96" s="42">
        <v>43345</v>
      </c>
      <c r="B96" s="415" t="s">
        <v>560</v>
      </c>
      <c r="C96" s="9"/>
      <c r="D96" s="9">
        <v>100</v>
      </c>
      <c r="E96" s="9">
        <f t="shared" si="2"/>
        <v>7110</v>
      </c>
      <c r="F96" s="415"/>
    </row>
    <row r="97" spans="1:6">
      <c r="A97" s="21">
        <v>43375</v>
      </c>
      <c r="B97" s="422" t="s">
        <v>610</v>
      </c>
      <c r="C97" s="604">
        <v>500</v>
      </c>
      <c r="D97" s="9"/>
      <c r="E97" s="9">
        <f t="shared" si="2"/>
        <v>7610</v>
      </c>
      <c r="F97" s="9"/>
    </row>
    <row r="98" spans="1:6">
      <c r="A98" s="21">
        <v>43375</v>
      </c>
      <c r="B98" s="422" t="s">
        <v>627</v>
      </c>
      <c r="C98" s="9"/>
      <c r="D98" s="9">
        <v>40</v>
      </c>
      <c r="E98" s="9">
        <f t="shared" si="2"/>
        <v>7570</v>
      </c>
      <c r="F98" s="9"/>
    </row>
    <row r="99" spans="1:6">
      <c r="A99" s="21">
        <v>43436</v>
      </c>
      <c r="B99" s="422" t="s">
        <v>610</v>
      </c>
      <c r="C99" s="604">
        <v>219</v>
      </c>
      <c r="D99" s="9"/>
      <c r="E99" s="9">
        <f t="shared" si="2"/>
        <v>7789</v>
      </c>
      <c r="F99" s="422"/>
    </row>
    <row r="100" spans="1:6">
      <c r="A100" s="429" t="s">
        <v>630</v>
      </c>
      <c r="B100" s="429" t="s">
        <v>631</v>
      </c>
      <c r="C100" s="9">
        <v>60</v>
      </c>
      <c r="D100" s="9"/>
      <c r="E100" s="9">
        <f t="shared" si="2"/>
        <v>7849</v>
      </c>
      <c r="F100" s="9"/>
    </row>
    <row r="101" spans="1:6">
      <c r="A101" s="429" t="s">
        <v>630</v>
      </c>
      <c r="B101" s="429" t="s">
        <v>501</v>
      </c>
      <c r="C101" s="9">
        <v>73</v>
      </c>
      <c r="D101" s="9"/>
      <c r="E101" s="9">
        <f t="shared" si="2"/>
        <v>7922</v>
      </c>
      <c r="F101" s="9"/>
    </row>
    <row r="102" spans="1:6">
      <c r="A102" s="429" t="s">
        <v>630</v>
      </c>
      <c r="B102" s="429" t="s">
        <v>510</v>
      </c>
      <c r="C102" s="9">
        <v>97</v>
      </c>
      <c r="D102" s="9"/>
      <c r="E102" s="9">
        <f t="shared" si="2"/>
        <v>8019</v>
      </c>
      <c r="F102" s="9"/>
    </row>
    <row r="103" spans="1:6">
      <c r="A103" s="430" t="s">
        <v>630</v>
      </c>
      <c r="B103" s="429" t="s">
        <v>587</v>
      </c>
      <c r="C103" s="9">
        <v>24</v>
      </c>
      <c r="D103" s="9"/>
      <c r="E103" s="9">
        <f t="shared" si="2"/>
        <v>8043</v>
      </c>
      <c r="F103" s="9"/>
    </row>
    <row r="104" spans="1:6">
      <c r="A104" s="430" t="s">
        <v>636</v>
      </c>
      <c r="B104" s="429" t="s">
        <v>24</v>
      </c>
      <c r="C104" s="9">
        <v>7</v>
      </c>
      <c r="D104" s="9"/>
      <c r="E104" s="9">
        <f t="shared" si="2"/>
        <v>8050</v>
      </c>
      <c r="F104" s="9"/>
    </row>
    <row r="105" spans="1:6">
      <c r="A105" s="430" t="s">
        <v>636</v>
      </c>
      <c r="B105" s="429" t="s">
        <v>16</v>
      </c>
      <c r="C105" s="9">
        <v>4</v>
      </c>
      <c r="D105" s="9"/>
      <c r="E105" s="9">
        <f t="shared" si="2"/>
        <v>8054</v>
      </c>
      <c r="F105" s="9"/>
    </row>
    <row r="106" spans="1:6">
      <c r="A106" s="429" t="s">
        <v>636</v>
      </c>
      <c r="B106" s="429" t="s">
        <v>637</v>
      </c>
      <c r="C106" s="9">
        <v>37</v>
      </c>
      <c r="D106" s="9"/>
      <c r="E106" s="9">
        <f t="shared" si="2"/>
        <v>8091</v>
      </c>
      <c r="F106" s="429"/>
    </row>
    <row r="107" spans="1:6">
      <c r="A107" s="434" t="s">
        <v>638</v>
      </c>
      <c r="B107" s="434" t="s">
        <v>17</v>
      </c>
      <c r="C107" s="9"/>
      <c r="D107" s="9">
        <v>120</v>
      </c>
      <c r="E107" s="9">
        <f t="shared" si="2"/>
        <v>7971</v>
      </c>
      <c r="F107" s="9"/>
    </row>
    <row r="108" spans="1:6">
      <c r="A108" s="434" t="s">
        <v>638</v>
      </c>
      <c r="B108" s="434" t="s">
        <v>641</v>
      </c>
      <c r="C108" s="9"/>
      <c r="D108" s="9">
        <v>423</v>
      </c>
      <c r="E108" s="9">
        <f t="shared" si="2"/>
        <v>7548</v>
      </c>
      <c r="F108" s="434"/>
    </row>
    <row r="109" spans="1:6" ht="15">
      <c r="A109" s="33" t="s">
        <v>649</v>
      </c>
      <c r="B109" s="33" t="s">
        <v>17</v>
      </c>
      <c r="C109" s="9"/>
      <c r="D109" s="9">
        <v>150</v>
      </c>
      <c r="E109" s="9">
        <f t="shared" si="2"/>
        <v>7398</v>
      </c>
      <c r="F109" s="437"/>
    </row>
    <row r="110" spans="1:6">
      <c r="A110" s="443" t="s">
        <v>651</v>
      </c>
      <c r="B110" s="444" t="s">
        <v>654</v>
      </c>
      <c r="C110" s="9">
        <v>100</v>
      </c>
      <c r="D110" s="9"/>
      <c r="E110" s="9">
        <f t="shared" si="2"/>
        <v>7498</v>
      </c>
      <c r="F110" s="9"/>
    </row>
    <row r="111" spans="1:6">
      <c r="A111" s="445" t="s">
        <v>651</v>
      </c>
      <c r="B111" s="445" t="s">
        <v>587</v>
      </c>
      <c r="C111" s="9">
        <v>35</v>
      </c>
      <c r="D111" s="9"/>
      <c r="E111" s="9">
        <f t="shared" si="2"/>
        <v>7533</v>
      </c>
      <c r="F111" s="9"/>
    </row>
    <row r="112" spans="1:6">
      <c r="A112" s="443" t="s">
        <v>651</v>
      </c>
      <c r="B112" s="444" t="s">
        <v>589</v>
      </c>
      <c r="C112" s="9"/>
      <c r="D112" s="9">
        <v>370</v>
      </c>
      <c r="E112" s="9">
        <f t="shared" si="2"/>
        <v>7163</v>
      </c>
      <c r="F112" s="444"/>
    </row>
    <row r="113" spans="1:6">
      <c r="A113" s="448" t="s">
        <v>661</v>
      </c>
      <c r="B113" s="449" t="s">
        <v>662</v>
      </c>
      <c r="C113" s="9">
        <v>85</v>
      </c>
      <c r="D113" s="9"/>
      <c r="E113" s="9">
        <f t="shared" si="2"/>
        <v>7248</v>
      </c>
      <c r="F113" s="9"/>
    </row>
    <row r="114" spans="1:6">
      <c r="A114" s="448" t="s">
        <v>661</v>
      </c>
      <c r="B114" s="449" t="s">
        <v>663</v>
      </c>
      <c r="C114" s="9">
        <v>87</v>
      </c>
      <c r="D114" s="9"/>
      <c r="E114" s="9">
        <f t="shared" si="2"/>
        <v>7335</v>
      </c>
      <c r="F114" s="449"/>
    </row>
    <row r="115" spans="1:6">
      <c r="A115" s="454" t="s">
        <v>665</v>
      </c>
      <c r="B115" s="452" t="s">
        <v>621</v>
      </c>
      <c r="C115" s="9">
        <v>32</v>
      </c>
      <c r="D115" s="9"/>
      <c r="E115" s="9">
        <f t="shared" si="2"/>
        <v>7367</v>
      </c>
      <c r="F115" s="452"/>
    </row>
    <row r="116" spans="1:6">
      <c r="A116" s="459" t="s">
        <v>669</v>
      </c>
      <c r="B116" s="457" t="s">
        <v>456</v>
      </c>
      <c r="C116" s="9">
        <v>19</v>
      </c>
      <c r="D116" s="9"/>
      <c r="E116" s="9">
        <f t="shared" si="2"/>
        <v>7386</v>
      </c>
      <c r="F116" s="9"/>
    </row>
    <row r="117" spans="1:6">
      <c r="A117" s="459" t="s">
        <v>669</v>
      </c>
      <c r="B117" s="457" t="s">
        <v>459</v>
      </c>
      <c r="C117" s="9"/>
      <c r="D117" s="9">
        <v>150</v>
      </c>
      <c r="E117" s="9">
        <f t="shared" si="2"/>
        <v>7236</v>
      </c>
      <c r="F117" s="9"/>
    </row>
    <row r="118" spans="1:6">
      <c r="A118" s="459" t="s">
        <v>669</v>
      </c>
      <c r="B118" s="457" t="s">
        <v>548</v>
      </c>
      <c r="C118" s="9"/>
      <c r="D118" s="9">
        <v>84</v>
      </c>
      <c r="E118" s="9">
        <f t="shared" si="2"/>
        <v>7152</v>
      </c>
      <c r="F118" s="457"/>
    </row>
    <row r="119" spans="1:6">
      <c r="A119" s="463" t="s">
        <v>677</v>
      </c>
      <c r="B119" s="462" t="s">
        <v>589</v>
      </c>
      <c r="C119" s="9"/>
      <c r="D119" s="9">
        <v>310</v>
      </c>
      <c r="E119" s="9">
        <f t="shared" si="2"/>
        <v>6842</v>
      </c>
      <c r="F119" s="462"/>
    </row>
    <row r="120" spans="1:6">
      <c r="A120" s="469" t="s">
        <v>687</v>
      </c>
      <c r="B120" s="467" t="s">
        <v>688</v>
      </c>
      <c r="C120" s="9">
        <v>91</v>
      </c>
      <c r="D120" s="9"/>
      <c r="E120" s="9">
        <f t="shared" si="2"/>
        <v>6933</v>
      </c>
      <c r="F120" s="9"/>
    </row>
    <row r="121" spans="1:6">
      <c r="A121" s="469" t="s">
        <v>687</v>
      </c>
      <c r="B121" s="467" t="s">
        <v>689</v>
      </c>
      <c r="C121" s="9"/>
      <c r="D121" s="9">
        <v>326</v>
      </c>
      <c r="E121" s="9">
        <f>E120+C121-D121</f>
        <v>6607</v>
      </c>
      <c r="F121" s="467"/>
    </row>
    <row r="122" spans="1:6">
      <c r="A122" s="472" t="s">
        <v>694</v>
      </c>
      <c r="B122" s="472" t="s">
        <v>13</v>
      </c>
      <c r="C122" s="9">
        <v>14</v>
      </c>
      <c r="D122" s="9"/>
      <c r="E122" s="9">
        <f t="shared" ref="E122:E185" si="3">E121+C122-D122</f>
        <v>6621</v>
      </c>
      <c r="F122" s="9"/>
    </row>
    <row r="123" spans="1:6">
      <c r="A123" s="473" t="s">
        <v>694</v>
      </c>
      <c r="B123" s="472" t="s">
        <v>699</v>
      </c>
      <c r="C123" s="9">
        <v>18</v>
      </c>
      <c r="D123" s="9"/>
      <c r="E123" s="9">
        <f t="shared" si="3"/>
        <v>6639</v>
      </c>
      <c r="F123" s="472"/>
    </row>
    <row r="124" spans="1:6">
      <c r="A124" s="319">
        <v>43103</v>
      </c>
      <c r="B124" s="7" t="s">
        <v>15</v>
      </c>
      <c r="C124" s="9">
        <v>100</v>
      </c>
      <c r="D124" s="9"/>
      <c r="E124" s="9">
        <f t="shared" si="3"/>
        <v>6739</v>
      </c>
      <c r="F124" s="9"/>
    </row>
    <row r="125" spans="1:6">
      <c r="A125" s="21">
        <v>43103</v>
      </c>
      <c r="B125" s="9" t="s">
        <v>459</v>
      </c>
      <c r="C125" s="9"/>
      <c r="D125" s="9">
        <v>100</v>
      </c>
      <c r="E125" s="9">
        <f t="shared" si="3"/>
        <v>6639</v>
      </c>
      <c r="F125" s="9"/>
    </row>
    <row r="126" spans="1:6">
      <c r="A126" s="483">
        <v>43134</v>
      </c>
      <c r="B126" s="482" t="s">
        <v>672</v>
      </c>
      <c r="C126" s="9"/>
      <c r="D126" s="9">
        <v>200</v>
      </c>
      <c r="E126" s="9">
        <f t="shared" si="3"/>
        <v>6439</v>
      </c>
      <c r="F126" s="482"/>
    </row>
    <row r="127" spans="1:6">
      <c r="A127" s="489">
        <v>43162</v>
      </c>
      <c r="B127" s="487" t="s">
        <v>469</v>
      </c>
      <c r="C127" s="9"/>
      <c r="D127" s="9">
        <v>22</v>
      </c>
      <c r="E127" s="9">
        <f t="shared" si="3"/>
        <v>6417</v>
      </c>
      <c r="F127" s="487"/>
    </row>
    <row r="128" spans="1:6">
      <c r="A128" s="483">
        <v>43223</v>
      </c>
      <c r="B128" s="492" t="s">
        <v>510</v>
      </c>
      <c r="C128" s="9">
        <v>41</v>
      </c>
      <c r="D128" s="9"/>
      <c r="E128" s="9">
        <f t="shared" si="3"/>
        <v>6458</v>
      </c>
      <c r="F128" s="9"/>
    </row>
    <row r="129" spans="1:6">
      <c r="A129" s="21">
        <v>43223</v>
      </c>
      <c r="B129" s="492" t="s">
        <v>710</v>
      </c>
      <c r="C129" s="9">
        <v>16</v>
      </c>
      <c r="D129" s="9"/>
      <c r="E129" s="9">
        <f t="shared" si="3"/>
        <v>6474</v>
      </c>
      <c r="F129" s="9"/>
    </row>
    <row r="130" spans="1:6">
      <c r="A130" s="21">
        <v>43254</v>
      </c>
      <c r="B130" s="492" t="s">
        <v>708</v>
      </c>
      <c r="C130" s="9">
        <v>67</v>
      </c>
      <c r="D130" s="9"/>
      <c r="E130" s="9">
        <f t="shared" si="3"/>
        <v>6541</v>
      </c>
      <c r="F130" s="9"/>
    </row>
    <row r="131" spans="1:6">
      <c r="A131" s="483">
        <v>43254</v>
      </c>
      <c r="B131" s="492" t="s">
        <v>715</v>
      </c>
      <c r="C131" s="9">
        <v>60</v>
      </c>
      <c r="D131" s="9"/>
      <c r="E131" s="9">
        <f t="shared" si="3"/>
        <v>6601</v>
      </c>
      <c r="F131" s="492"/>
    </row>
    <row r="132" spans="1:6">
      <c r="A132" s="42">
        <v>43284</v>
      </c>
      <c r="B132" s="9" t="s">
        <v>708</v>
      </c>
      <c r="C132" s="9">
        <v>23</v>
      </c>
      <c r="D132" s="9"/>
      <c r="E132" s="9">
        <f t="shared" si="3"/>
        <v>6624</v>
      </c>
      <c r="F132" s="9"/>
    </row>
    <row r="133" spans="1:6">
      <c r="A133" s="42">
        <v>43315</v>
      </c>
      <c r="B133" s="497" t="s">
        <v>522</v>
      </c>
      <c r="C133" s="9">
        <v>49</v>
      </c>
      <c r="D133" s="9"/>
      <c r="E133" s="9">
        <f t="shared" si="3"/>
        <v>6673</v>
      </c>
      <c r="F133" s="9"/>
    </row>
    <row r="134" spans="1:6">
      <c r="A134" s="42">
        <v>43315</v>
      </c>
      <c r="B134" s="497" t="s">
        <v>462</v>
      </c>
      <c r="C134" s="9">
        <v>3</v>
      </c>
      <c r="D134" s="9"/>
      <c r="E134" s="9">
        <f t="shared" si="3"/>
        <v>6676</v>
      </c>
      <c r="F134" s="9"/>
    </row>
    <row r="135" spans="1:6">
      <c r="A135" s="42">
        <v>43376</v>
      </c>
      <c r="B135" s="498" t="s">
        <v>708</v>
      </c>
      <c r="C135" s="9">
        <v>50</v>
      </c>
      <c r="D135" s="9"/>
      <c r="E135" s="9">
        <f t="shared" si="3"/>
        <v>6726</v>
      </c>
      <c r="F135" s="9"/>
    </row>
    <row r="136" spans="1:6">
      <c r="A136" s="483">
        <v>43376</v>
      </c>
      <c r="B136" s="498" t="s">
        <v>724</v>
      </c>
      <c r="C136" s="9"/>
      <c r="D136" s="9">
        <v>1</v>
      </c>
      <c r="E136" s="9">
        <f t="shared" si="3"/>
        <v>6725</v>
      </c>
      <c r="F136" s="498"/>
    </row>
    <row r="137" spans="1:6">
      <c r="A137" s="42">
        <v>43437</v>
      </c>
      <c r="B137" s="502" t="s">
        <v>8</v>
      </c>
      <c r="C137" s="9">
        <v>57</v>
      </c>
      <c r="D137" s="9"/>
      <c r="E137" s="9">
        <f t="shared" si="3"/>
        <v>6782</v>
      </c>
      <c r="F137" s="502"/>
    </row>
    <row r="138" spans="1:6">
      <c r="A138" s="507" t="s">
        <v>731</v>
      </c>
      <c r="B138" s="508" t="s">
        <v>510</v>
      </c>
      <c r="C138" s="9">
        <v>39</v>
      </c>
      <c r="D138" s="9"/>
      <c r="E138" s="9">
        <f t="shared" si="3"/>
        <v>6821</v>
      </c>
      <c r="F138" s="9"/>
    </row>
    <row r="139" spans="1:6">
      <c r="A139" s="507" t="s">
        <v>731</v>
      </c>
      <c r="B139" s="508" t="s">
        <v>459</v>
      </c>
      <c r="C139" s="9"/>
      <c r="D139" s="9">
        <v>70</v>
      </c>
      <c r="E139" s="9">
        <f t="shared" si="3"/>
        <v>6751</v>
      </c>
      <c r="F139" s="9"/>
    </row>
    <row r="140" spans="1:6">
      <c r="A140" s="125" t="s">
        <v>732</v>
      </c>
      <c r="B140" s="9" t="s">
        <v>720</v>
      </c>
      <c r="C140" s="9">
        <v>2</v>
      </c>
      <c r="D140" s="9"/>
      <c r="E140" s="9">
        <f t="shared" si="3"/>
        <v>6753</v>
      </c>
      <c r="F140" s="508"/>
    </row>
    <row r="141" spans="1:6">
      <c r="A141" s="512" t="s">
        <v>735</v>
      </c>
      <c r="B141" s="513" t="s">
        <v>24</v>
      </c>
      <c r="C141" s="9">
        <v>7</v>
      </c>
      <c r="D141" s="9"/>
      <c r="E141" s="9">
        <f t="shared" si="3"/>
        <v>6760</v>
      </c>
      <c r="F141" s="9"/>
    </row>
    <row r="142" spans="1:6">
      <c r="A142" s="125" t="s">
        <v>735</v>
      </c>
      <c r="B142" s="9" t="s">
        <v>708</v>
      </c>
      <c r="C142" s="9">
        <v>16</v>
      </c>
      <c r="D142" s="9"/>
      <c r="E142" s="9">
        <f t="shared" si="3"/>
        <v>6776</v>
      </c>
      <c r="F142" s="9"/>
    </row>
    <row r="143" spans="1:6">
      <c r="A143" s="513" t="s">
        <v>738</v>
      </c>
      <c r="B143" s="513" t="s">
        <v>739</v>
      </c>
      <c r="C143" s="9">
        <v>30</v>
      </c>
      <c r="D143" s="9"/>
      <c r="E143" s="9">
        <f t="shared" si="3"/>
        <v>6806</v>
      </c>
      <c r="F143" s="9"/>
    </row>
    <row r="144" spans="1:6">
      <c r="A144" s="512" t="s">
        <v>738</v>
      </c>
      <c r="B144" s="513" t="s">
        <v>740</v>
      </c>
      <c r="C144" s="9">
        <v>37</v>
      </c>
      <c r="D144" s="9"/>
      <c r="E144" s="9">
        <f t="shared" si="3"/>
        <v>6843</v>
      </c>
      <c r="F144" s="513"/>
    </row>
    <row r="145" spans="1:6">
      <c r="A145" s="522" t="s">
        <v>743</v>
      </c>
      <c r="B145" s="521" t="s">
        <v>8</v>
      </c>
      <c r="C145" s="9">
        <v>31</v>
      </c>
      <c r="D145" s="9"/>
      <c r="E145" s="9">
        <f t="shared" si="3"/>
        <v>6874</v>
      </c>
      <c r="F145" s="521"/>
    </row>
    <row r="146" spans="1:6">
      <c r="A146" s="527" t="s">
        <v>744</v>
      </c>
      <c r="B146" s="528" t="s">
        <v>672</v>
      </c>
      <c r="C146" s="9">
        <v>86</v>
      </c>
      <c r="D146" s="9"/>
      <c r="E146" s="9">
        <f t="shared" si="3"/>
        <v>6960</v>
      </c>
      <c r="F146" s="528" t="s">
        <v>46</v>
      </c>
    </row>
    <row r="147" spans="1:6">
      <c r="A147" s="527" t="s">
        <v>744</v>
      </c>
      <c r="B147" s="528" t="s">
        <v>16</v>
      </c>
      <c r="C147" s="9">
        <v>10</v>
      </c>
      <c r="D147" s="9"/>
      <c r="E147" s="9">
        <f t="shared" si="3"/>
        <v>6970</v>
      </c>
      <c r="F147" s="9"/>
    </row>
    <row r="148" spans="1:6">
      <c r="A148" s="527" t="s">
        <v>747</v>
      </c>
      <c r="B148" s="528" t="s">
        <v>720</v>
      </c>
      <c r="C148" s="9">
        <v>16</v>
      </c>
      <c r="D148" s="9"/>
      <c r="E148" s="9">
        <f t="shared" si="3"/>
        <v>6986</v>
      </c>
      <c r="F148" s="9"/>
    </row>
    <row r="149" spans="1:6">
      <c r="A149" s="527" t="s">
        <v>747</v>
      </c>
      <c r="B149" s="528" t="s">
        <v>604</v>
      </c>
      <c r="C149" s="9">
        <v>117</v>
      </c>
      <c r="D149" s="9"/>
      <c r="E149" s="9">
        <f t="shared" si="3"/>
        <v>7103</v>
      </c>
      <c r="F149" s="528" t="s">
        <v>46</v>
      </c>
    </row>
    <row r="150" spans="1:6">
      <c r="A150" s="534" t="s">
        <v>750</v>
      </c>
      <c r="B150" s="533" t="s">
        <v>751</v>
      </c>
      <c r="C150" s="9">
        <v>40</v>
      </c>
      <c r="D150" s="9"/>
      <c r="E150" s="9">
        <f t="shared" si="3"/>
        <v>7143</v>
      </c>
      <c r="F150" s="533" t="s">
        <v>46</v>
      </c>
    </row>
    <row r="151" spans="1:6">
      <c r="A151" s="539" t="s">
        <v>755</v>
      </c>
      <c r="B151" s="538" t="s">
        <v>459</v>
      </c>
      <c r="C151" s="9">
        <v>263</v>
      </c>
      <c r="D151" s="9"/>
      <c r="E151" s="9">
        <f t="shared" si="3"/>
        <v>7406</v>
      </c>
      <c r="F151" s="9"/>
    </row>
    <row r="152" spans="1:6">
      <c r="A152" s="539" t="s">
        <v>755</v>
      </c>
      <c r="B152" s="538" t="s">
        <v>691</v>
      </c>
      <c r="C152" s="9">
        <v>85</v>
      </c>
      <c r="D152" s="9"/>
      <c r="E152" s="9">
        <f t="shared" si="3"/>
        <v>7491</v>
      </c>
      <c r="F152" s="9"/>
    </row>
    <row r="153" spans="1:6">
      <c r="A153" s="539" t="s">
        <v>755</v>
      </c>
      <c r="B153" s="538" t="s">
        <v>641</v>
      </c>
      <c r="C153" s="9">
        <v>158</v>
      </c>
      <c r="D153" s="9"/>
      <c r="E153" s="9">
        <f t="shared" si="3"/>
        <v>7649</v>
      </c>
      <c r="F153" s="9"/>
    </row>
    <row r="154" spans="1:6">
      <c r="A154" s="539" t="s">
        <v>755</v>
      </c>
      <c r="B154" s="538" t="s">
        <v>641</v>
      </c>
      <c r="C154" s="9">
        <v>195</v>
      </c>
      <c r="D154" s="9"/>
      <c r="E154" s="9">
        <f t="shared" si="3"/>
        <v>7844</v>
      </c>
      <c r="F154" s="9"/>
    </row>
    <row r="155" spans="1:6">
      <c r="A155" s="538" t="s">
        <v>757</v>
      </c>
      <c r="B155" s="538" t="s">
        <v>459</v>
      </c>
      <c r="C155" s="9">
        <v>125</v>
      </c>
      <c r="D155" s="9"/>
      <c r="E155" s="9">
        <f t="shared" si="3"/>
        <v>7969</v>
      </c>
      <c r="F155" s="9"/>
    </row>
    <row r="156" spans="1:6">
      <c r="A156" s="538" t="s">
        <v>757</v>
      </c>
      <c r="B156" s="538" t="s">
        <v>691</v>
      </c>
      <c r="C156" s="9">
        <v>115</v>
      </c>
      <c r="D156" s="9"/>
      <c r="E156" s="9">
        <f t="shared" si="3"/>
        <v>8084</v>
      </c>
      <c r="F156" s="538"/>
    </row>
    <row r="157" spans="1:6">
      <c r="A157" s="542" t="s">
        <v>761</v>
      </c>
      <c r="B157" s="542" t="s">
        <v>641</v>
      </c>
      <c r="C157" s="9">
        <v>93</v>
      </c>
      <c r="D157" s="9"/>
      <c r="E157" s="9">
        <f t="shared" si="3"/>
        <v>8177</v>
      </c>
      <c r="F157" s="9"/>
    </row>
    <row r="158" spans="1:6">
      <c r="A158" s="543" t="s">
        <v>761</v>
      </c>
      <c r="B158" s="542" t="s">
        <v>604</v>
      </c>
      <c r="C158" s="9">
        <v>8</v>
      </c>
      <c r="D158" s="9"/>
      <c r="E158" s="9">
        <f t="shared" si="3"/>
        <v>8185</v>
      </c>
      <c r="F158" s="9"/>
    </row>
    <row r="159" spans="1:6">
      <c r="A159" s="544" t="s">
        <v>761</v>
      </c>
      <c r="B159" s="544" t="s">
        <v>459</v>
      </c>
      <c r="C159" s="9">
        <v>10</v>
      </c>
      <c r="D159" s="9"/>
      <c r="E159" s="9">
        <f t="shared" si="3"/>
        <v>8195</v>
      </c>
      <c r="F159" s="9"/>
    </row>
    <row r="160" spans="1:6">
      <c r="A160" s="547" t="s">
        <v>764</v>
      </c>
      <c r="B160" s="542" t="s">
        <v>739</v>
      </c>
      <c r="C160" s="9">
        <v>7</v>
      </c>
      <c r="D160" s="9"/>
      <c r="E160" s="9">
        <f t="shared" si="3"/>
        <v>8202</v>
      </c>
      <c r="F160" s="9"/>
    </row>
    <row r="161" spans="1:6">
      <c r="A161" s="543" t="s">
        <v>764</v>
      </c>
      <c r="B161" s="542" t="s">
        <v>691</v>
      </c>
      <c r="C161" s="9">
        <v>13</v>
      </c>
      <c r="D161" s="9"/>
      <c r="E161" s="9">
        <f t="shared" si="3"/>
        <v>8215</v>
      </c>
      <c r="F161" s="542"/>
    </row>
    <row r="162" spans="1:6">
      <c r="A162" s="9" t="s">
        <v>767</v>
      </c>
      <c r="B162" s="9" t="s">
        <v>672</v>
      </c>
      <c r="C162" s="9">
        <v>15</v>
      </c>
      <c r="D162" s="9"/>
      <c r="E162" s="9">
        <f t="shared" si="3"/>
        <v>8230</v>
      </c>
      <c r="F162" s="9"/>
    </row>
    <row r="163" spans="1:6">
      <c r="A163" s="42">
        <v>43135</v>
      </c>
      <c r="B163" s="548" t="s">
        <v>8</v>
      </c>
      <c r="C163" s="9">
        <v>32</v>
      </c>
      <c r="D163" s="9"/>
      <c r="E163" s="9">
        <f t="shared" si="3"/>
        <v>8262</v>
      </c>
      <c r="F163" s="9"/>
    </row>
    <row r="164" spans="1:6">
      <c r="A164" s="21">
        <v>43135</v>
      </c>
      <c r="B164" s="548" t="s">
        <v>772</v>
      </c>
      <c r="C164" s="9"/>
      <c r="D164" s="9">
        <v>48</v>
      </c>
      <c r="E164" s="9">
        <f t="shared" si="3"/>
        <v>8214</v>
      </c>
      <c r="F164" s="548"/>
    </row>
    <row r="165" spans="1:6">
      <c r="A165" s="21">
        <v>43194</v>
      </c>
      <c r="B165" s="9" t="s">
        <v>774</v>
      </c>
      <c r="C165" s="9">
        <v>2</v>
      </c>
      <c r="D165" s="9"/>
      <c r="E165" s="9">
        <f t="shared" si="3"/>
        <v>8216</v>
      </c>
      <c r="F165" s="9"/>
    </row>
    <row r="166" spans="1:6">
      <c r="A166" s="42">
        <v>43255</v>
      </c>
      <c r="B166" s="554" t="s">
        <v>15</v>
      </c>
      <c r="C166" s="9">
        <v>52</v>
      </c>
      <c r="D166" s="9"/>
      <c r="E166" s="9">
        <f t="shared" si="3"/>
        <v>8268</v>
      </c>
      <c r="F166" s="9"/>
    </row>
    <row r="167" spans="1:6">
      <c r="A167" s="42">
        <v>43255</v>
      </c>
      <c r="B167" s="554" t="s">
        <v>775</v>
      </c>
      <c r="C167" s="9"/>
      <c r="D167" s="9">
        <v>50</v>
      </c>
      <c r="E167" s="9">
        <f t="shared" si="3"/>
        <v>8218</v>
      </c>
      <c r="F167" s="9"/>
    </row>
    <row r="168" spans="1:6">
      <c r="A168" s="21">
        <v>43255</v>
      </c>
      <c r="B168" s="554" t="s">
        <v>777</v>
      </c>
      <c r="C168" s="9"/>
      <c r="D168" s="9">
        <v>100</v>
      </c>
      <c r="E168" s="9">
        <f t="shared" si="3"/>
        <v>8118</v>
      </c>
      <c r="F168" s="9"/>
    </row>
    <row r="169" spans="1:6">
      <c r="A169" s="21">
        <v>43255</v>
      </c>
      <c r="B169" s="554" t="s">
        <v>777</v>
      </c>
      <c r="C169" s="9"/>
      <c r="D169" s="9">
        <v>44</v>
      </c>
      <c r="E169" s="9">
        <f t="shared" si="3"/>
        <v>8074</v>
      </c>
      <c r="F169" s="9"/>
    </row>
    <row r="170" spans="1:6">
      <c r="A170" s="21">
        <v>43347</v>
      </c>
      <c r="B170" s="554" t="s">
        <v>775</v>
      </c>
      <c r="C170" s="9"/>
      <c r="D170" s="9">
        <v>70</v>
      </c>
      <c r="E170" s="9">
        <f t="shared" si="3"/>
        <v>8004</v>
      </c>
      <c r="F170" s="554"/>
    </row>
    <row r="171" spans="1:6">
      <c r="A171" s="42">
        <v>43377</v>
      </c>
      <c r="B171" s="558" t="s">
        <v>784</v>
      </c>
      <c r="C171" s="9">
        <v>1</v>
      </c>
      <c r="D171" s="9"/>
      <c r="E171" s="9">
        <f t="shared" si="3"/>
        <v>8005</v>
      </c>
      <c r="F171" s="9"/>
    </row>
    <row r="172" spans="1:6">
      <c r="A172" s="21">
        <v>43408</v>
      </c>
      <c r="B172" s="9" t="s">
        <v>775</v>
      </c>
      <c r="C172" s="9"/>
      <c r="D172" s="9">
        <v>80</v>
      </c>
      <c r="E172" s="9">
        <f t="shared" si="3"/>
        <v>7925</v>
      </c>
      <c r="F172" s="9"/>
    </row>
    <row r="173" spans="1:6">
      <c r="A173" s="21">
        <v>43408</v>
      </c>
      <c r="B173" s="559" t="s">
        <v>710</v>
      </c>
      <c r="C173" s="9">
        <v>29</v>
      </c>
      <c r="D173" s="9"/>
      <c r="E173" s="9">
        <f t="shared" si="3"/>
        <v>7954</v>
      </c>
      <c r="F173" s="559"/>
    </row>
    <row r="174" spans="1:6">
      <c r="A174" s="172">
        <v>43438</v>
      </c>
      <c r="B174" s="565" t="s">
        <v>15</v>
      </c>
      <c r="C174" s="9">
        <v>34</v>
      </c>
      <c r="D174" s="9"/>
      <c r="E174" s="9">
        <f t="shared" si="3"/>
        <v>7988</v>
      </c>
      <c r="F174" s="9" t="s">
        <v>46</v>
      </c>
    </row>
    <row r="175" spans="1:6">
      <c r="A175" s="9" t="s">
        <v>789</v>
      </c>
      <c r="B175" s="9" t="s">
        <v>627</v>
      </c>
      <c r="C175" s="9"/>
      <c r="D175" s="9">
        <v>100</v>
      </c>
      <c r="E175" s="9">
        <f t="shared" si="3"/>
        <v>7888</v>
      </c>
      <c r="F175" s="9"/>
    </row>
    <row r="176" spans="1:6">
      <c r="A176" s="9" t="s">
        <v>789</v>
      </c>
      <c r="B176" s="9" t="s">
        <v>791</v>
      </c>
      <c r="C176" s="9"/>
      <c r="D176" s="9">
        <v>30</v>
      </c>
      <c r="E176" s="9">
        <f t="shared" si="3"/>
        <v>7858</v>
      </c>
      <c r="F176" s="9"/>
    </row>
    <row r="177" spans="1:6">
      <c r="A177" s="570" t="s">
        <v>793</v>
      </c>
      <c r="B177" s="570" t="s">
        <v>627</v>
      </c>
      <c r="C177" s="9"/>
      <c r="D177" s="9">
        <v>100</v>
      </c>
      <c r="E177" s="9">
        <f t="shared" si="3"/>
        <v>7758</v>
      </c>
      <c r="F177" s="570"/>
    </row>
    <row r="178" spans="1:6">
      <c r="A178" s="576" t="s">
        <v>798</v>
      </c>
      <c r="B178" s="576" t="s">
        <v>805</v>
      </c>
      <c r="C178" s="9"/>
      <c r="D178" s="9">
        <v>84</v>
      </c>
      <c r="E178" s="9">
        <f t="shared" si="3"/>
        <v>7674</v>
      </c>
      <c r="F178" s="576" t="s">
        <v>46</v>
      </c>
    </row>
    <row r="179" spans="1:6">
      <c r="A179" s="9" t="s">
        <v>811</v>
      </c>
      <c r="B179" s="9" t="s">
        <v>812</v>
      </c>
      <c r="C179" s="9">
        <v>190</v>
      </c>
      <c r="D179" s="9"/>
      <c r="E179" s="9">
        <f t="shared" si="3"/>
        <v>7864</v>
      </c>
      <c r="F179" s="9"/>
    </row>
    <row r="180" spans="1:6">
      <c r="A180" s="125" t="s">
        <v>811</v>
      </c>
      <c r="B180" s="9" t="s">
        <v>720</v>
      </c>
      <c r="C180" s="9">
        <v>1</v>
      </c>
      <c r="D180" s="9"/>
      <c r="E180" s="9">
        <f t="shared" si="3"/>
        <v>7865</v>
      </c>
      <c r="F180" s="9"/>
    </row>
    <row r="181" spans="1:6">
      <c r="A181" s="9" t="s">
        <v>811</v>
      </c>
      <c r="B181" s="9" t="s">
        <v>813</v>
      </c>
      <c r="C181" s="9"/>
      <c r="D181" s="9">
        <v>80</v>
      </c>
      <c r="E181" s="9">
        <f t="shared" si="3"/>
        <v>7785</v>
      </c>
      <c r="F181" s="9"/>
    </row>
    <row r="182" spans="1:6">
      <c r="A182" s="9" t="s">
        <v>811</v>
      </c>
      <c r="B182" s="9" t="s">
        <v>813</v>
      </c>
      <c r="C182" s="9"/>
      <c r="D182" s="9">
        <v>85</v>
      </c>
      <c r="E182" s="9">
        <f t="shared" si="3"/>
        <v>7700</v>
      </c>
      <c r="F182" s="581"/>
    </row>
    <row r="183" spans="1:6">
      <c r="A183" s="586" t="s">
        <v>815</v>
      </c>
      <c r="B183" s="587" t="s">
        <v>816</v>
      </c>
      <c r="C183" s="9"/>
      <c r="D183" s="9">
        <v>34</v>
      </c>
      <c r="E183" s="9">
        <f t="shared" si="3"/>
        <v>7666</v>
      </c>
      <c r="F183" s="587"/>
    </row>
    <row r="184" spans="1:6">
      <c r="A184" s="592" t="s">
        <v>820</v>
      </c>
      <c r="B184" s="592" t="s">
        <v>817</v>
      </c>
      <c r="C184" s="9"/>
      <c r="D184" s="9">
        <v>200</v>
      </c>
      <c r="E184" s="9">
        <f t="shared" si="3"/>
        <v>7466</v>
      </c>
      <c r="F184" s="9"/>
    </row>
    <row r="185" spans="1:6">
      <c r="A185" s="592" t="s">
        <v>820</v>
      </c>
      <c r="B185" s="592" t="s">
        <v>824</v>
      </c>
      <c r="C185" s="9"/>
      <c r="D185" s="9">
        <v>100</v>
      </c>
      <c r="E185" s="9">
        <f t="shared" si="3"/>
        <v>7366</v>
      </c>
      <c r="F185" s="9"/>
    </row>
    <row r="186" spans="1:6">
      <c r="A186" s="592" t="s">
        <v>820</v>
      </c>
      <c r="B186" s="592" t="s">
        <v>824</v>
      </c>
      <c r="C186" s="9"/>
      <c r="D186" s="9">
        <v>80</v>
      </c>
      <c r="E186" s="9">
        <f t="shared" ref="E186:E206" si="4">E185+C186-D186</f>
        <v>7286</v>
      </c>
      <c r="F186" s="592"/>
    </row>
    <row r="187" spans="1:6">
      <c r="A187" s="598" t="s">
        <v>829</v>
      </c>
      <c r="B187" s="592" t="s">
        <v>824</v>
      </c>
      <c r="C187" s="9"/>
      <c r="D187" s="9">
        <v>100</v>
      </c>
      <c r="E187" s="9">
        <f t="shared" si="4"/>
        <v>7186</v>
      </c>
      <c r="F187" s="592"/>
    </row>
    <row r="188" spans="1:6">
      <c r="A188" s="598" t="s">
        <v>826</v>
      </c>
      <c r="B188" s="592" t="s">
        <v>817</v>
      </c>
      <c r="C188" s="9"/>
      <c r="D188" s="9">
        <v>168</v>
      </c>
      <c r="E188" s="9">
        <f t="shared" si="4"/>
        <v>7018</v>
      </c>
      <c r="F188" s="598"/>
    </row>
    <row r="189" spans="1:6">
      <c r="A189" s="125" t="s">
        <v>837</v>
      </c>
      <c r="B189" s="9" t="s">
        <v>456</v>
      </c>
      <c r="C189" s="9">
        <v>9</v>
      </c>
      <c r="D189" s="9"/>
      <c r="E189" s="9">
        <f t="shared" si="4"/>
        <v>7027</v>
      </c>
      <c r="F189" s="9"/>
    </row>
    <row r="190" spans="1:6">
      <c r="A190" s="21">
        <v>43136</v>
      </c>
      <c r="B190" s="9" t="s">
        <v>774</v>
      </c>
      <c r="C190" s="9">
        <v>2</v>
      </c>
      <c r="D190" s="9"/>
      <c r="E190" s="9">
        <f t="shared" si="4"/>
        <v>7029</v>
      </c>
      <c r="F190" s="9"/>
    </row>
    <row r="191" spans="1:6">
      <c r="A191" s="21">
        <v>43195</v>
      </c>
      <c r="B191" s="9" t="s">
        <v>710</v>
      </c>
      <c r="C191" s="9">
        <v>32</v>
      </c>
      <c r="D191" s="9"/>
      <c r="E191" s="9">
        <f t="shared" si="4"/>
        <v>7061</v>
      </c>
      <c r="F191" s="623" t="s">
        <v>46</v>
      </c>
    </row>
    <row r="192" spans="1:6">
      <c r="A192" s="21">
        <v>43286</v>
      </c>
      <c r="B192" s="24" t="s">
        <v>24</v>
      </c>
      <c r="C192" s="9">
        <v>4</v>
      </c>
      <c r="D192" s="9"/>
      <c r="E192" s="9">
        <f t="shared" si="4"/>
        <v>7065</v>
      </c>
      <c r="F192" s="9"/>
    </row>
    <row r="193" spans="1:6">
      <c r="A193" s="21">
        <v>43317</v>
      </c>
      <c r="B193" s="629" t="s">
        <v>817</v>
      </c>
      <c r="C193" s="9"/>
      <c r="D193" s="9">
        <v>380</v>
      </c>
      <c r="E193" s="9">
        <f t="shared" si="4"/>
        <v>6685</v>
      </c>
      <c r="F193" s="9"/>
    </row>
    <row r="194" spans="1:6">
      <c r="A194" s="21">
        <v>43348</v>
      </c>
      <c r="B194" s="631" t="s">
        <v>817</v>
      </c>
      <c r="C194" s="9"/>
      <c r="D194" s="9">
        <v>350</v>
      </c>
      <c r="E194" s="9">
        <f t="shared" si="4"/>
        <v>6335</v>
      </c>
      <c r="F194" s="9"/>
    </row>
    <row r="195" spans="1:6">
      <c r="A195" s="42">
        <v>43378</v>
      </c>
      <c r="B195" s="631" t="s">
        <v>859</v>
      </c>
      <c r="C195" s="9">
        <v>44</v>
      </c>
      <c r="D195" s="9"/>
      <c r="E195" s="9">
        <f t="shared" si="4"/>
        <v>6379</v>
      </c>
      <c r="F195" s="9"/>
    </row>
    <row r="196" spans="1:6">
      <c r="A196" s="42">
        <v>43409</v>
      </c>
      <c r="B196" s="629" t="s">
        <v>24</v>
      </c>
      <c r="C196" s="9"/>
      <c r="D196" s="9">
        <v>2</v>
      </c>
      <c r="E196" s="9">
        <f t="shared" si="4"/>
        <v>6377</v>
      </c>
      <c r="F196" s="9"/>
    </row>
    <row r="197" spans="1:6">
      <c r="A197" s="21">
        <v>43409</v>
      </c>
      <c r="B197" s="631" t="s">
        <v>817</v>
      </c>
      <c r="C197" s="9"/>
      <c r="D197" s="9">
        <v>190</v>
      </c>
      <c r="E197" s="9">
        <f t="shared" si="4"/>
        <v>6187</v>
      </c>
      <c r="F197" s="9"/>
    </row>
    <row r="198" spans="1:6">
      <c r="A198" s="21">
        <v>43439</v>
      </c>
      <c r="B198" s="631" t="s">
        <v>860</v>
      </c>
      <c r="C198" s="9">
        <v>43</v>
      </c>
      <c r="D198" s="9"/>
      <c r="E198" s="9">
        <f t="shared" si="4"/>
        <v>6230</v>
      </c>
      <c r="F198" s="9"/>
    </row>
    <row r="199" spans="1:6">
      <c r="A199" s="633" t="s">
        <v>862</v>
      </c>
      <c r="B199" s="633" t="s">
        <v>24</v>
      </c>
      <c r="C199" s="9">
        <v>2</v>
      </c>
      <c r="D199" s="9"/>
      <c r="E199" s="9">
        <f t="shared" si="4"/>
        <v>6232</v>
      </c>
      <c r="F199" s="9"/>
    </row>
    <row r="200" spans="1:6">
      <c r="A200" s="631" t="s">
        <v>862</v>
      </c>
      <c r="B200" s="631" t="s">
        <v>710</v>
      </c>
      <c r="C200" s="9">
        <v>49</v>
      </c>
      <c r="D200" s="9"/>
      <c r="E200" s="9">
        <f t="shared" si="4"/>
        <v>6281</v>
      </c>
      <c r="F200" s="9"/>
    </row>
    <row r="201" spans="1:6">
      <c r="A201" s="125" t="s">
        <v>863</v>
      </c>
      <c r="B201" s="9" t="s">
        <v>24</v>
      </c>
      <c r="C201" s="9">
        <v>9</v>
      </c>
      <c r="D201" s="9"/>
      <c r="E201" s="9">
        <f t="shared" si="4"/>
        <v>6290</v>
      </c>
      <c r="F201" s="9"/>
    </row>
    <row r="202" spans="1:6">
      <c r="A202" s="125" t="s">
        <v>863</v>
      </c>
      <c r="B202" s="9" t="s">
        <v>560</v>
      </c>
      <c r="C202" s="9">
        <v>68</v>
      </c>
      <c r="D202" s="9"/>
      <c r="E202" s="9">
        <f t="shared" si="4"/>
        <v>6358</v>
      </c>
      <c r="F202" s="656" t="s">
        <v>46</v>
      </c>
    </row>
    <row r="203" spans="1:6">
      <c r="A203" s="9" t="s">
        <v>874</v>
      </c>
      <c r="B203" s="9" t="s">
        <v>875</v>
      </c>
      <c r="C203" s="9">
        <v>30</v>
      </c>
      <c r="D203" s="9"/>
      <c r="E203" s="9">
        <f t="shared" si="4"/>
        <v>6388</v>
      </c>
      <c r="F203" s="9"/>
    </row>
    <row r="204" spans="1:6">
      <c r="A204" s="664" t="s">
        <v>878</v>
      </c>
      <c r="B204" s="664" t="s">
        <v>24</v>
      </c>
      <c r="C204" s="9">
        <v>2</v>
      </c>
      <c r="D204" s="9"/>
      <c r="E204" s="9">
        <f t="shared" si="4"/>
        <v>6390</v>
      </c>
      <c r="F204" s="9"/>
    </row>
    <row r="205" spans="1:6">
      <c r="A205" s="664" t="s">
        <v>878</v>
      </c>
      <c r="B205" s="664" t="s">
        <v>882</v>
      </c>
      <c r="C205" s="9"/>
      <c r="D205" s="9">
        <v>56</v>
      </c>
      <c r="E205" s="9">
        <f t="shared" si="4"/>
        <v>6334</v>
      </c>
      <c r="F205" s="664" t="s">
        <v>46</v>
      </c>
    </row>
    <row r="206" spans="1:6">
      <c r="A206" s="670" t="s">
        <v>884</v>
      </c>
      <c r="B206" s="671" t="s">
        <v>560</v>
      </c>
      <c r="C206" s="9">
        <v>30</v>
      </c>
      <c r="D206" s="9"/>
      <c r="E206" s="9">
        <f t="shared" si="4"/>
        <v>6364</v>
      </c>
      <c r="F206" s="9"/>
    </row>
    <row r="207" spans="1:6">
      <c r="A207" s="671" t="s">
        <v>884</v>
      </c>
      <c r="B207" s="671" t="s">
        <v>817</v>
      </c>
      <c r="C207" s="9"/>
      <c r="D207" s="9">
        <v>80</v>
      </c>
      <c r="E207" s="9">
        <f>E206+C207-D207</f>
        <v>6284</v>
      </c>
      <c r="F207" s="671" t="s">
        <v>46</v>
      </c>
    </row>
    <row r="208" spans="1:6">
      <c r="A208" s="677" t="s">
        <v>886</v>
      </c>
      <c r="B208" s="677" t="s">
        <v>459</v>
      </c>
      <c r="C208" s="9">
        <v>8</v>
      </c>
      <c r="D208" s="9"/>
      <c r="E208" s="9">
        <f t="shared" ref="E208:E230" si="5">E207+C208-D208</f>
        <v>6292</v>
      </c>
      <c r="F208" s="9"/>
    </row>
    <row r="209" spans="1:6">
      <c r="A209" s="677" t="s">
        <v>889</v>
      </c>
      <c r="B209" s="677" t="s">
        <v>890</v>
      </c>
      <c r="C209" s="9">
        <v>36</v>
      </c>
      <c r="D209" s="9"/>
      <c r="E209" s="9">
        <f t="shared" si="5"/>
        <v>6328</v>
      </c>
      <c r="F209" s="9"/>
    </row>
    <row r="210" spans="1:6">
      <c r="A210" s="676" t="s">
        <v>893</v>
      </c>
      <c r="B210" s="677" t="s">
        <v>708</v>
      </c>
      <c r="C210" s="9">
        <v>91</v>
      </c>
      <c r="D210" s="9"/>
      <c r="E210" s="9">
        <f t="shared" si="5"/>
        <v>6419</v>
      </c>
      <c r="F210" s="677" t="s">
        <v>46</v>
      </c>
    </row>
    <row r="211" spans="1:6">
      <c r="A211" s="125" t="s">
        <v>907</v>
      </c>
      <c r="B211" s="9" t="s">
        <v>909</v>
      </c>
      <c r="C211" s="9">
        <v>226</v>
      </c>
      <c r="D211" s="9"/>
      <c r="E211" s="9">
        <f t="shared" si="5"/>
        <v>6645</v>
      </c>
      <c r="F211" s="9"/>
    </row>
    <row r="212" spans="1:6">
      <c r="A212" s="9" t="s">
        <v>907</v>
      </c>
      <c r="B212" s="9" t="s">
        <v>710</v>
      </c>
      <c r="C212" s="9">
        <v>48</v>
      </c>
      <c r="D212" s="9"/>
      <c r="E212" s="9">
        <f t="shared" si="5"/>
        <v>6693</v>
      </c>
      <c r="F212" s="9"/>
    </row>
    <row r="213" spans="1:6">
      <c r="A213" s="690" t="s">
        <v>912</v>
      </c>
      <c r="B213" s="9" t="s">
        <v>909</v>
      </c>
      <c r="C213" s="9">
        <v>523</v>
      </c>
      <c r="D213" s="9"/>
      <c r="E213" s="9">
        <f t="shared" si="5"/>
        <v>7216</v>
      </c>
      <c r="F213" s="9"/>
    </row>
    <row r="214" spans="1:6">
      <c r="A214" s="692" t="s">
        <v>914</v>
      </c>
      <c r="B214" s="690" t="s">
        <v>548</v>
      </c>
      <c r="C214" s="9"/>
      <c r="D214" s="9">
        <v>200</v>
      </c>
      <c r="E214" s="9">
        <f t="shared" si="5"/>
        <v>7016</v>
      </c>
      <c r="F214" s="690" t="s">
        <v>46</v>
      </c>
    </row>
    <row r="215" spans="1:6">
      <c r="A215" s="697" t="s">
        <v>915</v>
      </c>
      <c r="B215" s="698" t="s">
        <v>916</v>
      </c>
      <c r="C215" s="9">
        <v>42</v>
      </c>
      <c r="D215" s="9"/>
      <c r="E215" s="9">
        <f t="shared" si="5"/>
        <v>7058</v>
      </c>
      <c r="F215" s="9"/>
    </row>
    <row r="216" spans="1:6">
      <c r="A216" s="697" t="s">
        <v>915</v>
      </c>
      <c r="B216" s="698" t="s">
        <v>24</v>
      </c>
      <c r="C216" s="9">
        <v>2</v>
      </c>
      <c r="D216" s="9"/>
      <c r="E216" s="9">
        <f t="shared" si="5"/>
        <v>7060</v>
      </c>
      <c r="F216" s="9"/>
    </row>
    <row r="217" spans="1:6">
      <c r="A217" s="697" t="s">
        <v>915</v>
      </c>
      <c r="B217" s="698" t="s">
        <v>548</v>
      </c>
      <c r="C217" s="9"/>
      <c r="D217" s="9">
        <v>100</v>
      </c>
      <c r="E217" s="9">
        <f t="shared" si="5"/>
        <v>6960</v>
      </c>
      <c r="F217" s="698" t="s">
        <v>46</v>
      </c>
    </row>
    <row r="218" spans="1:6">
      <c r="A218" s="702" t="s">
        <v>918</v>
      </c>
      <c r="B218" s="703" t="s">
        <v>775</v>
      </c>
      <c r="C218" s="9">
        <v>80</v>
      </c>
      <c r="D218" s="9"/>
      <c r="E218" s="9">
        <f t="shared" si="5"/>
        <v>7040</v>
      </c>
      <c r="F218" s="9"/>
    </row>
    <row r="219" spans="1:6">
      <c r="A219" s="702" t="s">
        <v>918</v>
      </c>
      <c r="B219" s="703" t="s">
        <v>775</v>
      </c>
      <c r="C219" s="9">
        <v>52</v>
      </c>
      <c r="D219" s="9"/>
      <c r="E219" s="9">
        <f t="shared" si="5"/>
        <v>7092</v>
      </c>
      <c r="F219" s="9"/>
    </row>
    <row r="220" spans="1:6">
      <c r="A220" s="702" t="s">
        <v>918</v>
      </c>
      <c r="B220" s="703" t="s">
        <v>406</v>
      </c>
      <c r="C220" s="9">
        <v>17</v>
      </c>
      <c r="D220" s="9"/>
      <c r="E220" s="9">
        <f t="shared" si="5"/>
        <v>7109</v>
      </c>
      <c r="F220" s="9"/>
    </row>
    <row r="221" spans="1:6">
      <c r="A221" s="21">
        <v>43106</v>
      </c>
      <c r="B221" s="703" t="s">
        <v>809</v>
      </c>
      <c r="C221" s="9"/>
      <c r="D221" s="9">
        <v>200</v>
      </c>
      <c r="E221" s="9">
        <f t="shared" si="5"/>
        <v>6909</v>
      </c>
      <c r="F221" s="9"/>
    </row>
    <row r="222" spans="1:6">
      <c r="A222" s="21">
        <v>43106</v>
      </c>
      <c r="B222" s="708" t="s">
        <v>920</v>
      </c>
      <c r="C222" s="9"/>
      <c r="D222" s="26">
        <v>52</v>
      </c>
      <c r="E222" s="9">
        <f t="shared" si="5"/>
        <v>6857</v>
      </c>
      <c r="F222" s="9"/>
    </row>
    <row r="223" spans="1:6">
      <c r="A223" s="172">
        <v>43137</v>
      </c>
      <c r="B223" s="705" t="s">
        <v>919</v>
      </c>
      <c r="C223" s="9">
        <v>36</v>
      </c>
      <c r="D223" s="9"/>
      <c r="E223" s="9">
        <f t="shared" si="5"/>
        <v>6893</v>
      </c>
      <c r="F223" s="703" t="s">
        <v>46</v>
      </c>
    </row>
    <row r="224" spans="1:6">
      <c r="A224" s="172">
        <v>43137</v>
      </c>
      <c r="B224" s="716" t="s">
        <v>24</v>
      </c>
      <c r="C224" s="9">
        <v>2</v>
      </c>
      <c r="D224" s="9"/>
      <c r="E224" s="9">
        <f t="shared" si="5"/>
        <v>6895</v>
      </c>
      <c r="F224" s="703"/>
    </row>
    <row r="225" spans="1:6">
      <c r="A225" s="172">
        <v>43137</v>
      </c>
      <c r="B225" s="716" t="s">
        <v>935</v>
      </c>
      <c r="C225" s="9">
        <v>75</v>
      </c>
      <c r="D225" s="9"/>
      <c r="E225" s="9">
        <f t="shared" si="5"/>
        <v>6970</v>
      </c>
      <c r="F225" s="703"/>
    </row>
    <row r="226" spans="1:6">
      <c r="A226" s="172">
        <v>43165</v>
      </c>
      <c r="B226" s="711" t="s">
        <v>932</v>
      </c>
      <c r="C226" s="9"/>
      <c r="D226" s="9">
        <v>50</v>
      </c>
      <c r="E226" s="9">
        <f t="shared" si="5"/>
        <v>6920</v>
      </c>
      <c r="F226" s="9"/>
    </row>
    <row r="227" spans="1:6">
      <c r="A227" s="42">
        <v>43196</v>
      </c>
      <c r="B227" s="9" t="s">
        <v>774</v>
      </c>
      <c r="C227" s="9">
        <v>7</v>
      </c>
      <c r="D227" s="9"/>
      <c r="E227" s="9">
        <f t="shared" si="5"/>
        <v>6927</v>
      </c>
      <c r="F227" s="9"/>
    </row>
    <row r="228" spans="1:6">
      <c r="A228" s="21">
        <v>43226</v>
      </c>
      <c r="B228" s="715" t="s">
        <v>937</v>
      </c>
      <c r="C228" s="9"/>
      <c r="D228" s="9">
        <v>200</v>
      </c>
      <c r="E228" s="9">
        <f t="shared" si="5"/>
        <v>6727</v>
      </c>
      <c r="F228" s="9"/>
    </row>
    <row r="229" spans="1:6" s="719" customFormat="1">
      <c r="A229" s="22">
        <v>43226</v>
      </c>
      <c r="B229" s="13" t="s">
        <v>940</v>
      </c>
      <c r="C229" s="13"/>
      <c r="D229" s="13">
        <v>5</v>
      </c>
      <c r="E229" s="9">
        <f t="shared" si="5"/>
        <v>6722</v>
      </c>
      <c r="F229" s="13"/>
    </row>
    <row r="230" spans="1:6">
      <c r="A230" s="22">
        <v>43226</v>
      </c>
      <c r="B230" s="13" t="s">
        <v>942</v>
      </c>
      <c r="C230" s="9"/>
      <c r="D230" s="13">
        <v>1</v>
      </c>
      <c r="E230" s="9">
        <f t="shared" si="5"/>
        <v>6721</v>
      </c>
      <c r="F230" s="715" t="s">
        <v>46</v>
      </c>
    </row>
    <row r="231" spans="1:6">
      <c r="A231" s="9"/>
      <c r="B231" s="9"/>
      <c r="C231" s="9"/>
      <c r="D231" s="9"/>
      <c r="E231" s="9"/>
      <c r="F231" s="9"/>
    </row>
    <row r="232" spans="1:6">
      <c r="A232" s="9"/>
      <c r="B232" s="9"/>
      <c r="C232" s="9"/>
      <c r="D232" s="9"/>
      <c r="E232" s="9"/>
      <c r="F232" s="9"/>
    </row>
    <row r="233" spans="1:6">
      <c r="A233" s="9"/>
      <c r="B233" s="9"/>
      <c r="C233" s="9"/>
      <c r="D233" s="9"/>
      <c r="E233" s="9"/>
      <c r="F233" s="9"/>
    </row>
    <row r="234" spans="1:6">
      <c r="A234" s="9"/>
      <c r="B234" s="9"/>
      <c r="C234" s="9"/>
      <c r="D234" s="9"/>
      <c r="E234" s="9"/>
      <c r="F234" s="9"/>
    </row>
    <row r="235" spans="1:6">
      <c r="A235" s="9"/>
      <c r="B235" s="9"/>
      <c r="C235" s="9"/>
      <c r="D235" s="9"/>
      <c r="E235" s="9"/>
      <c r="F235" s="9"/>
    </row>
    <row r="236" spans="1:6">
      <c r="A236" s="9"/>
      <c r="B236" s="9"/>
      <c r="C236" s="9"/>
      <c r="D236" s="9"/>
      <c r="E236" s="9"/>
      <c r="F236" s="9"/>
    </row>
    <row r="237" spans="1:6">
      <c r="A237" s="9"/>
      <c r="B237" s="9"/>
      <c r="C237" s="9"/>
      <c r="D237" s="9"/>
      <c r="E237" s="9"/>
      <c r="F237" s="9"/>
    </row>
    <row r="238" spans="1:6">
      <c r="A238" s="9"/>
      <c r="B238" s="9"/>
      <c r="C238" s="9"/>
      <c r="D238" s="9"/>
      <c r="E238" s="9"/>
      <c r="F238" s="9"/>
    </row>
    <row r="239" spans="1:6">
      <c r="A239" s="9"/>
      <c r="B239" s="9"/>
      <c r="C239" s="9"/>
      <c r="D239" s="9"/>
      <c r="E239" s="9"/>
      <c r="F239" s="9"/>
    </row>
    <row r="240" spans="1:6">
      <c r="A240" s="9"/>
      <c r="B240" s="9"/>
      <c r="C240" s="9"/>
      <c r="D240" s="9"/>
      <c r="E240" s="9"/>
      <c r="F240" s="9"/>
    </row>
    <row r="241" spans="1:6">
      <c r="A241" s="9"/>
      <c r="B241" s="9"/>
      <c r="C241" s="9"/>
      <c r="D241" s="9"/>
      <c r="E241" s="9"/>
      <c r="F241" s="9"/>
    </row>
    <row r="242" spans="1:6">
      <c r="A242" s="9"/>
      <c r="B242" s="9"/>
      <c r="C242" s="9"/>
      <c r="D242" s="9"/>
      <c r="E242" s="9"/>
      <c r="F242" s="9"/>
    </row>
    <row r="243" spans="1:6">
      <c r="A243" s="9"/>
      <c r="B243" s="9"/>
      <c r="C243" s="9"/>
      <c r="D243" s="9"/>
      <c r="E243" s="9"/>
      <c r="F243" s="9"/>
    </row>
  </sheetData>
  <pageMargins left="0.69930555555555596" right="0.69930555555555596" top="0" bottom="0" header="0.3" footer="0.3"/>
  <pageSetup paperSize="9" scale="80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3"/>
  <sheetViews>
    <sheetView topLeftCell="A2" zoomScale="110" zoomScaleNormal="110" zoomScalePageLayoutView="110" workbookViewId="0">
      <selection activeCell="F11" sqref="F11"/>
    </sheetView>
  </sheetViews>
  <sheetFormatPr baseColWidth="10" defaultColWidth="9" defaultRowHeight="14" x14ac:dyDescent="0"/>
  <cols>
    <col min="1" max="1" width="10.6640625" customWidth="1"/>
    <col min="2" max="2" width="34.5" customWidth="1"/>
    <col min="3" max="3" width="7.33203125" customWidth="1"/>
    <col min="4" max="4" width="8.6640625" customWidth="1"/>
    <col min="5" max="5" width="9.5" customWidth="1"/>
    <col min="6" max="6" width="13.6640625" customWidth="1"/>
  </cols>
  <sheetData>
    <row r="2" spans="1:6" ht="15">
      <c r="A2" s="217" t="s">
        <v>19</v>
      </c>
      <c r="B2" s="217"/>
      <c r="C2" s="50"/>
      <c r="D2" s="50"/>
      <c r="E2" s="50"/>
    </row>
    <row r="3" spans="1:6">
      <c r="A3" s="50"/>
      <c r="B3" s="51"/>
      <c r="C3" s="50"/>
      <c r="D3" s="50"/>
      <c r="E3" s="50"/>
    </row>
    <row r="4" spans="1:6">
      <c r="A4" s="52" t="s">
        <v>1</v>
      </c>
      <c r="B4" s="52" t="s">
        <v>429</v>
      </c>
      <c r="C4" s="52" t="s">
        <v>3</v>
      </c>
      <c r="D4" s="52" t="s">
        <v>4</v>
      </c>
      <c r="E4" s="52" t="s">
        <v>5</v>
      </c>
      <c r="F4" s="25" t="s">
        <v>6</v>
      </c>
    </row>
    <row r="5" spans="1:6">
      <c r="A5" s="9"/>
      <c r="B5" s="9" t="s">
        <v>412</v>
      </c>
      <c r="C5" s="9"/>
      <c r="D5" s="9"/>
      <c r="E5" s="9">
        <v>524</v>
      </c>
    </row>
    <row r="6" spans="1:6">
      <c r="A6" s="336" t="s">
        <v>488</v>
      </c>
      <c r="B6" s="334" t="s">
        <v>444</v>
      </c>
      <c r="C6" s="9">
        <v>2</v>
      </c>
      <c r="D6" s="9"/>
      <c r="E6" s="9">
        <f>E5+C6-D6</f>
        <v>526</v>
      </c>
      <c r="F6" s="345"/>
    </row>
    <row r="7" spans="1:6">
      <c r="A7" s="472" t="s">
        <v>694</v>
      </c>
      <c r="B7" s="472" t="s">
        <v>696</v>
      </c>
      <c r="C7" s="9">
        <v>100</v>
      </c>
      <c r="D7" s="9"/>
      <c r="E7" s="9">
        <f>E6+C7-D7</f>
        <v>626</v>
      </c>
      <c r="F7" s="475"/>
    </row>
    <row r="8" spans="1:6">
      <c r="A8" s="9" t="s">
        <v>703</v>
      </c>
      <c r="B8" s="9" t="s">
        <v>704</v>
      </c>
      <c r="C8" s="9">
        <v>100</v>
      </c>
      <c r="D8" s="9"/>
      <c r="E8" s="9">
        <f>E7+C8-D8</f>
        <v>726</v>
      </c>
      <c r="F8" s="480" t="s">
        <v>46</v>
      </c>
    </row>
    <row r="9" spans="1:6">
      <c r="A9" s="683" t="s">
        <v>898</v>
      </c>
      <c r="B9" s="684" t="s">
        <v>427</v>
      </c>
      <c r="C9" s="24">
        <v>1</v>
      </c>
      <c r="D9" s="9"/>
      <c r="E9" s="9">
        <f>E8+C9-D9</f>
        <v>727</v>
      </c>
      <c r="F9" s="687" t="s">
        <v>46</v>
      </c>
    </row>
    <row r="10" spans="1:6">
      <c r="A10" s="21">
        <v>43165</v>
      </c>
      <c r="B10" s="708" t="s">
        <v>929</v>
      </c>
      <c r="C10" s="9"/>
      <c r="D10" s="9">
        <v>1</v>
      </c>
      <c r="E10" s="9">
        <f>E9+C10-D10</f>
        <v>726</v>
      </c>
      <c r="F10" s="721" t="s">
        <v>46</v>
      </c>
    </row>
    <row r="11" spans="1:6">
      <c r="A11" s="9"/>
      <c r="B11" s="9"/>
      <c r="C11" s="9"/>
      <c r="D11" s="9"/>
      <c r="E11" s="9"/>
    </row>
    <row r="12" spans="1:6">
      <c r="A12" s="9"/>
      <c r="B12" s="9"/>
      <c r="C12" s="9"/>
      <c r="D12" s="9"/>
      <c r="E12" s="9"/>
    </row>
    <row r="13" spans="1:6">
      <c r="A13" s="9"/>
      <c r="B13" s="9"/>
      <c r="C13" s="9"/>
      <c r="D13" s="9"/>
      <c r="E13" s="9"/>
    </row>
    <row r="14" spans="1:6">
      <c r="A14" s="9"/>
      <c r="B14" s="9"/>
      <c r="C14" s="9"/>
      <c r="D14" s="9"/>
      <c r="E14" s="9"/>
    </row>
    <row r="15" spans="1:6">
      <c r="A15" s="9"/>
      <c r="B15" s="9"/>
      <c r="C15" s="9"/>
      <c r="D15" s="9"/>
      <c r="E15" s="9"/>
    </row>
    <row r="16" spans="1:6">
      <c r="A16" s="9"/>
      <c r="B16" s="9"/>
      <c r="C16" s="9"/>
      <c r="D16" s="9"/>
      <c r="E16" s="9"/>
    </row>
    <row r="17" spans="1:5">
      <c r="A17" s="9"/>
      <c r="B17" s="9"/>
      <c r="C17" s="9"/>
      <c r="D17" s="9"/>
      <c r="E17" s="9"/>
    </row>
    <row r="18" spans="1:5">
      <c r="A18" s="9"/>
      <c r="B18" s="9"/>
      <c r="C18" s="9"/>
      <c r="D18" s="9"/>
      <c r="E18" s="9"/>
    </row>
    <row r="19" spans="1:5">
      <c r="A19" s="9"/>
      <c r="B19" s="9"/>
      <c r="C19" s="9"/>
      <c r="D19" s="9"/>
      <c r="E19" s="9"/>
    </row>
    <row r="20" spans="1:5">
      <c r="A20" s="9"/>
      <c r="B20" s="9"/>
      <c r="C20" s="9"/>
      <c r="D20" s="9"/>
      <c r="E20" s="9"/>
    </row>
    <row r="21" spans="1:5">
      <c r="A21" s="9"/>
      <c r="B21" s="9"/>
      <c r="C21" s="9"/>
      <c r="D21" s="9"/>
      <c r="E21" s="9"/>
    </row>
    <row r="22" spans="1:5">
      <c r="A22" s="9"/>
      <c r="B22" s="9"/>
      <c r="C22" s="9"/>
      <c r="D22" s="9"/>
      <c r="E22" s="9"/>
    </row>
    <row r="23" spans="1:5">
      <c r="A23" s="9"/>
      <c r="B23" s="9"/>
      <c r="C23" s="9"/>
      <c r="D23" s="9"/>
      <c r="E23" s="9"/>
    </row>
  </sheetData>
  <pageMargins left="0.69930555555555596" right="0.69930555555555596" top="0" bottom="0" header="0.3" footer="0.3"/>
  <pageSetup paperSize="9" scale="85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8"/>
  <sheetViews>
    <sheetView topLeftCell="A3" zoomScale="110" zoomScaleNormal="110" zoomScalePageLayoutView="110" workbookViewId="0">
      <selection activeCell="F19" sqref="F19"/>
    </sheetView>
  </sheetViews>
  <sheetFormatPr baseColWidth="10" defaultColWidth="9" defaultRowHeight="14" x14ac:dyDescent="0"/>
  <cols>
    <col min="1" max="1" width="14.1640625" customWidth="1"/>
    <col min="2" max="2" width="29.5" customWidth="1"/>
    <col min="5" max="5" width="12.5" customWidth="1"/>
  </cols>
  <sheetData>
    <row r="2" spans="1:6" ht="15">
      <c r="A2" s="217" t="s">
        <v>20</v>
      </c>
      <c r="B2" s="217"/>
      <c r="C2" s="50"/>
      <c r="D2" s="50"/>
      <c r="E2" s="50"/>
    </row>
    <row r="3" spans="1:6">
      <c r="A3" s="50"/>
      <c r="B3" s="51"/>
      <c r="C3" s="50"/>
      <c r="D3" s="50"/>
      <c r="E3" s="50"/>
    </row>
    <row r="4" spans="1:6">
      <c r="A4" s="52" t="s">
        <v>1</v>
      </c>
      <c r="B4" s="52" t="s">
        <v>429</v>
      </c>
      <c r="C4" s="52" t="s">
        <v>3</v>
      </c>
      <c r="D4" s="52" t="s">
        <v>4</v>
      </c>
      <c r="E4" s="52" t="s">
        <v>5</v>
      </c>
      <c r="F4" s="25" t="s">
        <v>6</v>
      </c>
    </row>
    <row r="5" spans="1:6">
      <c r="A5" s="9"/>
      <c r="B5" s="9" t="s">
        <v>408</v>
      </c>
      <c r="C5" s="9"/>
      <c r="D5" s="9"/>
      <c r="E5" s="9">
        <v>2089</v>
      </c>
    </row>
    <row r="6" spans="1:6">
      <c r="A6" s="455" t="s">
        <v>665</v>
      </c>
      <c r="B6" s="456" t="s">
        <v>668</v>
      </c>
      <c r="C6" s="9"/>
      <c r="D6" s="9">
        <v>60</v>
      </c>
      <c r="E6" s="9">
        <f t="shared" ref="E6:E18" si="0">E5+C6-D6</f>
        <v>2029</v>
      </c>
      <c r="F6" s="453"/>
    </row>
    <row r="7" spans="1:6">
      <c r="A7" s="483">
        <v>43134</v>
      </c>
      <c r="B7" s="482" t="s">
        <v>672</v>
      </c>
      <c r="C7" s="9"/>
      <c r="D7" s="9">
        <v>10</v>
      </c>
      <c r="E7" s="9">
        <f t="shared" si="0"/>
        <v>2019</v>
      </c>
    </row>
    <row r="8" spans="1:6">
      <c r="A8" s="21">
        <v>43134</v>
      </c>
      <c r="B8" s="482" t="s">
        <v>672</v>
      </c>
      <c r="C8" s="9"/>
      <c r="D8" s="9">
        <v>70</v>
      </c>
      <c r="E8" s="9">
        <f t="shared" si="0"/>
        <v>1949</v>
      </c>
      <c r="F8" s="484"/>
    </row>
    <row r="9" spans="1:6">
      <c r="A9" s="527" t="s">
        <v>744</v>
      </c>
      <c r="B9" s="528" t="s">
        <v>672</v>
      </c>
      <c r="C9" s="9">
        <v>47</v>
      </c>
      <c r="D9" s="9"/>
      <c r="E9" s="9">
        <f t="shared" si="0"/>
        <v>1996</v>
      </c>
      <c r="F9" s="529"/>
    </row>
    <row r="10" spans="1:6">
      <c r="A10" s="542" t="s">
        <v>761</v>
      </c>
      <c r="B10" s="542" t="s">
        <v>641</v>
      </c>
      <c r="C10" s="9">
        <v>91</v>
      </c>
      <c r="D10" s="9"/>
      <c r="E10" s="9">
        <f t="shared" si="0"/>
        <v>2087</v>
      </c>
      <c r="F10" s="545" t="s">
        <v>46</v>
      </c>
    </row>
    <row r="11" spans="1:6">
      <c r="A11" s="21">
        <v>43224</v>
      </c>
      <c r="B11" s="554" t="s">
        <v>770</v>
      </c>
      <c r="C11" s="9"/>
      <c r="D11" s="9">
        <v>85</v>
      </c>
      <c r="E11" s="9">
        <f t="shared" si="0"/>
        <v>2002</v>
      </c>
    </row>
    <row r="12" spans="1:6">
      <c r="A12" s="21">
        <v>43255</v>
      </c>
      <c r="B12" s="554" t="s">
        <v>778</v>
      </c>
      <c r="C12" s="9"/>
      <c r="D12" s="9">
        <v>45</v>
      </c>
      <c r="E12" s="9">
        <f t="shared" si="0"/>
        <v>1957</v>
      </c>
      <c r="F12" s="556" t="s">
        <v>46</v>
      </c>
    </row>
    <row r="13" spans="1:6">
      <c r="A13" s="576" t="s">
        <v>798</v>
      </c>
      <c r="B13" s="576" t="s">
        <v>806</v>
      </c>
      <c r="C13" s="9"/>
      <c r="D13" s="9">
        <v>32</v>
      </c>
      <c r="E13" s="9">
        <f t="shared" si="0"/>
        <v>1925</v>
      </c>
    </row>
    <row r="14" spans="1:6">
      <c r="A14" s="576" t="s">
        <v>808</v>
      </c>
      <c r="B14" s="576" t="s">
        <v>806</v>
      </c>
      <c r="C14" s="9"/>
      <c r="D14" s="9">
        <v>84</v>
      </c>
      <c r="E14" s="9">
        <f t="shared" si="0"/>
        <v>1841</v>
      </c>
      <c r="F14" s="579" t="s">
        <v>46</v>
      </c>
    </row>
    <row r="15" spans="1:6">
      <c r="A15" s="581" t="s">
        <v>811</v>
      </c>
      <c r="B15" s="576" t="s">
        <v>806</v>
      </c>
      <c r="C15" s="9"/>
      <c r="D15" s="9">
        <v>175</v>
      </c>
      <c r="E15" s="9">
        <f t="shared" si="0"/>
        <v>1666</v>
      </c>
      <c r="F15" s="584" t="s">
        <v>46</v>
      </c>
    </row>
    <row r="16" spans="1:6">
      <c r="A16" s="42">
        <v>43225</v>
      </c>
      <c r="B16" s="9" t="s">
        <v>833</v>
      </c>
      <c r="C16" s="9"/>
      <c r="D16" s="9">
        <v>30</v>
      </c>
      <c r="E16" s="9">
        <f t="shared" si="0"/>
        <v>1636</v>
      </c>
      <c r="F16" s="626" t="s">
        <v>46</v>
      </c>
    </row>
    <row r="17" spans="1:6">
      <c r="A17" s="42">
        <v>43286</v>
      </c>
      <c r="B17" s="629" t="s">
        <v>833</v>
      </c>
      <c r="C17" s="9"/>
      <c r="D17" s="9">
        <v>110</v>
      </c>
      <c r="E17" s="9">
        <f t="shared" si="0"/>
        <v>1526</v>
      </c>
    </row>
    <row r="18" spans="1:6">
      <c r="A18" s="172">
        <v>43165</v>
      </c>
      <c r="B18" s="711" t="s">
        <v>932</v>
      </c>
      <c r="D18" s="394">
        <v>4</v>
      </c>
      <c r="E18" s="9">
        <f t="shared" si="0"/>
        <v>1522</v>
      </c>
      <c r="F18" s="721" t="s">
        <v>46</v>
      </c>
    </row>
  </sheetData>
  <pageMargins left="0.69930555555555596" right="0.69930555555555596" top="0" bottom="0" header="0.3" footer="0.3"/>
  <pageSetup paperSize="9" scale="85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FF00"/>
  </sheetPr>
  <dimension ref="A1:F160"/>
  <sheetViews>
    <sheetView topLeftCell="A127" zoomScale="110" zoomScaleNormal="110" zoomScalePageLayoutView="110" workbookViewId="0">
      <selection activeCell="F152" sqref="F152"/>
    </sheetView>
  </sheetViews>
  <sheetFormatPr baseColWidth="10" defaultColWidth="9" defaultRowHeight="14" x14ac:dyDescent="0"/>
  <cols>
    <col min="1" max="1" width="10.6640625" style="291" customWidth="1"/>
    <col min="2" max="2" width="42.5" style="156" customWidth="1"/>
    <col min="3" max="3" width="9.1640625" style="156" customWidth="1"/>
    <col min="4" max="4" width="7.83203125" style="156" customWidth="1"/>
    <col min="5" max="5" width="9" style="156"/>
    <col min="6" max="6" width="12.5" style="156" customWidth="1"/>
  </cols>
  <sheetData>
    <row r="1" spans="1:6" s="97" customFormat="1" ht="15">
      <c r="A1" s="278" t="s">
        <v>21</v>
      </c>
      <c r="B1" s="217"/>
      <c r="C1" s="217"/>
      <c r="D1" s="263"/>
      <c r="E1" s="263"/>
      <c r="F1" s="170"/>
    </row>
    <row r="2" spans="1:6">
      <c r="A2" s="279"/>
      <c r="B2" s="51"/>
      <c r="C2" s="50"/>
      <c r="D2" s="50"/>
      <c r="E2" s="50"/>
    </row>
    <row r="3" spans="1:6">
      <c r="A3" s="52" t="s">
        <v>1</v>
      </c>
      <c r="B3" s="52" t="s">
        <v>429</v>
      </c>
      <c r="C3" s="52" t="s">
        <v>3</v>
      </c>
      <c r="D3" s="52" t="s">
        <v>4</v>
      </c>
      <c r="E3" s="52" t="s">
        <v>5</v>
      </c>
      <c r="F3" s="25" t="s">
        <v>6</v>
      </c>
    </row>
    <row r="4" spans="1:6">
      <c r="A4" s="174"/>
      <c r="B4" s="24" t="s">
        <v>408</v>
      </c>
      <c r="C4" s="24"/>
      <c r="D4" s="24"/>
      <c r="E4" s="24">
        <v>7475</v>
      </c>
      <c r="F4" s="24"/>
    </row>
    <row r="5" spans="1:6">
      <c r="A5" s="42">
        <v>43132</v>
      </c>
      <c r="B5" s="9" t="s">
        <v>413</v>
      </c>
      <c r="C5" s="24">
        <v>26</v>
      </c>
      <c r="D5" s="24"/>
      <c r="E5" s="24">
        <f>E4+C5-D5</f>
        <v>7501</v>
      </c>
      <c r="F5" s="24"/>
    </row>
    <row r="6" spans="1:6">
      <c r="A6" s="42">
        <v>43132</v>
      </c>
      <c r="B6" s="298" t="s">
        <v>16</v>
      </c>
      <c r="C6" s="24">
        <v>10</v>
      </c>
      <c r="D6" s="24"/>
      <c r="E6" s="24">
        <f t="shared" ref="E6:E69" si="0">E5+C6-D6</f>
        <v>7511</v>
      </c>
      <c r="F6" s="24"/>
    </row>
    <row r="7" spans="1:6">
      <c r="A7" s="42">
        <v>43160</v>
      </c>
      <c r="B7" s="299" t="s">
        <v>15</v>
      </c>
      <c r="C7" s="24">
        <v>110</v>
      </c>
      <c r="D7" s="24"/>
      <c r="E7" s="24">
        <f t="shared" si="0"/>
        <v>7621</v>
      </c>
      <c r="F7" s="24"/>
    </row>
    <row r="8" spans="1:6">
      <c r="A8" s="42">
        <v>43160</v>
      </c>
      <c r="B8" s="299" t="s">
        <v>402</v>
      </c>
      <c r="C8" s="24">
        <v>10</v>
      </c>
      <c r="D8" s="24"/>
      <c r="E8" s="24">
        <f t="shared" si="0"/>
        <v>7631</v>
      </c>
      <c r="F8" s="303" t="s">
        <v>46</v>
      </c>
    </row>
    <row r="9" spans="1:6">
      <c r="A9" s="172">
        <v>43191</v>
      </c>
      <c r="B9" s="299" t="s">
        <v>15</v>
      </c>
      <c r="C9" s="24">
        <v>146</v>
      </c>
      <c r="D9" s="24"/>
      <c r="E9" s="24">
        <f t="shared" si="0"/>
        <v>7777</v>
      </c>
      <c r="F9" s="307" t="s">
        <v>46</v>
      </c>
    </row>
    <row r="10" spans="1:6">
      <c r="A10" s="42">
        <v>43221</v>
      </c>
      <c r="B10" s="313" t="s">
        <v>433</v>
      </c>
      <c r="C10" s="24">
        <v>24</v>
      </c>
      <c r="D10" s="24"/>
      <c r="E10" s="24">
        <f t="shared" si="0"/>
        <v>7801</v>
      </c>
      <c r="F10" s="24"/>
    </row>
    <row r="11" spans="1:6">
      <c r="A11" s="42">
        <v>43221</v>
      </c>
      <c r="B11" s="313" t="s">
        <v>438</v>
      </c>
      <c r="C11" s="24">
        <v>8</v>
      </c>
      <c r="D11" s="24"/>
      <c r="E11" s="24">
        <f t="shared" si="0"/>
        <v>7809</v>
      </c>
      <c r="F11" s="24"/>
    </row>
    <row r="12" spans="1:6">
      <c r="A12" s="42">
        <v>43221</v>
      </c>
      <c r="B12" s="313" t="s">
        <v>15</v>
      </c>
      <c r="C12" s="24">
        <v>119</v>
      </c>
      <c r="D12" s="24"/>
      <c r="E12" s="24">
        <f t="shared" si="0"/>
        <v>7928</v>
      </c>
      <c r="F12" s="24"/>
    </row>
    <row r="13" spans="1:6">
      <c r="A13" s="42">
        <v>43221</v>
      </c>
      <c r="B13" s="313" t="s">
        <v>8</v>
      </c>
      <c r="C13" s="24">
        <v>332</v>
      </c>
      <c r="D13" s="24"/>
      <c r="E13" s="24">
        <f t="shared" si="0"/>
        <v>8260</v>
      </c>
      <c r="F13" s="314" t="s">
        <v>46</v>
      </c>
    </row>
    <row r="14" spans="1:6">
      <c r="A14" s="42">
        <v>43252</v>
      </c>
      <c r="B14" s="317" t="s">
        <v>445</v>
      </c>
      <c r="C14" s="24">
        <v>142</v>
      </c>
      <c r="D14" s="24"/>
      <c r="E14" s="24">
        <f t="shared" si="0"/>
        <v>8402</v>
      </c>
      <c r="F14" s="24"/>
    </row>
    <row r="15" spans="1:6">
      <c r="A15" s="172">
        <v>43252</v>
      </c>
      <c r="B15" s="318" t="s">
        <v>434</v>
      </c>
      <c r="C15" s="24">
        <v>30</v>
      </c>
      <c r="D15" s="24"/>
      <c r="E15" s="24">
        <f t="shared" si="0"/>
        <v>8432</v>
      </c>
      <c r="F15" s="24"/>
    </row>
    <row r="16" spans="1:6">
      <c r="A16" s="172">
        <v>43313</v>
      </c>
      <c r="B16" s="321" t="s">
        <v>453</v>
      </c>
      <c r="C16" s="24">
        <v>3</v>
      </c>
      <c r="D16" s="24"/>
      <c r="E16" s="24">
        <f t="shared" si="0"/>
        <v>8435</v>
      </c>
      <c r="F16" s="321" t="s">
        <v>46</v>
      </c>
    </row>
    <row r="17" spans="1:6">
      <c r="A17" s="172">
        <v>43344</v>
      </c>
      <c r="B17" s="24" t="s">
        <v>15</v>
      </c>
      <c r="C17" s="24">
        <v>154</v>
      </c>
      <c r="D17" s="24"/>
      <c r="E17" s="24">
        <f t="shared" si="0"/>
        <v>8589</v>
      </c>
      <c r="F17" s="24" t="s">
        <v>46</v>
      </c>
    </row>
    <row r="18" spans="1:6">
      <c r="A18" s="21">
        <v>43374</v>
      </c>
      <c r="B18" s="9" t="s">
        <v>459</v>
      </c>
      <c r="C18" s="24">
        <v>2</v>
      </c>
      <c r="D18" s="24"/>
      <c r="E18" s="24">
        <f t="shared" si="0"/>
        <v>8591</v>
      </c>
      <c r="F18" s="24"/>
    </row>
    <row r="19" spans="1:6">
      <c r="A19" s="42">
        <v>43374</v>
      </c>
      <c r="B19" s="326" t="s">
        <v>16</v>
      </c>
      <c r="C19" s="24">
        <v>26</v>
      </c>
      <c r="D19" s="24"/>
      <c r="E19" s="24">
        <f t="shared" si="0"/>
        <v>8617</v>
      </c>
      <c r="F19" s="24"/>
    </row>
    <row r="20" spans="1:6">
      <c r="A20" s="42">
        <v>43374</v>
      </c>
      <c r="B20" s="326" t="s">
        <v>468</v>
      </c>
      <c r="C20" s="24">
        <v>4</v>
      </c>
      <c r="D20" s="24"/>
      <c r="E20" s="24">
        <f t="shared" si="0"/>
        <v>8621</v>
      </c>
      <c r="F20" s="24"/>
    </row>
    <row r="21" spans="1:6">
      <c r="A21" s="172">
        <v>43374</v>
      </c>
      <c r="B21" s="327" t="s">
        <v>469</v>
      </c>
      <c r="C21" s="24">
        <v>24</v>
      </c>
      <c r="D21" s="24"/>
      <c r="E21" s="24">
        <f t="shared" si="0"/>
        <v>8645</v>
      </c>
      <c r="F21" s="24"/>
    </row>
    <row r="22" spans="1:6">
      <c r="A22" s="21">
        <v>43374</v>
      </c>
      <c r="B22" s="326" t="s">
        <v>470</v>
      </c>
      <c r="C22" s="24">
        <v>2</v>
      </c>
      <c r="D22" s="24"/>
      <c r="E22" s="24">
        <f t="shared" si="0"/>
        <v>8647</v>
      </c>
      <c r="F22" s="327" t="s">
        <v>46</v>
      </c>
    </row>
    <row r="23" spans="1:6" ht="15">
      <c r="A23" s="49">
        <v>43405</v>
      </c>
      <c r="B23" s="35" t="s">
        <v>472</v>
      </c>
      <c r="C23" s="24">
        <v>15</v>
      </c>
      <c r="D23" s="24"/>
      <c r="E23" s="24">
        <f t="shared" si="0"/>
        <v>8662</v>
      </c>
      <c r="F23" s="24"/>
    </row>
    <row r="24" spans="1:6">
      <c r="A24" s="172">
        <v>43405</v>
      </c>
      <c r="B24" s="331" t="s">
        <v>15</v>
      </c>
      <c r="C24" s="24">
        <v>224</v>
      </c>
      <c r="D24" s="24"/>
      <c r="E24" s="24">
        <f t="shared" si="0"/>
        <v>8886</v>
      </c>
      <c r="F24" s="24"/>
    </row>
    <row r="25" spans="1:6">
      <c r="A25" s="21">
        <v>43435</v>
      </c>
      <c r="B25" s="330" t="s">
        <v>445</v>
      </c>
      <c r="C25" s="24">
        <v>91</v>
      </c>
      <c r="D25" s="24"/>
      <c r="E25" s="24">
        <f t="shared" si="0"/>
        <v>8977</v>
      </c>
      <c r="F25" s="24"/>
    </row>
    <row r="26" spans="1:6">
      <c r="A26" s="172">
        <v>43405</v>
      </c>
      <c r="B26" s="331" t="s">
        <v>484</v>
      </c>
      <c r="C26" s="24">
        <v>167</v>
      </c>
      <c r="D26" s="24"/>
      <c r="E26" s="24">
        <f t="shared" si="0"/>
        <v>9144</v>
      </c>
      <c r="F26" s="331" t="s">
        <v>46</v>
      </c>
    </row>
    <row r="27" spans="1:6">
      <c r="A27" s="334" t="s">
        <v>488</v>
      </c>
      <c r="B27" s="334" t="s">
        <v>489</v>
      </c>
      <c r="C27" s="24">
        <v>20</v>
      </c>
      <c r="D27" s="24"/>
      <c r="E27" s="24">
        <f t="shared" si="0"/>
        <v>9164</v>
      </c>
      <c r="F27" s="24"/>
    </row>
    <row r="28" spans="1:6">
      <c r="A28" s="342" t="s">
        <v>500</v>
      </c>
      <c r="B28" s="341" t="s">
        <v>15</v>
      </c>
      <c r="C28" s="24">
        <v>23</v>
      </c>
      <c r="D28" s="24"/>
      <c r="E28" s="24">
        <f t="shared" si="0"/>
        <v>9187</v>
      </c>
      <c r="F28" s="24"/>
    </row>
    <row r="29" spans="1:6">
      <c r="A29" s="342" t="s">
        <v>500</v>
      </c>
      <c r="B29" s="341" t="s">
        <v>16</v>
      </c>
      <c r="C29" s="24">
        <v>23</v>
      </c>
      <c r="D29" s="24"/>
      <c r="E29" s="24">
        <f t="shared" si="0"/>
        <v>9210</v>
      </c>
      <c r="F29" s="24"/>
    </row>
    <row r="30" spans="1:6">
      <c r="A30" s="343" t="s">
        <v>509</v>
      </c>
      <c r="B30" s="344" t="s">
        <v>462</v>
      </c>
      <c r="C30" s="24">
        <v>60</v>
      </c>
      <c r="D30" s="24"/>
      <c r="E30" s="24">
        <f t="shared" si="0"/>
        <v>9270</v>
      </c>
      <c r="F30" s="344" t="s">
        <v>46</v>
      </c>
    </row>
    <row r="31" spans="1:6">
      <c r="A31" s="347" t="s">
        <v>516</v>
      </c>
      <c r="B31" s="348" t="s">
        <v>452</v>
      </c>
      <c r="C31" s="24">
        <v>3</v>
      </c>
      <c r="D31" s="24"/>
      <c r="E31" s="24">
        <f t="shared" si="0"/>
        <v>9273</v>
      </c>
      <c r="F31" s="24"/>
    </row>
    <row r="32" spans="1:6">
      <c r="A32" s="349" t="s">
        <v>516</v>
      </c>
      <c r="B32" s="350" t="s">
        <v>519</v>
      </c>
      <c r="C32" s="24">
        <v>40</v>
      </c>
      <c r="D32" s="24"/>
      <c r="E32" s="24">
        <f t="shared" si="0"/>
        <v>9313</v>
      </c>
      <c r="F32" s="24"/>
    </row>
    <row r="33" spans="1:6">
      <c r="A33" s="349" t="s">
        <v>516</v>
      </c>
      <c r="B33" s="350" t="s">
        <v>521</v>
      </c>
      <c r="C33" s="24">
        <v>77</v>
      </c>
      <c r="D33" s="24"/>
      <c r="E33" s="24">
        <f t="shared" si="0"/>
        <v>9390</v>
      </c>
      <c r="F33" s="24"/>
    </row>
    <row r="34" spans="1:6">
      <c r="A34" s="347" t="s">
        <v>516</v>
      </c>
      <c r="B34" s="348" t="s">
        <v>433</v>
      </c>
      <c r="C34" s="24">
        <v>49</v>
      </c>
      <c r="D34" s="24"/>
      <c r="E34" s="24">
        <f t="shared" si="0"/>
        <v>9439</v>
      </c>
      <c r="F34" s="24"/>
    </row>
    <row r="35" spans="1:6">
      <c r="A35" s="347" t="s">
        <v>516</v>
      </c>
      <c r="B35" s="348" t="s">
        <v>525</v>
      </c>
      <c r="C35" s="24">
        <v>4</v>
      </c>
      <c r="D35" s="24"/>
      <c r="E35" s="24">
        <f t="shared" si="0"/>
        <v>9443</v>
      </c>
      <c r="F35" s="24"/>
    </row>
    <row r="36" spans="1:6">
      <c r="A36" s="347" t="s">
        <v>526</v>
      </c>
      <c r="B36" s="348" t="s">
        <v>462</v>
      </c>
      <c r="C36" s="24">
        <v>38</v>
      </c>
      <c r="D36" s="24"/>
      <c r="E36" s="24">
        <f t="shared" si="0"/>
        <v>9481</v>
      </c>
      <c r="F36" s="24"/>
    </row>
    <row r="37" spans="1:6">
      <c r="A37" s="349" t="s">
        <v>526</v>
      </c>
      <c r="B37" s="350" t="s">
        <v>24</v>
      </c>
      <c r="C37" s="24">
        <v>10</v>
      </c>
      <c r="D37" s="24"/>
      <c r="E37" s="24">
        <f t="shared" si="0"/>
        <v>9491</v>
      </c>
      <c r="F37" s="24"/>
    </row>
    <row r="38" spans="1:6">
      <c r="A38" s="349" t="s">
        <v>526</v>
      </c>
      <c r="B38" s="350" t="s">
        <v>530</v>
      </c>
      <c r="C38" s="24"/>
      <c r="D38" s="24">
        <v>100</v>
      </c>
      <c r="E38" s="24">
        <f t="shared" si="0"/>
        <v>9391</v>
      </c>
      <c r="F38" s="24"/>
    </row>
    <row r="39" spans="1:6">
      <c r="A39" s="347" t="s">
        <v>531</v>
      </c>
      <c r="B39" s="348" t="s">
        <v>445</v>
      </c>
      <c r="C39" s="24">
        <v>26</v>
      </c>
      <c r="D39" s="24"/>
      <c r="E39" s="24">
        <f t="shared" si="0"/>
        <v>9417</v>
      </c>
      <c r="F39" s="24"/>
    </row>
    <row r="40" spans="1:6">
      <c r="A40" s="347" t="s">
        <v>531</v>
      </c>
      <c r="B40" s="348" t="s">
        <v>16</v>
      </c>
      <c r="C40" s="24">
        <v>13</v>
      </c>
      <c r="D40" s="24"/>
      <c r="E40" s="24">
        <f t="shared" si="0"/>
        <v>9430</v>
      </c>
      <c r="F40" s="350" t="s">
        <v>46</v>
      </c>
    </row>
    <row r="41" spans="1:6">
      <c r="A41" s="125" t="s">
        <v>541</v>
      </c>
      <c r="B41" s="9" t="s">
        <v>520</v>
      </c>
      <c r="C41" s="24">
        <v>51</v>
      </c>
      <c r="D41" s="24"/>
      <c r="E41" s="24">
        <f t="shared" si="0"/>
        <v>9481</v>
      </c>
      <c r="F41" s="354" t="s">
        <v>46</v>
      </c>
    </row>
    <row r="42" spans="1:6">
      <c r="A42" s="365" t="s">
        <v>557</v>
      </c>
      <c r="B42" s="365" t="s">
        <v>433</v>
      </c>
      <c r="C42" s="24">
        <v>22</v>
      </c>
      <c r="D42" s="24"/>
      <c r="E42" s="24">
        <f t="shared" si="0"/>
        <v>9503</v>
      </c>
      <c r="F42" s="24"/>
    </row>
    <row r="43" spans="1:6">
      <c r="A43" s="369" t="s">
        <v>564</v>
      </c>
      <c r="B43" s="369" t="s">
        <v>565</v>
      </c>
      <c r="C43" s="24">
        <v>18</v>
      </c>
      <c r="D43" s="24"/>
      <c r="E43" s="24">
        <f t="shared" si="0"/>
        <v>9521</v>
      </c>
      <c r="F43" s="24"/>
    </row>
    <row r="44" spans="1:6">
      <c r="A44" s="370" t="s">
        <v>569</v>
      </c>
      <c r="B44" s="371" t="s">
        <v>24</v>
      </c>
      <c r="C44" s="24">
        <v>30</v>
      </c>
      <c r="D44" s="24"/>
      <c r="E44" s="24">
        <f t="shared" si="0"/>
        <v>9551</v>
      </c>
      <c r="F44" s="24"/>
    </row>
    <row r="45" spans="1:6">
      <c r="A45" s="370" t="s">
        <v>569</v>
      </c>
      <c r="B45" s="371" t="s">
        <v>8</v>
      </c>
      <c r="C45" s="24">
        <v>22</v>
      </c>
      <c r="D45" s="24"/>
      <c r="E45" s="24">
        <f t="shared" si="0"/>
        <v>9573</v>
      </c>
      <c r="F45" s="24"/>
    </row>
    <row r="46" spans="1:6">
      <c r="A46" s="370" t="s">
        <v>569</v>
      </c>
      <c r="B46" s="371" t="s">
        <v>579</v>
      </c>
      <c r="C46" s="24"/>
      <c r="D46" s="24">
        <v>67</v>
      </c>
      <c r="E46" s="24">
        <f t="shared" si="0"/>
        <v>9506</v>
      </c>
      <c r="F46" s="371" t="s">
        <v>46</v>
      </c>
    </row>
    <row r="47" spans="1:6">
      <c r="A47" s="376" t="s">
        <v>581</v>
      </c>
      <c r="B47" s="377" t="s">
        <v>560</v>
      </c>
      <c r="C47" s="24"/>
      <c r="D47" s="24">
        <v>133</v>
      </c>
      <c r="E47" s="24">
        <f t="shared" si="0"/>
        <v>9373</v>
      </c>
      <c r="F47" s="24"/>
    </row>
    <row r="48" spans="1:6">
      <c r="A48" s="377" t="s">
        <v>585</v>
      </c>
      <c r="B48" s="377" t="s">
        <v>8</v>
      </c>
      <c r="C48" s="24">
        <v>3</v>
      </c>
      <c r="D48" s="24"/>
      <c r="E48" s="24">
        <f t="shared" si="0"/>
        <v>9376</v>
      </c>
      <c r="F48" s="24"/>
    </row>
    <row r="49" spans="1:6">
      <c r="A49" s="375" t="s">
        <v>586</v>
      </c>
      <c r="B49" s="375" t="s">
        <v>445</v>
      </c>
      <c r="C49" s="24">
        <v>11</v>
      </c>
      <c r="D49" s="24"/>
      <c r="E49" s="24">
        <f t="shared" si="0"/>
        <v>9387</v>
      </c>
      <c r="F49" s="377" t="s">
        <v>46</v>
      </c>
    </row>
    <row r="50" spans="1:6">
      <c r="A50" s="380" t="s">
        <v>594</v>
      </c>
      <c r="B50" s="381" t="s">
        <v>16</v>
      </c>
      <c r="C50" s="24">
        <v>21</v>
      </c>
      <c r="D50" s="24"/>
      <c r="E50" s="24">
        <f t="shared" si="0"/>
        <v>9408</v>
      </c>
      <c r="F50" s="382" t="s">
        <v>46</v>
      </c>
    </row>
    <row r="51" spans="1:6">
      <c r="A51" s="9" t="s">
        <v>598</v>
      </c>
      <c r="B51" s="9" t="s">
        <v>587</v>
      </c>
      <c r="C51" s="24">
        <v>10</v>
      </c>
      <c r="D51" s="24"/>
      <c r="E51" s="24">
        <f t="shared" si="0"/>
        <v>9418</v>
      </c>
      <c r="F51" s="387" t="s">
        <v>46</v>
      </c>
    </row>
    <row r="52" spans="1:6">
      <c r="A52" s="42">
        <v>43102</v>
      </c>
      <c r="B52" s="390" t="s">
        <v>560</v>
      </c>
      <c r="C52" s="24"/>
      <c r="D52" s="24">
        <v>200</v>
      </c>
      <c r="E52" s="24">
        <f t="shared" si="0"/>
        <v>9218</v>
      </c>
      <c r="F52" s="24"/>
    </row>
    <row r="53" spans="1:6">
      <c r="A53" s="21">
        <v>43161</v>
      </c>
      <c r="B53" s="398" t="s">
        <v>587</v>
      </c>
      <c r="C53" s="24">
        <v>11</v>
      </c>
      <c r="D53" s="24"/>
      <c r="E53" s="24">
        <f t="shared" si="0"/>
        <v>9229</v>
      </c>
      <c r="F53" s="24"/>
    </row>
    <row r="54" spans="1:6">
      <c r="A54" s="172">
        <v>43161</v>
      </c>
      <c r="B54" s="399" t="s">
        <v>602</v>
      </c>
      <c r="C54" s="24">
        <v>4</v>
      </c>
      <c r="D54" s="24"/>
      <c r="E54" s="24">
        <f t="shared" si="0"/>
        <v>9233</v>
      </c>
      <c r="F54" s="399" t="s">
        <v>46</v>
      </c>
    </row>
    <row r="55" spans="1:6">
      <c r="A55" s="42">
        <v>43222</v>
      </c>
      <c r="B55" s="401" t="s">
        <v>587</v>
      </c>
      <c r="C55" s="24">
        <v>44</v>
      </c>
      <c r="D55" s="24"/>
      <c r="E55" s="24">
        <f t="shared" si="0"/>
        <v>9277</v>
      </c>
      <c r="F55" s="24"/>
    </row>
    <row r="56" spans="1:6">
      <c r="A56" s="42">
        <v>43222</v>
      </c>
      <c r="B56" s="401" t="s">
        <v>604</v>
      </c>
      <c r="C56" s="24">
        <v>1</v>
      </c>
      <c r="D56" s="24"/>
      <c r="E56" s="24">
        <f t="shared" si="0"/>
        <v>9278</v>
      </c>
      <c r="F56" s="24"/>
    </row>
    <row r="57" spans="1:6">
      <c r="A57" s="21">
        <v>43222</v>
      </c>
      <c r="B57" s="401" t="s">
        <v>520</v>
      </c>
      <c r="C57" s="24">
        <v>24</v>
      </c>
      <c r="D57" s="24"/>
      <c r="E57" s="24">
        <f t="shared" si="0"/>
        <v>9302</v>
      </c>
      <c r="F57" s="24"/>
    </row>
    <row r="58" spans="1:6">
      <c r="A58" s="21">
        <v>43222</v>
      </c>
      <c r="B58" s="401" t="s">
        <v>606</v>
      </c>
      <c r="C58" s="24">
        <v>24</v>
      </c>
      <c r="D58" s="24"/>
      <c r="E58" s="24">
        <f t="shared" si="0"/>
        <v>9326</v>
      </c>
      <c r="F58" s="402" t="s">
        <v>46</v>
      </c>
    </row>
    <row r="59" spans="1:6">
      <c r="A59" s="42">
        <v>43253</v>
      </c>
      <c r="B59" s="9" t="s">
        <v>608</v>
      </c>
      <c r="C59" s="24">
        <v>14</v>
      </c>
      <c r="D59" s="24"/>
      <c r="E59" s="24">
        <f t="shared" si="0"/>
        <v>9340</v>
      </c>
      <c r="F59" s="24"/>
    </row>
    <row r="60" spans="1:6">
      <c r="A60" s="21">
        <v>43253</v>
      </c>
      <c r="B60" s="9" t="s">
        <v>609</v>
      </c>
      <c r="C60" s="24">
        <v>12</v>
      </c>
      <c r="D60" s="24"/>
      <c r="E60" s="24">
        <f t="shared" si="0"/>
        <v>9352</v>
      </c>
      <c r="F60" s="408" t="s">
        <v>46</v>
      </c>
    </row>
    <row r="61" spans="1:6">
      <c r="A61" s="42">
        <v>43283</v>
      </c>
      <c r="B61" s="411" t="s">
        <v>613</v>
      </c>
      <c r="C61" s="24">
        <v>3</v>
      </c>
      <c r="D61" s="24"/>
      <c r="E61" s="24">
        <f t="shared" si="0"/>
        <v>9355</v>
      </c>
      <c r="F61" s="24"/>
    </row>
    <row r="62" spans="1:6">
      <c r="A62" s="42">
        <v>43314</v>
      </c>
      <c r="B62" s="411" t="s">
        <v>510</v>
      </c>
      <c r="C62" s="24">
        <v>3</v>
      </c>
      <c r="D62" s="24"/>
      <c r="E62" s="24">
        <f t="shared" si="0"/>
        <v>9358</v>
      </c>
      <c r="F62" s="24"/>
    </row>
    <row r="63" spans="1:6">
      <c r="A63" s="21">
        <v>43314</v>
      </c>
      <c r="B63" s="411" t="s">
        <v>621</v>
      </c>
      <c r="C63" s="24">
        <v>10</v>
      </c>
      <c r="D63" s="24"/>
      <c r="E63" s="24">
        <f t="shared" si="0"/>
        <v>9368</v>
      </c>
      <c r="F63" s="24"/>
    </row>
    <row r="64" spans="1:6">
      <c r="A64" s="322">
        <v>43324</v>
      </c>
      <c r="B64" s="25" t="s">
        <v>587</v>
      </c>
      <c r="C64" s="24">
        <v>7</v>
      </c>
      <c r="D64" s="24"/>
      <c r="E64" s="24">
        <f t="shared" si="0"/>
        <v>9375</v>
      </c>
      <c r="F64" s="412" t="s">
        <v>46</v>
      </c>
    </row>
    <row r="65" spans="1:6">
      <c r="A65" s="21">
        <v>43345</v>
      </c>
      <c r="B65" s="415" t="s">
        <v>623</v>
      </c>
      <c r="C65" s="24">
        <v>11</v>
      </c>
      <c r="D65" s="24"/>
      <c r="E65" s="24">
        <f t="shared" si="0"/>
        <v>9386</v>
      </c>
      <c r="F65" s="24"/>
    </row>
    <row r="66" spans="1:6">
      <c r="A66" s="21">
        <v>43345</v>
      </c>
      <c r="B66" s="415" t="s">
        <v>624</v>
      </c>
      <c r="C66" s="24">
        <v>22</v>
      </c>
      <c r="D66" s="24"/>
      <c r="E66" s="24">
        <f t="shared" si="0"/>
        <v>9408</v>
      </c>
      <c r="F66" s="24"/>
    </row>
    <row r="67" spans="1:6">
      <c r="A67" s="42">
        <v>43345</v>
      </c>
      <c r="B67" s="415" t="s">
        <v>560</v>
      </c>
      <c r="C67" s="24"/>
      <c r="D67" s="24">
        <v>1</v>
      </c>
      <c r="E67" s="24">
        <f t="shared" si="0"/>
        <v>9407</v>
      </c>
      <c r="F67" s="416" t="s">
        <v>46</v>
      </c>
    </row>
    <row r="68" spans="1:6">
      <c r="A68" s="21">
        <v>43406</v>
      </c>
      <c r="B68" s="422" t="s">
        <v>580</v>
      </c>
      <c r="C68" s="24"/>
      <c r="D68" s="24">
        <v>100</v>
      </c>
      <c r="E68" s="24">
        <f t="shared" si="0"/>
        <v>9307</v>
      </c>
      <c r="F68" s="24"/>
    </row>
    <row r="69" spans="1:6">
      <c r="A69" s="424">
        <v>43436</v>
      </c>
      <c r="B69" s="423" t="s">
        <v>628</v>
      </c>
      <c r="C69" s="604">
        <v>141</v>
      </c>
      <c r="D69" s="24"/>
      <c r="E69" s="24">
        <f t="shared" si="0"/>
        <v>9448</v>
      </c>
      <c r="F69" s="24"/>
    </row>
    <row r="70" spans="1:6">
      <c r="A70" s="21">
        <v>43436</v>
      </c>
      <c r="B70" s="422" t="s">
        <v>580</v>
      </c>
      <c r="C70" s="24"/>
      <c r="D70" s="24">
        <v>170</v>
      </c>
      <c r="E70" s="24">
        <f t="shared" ref="E70:E74" si="1">E69+C70-D70</f>
        <v>9278</v>
      </c>
      <c r="F70" s="423" t="s">
        <v>46</v>
      </c>
    </row>
    <row r="71" spans="1:6">
      <c r="A71" s="429" t="s">
        <v>630</v>
      </c>
      <c r="B71" s="429" t="s">
        <v>510</v>
      </c>
      <c r="C71" s="24">
        <v>7</v>
      </c>
      <c r="D71" s="24"/>
      <c r="E71" s="24">
        <f t="shared" si="1"/>
        <v>9285</v>
      </c>
      <c r="F71" s="24"/>
    </row>
    <row r="72" spans="1:6">
      <c r="A72" s="430" t="s">
        <v>630</v>
      </c>
      <c r="B72" s="429" t="s">
        <v>587</v>
      </c>
      <c r="C72" s="24">
        <v>15</v>
      </c>
      <c r="D72" s="24"/>
      <c r="E72" s="24">
        <f t="shared" si="1"/>
        <v>9300</v>
      </c>
      <c r="F72" s="24"/>
    </row>
    <row r="73" spans="1:6">
      <c r="A73" s="430" t="s">
        <v>636</v>
      </c>
      <c r="B73" s="429" t="s">
        <v>16</v>
      </c>
      <c r="C73" s="24">
        <v>27</v>
      </c>
      <c r="D73" s="24"/>
      <c r="E73" s="24">
        <f t="shared" si="1"/>
        <v>9327</v>
      </c>
      <c r="F73" s="24"/>
    </row>
    <row r="74" spans="1:6">
      <c r="A74" s="429" t="s">
        <v>636</v>
      </c>
      <c r="B74" s="429" t="s">
        <v>637</v>
      </c>
      <c r="C74" s="24">
        <v>3</v>
      </c>
      <c r="D74" s="24"/>
      <c r="E74" s="24">
        <f t="shared" si="1"/>
        <v>9330</v>
      </c>
      <c r="F74" s="431" t="s">
        <v>46</v>
      </c>
    </row>
    <row r="75" spans="1:6">
      <c r="A75" s="436" t="s">
        <v>644</v>
      </c>
      <c r="B75" s="437" t="s">
        <v>616</v>
      </c>
      <c r="C75" s="24">
        <v>26</v>
      </c>
      <c r="D75" s="24"/>
      <c r="E75" s="24">
        <f>E74+C75-D75</f>
        <v>9356</v>
      </c>
      <c r="F75" s="438" t="s">
        <v>46</v>
      </c>
    </row>
    <row r="76" spans="1:6">
      <c r="A76" s="443" t="s">
        <v>651</v>
      </c>
      <c r="B76" s="444" t="s">
        <v>616</v>
      </c>
      <c r="C76" s="24">
        <v>89</v>
      </c>
      <c r="D76" s="24"/>
      <c r="E76" s="24">
        <f t="shared" ref="E76:E107" si="2">E75+C76-D76</f>
        <v>9445</v>
      </c>
      <c r="F76" s="24"/>
    </row>
    <row r="77" spans="1:6">
      <c r="A77" s="445" t="s">
        <v>651</v>
      </c>
      <c r="B77" s="445" t="s">
        <v>587</v>
      </c>
      <c r="C77" s="24">
        <v>14</v>
      </c>
      <c r="D77" s="24"/>
      <c r="E77" s="24">
        <f t="shared" si="2"/>
        <v>9459</v>
      </c>
      <c r="F77" s="24"/>
    </row>
    <row r="78" spans="1:6">
      <c r="A78" s="446" t="s">
        <v>651</v>
      </c>
      <c r="B78" s="445" t="s">
        <v>434</v>
      </c>
      <c r="C78" s="24">
        <v>3</v>
      </c>
      <c r="D78" s="24"/>
      <c r="E78" s="24">
        <f t="shared" si="2"/>
        <v>9462</v>
      </c>
      <c r="F78" s="24"/>
    </row>
    <row r="79" spans="1:6">
      <c r="A79" s="446" t="s">
        <v>651</v>
      </c>
      <c r="B79" s="445" t="s">
        <v>434</v>
      </c>
      <c r="C79" s="24">
        <v>21</v>
      </c>
      <c r="D79" s="24"/>
      <c r="E79" s="24">
        <f t="shared" si="2"/>
        <v>9483</v>
      </c>
      <c r="F79" s="24"/>
    </row>
    <row r="80" spans="1:6">
      <c r="A80" s="446" t="s">
        <v>651</v>
      </c>
      <c r="B80" s="445" t="s">
        <v>434</v>
      </c>
      <c r="C80" s="24">
        <v>14</v>
      </c>
      <c r="D80" s="24"/>
      <c r="E80" s="24">
        <f t="shared" si="2"/>
        <v>9497</v>
      </c>
      <c r="F80" s="24"/>
    </row>
    <row r="81" spans="1:6">
      <c r="A81" s="444" t="s">
        <v>651</v>
      </c>
      <c r="B81" s="444" t="s">
        <v>655</v>
      </c>
      <c r="C81" s="24">
        <v>34</v>
      </c>
      <c r="D81" s="24"/>
      <c r="E81" s="24">
        <f t="shared" si="2"/>
        <v>9531</v>
      </c>
      <c r="F81" s="24"/>
    </row>
    <row r="82" spans="1:6">
      <c r="A82" s="448" t="s">
        <v>661</v>
      </c>
      <c r="B82" s="449" t="s">
        <v>663</v>
      </c>
      <c r="C82" s="24">
        <v>78</v>
      </c>
      <c r="D82" s="24"/>
      <c r="E82" s="24">
        <f t="shared" si="2"/>
        <v>9609</v>
      </c>
      <c r="F82" s="24"/>
    </row>
    <row r="83" spans="1:6">
      <c r="A83" s="125" t="s">
        <v>661</v>
      </c>
      <c r="B83" s="9" t="s">
        <v>655</v>
      </c>
      <c r="C83" s="24">
        <v>68</v>
      </c>
      <c r="D83" s="24"/>
      <c r="E83" s="24">
        <f t="shared" si="2"/>
        <v>9677</v>
      </c>
      <c r="F83" s="450"/>
    </row>
    <row r="84" spans="1:6">
      <c r="A84" s="457" t="s">
        <v>669</v>
      </c>
      <c r="B84" s="457" t="s">
        <v>560</v>
      </c>
      <c r="C84" s="24"/>
      <c r="D84" s="24">
        <v>1</v>
      </c>
      <c r="E84" s="24">
        <f t="shared" si="2"/>
        <v>9676</v>
      </c>
      <c r="F84" s="24"/>
    </row>
    <row r="85" spans="1:6">
      <c r="A85" s="463" t="s">
        <v>677</v>
      </c>
      <c r="B85" s="462" t="s">
        <v>685</v>
      </c>
      <c r="C85" s="24">
        <v>35</v>
      </c>
      <c r="D85" s="24"/>
      <c r="E85" s="24">
        <f t="shared" si="2"/>
        <v>9711</v>
      </c>
      <c r="F85" s="464"/>
    </row>
    <row r="86" spans="1:6">
      <c r="A86" s="469" t="s">
        <v>687</v>
      </c>
      <c r="B86" s="467" t="s">
        <v>688</v>
      </c>
      <c r="C86" s="24">
        <v>36</v>
      </c>
      <c r="D86" s="24"/>
      <c r="E86" s="24">
        <f t="shared" si="2"/>
        <v>9747</v>
      </c>
      <c r="F86" s="468"/>
    </row>
    <row r="87" spans="1:6">
      <c r="A87" s="319">
        <v>43103</v>
      </c>
      <c r="B87" s="7" t="s">
        <v>15</v>
      </c>
      <c r="C87" s="24">
        <v>100</v>
      </c>
      <c r="D87" s="24"/>
      <c r="E87" s="24">
        <f t="shared" si="2"/>
        <v>9847</v>
      </c>
      <c r="F87" s="24"/>
    </row>
    <row r="88" spans="1:6">
      <c r="A88" s="172">
        <v>43103</v>
      </c>
      <c r="B88" s="24" t="s">
        <v>705</v>
      </c>
      <c r="C88" s="24"/>
      <c r="D88" s="24">
        <v>200</v>
      </c>
      <c r="E88" s="24">
        <f t="shared" si="2"/>
        <v>9647</v>
      </c>
      <c r="F88" s="485"/>
    </row>
    <row r="89" spans="1:6">
      <c r="A89" s="483">
        <v>43223</v>
      </c>
      <c r="B89" s="492" t="s">
        <v>510</v>
      </c>
      <c r="C89" s="24">
        <v>13</v>
      </c>
      <c r="D89" s="24"/>
      <c r="E89" s="24">
        <f t="shared" si="2"/>
        <v>9660</v>
      </c>
      <c r="F89" s="24"/>
    </row>
    <row r="90" spans="1:6">
      <c r="A90" s="21">
        <v>43254</v>
      </c>
      <c r="B90" s="492" t="s">
        <v>708</v>
      </c>
      <c r="C90" s="24">
        <v>15</v>
      </c>
      <c r="D90" s="24"/>
      <c r="E90" s="24">
        <f t="shared" si="2"/>
        <v>9675</v>
      </c>
      <c r="F90" s="24"/>
    </row>
    <row r="91" spans="1:6">
      <c r="A91" s="483">
        <v>43254</v>
      </c>
      <c r="B91" s="492" t="s">
        <v>715</v>
      </c>
      <c r="C91" s="24">
        <v>39</v>
      </c>
      <c r="D91" s="24"/>
      <c r="E91" s="24">
        <f t="shared" si="2"/>
        <v>9714</v>
      </c>
      <c r="F91" s="493"/>
    </row>
    <row r="92" spans="1:6">
      <c r="A92" s="42">
        <v>43284</v>
      </c>
      <c r="B92" s="9" t="s">
        <v>655</v>
      </c>
      <c r="C92" s="24">
        <v>63</v>
      </c>
      <c r="D92" s="24"/>
      <c r="E92" s="24">
        <f t="shared" si="2"/>
        <v>9777</v>
      </c>
      <c r="F92" s="24"/>
    </row>
    <row r="93" spans="1:6">
      <c r="A93" s="172">
        <v>43284</v>
      </c>
      <c r="B93" s="24" t="s">
        <v>708</v>
      </c>
      <c r="C93" s="24">
        <v>15</v>
      </c>
      <c r="D93" s="24"/>
      <c r="E93" s="24">
        <f t="shared" si="2"/>
        <v>9792</v>
      </c>
      <c r="F93" s="24"/>
    </row>
    <row r="94" spans="1:6">
      <c r="A94" s="42">
        <v>43315</v>
      </c>
      <c r="B94" s="497" t="s">
        <v>462</v>
      </c>
      <c r="C94" s="24">
        <v>19</v>
      </c>
      <c r="D94" s="24"/>
      <c r="E94" s="24">
        <f t="shared" si="2"/>
        <v>9811</v>
      </c>
      <c r="F94" s="24"/>
    </row>
    <row r="95" spans="1:6">
      <c r="A95" s="21">
        <v>43376</v>
      </c>
      <c r="B95" s="498" t="s">
        <v>554</v>
      </c>
      <c r="C95" s="24">
        <v>40</v>
      </c>
      <c r="D95" s="24"/>
      <c r="E95" s="24">
        <f t="shared" si="2"/>
        <v>9851</v>
      </c>
      <c r="F95" s="499"/>
    </row>
    <row r="96" spans="1:6">
      <c r="A96" s="42">
        <v>43437</v>
      </c>
      <c r="B96" s="502" t="s">
        <v>8</v>
      </c>
      <c r="C96" s="24">
        <v>4</v>
      </c>
      <c r="D96" s="24"/>
      <c r="E96" s="24">
        <f t="shared" si="2"/>
        <v>9855</v>
      </c>
      <c r="F96" s="24"/>
    </row>
    <row r="97" spans="1:6">
      <c r="A97" s="502" t="s">
        <v>728</v>
      </c>
      <c r="B97" s="502" t="s">
        <v>15</v>
      </c>
      <c r="C97" s="24">
        <v>24</v>
      </c>
      <c r="D97" s="24"/>
      <c r="E97" s="24">
        <f t="shared" si="2"/>
        <v>9879</v>
      </c>
      <c r="F97" s="503" t="s">
        <v>46</v>
      </c>
    </row>
    <row r="98" spans="1:6">
      <c r="A98" s="507" t="s">
        <v>731</v>
      </c>
      <c r="B98" s="508" t="s">
        <v>510</v>
      </c>
      <c r="C98" s="24">
        <v>4</v>
      </c>
      <c r="D98" s="24"/>
      <c r="E98" s="24">
        <f t="shared" si="2"/>
        <v>9883</v>
      </c>
      <c r="F98" s="24"/>
    </row>
    <row r="99" spans="1:6">
      <c r="A99" s="174" t="s">
        <v>732</v>
      </c>
      <c r="B99" s="24" t="s">
        <v>24</v>
      </c>
      <c r="C99" s="24">
        <v>14</v>
      </c>
      <c r="D99" s="24"/>
      <c r="E99" s="24">
        <f t="shared" si="2"/>
        <v>9897</v>
      </c>
      <c r="F99" s="24"/>
    </row>
    <row r="100" spans="1:6">
      <c r="A100" s="507" t="s">
        <v>732</v>
      </c>
      <c r="B100" s="508" t="s">
        <v>734</v>
      </c>
      <c r="C100" s="24"/>
      <c r="D100" s="24">
        <v>100</v>
      </c>
      <c r="E100" s="24">
        <f t="shared" si="2"/>
        <v>9797</v>
      </c>
      <c r="F100" s="509"/>
    </row>
    <row r="101" spans="1:6">
      <c r="A101" s="125" t="s">
        <v>735</v>
      </c>
      <c r="B101" s="9" t="s">
        <v>708</v>
      </c>
      <c r="C101" s="24">
        <v>12</v>
      </c>
      <c r="D101" s="24"/>
      <c r="E101" s="24">
        <f t="shared" si="2"/>
        <v>9809</v>
      </c>
      <c r="F101" s="24"/>
    </row>
    <row r="102" spans="1:6">
      <c r="A102" s="174" t="s">
        <v>735</v>
      </c>
      <c r="B102" s="24" t="s">
        <v>17</v>
      </c>
      <c r="C102" s="24"/>
      <c r="D102" s="24">
        <v>100</v>
      </c>
      <c r="E102" s="24">
        <f t="shared" si="2"/>
        <v>9709</v>
      </c>
      <c r="F102" s="24"/>
    </row>
    <row r="103" spans="1:6">
      <c r="A103" s="513" t="s">
        <v>738</v>
      </c>
      <c r="B103" s="513" t="s">
        <v>741</v>
      </c>
      <c r="C103" s="9"/>
      <c r="D103" s="9">
        <v>16</v>
      </c>
      <c r="E103" s="24">
        <f t="shared" si="2"/>
        <v>9693</v>
      </c>
      <c r="F103" s="514"/>
    </row>
    <row r="104" spans="1:6">
      <c r="A104" s="521" t="s">
        <v>743</v>
      </c>
      <c r="B104" s="521" t="s">
        <v>24</v>
      </c>
      <c r="C104" s="24">
        <v>2</v>
      </c>
      <c r="D104" s="24"/>
      <c r="E104" s="24">
        <f t="shared" si="2"/>
        <v>9695</v>
      </c>
      <c r="F104" s="24"/>
    </row>
    <row r="105" spans="1:6">
      <c r="A105" s="523" t="s">
        <v>743</v>
      </c>
      <c r="B105" s="524" t="s">
        <v>8</v>
      </c>
      <c r="C105" s="24">
        <v>6</v>
      </c>
      <c r="D105" s="24"/>
      <c r="E105" s="24">
        <f t="shared" si="2"/>
        <v>9701</v>
      </c>
      <c r="F105" s="524"/>
    </row>
    <row r="106" spans="1:6">
      <c r="A106" s="532" t="s">
        <v>744</v>
      </c>
      <c r="B106" s="531" t="s">
        <v>16</v>
      </c>
      <c r="C106" s="24">
        <v>23</v>
      </c>
      <c r="D106" s="24"/>
      <c r="E106" s="24">
        <f t="shared" si="2"/>
        <v>9724</v>
      </c>
      <c r="F106" s="531"/>
    </row>
    <row r="107" spans="1:6">
      <c r="A107" s="537" t="s">
        <v>755</v>
      </c>
      <c r="B107" s="537" t="s">
        <v>24</v>
      </c>
      <c r="C107" s="24">
        <v>8</v>
      </c>
      <c r="D107" s="24"/>
      <c r="E107" s="24">
        <f t="shared" si="2"/>
        <v>9732</v>
      </c>
      <c r="F107" s="24"/>
    </row>
    <row r="108" spans="1:6">
      <c r="A108" s="539" t="s">
        <v>755</v>
      </c>
      <c r="B108" s="538" t="s">
        <v>459</v>
      </c>
      <c r="C108" s="24">
        <v>8</v>
      </c>
      <c r="D108" s="24"/>
      <c r="E108" s="24">
        <f>E107+C108-D108</f>
        <v>9740</v>
      </c>
      <c r="F108" s="537"/>
    </row>
    <row r="109" spans="1:6">
      <c r="A109" s="42">
        <v>43135</v>
      </c>
      <c r="B109" s="548" t="s">
        <v>8</v>
      </c>
      <c r="C109" s="24">
        <v>1</v>
      </c>
      <c r="D109" s="24"/>
      <c r="E109" s="24">
        <f t="shared" ref="E109:E131" si="3">E108+C109-D109</f>
        <v>9741</v>
      </c>
      <c r="F109" s="24"/>
    </row>
    <row r="110" spans="1:6">
      <c r="A110" s="172">
        <v>43135</v>
      </c>
      <c r="B110" s="549" t="s">
        <v>773</v>
      </c>
      <c r="C110" s="24"/>
      <c r="D110" s="24">
        <v>12</v>
      </c>
      <c r="E110" s="24">
        <f t="shared" si="3"/>
        <v>9729</v>
      </c>
      <c r="F110" s="549"/>
    </row>
    <row r="111" spans="1:6">
      <c r="A111" s="42">
        <v>43255</v>
      </c>
      <c r="B111" s="554" t="s">
        <v>15</v>
      </c>
      <c r="C111" s="24">
        <v>120</v>
      </c>
      <c r="D111" s="24"/>
      <c r="E111" s="24">
        <f t="shared" si="3"/>
        <v>9849</v>
      </c>
      <c r="F111" s="24"/>
    </row>
    <row r="112" spans="1:6">
      <c r="A112" s="172">
        <v>43255</v>
      </c>
      <c r="B112" s="555" t="s">
        <v>775</v>
      </c>
      <c r="C112" s="24"/>
      <c r="D112" s="24">
        <v>100</v>
      </c>
      <c r="E112" s="24">
        <f t="shared" si="3"/>
        <v>9749</v>
      </c>
      <c r="F112" s="24"/>
    </row>
    <row r="113" spans="1:6">
      <c r="A113" s="172">
        <v>43347</v>
      </c>
      <c r="B113" s="555" t="s">
        <v>782</v>
      </c>
      <c r="C113" s="24">
        <v>180</v>
      </c>
      <c r="D113" s="24"/>
      <c r="E113" s="24">
        <f t="shared" si="3"/>
        <v>9929</v>
      </c>
      <c r="F113" s="555"/>
    </row>
    <row r="114" spans="1:6">
      <c r="A114" s="172">
        <v>43438</v>
      </c>
      <c r="B114" s="565" t="s">
        <v>15</v>
      </c>
      <c r="C114" s="24">
        <v>37</v>
      </c>
      <c r="D114" s="24"/>
      <c r="E114" s="24">
        <f t="shared" si="3"/>
        <v>9966</v>
      </c>
      <c r="F114" s="24" t="s">
        <v>46</v>
      </c>
    </row>
    <row r="115" spans="1:6" s="156" customFormat="1">
      <c r="A115" s="627" t="s">
        <v>793</v>
      </c>
      <c r="B115" s="628" t="s">
        <v>794</v>
      </c>
      <c r="C115" s="136">
        <v>10</v>
      </c>
      <c r="D115" s="136"/>
      <c r="E115" s="136">
        <f t="shared" si="3"/>
        <v>9976</v>
      </c>
      <c r="F115" s="24"/>
    </row>
    <row r="116" spans="1:6">
      <c r="A116" s="576" t="s">
        <v>798</v>
      </c>
      <c r="B116" s="576" t="s">
        <v>805</v>
      </c>
      <c r="C116" s="24"/>
      <c r="D116" s="24">
        <v>35</v>
      </c>
      <c r="E116" s="24">
        <f t="shared" si="3"/>
        <v>9941</v>
      </c>
      <c r="F116" s="24"/>
    </row>
    <row r="117" spans="1:6">
      <c r="A117" s="577" t="s">
        <v>798</v>
      </c>
      <c r="B117" s="575" t="s">
        <v>807</v>
      </c>
      <c r="C117" s="24"/>
      <c r="D117" s="24">
        <v>80</v>
      </c>
      <c r="E117" s="24">
        <f t="shared" si="3"/>
        <v>9861</v>
      </c>
      <c r="F117" s="24"/>
    </row>
    <row r="118" spans="1:6">
      <c r="A118" s="576" t="s">
        <v>798</v>
      </c>
      <c r="B118" s="576" t="s">
        <v>567</v>
      </c>
      <c r="C118" s="24"/>
      <c r="D118" s="24">
        <v>650</v>
      </c>
      <c r="E118" s="24">
        <f t="shared" si="3"/>
        <v>9211</v>
      </c>
      <c r="F118" s="575"/>
    </row>
    <row r="119" spans="1:6">
      <c r="A119" s="9" t="s">
        <v>811</v>
      </c>
      <c r="B119" s="9" t="s">
        <v>813</v>
      </c>
      <c r="C119" s="24"/>
      <c r="D119" s="24">
        <v>34</v>
      </c>
      <c r="E119" s="24">
        <f t="shared" si="3"/>
        <v>9177</v>
      </c>
      <c r="F119" s="583"/>
    </row>
    <row r="120" spans="1:6">
      <c r="A120" s="588" t="s">
        <v>815</v>
      </c>
      <c r="B120" s="589" t="s">
        <v>805</v>
      </c>
      <c r="C120" s="24"/>
      <c r="D120" s="24">
        <v>85</v>
      </c>
      <c r="E120" s="24">
        <f t="shared" si="3"/>
        <v>9092</v>
      </c>
      <c r="F120" s="24"/>
    </row>
    <row r="121" spans="1:6">
      <c r="A121" s="586" t="s">
        <v>815</v>
      </c>
      <c r="B121" s="587" t="s">
        <v>816</v>
      </c>
      <c r="C121" s="24"/>
      <c r="D121" s="24">
        <v>30</v>
      </c>
      <c r="E121" s="24">
        <f t="shared" si="3"/>
        <v>9062</v>
      </c>
      <c r="F121" s="589"/>
    </row>
    <row r="122" spans="1:6">
      <c r="A122" s="595" t="s">
        <v>820</v>
      </c>
      <c r="B122" s="592" t="s">
        <v>807</v>
      </c>
      <c r="C122" s="24"/>
      <c r="D122" s="24">
        <v>80</v>
      </c>
      <c r="E122" s="24">
        <f t="shared" si="3"/>
        <v>8982</v>
      </c>
      <c r="F122" s="589"/>
    </row>
    <row r="123" spans="1:6">
      <c r="A123" s="593" t="s">
        <v>822</v>
      </c>
      <c r="B123" s="594" t="s">
        <v>17</v>
      </c>
      <c r="C123" s="24"/>
      <c r="D123" s="24">
        <v>150</v>
      </c>
      <c r="E123" s="24">
        <f t="shared" si="3"/>
        <v>8832</v>
      </c>
      <c r="F123" s="594" t="s">
        <v>46</v>
      </c>
    </row>
    <row r="124" spans="1:6">
      <c r="A124" s="599" t="s">
        <v>826</v>
      </c>
      <c r="B124" s="600" t="s">
        <v>817</v>
      </c>
      <c r="C124" s="24"/>
      <c r="D124" s="24">
        <v>50</v>
      </c>
      <c r="E124" s="24">
        <f t="shared" si="3"/>
        <v>8782</v>
      </c>
      <c r="F124" s="600" t="s">
        <v>46</v>
      </c>
    </row>
    <row r="125" spans="1:6">
      <c r="A125" s="125" t="s">
        <v>832</v>
      </c>
      <c r="B125" s="9" t="s">
        <v>817</v>
      </c>
      <c r="C125" s="24"/>
      <c r="D125" s="24">
        <v>100</v>
      </c>
      <c r="E125" s="24">
        <f t="shared" si="3"/>
        <v>8682</v>
      </c>
      <c r="F125" s="610" t="s">
        <v>46</v>
      </c>
    </row>
    <row r="126" spans="1:6">
      <c r="A126" s="615" t="s">
        <v>844</v>
      </c>
      <c r="B126" s="616" t="s">
        <v>846</v>
      </c>
      <c r="C126" s="24">
        <v>2</v>
      </c>
      <c r="D126" s="24"/>
      <c r="E126" s="24">
        <f t="shared" si="3"/>
        <v>8684</v>
      </c>
      <c r="F126" s="617" t="s">
        <v>46</v>
      </c>
    </row>
    <row r="127" spans="1:6">
      <c r="A127" s="21">
        <v>43286</v>
      </c>
      <c r="B127" s="629" t="s">
        <v>24</v>
      </c>
      <c r="C127" s="24">
        <v>15</v>
      </c>
      <c r="D127" s="24"/>
      <c r="E127" s="24">
        <f t="shared" si="3"/>
        <v>8699</v>
      </c>
      <c r="F127" s="24"/>
    </row>
    <row r="128" spans="1:6">
      <c r="A128" s="172">
        <v>43317</v>
      </c>
      <c r="B128" s="630" t="s">
        <v>24</v>
      </c>
      <c r="C128" s="24"/>
      <c r="D128" s="24">
        <v>4</v>
      </c>
      <c r="E128" s="24">
        <f t="shared" si="3"/>
        <v>8695</v>
      </c>
      <c r="F128" s="24"/>
    </row>
    <row r="129" spans="1:6">
      <c r="A129" s="42">
        <v>43378</v>
      </c>
      <c r="B129" s="631" t="s">
        <v>859</v>
      </c>
      <c r="C129" s="24">
        <v>26</v>
      </c>
      <c r="D129" s="24"/>
      <c r="E129" s="24">
        <f t="shared" si="3"/>
        <v>8721</v>
      </c>
      <c r="F129" s="24"/>
    </row>
    <row r="130" spans="1:6">
      <c r="A130" s="21">
        <v>43409</v>
      </c>
      <c r="B130" s="631" t="s">
        <v>794</v>
      </c>
      <c r="C130" s="24">
        <v>97</v>
      </c>
      <c r="D130" s="24"/>
      <c r="E130" s="24">
        <f t="shared" si="3"/>
        <v>8818</v>
      </c>
      <c r="F130" s="24"/>
    </row>
    <row r="131" spans="1:6">
      <c r="A131" s="21">
        <v>43409</v>
      </c>
      <c r="B131" s="631" t="s">
        <v>817</v>
      </c>
      <c r="C131" s="24"/>
      <c r="D131" s="24">
        <v>100</v>
      </c>
      <c r="E131" s="24">
        <f t="shared" si="3"/>
        <v>8718</v>
      </c>
      <c r="F131" s="24"/>
    </row>
    <row r="132" spans="1:6">
      <c r="A132" s="659" t="s">
        <v>733</v>
      </c>
      <c r="B132" s="656" t="s">
        <v>762</v>
      </c>
      <c r="C132" s="24"/>
      <c r="D132" s="24">
        <v>6</v>
      </c>
      <c r="E132" s="24">
        <f>E131+C132-D132</f>
        <v>8712</v>
      </c>
      <c r="F132" s="660" t="s">
        <v>46</v>
      </c>
    </row>
    <row r="133" spans="1:6">
      <c r="A133" s="9" t="s">
        <v>874</v>
      </c>
      <c r="B133" s="9" t="s">
        <v>875</v>
      </c>
      <c r="C133" s="24">
        <v>25</v>
      </c>
      <c r="D133" s="24"/>
      <c r="E133" s="24">
        <f t="shared" ref="E133:E151" si="4">E132+C133-D133</f>
        <v>8737</v>
      </c>
      <c r="F133" s="24"/>
    </row>
    <row r="134" spans="1:6">
      <c r="A134" s="666" t="s">
        <v>878</v>
      </c>
      <c r="B134" s="667" t="s">
        <v>875</v>
      </c>
      <c r="C134" s="24">
        <v>49</v>
      </c>
      <c r="D134" s="24"/>
      <c r="E134" s="24">
        <f t="shared" si="4"/>
        <v>8786</v>
      </c>
      <c r="F134" s="24"/>
    </row>
    <row r="135" spans="1:6">
      <c r="A135" s="664" t="s">
        <v>878</v>
      </c>
      <c r="B135" s="664" t="s">
        <v>882</v>
      </c>
      <c r="C135" s="24"/>
      <c r="D135" s="24">
        <v>60</v>
      </c>
      <c r="E135" s="24">
        <f t="shared" si="4"/>
        <v>8726</v>
      </c>
      <c r="F135" s="24"/>
    </row>
    <row r="136" spans="1:6">
      <c r="A136" s="666" t="s">
        <v>878</v>
      </c>
      <c r="B136" s="664" t="s">
        <v>882</v>
      </c>
      <c r="C136" s="24"/>
      <c r="D136" s="24">
        <v>140</v>
      </c>
      <c r="E136" s="24">
        <f t="shared" si="4"/>
        <v>8586</v>
      </c>
      <c r="F136" s="667" t="s">
        <v>46</v>
      </c>
    </row>
    <row r="137" spans="1:6">
      <c r="A137" s="672" t="s">
        <v>884</v>
      </c>
      <c r="B137" s="673" t="s">
        <v>762</v>
      </c>
      <c r="C137" s="24"/>
      <c r="D137" s="24">
        <v>16</v>
      </c>
      <c r="E137" s="24">
        <f t="shared" si="4"/>
        <v>8570</v>
      </c>
      <c r="F137" s="24"/>
    </row>
    <row r="138" spans="1:6">
      <c r="A138" s="671" t="s">
        <v>884</v>
      </c>
      <c r="B138" s="671" t="s">
        <v>817</v>
      </c>
      <c r="C138" s="24"/>
      <c r="D138" s="24">
        <v>50</v>
      </c>
      <c r="E138" s="24">
        <f t="shared" si="4"/>
        <v>8520</v>
      </c>
      <c r="F138" s="673" t="s">
        <v>46</v>
      </c>
    </row>
    <row r="139" spans="1:6">
      <c r="A139" s="677" t="s">
        <v>884</v>
      </c>
      <c r="B139" s="677" t="s">
        <v>897</v>
      </c>
      <c r="C139" s="24">
        <v>2</v>
      </c>
      <c r="D139" s="24"/>
      <c r="E139" s="24">
        <f t="shared" si="4"/>
        <v>8522</v>
      </c>
      <c r="F139" s="673"/>
    </row>
    <row r="140" spans="1:6">
      <c r="A140" s="679" t="s">
        <v>886</v>
      </c>
      <c r="B140" s="680" t="s">
        <v>807</v>
      </c>
      <c r="C140" s="24">
        <v>115</v>
      </c>
      <c r="D140" s="24"/>
      <c r="E140" s="24">
        <f t="shared" si="4"/>
        <v>8637</v>
      </c>
      <c r="F140" s="24"/>
    </row>
    <row r="141" spans="1:6">
      <c r="A141" s="676" t="s">
        <v>893</v>
      </c>
      <c r="B141" s="677" t="s">
        <v>708</v>
      </c>
      <c r="C141" s="24">
        <v>35</v>
      </c>
      <c r="D141" s="24"/>
      <c r="E141" s="24">
        <f t="shared" si="4"/>
        <v>8672</v>
      </c>
      <c r="F141" s="680" t="s">
        <v>46</v>
      </c>
    </row>
    <row r="142" spans="1:6">
      <c r="A142" s="685" t="s">
        <v>898</v>
      </c>
      <c r="B142" s="686" t="s">
        <v>807</v>
      </c>
      <c r="C142" s="24">
        <v>119</v>
      </c>
      <c r="D142" s="24"/>
      <c r="E142" s="24">
        <f t="shared" si="4"/>
        <v>8791</v>
      </c>
      <c r="F142" s="686" t="s">
        <v>46</v>
      </c>
    </row>
    <row r="143" spans="1:6">
      <c r="A143" s="24" t="s">
        <v>907</v>
      </c>
      <c r="B143" s="24" t="s">
        <v>910</v>
      </c>
      <c r="C143" s="24"/>
      <c r="D143" s="24">
        <v>16</v>
      </c>
      <c r="E143" s="24">
        <f t="shared" si="4"/>
        <v>8775</v>
      </c>
      <c r="F143" s="691" t="s">
        <v>46</v>
      </c>
    </row>
    <row r="144" spans="1:6">
      <c r="A144" s="697" t="s">
        <v>915</v>
      </c>
      <c r="B144" s="698" t="s">
        <v>916</v>
      </c>
      <c r="C144" s="24">
        <v>13</v>
      </c>
      <c r="D144" s="24"/>
      <c r="E144" s="24">
        <f t="shared" si="4"/>
        <v>8788</v>
      </c>
      <c r="F144" s="24"/>
    </row>
    <row r="145" spans="1:6">
      <c r="A145" s="697" t="s">
        <v>915</v>
      </c>
      <c r="B145" s="698" t="s">
        <v>917</v>
      </c>
      <c r="C145" s="24">
        <v>4</v>
      </c>
      <c r="D145" s="24"/>
      <c r="E145" s="24">
        <f t="shared" si="4"/>
        <v>8792</v>
      </c>
      <c r="F145" s="699" t="s">
        <v>46</v>
      </c>
    </row>
    <row r="146" spans="1:6">
      <c r="A146" s="702" t="s">
        <v>918</v>
      </c>
      <c r="B146" s="703" t="s">
        <v>406</v>
      </c>
      <c r="C146" s="24">
        <v>88</v>
      </c>
      <c r="D146" s="24"/>
      <c r="E146" s="24">
        <f t="shared" si="4"/>
        <v>8880</v>
      </c>
      <c r="F146" s="24"/>
    </row>
    <row r="147" spans="1:6">
      <c r="A147" s="172">
        <v>43137</v>
      </c>
      <c r="B147" s="705" t="s">
        <v>919</v>
      </c>
      <c r="C147" s="24">
        <v>221</v>
      </c>
      <c r="D147" s="24"/>
      <c r="E147" s="24">
        <f t="shared" si="4"/>
        <v>9101</v>
      </c>
      <c r="F147" s="705" t="s">
        <v>46</v>
      </c>
    </row>
    <row r="148" spans="1:6">
      <c r="A148" s="172">
        <v>43137</v>
      </c>
      <c r="B148" s="716" t="s">
        <v>934</v>
      </c>
      <c r="C148" s="24">
        <v>1</v>
      </c>
      <c r="D148" s="24"/>
      <c r="E148" s="24">
        <f t="shared" si="4"/>
        <v>9102</v>
      </c>
      <c r="F148" s="705"/>
    </row>
    <row r="149" spans="1:6">
      <c r="A149" s="172">
        <v>43137</v>
      </c>
      <c r="B149" s="698" t="s">
        <v>916</v>
      </c>
      <c r="C149" s="24">
        <v>36</v>
      </c>
      <c r="D149" s="24"/>
      <c r="E149" s="24">
        <f t="shared" si="4"/>
        <v>9138</v>
      </c>
      <c r="F149" s="705"/>
    </row>
    <row r="150" spans="1:6">
      <c r="A150" s="172">
        <v>43137</v>
      </c>
      <c r="B150" s="715" t="s">
        <v>794</v>
      </c>
      <c r="C150" s="24">
        <v>46</v>
      </c>
      <c r="D150" s="24"/>
      <c r="E150" s="24">
        <f t="shared" si="4"/>
        <v>9184</v>
      </c>
      <c r="F150" s="705"/>
    </row>
    <row r="151" spans="1:6">
      <c r="A151" s="172">
        <v>43165</v>
      </c>
      <c r="B151" s="711" t="s">
        <v>932</v>
      </c>
      <c r="C151" s="24"/>
      <c r="D151" s="24">
        <v>10</v>
      </c>
      <c r="E151" s="24">
        <f t="shared" si="4"/>
        <v>9174</v>
      </c>
      <c r="F151" s="716" t="s">
        <v>46</v>
      </c>
    </row>
    <row r="152" spans="1:6">
      <c r="A152" s="172"/>
      <c r="B152" s="24"/>
      <c r="C152" s="24"/>
      <c r="D152" s="24"/>
      <c r="E152" s="24"/>
      <c r="F152" s="24"/>
    </row>
    <row r="153" spans="1:6">
      <c r="A153" s="174"/>
      <c r="B153" s="24"/>
      <c r="C153" s="24"/>
      <c r="D153" s="24"/>
      <c r="E153" s="24"/>
      <c r="F153" s="24"/>
    </row>
    <row r="154" spans="1:6">
      <c r="A154" s="174"/>
      <c r="B154" s="24"/>
      <c r="C154" s="24"/>
      <c r="D154" s="24"/>
      <c r="E154" s="24"/>
      <c r="F154" s="24"/>
    </row>
    <row r="155" spans="1:6">
      <c r="A155" s="174"/>
      <c r="B155" s="24"/>
      <c r="C155" s="24"/>
      <c r="D155" s="24"/>
      <c r="E155" s="24"/>
      <c r="F155" s="24"/>
    </row>
    <row r="156" spans="1:6">
      <c r="A156" s="174"/>
      <c r="B156" s="24"/>
      <c r="C156" s="24"/>
      <c r="D156" s="24"/>
      <c r="E156" s="24"/>
      <c r="F156" s="24"/>
    </row>
    <row r="157" spans="1:6">
      <c r="A157" s="174"/>
      <c r="B157" s="24"/>
      <c r="C157" s="24"/>
      <c r="D157" s="24"/>
      <c r="E157" s="24"/>
      <c r="F157" s="24"/>
    </row>
    <row r="158" spans="1:6">
      <c r="A158" s="174"/>
      <c r="B158" s="24"/>
      <c r="C158" s="24"/>
      <c r="D158" s="24"/>
      <c r="E158" s="24"/>
      <c r="F158" s="24"/>
    </row>
    <row r="159" spans="1:6">
      <c r="A159" s="174"/>
      <c r="B159" s="24"/>
      <c r="C159" s="24"/>
      <c r="D159" s="24"/>
      <c r="E159" s="24"/>
      <c r="F159" s="24"/>
    </row>
    <row r="160" spans="1:6">
      <c r="A160" s="174"/>
      <c r="B160" s="24"/>
      <c r="C160" s="24"/>
      <c r="D160" s="24"/>
      <c r="E160" s="24"/>
      <c r="F160" s="24"/>
    </row>
  </sheetData>
  <pageMargins left="0.69930555555555596" right="0.69930555555555596" top="0" bottom="0" header="0.3" footer="0.3"/>
  <pageSetup paperSize="9" scale="85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2"/>
  <sheetViews>
    <sheetView zoomScale="110" zoomScaleNormal="110" zoomScalePageLayoutView="110" workbookViewId="0">
      <selection activeCell="F23" sqref="F23"/>
    </sheetView>
  </sheetViews>
  <sheetFormatPr baseColWidth="10" defaultColWidth="9" defaultRowHeight="14" x14ac:dyDescent="0"/>
  <cols>
    <col min="1" max="1" width="11.1640625" customWidth="1"/>
    <col min="2" max="2" width="31.5" customWidth="1"/>
    <col min="3" max="3" width="8.33203125" customWidth="1"/>
    <col min="4" max="4" width="10.6640625" customWidth="1"/>
    <col min="5" max="5" width="11.5" customWidth="1"/>
  </cols>
  <sheetData>
    <row r="2" spans="1:6" ht="15">
      <c r="A2" s="217" t="s">
        <v>22</v>
      </c>
      <c r="B2" s="217"/>
      <c r="C2" s="217"/>
      <c r="D2" s="217"/>
      <c r="E2" s="217"/>
    </row>
    <row r="3" spans="1:6" ht="15">
      <c r="A3" s="266"/>
      <c r="B3" s="285"/>
      <c r="C3" s="266"/>
      <c r="D3" s="266"/>
      <c r="E3" s="266"/>
    </row>
    <row r="4" spans="1:6">
      <c r="A4" s="52" t="s">
        <v>1</v>
      </c>
      <c r="B4" s="52" t="s">
        <v>429</v>
      </c>
      <c r="C4" s="52" t="s">
        <v>3</v>
      </c>
      <c r="D4" s="52" t="s">
        <v>4</v>
      </c>
      <c r="E4" s="52" t="s">
        <v>5</v>
      </c>
      <c r="F4" s="25" t="s">
        <v>6</v>
      </c>
    </row>
    <row r="5" spans="1:6">
      <c r="A5" s="9"/>
      <c r="B5" s="9" t="s">
        <v>408</v>
      </c>
      <c r="C5" s="9"/>
      <c r="D5" s="9"/>
      <c r="E5" s="9">
        <v>1289</v>
      </c>
    </row>
    <row r="6" spans="1:6">
      <c r="A6" s="42">
        <v>43132</v>
      </c>
      <c r="B6" s="298" t="s">
        <v>13</v>
      </c>
      <c r="C6" s="9">
        <v>3</v>
      </c>
      <c r="D6" s="9"/>
      <c r="E6" s="9">
        <f t="shared" ref="E6:E21" si="0">E5+C6-D6</f>
        <v>1292</v>
      </c>
    </row>
    <row r="7" spans="1:6">
      <c r="A7" s="42">
        <v>43132</v>
      </c>
      <c r="B7" s="298" t="s">
        <v>13</v>
      </c>
      <c r="C7" s="9">
        <v>28</v>
      </c>
      <c r="D7" s="9"/>
      <c r="E7" s="9">
        <f t="shared" si="0"/>
        <v>1320</v>
      </c>
      <c r="F7" s="304"/>
    </row>
    <row r="8" spans="1:6">
      <c r="A8" s="42">
        <v>43191</v>
      </c>
      <c r="B8" s="306" t="s">
        <v>13</v>
      </c>
      <c r="C8" s="9">
        <v>2</v>
      </c>
      <c r="D8" s="9"/>
      <c r="E8" s="9">
        <f t="shared" si="0"/>
        <v>1322</v>
      </c>
      <c r="F8" s="308"/>
    </row>
    <row r="9" spans="1:6">
      <c r="A9" s="21">
        <v>43191</v>
      </c>
      <c r="B9" s="313" t="s">
        <v>435</v>
      </c>
      <c r="C9" s="9">
        <v>75</v>
      </c>
      <c r="D9" s="9"/>
      <c r="E9" s="9">
        <f t="shared" si="0"/>
        <v>1397</v>
      </c>
      <c r="F9" s="315"/>
    </row>
    <row r="10" spans="1:6">
      <c r="A10" s="21">
        <v>43133</v>
      </c>
      <c r="B10" s="9" t="s">
        <v>13</v>
      </c>
      <c r="C10" s="9">
        <v>46</v>
      </c>
      <c r="D10" s="9"/>
      <c r="E10" s="9">
        <f t="shared" si="0"/>
        <v>1443</v>
      </c>
      <c r="F10" s="396"/>
    </row>
    <row r="11" spans="1:6">
      <c r="A11" s="21">
        <v>43253</v>
      </c>
      <c r="B11" s="407" t="s">
        <v>435</v>
      </c>
      <c r="C11" s="9">
        <v>9</v>
      </c>
      <c r="D11" s="9"/>
      <c r="E11" s="9">
        <f t="shared" si="0"/>
        <v>1452</v>
      </c>
      <c r="F11" s="410"/>
    </row>
    <row r="12" spans="1:6">
      <c r="A12" s="472" t="s">
        <v>694</v>
      </c>
      <c r="B12" s="472" t="s">
        <v>13</v>
      </c>
      <c r="C12" s="9">
        <v>7</v>
      </c>
      <c r="D12" s="9"/>
      <c r="E12" s="9">
        <f t="shared" si="0"/>
        <v>1459</v>
      </c>
      <c r="F12" s="475"/>
    </row>
    <row r="13" spans="1:6">
      <c r="A13" s="125" t="s">
        <v>732</v>
      </c>
      <c r="B13" s="9" t="s">
        <v>720</v>
      </c>
      <c r="C13" s="9">
        <v>3</v>
      </c>
      <c r="D13" s="9"/>
      <c r="E13" s="9">
        <f t="shared" si="0"/>
        <v>1462</v>
      </c>
      <c r="F13" s="510"/>
    </row>
    <row r="14" spans="1:6">
      <c r="A14" s="527" t="s">
        <v>747</v>
      </c>
      <c r="B14" s="528" t="s">
        <v>720</v>
      </c>
      <c r="C14" s="9">
        <v>22</v>
      </c>
      <c r="D14" s="9"/>
      <c r="E14" s="9">
        <f t="shared" si="0"/>
        <v>1484</v>
      </c>
    </row>
    <row r="15" spans="1:6">
      <c r="A15" s="21">
        <v>43377</v>
      </c>
      <c r="B15" s="528" t="s">
        <v>720</v>
      </c>
      <c r="C15" s="9">
        <v>12</v>
      </c>
      <c r="D15" s="9"/>
      <c r="E15" s="9">
        <f t="shared" si="0"/>
        <v>1496</v>
      </c>
      <c r="F15" s="560"/>
    </row>
    <row r="16" spans="1:6">
      <c r="A16" s="615" t="s">
        <v>844</v>
      </c>
      <c r="B16" s="616" t="s">
        <v>846</v>
      </c>
      <c r="C16" s="9">
        <v>8</v>
      </c>
      <c r="D16" s="9"/>
      <c r="E16" s="9">
        <f t="shared" si="0"/>
        <v>1504</v>
      </c>
      <c r="F16" s="618"/>
    </row>
    <row r="17" spans="1:6">
      <c r="A17" s="21">
        <v>43136</v>
      </c>
      <c r="B17" s="9" t="s">
        <v>774</v>
      </c>
      <c r="C17" s="9">
        <v>6</v>
      </c>
      <c r="D17" s="9"/>
      <c r="E17" s="9">
        <f t="shared" si="0"/>
        <v>1510</v>
      </c>
      <c r="F17" s="620"/>
    </row>
    <row r="18" spans="1:6">
      <c r="A18" s="21">
        <v>43164</v>
      </c>
      <c r="B18" s="9" t="s">
        <v>848</v>
      </c>
      <c r="C18" s="9">
        <v>160</v>
      </c>
      <c r="D18" s="9"/>
      <c r="E18" s="9">
        <f t="shared" si="0"/>
        <v>1670</v>
      </c>
      <c r="F18" s="624"/>
    </row>
    <row r="19" spans="1:6">
      <c r="A19" s="21">
        <v>43348</v>
      </c>
      <c r="B19" s="9" t="s">
        <v>848</v>
      </c>
      <c r="C19" s="9">
        <v>165</v>
      </c>
      <c r="D19" s="9"/>
      <c r="E19" s="9">
        <f t="shared" si="0"/>
        <v>1835</v>
      </c>
      <c r="F19" s="658"/>
    </row>
    <row r="20" spans="1:6">
      <c r="A20" s="9" t="s">
        <v>907</v>
      </c>
      <c r="B20" s="9" t="s">
        <v>908</v>
      </c>
      <c r="C20" s="9">
        <v>18</v>
      </c>
      <c r="D20" s="9"/>
      <c r="E20" s="9">
        <f t="shared" si="0"/>
        <v>1853</v>
      </c>
      <c r="F20" s="693"/>
    </row>
    <row r="21" spans="1:6">
      <c r="A21" s="42">
        <v>43196</v>
      </c>
      <c r="B21" s="9" t="s">
        <v>774</v>
      </c>
      <c r="C21" s="9">
        <v>11</v>
      </c>
      <c r="D21" s="9"/>
      <c r="E21" s="9">
        <f t="shared" si="0"/>
        <v>1864</v>
      </c>
      <c r="F21" s="721" t="s">
        <v>46</v>
      </c>
    </row>
    <row r="22" spans="1:6">
      <c r="A22" s="9"/>
      <c r="B22" s="9"/>
      <c r="C22" s="9"/>
      <c r="D22" s="9"/>
      <c r="E22" s="9"/>
    </row>
  </sheetData>
  <pageMargins left="0.69930555555555596" right="0.69930555555555596" top="0.75" bottom="0.75" header="0.3" footer="0.3"/>
  <pageSetup paperSize="9" scale="90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7"/>
  <sheetViews>
    <sheetView topLeftCell="A304" zoomScale="110" zoomScaleNormal="110" zoomScalePageLayoutView="110" workbookViewId="0">
      <selection activeCell="F333" sqref="F333"/>
    </sheetView>
  </sheetViews>
  <sheetFormatPr baseColWidth="10" defaultColWidth="9" defaultRowHeight="14" x14ac:dyDescent="0"/>
  <cols>
    <col min="1" max="1" width="12.1640625" style="156" customWidth="1"/>
    <col min="2" max="2" width="33.1640625" style="156" customWidth="1"/>
    <col min="3" max="4" width="7.83203125" style="156" customWidth="1"/>
    <col min="5" max="5" width="10" style="156" customWidth="1"/>
    <col min="6" max="6" width="9.1640625" style="156" customWidth="1"/>
  </cols>
  <sheetData>
    <row r="1" spans="1:6" s="129" customFormat="1" ht="15">
      <c r="A1" s="278" t="s">
        <v>23</v>
      </c>
      <c r="B1" s="217"/>
      <c r="C1" s="266"/>
      <c r="D1" s="266"/>
      <c r="E1" s="266"/>
      <c r="F1" s="284"/>
    </row>
    <row r="2" spans="1:6">
      <c r="A2" s="279"/>
      <c r="B2" s="51"/>
      <c r="C2" s="50"/>
      <c r="D2" s="50"/>
      <c r="E2" s="50"/>
    </row>
    <row r="3" spans="1:6">
      <c r="A3" s="52" t="s">
        <v>1</v>
      </c>
      <c r="B3" s="52" t="s">
        <v>429</v>
      </c>
      <c r="C3" s="52" t="s">
        <v>3</v>
      </c>
      <c r="D3" s="52" t="s">
        <v>4</v>
      </c>
      <c r="E3" s="52" t="s">
        <v>5</v>
      </c>
      <c r="F3" s="25" t="s">
        <v>6</v>
      </c>
    </row>
    <row r="4" spans="1:6">
      <c r="A4" s="24"/>
      <c r="B4" s="24" t="s">
        <v>408</v>
      </c>
      <c r="C4" s="24"/>
      <c r="D4" s="24"/>
      <c r="E4" s="24">
        <v>7202</v>
      </c>
    </row>
    <row r="5" spans="1:6">
      <c r="A5" s="42">
        <v>43132</v>
      </c>
      <c r="B5" s="298" t="s">
        <v>417</v>
      </c>
      <c r="C5" s="24">
        <v>110</v>
      </c>
      <c r="D5" s="24"/>
      <c r="E5" s="24">
        <f>E4+C5-D5</f>
        <v>7312</v>
      </c>
    </row>
    <row r="6" spans="1:6">
      <c r="A6" s="42">
        <v>43160</v>
      </c>
      <c r="B6" s="299" t="s">
        <v>8</v>
      </c>
      <c r="C6" s="24">
        <v>1160</v>
      </c>
      <c r="D6" s="24"/>
      <c r="E6" s="24">
        <f>E5+C6-D6</f>
        <v>8472</v>
      </c>
      <c r="F6" s="305" t="s">
        <v>46</v>
      </c>
    </row>
    <row r="7" spans="1:6">
      <c r="A7" s="57">
        <v>43191</v>
      </c>
      <c r="B7" s="307" t="s">
        <v>13</v>
      </c>
      <c r="C7" s="24">
        <v>130</v>
      </c>
      <c r="D7" s="24"/>
      <c r="E7" s="24">
        <f>E6+C7-D7</f>
        <v>8602</v>
      </c>
      <c r="F7" s="309" t="s">
        <v>46</v>
      </c>
    </row>
    <row r="8" spans="1:6">
      <c r="A8" s="42">
        <v>43221</v>
      </c>
      <c r="B8" s="313" t="s">
        <v>433</v>
      </c>
      <c r="C8" s="24">
        <v>12</v>
      </c>
      <c r="D8" s="24"/>
      <c r="E8" s="24">
        <f t="shared" ref="E8:E71" si="0">E7+C8-D8</f>
        <v>8614</v>
      </c>
    </row>
    <row r="9" spans="1:6">
      <c r="A9" s="21">
        <v>43221</v>
      </c>
      <c r="B9" s="313" t="s">
        <v>436</v>
      </c>
      <c r="C9" s="24">
        <v>39</v>
      </c>
      <c r="D9" s="24"/>
      <c r="E9" s="24">
        <f t="shared" si="0"/>
        <v>8653</v>
      </c>
    </row>
    <row r="10" spans="1:6">
      <c r="A10" s="57">
        <v>42856</v>
      </c>
      <c r="B10" s="314" t="s">
        <v>15</v>
      </c>
      <c r="C10" s="24">
        <v>90</v>
      </c>
      <c r="D10" s="24"/>
      <c r="E10" s="24">
        <f t="shared" si="0"/>
        <v>8743</v>
      </c>
      <c r="F10" s="316" t="s">
        <v>46</v>
      </c>
    </row>
    <row r="11" spans="1:6">
      <c r="A11" s="57">
        <v>42887</v>
      </c>
      <c r="B11" s="24" t="s">
        <v>444</v>
      </c>
      <c r="C11" s="24">
        <v>400</v>
      </c>
      <c r="D11" s="24"/>
      <c r="E11" s="24">
        <f t="shared" si="0"/>
        <v>9143</v>
      </c>
    </row>
    <row r="12" spans="1:6">
      <c r="A12" s="21">
        <v>43252</v>
      </c>
      <c r="B12" s="317" t="s">
        <v>434</v>
      </c>
      <c r="C12" s="24">
        <v>100</v>
      </c>
      <c r="D12" s="24"/>
      <c r="E12" s="24">
        <f t="shared" si="0"/>
        <v>9243</v>
      </c>
    </row>
    <row r="13" spans="1:6">
      <c r="A13" s="42">
        <v>43282</v>
      </c>
      <c r="B13" s="317" t="s">
        <v>17</v>
      </c>
      <c r="C13" s="24"/>
      <c r="D13" s="24">
        <v>600</v>
      </c>
      <c r="E13" s="24">
        <f t="shared" si="0"/>
        <v>8643</v>
      </c>
    </row>
    <row r="14" spans="1:6">
      <c r="A14" s="322">
        <v>43313</v>
      </c>
      <c r="B14" s="320" t="s">
        <v>454</v>
      </c>
      <c r="C14" s="24">
        <v>10</v>
      </c>
      <c r="D14" s="24"/>
      <c r="E14" s="24">
        <f t="shared" si="0"/>
        <v>8653</v>
      </c>
    </row>
    <row r="15" spans="1:6">
      <c r="A15" s="57">
        <v>43313</v>
      </c>
      <c r="B15" s="321" t="s">
        <v>8</v>
      </c>
      <c r="C15" s="24">
        <v>11</v>
      </c>
      <c r="D15" s="24"/>
      <c r="E15" s="24">
        <f t="shared" si="0"/>
        <v>8664</v>
      </c>
    </row>
    <row r="16" spans="1:6">
      <c r="A16" s="42">
        <v>43313</v>
      </c>
      <c r="B16" s="320" t="s">
        <v>17</v>
      </c>
      <c r="C16" s="24"/>
      <c r="D16" s="24">
        <v>410</v>
      </c>
      <c r="E16" s="24">
        <f t="shared" si="0"/>
        <v>8254</v>
      </c>
      <c r="F16" s="323" t="s">
        <v>46</v>
      </c>
    </row>
    <row r="17" spans="1:6">
      <c r="A17" s="42">
        <v>43313</v>
      </c>
      <c r="B17" s="326" t="s">
        <v>463</v>
      </c>
      <c r="C17" s="24">
        <v>50</v>
      </c>
      <c r="D17" s="24"/>
      <c r="E17" s="24">
        <f t="shared" si="0"/>
        <v>8304</v>
      </c>
      <c r="F17" s="323"/>
    </row>
    <row r="18" spans="1:6">
      <c r="A18" s="21">
        <v>43344</v>
      </c>
      <c r="B18" s="9" t="s">
        <v>459</v>
      </c>
      <c r="C18" s="24">
        <v>170</v>
      </c>
      <c r="D18" s="24"/>
      <c r="E18" s="24">
        <f t="shared" si="0"/>
        <v>8474</v>
      </c>
    </row>
    <row r="19" spans="1:6">
      <c r="A19" s="57">
        <v>42979</v>
      </c>
      <c r="B19" s="24" t="s">
        <v>15</v>
      </c>
      <c r="C19" s="24">
        <v>215</v>
      </c>
      <c r="D19" s="24"/>
      <c r="E19" s="24">
        <f t="shared" si="0"/>
        <v>8689</v>
      </c>
      <c r="F19" s="156" t="s">
        <v>46</v>
      </c>
    </row>
    <row r="20" spans="1:6">
      <c r="A20" s="21">
        <v>43374</v>
      </c>
      <c r="B20" s="9" t="s">
        <v>459</v>
      </c>
      <c r="C20" s="24">
        <v>52</v>
      </c>
      <c r="D20" s="24"/>
      <c r="E20" s="24">
        <f t="shared" si="0"/>
        <v>8741</v>
      </c>
    </row>
    <row r="21" spans="1:6">
      <c r="A21" s="21">
        <v>43374</v>
      </c>
      <c r="B21" s="326" t="s">
        <v>466</v>
      </c>
      <c r="C21" s="24">
        <v>138</v>
      </c>
      <c r="D21" s="24"/>
      <c r="E21" s="24">
        <f t="shared" si="0"/>
        <v>8879</v>
      </c>
    </row>
    <row r="22" spans="1:6">
      <c r="A22" s="42">
        <v>43374</v>
      </c>
      <c r="B22" s="326" t="s">
        <v>468</v>
      </c>
      <c r="C22" s="24">
        <v>23</v>
      </c>
      <c r="D22" s="24"/>
      <c r="E22" s="24">
        <f t="shared" si="0"/>
        <v>8902</v>
      </c>
    </row>
    <row r="23" spans="1:6">
      <c r="A23" s="42">
        <v>43374</v>
      </c>
      <c r="B23" s="326" t="s">
        <v>17</v>
      </c>
      <c r="C23" s="24"/>
      <c r="D23" s="24">
        <v>300</v>
      </c>
      <c r="E23" s="24">
        <f t="shared" si="0"/>
        <v>8602</v>
      </c>
      <c r="F23" s="328" t="s">
        <v>46</v>
      </c>
    </row>
    <row r="24" spans="1:6">
      <c r="A24" s="42">
        <v>43405</v>
      </c>
      <c r="B24" s="330" t="s">
        <v>444</v>
      </c>
      <c r="C24" s="24">
        <v>336</v>
      </c>
      <c r="D24" s="24"/>
      <c r="E24" s="24">
        <f t="shared" si="0"/>
        <v>8938</v>
      </c>
    </row>
    <row r="25" spans="1:6" ht="15">
      <c r="A25" s="49">
        <v>43405</v>
      </c>
      <c r="B25" s="35" t="s">
        <v>472</v>
      </c>
      <c r="C25" s="24">
        <v>5</v>
      </c>
      <c r="D25" s="24"/>
      <c r="E25" s="24">
        <f t="shared" si="0"/>
        <v>8943</v>
      </c>
    </row>
    <row r="26" spans="1:6">
      <c r="A26" s="42">
        <v>43405</v>
      </c>
      <c r="B26" s="330" t="s">
        <v>17</v>
      </c>
      <c r="C26" s="24"/>
      <c r="D26" s="24">
        <v>400</v>
      </c>
      <c r="E26" s="24">
        <f t="shared" si="0"/>
        <v>8543</v>
      </c>
    </row>
    <row r="27" spans="1:6">
      <c r="A27" s="21">
        <v>43435</v>
      </c>
      <c r="B27" s="330" t="s">
        <v>479</v>
      </c>
      <c r="C27" s="24">
        <v>20</v>
      </c>
      <c r="D27" s="24"/>
      <c r="E27" s="24">
        <f t="shared" si="0"/>
        <v>8563</v>
      </c>
    </row>
    <row r="28" spans="1:6">
      <c r="A28" s="21">
        <v>43435</v>
      </c>
      <c r="B28" s="330" t="s">
        <v>445</v>
      </c>
      <c r="C28" s="24">
        <v>183</v>
      </c>
      <c r="D28" s="24"/>
      <c r="E28" s="24">
        <f t="shared" si="0"/>
        <v>8746</v>
      </c>
    </row>
    <row r="29" spans="1:6">
      <c r="A29" s="57">
        <v>43435</v>
      </c>
      <c r="B29" s="331" t="s">
        <v>424</v>
      </c>
      <c r="C29" s="24">
        <v>464</v>
      </c>
      <c r="D29" s="24"/>
      <c r="E29" s="24">
        <f t="shared" si="0"/>
        <v>9210</v>
      </c>
    </row>
    <row r="30" spans="1:6">
      <c r="A30" s="42">
        <v>43435</v>
      </c>
      <c r="B30" s="330" t="s">
        <v>486</v>
      </c>
      <c r="C30" s="24"/>
      <c r="D30" s="24">
        <v>480</v>
      </c>
      <c r="E30" s="24">
        <f t="shared" si="0"/>
        <v>8730</v>
      </c>
      <c r="F30" s="332" t="s">
        <v>46</v>
      </c>
    </row>
    <row r="31" spans="1:6">
      <c r="A31" s="24" t="s">
        <v>488</v>
      </c>
      <c r="B31" s="24" t="s">
        <v>434</v>
      </c>
      <c r="C31" s="24">
        <v>182</v>
      </c>
      <c r="D31" s="24"/>
      <c r="E31" s="24">
        <f t="shared" si="0"/>
        <v>8912</v>
      </c>
    </row>
    <row r="32" spans="1:6">
      <c r="A32" s="335" t="s">
        <v>488</v>
      </c>
      <c r="B32" s="334" t="s">
        <v>492</v>
      </c>
      <c r="C32" s="24">
        <v>90</v>
      </c>
      <c r="D32" s="24"/>
      <c r="E32" s="24">
        <f t="shared" si="0"/>
        <v>9002</v>
      </c>
    </row>
    <row r="33" spans="1:6">
      <c r="A33" s="336" t="s">
        <v>488</v>
      </c>
      <c r="B33" s="338" t="s">
        <v>496</v>
      </c>
      <c r="C33" s="24"/>
      <c r="D33" s="24">
        <v>400</v>
      </c>
      <c r="E33" s="24">
        <f t="shared" si="0"/>
        <v>8602</v>
      </c>
    </row>
    <row r="34" spans="1:6">
      <c r="A34" s="337" t="s">
        <v>495</v>
      </c>
      <c r="B34" s="338" t="s">
        <v>497</v>
      </c>
      <c r="C34" s="24"/>
      <c r="D34" s="24">
        <v>420</v>
      </c>
      <c r="E34" s="24">
        <f t="shared" si="0"/>
        <v>8182</v>
      </c>
    </row>
    <row r="35" spans="1:6">
      <c r="A35" s="342" t="s">
        <v>500</v>
      </c>
      <c r="B35" s="341" t="s">
        <v>503</v>
      </c>
      <c r="C35" s="24">
        <v>55</v>
      </c>
      <c r="D35" s="24"/>
      <c r="E35" s="24">
        <f t="shared" si="0"/>
        <v>8237</v>
      </c>
    </row>
    <row r="36" spans="1:6">
      <c r="A36" s="341" t="s">
        <v>500</v>
      </c>
      <c r="B36" s="341" t="s">
        <v>17</v>
      </c>
      <c r="C36" s="24"/>
      <c r="D36" s="24">
        <v>350</v>
      </c>
      <c r="E36" s="24">
        <f t="shared" si="0"/>
        <v>7887</v>
      </c>
    </row>
    <row r="37" spans="1:6">
      <c r="A37" s="341" t="s">
        <v>500</v>
      </c>
      <c r="B37" s="341" t="s">
        <v>17</v>
      </c>
      <c r="C37" s="24"/>
      <c r="D37" s="24">
        <v>450</v>
      </c>
      <c r="E37" s="24">
        <f t="shared" si="0"/>
        <v>7437</v>
      </c>
    </row>
    <row r="38" spans="1:6" ht="15">
      <c r="A38" s="35" t="s">
        <v>509</v>
      </c>
      <c r="B38" s="35" t="s">
        <v>16</v>
      </c>
      <c r="C38" s="24">
        <v>72</v>
      </c>
      <c r="D38" s="24"/>
      <c r="E38" s="24">
        <f t="shared" si="0"/>
        <v>7509</v>
      </c>
    </row>
    <row r="39" spans="1:6">
      <c r="A39" s="341" t="s">
        <v>509</v>
      </c>
      <c r="B39" s="341" t="s">
        <v>468</v>
      </c>
      <c r="C39" s="24">
        <v>3</v>
      </c>
      <c r="D39" s="24"/>
      <c r="E39" s="24">
        <f t="shared" si="0"/>
        <v>7512</v>
      </c>
    </row>
    <row r="40" spans="1:6">
      <c r="A40" s="343" t="s">
        <v>509</v>
      </c>
      <c r="B40" s="344" t="s">
        <v>462</v>
      </c>
      <c r="C40" s="24">
        <v>28</v>
      </c>
      <c r="D40" s="24"/>
      <c r="E40" s="24">
        <f t="shared" si="0"/>
        <v>7540</v>
      </c>
    </row>
    <row r="41" spans="1:6">
      <c r="A41" s="341" t="s">
        <v>509</v>
      </c>
      <c r="B41" s="341" t="s">
        <v>17</v>
      </c>
      <c r="C41" s="24"/>
      <c r="D41" s="24">
        <v>400</v>
      </c>
      <c r="E41" s="24">
        <f t="shared" si="0"/>
        <v>7140</v>
      </c>
      <c r="F41" s="346" t="s">
        <v>46</v>
      </c>
    </row>
    <row r="42" spans="1:6">
      <c r="A42" s="9" t="s">
        <v>516</v>
      </c>
      <c r="B42" s="9" t="s">
        <v>517</v>
      </c>
      <c r="C42" s="24">
        <v>53</v>
      </c>
      <c r="D42" s="24"/>
      <c r="E42" s="24">
        <f t="shared" si="0"/>
        <v>7193</v>
      </c>
    </row>
    <row r="43" spans="1:6">
      <c r="A43" s="347" t="s">
        <v>516</v>
      </c>
      <c r="B43" s="348" t="s">
        <v>452</v>
      </c>
      <c r="C43" s="24">
        <v>91</v>
      </c>
      <c r="D43" s="24"/>
      <c r="E43" s="24">
        <f t="shared" si="0"/>
        <v>7284</v>
      </c>
    </row>
    <row r="44" spans="1:6">
      <c r="A44" s="349" t="s">
        <v>516</v>
      </c>
      <c r="B44" s="350" t="s">
        <v>519</v>
      </c>
      <c r="C44" s="24">
        <v>29</v>
      </c>
      <c r="D44" s="24"/>
      <c r="E44" s="24">
        <f t="shared" si="0"/>
        <v>7313</v>
      </c>
    </row>
    <row r="45" spans="1:6">
      <c r="A45" s="347" t="s">
        <v>516</v>
      </c>
      <c r="B45" s="348" t="s">
        <v>433</v>
      </c>
      <c r="C45" s="24">
        <v>106</v>
      </c>
      <c r="D45" s="24"/>
      <c r="E45" s="24">
        <f t="shared" si="0"/>
        <v>7419</v>
      </c>
    </row>
    <row r="46" spans="1:6">
      <c r="A46" s="347" t="s">
        <v>516</v>
      </c>
      <c r="B46" s="348" t="s">
        <v>525</v>
      </c>
      <c r="C46" s="24">
        <v>50</v>
      </c>
      <c r="D46" s="24"/>
      <c r="E46" s="24">
        <f t="shared" si="0"/>
        <v>7469</v>
      </c>
    </row>
    <row r="47" spans="1:6">
      <c r="A47" s="347" t="s">
        <v>526</v>
      </c>
      <c r="B47" s="348" t="s">
        <v>462</v>
      </c>
      <c r="C47" s="24">
        <v>32</v>
      </c>
      <c r="D47" s="24"/>
      <c r="E47" s="24">
        <f t="shared" si="0"/>
        <v>7501</v>
      </c>
    </row>
    <row r="48" spans="1:6">
      <c r="A48" s="347" t="s">
        <v>526</v>
      </c>
      <c r="B48" s="348" t="s">
        <v>24</v>
      </c>
      <c r="C48" s="24">
        <v>145</v>
      </c>
      <c r="D48" s="24"/>
      <c r="E48" s="24">
        <f t="shared" si="0"/>
        <v>7646</v>
      </c>
    </row>
    <row r="49" spans="1:6">
      <c r="A49" s="349" t="s">
        <v>526</v>
      </c>
      <c r="B49" s="350" t="s">
        <v>530</v>
      </c>
      <c r="C49" s="24"/>
      <c r="D49" s="24">
        <v>200</v>
      </c>
      <c r="E49" s="24">
        <f t="shared" si="0"/>
        <v>7446</v>
      </c>
    </row>
    <row r="50" spans="1:6">
      <c r="A50" s="347" t="s">
        <v>531</v>
      </c>
      <c r="B50" s="348" t="s">
        <v>445</v>
      </c>
      <c r="C50" s="24">
        <v>124</v>
      </c>
      <c r="D50" s="24"/>
      <c r="E50" s="24">
        <f t="shared" si="0"/>
        <v>7570</v>
      </c>
      <c r="F50" s="351" t="s">
        <v>46</v>
      </c>
    </row>
    <row r="51" spans="1:6">
      <c r="A51" s="125" t="s">
        <v>541</v>
      </c>
      <c r="B51" s="9" t="s">
        <v>543</v>
      </c>
      <c r="C51" s="24"/>
      <c r="D51" s="24">
        <v>285</v>
      </c>
      <c r="E51" s="24">
        <f t="shared" si="0"/>
        <v>7285</v>
      </c>
    </row>
    <row r="52" spans="1:6">
      <c r="A52" s="125" t="s">
        <v>544</v>
      </c>
      <c r="B52" s="9" t="s">
        <v>545</v>
      </c>
      <c r="C52" s="24"/>
      <c r="D52" s="24">
        <v>150</v>
      </c>
      <c r="E52" s="24">
        <f t="shared" si="0"/>
        <v>7135</v>
      </c>
      <c r="F52" s="355" t="s">
        <v>46</v>
      </c>
    </row>
    <row r="53" spans="1:6">
      <c r="A53" s="359" t="s">
        <v>546</v>
      </c>
      <c r="B53" s="359" t="s">
        <v>444</v>
      </c>
      <c r="C53" s="24">
        <v>650</v>
      </c>
      <c r="D53" s="24"/>
      <c r="E53" s="24">
        <f t="shared" si="0"/>
        <v>7785</v>
      </c>
    </row>
    <row r="54" spans="1:6">
      <c r="A54" s="357" t="s">
        <v>546</v>
      </c>
      <c r="B54" s="357" t="s">
        <v>548</v>
      </c>
      <c r="C54" s="24"/>
      <c r="D54" s="24">
        <v>860</v>
      </c>
      <c r="E54" s="24">
        <f t="shared" si="0"/>
        <v>6925</v>
      </c>
    </row>
    <row r="55" spans="1:6">
      <c r="A55" s="357" t="s">
        <v>546</v>
      </c>
      <c r="B55" s="357" t="s">
        <v>17</v>
      </c>
      <c r="C55" s="24"/>
      <c r="D55" s="24">
        <v>300</v>
      </c>
      <c r="E55" s="24">
        <f t="shared" si="0"/>
        <v>6625</v>
      </c>
    </row>
    <row r="56" spans="1:6">
      <c r="A56" s="359" t="s">
        <v>551</v>
      </c>
      <c r="B56" s="359" t="s">
        <v>24</v>
      </c>
      <c r="C56" s="24">
        <v>130</v>
      </c>
      <c r="D56" s="24"/>
      <c r="E56" s="24">
        <f t="shared" si="0"/>
        <v>6755</v>
      </c>
    </row>
    <row r="57" spans="1:6">
      <c r="A57" s="357" t="s">
        <v>551</v>
      </c>
      <c r="B57" s="357" t="s">
        <v>402</v>
      </c>
      <c r="C57" s="24">
        <v>70</v>
      </c>
      <c r="D57" s="24"/>
      <c r="E57" s="24">
        <f t="shared" si="0"/>
        <v>6825</v>
      </c>
    </row>
    <row r="58" spans="1:6">
      <c r="A58" s="357" t="s">
        <v>551</v>
      </c>
      <c r="B58" s="357" t="s">
        <v>553</v>
      </c>
      <c r="C58" s="24"/>
      <c r="D58" s="24">
        <v>120</v>
      </c>
      <c r="E58" s="24">
        <f t="shared" si="0"/>
        <v>6705</v>
      </c>
    </row>
    <row r="59" spans="1:6">
      <c r="A59" s="357" t="s">
        <v>551</v>
      </c>
      <c r="B59" s="357" t="s">
        <v>17</v>
      </c>
      <c r="C59" s="24"/>
      <c r="D59" s="24">
        <v>270</v>
      </c>
      <c r="E59" s="24">
        <f t="shared" si="0"/>
        <v>6435</v>
      </c>
    </row>
    <row r="60" spans="1:6">
      <c r="A60" s="359" t="s">
        <v>551</v>
      </c>
      <c r="B60" s="359" t="s">
        <v>555</v>
      </c>
      <c r="C60" s="24">
        <v>40</v>
      </c>
      <c r="D60" s="24"/>
      <c r="E60" s="24">
        <f t="shared" si="0"/>
        <v>6475</v>
      </c>
      <c r="F60" s="362" t="s">
        <v>46</v>
      </c>
    </row>
    <row r="61" spans="1:6">
      <c r="A61" s="24" t="s">
        <v>557</v>
      </c>
      <c r="B61" s="24" t="s">
        <v>510</v>
      </c>
      <c r="C61" s="24">
        <v>178</v>
      </c>
      <c r="D61" s="24"/>
      <c r="E61" s="24">
        <f t="shared" si="0"/>
        <v>6653</v>
      </c>
    </row>
    <row r="62" spans="1:6">
      <c r="A62" s="365" t="s">
        <v>557</v>
      </c>
      <c r="B62" s="365" t="s">
        <v>433</v>
      </c>
      <c r="C62" s="24">
        <v>26</v>
      </c>
      <c r="D62" s="24"/>
      <c r="E62" s="24">
        <f t="shared" si="0"/>
        <v>6679</v>
      </c>
    </row>
    <row r="63" spans="1:6">
      <c r="A63" s="365" t="s">
        <v>557</v>
      </c>
      <c r="B63" s="365" t="s">
        <v>561</v>
      </c>
      <c r="C63" s="24"/>
      <c r="D63" s="24">
        <v>278</v>
      </c>
      <c r="E63" s="24">
        <f t="shared" si="0"/>
        <v>6401</v>
      </c>
    </row>
    <row r="64" spans="1:6">
      <c r="A64" s="364" t="s">
        <v>557</v>
      </c>
      <c r="B64" s="364" t="s">
        <v>562</v>
      </c>
      <c r="C64" s="24"/>
      <c r="D64" s="24">
        <v>168</v>
      </c>
      <c r="E64" s="24">
        <f t="shared" si="0"/>
        <v>6233</v>
      </c>
      <c r="F64" s="366" t="s">
        <v>46</v>
      </c>
    </row>
    <row r="65" spans="1:6">
      <c r="A65" s="368" t="s">
        <v>564</v>
      </c>
      <c r="B65" s="369" t="s">
        <v>24</v>
      </c>
      <c r="C65" s="24">
        <v>100</v>
      </c>
      <c r="D65" s="24"/>
      <c r="E65" s="24">
        <f t="shared" si="0"/>
        <v>6333</v>
      </c>
    </row>
    <row r="66" spans="1:6">
      <c r="A66" s="368" t="s">
        <v>564</v>
      </c>
      <c r="B66" s="369" t="s">
        <v>524</v>
      </c>
      <c r="C66" s="24">
        <v>91</v>
      </c>
      <c r="D66" s="24"/>
      <c r="E66" s="24">
        <f t="shared" si="0"/>
        <v>6424</v>
      </c>
    </row>
    <row r="67" spans="1:6">
      <c r="A67" s="369" t="s">
        <v>564</v>
      </c>
      <c r="B67" s="369" t="s">
        <v>565</v>
      </c>
      <c r="C67" s="24">
        <v>135</v>
      </c>
      <c r="D67" s="24"/>
      <c r="E67" s="24">
        <f t="shared" si="0"/>
        <v>6559</v>
      </c>
    </row>
    <row r="68" spans="1:6">
      <c r="A68" s="369" t="s">
        <v>564</v>
      </c>
      <c r="B68" s="369" t="s">
        <v>459</v>
      </c>
      <c r="C68" s="24"/>
      <c r="D68" s="24">
        <v>76</v>
      </c>
      <c r="E68" s="24">
        <f t="shared" si="0"/>
        <v>6483</v>
      </c>
    </row>
    <row r="69" spans="1:6">
      <c r="A69" s="369" t="s">
        <v>564</v>
      </c>
      <c r="B69" s="369" t="s">
        <v>567</v>
      </c>
      <c r="C69" s="24"/>
      <c r="D69" s="24">
        <v>300</v>
      </c>
      <c r="E69" s="24">
        <f t="shared" si="0"/>
        <v>6183</v>
      </c>
    </row>
    <row r="70" spans="1:6">
      <c r="A70" s="368" t="s">
        <v>564</v>
      </c>
      <c r="B70" s="369" t="s">
        <v>568</v>
      </c>
      <c r="C70" s="24"/>
      <c r="D70" s="24">
        <v>300</v>
      </c>
      <c r="E70" s="24">
        <f t="shared" si="0"/>
        <v>5883</v>
      </c>
    </row>
    <row r="71" spans="1:6">
      <c r="A71" s="369" t="s">
        <v>569</v>
      </c>
      <c r="B71" s="372" t="s">
        <v>24</v>
      </c>
      <c r="C71" s="24">
        <v>10</v>
      </c>
      <c r="D71" s="24"/>
      <c r="E71" s="24">
        <f t="shared" si="0"/>
        <v>5893</v>
      </c>
    </row>
    <row r="72" spans="1:6">
      <c r="A72" s="371" t="s">
        <v>569</v>
      </c>
      <c r="B72" s="371" t="s">
        <v>8</v>
      </c>
      <c r="C72" s="24">
        <v>145</v>
      </c>
      <c r="D72" s="24"/>
      <c r="E72" s="24">
        <f t="shared" ref="E72:E85" si="1">E71+C72-D72</f>
        <v>6038</v>
      </c>
    </row>
    <row r="73" spans="1:6">
      <c r="A73" s="369" t="s">
        <v>569</v>
      </c>
      <c r="B73" s="369" t="s">
        <v>434</v>
      </c>
      <c r="C73" s="24">
        <v>60</v>
      </c>
      <c r="D73" s="24"/>
      <c r="E73" s="24">
        <f t="shared" si="1"/>
        <v>6098</v>
      </c>
    </row>
    <row r="74" spans="1:6">
      <c r="A74" s="369" t="s">
        <v>569</v>
      </c>
      <c r="B74" s="369" t="s">
        <v>17</v>
      </c>
      <c r="C74" s="24"/>
      <c r="D74" s="24">
        <v>300</v>
      </c>
      <c r="E74" s="24">
        <f t="shared" si="1"/>
        <v>5798</v>
      </c>
      <c r="F74" s="373" t="s">
        <v>46</v>
      </c>
    </row>
    <row r="75" spans="1:6">
      <c r="A75" s="374" t="s">
        <v>581</v>
      </c>
      <c r="B75" s="375" t="s">
        <v>584</v>
      </c>
      <c r="C75" s="24"/>
      <c r="D75" s="24">
        <v>550</v>
      </c>
      <c r="E75" s="24">
        <f t="shared" si="1"/>
        <v>5248</v>
      </c>
    </row>
    <row r="76" spans="1:6">
      <c r="A76" s="377" t="s">
        <v>585</v>
      </c>
      <c r="B76" s="377" t="s">
        <v>8</v>
      </c>
      <c r="C76" s="24">
        <v>5</v>
      </c>
      <c r="D76" s="24"/>
      <c r="E76" s="24">
        <f t="shared" si="1"/>
        <v>5253</v>
      </c>
    </row>
    <row r="77" spans="1:6">
      <c r="A77" s="375" t="s">
        <v>586</v>
      </c>
      <c r="B77" s="375" t="s">
        <v>445</v>
      </c>
      <c r="C77" s="24">
        <v>165</v>
      </c>
      <c r="D77" s="24"/>
      <c r="E77" s="24">
        <f t="shared" si="1"/>
        <v>5418</v>
      </c>
    </row>
    <row r="78" spans="1:6">
      <c r="A78" s="375" t="s">
        <v>586</v>
      </c>
      <c r="B78" s="375" t="s">
        <v>590</v>
      </c>
      <c r="C78" s="24"/>
      <c r="D78" s="24">
        <v>550</v>
      </c>
      <c r="E78" s="24">
        <f t="shared" si="1"/>
        <v>4868</v>
      </c>
      <c r="F78" s="378" t="s">
        <v>46</v>
      </c>
    </row>
    <row r="79" spans="1:6">
      <c r="A79" s="380" t="s">
        <v>594</v>
      </c>
      <c r="B79" s="381" t="s">
        <v>524</v>
      </c>
      <c r="C79" s="24">
        <v>33</v>
      </c>
      <c r="D79" s="24"/>
      <c r="E79" s="24">
        <f t="shared" si="1"/>
        <v>4901</v>
      </c>
    </row>
    <row r="80" spans="1:6">
      <c r="A80" s="380" t="s">
        <v>594</v>
      </c>
      <c r="B80" s="381" t="s">
        <v>16</v>
      </c>
      <c r="C80" s="24">
        <v>55</v>
      </c>
      <c r="D80" s="24"/>
      <c r="E80" s="24">
        <f t="shared" si="1"/>
        <v>4956</v>
      </c>
    </row>
    <row r="81" spans="1:6">
      <c r="A81" s="380" t="s">
        <v>594</v>
      </c>
      <c r="B81" s="381" t="s">
        <v>17</v>
      </c>
      <c r="C81" s="24"/>
      <c r="D81" s="24">
        <v>312</v>
      </c>
      <c r="E81" s="24">
        <f t="shared" si="1"/>
        <v>4644</v>
      </c>
    </row>
    <row r="82" spans="1:6">
      <c r="A82" s="382" t="s">
        <v>594</v>
      </c>
      <c r="B82" s="382" t="s">
        <v>597</v>
      </c>
      <c r="C82" s="382">
        <v>455</v>
      </c>
      <c r="D82" s="24"/>
      <c r="E82" s="24">
        <f t="shared" si="1"/>
        <v>5099</v>
      </c>
      <c r="F82" s="383" t="s">
        <v>46</v>
      </c>
    </row>
    <row r="83" spans="1:6">
      <c r="A83" s="9" t="s">
        <v>598</v>
      </c>
      <c r="B83" s="9" t="s">
        <v>587</v>
      </c>
      <c r="C83" s="24">
        <v>115</v>
      </c>
      <c r="D83" s="24"/>
      <c r="E83" s="24">
        <f t="shared" si="1"/>
        <v>5214</v>
      </c>
    </row>
    <row r="84" spans="1:6">
      <c r="A84" s="385" t="s">
        <v>598</v>
      </c>
      <c r="B84" s="386" t="s">
        <v>16</v>
      </c>
      <c r="C84" s="24">
        <v>20</v>
      </c>
      <c r="D84" s="24"/>
      <c r="E84" s="24">
        <f t="shared" si="1"/>
        <v>5234</v>
      </c>
    </row>
    <row r="85" spans="1:6">
      <c r="A85" s="57">
        <v>43102</v>
      </c>
      <c r="B85" s="389" t="s">
        <v>596</v>
      </c>
      <c r="C85" s="24">
        <v>118</v>
      </c>
      <c r="D85" s="24"/>
      <c r="E85" s="24">
        <f t="shared" si="1"/>
        <v>5352</v>
      </c>
    </row>
    <row r="86" spans="1:6">
      <c r="A86" s="57">
        <v>43102</v>
      </c>
      <c r="B86" s="389" t="s">
        <v>560</v>
      </c>
      <c r="C86" s="24"/>
      <c r="D86" s="24">
        <v>600</v>
      </c>
      <c r="E86" s="24">
        <f>E85+C86-D86</f>
        <v>4752</v>
      </c>
      <c r="F86" s="391" t="s">
        <v>46</v>
      </c>
    </row>
    <row r="87" spans="1:6">
      <c r="A87" s="21">
        <v>43133</v>
      </c>
      <c r="B87" s="9" t="s">
        <v>13</v>
      </c>
      <c r="C87" s="24">
        <v>87</v>
      </c>
      <c r="D87" s="24"/>
      <c r="E87" s="24">
        <f t="shared" ref="E87" si="2">E86+C87-D87</f>
        <v>4839</v>
      </c>
    </row>
    <row r="88" spans="1:6">
      <c r="A88" s="21">
        <v>43133</v>
      </c>
      <c r="B88" s="395" t="s">
        <v>466</v>
      </c>
      <c r="C88" s="24">
        <v>78</v>
      </c>
      <c r="D88" s="24"/>
      <c r="E88" s="24">
        <f>E87+C88-D88</f>
        <v>4917</v>
      </c>
      <c r="F88" s="397" t="s">
        <v>46</v>
      </c>
    </row>
    <row r="89" spans="1:6">
      <c r="A89" s="172">
        <v>43161</v>
      </c>
      <c r="B89" s="399" t="s">
        <v>602</v>
      </c>
      <c r="C89" s="24">
        <v>80</v>
      </c>
      <c r="D89" s="24"/>
      <c r="E89" s="24">
        <f>E88+C89-D89</f>
        <v>4997</v>
      </c>
    </row>
    <row r="90" spans="1:6">
      <c r="A90" s="21">
        <v>43222</v>
      </c>
      <c r="B90" s="9" t="s">
        <v>24</v>
      </c>
      <c r="C90" s="24">
        <v>300</v>
      </c>
      <c r="D90" s="24"/>
      <c r="E90" s="24">
        <f t="shared" ref="E90:E154" si="3">E89+C90-D90</f>
        <v>5297</v>
      </c>
    </row>
    <row r="91" spans="1:6">
      <c r="A91" s="42">
        <v>43222</v>
      </c>
      <c r="B91" s="401" t="s">
        <v>587</v>
      </c>
      <c r="C91" s="24">
        <v>100</v>
      </c>
      <c r="D91" s="24"/>
      <c r="E91" s="24">
        <f t="shared" si="3"/>
        <v>5397</v>
      </c>
    </row>
    <row r="92" spans="1:6">
      <c r="A92" s="57">
        <v>43222</v>
      </c>
      <c r="B92" s="402" t="s">
        <v>463</v>
      </c>
      <c r="C92" s="24">
        <v>50</v>
      </c>
      <c r="D92" s="24"/>
      <c r="E92" s="24">
        <f t="shared" si="3"/>
        <v>5447</v>
      </c>
    </row>
    <row r="93" spans="1:6">
      <c r="A93" s="21">
        <v>43222</v>
      </c>
      <c r="B93" s="401" t="s">
        <v>520</v>
      </c>
      <c r="C93" s="24">
        <v>200</v>
      </c>
      <c r="D93" s="24"/>
      <c r="E93" s="24">
        <f t="shared" si="3"/>
        <v>5647</v>
      </c>
    </row>
    <row r="94" spans="1:6">
      <c r="A94" s="21">
        <v>43222</v>
      </c>
      <c r="B94" s="401" t="s">
        <v>17</v>
      </c>
      <c r="C94" s="24"/>
      <c r="D94" s="24">
        <v>250</v>
      </c>
      <c r="E94" s="24">
        <f t="shared" si="3"/>
        <v>5397</v>
      </c>
      <c r="F94" s="406" t="s">
        <v>46</v>
      </c>
    </row>
    <row r="95" spans="1:6">
      <c r="A95" s="21">
        <v>43253</v>
      </c>
      <c r="B95" s="407" t="s">
        <v>435</v>
      </c>
      <c r="C95" s="24">
        <v>55</v>
      </c>
      <c r="D95" s="24"/>
      <c r="E95" s="24">
        <f t="shared" si="3"/>
        <v>5452</v>
      </c>
      <c r="F95" s="409" t="s">
        <v>46</v>
      </c>
    </row>
    <row r="96" spans="1:6">
      <c r="A96" s="42">
        <v>43283</v>
      </c>
      <c r="B96" s="411" t="s">
        <v>524</v>
      </c>
      <c r="C96" s="24">
        <v>22</v>
      </c>
      <c r="D96" s="24"/>
      <c r="E96" s="24">
        <f t="shared" si="3"/>
        <v>5474</v>
      </c>
    </row>
    <row r="97" spans="1:6">
      <c r="A97" s="57">
        <v>43283</v>
      </c>
      <c r="B97" s="412" t="s">
        <v>510</v>
      </c>
      <c r="C97" s="24">
        <v>79</v>
      </c>
      <c r="D97" s="24"/>
      <c r="E97" s="24">
        <f t="shared" si="3"/>
        <v>5553</v>
      </c>
    </row>
    <row r="98" spans="1:6">
      <c r="A98" s="42">
        <v>43283</v>
      </c>
      <c r="B98" s="411" t="s">
        <v>613</v>
      </c>
      <c r="C98" s="24">
        <v>26</v>
      </c>
      <c r="D98" s="24"/>
      <c r="E98" s="24">
        <f t="shared" si="3"/>
        <v>5579</v>
      </c>
    </row>
    <row r="99" spans="1:6">
      <c r="A99" s="21">
        <v>43283</v>
      </c>
      <c r="B99" s="411" t="s">
        <v>614</v>
      </c>
      <c r="C99" s="24">
        <v>20</v>
      </c>
      <c r="D99" s="24"/>
      <c r="E99" s="24">
        <f t="shared" si="3"/>
        <v>5599</v>
      </c>
    </row>
    <row r="100" spans="1:6">
      <c r="A100" s="42">
        <v>43283</v>
      </c>
      <c r="B100" s="411" t="s">
        <v>560</v>
      </c>
      <c r="C100" s="24"/>
      <c r="D100" s="24">
        <v>250</v>
      </c>
      <c r="E100" s="24">
        <f t="shared" si="3"/>
        <v>5349</v>
      </c>
    </row>
    <row r="101" spans="1:6">
      <c r="A101" s="42">
        <v>43283</v>
      </c>
      <c r="B101" s="411" t="s">
        <v>616</v>
      </c>
      <c r="C101" s="24"/>
      <c r="D101" s="24">
        <v>100</v>
      </c>
      <c r="E101" s="24">
        <f t="shared" si="3"/>
        <v>5249</v>
      </c>
    </row>
    <row r="102" spans="1:6">
      <c r="A102" s="21">
        <v>43283</v>
      </c>
      <c r="B102" s="411" t="s">
        <v>17</v>
      </c>
      <c r="C102" s="24"/>
      <c r="D102" s="24">
        <v>250</v>
      </c>
      <c r="E102" s="24">
        <f t="shared" si="3"/>
        <v>4999</v>
      </c>
    </row>
    <row r="103" spans="1:6">
      <c r="A103" s="57">
        <v>43314</v>
      </c>
      <c r="B103" s="412" t="s">
        <v>596</v>
      </c>
      <c r="C103" s="24">
        <v>75</v>
      </c>
      <c r="D103" s="24"/>
      <c r="E103" s="24">
        <f t="shared" si="3"/>
        <v>5074</v>
      </c>
    </row>
    <row r="104" spans="1:6">
      <c r="A104" s="322">
        <v>43314</v>
      </c>
      <c r="B104" s="25" t="s">
        <v>587</v>
      </c>
      <c r="C104" s="24">
        <v>43</v>
      </c>
      <c r="D104" s="24"/>
      <c r="E104" s="24">
        <f t="shared" si="3"/>
        <v>5117</v>
      </c>
    </row>
    <row r="105" spans="1:6">
      <c r="A105" s="21">
        <v>43314</v>
      </c>
      <c r="B105" s="411" t="s">
        <v>622</v>
      </c>
      <c r="C105" s="24"/>
      <c r="D105" s="24">
        <v>400</v>
      </c>
      <c r="E105" s="24">
        <f t="shared" si="3"/>
        <v>4717</v>
      </c>
      <c r="F105" s="413" t="s">
        <v>46</v>
      </c>
    </row>
    <row r="106" spans="1:6">
      <c r="A106" s="42">
        <v>43345</v>
      </c>
      <c r="B106" s="415" t="s">
        <v>524</v>
      </c>
      <c r="C106" s="24">
        <v>60</v>
      </c>
      <c r="D106" s="24"/>
      <c r="E106" s="24">
        <f t="shared" si="3"/>
        <v>4777</v>
      </c>
    </row>
    <row r="107" spans="1:6">
      <c r="A107" s="42">
        <v>43345</v>
      </c>
      <c r="B107" s="415" t="s">
        <v>560</v>
      </c>
      <c r="C107" s="24"/>
      <c r="D107" s="24">
        <v>350</v>
      </c>
      <c r="E107" s="24">
        <f t="shared" si="3"/>
        <v>4427</v>
      </c>
    </row>
    <row r="108" spans="1:6">
      <c r="A108" s="42">
        <v>43345</v>
      </c>
      <c r="B108" s="415" t="s">
        <v>625</v>
      </c>
      <c r="C108" s="24"/>
      <c r="D108" s="24">
        <v>50</v>
      </c>
      <c r="E108" s="24">
        <f t="shared" si="3"/>
        <v>4377</v>
      </c>
    </row>
    <row r="109" spans="1:6">
      <c r="A109" s="57">
        <v>43345</v>
      </c>
      <c r="B109" s="416" t="s">
        <v>17</v>
      </c>
      <c r="C109" s="24"/>
      <c r="D109" s="24">
        <v>250</v>
      </c>
      <c r="E109" s="24">
        <f t="shared" si="3"/>
        <v>4127</v>
      </c>
      <c r="F109" s="417" t="s">
        <v>46</v>
      </c>
    </row>
    <row r="110" spans="1:6">
      <c r="A110" s="57">
        <v>43375</v>
      </c>
      <c r="B110" s="423" t="s">
        <v>627</v>
      </c>
      <c r="C110" s="24"/>
      <c r="D110" s="24">
        <v>40</v>
      </c>
      <c r="E110" s="24">
        <f t="shared" si="3"/>
        <v>4087</v>
      </c>
    </row>
    <row r="111" spans="1:6">
      <c r="A111" s="42">
        <v>43375</v>
      </c>
      <c r="B111" s="422" t="s">
        <v>17</v>
      </c>
      <c r="C111" s="24"/>
      <c r="D111" s="24">
        <v>200</v>
      </c>
      <c r="E111" s="24">
        <f t="shared" si="3"/>
        <v>3887</v>
      </c>
    </row>
    <row r="112" spans="1:6">
      <c r="A112" s="42">
        <v>43436</v>
      </c>
      <c r="B112" s="422" t="s">
        <v>17</v>
      </c>
      <c r="C112" s="24"/>
      <c r="D112" s="24">
        <v>430</v>
      </c>
      <c r="E112" s="24">
        <f t="shared" si="3"/>
        <v>3457</v>
      </c>
      <c r="F112" s="425" t="s">
        <v>46</v>
      </c>
    </row>
    <row r="113" spans="1:6">
      <c r="A113" s="429" t="s">
        <v>630</v>
      </c>
      <c r="B113" s="429" t="s">
        <v>631</v>
      </c>
      <c r="C113" s="24">
        <v>57</v>
      </c>
      <c r="D113" s="24"/>
      <c r="E113" s="24">
        <f t="shared" si="3"/>
        <v>3514</v>
      </c>
    </row>
    <row r="114" spans="1:6">
      <c r="A114" s="429" t="s">
        <v>630</v>
      </c>
      <c r="B114" s="429" t="s">
        <v>501</v>
      </c>
      <c r="C114" s="24">
        <v>150</v>
      </c>
      <c r="D114" s="24"/>
      <c r="E114" s="24">
        <f t="shared" si="3"/>
        <v>3664</v>
      </c>
    </row>
    <row r="115" spans="1:6">
      <c r="A115" s="429" t="s">
        <v>630</v>
      </c>
      <c r="B115" s="429" t="s">
        <v>633</v>
      </c>
      <c r="C115" s="24">
        <v>119</v>
      </c>
      <c r="D115" s="24"/>
      <c r="E115" s="24">
        <f t="shared" si="3"/>
        <v>3783</v>
      </c>
    </row>
    <row r="116" spans="1:6">
      <c r="A116" s="429" t="s">
        <v>630</v>
      </c>
      <c r="B116" s="429" t="s">
        <v>587</v>
      </c>
      <c r="C116" s="24">
        <v>15</v>
      </c>
      <c r="D116" s="24"/>
      <c r="E116" s="24">
        <f t="shared" si="3"/>
        <v>3798</v>
      </c>
    </row>
    <row r="117" spans="1:6">
      <c r="A117" s="430" t="s">
        <v>636</v>
      </c>
      <c r="B117" s="429" t="s">
        <v>24</v>
      </c>
      <c r="C117" s="24">
        <v>90</v>
      </c>
      <c r="D117" s="24"/>
      <c r="E117" s="24">
        <f t="shared" si="3"/>
        <v>3888</v>
      </c>
    </row>
    <row r="118" spans="1:6">
      <c r="A118" s="430" t="s">
        <v>636</v>
      </c>
      <c r="B118" s="429" t="s">
        <v>16</v>
      </c>
      <c r="C118" s="24">
        <v>29</v>
      </c>
      <c r="D118" s="24"/>
      <c r="E118" s="24">
        <f t="shared" si="3"/>
        <v>3917</v>
      </c>
    </row>
    <row r="119" spans="1:6">
      <c r="A119" s="429" t="s">
        <v>636</v>
      </c>
      <c r="B119" s="429" t="s">
        <v>637</v>
      </c>
      <c r="C119" s="24">
        <v>40</v>
      </c>
      <c r="D119" s="24"/>
      <c r="E119" s="24">
        <f t="shared" si="3"/>
        <v>3957</v>
      </c>
    </row>
    <row r="120" spans="1:6">
      <c r="A120" s="430" t="s">
        <v>636</v>
      </c>
      <c r="B120" s="429" t="s">
        <v>17</v>
      </c>
      <c r="C120" s="24"/>
      <c r="D120" s="24">
        <v>600</v>
      </c>
      <c r="E120" s="24">
        <f t="shared" si="3"/>
        <v>3357</v>
      </c>
      <c r="F120" s="432" t="s">
        <v>46</v>
      </c>
    </row>
    <row r="121" spans="1:6">
      <c r="A121" s="434" t="s">
        <v>638</v>
      </c>
      <c r="B121" s="434" t="s">
        <v>641</v>
      </c>
      <c r="C121" s="24"/>
      <c r="D121" s="24">
        <v>423</v>
      </c>
      <c r="E121" s="24">
        <f t="shared" si="3"/>
        <v>2934</v>
      </c>
    </row>
    <row r="122" spans="1:6">
      <c r="A122" s="436" t="s">
        <v>644</v>
      </c>
      <c r="B122" s="437" t="s">
        <v>616</v>
      </c>
      <c r="C122" s="24">
        <v>99</v>
      </c>
      <c r="D122" s="24"/>
      <c r="E122" s="24">
        <f t="shared" si="3"/>
        <v>3033</v>
      </c>
    </row>
    <row r="123" spans="1:6">
      <c r="A123" s="436" t="s">
        <v>644</v>
      </c>
      <c r="B123" s="437" t="s">
        <v>646</v>
      </c>
      <c r="C123" s="24"/>
      <c r="D123" s="24">
        <v>40</v>
      </c>
      <c r="E123" s="24">
        <f t="shared" si="3"/>
        <v>2993</v>
      </c>
    </row>
    <row r="124" spans="1:6">
      <c r="A124" s="438" t="s">
        <v>644</v>
      </c>
      <c r="B124" s="438" t="s">
        <v>647</v>
      </c>
      <c r="C124" s="24"/>
      <c r="D124" s="24">
        <v>320</v>
      </c>
      <c r="E124" s="24">
        <f t="shared" si="3"/>
        <v>2673</v>
      </c>
    </row>
    <row r="125" spans="1:6" ht="15">
      <c r="A125" s="33" t="s">
        <v>649</v>
      </c>
      <c r="B125" s="33" t="s">
        <v>650</v>
      </c>
      <c r="C125" s="24"/>
      <c r="D125" s="24">
        <v>335</v>
      </c>
      <c r="E125" s="24">
        <f t="shared" si="3"/>
        <v>2338</v>
      </c>
      <c r="F125" s="439" t="s">
        <v>46</v>
      </c>
    </row>
    <row r="126" spans="1:6">
      <c r="A126" s="443" t="s">
        <v>651</v>
      </c>
      <c r="B126" s="444" t="s">
        <v>616</v>
      </c>
      <c r="C126" s="24">
        <v>70</v>
      </c>
      <c r="D126" s="24"/>
      <c r="E126" s="24">
        <f t="shared" si="3"/>
        <v>2408</v>
      </c>
    </row>
    <row r="127" spans="1:6">
      <c r="A127" s="445" t="s">
        <v>651</v>
      </c>
      <c r="B127" s="445" t="s">
        <v>587</v>
      </c>
      <c r="C127" s="24">
        <v>30</v>
      </c>
      <c r="D127" s="24"/>
      <c r="E127" s="24">
        <f t="shared" si="3"/>
        <v>2438</v>
      </c>
    </row>
    <row r="128" spans="1:6">
      <c r="A128" s="446" t="s">
        <v>651</v>
      </c>
      <c r="B128" s="445" t="s">
        <v>434</v>
      </c>
      <c r="C128" s="24">
        <v>40</v>
      </c>
      <c r="D128" s="24"/>
      <c r="E128" s="24">
        <f t="shared" si="3"/>
        <v>2478</v>
      </c>
    </row>
    <row r="129" spans="1:6">
      <c r="A129" s="443" t="s">
        <v>651</v>
      </c>
      <c r="B129" s="444" t="s">
        <v>17</v>
      </c>
      <c r="C129" s="24"/>
      <c r="D129" s="24">
        <v>150</v>
      </c>
      <c r="E129" s="24">
        <f t="shared" si="3"/>
        <v>2328</v>
      </c>
    </row>
    <row r="130" spans="1:6">
      <c r="A130" s="444" t="s">
        <v>656</v>
      </c>
      <c r="B130" s="444" t="s">
        <v>660</v>
      </c>
      <c r="C130" s="24">
        <v>67</v>
      </c>
      <c r="D130" s="24"/>
      <c r="E130" s="24">
        <f t="shared" si="3"/>
        <v>2395</v>
      </c>
    </row>
    <row r="131" spans="1:6">
      <c r="A131" s="444" t="s">
        <v>656</v>
      </c>
      <c r="B131" s="444" t="s">
        <v>601</v>
      </c>
      <c r="C131" s="24">
        <v>1</v>
      </c>
      <c r="D131" s="24"/>
      <c r="E131" s="24">
        <f t="shared" si="3"/>
        <v>2396</v>
      </c>
    </row>
    <row r="132" spans="1:6">
      <c r="A132" s="448" t="s">
        <v>661</v>
      </c>
      <c r="B132" s="449" t="s">
        <v>662</v>
      </c>
      <c r="C132" s="24">
        <v>80</v>
      </c>
      <c r="D132" s="24"/>
      <c r="E132" s="24">
        <f t="shared" si="3"/>
        <v>2476</v>
      </c>
    </row>
    <row r="133" spans="1:6">
      <c r="A133" s="457" t="s">
        <v>669</v>
      </c>
      <c r="B133" s="458" t="s">
        <v>671</v>
      </c>
      <c r="C133" s="24">
        <v>780</v>
      </c>
      <c r="D133" s="24"/>
      <c r="E133" s="24">
        <f t="shared" si="3"/>
        <v>3256</v>
      </c>
    </row>
    <row r="134" spans="1:6">
      <c r="A134" s="457" t="s">
        <v>669</v>
      </c>
      <c r="B134" s="458" t="s">
        <v>675</v>
      </c>
      <c r="C134" s="24">
        <v>64</v>
      </c>
      <c r="D134" s="24"/>
      <c r="E134" s="24">
        <f t="shared" si="3"/>
        <v>3320</v>
      </c>
    </row>
    <row r="135" spans="1:6">
      <c r="A135" s="459" t="s">
        <v>669</v>
      </c>
      <c r="B135" s="457" t="s">
        <v>459</v>
      </c>
      <c r="C135" s="24"/>
      <c r="D135" s="24">
        <v>250</v>
      </c>
      <c r="E135" s="24">
        <f t="shared" si="3"/>
        <v>3070</v>
      </c>
    </row>
    <row r="136" spans="1:6">
      <c r="A136" s="459" t="s">
        <v>669</v>
      </c>
      <c r="B136" s="457" t="s">
        <v>548</v>
      </c>
      <c r="C136" s="24"/>
      <c r="D136" s="24">
        <v>160</v>
      </c>
      <c r="E136" s="24">
        <f t="shared" si="3"/>
        <v>2910</v>
      </c>
      <c r="F136" s="460"/>
    </row>
    <row r="137" spans="1:6">
      <c r="A137" s="463" t="s">
        <v>677</v>
      </c>
      <c r="B137" s="462" t="s">
        <v>680</v>
      </c>
      <c r="C137" s="24">
        <v>80</v>
      </c>
      <c r="D137" s="24"/>
      <c r="E137" s="24">
        <f t="shared" si="3"/>
        <v>2990</v>
      </c>
    </row>
    <row r="138" spans="1:6">
      <c r="A138" s="464" t="s">
        <v>677</v>
      </c>
      <c r="B138" s="464" t="s">
        <v>682</v>
      </c>
      <c r="C138" s="24">
        <v>235</v>
      </c>
      <c r="D138" s="24"/>
      <c r="E138" s="24">
        <f t="shared" si="3"/>
        <v>3225</v>
      </c>
    </row>
    <row r="139" spans="1:6">
      <c r="A139" s="462" t="s">
        <v>686</v>
      </c>
      <c r="B139" s="462" t="s">
        <v>17</v>
      </c>
      <c r="C139" s="24"/>
      <c r="D139" s="24">
        <v>220</v>
      </c>
      <c r="E139" s="24">
        <f t="shared" si="3"/>
        <v>3005</v>
      </c>
      <c r="F139" s="465"/>
    </row>
    <row r="140" spans="1:6">
      <c r="A140" s="468" t="s">
        <v>687</v>
      </c>
      <c r="B140" s="468" t="s">
        <v>9</v>
      </c>
      <c r="C140" s="24">
        <v>200</v>
      </c>
      <c r="D140" s="24"/>
      <c r="E140" s="24">
        <f t="shared" si="3"/>
        <v>3205</v>
      </c>
    </row>
    <row r="141" spans="1:6">
      <c r="A141" s="469" t="s">
        <v>687</v>
      </c>
      <c r="B141" s="467" t="s">
        <v>689</v>
      </c>
      <c r="C141" s="24"/>
      <c r="D141" s="24">
        <v>660</v>
      </c>
      <c r="E141" s="24">
        <f t="shared" si="3"/>
        <v>2545</v>
      </c>
    </row>
    <row r="142" spans="1:6">
      <c r="A142" s="467" t="s">
        <v>687</v>
      </c>
      <c r="B142" s="467" t="s">
        <v>690</v>
      </c>
      <c r="C142" s="24"/>
      <c r="D142" s="24">
        <v>200</v>
      </c>
      <c r="E142" s="24">
        <f t="shared" si="3"/>
        <v>2345</v>
      </c>
    </row>
    <row r="143" spans="1:6">
      <c r="A143" s="468" t="s">
        <v>687</v>
      </c>
      <c r="B143" s="468" t="s">
        <v>691</v>
      </c>
      <c r="C143" s="24">
        <v>276</v>
      </c>
      <c r="D143" s="24"/>
      <c r="E143" s="24">
        <f t="shared" si="3"/>
        <v>2621</v>
      </c>
      <c r="F143" s="470"/>
    </row>
    <row r="144" spans="1:6">
      <c r="A144" s="473" t="s">
        <v>694</v>
      </c>
      <c r="B144" s="472" t="s">
        <v>695</v>
      </c>
      <c r="C144" s="24">
        <v>275</v>
      </c>
      <c r="D144" s="24"/>
      <c r="E144" s="24">
        <f t="shared" si="3"/>
        <v>2896</v>
      </c>
    </row>
    <row r="145" spans="1:6">
      <c r="A145" s="472" t="s">
        <v>694</v>
      </c>
      <c r="B145" s="472" t="s">
        <v>696</v>
      </c>
      <c r="C145" s="24">
        <v>203</v>
      </c>
      <c r="D145" s="24"/>
      <c r="E145" s="24">
        <f t="shared" si="3"/>
        <v>3099</v>
      </c>
    </row>
    <row r="146" spans="1:6">
      <c r="A146" s="473" t="s">
        <v>694</v>
      </c>
      <c r="B146" s="472" t="s">
        <v>699</v>
      </c>
      <c r="C146" s="24">
        <v>91</v>
      </c>
      <c r="D146" s="24"/>
      <c r="E146" s="24">
        <f t="shared" si="3"/>
        <v>3190</v>
      </c>
    </row>
    <row r="147" spans="1:6">
      <c r="A147" s="474" t="s">
        <v>694</v>
      </c>
      <c r="B147" s="474" t="s">
        <v>700</v>
      </c>
      <c r="C147" s="24">
        <v>55</v>
      </c>
      <c r="D147" s="24"/>
      <c r="E147" s="24">
        <f t="shared" si="3"/>
        <v>3245</v>
      </c>
    </row>
    <row r="148" spans="1:6">
      <c r="A148" s="474" t="s">
        <v>694</v>
      </c>
      <c r="B148" s="474" t="s">
        <v>700</v>
      </c>
      <c r="C148" s="24">
        <v>90</v>
      </c>
      <c r="D148" s="24"/>
      <c r="E148" s="24">
        <f t="shared" si="3"/>
        <v>3335</v>
      </c>
      <c r="F148" s="476"/>
    </row>
    <row r="149" spans="1:6">
      <c r="A149" s="477" t="s">
        <v>703</v>
      </c>
      <c r="B149" s="478" t="s">
        <v>543</v>
      </c>
      <c r="C149" s="24"/>
      <c r="D149" s="24">
        <v>24</v>
      </c>
      <c r="E149" s="24">
        <f t="shared" si="3"/>
        <v>3311</v>
      </c>
    </row>
    <row r="150" spans="1:6">
      <c r="A150" s="9" t="s">
        <v>703</v>
      </c>
      <c r="B150" s="9" t="s">
        <v>704</v>
      </c>
      <c r="C150" s="24">
        <v>227</v>
      </c>
      <c r="D150" s="24"/>
      <c r="E150" s="24">
        <f t="shared" si="3"/>
        <v>3538</v>
      </c>
    </row>
    <row r="151" spans="1:6">
      <c r="A151" s="9" t="s">
        <v>703</v>
      </c>
      <c r="B151" s="9" t="s">
        <v>589</v>
      </c>
      <c r="C151" s="24"/>
      <c r="D151" s="24">
        <v>540</v>
      </c>
      <c r="E151" s="24">
        <f t="shared" si="3"/>
        <v>2998</v>
      </c>
      <c r="F151" s="481"/>
    </row>
    <row r="152" spans="1:6">
      <c r="A152" s="21">
        <v>43103</v>
      </c>
      <c r="B152" s="9" t="s">
        <v>459</v>
      </c>
      <c r="C152" s="24"/>
      <c r="D152" s="24">
        <v>200</v>
      </c>
      <c r="E152" s="24">
        <f t="shared" si="3"/>
        <v>2798</v>
      </c>
    </row>
    <row r="153" spans="1:6">
      <c r="A153" s="483">
        <v>43134</v>
      </c>
      <c r="B153" s="482" t="s">
        <v>672</v>
      </c>
      <c r="C153" s="24"/>
      <c r="D153" s="24">
        <v>424</v>
      </c>
      <c r="E153" s="24">
        <f t="shared" si="3"/>
        <v>2374</v>
      </c>
      <c r="F153" s="486"/>
    </row>
    <row r="154" spans="1:6">
      <c r="A154" s="489">
        <v>43162</v>
      </c>
      <c r="B154" s="487" t="s">
        <v>469</v>
      </c>
      <c r="C154" s="24"/>
      <c r="D154" s="24">
        <v>20</v>
      </c>
      <c r="E154" s="24">
        <f t="shared" si="3"/>
        <v>2354</v>
      </c>
    </row>
    <row r="155" spans="1:6">
      <c r="A155" s="489">
        <v>43162</v>
      </c>
      <c r="B155" s="487" t="s">
        <v>706</v>
      </c>
      <c r="C155" s="24"/>
      <c r="D155" s="24">
        <v>40</v>
      </c>
      <c r="E155" s="24">
        <f t="shared" ref="E155:E184" si="4">E154+C155-D155</f>
        <v>2314</v>
      </c>
      <c r="F155" s="490" t="s">
        <v>46</v>
      </c>
    </row>
    <row r="156" spans="1:6">
      <c r="A156" s="489">
        <v>43223</v>
      </c>
      <c r="B156" s="492" t="s">
        <v>524</v>
      </c>
      <c r="C156" s="24">
        <v>8</v>
      </c>
      <c r="D156" s="24"/>
      <c r="E156" s="24">
        <f t="shared" si="4"/>
        <v>2322</v>
      </c>
    </row>
    <row r="157" spans="1:6">
      <c r="A157" s="483">
        <v>43223</v>
      </c>
      <c r="B157" s="492" t="s">
        <v>510</v>
      </c>
      <c r="C157" s="24">
        <v>54</v>
      </c>
      <c r="D157" s="24"/>
      <c r="E157" s="24">
        <f t="shared" si="4"/>
        <v>2376</v>
      </c>
    </row>
    <row r="158" spans="1:6">
      <c r="A158" s="21">
        <v>43223</v>
      </c>
      <c r="B158" s="492" t="s">
        <v>710</v>
      </c>
      <c r="C158" s="24">
        <v>13</v>
      </c>
      <c r="D158" s="24"/>
      <c r="E158" s="24">
        <f t="shared" si="4"/>
        <v>2389</v>
      </c>
    </row>
    <row r="159" spans="1:6">
      <c r="A159" s="21">
        <v>43254</v>
      </c>
      <c r="B159" s="492" t="s">
        <v>712</v>
      </c>
      <c r="C159" s="24">
        <v>211</v>
      </c>
      <c r="D159" s="24"/>
      <c r="E159" s="24">
        <f t="shared" si="4"/>
        <v>2600</v>
      </c>
      <c r="F159" s="494" t="s">
        <v>46</v>
      </c>
    </row>
    <row r="160" spans="1:6">
      <c r="A160" s="42">
        <v>43284</v>
      </c>
      <c r="B160" s="9" t="s">
        <v>708</v>
      </c>
      <c r="C160" s="24">
        <v>100</v>
      </c>
      <c r="D160" s="24"/>
      <c r="E160" s="24">
        <f t="shared" si="4"/>
        <v>2700</v>
      </c>
    </row>
    <row r="161" spans="1:6">
      <c r="A161" s="42">
        <v>43284</v>
      </c>
      <c r="B161" s="9" t="s">
        <v>655</v>
      </c>
      <c r="C161" s="24">
        <v>135</v>
      </c>
      <c r="D161" s="24"/>
      <c r="E161" s="24">
        <f t="shared" si="4"/>
        <v>2835</v>
      </c>
      <c r="F161" s="156" t="s">
        <v>46</v>
      </c>
    </row>
    <row r="162" spans="1:6">
      <c r="A162" s="42">
        <v>43315</v>
      </c>
      <c r="B162" s="497" t="s">
        <v>462</v>
      </c>
      <c r="C162" s="24">
        <v>63</v>
      </c>
      <c r="D162" s="24"/>
      <c r="E162" s="24">
        <f t="shared" si="4"/>
        <v>2898</v>
      </c>
    </row>
    <row r="163" spans="1:6">
      <c r="A163" s="42">
        <v>43376</v>
      </c>
      <c r="B163" s="498" t="s">
        <v>708</v>
      </c>
      <c r="C163" s="24">
        <v>235</v>
      </c>
      <c r="D163" s="24"/>
      <c r="E163" s="24">
        <f t="shared" si="4"/>
        <v>3133</v>
      </c>
      <c r="F163" s="500" t="s">
        <v>46</v>
      </c>
    </row>
    <row r="164" spans="1:6">
      <c r="A164" s="42">
        <v>43437</v>
      </c>
      <c r="B164" s="502" t="s">
        <v>8</v>
      </c>
      <c r="C164" s="24">
        <v>100</v>
      </c>
      <c r="D164" s="24"/>
      <c r="E164" s="24">
        <f t="shared" si="4"/>
        <v>3233</v>
      </c>
    </row>
    <row r="165" spans="1:6">
      <c r="A165" s="57">
        <v>43437</v>
      </c>
      <c r="B165" s="503" t="s">
        <v>727</v>
      </c>
      <c r="C165" s="24"/>
      <c r="D165" s="24">
        <v>300</v>
      </c>
      <c r="E165" s="24">
        <f t="shared" si="4"/>
        <v>2933</v>
      </c>
    </row>
    <row r="166" spans="1:6">
      <c r="A166" s="502" t="s">
        <v>728</v>
      </c>
      <c r="B166" s="502" t="s">
        <v>554</v>
      </c>
      <c r="C166" s="24">
        <v>86</v>
      </c>
      <c r="D166" s="24"/>
      <c r="E166" s="24">
        <f t="shared" si="4"/>
        <v>3019</v>
      </c>
    </row>
    <row r="167" spans="1:6">
      <c r="A167" s="502" t="s">
        <v>728</v>
      </c>
      <c r="B167" s="502" t="s">
        <v>554</v>
      </c>
      <c r="C167" s="24">
        <v>56</v>
      </c>
      <c r="D167" s="24"/>
      <c r="E167" s="24">
        <f t="shared" si="4"/>
        <v>3075</v>
      </c>
    </row>
    <row r="168" spans="1:6">
      <c r="A168" s="503" t="s">
        <v>728</v>
      </c>
      <c r="B168" s="503" t="s">
        <v>730</v>
      </c>
      <c r="C168" s="24">
        <v>1000</v>
      </c>
      <c r="D168" s="24"/>
      <c r="E168" s="24">
        <f t="shared" si="4"/>
        <v>4075</v>
      </c>
      <c r="F168" s="505" t="s">
        <v>46</v>
      </c>
    </row>
    <row r="169" spans="1:6">
      <c r="A169" s="125" t="s">
        <v>731</v>
      </c>
      <c r="B169" s="9" t="s">
        <v>524</v>
      </c>
      <c r="C169" s="24">
        <v>48</v>
      </c>
      <c r="D169" s="24"/>
      <c r="E169" s="24">
        <f t="shared" si="4"/>
        <v>4123</v>
      </c>
    </row>
    <row r="170" spans="1:6">
      <c r="A170" s="507" t="s">
        <v>731</v>
      </c>
      <c r="B170" s="508" t="s">
        <v>510</v>
      </c>
      <c r="C170" s="24">
        <v>32</v>
      </c>
      <c r="D170" s="24"/>
      <c r="E170" s="24">
        <f t="shared" si="4"/>
        <v>4155</v>
      </c>
    </row>
    <row r="171" spans="1:6">
      <c r="A171" s="507" t="s">
        <v>731</v>
      </c>
      <c r="B171" s="508" t="s">
        <v>459</v>
      </c>
      <c r="C171" s="24"/>
      <c r="D171" s="24">
        <v>70</v>
      </c>
      <c r="E171" s="24">
        <f t="shared" si="4"/>
        <v>4085</v>
      </c>
    </row>
    <row r="172" spans="1:6">
      <c r="A172" s="509" t="s">
        <v>732</v>
      </c>
      <c r="B172" s="509" t="s">
        <v>700</v>
      </c>
      <c r="C172" s="24">
        <v>90</v>
      </c>
      <c r="D172" s="24"/>
      <c r="E172" s="24">
        <f t="shared" si="4"/>
        <v>4175</v>
      </c>
    </row>
    <row r="173" spans="1:6">
      <c r="A173" s="509" t="s">
        <v>732</v>
      </c>
      <c r="B173" s="509" t="s">
        <v>700</v>
      </c>
      <c r="C173" s="24">
        <v>10</v>
      </c>
      <c r="D173" s="24"/>
      <c r="E173" s="24">
        <f t="shared" si="4"/>
        <v>4185</v>
      </c>
    </row>
    <row r="174" spans="1:6">
      <c r="A174" s="507" t="s">
        <v>732</v>
      </c>
      <c r="B174" s="508" t="s">
        <v>734</v>
      </c>
      <c r="C174" s="24"/>
      <c r="D174" s="24">
        <v>200</v>
      </c>
      <c r="E174" s="24">
        <f t="shared" si="4"/>
        <v>3985</v>
      </c>
    </row>
    <row r="175" spans="1:6">
      <c r="A175" s="507" t="s">
        <v>732</v>
      </c>
      <c r="B175" s="508" t="s">
        <v>679</v>
      </c>
      <c r="C175" s="24"/>
      <c r="D175" s="24">
        <v>250</v>
      </c>
      <c r="E175" s="24">
        <f t="shared" si="4"/>
        <v>3735</v>
      </c>
      <c r="F175" s="511" t="s">
        <v>46</v>
      </c>
    </row>
    <row r="176" spans="1:6">
      <c r="A176" s="125" t="s">
        <v>735</v>
      </c>
      <c r="B176" s="9" t="s">
        <v>524</v>
      </c>
      <c r="C176" s="24">
        <v>18</v>
      </c>
      <c r="D176" s="24"/>
      <c r="E176" s="24">
        <f t="shared" si="4"/>
        <v>3753</v>
      </c>
    </row>
    <row r="177" spans="1:6">
      <c r="A177" s="125" t="s">
        <v>735</v>
      </c>
      <c r="B177" s="9" t="s">
        <v>708</v>
      </c>
      <c r="C177" s="24">
        <v>80</v>
      </c>
      <c r="D177" s="24"/>
      <c r="E177" s="24">
        <f t="shared" si="4"/>
        <v>3833</v>
      </c>
    </row>
    <row r="178" spans="1:6">
      <c r="A178" s="125" t="s">
        <v>735</v>
      </c>
      <c r="B178" s="9" t="s">
        <v>708</v>
      </c>
      <c r="C178" s="24">
        <v>47</v>
      </c>
      <c r="D178" s="24"/>
      <c r="E178" s="24">
        <f t="shared" si="4"/>
        <v>3880</v>
      </c>
    </row>
    <row r="179" spans="1:6">
      <c r="A179" s="125" t="s">
        <v>735</v>
      </c>
      <c r="B179" s="9" t="s">
        <v>736</v>
      </c>
      <c r="C179" s="24"/>
      <c r="D179" s="24">
        <v>300</v>
      </c>
      <c r="E179" s="24">
        <f t="shared" si="4"/>
        <v>3580</v>
      </c>
    </row>
    <row r="180" spans="1:6">
      <c r="A180" s="514" t="s">
        <v>735</v>
      </c>
      <c r="B180" s="514" t="s">
        <v>737</v>
      </c>
      <c r="C180" s="24">
        <v>700</v>
      </c>
      <c r="D180" s="24"/>
      <c r="E180" s="24">
        <f t="shared" si="4"/>
        <v>4280</v>
      </c>
    </row>
    <row r="181" spans="1:6">
      <c r="A181" s="513" t="s">
        <v>738</v>
      </c>
      <c r="B181" s="513" t="s">
        <v>739</v>
      </c>
      <c r="C181" s="24">
        <v>30</v>
      </c>
      <c r="D181" s="24"/>
      <c r="E181" s="24">
        <f t="shared" si="4"/>
        <v>4310</v>
      </c>
    </row>
    <row r="182" spans="1:6">
      <c r="A182" s="512" t="s">
        <v>738</v>
      </c>
      <c r="B182" s="513" t="s">
        <v>740</v>
      </c>
      <c r="C182" s="24">
        <v>108</v>
      </c>
      <c r="D182" s="24"/>
      <c r="E182" s="24">
        <f t="shared" si="4"/>
        <v>4418</v>
      </c>
      <c r="F182" s="515" t="s">
        <v>46</v>
      </c>
    </row>
    <row r="183" spans="1:6">
      <c r="A183" s="517" t="s">
        <v>742</v>
      </c>
      <c r="B183" s="517" t="s">
        <v>671</v>
      </c>
      <c r="C183" s="24">
        <v>480</v>
      </c>
      <c r="D183" s="24"/>
      <c r="E183" s="24">
        <f t="shared" si="4"/>
        <v>4898</v>
      </c>
    </row>
    <row r="184" spans="1:6">
      <c r="A184" s="517" t="s">
        <v>742</v>
      </c>
      <c r="B184" s="517" t="s">
        <v>17</v>
      </c>
      <c r="C184" s="24"/>
      <c r="D184" s="24">
        <v>300</v>
      </c>
      <c r="E184" s="24">
        <f t="shared" si="4"/>
        <v>4598</v>
      </c>
      <c r="F184" s="519" t="s">
        <v>46</v>
      </c>
    </row>
    <row r="185" spans="1:6">
      <c r="A185" s="522" t="s">
        <v>743</v>
      </c>
      <c r="B185" s="521" t="s">
        <v>8</v>
      </c>
      <c r="C185" s="24">
        <v>100</v>
      </c>
      <c r="D185" s="24"/>
      <c r="E185" s="24">
        <f>E184+C185-D185</f>
        <v>4698</v>
      </c>
      <c r="F185" s="525" t="s">
        <v>46</v>
      </c>
    </row>
    <row r="186" spans="1:6">
      <c r="A186" s="24" t="s">
        <v>744</v>
      </c>
      <c r="B186" s="24" t="s">
        <v>24</v>
      </c>
      <c r="C186" s="24">
        <v>40</v>
      </c>
      <c r="D186" s="24"/>
      <c r="E186" s="24">
        <f t="shared" ref="E186:E217" si="5">E185+C186-D186</f>
        <v>4738</v>
      </c>
    </row>
    <row r="187" spans="1:6">
      <c r="A187" s="527" t="s">
        <v>744</v>
      </c>
      <c r="B187" s="528" t="s">
        <v>672</v>
      </c>
      <c r="C187" s="24">
        <v>80</v>
      </c>
      <c r="D187" s="24"/>
      <c r="E187" s="24">
        <f t="shared" si="5"/>
        <v>4818</v>
      </c>
    </row>
    <row r="188" spans="1:6">
      <c r="A188" s="527" t="s">
        <v>744</v>
      </c>
      <c r="B188" s="528" t="s">
        <v>746</v>
      </c>
      <c r="C188" s="24"/>
      <c r="D188" s="24">
        <v>130</v>
      </c>
      <c r="E188" s="24">
        <f t="shared" si="5"/>
        <v>4688</v>
      </c>
      <c r="F188" s="530" t="s">
        <v>46</v>
      </c>
    </row>
    <row r="189" spans="1:6">
      <c r="A189" s="531" t="s">
        <v>744</v>
      </c>
      <c r="B189" s="531" t="s">
        <v>719</v>
      </c>
      <c r="C189" s="24">
        <v>350</v>
      </c>
      <c r="D189" s="24"/>
      <c r="E189" s="24">
        <f t="shared" si="5"/>
        <v>5038</v>
      </c>
    </row>
    <row r="190" spans="1:6">
      <c r="A190" s="531" t="s">
        <v>744</v>
      </c>
      <c r="B190" s="531" t="s">
        <v>719</v>
      </c>
      <c r="C190" s="24">
        <v>30</v>
      </c>
      <c r="D190" s="24"/>
      <c r="E190" s="24">
        <f t="shared" si="5"/>
        <v>5068</v>
      </c>
    </row>
    <row r="191" spans="1:6">
      <c r="A191" s="528" t="s">
        <v>747</v>
      </c>
      <c r="B191" s="528" t="s">
        <v>671</v>
      </c>
      <c r="C191" s="24">
        <v>240</v>
      </c>
      <c r="D191" s="24"/>
      <c r="E191" s="24">
        <f t="shared" si="5"/>
        <v>5308</v>
      </c>
    </row>
    <row r="192" spans="1:6">
      <c r="A192" s="527" t="s">
        <v>747</v>
      </c>
      <c r="B192" s="528" t="s">
        <v>524</v>
      </c>
      <c r="C192" s="24">
        <v>1</v>
      </c>
      <c r="D192" s="24"/>
      <c r="E192" s="24">
        <f t="shared" si="5"/>
        <v>5309</v>
      </c>
    </row>
    <row r="193" spans="1:6">
      <c r="A193" s="527" t="s">
        <v>747</v>
      </c>
      <c r="B193" s="528" t="s">
        <v>720</v>
      </c>
      <c r="C193" s="24">
        <v>65</v>
      </c>
      <c r="D193" s="24"/>
      <c r="E193" s="24">
        <f t="shared" si="5"/>
        <v>5374</v>
      </c>
    </row>
    <row r="194" spans="1:6">
      <c r="A194" s="527" t="s">
        <v>747</v>
      </c>
      <c r="B194" s="528" t="s">
        <v>720</v>
      </c>
      <c r="C194" s="24">
        <v>50</v>
      </c>
      <c r="D194" s="24"/>
      <c r="E194" s="24">
        <f t="shared" si="5"/>
        <v>5424</v>
      </c>
    </row>
    <row r="195" spans="1:6">
      <c r="A195" s="527" t="s">
        <v>747</v>
      </c>
      <c r="B195" s="528" t="s">
        <v>604</v>
      </c>
      <c r="C195" s="24">
        <v>115</v>
      </c>
      <c r="D195" s="24"/>
      <c r="E195" s="24">
        <f t="shared" si="5"/>
        <v>5539</v>
      </c>
    </row>
    <row r="196" spans="1:6">
      <c r="A196" s="527" t="s">
        <v>747</v>
      </c>
      <c r="B196" s="528" t="s">
        <v>17</v>
      </c>
      <c r="C196" s="24"/>
      <c r="D196" s="24">
        <v>100</v>
      </c>
      <c r="E196" s="24">
        <f t="shared" si="5"/>
        <v>5439</v>
      </c>
      <c r="F196" s="530" t="s">
        <v>46</v>
      </c>
    </row>
    <row r="197" spans="1:6">
      <c r="A197" s="533" t="s">
        <v>750</v>
      </c>
      <c r="B197" s="533" t="s">
        <v>24</v>
      </c>
      <c r="C197" s="24">
        <v>150</v>
      </c>
      <c r="D197" s="24"/>
      <c r="E197" s="24">
        <f t="shared" si="5"/>
        <v>5589</v>
      </c>
    </row>
    <row r="198" spans="1:6">
      <c r="A198" s="125" t="s">
        <v>750</v>
      </c>
      <c r="B198" s="9" t="s">
        <v>679</v>
      </c>
      <c r="C198" s="24">
        <v>344</v>
      </c>
      <c r="D198" s="24"/>
      <c r="E198" s="24">
        <f t="shared" si="5"/>
        <v>5933</v>
      </c>
    </row>
    <row r="199" spans="1:6">
      <c r="A199" s="125" t="s">
        <v>750</v>
      </c>
      <c r="B199" s="9" t="s">
        <v>679</v>
      </c>
      <c r="C199" s="24">
        <v>150</v>
      </c>
      <c r="D199" s="24"/>
      <c r="E199" s="24">
        <f t="shared" si="5"/>
        <v>6083</v>
      </c>
    </row>
    <row r="200" spans="1:6">
      <c r="A200" s="533" t="s">
        <v>750</v>
      </c>
      <c r="B200" s="533" t="s">
        <v>752</v>
      </c>
      <c r="C200" s="24"/>
      <c r="D200" s="24">
        <v>600</v>
      </c>
      <c r="E200" s="24">
        <f t="shared" si="5"/>
        <v>5483</v>
      </c>
    </row>
    <row r="201" spans="1:6">
      <c r="A201" s="533" t="s">
        <v>750</v>
      </c>
      <c r="B201" s="533" t="s">
        <v>752</v>
      </c>
      <c r="C201" s="24"/>
      <c r="D201" s="24">
        <v>150</v>
      </c>
      <c r="E201" s="24">
        <f t="shared" si="5"/>
        <v>5333</v>
      </c>
    </row>
    <row r="202" spans="1:6">
      <c r="A202" s="534" t="s">
        <v>753</v>
      </c>
      <c r="B202" s="533" t="s">
        <v>752</v>
      </c>
      <c r="C202" s="24"/>
      <c r="D202" s="24">
        <v>330</v>
      </c>
      <c r="E202" s="24">
        <f t="shared" si="5"/>
        <v>5003</v>
      </c>
      <c r="F202" s="535" t="s">
        <v>46</v>
      </c>
    </row>
    <row r="203" spans="1:6">
      <c r="A203" s="538" t="s">
        <v>755</v>
      </c>
      <c r="B203" s="538" t="s">
        <v>24</v>
      </c>
      <c r="C203" s="24">
        <v>95</v>
      </c>
      <c r="D203" s="24"/>
      <c r="E203" s="24">
        <f t="shared" si="5"/>
        <v>5098</v>
      </c>
    </row>
    <row r="204" spans="1:6">
      <c r="A204" s="539" t="s">
        <v>755</v>
      </c>
      <c r="B204" s="538" t="s">
        <v>522</v>
      </c>
      <c r="C204" s="24">
        <v>7</v>
      </c>
      <c r="D204" s="24"/>
      <c r="E204" s="24">
        <f t="shared" si="5"/>
        <v>5105</v>
      </c>
    </row>
    <row r="205" spans="1:6">
      <c r="A205" s="539" t="s">
        <v>755</v>
      </c>
      <c r="B205" s="538" t="s">
        <v>459</v>
      </c>
      <c r="C205" s="24">
        <v>220</v>
      </c>
      <c r="D205" s="24"/>
      <c r="E205" s="24">
        <f t="shared" si="5"/>
        <v>5325</v>
      </c>
    </row>
    <row r="206" spans="1:6">
      <c r="A206" s="539" t="s">
        <v>755</v>
      </c>
      <c r="B206" s="538" t="s">
        <v>17</v>
      </c>
      <c r="C206" s="24"/>
      <c r="D206" s="24">
        <v>100</v>
      </c>
      <c r="E206" s="24">
        <f t="shared" si="5"/>
        <v>5225</v>
      </c>
    </row>
    <row r="207" spans="1:6">
      <c r="A207" s="539" t="s">
        <v>755</v>
      </c>
      <c r="B207" s="538" t="s">
        <v>756</v>
      </c>
      <c r="C207" s="24"/>
      <c r="D207" s="24">
        <v>241</v>
      </c>
      <c r="E207" s="24">
        <f t="shared" si="5"/>
        <v>4984</v>
      </c>
    </row>
    <row r="208" spans="1:6">
      <c r="A208" s="539" t="s">
        <v>755</v>
      </c>
      <c r="B208" s="538" t="s">
        <v>641</v>
      </c>
      <c r="C208" s="24">
        <v>229</v>
      </c>
      <c r="D208" s="24"/>
      <c r="E208" s="24">
        <f t="shared" si="5"/>
        <v>5213</v>
      </c>
    </row>
    <row r="209" spans="1:6">
      <c r="A209" s="539" t="s">
        <v>755</v>
      </c>
      <c r="B209" s="538" t="s">
        <v>641</v>
      </c>
      <c r="C209" s="24">
        <v>340</v>
      </c>
      <c r="D209" s="24"/>
      <c r="E209" s="24">
        <f t="shared" si="5"/>
        <v>5553</v>
      </c>
    </row>
    <row r="210" spans="1:6">
      <c r="A210" s="538" t="s">
        <v>757</v>
      </c>
      <c r="B210" s="538" t="s">
        <v>459</v>
      </c>
      <c r="C210" s="24">
        <v>450</v>
      </c>
      <c r="D210" s="24"/>
      <c r="E210" s="24">
        <f t="shared" si="5"/>
        <v>6003</v>
      </c>
      <c r="F210" s="540" t="s">
        <v>46</v>
      </c>
    </row>
    <row r="211" spans="1:6">
      <c r="A211" s="542" t="s">
        <v>761</v>
      </c>
      <c r="B211" s="542" t="s">
        <v>641</v>
      </c>
      <c r="C211" s="24">
        <v>100</v>
      </c>
      <c r="D211" s="24"/>
      <c r="E211" s="24">
        <f t="shared" si="5"/>
        <v>6103</v>
      </c>
    </row>
    <row r="212" spans="1:6">
      <c r="A212" s="543" t="s">
        <v>761</v>
      </c>
      <c r="B212" s="542" t="s">
        <v>462</v>
      </c>
      <c r="C212" s="24">
        <v>15</v>
      </c>
      <c r="D212" s="24"/>
      <c r="E212" s="24">
        <f t="shared" si="5"/>
        <v>6118</v>
      </c>
    </row>
    <row r="213" spans="1:6">
      <c r="A213" s="544" t="s">
        <v>761</v>
      </c>
      <c r="B213" s="544" t="s">
        <v>459</v>
      </c>
      <c r="C213" s="24">
        <v>11</v>
      </c>
      <c r="D213" s="24"/>
      <c r="E213" s="24">
        <f t="shared" si="5"/>
        <v>6129</v>
      </c>
    </row>
    <row r="214" spans="1:6">
      <c r="A214" s="542" t="s">
        <v>764</v>
      </c>
      <c r="B214" s="542" t="s">
        <v>524</v>
      </c>
      <c r="C214" s="24">
        <v>21</v>
      </c>
      <c r="D214" s="24"/>
      <c r="E214" s="24">
        <f t="shared" si="5"/>
        <v>6150</v>
      </c>
    </row>
    <row r="215" spans="1:6">
      <c r="A215" s="543" t="s">
        <v>764</v>
      </c>
      <c r="B215" s="542" t="s">
        <v>766</v>
      </c>
      <c r="C215" s="24"/>
      <c r="D215" s="24">
        <v>225</v>
      </c>
      <c r="E215" s="24">
        <f t="shared" si="5"/>
        <v>5925</v>
      </c>
    </row>
    <row r="216" spans="1:6">
      <c r="A216" s="543" t="s">
        <v>764</v>
      </c>
      <c r="B216" s="542" t="s">
        <v>766</v>
      </c>
      <c r="C216" s="24"/>
      <c r="D216" s="24">
        <v>385</v>
      </c>
      <c r="E216" s="24">
        <f t="shared" si="5"/>
        <v>5540</v>
      </c>
      <c r="F216" s="546" t="s">
        <v>46</v>
      </c>
    </row>
    <row r="217" spans="1:6">
      <c r="A217" s="9" t="s">
        <v>767</v>
      </c>
      <c r="B217" s="9" t="s">
        <v>672</v>
      </c>
      <c r="C217" s="24">
        <v>27</v>
      </c>
      <c r="D217" s="24"/>
      <c r="E217" s="24">
        <f t="shared" si="5"/>
        <v>5567</v>
      </c>
    </row>
    <row r="218" spans="1:6">
      <c r="A218" s="125" t="s">
        <v>768</v>
      </c>
      <c r="B218" s="9" t="s">
        <v>552</v>
      </c>
      <c r="C218" s="24">
        <v>120</v>
      </c>
      <c r="D218" s="24"/>
      <c r="E218" s="24">
        <f>E217+C218-D218</f>
        <v>5687</v>
      </c>
      <c r="F218" s="156" t="s">
        <v>46</v>
      </c>
    </row>
    <row r="219" spans="1:6">
      <c r="A219" s="42">
        <v>43135</v>
      </c>
      <c r="B219" s="548" t="s">
        <v>8</v>
      </c>
      <c r="C219" s="24">
        <v>102</v>
      </c>
      <c r="D219" s="24"/>
      <c r="E219" s="24">
        <f t="shared" ref="E219:E282" si="6">E218+C219-D219</f>
        <v>5789</v>
      </c>
    </row>
    <row r="220" spans="1:6">
      <c r="A220" s="42">
        <v>43135</v>
      </c>
      <c r="B220" s="548" t="s">
        <v>17</v>
      </c>
      <c r="C220" s="24"/>
      <c r="D220" s="24">
        <v>330</v>
      </c>
      <c r="E220" s="24">
        <f t="shared" si="6"/>
        <v>5459</v>
      </c>
    </row>
    <row r="221" spans="1:6">
      <c r="A221" s="42">
        <v>43135</v>
      </c>
      <c r="B221" s="548" t="s">
        <v>771</v>
      </c>
      <c r="C221" s="24"/>
      <c r="D221" s="24">
        <v>90</v>
      </c>
      <c r="E221" s="24">
        <f t="shared" si="6"/>
        <v>5369</v>
      </c>
    </row>
    <row r="222" spans="1:6">
      <c r="A222" s="172">
        <v>43135</v>
      </c>
      <c r="B222" s="549" t="s">
        <v>773</v>
      </c>
      <c r="C222" s="24"/>
      <c r="D222" s="24">
        <v>28</v>
      </c>
      <c r="E222" s="24">
        <f t="shared" si="6"/>
        <v>5341</v>
      </c>
      <c r="F222" s="550" t="s">
        <v>46</v>
      </c>
    </row>
    <row r="223" spans="1:6">
      <c r="A223" s="57">
        <v>43194</v>
      </c>
      <c r="B223" s="24" t="s">
        <v>700</v>
      </c>
      <c r="C223" s="24">
        <v>100</v>
      </c>
      <c r="D223" s="24"/>
      <c r="E223" s="24">
        <f t="shared" si="6"/>
        <v>5441</v>
      </c>
    </row>
    <row r="224" spans="1:6">
      <c r="A224" s="42">
        <v>43224</v>
      </c>
      <c r="B224" s="554" t="s">
        <v>17</v>
      </c>
      <c r="C224" s="24"/>
      <c r="D224" s="24">
        <v>300</v>
      </c>
      <c r="E224" s="24">
        <f t="shared" si="6"/>
        <v>5141</v>
      </c>
    </row>
    <row r="225" spans="1:6">
      <c r="A225" s="42">
        <v>43255</v>
      </c>
      <c r="B225" s="554" t="s">
        <v>775</v>
      </c>
      <c r="C225" s="24"/>
      <c r="D225" s="24">
        <v>100</v>
      </c>
      <c r="E225" s="24">
        <f t="shared" si="6"/>
        <v>5041</v>
      </c>
    </row>
    <row r="226" spans="1:6">
      <c r="A226" s="21">
        <v>43255</v>
      </c>
      <c r="B226" s="554" t="s">
        <v>777</v>
      </c>
      <c r="C226" s="24"/>
      <c r="D226" s="24">
        <v>100</v>
      </c>
      <c r="E226" s="24">
        <f t="shared" si="6"/>
        <v>4941</v>
      </c>
    </row>
    <row r="227" spans="1:6">
      <c r="A227" s="21">
        <v>43255</v>
      </c>
      <c r="B227" s="554" t="s">
        <v>777</v>
      </c>
      <c r="C227" s="24"/>
      <c r="D227" s="24">
        <v>44</v>
      </c>
      <c r="E227" s="24">
        <f t="shared" si="6"/>
        <v>4897</v>
      </c>
    </row>
    <row r="228" spans="1:6">
      <c r="A228" s="42">
        <v>43285</v>
      </c>
      <c r="B228" s="554" t="s">
        <v>775</v>
      </c>
      <c r="C228" s="24"/>
      <c r="D228" s="24">
        <v>70</v>
      </c>
      <c r="E228" s="24">
        <f t="shared" si="6"/>
        <v>4827</v>
      </c>
    </row>
    <row r="229" spans="1:6">
      <c r="A229" s="42">
        <v>43347</v>
      </c>
      <c r="B229" s="554" t="s">
        <v>524</v>
      </c>
      <c r="C229" s="24">
        <v>64</v>
      </c>
      <c r="D229" s="24"/>
      <c r="E229" s="24">
        <f t="shared" si="6"/>
        <v>4891</v>
      </c>
    </row>
    <row r="230" spans="1:6">
      <c r="A230" s="21">
        <v>43347</v>
      </c>
      <c r="B230" s="554" t="s">
        <v>775</v>
      </c>
      <c r="C230" s="24"/>
      <c r="D230" s="24">
        <v>70</v>
      </c>
      <c r="E230" s="24">
        <f t="shared" si="6"/>
        <v>4821</v>
      </c>
      <c r="F230" s="557"/>
    </row>
    <row r="231" spans="1:6">
      <c r="A231" s="21">
        <v>43377</v>
      </c>
      <c r="B231" s="528" t="s">
        <v>720</v>
      </c>
      <c r="C231" s="24">
        <v>85</v>
      </c>
      <c r="D231" s="24"/>
      <c r="E231" s="24">
        <f t="shared" si="6"/>
        <v>4906</v>
      </c>
    </row>
    <row r="232" spans="1:6">
      <c r="A232" s="21">
        <v>43377</v>
      </c>
      <c r="B232" s="528" t="s">
        <v>720</v>
      </c>
      <c r="C232" s="24">
        <v>10</v>
      </c>
      <c r="D232" s="24"/>
      <c r="E232" s="24">
        <f t="shared" si="6"/>
        <v>4916</v>
      </c>
    </row>
    <row r="233" spans="1:6">
      <c r="A233" s="42">
        <v>43408</v>
      </c>
      <c r="B233" s="9" t="s">
        <v>24</v>
      </c>
      <c r="C233" s="24">
        <v>140</v>
      </c>
      <c r="D233" s="24"/>
      <c r="E233" s="24">
        <f t="shared" si="6"/>
        <v>5056</v>
      </c>
    </row>
    <row r="234" spans="1:6">
      <c r="A234" s="21">
        <v>43408</v>
      </c>
      <c r="B234" s="9" t="s">
        <v>775</v>
      </c>
      <c r="C234" s="24"/>
      <c r="D234" s="24">
        <v>80</v>
      </c>
      <c r="E234" s="24">
        <f t="shared" si="6"/>
        <v>4976</v>
      </c>
    </row>
    <row r="235" spans="1:6">
      <c r="A235" s="21">
        <v>43408</v>
      </c>
      <c r="B235" s="559" t="s">
        <v>710</v>
      </c>
      <c r="C235" s="24">
        <v>4</v>
      </c>
      <c r="D235" s="24"/>
      <c r="E235" s="24">
        <f t="shared" si="6"/>
        <v>4980</v>
      </c>
      <c r="F235" s="561"/>
    </row>
    <row r="236" spans="1:6">
      <c r="A236" s="172">
        <v>43438</v>
      </c>
      <c r="B236" s="566" t="s">
        <v>786</v>
      </c>
      <c r="C236" s="24">
        <v>375</v>
      </c>
      <c r="D236" s="24"/>
      <c r="E236" s="24">
        <f t="shared" si="6"/>
        <v>5355</v>
      </c>
      <c r="F236" s="156" t="s">
        <v>46</v>
      </c>
    </row>
    <row r="237" spans="1:6">
      <c r="A237" s="9" t="s">
        <v>789</v>
      </c>
      <c r="B237" s="9" t="s">
        <v>24</v>
      </c>
      <c r="C237" s="24">
        <v>28</v>
      </c>
      <c r="D237" s="24"/>
      <c r="E237" s="24">
        <f t="shared" si="6"/>
        <v>5383</v>
      </c>
    </row>
    <row r="238" spans="1:6">
      <c r="A238" s="9" t="s">
        <v>789</v>
      </c>
      <c r="B238" s="9" t="s">
        <v>627</v>
      </c>
      <c r="C238" s="24"/>
      <c r="D238" s="24">
        <v>100</v>
      </c>
      <c r="E238" s="24">
        <f t="shared" si="6"/>
        <v>5283</v>
      </c>
    </row>
    <row r="239" spans="1:6">
      <c r="A239" s="9" t="s">
        <v>789</v>
      </c>
      <c r="B239" s="9" t="s">
        <v>791</v>
      </c>
      <c r="C239" s="24"/>
      <c r="D239" s="24">
        <v>30</v>
      </c>
      <c r="E239" s="24">
        <f t="shared" si="6"/>
        <v>5253</v>
      </c>
    </row>
    <row r="240" spans="1:6">
      <c r="A240" s="571" t="s">
        <v>793</v>
      </c>
      <c r="B240" s="570" t="s">
        <v>524</v>
      </c>
      <c r="C240" s="24">
        <v>40</v>
      </c>
      <c r="D240" s="24"/>
      <c r="E240" s="24">
        <f t="shared" si="6"/>
        <v>5293</v>
      </c>
    </row>
    <row r="241" spans="1:6">
      <c r="A241" s="570" t="s">
        <v>793</v>
      </c>
      <c r="B241" s="570" t="s">
        <v>627</v>
      </c>
      <c r="C241" s="24"/>
      <c r="D241" s="24">
        <v>280</v>
      </c>
      <c r="E241" s="24">
        <f t="shared" si="6"/>
        <v>5013</v>
      </c>
    </row>
    <row r="242" spans="1:6">
      <c r="A242" s="570" t="s">
        <v>793</v>
      </c>
      <c r="B242" s="570" t="s">
        <v>627</v>
      </c>
      <c r="C242" s="24"/>
      <c r="D242" s="24">
        <v>20</v>
      </c>
      <c r="E242" s="24">
        <f t="shared" si="6"/>
        <v>4993</v>
      </c>
    </row>
    <row r="243" spans="1:6">
      <c r="A243" s="571" t="s">
        <v>793</v>
      </c>
      <c r="B243" s="570" t="s">
        <v>796</v>
      </c>
      <c r="C243" s="24"/>
      <c r="D243" s="24">
        <v>90</v>
      </c>
      <c r="E243" s="24">
        <f t="shared" si="6"/>
        <v>4903</v>
      </c>
    </row>
    <row r="244" spans="1:6">
      <c r="A244" s="571" t="s">
        <v>793</v>
      </c>
      <c r="B244" s="570" t="s">
        <v>508</v>
      </c>
      <c r="C244" s="24"/>
      <c r="D244" s="24">
        <v>90</v>
      </c>
      <c r="E244" s="24">
        <f t="shared" si="6"/>
        <v>4813</v>
      </c>
      <c r="F244" s="573" t="s">
        <v>46</v>
      </c>
    </row>
    <row r="245" spans="1:6">
      <c r="A245" s="575" t="s">
        <v>798</v>
      </c>
      <c r="B245" s="575" t="s">
        <v>800</v>
      </c>
      <c r="C245" s="24">
        <v>50</v>
      </c>
      <c r="D245" s="24"/>
      <c r="E245" s="24">
        <f t="shared" si="6"/>
        <v>4863</v>
      </c>
    </row>
    <row r="246" spans="1:6">
      <c r="A246" s="576" t="s">
        <v>798</v>
      </c>
      <c r="B246" s="576" t="s">
        <v>805</v>
      </c>
      <c r="C246" s="24"/>
      <c r="D246" s="24">
        <v>84</v>
      </c>
      <c r="E246" s="24">
        <f t="shared" si="6"/>
        <v>4779</v>
      </c>
    </row>
    <row r="247" spans="1:6">
      <c r="A247" s="576" t="s">
        <v>798</v>
      </c>
      <c r="B247" s="576" t="s">
        <v>508</v>
      </c>
      <c r="C247" s="24"/>
      <c r="D247" s="24">
        <v>90</v>
      </c>
      <c r="E247" s="24">
        <f t="shared" si="6"/>
        <v>4689</v>
      </c>
    </row>
    <row r="248" spans="1:6">
      <c r="A248" s="576" t="s">
        <v>808</v>
      </c>
      <c r="B248" s="576" t="s">
        <v>524</v>
      </c>
      <c r="C248" s="24">
        <v>65</v>
      </c>
      <c r="D248" s="24"/>
      <c r="E248" s="24">
        <f t="shared" si="6"/>
        <v>4754</v>
      </c>
    </row>
    <row r="249" spans="1:6">
      <c r="A249" s="578" t="s">
        <v>808</v>
      </c>
      <c r="B249" s="576" t="s">
        <v>616</v>
      </c>
      <c r="C249" s="24"/>
      <c r="D249" s="24">
        <v>85</v>
      </c>
      <c r="E249" s="24">
        <f>E248+C249-D249</f>
        <v>4669</v>
      </c>
      <c r="F249" s="580" t="s">
        <v>46</v>
      </c>
    </row>
    <row r="250" spans="1:6">
      <c r="A250" s="125" t="s">
        <v>811</v>
      </c>
      <c r="B250" s="9" t="s">
        <v>720</v>
      </c>
      <c r="C250" s="24">
        <v>75</v>
      </c>
      <c r="D250" s="24"/>
      <c r="E250" s="24">
        <f t="shared" si="6"/>
        <v>4744</v>
      </c>
    </row>
    <row r="251" spans="1:6">
      <c r="A251" s="125" t="s">
        <v>811</v>
      </c>
      <c r="B251" s="9" t="s">
        <v>720</v>
      </c>
      <c r="C251" s="24">
        <v>40</v>
      </c>
      <c r="D251" s="24"/>
      <c r="E251" s="24">
        <f t="shared" si="6"/>
        <v>4784</v>
      </c>
    </row>
    <row r="252" spans="1:6">
      <c r="A252" s="9" t="s">
        <v>811</v>
      </c>
      <c r="B252" s="9" t="s">
        <v>813</v>
      </c>
      <c r="C252" s="24"/>
      <c r="D252" s="24">
        <v>150</v>
      </c>
      <c r="E252" s="24">
        <f t="shared" si="6"/>
        <v>4634</v>
      </c>
    </row>
    <row r="253" spans="1:6">
      <c r="A253" s="9" t="s">
        <v>811</v>
      </c>
      <c r="B253" s="9" t="s">
        <v>813</v>
      </c>
      <c r="C253" s="24"/>
      <c r="D253" s="24">
        <v>150</v>
      </c>
      <c r="E253" s="24">
        <f t="shared" si="6"/>
        <v>4484</v>
      </c>
    </row>
    <row r="254" spans="1:6">
      <c r="A254" s="586" t="s">
        <v>811</v>
      </c>
      <c r="B254" s="581" t="s">
        <v>508</v>
      </c>
      <c r="C254" s="24"/>
      <c r="D254" s="24">
        <v>90</v>
      </c>
      <c r="E254" s="24">
        <f t="shared" si="6"/>
        <v>4394</v>
      </c>
      <c r="F254" s="585" t="s">
        <v>46</v>
      </c>
    </row>
    <row r="255" spans="1:6">
      <c r="A255" s="586" t="s">
        <v>815</v>
      </c>
      <c r="B255" s="587" t="s">
        <v>552</v>
      </c>
      <c r="C255" s="24">
        <v>110</v>
      </c>
      <c r="D255" s="24"/>
      <c r="E255" s="24">
        <f t="shared" si="6"/>
        <v>4504</v>
      </c>
    </row>
    <row r="256" spans="1:6">
      <c r="A256" s="586" t="s">
        <v>815</v>
      </c>
      <c r="B256" s="587" t="s">
        <v>552</v>
      </c>
      <c r="C256" s="24">
        <v>2</v>
      </c>
      <c r="D256" s="24"/>
      <c r="E256" s="24">
        <f t="shared" si="6"/>
        <v>4506</v>
      </c>
    </row>
    <row r="257" spans="1:6">
      <c r="A257" s="586" t="s">
        <v>815</v>
      </c>
      <c r="B257" s="587" t="s">
        <v>816</v>
      </c>
      <c r="C257" s="24"/>
      <c r="D257" s="24">
        <v>100</v>
      </c>
      <c r="E257" s="24">
        <f t="shared" si="6"/>
        <v>4406</v>
      </c>
    </row>
    <row r="258" spans="1:6">
      <c r="A258" s="586" t="s">
        <v>815</v>
      </c>
      <c r="B258" s="587" t="s">
        <v>817</v>
      </c>
      <c r="C258" s="24"/>
      <c r="D258" s="24">
        <v>400</v>
      </c>
      <c r="E258" s="24">
        <f t="shared" si="6"/>
        <v>4006</v>
      </c>
    </row>
    <row r="259" spans="1:6">
      <c r="A259" s="586" t="s">
        <v>815</v>
      </c>
      <c r="B259" s="587" t="s">
        <v>616</v>
      </c>
      <c r="C259" s="24"/>
      <c r="D259" s="24">
        <v>90</v>
      </c>
      <c r="E259" s="55">
        <f t="shared" si="6"/>
        <v>3916</v>
      </c>
      <c r="F259" s="590" t="s">
        <v>46</v>
      </c>
    </row>
    <row r="260" spans="1:6">
      <c r="A260" s="592" t="s">
        <v>820</v>
      </c>
      <c r="B260" s="592" t="s">
        <v>817</v>
      </c>
      <c r="C260" s="24"/>
      <c r="D260" s="24">
        <v>200</v>
      </c>
      <c r="E260" s="55">
        <f t="shared" si="6"/>
        <v>3716</v>
      </c>
    </row>
    <row r="261" spans="1:6">
      <c r="A261" s="595" t="s">
        <v>820</v>
      </c>
      <c r="B261" s="592" t="s">
        <v>823</v>
      </c>
      <c r="C261" s="24"/>
      <c r="D261" s="24">
        <v>400</v>
      </c>
      <c r="E261" s="55">
        <f t="shared" si="6"/>
        <v>3316</v>
      </c>
    </row>
    <row r="262" spans="1:6">
      <c r="A262" s="592" t="s">
        <v>820</v>
      </c>
      <c r="B262" s="592" t="s">
        <v>824</v>
      </c>
      <c r="C262" s="24"/>
      <c r="D262" s="24">
        <v>100</v>
      </c>
      <c r="E262" s="55">
        <f t="shared" si="6"/>
        <v>3216</v>
      </c>
    </row>
    <row r="263" spans="1:6">
      <c r="A263" s="592" t="s">
        <v>820</v>
      </c>
      <c r="B263" s="592" t="s">
        <v>824</v>
      </c>
      <c r="C263" s="24"/>
      <c r="D263" s="24">
        <v>80</v>
      </c>
      <c r="E263" s="55">
        <f t="shared" si="6"/>
        <v>3136</v>
      </c>
    </row>
    <row r="264" spans="1:6">
      <c r="A264" s="595" t="s">
        <v>822</v>
      </c>
      <c r="B264" s="592" t="s">
        <v>817</v>
      </c>
      <c r="C264" s="24"/>
      <c r="D264" s="24">
        <v>100</v>
      </c>
      <c r="E264" s="55">
        <f t="shared" si="6"/>
        <v>3036</v>
      </c>
    </row>
    <row r="265" spans="1:6">
      <c r="A265" s="595" t="s">
        <v>822</v>
      </c>
      <c r="B265" s="592" t="s">
        <v>817</v>
      </c>
      <c r="C265" s="24"/>
      <c r="D265" s="24">
        <v>20</v>
      </c>
      <c r="E265" s="55">
        <f t="shared" si="6"/>
        <v>3016</v>
      </c>
      <c r="F265" s="596"/>
    </row>
    <row r="266" spans="1:6">
      <c r="A266" s="598" t="s">
        <v>829</v>
      </c>
      <c r="B266" s="592" t="s">
        <v>824</v>
      </c>
      <c r="C266" s="24"/>
      <c r="D266" s="24">
        <v>100</v>
      </c>
      <c r="E266" s="55">
        <f t="shared" si="6"/>
        <v>2916</v>
      </c>
    </row>
    <row r="267" spans="1:6">
      <c r="A267" s="601" t="s">
        <v>829</v>
      </c>
      <c r="B267" s="598" t="s">
        <v>616</v>
      </c>
      <c r="C267" s="24"/>
      <c r="D267" s="24">
        <v>26</v>
      </c>
      <c r="E267" s="55">
        <f t="shared" si="6"/>
        <v>2890</v>
      </c>
      <c r="F267" s="602"/>
    </row>
    <row r="268" spans="1:6">
      <c r="A268" s="125" t="s">
        <v>832</v>
      </c>
      <c r="B268" s="9" t="s">
        <v>817</v>
      </c>
      <c r="C268" s="24"/>
      <c r="D268" s="24">
        <v>300</v>
      </c>
      <c r="E268" s="55">
        <f t="shared" si="6"/>
        <v>2590</v>
      </c>
    </row>
    <row r="269" spans="1:6">
      <c r="A269" s="607" t="s">
        <v>834</v>
      </c>
      <c r="B269" s="608" t="s">
        <v>817</v>
      </c>
      <c r="C269" s="24"/>
      <c r="D269" s="24">
        <v>60</v>
      </c>
      <c r="E269" s="55">
        <f t="shared" si="6"/>
        <v>2530</v>
      </c>
    </row>
    <row r="270" spans="1:6">
      <c r="A270" s="607" t="s">
        <v>834</v>
      </c>
      <c r="B270" s="608" t="s">
        <v>817</v>
      </c>
      <c r="C270" s="24"/>
      <c r="D270" s="24">
        <v>400</v>
      </c>
      <c r="E270" s="55">
        <f t="shared" si="6"/>
        <v>2130</v>
      </c>
      <c r="F270" s="609"/>
    </row>
    <row r="271" spans="1:6">
      <c r="A271" s="615" t="s">
        <v>834</v>
      </c>
      <c r="B271" s="616" t="s">
        <v>817</v>
      </c>
      <c r="C271" s="24"/>
      <c r="D271" s="24">
        <v>250</v>
      </c>
      <c r="E271" s="55">
        <f t="shared" si="6"/>
        <v>1880</v>
      </c>
      <c r="F271" s="609"/>
    </row>
    <row r="272" spans="1:6">
      <c r="A272" s="125" t="s">
        <v>837</v>
      </c>
      <c r="B272" s="9" t="s">
        <v>456</v>
      </c>
      <c r="C272" s="24">
        <v>42</v>
      </c>
      <c r="D272" s="24"/>
      <c r="E272" s="55">
        <f t="shared" si="6"/>
        <v>1922</v>
      </c>
      <c r="F272" s="156" t="s">
        <v>46</v>
      </c>
    </row>
    <row r="273" spans="1:6" ht="15">
      <c r="A273" s="33" t="s">
        <v>839</v>
      </c>
      <c r="B273" s="33" t="s">
        <v>679</v>
      </c>
      <c r="C273" s="24">
        <v>54</v>
      </c>
      <c r="D273" s="24"/>
      <c r="E273" s="55">
        <f t="shared" si="6"/>
        <v>1976</v>
      </c>
    </row>
    <row r="274" spans="1:6">
      <c r="A274" s="615" t="s">
        <v>839</v>
      </c>
      <c r="B274" s="616" t="s">
        <v>833</v>
      </c>
      <c r="C274" s="24">
        <v>250</v>
      </c>
      <c r="D274" s="24"/>
      <c r="E274" s="55">
        <f t="shared" si="6"/>
        <v>2226</v>
      </c>
    </row>
    <row r="275" spans="1:6">
      <c r="A275" s="615" t="s">
        <v>843</v>
      </c>
      <c r="B275" s="616" t="s">
        <v>817</v>
      </c>
      <c r="C275" s="24"/>
      <c r="D275" s="24">
        <v>350</v>
      </c>
      <c r="E275" s="55">
        <f t="shared" si="6"/>
        <v>1876</v>
      </c>
    </row>
    <row r="276" spans="1:6">
      <c r="A276" s="615" t="s">
        <v>844</v>
      </c>
      <c r="B276" s="616" t="s">
        <v>524</v>
      </c>
      <c r="C276" s="24">
        <v>46</v>
      </c>
      <c r="D276" s="24"/>
      <c r="E276" s="55">
        <f t="shared" si="6"/>
        <v>1922</v>
      </c>
    </row>
    <row r="277" spans="1:6">
      <c r="A277" s="615" t="s">
        <v>844</v>
      </c>
      <c r="B277" s="616" t="s">
        <v>845</v>
      </c>
      <c r="C277" s="24">
        <v>210</v>
      </c>
      <c r="D277" s="24"/>
      <c r="E277" s="55">
        <f t="shared" si="6"/>
        <v>2132</v>
      </c>
    </row>
    <row r="278" spans="1:6">
      <c r="A278" s="615" t="s">
        <v>844</v>
      </c>
      <c r="B278" s="616" t="s">
        <v>846</v>
      </c>
      <c r="C278" s="24">
        <v>8</v>
      </c>
      <c r="D278" s="24"/>
      <c r="E278" s="55">
        <f t="shared" si="6"/>
        <v>2140</v>
      </c>
    </row>
    <row r="279" spans="1:6">
      <c r="A279" s="616" t="s">
        <v>844</v>
      </c>
      <c r="B279" s="616" t="s">
        <v>817</v>
      </c>
      <c r="C279" s="24"/>
      <c r="D279" s="24">
        <v>250</v>
      </c>
      <c r="E279" s="55">
        <f t="shared" si="6"/>
        <v>1890</v>
      </c>
      <c r="F279" s="619" t="s">
        <v>46</v>
      </c>
    </row>
    <row r="280" spans="1:6">
      <c r="A280" s="21">
        <v>43136</v>
      </c>
      <c r="B280" s="9" t="s">
        <v>774</v>
      </c>
      <c r="C280" s="24">
        <v>51</v>
      </c>
      <c r="D280" s="24"/>
      <c r="E280" s="55">
        <f t="shared" si="6"/>
        <v>1941</v>
      </c>
      <c r="F280" s="156" t="s">
        <v>46</v>
      </c>
    </row>
    <row r="281" spans="1:6">
      <c r="A281" s="42">
        <v>43164</v>
      </c>
      <c r="B281" s="9" t="s">
        <v>691</v>
      </c>
      <c r="C281" s="24">
        <v>300</v>
      </c>
      <c r="D281" s="24"/>
      <c r="E281" s="55">
        <f t="shared" si="6"/>
        <v>2241</v>
      </c>
    </row>
    <row r="282" spans="1:6">
      <c r="A282" s="42">
        <v>43164</v>
      </c>
      <c r="B282" s="9" t="s">
        <v>508</v>
      </c>
      <c r="C282" s="24"/>
      <c r="D282" s="24">
        <v>90</v>
      </c>
      <c r="E282" s="55">
        <f t="shared" si="6"/>
        <v>2151</v>
      </c>
    </row>
    <row r="283" spans="1:6">
      <c r="A283" s="42">
        <v>43195</v>
      </c>
      <c r="B283" s="9" t="s">
        <v>552</v>
      </c>
      <c r="C283" s="24">
        <v>173</v>
      </c>
      <c r="D283" s="24"/>
      <c r="E283" s="55">
        <f t="shared" ref="E283:E332" si="7">E282+C283-D283</f>
        <v>2324</v>
      </c>
    </row>
    <row r="284" spans="1:6">
      <c r="A284" s="42">
        <v>43195</v>
      </c>
      <c r="B284" s="9" t="s">
        <v>552</v>
      </c>
      <c r="C284" s="24">
        <v>8</v>
      </c>
      <c r="D284" s="24"/>
      <c r="E284" s="55">
        <f t="shared" si="7"/>
        <v>2332</v>
      </c>
    </row>
    <row r="285" spans="1:6">
      <c r="A285" s="42">
        <v>43195</v>
      </c>
      <c r="B285" s="9" t="s">
        <v>508</v>
      </c>
      <c r="C285" s="24"/>
      <c r="D285" s="24">
        <v>90</v>
      </c>
      <c r="E285" s="55">
        <f t="shared" si="7"/>
        <v>2242</v>
      </c>
    </row>
    <row r="286" spans="1:6">
      <c r="A286" s="42">
        <v>43195</v>
      </c>
      <c r="B286" s="9" t="s">
        <v>508</v>
      </c>
      <c r="C286" s="24"/>
      <c r="D286" s="24">
        <v>30</v>
      </c>
      <c r="E286" s="55">
        <f t="shared" si="7"/>
        <v>2212</v>
      </c>
    </row>
    <row r="287" spans="1:6">
      <c r="A287" s="21">
        <v>43195</v>
      </c>
      <c r="B287" s="9" t="s">
        <v>710</v>
      </c>
      <c r="C287" s="24">
        <v>20</v>
      </c>
      <c r="D287" s="24"/>
      <c r="E287" s="55">
        <f t="shared" si="7"/>
        <v>2232</v>
      </c>
      <c r="F287" s="625" t="s">
        <v>46</v>
      </c>
    </row>
    <row r="288" spans="1:6">
      <c r="A288" s="42">
        <v>43225</v>
      </c>
      <c r="B288" s="9" t="s">
        <v>833</v>
      </c>
      <c r="C288" s="24"/>
      <c r="D288" s="24">
        <v>100</v>
      </c>
      <c r="E288" s="55">
        <f t="shared" si="7"/>
        <v>2132</v>
      </c>
      <c r="F288" s="156" t="s">
        <v>46</v>
      </c>
    </row>
    <row r="289" spans="1:6">
      <c r="A289" s="57">
        <v>43286</v>
      </c>
      <c r="B289" s="24" t="s">
        <v>24</v>
      </c>
      <c r="C289" s="24">
        <v>160</v>
      </c>
      <c r="D289" s="24"/>
      <c r="E289" s="55">
        <f t="shared" si="7"/>
        <v>2292</v>
      </c>
    </row>
    <row r="290" spans="1:6">
      <c r="A290" s="57">
        <v>43286</v>
      </c>
      <c r="B290" s="24" t="s">
        <v>24</v>
      </c>
      <c r="C290" s="24">
        <v>93</v>
      </c>
      <c r="D290" s="24"/>
      <c r="E290" s="55">
        <f t="shared" si="7"/>
        <v>2385</v>
      </c>
    </row>
    <row r="291" spans="1:6">
      <c r="A291" s="42">
        <v>43286</v>
      </c>
      <c r="B291" s="629" t="s">
        <v>833</v>
      </c>
      <c r="C291" s="24"/>
      <c r="D291" s="24">
        <v>300</v>
      </c>
      <c r="E291" s="55">
        <f t="shared" si="7"/>
        <v>2085</v>
      </c>
    </row>
    <row r="292" spans="1:6">
      <c r="A292" s="21">
        <v>43317</v>
      </c>
      <c r="B292" s="629" t="s">
        <v>817</v>
      </c>
      <c r="C292" s="24"/>
      <c r="D292" s="24">
        <v>380</v>
      </c>
      <c r="E292" s="55">
        <f t="shared" si="7"/>
        <v>1705</v>
      </c>
    </row>
    <row r="293" spans="1:6">
      <c r="A293" s="21">
        <v>43348</v>
      </c>
      <c r="B293" s="631" t="s">
        <v>817</v>
      </c>
      <c r="C293" s="24"/>
      <c r="D293" s="24">
        <v>150</v>
      </c>
      <c r="E293" s="55">
        <f t="shared" si="7"/>
        <v>1555</v>
      </c>
    </row>
    <row r="294" spans="1:6">
      <c r="A294" s="633" t="s">
        <v>862</v>
      </c>
      <c r="B294" s="633" t="s">
        <v>24</v>
      </c>
      <c r="C294" s="24">
        <v>105</v>
      </c>
      <c r="D294" s="24"/>
      <c r="E294" s="55">
        <f t="shared" si="7"/>
        <v>1660</v>
      </c>
    </row>
    <row r="295" spans="1:6">
      <c r="A295" s="125" t="s">
        <v>863</v>
      </c>
      <c r="B295" s="9" t="s">
        <v>722</v>
      </c>
      <c r="C295" s="24">
        <v>16</v>
      </c>
      <c r="D295" s="24"/>
      <c r="E295" s="55">
        <f t="shared" si="7"/>
        <v>1676</v>
      </c>
    </row>
    <row r="296" spans="1:6">
      <c r="A296" s="656" t="s">
        <v>733</v>
      </c>
      <c r="B296" s="662" t="s">
        <v>870</v>
      </c>
      <c r="C296" s="24">
        <v>52</v>
      </c>
      <c r="D296" s="24"/>
      <c r="E296" s="55">
        <f t="shared" si="7"/>
        <v>1728</v>
      </c>
    </row>
    <row r="297" spans="1:6">
      <c r="A297" s="659" t="s">
        <v>733</v>
      </c>
      <c r="B297" s="656" t="s">
        <v>762</v>
      </c>
      <c r="C297" s="24"/>
      <c r="D297" s="24">
        <v>60</v>
      </c>
      <c r="E297" s="55">
        <f t="shared" si="7"/>
        <v>1668</v>
      </c>
      <c r="F297" s="661" t="s">
        <v>46</v>
      </c>
    </row>
    <row r="298" spans="1:6">
      <c r="A298" s="125" t="s">
        <v>874</v>
      </c>
      <c r="B298" s="9" t="s">
        <v>508</v>
      </c>
      <c r="C298" s="24">
        <v>166</v>
      </c>
      <c r="D298" s="24"/>
      <c r="E298" s="55">
        <f t="shared" si="7"/>
        <v>1834</v>
      </c>
    </row>
    <row r="299" spans="1:6">
      <c r="A299" s="9" t="s">
        <v>874</v>
      </c>
      <c r="B299" s="9" t="s">
        <v>875</v>
      </c>
      <c r="C299" s="24">
        <v>75</v>
      </c>
      <c r="D299" s="24"/>
      <c r="E299" s="55">
        <f t="shared" si="7"/>
        <v>1909</v>
      </c>
    </row>
    <row r="300" spans="1:6">
      <c r="A300" s="125" t="s">
        <v>874</v>
      </c>
      <c r="B300" s="9" t="s">
        <v>876</v>
      </c>
      <c r="C300" s="24"/>
      <c r="D300" s="24">
        <v>80</v>
      </c>
      <c r="E300" s="55">
        <f t="shared" si="7"/>
        <v>1829</v>
      </c>
    </row>
    <row r="301" spans="1:6">
      <c r="A301" s="24" t="s">
        <v>874</v>
      </c>
      <c r="B301" s="24" t="s">
        <v>877</v>
      </c>
      <c r="C301" s="24"/>
      <c r="D301" s="24">
        <v>250</v>
      </c>
      <c r="E301" s="55">
        <f t="shared" si="7"/>
        <v>1579</v>
      </c>
    </row>
    <row r="302" spans="1:6">
      <c r="A302" s="666" t="s">
        <v>878</v>
      </c>
      <c r="B302" s="667" t="s">
        <v>875</v>
      </c>
      <c r="C302" s="24">
        <v>45</v>
      </c>
      <c r="D302" s="24"/>
      <c r="E302" s="55">
        <f t="shared" si="7"/>
        <v>1624</v>
      </c>
    </row>
    <row r="303" spans="1:6">
      <c r="A303" s="664" t="s">
        <v>878</v>
      </c>
      <c r="B303" s="664" t="s">
        <v>882</v>
      </c>
      <c r="C303" s="24"/>
      <c r="D303" s="24">
        <v>56</v>
      </c>
      <c r="E303" s="55">
        <f t="shared" si="7"/>
        <v>1568</v>
      </c>
      <c r="F303" s="668" t="s">
        <v>46</v>
      </c>
    </row>
    <row r="304" spans="1:6">
      <c r="A304" s="671" t="s">
        <v>884</v>
      </c>
      <c r="B304" s="671" t="s">
        <v>817</v>
      </c>
      <c r="C304" s="24"/>
      <c r="D304" s="24">
        <v>200</v>
      </c>
      <c r="E304" s="55">
        <f t="shared" si="7"/>
        <v>1368</v>
      </c>
      <c r="F304" s="674" t="s">
        <v>46</v>
      </c>
    </row>
    <row r="305" spans="1:6">
      <c r="A305" s="677" t="s">
        <v>886</v>
      </c>
      <c r="B305" s="677" t="s">
        <v>459</v>
      </c>
      <c r="C305" s="24">
        <v>10</v>
      </c>
      <c r="D305" s="24"/>
      <c r="E305" s="55">
        <f t="shared" si="7"/>
        <v>1378</v>
      </c>
    </row>
    <row r="306" spans="1:6">
      <c r="A306" s="676" t="s">
        <v>893</v>
      </c>
      <c r="B306" s="677" t="s">
        <v>895</v>
      </c>
      <c r="C306" s="24">
        <v>114</v>
      </c>
      <c r="D306" s="24"/>
      <c r="E306" s="55">
        <f t="shared" si="7"/>
        <v>1492</v>
      </c>
    </row>
    <row r="307" spans="1:6">
      <c r="A307" s="676" t="s">
        <v>893</v>
      </c>
      <c r="B307" s="677" t="s">
        <v>708</v>
      </c>
      <c r="C307" s="24">
        <v>250</v>
      </c>
      <c r="D307" s="24"/>
      <c r="E307" s="55">
        <f t="shared" si="7"/>
        <v>1742</v>
      </c>
    </row>
    <row r="308" spans="1:6">
      <c r="A308" s="680" t="s">
        <v>896</v>
      </c>
      <c r="B308" s="680" t="s">
        <v>427</v>
      </c>
      <c r="C308" s="24">
        <v>500</v>
      </c>
      <c r="D308" s="24"/>
      <c r="E308" s="55">
        <f t="shared" si="7"/>
        <v>2242</v>
      </c>
    </row>
    <row r="309" spans="1:6">
      <c r="A309" s="676" t="s">
        <v>896</v>
      </c>
      <c r="B309" s="677" t="s">
        <v>24</v>
      </c>
      <c r="C309" s="24">
        <v>65</v>
      </c>
      <c r="D309" s="24"/>
      <c r="E309" s="55">
        <f t="shared" si="7"/>
        <v>2307</v>
      </c>
      <c r="F309" s="681" t="s">
        <v>46</v>
      </c>
    </row>
    <row r="310" spans="1:6">
      <c r="A310" s="683" t="s">
        <v>898</v>
      </c>
      <c r="B310" s="684" t="s">
        <v>427</v>
      </c>
      <c r="C310" s="24">
        <v>300</v>
      </c>
      <c r="D310" s="24"/>
      <c r="E310" s="55">
        <f t="shared" si="7"/>
        <v>2607</v>
      </c>
    </row>
    <row r="311" spans="1:6">
      <c r="A311" s="683" t="s">
        <v>898</v>
      </c>
      <c r="B311" s="684" t="s">
        <v>646</v>
      </c>
      <c r="C311" s="24">
        <v>40</v>
      </c>
      <c r="D311" s="24"/>
      <c r="E311" s="55">
        <f t="shared" si="7"/>
        <v>2647</v>
      </c>
      <c r="F311" s="688" t="s">
        <v>46</v>
      </c>
    </row>
    <row r="312" spans="1:6">
      <c r="A312" s="125" t="s">
        <v>907</v>
      </c>
      <c r="B312" s="9" t="s">
        <v>909</v>
      </c>
      <c r="C312" s="24">
        <v>640</v>
      </c>
      <c r="D312" s="24"/>
      <c r="E312" s="55">
        <f t="shared" si="7"/>
        <v>3287</v>
      </c>
    </row>
    <row r="313" spans="1:6">
      <c r="A313" s="24" t="s">
        <v>907</v>
      </c>
      <c r="B313" s="24" t="s">
        <v>710</v>
      </c>
      <c r="C313" s="24">
        <v>82</v>
      </c>
      <c r="D313" s="24"/>
      <c r="E313" s="55">
        <f t="shared" si="7"/>
        <v>3369</v>
      </c>
    </row>
    <row r="314" spans="1:6">
      <c r="A314" s="9" t="s">
        <v>907</v>
      </c>
      <c r="B314" s="9" t="s">
        <v>910</v>
      </c>
      <c r="C314" s="24"/>
      <c r="D314" s="24">
        <v>60</v>
      </c>
      <c r="E314" s="55">
        <f t="shared" si="7"/>
        <v>3309</v>
      </c>
    </row>
    <row r="315" spans="1:6">
      <c r="A315" s="691" t="s">
        <v>912</v>
      </c>
      <c r="B315" s="691" t="s">
        <v>24</v>
      </c>
      <c r="C315" s="24">
        <v>294</v>
      </c>
      <c r="D315" s="24"/>
      <c r="E315" s="55">
        <f t="shared" si="7"/>
        <v>3603</v>
      </c>
    </row>
    <row r="316" spans="1:6">
      <c r="A316" s="690" t="s">
        <v>912</v>
      </c>
      <c r="B316" s="9" t="s">
        <v>909</v>
      </c>
      <c r="C316" s="24">
        <v>373</v>
      </c>
      <c r="D316" s="24"/>
      <c r="E316" s="55">
        <f t="shared" si="7"/>
        <v>3976</v>
      </c>
    </row>
    <row r="317" spans="1:6">
      <c r="A317" s="692" t="s">
        <v>914</v>
      </c>
      <c r="B317" s="690" t="s">
        <v>24</v>
      </c>
      <c r="C317" s="24">
        <v>28</v>
      </c>
      <c r="D317" s="24"/>
      <c r="E317" s="55">
        <f t="shared" si="7"/>
        <v>4004</v>
      </c>
    </row>
    <row r="318" spans="1:6">
      <c r="A318" s="692" t="s">
        <v>914</v>
      </c>
      <c r="B318" s="690" t="s">
        <v>548</v>
      </c>
      <c r="C318" s="24"/>
      <c r="D318" s="24">
        <v>400</v>
      </c>
      <c r="E318" s="55">
        <f t="shared" si="7"/>
        <v>3604</v>
      </c>
      <c r="F318" s="696" t="s">
        <v>46</v>
      </c>
    </row>
    <row r="319" spans="1:6">
      <c r="A319" s="697" t="s">
        <v>915</v>
      </c>
      <c r="B319" s="698" t="s">
        <v>916</v>
      </c>
      <c r="C319" s="24">
        <v>46</v>
      </c>
      <c r="D319" s="24"/>
      <c r="E319" s="55">
        <f t="shared" si="7"/>
        <v>3650</v>
      </c>
    </row>
    <row r="320" spans="1:6">
      <c r="A320" s="697" t="s">
        <v>915</v>
      </c>
      <c r="B320" s="698" t="s">
        <v>427</v>
      </c>
      <c r="C320" s="24">
        <v>100</v>
      </c>
      <c r="D320" s="24"/>
      <c r="E320" s="55">
        <f t="shared" si="7"/>
        <v>3750</v>
      </c>
    </row>
    <row r="321" spans="1:6">
      <c r="A321" s="698" t="s">
        <v>915</v>
      </c>
      <c r="B321" s="698" t="s">
        <v>24</v>
      </c>
      <c r="C321" s="24">
        <v>20</v>
      </c>
      <c r="D321" s="24"/>
      <c r="E321" s="55">
        <f t="shared" si="7"/>
        <v>3770</v>
      </c>
    </row>
    <row r="322" spans="1:6">
      <c r="A322" s="697" t="s">
        <v>915</v>
      </c>
      <c r="B322" s="698" t="s">
        <v>548</v>
      </c>
      <c r="C322" s="24"/>
      <c r="D322" s="24">
        <v>200</v>
      </c>
      <c r="E322" s="55">
        <f t="shared" si="7"/>
        <v>3570</v>
      </c>
      <c r="F322" s="700" t="s">
        <v>46</v>
      </c>
    </row>
    <row r="323" spans="1:6">
      <c r="A323" s="702" t="s">
        <v>918</v>
      </c>
      <c r="B323" s="703" t="s">
        <v>775</v>
      </c>
      <c r="C323" s="24">
        <v>72</v>
      </c>
      <c r="D323" s="24"/>
      <c r="E323" s="55">
        <f t="shared" si="7"/>
        <v>3642</v>
      </c>
    </row>
    <row r="324" spans="1:6">
      <c r="A324" s="702" t="s">
        <v>918</v>
      </c>
      <c r="B324" s="703" t="s">
        <v>775</v>
      </c>
      <c r="C324" s="24">
        <v>54</v>
      </c>
      <c r="D324" s="24"/>
      <c r="E324" s="55">
        <f t="shared" si="7"/>
        <v>3696</v>
      </c>
    </row>
    <row r="325" spans="1:6">
      <c r="A325" s="702" t="s">
        <v>918</v>
      </c>
      <c r="B325" s="703" t="s">
        <v>24</v>
      </c>
      <c r="C325" s="24">
        <v>72</v>
      </c>
      <c r="D325" s="24"/>
      <c r="E325" s="55">
        <f t="shared" si="7"/>
        <v>3768</v>
      </c>
      <c r="F325" s="706" t="s">
        <v>46</v>
      </c>
    </row>
    <row r="326" spans="1:6">
      <c r="A326" s="57">
        <v>43137</v>
      </c>
      <c r="B326" s="711" t="s">
        <v>925</v>
      </c>
      <c r="C326" s="24"/>
      <c r="D326" s="16">
        <v>150</v>
      </c>
      <c r="E326" s="55">
        <f t="shared" si="7"/>
        <v>3618</v>
      </c>
    </row>
    <row r="327" spans="1:6">
      <c r="A327" s="57">
        <v>43137</v>
      </c>
      <c r="B327" s="716" t="s">
        <v>543</v>
      </c>
      <c r="C327" s="24">
        <v>285</v>
      </c>
      <c r="D327" s="16"/>
      <c r="E327" s="55">
        <f t="shared" si="7"/>
        <v>3903</v>
      </c>
    </row>
    <row r="328" spans="1:6">
      <c r="A328" s="172">
        <v>43137</v>
      </c>
      <c r="B328" s="716" t="s">
        <v>934</v>
      </c>
      <c r="C328" s="24">
        <v>5</v>
      </c>
      <c r="D328" s="16"/>
      <c r="E328" s="55">
        <f t="shared" si="7"/>
        <v>3908</v>
      </c>
    </row>
    <row r="329" spans="1:6">
      <c r="A329" s="172">
        <v>43137</v>
      </c>
      <c r="B329" s="716" t="s">
        <v>24</v>
      </c>
      <c r="C329" s="24">
        <v>36</v>
      </c>
      <c r="D329" s="16"/>
      <c r="E329" s="55">
        <f t="shared" si="7"/>
        <v>3944</v>
      </c>
    </row>
    <row r="330" spans="1:6">
      <c r="A330" s="42">
        <v>43165</v>
      </c>
      <c r="B330" s="708" t="s">
        <v>932</v>
      </c>
      <c r="C330" s="24"/>
      <c r="D330" s="24">
        <v>300</v>
      </c>
      <c r="E330" s="55">
        <f t="shared" si="7"/>
        <v>3644</v>
      </c>
    </row>
    <row r="331" spans="1:6">
      <c r="A331" s="42">
        <v>43196</v>
      </c>
      <c r="B331" s="9" t="s">
        <v>774</v>
      </c>
      <c r="C331" s="24">
        <v>126</v>
      </c>
      <c r="D331" s="24"/>
      <c r="E331" s="55">
        <f t="shared" si="7"/>
        <v>3770</v>
      </c>
    </row>
    <row r="332" spans="1:6">
      <c r="A332" s="42">
        <v>43226</v>
      </c>
      <c r="B332" s="715" t="s">
        <v>876</v>
      </c>
      <c r="C332" s="24">
        <v>90</v>
      </c>
      <c r="D332" s="24"/>
      <c r="E332" s="55">
        <f t="shared" si="7"/>
        <v>3860</v>
      </c>
      <c r="F332" s="722" t="s">
        <v>46</v>
      </c>
    </row>
    <row r="333" spans="1:6">
      <c r="A333" s="24"/>
      <c r="B333" s="24"/>
      <c r="C333" s="24"/>
      <c r="D333" s="24"/>
      <c r="E333" s="24"/>
    </row>
    <row r="334" spans="1:6">
      <c r="A334" s="24"/>
      <c r="B334" s="24"/>
      <c r="C334" s="24"/>
      <c r="D334" s="24"/>
      <c r="E334" s="24"/>
    </row>
    <row r="335" spans="1:6">
      <c r="A335" s="24"/>
      <c r="B335" s="24"/>
      <c r="C335" s="24"/>
      <c r="D335" s="24"/>
      <c r="E335" s="24"/>
    </row>
    <row r="336" spans="1:6">
      <c r="A336" s="24"/>
      <c r="B336" s="24"/>
      <c r="C336" s="24"/>
      <c r="D336" s="24"/>
      <c r="E336" s="24"/>
    </row>
    <row r="337" spans="1:5">
      <c r="A337" s="24"/>
      <c r="B337" s="24"/>
      <c r="C337" s="24"/>
      <c r="D337" s="24"/>
      <c r="E337" s="24"/>
    </row>
  </sheetData>
  <pageMargins left="0.69930555555555596" right="0.69930555555555596" top="0" bottom="0" header="0.3" footer="0.3"/>
  <pageSetup paperSize="9" scale="85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53"/>
  <sheetViews>
    <sheetView topLeftCell="A121" zoomScale="110" zoomScaleNormal="110" zoomScalePageLayoutView="110" workbookViewId="0">
      <selection activeCell="F147" sqref="F147"/>
    </sheetView>
  </sheetViews>
  <sheetFormatPr baseColWidth="10" defaultColWidth="9" defaultRowHeight="14" x14ac:dyDescent="0"/>
  <cols>
    <col min="1" max="1" width="12.5" customWidth="1"/>
    <col min="2" max="2" width="42.33203125" bestFit="1" customWidth="1"/>
    <col min="3" max="4" width="9.33203125" customWidth="1"/>
    <col min="5" max="5" width="11.5" customWidth="1"/>
    <col min="6" max="6" width="7.5" customWidth="1"/>
  </cols>
  <sheetData>
    <row r="2" spans="1:6" s="273" customFormat="1" ht="15">
      <c r="A2" s="217" t="s">
        <v>25</v>
      </c>
      <c r="B2" s="217"/>
      <c r="C2" s="217"/>
      <c r="D2" s="217"/>
      <c r="E2" s="217"/>
    </row>
    <row r="3" spans="1:6">
      <c r="A3" s="50"/>
      <c r="B3" s="51"/>
      <c r="C3" s="50"/>
      <c r="D3" s="50"/>
      <c r="E3" s="50"/>
    </row>
    <row r="4" spans="1:6">
      <c r="A4" s="52" t="s">
        <v>1</v>
      </c>
      <c r="B4" s="52" t="s">
        <v>429</v>
      </c>
      <c r="C4" s="52" t="s">
        <v>3</v>
      </c>
      <c r="D4" s="52" t="s">
        <v>4</v>
      </c>
      <c r="E4" s="52" t="s">
        <v>5</v>
      </c>
      <c r="F4" s="25" t="s">
        <v>6</v>
      </c>
    </row>
    <row r="5" spans="1:6">
      <c r="A5" s="9"/>
      <c r="B5" s="297" t="s">
        <v>408</v>
      </c>
      <c r="C5" s="9"/>
      <c r="D5" s="9"/>
      <c r="E5" s="26">
        <v>3253</v>
      </c>
    </row>
    <row r="6" spans="1:6">
      <c r="A6" s="42">
        <v>43160</v>
      </c>
      <c r="B6" s="299" t="s">
        <v>8</v>
      </c>
      <c r="C6" s="9">
        <v>420</v>
      </c>
      <c r="D6" s="9"/>
      <c r="E6" s="9">
        <f>E5+C6-D6</f>
        <v>3673</v>
      </c>
    </row>
    <row r="7" spans="1:6">
      <c r="A7" s="21">
        <v>43160</v>
      </c>
      <c r="B7" s="299" t="s">
        <v>402</v>
      </c>
      <c r="C7" s="9">
        <v>80</v>
      </c>
      <c r="D7" s="9"/>
      <c r="E7" s="9">
        <f>E6+C7-D7</f>
        <v>3753</v>
      </c>
      <c r="F7" s="304" t="s">
        <v>46</v>
      </c>
    </row>
    <row r="8" spans="1:6">
      <c r="A8" s="57">
        <v>43191</v>
      </c>
      <c r="B8" s="307" t="s">
        <v>13</v>
      </c>
      <c r="C8" s="9">
        <v>18</v>
      </c>
      <c r="D8" s="9"/>
      <c r="E8" s="9">
        <f>E7+C8-D8</f>
        <v>3771</v>
      </c>
      <c r="F8" s="308" t="s">
        <v>46</v>
      </c>
    </row>
    <row r="9" spans="1:6">
      <c r="A9" s="42">
        <v>43221</v>
      </c>
      <c r="B9" s="313" t="s">
        <v>433</v>
      </c>
      <c r="C9" s="9">
        <v>5</v>
      </c>
      <c r="D9" s="9"/>
      <c r="E9" s="9">
        <f t="shared" ref="E9:E74" si="0">E8+C9-D9</f>
        <v>3776</v>
      </c>
    </row>
    <row r="10" spans="1:6">
      <c r="A10" s="21">
        <v>43221</v>
      </c>
      <c r="B10" s="313" t="s">
        <v>436</v>
      </c>
      <c r="C10" s="9">
        <v>41</v>
      </c>
      <c r="D10" s="9"/>
      <c r="E10" s="9">
        <f t="shared" si="0"/>
        <v>3817</v>
      </c>
    </row>
    <row r="11" spans="1:6">
      <c r="A11" s="57">
        <v>42856</v>
      </c>
      <c r="B11" s="314" t="s">
        <v>15</v>
      </c>
      <c r="C11" s="9">
        <v>19</v>
      </c>
      <c r="D11" s="9"/>
      <c r="E11" s="9">
        <f t="shared" si="0"/>
        <v>3836</v>
      </c>
      <c r="F11" s="315" t="s">
        <v>46</v>
      </c>
    </row>
    <row r="12" spans="1:6">
      <c r="A12" s="21">
        <v>43252</v>
      </c>
      <c r="B12" s="317" t="s">
        <v>434</v>
      </c>
      <c r="C12" s="9">
        <v>30</v>
      </c>
      <c r="D12" s="9"/>
      <c r="E12" s="9">
        <f t="shared" si="0"/>
        <v>3866</v>
      </c>
    </row>
    <row r="13" spans="1:6">
      <c r="A13" s="322">
        <v>43313</v>
      </c>
      <c r="B13" s="320" t="s">
        <v>454</v>
      </c>
      <c r="C13" s="9">
        <v>75</v>
      </c>
      <c r="D13" s="9"/>
      <c r="E13" s="9">
        <f t="shared" si="0"/>
        <v>3941</v>
      </c>
    </row>
    <row r="14" spans="1:6">
      <c r="A14" s="21">
        <v>43313</v>
      </c>
      <c r="B14" s="320" t="s">
        <v>8</v>
      </c>
      <c r="C14" s="9">
        <v>42</v>
      </c>
      <c r="D14" s="9"/>
      <c r="E14" s="9">
        <f t="shared" si="0"/>
        <v>3983</v>
      </c>
      <c r="F14" s="324" t="s">
        <v>46</v>
      </c>
    </row>
    <row r="15" spans="1:6">
      <c r="A15" s="21">
        <v>43313</v>
      </c>
      <c r="B15" s="326" t="s">
        <v>464</v>
      </c>
      <c r="C15" s="9">
        <v>160</v>
      </c>
      <c r="D15" s="9"/>
      <c r="E15" s="9">
        <f t="shared" si="0"/>
        <v>4143</v>
      </c>
      <c r="F15" s="324"/>
    </row>
    <row r="16" spans="1:6">
      <c r="A16" s="21">
        <v>43344</v>
      </c>
      <c r="B16" s="9" t="s">
        <v>15</v>
      </c>
      <c r="C16" s="9">
        <v>450</v>
      </c>
      <c r="D16" s="9"/>
      <c r="E16" s="9">
        <f t="shared" si="0"/>
        <v>4593</v>
      </c>
      <c r="F16" t="s">
        <v>46</v>
      </c>
    </row>
    <row r="17" spans="1:6">
      <c r="A17" s="21">
        <v>43374</v>
      </c>
      <c r="B17" s="9" t="s">
        <v>459</v>
      </c>
      <c r="C17" s="9">
        <v>8</v>
      </c>
      <c r="D17" s="9"/>
      <c r="E17" s="9">
        <f t="shared" si="0"/>
        <v>4601</v>
      </c>
    </row>
    <row r="18" spans="1:6">
      <c r="A18" s="42">
        <v>43374</v>
      </c>
      <c r="B18" s="326" t="s">
        <v>468</v>
      </c>
      <c r="C18" s="9">
        <v>20</v>
      </c>
      <c r="D18" s="9"/>
      <c r="E18" s="9">
        <f t="shared" si="0"/>
        <v>4621</v>
      </c>
    </row>
    <row r="19" spans="1:6">
      <c r="A19" s="21">
        <v>43374</v>
      </c>
      <c r="B19" s="326" t="s">
        <v>470</v>
      </c>
      <c r="C19" s="9">
        <v>20</v>
      </c>
      <c r="D19" s="9"/>
      <c r="E19" s="9">
        <f t="shared" si="0"/>
        <v>4641</v>
      </c>
      <c r="F19" s="329" t="s">
        <v>46</v>
      </c>
    </row>
    <row r="20" spans="1:6" ht="15">
      <c r="A20" s="49">
        <v>43405</v>
      </c>
      <c r="B20" s="35" t="s">
        <v>472</v>
      </c>
      <c r="C20" s="9">
        <v>35</v>
      </c>
      <c r="D20" s="9"/>
      <c r="E20" s="9">
        <f t="shared" si="0"/>
        <v>4676</v>
      </c>
    </row>
    <row r="21" spans="1:6">
      <c r="A21" s="172">
        <v>43405</v>
      </c>
      <c r="B21" s="331" t="s">
        <v>475</v>
      </c>
      <c r="C21" s="9">
        <v>512</v>
      </c>
      <c r="D21" s="9"/>
      <c r="E21" s="9">
        <f t="shared" si="0"/>
        <v>5188</v>
      </c>
    </row>
    <row r="22" spans="1:6">
      <c r="A22" s="21">
        <v>43435</v>
      </c>
      <c r="B22" s="330" t="s">
        <v>445</v>
      </c>
      <c r="C22" s="9">
        <v>118</v>
      </c>
      <c r="D22" s="9"/>
      <c r="E22" s="9">
        <f t="shared" si="0"/>
        <v>5306</v>
      </c>
    </row>
    <row r="23" spans="1:6">
      <c r="A23" s="24" t="s">
        <v>488</v>
      </c>
      <c r="B23" s="24" t="s">
        <v>434</v>
      </c>
      <c r="C23" s="9">
        <v>42</v>
      </c>
      <c r="D23" s="9"/>
      <c r="E23" s="9">
        <f t="shared" si="0"/>
        <v>5348</v>
      </c>
    </row>
    <row r="24" spans="1:6">
      <c r="A24" s="335" t="s">
        <v>488</v>
      </c>
      <c r="B24" s="334" t="s">
        <v>491</v>
      </c>
      <c r="C24" s="9">
        <v>51</v>
      </c>
      <c r="D24" s="9"/>
      <c r="E24" s="9">
        <f t="shared" si="0"/>
        <v>5399</v>
      </c>
    </row>
    <row r="25" spans="1:6">
      <c r="A25" s="342" t="s">
        <v>500</v>
      </c>
      <c r="B25" s="341" t="s">
        <v>15</v>
      </c>
      <c r="C25" s="9">
        <v>8</v>
      </c>
      <c r="D25" s="9"/>
      <c r="E25" s="9">
        <f t="shared" si="0"/>
        <v>5407</v>
      </c>
    </row>
    <row r="26" spans="1:6" ht="15">
      <c r="A26" s="35" t="s">
        <v>509</v>
      </c>
      <c r="B26" s="35" t="s">
        <v>16</v>
      </c>
      <c r="C26" s="9">
        <v>81</v>
      </c>
      <c r="D26" s="9"/>
      <c r="E26" s="9">
        <f t="shared" si="0"/>
        <v>5488</v>
      </c>
    </row>
    <row r="27" spans="1:6">
      <c r="A27" s="341" t="s">
        <v>509</v>
      </c>
      <c r="B27" s="341" t="s">
        <v>468</v>
      </c>
      <c r="C27" s="9">
        <v>4</v>
      </c>
      <c r="D27" s="9"/>
      <c r="E27" s="9">
        <f t="shared" si="0"/>
        <v>5492</v>
      </c>
    </row>
    <row r="28" spans="1:6">
      <c r="A28" s="343" t="s">
        <v>509</v>
      </c>
      <c r="B28" s="344" t="s">
        <v>462</v>
      </c>
      <c r="C28" s="9">
        <v>108</v>
      </c>
      <c r="D28" s="9"/>
      <c r="E28" s="9">
        <f t="shared" si="0"/>
        <v>5600</v>
      </c>
      <c r="F28" s="345" t="s">
        <v>46</v>
      </c>
    </row>
    <row r="29" spans="1:6">
      <c r="A29" s="9" t="s">
        <v>516</v>
      </c>
      <c r="B29" s="9" t="s">
        <v>517</v>
      </c>
      <c r="C29" s="24">
        <v>5</v>
      </c>
      <c r="D29" s="9"/>
      <c r="E29" s="9">
        <f t="shared" si="0"/>
        <v>5605</v>
      </c>
    </row>
    <row r="30" spans="1:6">
      <c r="A30" s="347" t="s">
        <v>516</v>
      </c>
      <c r="B30" s="348" t="s">
        <v>452</v>
      </c>
      <c r="C30" s="9">
        <v>17</v>
      </c>
      <c r="D30" s="9"/>
      <c r="E30" s="9">
        <f t="shared" si="0"/>
        <v>5622</v>
      </c>
    </row>
    <row r="31" spans="1:6">
      <c r="A31" s="349" t="s">
        <v>516</v>
      </c>
      <c r="B31" s="350" t="s">
        <v>519</v>
      </c>
      <c r="C31" s="9">
        <v>35</v>
      </c>
      <c r="D31" s="9"/>
      <c r="E31" s="9">
        <f t="shared" si="0"/>
        <v>5657</v>
      </c>
    </row>
    <row r="32" spans="1:6">
      <c r="A32" s="347" t="s">
        <v>516</v>
      </c>
      <c r="B32" s="348" t="s">
        <v>433</v>
      </c>
      <c r="C32" s="9">
        <v>64</v>
      </c>
      <c r="D32" s="9"/>
      <c r="E32" s="9">
        <f t="shared" si="0"/>
        <v>5721</v>
      </c>
    </row>
    <row r="33" spans="1:6">
      <c r="A33" s="347" t="s">
        <v>516</v>
      </c>
      <c r="B33" s="348" t="s">
        <v>525</v>
      </c>
      <c r="C33" s="9">
        <v>3</v>
      </c>
      <c r="D33" s="9"/>
      <c r="E33" s="9">
        <f t="shared" si="0"/>
        <v>5724</v>
      </c>
    </row>
    <row r="34" spans="1:6">
      <c r="A34" s="347" t="s">
        <v>526</v>
      </c>
      <c r="B34" s="348" t="s">
        <v>462</v>
      </c>
      <c r="C34" s="9">
        <v>11</v>
      </c>
      <c r="D34" s="9"/>
      <c r="E34" s="9">
        <f t="shared" si="0"/>
        <v>5735</v>
      </c>
    </row>
    <row r="35" spans="1:6">
      <c r="A35" s="349" t="s">
        <v>526</v>
      </c>
      <c r="B35" s="350" t="s">
        <v>530</v>
      </c>
      <c r="C35" s="9"/>
      <c r="D35" s="9">
        <v>100</v>
      </c>
      <c r="E35" s="9">
        <f t="shared" si="0"/>
        <v>5635</v>
      </c>
    </row>
    <row r="36" spans="1:6">
      <c r="A36" s="347" t="s">
        <v>531</v>
      </c>
      <c r="B36" s="348" t="s">
        <v>445</v>
      </c>
      <c r="C36" s="9">
        <v>36</v>
      </c>
      <c r="D36" s="9"/>
      <c r="E36" s="9">
        <f>E35+C36-D36</f>
        <v>5671</v>
      </c>
      <c r="F36" s="352" t="s">
        <v>46</v>
      </c>
    </row>
    <row r="37" spans="1:6">
      <c r="A37" s="24" t="s">
        <v>557</v>
      </c>
      <c r="B37" s="24" t="s">
        <v>510</v>
      </c>
      <c r="C37" s="9">
        <v>25</v>
      </c>
      <c r="D37" s="9"/>
      <c r="E37" s="9">
        <f t="shared" si="0"/>
        <v>5696</v>
      </c>
    </row>
    <row r="38" spans="1:6">
      <c r="A38" s="365" t="s">
        <v>557</v>
      </c>
      <c r="B38" s="365" t="s">
        <v>433</v>
      </c>
      <c r="C38" s="9">
        <v>15</v>
      </c>
      <c r="D38" s="9"/>
      <c r="E38" s="9">
        <f t="shared" si="0"/>
        <v>5711</v>
      </c>
      <c r="F38" s="367" t="s">
        <v>46</v>
      </c>
    </row>
    <row r="39" spans="1:6">
      <c r="A39" s="369" t="s">
        <v>564</v>
      </c>
      <c r="B39" s="369" t="s">
        <v>565</v>
      </c>
      <c r="C39" s="9">
        <v>80</v>
      </c>
      <c r="D39" s="9"/>
      <c r="E39" s="9">
        <f t="shared" si="0"/>
        <v>5791</v>
      </c>
    </row>
    <row r="40" spans="1:6">
      <c r="A40" s="368" t="s">
        <v>569</v>
      </c>
      <c r="B40" s="369" t="s">
        <v>573</v>
      </c>
      <c r="C40" s="9">
        <v>50</v>
      </c>
      <c r="D40" s="9"/>
      <c r="E40" s="9">
        <f t="shared" si="0"/>
        <v>5841</v>
      </c>
    </row>
    <row r="41" spans="1:6">
      <c r="A41" s="371" t="s">
        <v>569</v>
      </c>
      <c r="B41" s="371" t="s">
        <v>8</v>
      </c>
      <c r="C41" s="9">
        <v>7</v>
      </c>
      <c r="D41" s="9"/>
      <c r="E41" s="9">
        <f t="shared" si="0"/>
        <v>5848</v>
      </c>
    </row>
    <row r="42" spans="1:6">
      <c r="A42" s="369" t="s">
        <v>569</v>
      </c>
      <c r="B42" s="369" t="s">
        <v>434</v>
      </c>
      <c r="C42" s="9">
        <v>30</v>
      </c>
      <c r="D42" s="9"/>
      <c r="E42" s="9">
        <f t="shared" si="0"/>
        <v>5878</v>
      </c>
    </row>
    <row r="43" spans="1:6">
      <c r="A43" s="369" t="s">
        <v>569</v>
      </c>
      <c r="B43" s="369" t="s">
        <v>580</v>
      </c>
      <c r="C43" s="9"/>
      <c r="D43" s="9">
        <v>200</v>
      </c>
      <c r="E43" s="9">
        <f t="shared" si="0"/>
        <v>5678</v>
      </c>
      <c r="F43" s="372" t="s">
        <v>46</v>
      </c>
    </row>
    <row r="44" spans="1:6">
      <c r="A44" s="377" t="s">
        <v>585</v>
      </c>
      <c r="B44" s="377" t="s">
        <v>8</v>
      </c>
      <c r="C44" s="9">
        <v>1</v>
      </c>
      <c r="D44" s="9"/>
      <c r="E44" s="9">
        <f t="shared" si="0"/>
        <v>5679</v>
      </c>
    </row>
    <row r="45" spans="1:6">
      <c r="A45" s="375" t="s">
        <v>586</v>
      </c>
      <c r="B45" s="375" t="s">
        <v>445</v>
      </c>
      <c r="C45" s="9">
        <v>17</v>
      </c>
      <c r="D45" s="9"/>
      <c r="E45" s="9">
        <f t="shared" si="0"/>
        <v>5696</v>
      </c>
      <c r="F45" s="379" t="s">
        <v>46</v>
      </c>
    </row>
    <row r="46" spans="1:6">
      <c r="A46" s="380" t="s">
        <v>594</v>
      </c>
      <c r="B46" s="381" t="s">
        <v>16</v>
      </c>
      <c r="C46" s="9">
        <v>30</v>
      </c>
      <c r="D46" s="9"/>
      <c r="E46" s="9">
        <f t="shared" si="0"/>
        <v>5726</v>
      </c>
      <c r="F46" s="384" t="s">
        <v>46</v>
      </c>
    </row>
    <row r="47" spans="1:6">
      <c r="A47" s="9" t="s">
        <v>598</v>
      </c>
      <c r="B47" s="9" t="s">
        <v>587</v>
      </c>
      <c r="C47" s="9">
        <v>20</v>
      </c>
      <c r="D47" s="9"/>
      <c r="E47" s="9">
        <f t="shared" si="0"/>
        <v>5746</v>
      </c>
    </row>
    <row r="48" spans="1:6">
      <c r="A48" s="385" t="s">
        <v>598</v>
      </c>
      <c r="B48" s="386" t="s">
        <v>16</v>
      </c>
      <c r="C48" s="9">
        <v>3</v>
      </c>
      <c r="D48" s="9"/>
      <c r="E48" s="9">
        <f t="shared" si="0"/>
        <v>5749</v>
      </c>
      <c r="F48" s="388" t="s">
        <v>46</v>
      </c>
    </row>
    <row r="49" spans="1:6">
      <c r="A49" s="57">
        <v>43102</v>
      </c>
      <c r="B49" s="389" t="s">
        <v>596</v>
      </c>
      <c r="C49" s="9">
        <v>28</v>
      </c>
      <c r="D49" s="9"/>
      <c r="E49" s="9">
        <f t="shared" si="0"/>
        <v>5777</v>
      </c>
    </row>
    <row r="50" spans="1:6">
      <c r="A50" s="57">
        <v>43102</v>
      </c>
      <c r="B50" s="389" t="s">
        <v>560</v>
      </c>
      <c r="C50" s="9"/>
      <c r="D50" s="9">
        <v>200</v>
      </c>
      <c r="E50" s="9">
        <f t="shared" si="0"/>
        <v>5577</v>
      </c>
      <c r="F50" s="392" t="s">
        <v>46</v>
      </c>
    </row>
    <row r="51" spans="1:6">
      <c r="A51" s="21">
        <v>43133</v>
      </c>
      <c r="B51" s="9" t="s">
        <v>13</v>
      </c>
      <c r="C51" s="394">
        <v>26</v>
      </c>
      <c r="D51" s="9"/>
      <c r="E51" s="9">
        <f t="shared" si="0"/>
        <v>5603</v>
      </c>
      <c r="F51" s="396" t="s">
        <v>46</v>
      </c>
    </row>
    <row r="52" spans="1:6">
      <c r="A52" s="172">
        <v>43161</v>
      </c>
      <c r="B52" s="399" t="s">
        <v>602</v>
      </c>
      <c r="C52" s="9">
        <v>14</v>
      </c>
      <c r="D52" s="9"/>
      <c r="E52" s="9">
        <f t="shared" si="0"/>
        <v>5617</v>
      </c>
      <c r="F52" s="400"/>
    </row>
    <row r="53" spans="1:6">
      <c r="A53" s="42">
        <v>43222</v>
      </c>
      <c r="B53" s="401" t="s">
        <v>587</v>
      </c>
      <c r="C53" s="9">
        <v>20</v>
      </c>
      <c r="D53" s="9"/>
      <c r="E53" s="9">
        <f t="shared" si="0"/>
        <v>5637</v>
      </c>
    </row>
    <row r="54" spans="1:6">
      <c r="A54" s="403">
        <v>43222</v>
      </c>
      <c r="B54" s="401" t="s">
        <v>605</v>
      </c>
      <c r="C54" s="9">
        <v>73</v>
      </c>
      <c r="D54" s="9"/>
      <c r="E54" s="9">
        <f t="shared" si="0"/>
        <v>5710</v>
      </c>
      <c r="F54" s="410"/>
    </row>
    <row r="55" spans="1:6">
      <c r="A55" s="57">
        <v>43283</v>
      </c>
      <c r="B55" s="412" t="s">
        <v>510</v>
      </c>
      <c r="C55" s="9">
        <v>3</v>
      </c>
      <c r="D55" s="9"/>
      <c r="E55" s="9">
        <f t="shared" si="0"/>
        <v>5713</v>
      </c>
    </row>
    <row r="56" spans="1:6">
      <c r="A56" s="42">
        <v>43283</v>
      </c>
      <c r="B56" s="411" t="s">
        <v>613</v>
      </c>
      <c r="C56" s="9">
        <v>3</v>
      </c>
      <c r="D56" s="9"/>
      <c r="E56" s="9">
        <f t="shared" si="0"/>
        <v>5716</v>
      </c>
    </row>
    <row r="57" spans="1:6">
      <c r="A57" s="21">
        <v>43283</v>
      </c>
      <c r="B57" s="411" t="s">
        <v>614</v>
      </c>
      <c r="C57" s="9">
        <v>70</v>
      </c>
      <c r="D57" s="9"/>
      <c r="E57" s="9">
        <f t="shared" si="0"/>
        <v>5786</v>
      </c>
    </row>
    <row r="58" spans="1:6">
      <c r="A58" s="57">
        <v>43314</v>
      </c>
      <c r="B58" s="412" t="s">
        <v>617</v>
      </c>
      <c r="C58" s="9">
        <v>12</v>
      </c>
      <c r="D58" s="9"/>
      <c r="E58" s="9">
        <f t="shared" si="0"/>
        <v>5798</v>
      </c>
    </row>
    <row r="59" spans="1:6">
      <c r="A59" s="322">
        <v>43324</v>
      </c>
      <c r="B59" s="25" t="s">
        <v>587</v>
      </c>
      <c r="C59" s="9">
        <v>45</v>
      </c>
      <c r="D59" s="9"/>
      <c r="E59" s="9">
        <f t="shared" si="0"/>
        <v>5843</v>
      </c>
      <c r="F59" s="414"/>
    </row>
    <row r="60" spans="1:6">
      <c r="A60" s="21">
        <v>43406</v>
      </c>
      <c r="B60" s="422" t="s">
        <v>580</v>
      </c>
      <c r="C60" s="9"/>
      <c r="D60" s="9">
        <v>100</v>
      </c>
      <c r="E60" s="9">
        <f t="shared" si="0"/>
        <v>5743</v>
      </c>
    </row>
    <row r="61" spans="1:6">
      <c r="A61" s="21">
        <v>43436</v>
      </c>
      <c r="B61" s="422" t="s">
        <v>580</v>
      </c>
      <c r="C61" s="9"/>
      <c r="D61" s="9">
        <v>170</v>
      </c>
      <c r="E61" s="9">
        <f t="shared" si="0"/>
        <v>5573</v>
      </c>
      <c r="F61" s="426"/>
    </row>
    <row r="62" spans="1:6">
      <c r="A62" s="429" t="s">
        <v>630</v>
      </c>
      <c r="B62" s="429" t="s">
        <v>501</v>
      </c>
      <c r="C62" s="9">
        <v>80</v>
      </c>
      <c r="D62" s="9"/>
      <c r="E62" s="9">
        <f t="shared" si="0"/>
        <v>5653</v>
      </c>
    </row>
    <row r="63" spans="1:6">
      <c r="A63" s="429" t="s">
        <v>630</v>
      </c>
      <c r="B63" s="429" t="s">
        <v>634</v>
      </c>
      <c r="C63" s="9">
        <v>5</v>
      </c>
      <c r="D63" s="9"/>
      <c r="E63" s="9">
        <f t="shared" si="0"/>
        <v>5658</v>
      </c>
    </row>
    <row r="64" spans="1:6">
      <c r="A64" s="429" t="s">
        <v>630</v>
      </c>
      <c r="B64" s="429" t="s">
        <v>587</v>
      </c>
      <c r="C64" s="9">
        <v>12</v>
      </c>
      <c r="D64" s="9"/>
      <c r="E64" s="9">
        <f t="shared" si="0"/>
        <v>5670</v>
      </c>
    </row>
    <row r="65" spans="1:6">
      <c r="A65" s="430" t="s">
        <v>636</v>
      </c>
      <c r="B65" s="429" t="s">
        <v>16</v>
      </c>
      <c r="C65" s="9">
        <v>6</v>
      </c>
      <c r="D65" s="9"/>
      <c r="E65" s="9">
        <f t="shared" si="0"/>
        <v>5676</v>
      </c>
    </row>
    <row r="66" spans="1:6">
      <c r="A66" s="429" t="s">
        <v>636</v>
      </c>
      <c r="B66" s="429" t="s">
        <v>637</v>
      </c>
      <c r="C66" s="9">
        <v>11</v>
      </c>
      <c r="D66" s="9"/>
      <c r="E66" s="9">
        <f t="shared" si="0"/>
        <v>5687</v>
      </c>
      <c r="F66" s="433"/>
    </row>
    <row r="67" spans="1:6">
      <c r="A67" s="443" t="s">
        <v>651</v>
      </c>
      <c r="B67" s="444" t="s">
        <v>616</v>
      </c>
      <c r="C67" s="9">
        <v>148</v>
      </c>
      <c r="D67" s="9"/>
      <c r="E67" s="9">
        <f t="shared" si="0"/>
        <v>5835</v>
      </c>
    </row>
    <row r="68" spans="1:6">
      <c r="A68" s="445" t="s">
        <v>651</v>
      </c>
      <c r="B68" s="445" t="s">
        <v>587</v>
      </c>
      <c r="C68" s="9">
        <v>3</v>
      </c>
      <c r="D68" s="9"/>
      <c r="E68" s="9">
        <f t="shared" si="0"/>
        <v>5838</v>
      </c>
    </row>
    <row r="69" spans="1:6">
      <c r="A69" s="446" t="s">
        <v>651</v>
      </c>
      <c r="B69" s="445" t="s">
        <v>434</v>
      </c>
      <c r="C69" s="9">
        <v>17</v>
      </c>
      <c r="D69" s="9"/>
      <c r="E69" s="9">
        <f t="shared" si="0"/>
        <v>5855</v>
      </c>
      <c r="F69" s="447"/>
    </row>
    <row r="70" spans="1:6">
      <c r="A70" s="449" t="s">
        <v>661</v>
      </c>
      <c r="B70" s="449" t="s">
        <v>664</v>
      </c>
      <c r="C70" s="24">
        <v>110</v>
      </c>
      <c r="D70" s="9"/>
      <c r="E70" s="9">
        <f t="shared" si="0"/>
        <v>5965</v>
      </c>
    </row>
    <row r="71" spans="1:6">
      <c r="A71" s="457" t="s">
        <v>669</v>
      </c>
      <c r="B71" s="458" t="s">
        <v>675</v>
      </c>
      <c r="C71" s="24">
        <v>8</v>
      </c>
      <c r="D71" s="9"/>
      <c r="E71" s="9">
        <f t="shared" si="0"/>
        <v>5973</v>
      </c>
      <c r="F71" s="461"/>
    </row>
    <row r="72" spans="1:6">
      <c r="A72" s="464" t="s">
        <v>677</v>
      </c>
      <c r="B72" s="464" t="s">
        <v>682</v>
      </c>
      <c r="C72" s="9">
        <v>120</v>
      </c>
      <c r="D72" s="9"/>
      <c r="E72" s="9">
        <f t="shared" si="0"/>
        <v>6093</v>
      </c>
      <c r="F72" s="466"/>
    </row>
    <row r="73" spans="1:6">
      <c r="A73" s="467" t="s">
        <v>687</v>
      </c>
      <c r="B73" s="467" t="s">
        <v>691</v>
      </c>
      <c r="C73" s="9">
        <v>12</v>
      </c>
      <c r="D73" s="9"/>
      <c r="E73" s="9">
        <f t="shared" si="0"/>
        <v>6105</v>
      </c>
      <c r="F73" s="471"/>
    </row>
    <row r="74" spans="1:6">
      <c r="A74" s="473" t="s">
        <v>694</v>
      </c>
      <c r="B74" s="472" t="s">
        <v>660</v>
      </c>
      <c r="C74" s="9">
        <v>33</v>
      </c>
      <c r="D74" s="9"/>
      <c r="E74" s="9">
        <f t="shared" si="0"/>
        <v>6138</v>
      </c>
    </row>
    <row r="75" spans="1:6">
      <c r="A75" s="473" t="s">
        <v>694</v>
      </c>
      <c r="B75" s="472" t="s">
        <v>699</v>
      </c>
      <c r="C75" s="9">
        <v>133</v>
      </c>
      <c r="D75" s="9"/>
      <c r="E75" s="9">
        <f t="shared" ref="E75:E138" si="1">E74+C75-D75</f>
        <v>6271</v>
      </c>
    </row>
    <row r="76" spans="1:6">
      <c r="A76" s="474" t="s">
        <v>694</v>
      </c>
      <c r="B76" s="474" t="s">
        <v>700</v>
      </c>
      <c r="C76" s="9">
        <v>13</v>
      </c>
      <c r="D76" s="9"/>
      <c r="E76" s="9">
        <f t="shared" si="1"/>
        <v>6284</v>
      </c>
    </row>
    <row r="77" spans="1:6">
      <c r="A77" s="474" t="s">
        <v>694</v>
      </c>
      <c r="B77" s="474" t="s">
        <v>700</v>
      </c>
      <c r="C77" s="9">
        <v>13</v>
      </c>
      <c r="D77" s="9"/>
      <c r="E77" s="9">
        <f t="shared" si="1"/>
        <v>6297</v>
      </c>
      <c r="F77" s="475"/>
    </row>
    <row r="78" spans="1:6">
      <c r="A78" s="172">
        <v>43103</v>
      </c>
      <c r="B78" s="24" t="s">
        <v>705</v>
      </c>
      <c r="C78" s="9"/>
      <c r="D78" s="9">
        <v>300</v>
      </c>
      <c r="E78" s="9">
        <f t="shared" si="1"/>
        <v>5997</v>
      </c>
      <c r="F78" s="484"/>
    </row>
    <row r="79" spans="1:6">
      <c r="A79" s="483">
        <v>43223</v>
      </c>
      <c r="B79" s="492" t="s">
        <v>510</v>
      </c>
      <c r="C79" s="9">
        <v>9</v>
      </c>
      <c r="D79" s="9"/>
      <c r="E79" s="9">
        <f t="shared" si="1"/>
        <v>6006</v>
      </c>
    </row>
    <row r="80" spans="1:6">
      <c r="A80" s="21">
        <v>43223</v>
      </c>
      <c r="B80" s="492" t="s">
        <v>710</v>
      </c>
      <c r="C80" s="9">
        <v>12</v>
      </c>
      <c r="D80" s="9"/>
      <c r="E80" s="9">
        <f t="shared" si="1"/>
        <v>6018</v>
      </c>
    </row>
    <row r="81" spans="1:6">
      <c r="A81" s="21">
        <v>43254</v>
      </c>
      <c r="B81" s="492" t="s">
        <v>713</v>
      </c>
      <c r="C81" s="9">
        <v>54</v>
      </c>
      <c r="D81" s="9"/>
      <c r="E81" s="9">
        <f t="shared" si="1"/>
        <v>6072</v>
      </c>
      <c r="F81" s="495"/>
    </row>
    <row r="82" spans="1:6">
      <c r="A82" s="42">
        <v>43284</v>
      </c>
      <c r="B82" s="9" t="s">
        <v>655</v>
      </c>
      <c r="C82" s="9">
        <v>95</v>
      </c>
      <c r="D82" s="9"/>
      <c r="E82" s="9">
        <f t="shared" si="1"/>
        <v>6167</v>
      </c>
      <c r="F82" s="496"/>
    </row>
    <row r="83" spans="1:6">
      <c r="A83" s="42">
        <v>43315</v>
      </c>
      <c r="B83" s="497" t="s">
        <v>462</v>
      </c>
      <c r="C83" s="9">
        <v>17</v>
      </c>
      <c r="D83" s="9"/>
      <c r="E83" s="9">
        <f t="shared" si="1"/>
        <v>6184</v>
      </c>
    </row>
    <row r="84" spans="1:6">
      <c r="A84" s="21">
        <v>43346</v>
      </c>
      <c r="B84" s="497" t="s">
        <v>601</v>
      </c>
      <c r="C84" s="9">
        <v>59</v>
      </c>
      <c r="D84" s="9"/>
      <c r="E84" s="9">
        <f t="shared" si="1"/>
        <v>6243</v>
      </c>
    </row>
    <row r="85" spans="1:6">
      <c r="A85" s="42">
        <v>43376</v>
      </c>
      <c r="B85" s="498" t="s">
        <v>708</v>
      </c>
      <c r="C85" s="9">
        <v>27</v>
      </c>
      <c r="D85" s="9"/>
      <c r="E85" s="9">
        <f t="shared" si="1"/>
        <v>6270</v>
      </c>
      <c r="F85" s="501"/>
    </row>
    <row r="86" spans="1:6">
      <c r="A86" s="502" t="s">
        <v>728</v>
      </c>
      <c r="B86" s="502" t="s">
        <v>554</v>
      </c>
      <c r="C86" s="9">
        <v>39</v>
      </c>
      <c r="D86" s="9"/>
      <c r="E86" s="9">
        <f t="shared" si="1"/>
        <v>6309</v>
      </c>
    </row>
    <row r="87" spans="1:6">
      <c r="A87" s="502" t="s">
        <v>728</v>
      </c>
      <c r="B87" s="502" t="s">
        <v>554</v>
      </c>
      <c r="C87" s="9">
        <v>52</v>
      </c>
      <c r="D87" s="9"/>
      <c r="E87" s="9">
        <f t="shared" si="1"/>
        <v>6361</v>
      </c>
    </row>
    <row r="88" spans="1:6">
      <c r="A88" s="504" t="s">
        <v>728</v>
      </c>
      <c r="B88" s="502" t="s">
        <v>17</v>
      </c>
      <c r="C88" s="9"/>
      <c r="D88" s="9">
        <v>100</v>
      </c>
      <c r="E88" s="9">
        <f t="shared" si="1"/>
        <v>6261</v>
      </c>
    </row>
    <row r="89" spans="1:6">
      <c r="A89" s="504" t="s">
        <v>728</v>
      </c>
      <c r="B89" s="502" t="s">
        <v>17</v>
      </c>
      <c r="C89" s="9"/>
      <c r="D89" s="9">
        <v>100</v>
      </c>
      <c r="E89" s="9">
        <f t="shared" si="1"/>
        <v>6161</v>
      </c>
      <c r="F89" s="506"/>
    </row>
    <row r="90" spans="1:6">
      <c r="A90" s="507" t="s">
        <v>731</v>
      </c>
      <c r="B90" s="508" t="s">
        <v>510</v>
      </c>
      <c r="C90" s="9">
        <v>2</v>
      </c>
      <c r="D90" s="9"/>
      <c r="E90" s="9">
        <f t="shared" si="1"/>
        <v>6163</v>
      </c>
    </row>
    <row r="91" spans="1:6">
      <c r="A91" s="125" t="s">
        <v>731</v>
      </c>
      <c r="B91" s="9" t="s">
        <v>17</v>
      </c>
      <c r="C91" s="9"/>
      <c r="D91" s="9">
        <v>200</v>
      </c>
      <c r="E91" s="9">
        <f t="shared" si="1"/>
        <v>5963</v>
      </c>
    </row>
    <row r="92" spans="1:6">
      <c r="A92" s="509" t="s">
        <v>732</v>
      </c>
      <c r="B92" s="509" t="s">
        <v>700</v>
      </c>
      <c r="C92" s="9">
        <v>13</v>
      </c>
      <c r="D92" s="9"/>
      <c r="E92" s="9">
        <f t="shared" si="1"/>
        <v>5976</v>
      </c>
    </row>
    <row r="93" spans="1:6">
      <c r="A93" s="507" t="s">
        <v>732</v>
      </c>
      <c r="B93" s="508" t="s">
        <v>734</v>
      </c>
      <c r="C93" s="9"/>
      <c r="D93" s="9">
        <v>100</v>
      </c>
      <c r="E93" s="9">
        <f t="shared" si="1"/>
        <v>5876</v>
      </c>
      <c r="F93" s="510"/>
    </row>
    <row r="94" spans="1:6">
      <c r="A94" s="125" t="s">
        <v>735</v>
      </c>
      <c r="B94" s="9" t="s">
        <v>708</v>
      </c>
      <c r="C94" s="9">
        <v>48</v>
      </c>
      <c r="D94" s="9"/>
      <c r="E94" s="9">
        <f t="shared" si="1"/>
        <v>5924</v>
      </c>
    </row>
    <row r="95" spans="1:6">
      <c r="A95" s="125" t="s">
        <v>735</v>
      </c>
      <c r="B95" s="9" t="s">
        <v>708</v>
      </c>
      <c r="C95" s="9">
        <v>8</v>
      </c>
      <c r="D95" s="9"/>
      <c r="E95" s="9">
        <f t="shared" si="1"/>
        <v>5932</v>
      </c>
    </row>
    <row r="96" spans="1:6">
      <c r="A96" s="174" t="s">
        <v>735</v>
      </c>
      <c r="B96" s="24" t="s">
        <v>17</v>
      </c>
      <c r="C96" s="9"/>
      <c r="D96" s="9">
        <v>100</v>
      </c>
      <c r="E96" s="9">
        <f t="shared" si="1"/>
        <v>5832</v>
      </c>
    </row>
    <row r="97" spans="1:6">
      <c r="A97" s="513" t="s">
        <v>738</v>
      </c>
      <c r="B97" s="513" t="s">
        <v>739</v>
      </c>
      <c r="C97" s="9">
        <v>20</v>
      </c>
      <c r="D97" s="9"/>
      <c r="E97" s="9">
        <f t="shared" si="1"/>
        <v>5852</v>
      </c>
    </row>
    <row r="98" spans="1:6">
      <c r="A98" s="512" t="s">
        <v>738</v>
      </c>
      <c r="B98" s="513" t="s">
        <v>740</v>
      </c>
      <c r="C98" s="9">
        <v>95</v>
      </c>
      <c r="D98" s="9"/>
      <c r="E98" s="9">
        <f t="shared" si="1"/>
        <v>5947</v>
      </c>
    </row>
    <row r="99" spans="1:6">
      <c r="A99" s="513" t="s">
        <v>738</v>
      </c>
      <c r="B99" s="513" t="s">
        <v>655</v>
      </c>
      <c r="C99" s="9">
        <v>9</v>
      </c>
      <c r="D99" s="9"/>
      <c r="E99" s="9">
        <f t="shared" si="1"/>
        <v>5956</v>
      </c>
      <c r="F99" s="516"/>
    </row>
    <row r="100" spans="1:6">
      <c r="A100" s="517" t="s">
        <v>742</v>
      </c>
      <c r="B100" s="517" t="s">
        <v>671</v>
      </c>
      <c r="C100" s="9">
        <v>180</v>
      </c>
      <c r="D100" s="9"/>
      <c r="E100" s="9">
        <f t="shared" si="1"/>
        <v>6136</v>
      </c>
    </row>
    <row r="101" spans="1:6">
      <c r="A101" s="517" t="s">
        <v>742</v>
      </c>
      <c r="B101" s="517" t="s">
        <v>17</v>
      </c>
      <c r="C101" s="9"/>
      <c r="D101" s="9">
        <v>120</v>
      </c>
      <c r="E101" s="9">
        <f t="shared" si="1"/>
        <v>6016</v>
      </c>
      <c r="F101" s="520" t="s">
        <v>46</v>
      </c>
    </row>
    <row r="102" spans="1:6">
      <c r="A102" s="531" t="s">
        <v>744</v>
      </c>
      <c r="B102" s="531" t="s">
        <v>719</v>
      </c>
      <c r="C102" s="9">
        <v>155</v>
      </c>
      <c r="D102" s="9"/>
      <c r="E102" s="9">
        <f t="shared" si="1"/>
        <v>6171</v>
      </c>
    </row>
    <row r="103" spans="1:6">
      <c r="A103" s="531" t="s">
        <v>744</v>
      </c>
      <c r="B103" s="531" t="s">
        <v>719</v>
      </c>
      <c r="C103" s="9">
        <v>69</v>
      </c>
      <c r="D103" s="9"/>
      <c r="E103" s="9">
        <f t="shared" si="1"/>
        <v>6240</v>
      </c>
    </row>
    <row r="104" spans="1:6">
      <c r="A104" s="531" t="s">
        <v>744</v>
      </c>
      <c r="B104" s="531" t="s">
        <v>719</v>
      </c>
      <c r="C104" s="9">
        <v>3</v>
      </c>
      <c r="D104" s="9"/>
      <c r="E104" s="9">
        <f t="shared" si="1"/>
        <v>6243</v>
      </c>
    </row>
    <row r="105" spans="1:6">
      <c r="A105" s="528" t="s">
        <v>747</v>
      </c>
      <c r="B105" s="528" t="s">
        <v>671</v>
      </c>
      <c r="C105" s="9">
        <v>120</v>
      </c>
      <c r="D105" s="9"/>
      <c r="E105" s="9">
        <f t="shared" si="1"/>
        <v>6363</v>
      </c>
    </row>
    <row r="106" spans="1:6">
      <c r="A106" s="527" t="s">
        <v>747</v>
      </c>
      <c r="B106" s="528" t="s">
        <v>720</v>
      </c>
      <c r="C106" s="9">
        <v>32</v>
      </c>
      <c r="D106" s="9"/>
      <c r="E106" s="9">
        <f t="shared" si="1"/>
        <v>6395</v>
      </c>
    </row>
    <row r="107" spans="1:6">
      <c r="A107" s="527" t="s">
        <v>747</v>
      </c>
      <c r="B107" s="528" t="s">
        <v>720</v>
      </c>
      <c r="C107" s="9">
        <v>12</v>
      </c>
      <c r="D107" s="9"/>
      <c r="E107" s="9">
        <f t="shared" si="1"/>
        <v>6407</v>
      </c>
      <c r="F107" s="529" t="s">
        <v>46</v>
      </c>
    </row>
    <row r="108" spans="1:6">
      <c r="A108" s="538" t="s">
        <v>757</v>
      </c>
      <c r="B108" s="538" t="s">
        <v>459</v>
      </c>
      <c r="C108" s="9">
        <v>4</v>
      </c>
      <c r="D108" s="9"/>
      <c r="E108" s="9">
        <f t="shared" si="1"/>
        <v>6411</v>
      </c>
    </row>
    <row r="109" spans="1:6">
      <c r="A109" s="542" t="s">
        <v>757</v>
      </c>
      <c r="B109" s="538" t="s">
        <v>722</v>
      </c>
      <c r="C109" s="9"/>
      <c r="D109" s="9">
        <v>100</v>
      </c>
      <c r="E109" s="9">
        <f t="shared" si="1"/>
        <v>6311</v>
      </c>
      <c r="F109" s="541"/>
    </row>
    <row r="110" spans="1:6">
      <c r="A110" s="542" t="s">
        <v>761</v>
      </c>
      <c r="B110" s="542" t="s">
        <v>762</v>
      </c>
      <c r="C110" s="9">
        <v>1</v>
      </c>
      <c r="D110" s="9"/>
      <c r="E110" s="9">
        <f t="shared" si="1"/>
        <v>6312</v>
      </c>
      <c r="F110" s="545"/>
    </row>
    <row r="111" spans="1:6">
      <c r="A111" s="42">
        <v>43135</v>
      </c>
      <c r="B111" s="548" t="s">
        <v>8</v>
      </c>
      <c r="C111" s="9">
        <v>1</v>
      </c>
      <c r="D111" s="9"/>
      <c r="E111" s="9">
        <f t="shared" si="1"/>
        <v>6313</v>
      </c>
    </row>
    <row r="112" spans="1:6">
      <c r="A112" s="172">
        <v>43135</v>
      </c>
      <c r="B112" s="549" t="s">
        <v>773</v>
      </c>
      <c r="C112" s="9"/>
      <c r="D112" s="9">
        <v>12</v>
      </c>
      <c r="E112" s="9">
        <f t="shared" si="1"/>
        <v>6301</v>
      </c>
      <c r="F112" s="551"/>
    </row>
    <row r="113" spans="1:6">
      <c r="A113" s="21">
        <v>43255</v>
      </c>
      <c r="B113" s="554" t="s">
        <v>682</v>
      </c>
      <c r="C113" s="9">
        <v>23</v>
      </c>
      <c r="D113" s="9"/>
      <c r="E113" s="9">
        <f t="shared" si="1"/>
        <v>6324</v>
      </c>
    </row>
    <row r="114" spans="1:6">
      <c r="A114" s="172">
        <v>43255</v>
      </c>
      <c r="B114" s="555" t="s">
        <v>775</v>
      </c>
      <c r="C114" s="26"/>
      <c r="D114" s="9">
        <v>100</v>
      </c>
      <c r="E114" s="9">
        <f t="shared" si="1"/>
        <v>6224</v>
      </c>
      <c r="F114" s="556"/>
    </row>
    <row r="115" spans="1:6">
      <c r="A115" s="46">
        <v>43377</v>
      </c>
      <c r="B115" s="26" t="s">
        <v>783</v>
      </c>
      <c r="C115" s="26">
        <v>100</v>
      </c>
      <c r="D115" s="9"/>
      <c r="E115" s="9">
        <f t="shared" si="1"/>
        <v>6324</v>
      </c>
    </row>
    <row r="116" spans="1:6">
      <c r="A116" s="21">
        <v>43377</v>
      </c>
      <c r="B116" s="528" t="s">
        <v>720</v>
      </c>
      <c r="C116" s="9">
        <v>10</v>
      </c>
      <c r="D116" s="9"/>
      <c r="E116" s="9">
        <f t="shared" si="1"/>
        <v>6334</v>
      </c>
    </row>
    <row r="117" spans="1:6">
      <c r="A117" s="21">
        <v>43408</v>
      </c>
      <c r="B117" s="559" t="s">
        <v>710</v>
      </c>
      <c r="C117" s="9">
        <v>4</v>
      </c>
      <c r="D117" s="9"/>
      <c r="E117" s="9">
        <f t="shared" si="1"/>
        <v>6338</v>
      </c>
      <c r="F117" s="560"/>
    </row>
    <row r="118" spans="1:6">
      <c r="A118" s="172">
        <v>43438</v>
      </c>
      <c r="B118" s="565" t="s">
        <v>15</v>
      </c>
      <c r="C118" s="9">
        <v>68</v>
      </c>
      <c r="D118" s="9"/>
      <c r="E118" s="9">
        <f t="shared" si="1"/>
        <v>6406</v>
      </c>
    </row>
    <row r="119" spans="1:6">
      <c r="A119" s="576" t="s">
        <v>798</v>
      </c>
      <c r="B119" s="576" t="s">
        <v>567</v>
      </c>
      <c r="C119" s="9"/>
      <c r="D119" s="9">
        <v>550</v>
      </c>
      <c r="E119" s="9">
        <f t="shared" si="1"/>
        <v>5856</v>
      </c>
      <c r="F119" s="579"/>
    </row>
    <row r="120" spans="1:6">
      <c r="A120" s="125" t="s">
        <v>811</v>
      </c>
      <c r="B120" s="9" t="s">
        <v>720</v>
      </c>
      <c r="C120" s="9">
        <v>13</v>
      </c>
      <c r="D120" s="9"/>
      <c r="E120" s="9">
        <f t="shared" si="1"/>
        <v>5869</v>
      </c>
      <c r="F120" s="584"/>
    </row>
    <row r="121" spans="1:6">
      <c r="A121" s="593" t="s">
        <v>822</v>
      </c>
      <c r="B121" s="594" t="s">
        <v>17</v>
      </c>
      <c r="C121" s="9"/>
      <c r="D121" s="9">
        <v>150</v>
      </c>
      <c r="E121" s="9">
        <f t="shared" si="1"/>
        <v>5719</v>
      </c>
      <c r="F121" s="597"/>
    </row>
    <row r="122" spans="1:6">
      <c r="A122" s="599" t="s">
        <v>826</v>
      </c>
      <c r="B122" s="600" t="s">
        <v>817</v>
      </c>
      <c r="C122" s="9"/>
      <c r="D122" s="9">
        <v>50</v>
      </c>
      <c r="E122" s="9">
        <f t="shared" si="1"/>
        <v>5669</v>
      </c>
      <c r="F122" s="603"/>
    </row>
    <row r="123" spans="1:6">
      <c r="A123" s="125" t="s">
        <v>832</v>
      </c>
      <c r="B123" s="9" t="s">
        <v>817</v>
      </c>
      <c r="C123" s="9"/>
      <c r="D123" s="9">
        <v>100</v>
      </c>
      <c r="E123" s="9">
        <f t="shared" si="1"/>
        <v>5569</v>
      </c>
      <c r="F123" s="611" t="s">
        <v>46</v>
      </c>
    </row>
    <row r="124" spans="1:6">
      <c r="A124" s="125" t="s">
        <v>837</v>
      </c>
      <c r="B124" s="9" t="s">
        <v>442</v>
      </c>
      <c r="C124" s="9">
        <v>2</v>
      </c>
      <c r="D124" s="9"/>
      <c r="E124" s="9">
        <f t="shared" si="1"/>
        <v>5571</v>
      </c>
      <c r="F124" s="611"/>
    </row>
    <row r="125" spans="1:6">
      <c r="A125" s="21">
        <v>43136</v>
      </c>
      <c r="B125" s="9" t="s">
        <v>774</v>
      </c>
      <c r="C125" s="9">
        <v>20</v>
      </c>
      <c r="D125" s="9"/>
      <c r="E125" s="9">
        <f t="shared" si="1"/>
        <v>5591</v>
      </c>
      <c r="F125" t="s">
        <v>46</v>
      </c>
    </row>
    <row r="126" spans="1:6" ht="15">
      <c r="A126" s="161">
        <v>43409</v>
      </c>
      <c r="B126" s="36" t="s">
        <v>858</v>
      </c>
      <c r="C126" s="9"/>
      <c r="D126" s="24">
        <v>236</v>
      </c>
      <c r="E126" s="9">
        <f t="shared" si="1"/>
        <v>5355</v>
      </c>
    </row>
    <row r="127" spans="1:6">
      <c r="A127" s="21">
        <v>43409</v>
      </c>
      <c r="B127" s="631" t="s">
        <v>817</v>
      </c>
      <c r="C127" s="9"/>
      <c r="D127" s="9">
        <v>100</v>
      </c>
      <c r="E127" s="9">
        <f t="shared" si="1"/>
        <v>5255</v>
      </c>
    </row>
    <row r="128" spans="1:6">
      <c r="A128" s="125" t="s">
        <v>863</v>
      </c>
      <c r="B128" s="9" t="s">
        <v>722</v>
      </c>
      <c r="C128" s="9">
        <v>44</v>
      </c>
      <c r="D128" s="9"/>
      <c r="E128" s="9">
        <f t="shared" si="1"/>
        <v>5299</v>
      </c>
    </row>
    <row r="129" spans="1:6">
      <c r="A129" s="656" t="s">
        <v>733</v>
      </c>
      <c r="B129" s="662" t="s">
        <v>870</v>
      </c>
      <c r="C129" s="9">
        <v>70</v>
      </c>
      <c r="D129" s="9"/>
      <c r="E129" s="9">
        <f t="shared" si="1"/>
        <v>5369</v>
      </c>
      <c r="F129" s="658" t="s">
        <v>46</v>
      </c>
    </row>
    <row r="130" spans="1:6">
      <c r="A130" s="9" t="s">
        <v>874</v>
      </c>
      <c r="B130" s="9" t="s">
        <v>875</v>
      </c>
      <c r="C130" s="9">
        <v>65</v>
      </c>
      <c r="D130" s="9"/>
      <c r="E130" s="9">
        <f t="shared" si="1"/>
        <v>5434</v>
      </c>
      <c r="F130" s="669" t="s">
        <v>46</v>
      </c>
    </row>
    <row r="131" spans="1:6">
      <c r="A131" s="671" t="s">
        <v>884</v>
      </c>
      <c r="B131" s="671" t="s">
        <v>817</v>
      </c>
      <c r="C131" s="9"/>
      <c r="D131" s="9">
        <v>50</v>
      </c>
      <c r="E131" s="9">
        <f t="shared" si="1"/>
        <v>5384</v>
      </c>
      <c r="F131" s="675" t="s">
        <v>46</v>
      </c>
    </row>
    <row r="132" spans="1:6">
      <c r="A132" s="677" t="s">
        <v>884</v>
      </c>
      <c r="B132" s="677" t="s">
        <v>897</v>
      </c>
      <c r="C132" s="9">
        <v>9</v>
      </c>
      <c r="D132" s="9"/>
      <c r="E132" s="9">
        <f t="shared" si="1"/>
        <v>5393</v>
      </c>
      <c r="F132" s="675"/>
    </row>
    <row r="133" spans="1:6">
      <c r="A133" s="676" t="s">
        <v>893</v>
      </c>
      <c r="B133" s="677" t="s">
        <v>895</v>
      </c>
      <c r="C133" s="9">
        <v>76</v>
      </c>
      <c r="D133" s="9"/>
      <c r="E133" s="9">
        <f t="shared" si="1"/>
        <v>5469</v>
      </c>
    </row>
    <row r="134" spans="1:6">
      <c r="A134" s="676" t="s">
        <v>893</v>
      </c>
      <c r="B134" s="677" t="s">
        <v>708</v>
      </c>
      <c r="C134" s="9">
        <v>30</v>
      </c>
      <c r="D134" s="9"/>
      <c r="E134" s="9">
        <f t="shared" si="1"/>
        <v>5499</v>
      </c>
      <c r="F134" s="682" t="s">
        <v>46</v>
      </c>
    </row>
    <row r="135" spans="1:6">
      <c r="A135" s="683" t="s">
        <v>898</v>
      </c>
      <c r="B135" s="684" t="s">
        <v>427</v>
      </c>
      <c r="C135" s="9">
        <v>10</v>
      </c>
      <c r="D135" s="9"/>
      <c r="E135" s="9">
        <f t="shared" si="1"/>
        <v>5509</v>
      </c>
      <c r="F135" s="687" t="s">
        <v>46</v>
      </c>
    </row>
    <row r="136" spans="1:6">
      <c r="A136" s="24" t="s">
        <v>907</v>
      </c>
      <c r="B136" s="24" t="s">
        <v>710</v>
      </c>
      <c r="C136" s="9">
        <v>14</v>
      </c>
      <c r="D136" s="9"/>
      <c r="E136" s="9">
        <f t="shared" si="1"/>
        <v>5523</v>
      </c>
    </row>
    <row r="137" spans="1:6">
      <c r="A137" s="24" t="s">
        <v>907</v>
      </c>
      <c r="B137" s="24" t="s">
        <v>910</v>
      </c>
      <c r="C137" s="9"/>
      <c r="D137" s="9">
        <v>32</v>
      </c>
      <c r="E137" s="9">
        <f t="shared" si="1"/>
        <v>5491</v>
      </c>
    </row>
    <row r="138" spans="1:6">
      <c r="A138" s="691" t="s">
        <v>912</v>
      </c>
      <c r="B138" s="691" t="s">
        <v>24</v>
      </c>
      <c r="C138" s="9">
        <v>6</v>
      </c>
      <c r="D138" s="9"/>
      <c r="E138" s="9">
        <f t="shared" si="1"/>
        <v>5497</v>
      </c>
    </row>
    <row r="139" spans="1:6">
      <c r="A139" s="690" t="s">
        <v>912</v>
      </c>
      <c r="B139" s="9" t="s">
        <v>909</v>
      </c>
      <c r="C139" s="9">
        <v>15</v>
      </c>
      <c r="D139" s="9"/>
      <c r="E139" s="9">
        <f t="shared" ref="E139:E146" si="2">E138+C139-D139</f>
        <v>5512</v>
      </c>
      <c r="F139" s="693" t="s">
        <v>46</v>
      </c>
    </row>
    <row r="140" spans="1:6">
      <c r="A140" s="702" t="s">
        <v>918</v>
      </c>
      <c r="B140" s="703" t="s">
        <v>775</v>
      </c>
      <c r="C140" s="9">
        <v>9</v>
      </c>
      <c r="D140" s="9"/>
      <c r="E140" s="9">
        <f t="shared" si="2"/>
        <v>5521</v>
      </c>
    </row>
    <row r="141" spans="1:6">
      <c r="A141" s="702" t="s">
        <v>918</v>
      </c>
      <c r="B141" s="703" t="s">
        <v>775</v>
      </c>
      <c r="C141" s="9">
        <v>21</v>
      </c>
      <c r="D141" s="9"/>
      <c r="E141" s="9">
        <f t="shared" si="2"/>
        <v>5542</v>
      </c>
      <c r="F141" s="707" t="s">
        <v>46</v>
      </c>
    </row>
    <row r="142" spans="1:6">
      <c r="A142" s="57">
        <v>43137</v>
      </c>
      <c r="B142" s="711" t="s">
        <v>925</v>
      </c>
      <c r="C142" s="9"/>
      <c r="D142" s="6">
        <v>1000</v>
      </c>
      <c r="E142" s="9">
        <f t="shared" si="2"/>
        <v>4542</v>
      </c>
    </row>
    <row r="143" spans="1:6">
      <c r="A143" s="57">
        <v>43137</v>
      </c>
      <c r="B143" s="716" t="s">
        <v>560</v>
      </c>
      <c r="C143" s="9"/>
      <c r="D143" s="6">
        <v>100</v>
      </c>
      <c r="E143" s="9">
        <f t="shared" si="2"/>
        <v>4442</v>
      </c>
    </row>
    <row r="144" spans="1:6">
      <c r="A144" s="42">
        <v>43196</v>
      </c>
      <c r="B144" s="9" t="s">
        <v>774</v>
      </c>
      <c r="C144" s="9">
        <v>7</v>
      </c>
      <c r="D144" s="9"/>
      <c r="E144" s="9">
        <f t="shared" si="2"/>
        <v>4449</v>
      </c>
    </row>
    <row r="145" spans="1:6">
      <c r="A145" s="21">
        <v>43226</v>
      </c>
      <c r="B145" s="715" t="s">
        <v>936</v>
      </c>
      <c r="C145" s="9">
        <v>260</v>
      </c>
      <c r="D145" s="9"/>
      <c r="E145" s="9">
        <f t="shared" si="2"/>
        <v>4709</v>
      </c>
    </row>
    <row r="146" spans="1:6">
      <c r="A146" s="22">
        <v>43226</v>
      </c>
      <c r="B146" s="13" t="s">
        <v>942</v>
      </c>
      <c r="C146" s="9"/>
      <c r="D146" s="6">
        <v>50</v>
      </c>
      <c r="E146" s="9">
        <f t="shared" si="2"/>
        <v>4659</v>
      </c>
      <c r="F146" s="721" t="s">
        <v>46</v>
      </c>
    </row>
    <row r="147" spans="1:6">
      <c r="A147" s="9"/>
      <c r="B147" s="9"/>
      <c r="C147" s="9"/>
      <c r="D147" s="9"/>
      <c r="E147" s="9"/>
    </row>
    <row r="148" spans="1:6">
      <c r="A148" s="9"/>
      <c r="B148" s="9"/>
      <c r="C148" s="9"/>
      <c r="D148" s="9"/>
      <c r="E148" s="9"/>
    </row>
    <row r="149" spans="1:6">
      <c r="A149" s="9"/>
      <c r="B149" s="9"/>
      <c r="C149" s="9"/>
      <c r="D149" s="9"/>
      <c r="E149" s="9"/>
    </row>
    <row r="150" spans="1:6">
      <c r="A150" s="9"/>
      <c r="B150" s="9"/>
      <c r="C150" s="9"/>
      <c r="D150" s="9"/>
      <c r="E150" s="9"/>
    </row>
    <row r="151" spans="1:6">
      <c r="A151" s="9"/>
      <c r="B151" s="9"/>
      <c r="C151" s="9"/>
      <c r="D151" s="9"/>
      <c r="E151" s="9"/>
    </row>
    <row r="152" spans="1:6">
      <c r="A152" s="9"/>
      <c r="B152" s="9"/>
      <c r="C152" s="9"/>
      <c r="D152" s="9"/>
      <c r="E152" s="9"/>
    </row>
    <row r="153" spans="1:6">
      <c r="A153" s="9"/>
      <c r="B153" s="9"/>
      <c r="C153" s="9"/>
      <c r="D153" s="9"/>
      <c r="E153" s="9"/>
    </row>
  </sheetData>
  <pageMargins left="0.69930555555555596" right="0.69930555555555596" top="0" bottom="0" header="0.3" footer="0.3"/>
  <pageSetup paperSize="9" scale="85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7"/>
  <sheetViews>
    <sheetView zoomScale="110" zoomScaleNormal="110" zoomScalePageLayoutView="110" workbookViewId="0">
      <selection activeCell="F21" sqref="F21"/>
    </sheetView>
  </sheetViews>
  <sheetFormatPr baseColWidth="10" defaultColWidth="9" defaultRowHeight="14" x14ac:dyDescent="0"/>
  <cols>
    <col min="1" max="1" width="11.83203125" customWidth="1"/>
    <col min="2" max="2" width="38.6640625" customWidth="1"/>
  </cols>
  <sheetData>
    <row r="2" spans="1:6" ht="15">
      <c r="A2" s="217" t="s">
        <v>26</v>
      </c>
      <c r="B2" s="217"/>
      <c r="C2" s="263"/>
      <c r="D2" s="263"/>
      <c r="E2" s="263"/>
    </row>
    <row r="3" spans="1:6">
      <c r="A3" s="50"/>
      <c r="B3" s="51"/>
      <c r="C3" s="50"/>
      <c r="D3" s="50"/>
      <c r="E3" s="50"/>
    </row>
    <row r="4" spans="1:6">
      <c r="A4" s="52" t="s">
        <v>1</v>
      </c>
      <c r="B4" s="52" t="s">
        <v>429</v>
      </c>
      <c r="C4" s="52" t="s">
        <v>3</v>
      </c>
      <c r="D4" s="52" t="s">
        <v>4</v>
      </c>
      <c r="E4" s="52" t="s">
        <v>5</v>
      </c>
      <c r="F4" s="25" t="s">
        <v>6</v>
      </c>
    </row>
    <row r="5" spans="1:6">
      <c r="A5" s="9"/>
      <c r="B5" s="298" t="s">
        <v>408</v>
      </c>
      <c r="C5" s="9"/>
      <c r="D5" s="9"/>
      <c r="E5" s="26">
        <v>816</v>
      </c>
    </row>
    <row r="6" spans="1:6">
      <c r="A6" s="57">
        <v>43191</v>
      </c>
      <c r="B6" s="307" t="s">
        <v>13</v>
      </c>
      <c r="C6" s="9">
        <v>35</v>
      </c>
      <c r="D6" s="9"/>
      <c r="E6" s="9">
        <f>E5+C6-D6</f>
        <v>851</v>
      </c>
      <c r="F6" s="308"/>
    </row>
    <row r="7" spans="1:6">
      <c r="A7" s="21">
        <v>43133</v>
      </c>
      <c r="B7" s="9" t="s">
        <v>13</v>
      </c>
      <c r="C7" s="9">
        <v>40</v>
      </c>
      <c r="D7" s="9"/>
      <c r="E7" s="9">
        <f>E6+C7-D7</f>
        <v>891</v>
      </c>
    </row>
    <row r="8" spans="1:6">
      <c r="A8" s="444" t="s">
        <v>656</v>
      </c>
      <c r="B8" s="444" t="s">
        <v>601</v>
      </c>
      <c r="C8" s="9">
        <v>153</v>
      </c>
      <c r="D8" s="9"/>
      <c r="E8" s="9">
        <f>E7+C8-D8</f>
        <v>1044</v>
      </c>
      <c r="F8" s="447"/>
    </row>
    <row r="9" spans="1:6">
      <c r="A9" s="474" t="s">
        <v>694</v>
      </c>
      <c r="B9" s="474" t="s">
        <v>700</v>
      </c>
      <c r="C9" s="9">
        <v>5</v>
      </c>
      <c r="D9" s="9"/>
      <c r="E9" s="9">
        <f t="shared" ref="E9:E20" si="0">E8+C9-D9</f>
        <v>1049</v>
      </c>
    </row>
    <row r="10" spans="1:6">
      <c r="A10" s="474" t="s">
        <v>694</v>
      </c>
      <c r="B10" s="474" t="s">
        <v>700</v>
      </c>
      <c r="C10" s="9">
        <v>12</v>
      </c>
      <c r="D10" s="9"/>
      <c r="E10" s="9">
        <f t="shared" si="0"/>
        <v>1061</v>
      </c>
      <c r="F10" s="475"/>
    </row>
    <row r="11" spans="1:6">
      <c r="A11" s="21">
        <v>43346</v>
      </c>
      <c r="B11" s="497" t="s">
        <v>601</v>
      </c>
      <c r="C11" s="9">
        <v>7</v>
      </c>
      <c r="D11" s="9"/>
      <c r="E11" s="9">
        <f t="shared" si="0"/>
        <v>1068</v>
      </c>
      <c r="F11" s="506"/>
    </row>
    <row r="12" spans="1:6">
      <c r="A12" s="509" t="s">
        <v>732</v>
      </c>
      <c r="B12" s="509" t="s">
        <v>700</v>
      </c>
      <c r="C12" s="9">
        <v>14</v>
      </c>
      <c r="D12" s="9"/>
      <c r="E12" s="9">
        <f t="shared" si="0"/>
        <v>1082</v>
      </c>
      <c r="F12" s="510"/>
    </row>
    <row r="13" spans="1:6">
      <c r="A13" s="527" t="s">
        <v>747</v>
      </c>
      <c r="B13" s="528" t="s">
        <v>720</v>
      </c>
      <c r="C13" s="9">
        <v>20</v>
      </c>
      <c r="D13" s="9"/>
      <c r="E13" s="9">
        <f t="shared" si="0"/>
        <v>1102</v>
      </c>
    </row>
    <row r="14" spans="1:6">
      <c r="A14" s="527" t="s">
        <v>747</v>
      </c>
      <c r="B14" s="528" t="s">
        <v>720</v>
      </c>
      <c r="C14" s="9">
        <v>28</v>
      </c>
      <c r="D14" s="9"/>
      <c r="E14" s="9">
        <f t="shared" si="0"/>
        <v>1130</v>
      </c>
      <c r="F14" s="529"/>
    </row>
    <row r="15" spans="1:6">
      <c r="A15" s="21">
        <v>43377</v>
      </c>
      <c r="B15" s="528" t="s">
        <v>720</v>
      </c>
      <c r="C15" s="9">
        <v>11</v>
      </c>
      <c r="D15" s="9"/>
      <c r="E15" s="9">
        <f t="shared" si="0"/>
        <v>1141</v>
      </c>
      <c r="F15" s="560" t="s">
        <v>46</v>
      </c>
    </row>
    <row r="16" spans="1:6">
      <c r="A16" s="125" t="s">
        <v>811</v>
      </c>
      <c r="B16" s="9" t="s">
        <v>720</v>
      </c>
      <c r="C16" s="9">
        <v>17</v>
      </c>
      <c r="D16" s="9"/>
      <c r="E16" s="9">
        <f t="shared" si="0"/>
        <v>1158</v>
      </c>
      <c r="F16" s="584" t="s">
        <v>46</v>
      </c>
    </row>
    <row r="17" spans="1:6">
      <c r="A17" s="21">
        <v>43136</v>
      </c>
      <c r="B17" s="9" t="s">
        <v>774</v>
      </c>
      <c r="C17" s="9">
        <v>17</v>
      </c>
      <c r="D17" s="9"/>
      <c r="E17" s="9">
        <f t="shared" si="0"/>
        <v>1175</v>
      </c>
      <c r="F17" t="s">
        <v>46</v>
      </c>
    </row>
    <row r="18" spans="1:6">
      <c r="A18" s="9" t="s">
        <v>907</v>
      </c>
      <c r="B18" s="9" t="s">
        <v>908</v>
      </c>
      <c r="C18" s="9">
        <v>280</v>
      </c>
      <c r="D18" s="9"/>
      <c r="E18" s="9">
        <f t="shared" si="0"/>
        <v>1455</v>
      </c>
    </row>
    <row r="19" spans="1:6">
      <c r="A19" s="9" t="s">
        <v>907</v>
      </c>
      <c r="B19" s="9" t="s">
        <v>908</v>
      </c>
      <c r="C19" s="9">
        <v>45</v>
      </c>
      <c r="D19" s="9"/>
      <c r="E19" s="9">
        <f t="shared" si="0"/>
        <v>1500</v>
      </c>
      <c r="F19" s="693" t="s">
        <v>46</v>
      </c>
    </row>
    <row r="20" spans="1:6">
      <c r="A20" s="42">
        <v>43196</v>
      </c>
      <c r="B20" s="9" t="s">
        <v>774</v>
      </c>
      <c r="C20" s="9">
        <v>13</v>
      </c>
      <c r="D20" s="9"/>
      <c r="E20" s="9">
        <f t="shared" si="0"/>
        <v>1513</v>
      </c>
      <c r="F20" s="721" t="s">
        <v>46</v>
      </c>
    </row>
    <row r="21" spans="1:6">
      <c r="A21" s="9"/>
      <c r="B21" s="9"/>
      <c r="C21" s="9"/>
      <c r="D21" s="9"/>
      <c r="E21" s="9"/>
    </row>
    <row r="22" spans="1:6">
      <c r="A22" s="9"/>
      <c r="B22" s="9"/>
      <c r="C22" s="9"/>
      <c r="D22" s="9"/>
      <c r="E22" s="9"/>
    </row>
    <row r="23" spans="1:6">
      <c r="A23" s="9"/>
      <c r="B23" s="9"/>
      <c r="C23" s="9"/>
      <c r="D23" s="9"/>
      <c r="E23" s="9"/>
    </row>
    <row r="24" spans="1:6">
      <c r="A24" s="9"/>
      <c r="B24" s="9"/>
      <c r="C24" s="9"/>
      <c r="D24" s="9"/>
      <c r="E24" s="9"/>
    </row>
    <row r="25" spans="1:6">
      <c r="A25" s="9"/>
      <c r="B25" s="9"/>
      <c r="C25" s="9"/>
      <c r="D25" s="9"/>
      <c r="E25" s="9"/>
    </row>
    <row r="26" spans="1:6">
      <c r="A26" s="9"/>
      <c r="B26" s="9"/>
      <c r="C26" s="9"/>
      <c r="D26" s="9"/>
      <c r="E26" s="9"/>
    </row>
    <row r="27" spans="1:6">
      <c r="A27" s="9"/>
      <c r="B27" s="9"/>
      <c r="C27" s="9"/>
      <c r="D27" s="9"/>
      <c r="E27" s="9"/>
    </row>
  </sheetData>
  <pageMargins left="0.69930555555555596" right="0.69930555555555596" top="0.75" bottom="0.75" header="0.3" footer="0.3"/>
  <pageSetup paperSize="9" scale="90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9"/>
  <sheetViews>
    <sheetView zoomScale="110" zoomScaleNormal="110" zoomScalePageLayoutView="110" workbookViewId="0">
      <selection activeCell="B20" sqref="B20"/>
    </sheetView>
  </sheetViews>
  <sheetFormatPr baseColWidth="10" defaultColWidth="9" defaultRowHeight="14" x14ac:dyDescent="0"/>
  <cols>
    <col min="1" max="1" width="12.33203125" customWidth="1"/>
    <col min="2" max="2" width="39.33203125" customWidth="1"/>
  </cols>
  <sheetData>
    <row r="2" spans="1:6" s="273" customFormat="1" ht="15">
      <c r="A2" s="217" t="s">
        <v>27</v>
      </c>
      <c r="B2" s="217"/>
      <c r="C2" s="217"/>
      <c r="D2" s="217"/>
      <c r="E2" s="217"/>
    </row>
    <row r="3" spans="1:6">
      <c r="A3" s="50"/>
      <c r="B3" s="51"/>
      <c r="C3" s="50"/>
      <c r="D3" s="50"/>
      <c r="E3" s="50"/>
    </row>
    <row r="4" spans="1:6">
      <c r="A4" s="52" t="s">
        <v>1</v>
      </c>
      <c r="B4" s="52" t="s">
        <v>429</v>
      </c>
      <c r="C4" s="52" t="s">
        <v>3</v>
      </c>
      <c r="D4" s="52" t="s">
        <v>4</v>
      </c>
      <c r="E4" s="52" t="s">
        <v>5</v>
      </c>
      <c r="F4" s="25" t="s">
        <v>6</v>
      </c>
    </row>
    <row r="5" spans="1:6">
      <c r="A5" s="9"/>
      <c r="B5" s="298" t="s">
        <v>414</v>
      </c>
      <c r="C5" s="9"/>
      <c r="D5" s="9"/>
      <c r="E5" s="9">
        <v>1909</v>
      </c>
    </row>
    <row r="6" spans="1:6">
      <c r="A6" s="21">
        <v>43283</v>
      </c>
      <c r="B6" s="411" t="s">
        <v>615</v>
      </c>
      <c r="C6" s="9">
        <v>12</v>
      </c>
      <c r="D6" s="9"/>
      <c r="E6" s="9">
        <f>E5+C6-D6</f>
        <v>1921</v>
      </c>
    </row>
    <row r="7" spans="1:6">
      <c r="A7" s="57">
        <v>43314</v>
      </c>
      <c r="B7" s="412" t="s">
        <v>617</v>
      </c>
      <c r="C7" s="9">
        <v>42</v>
      </c>
      <c r="D7" s="9"/>
      <c r="E7" s="9">
        <f>E6+C7-D7</f>
        <v>1963</v>
      </c>
    </row>
    <row r="8" spans="1:6">
      <c r="A8" s="473" t="s">
        <v>694</v>
      </c>
      <c r="B8" s="472" t="s">
        <v>699</v>
      </c>
      <c r="C8" s="9">
        <v>18</v>
      </c>
      <c r="D8" s="9"/>
      <c r="E8" s="9">
        <f>E7+C8-D8</f>
        <v>1981</v>
      </c>
      <c r="F8" s="475" t="s">
        <v>46</v>
      </c>
    </row>
    <row r="9" spans="1:6">
      <c r="A9" s="9"/>
      <c r="B9" s="9"/>
      <c r="C9" s="9"/>
      <c r="D9" s="9"/>
      <c r="E9" s="9"/>
    </row>
  </sheetData>
  <pageMargins left="0.69930555555555596" right="0.69930555555555596" top="0" bottom="0" header="0.3" footer="0.3"/>
  <pageSetup paperSize="9" scale="85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5"/>
  <sheetViews>
    <sheetView workbookViewId="0">
      <selection activeCell="A2" sqref="A2:F18"/>
    </sheetView>
  </sheetViews>
  <sheetFormatPr baseColWidth="10" defaultColWidth="9" defaultRowHeight="14" x14ac:dyDescent="0"/>
  <cols>
    <col min="1" max="1" width="13" customWidth="1"/>
    <col min="2" max="2" width="30.5" bestFit="1" customWidth="1"/>
  </cols>
  <sheetData>
    <row r="2" spans="1:6" s="129" customFormat="1" ht="15">
      <c r="A2" s="217" t="s">
        <v>29</v>
      </c>
      <c r="B2" s="217"/>
      <c r="C2" s="217"/>
      <c r="D2" s="217"/>
      <c r="E2" s="217"/>
    </row>
    <row r="3" spans="1:6">
      <c r="A3" s="50"/>
      <c r="B3" s="51"/>
      <c r="C3" s="50"/>
      <c r="D3" s="50"/>
      <c r="E3" s="50"/>
    </row>
    <row r="4" spans="1:6">
      <c r="A4" s="52" t="s">
        <v>1</v>
      </c>
      <c r="B4" s="52" t="s">
        <v>429</v>
      </c>
      <c r="C4" s="52" t="s">
        <v>3</v>
      </c>
      <c r="D4" s="52" t="s">
        <v>4</v>
      </c>
      <c r="E4" s="52" t="s">
        <v>5</v>
      </c>
      <c r="F4" s="25" t="s">
        <v>6</v>
      </c>
    </row>
    <row r="5" spans="1:6">
      <c r="A5" s="9"/>
      <c r="B5" s="298" t="s">
        <v>414</v>
      </c>
      <c r="C5" s="9"/>
      <c r="D5" s="9"/>
      <c r="E5" s="9">
        <v>1041</v>
      </c>
    </row>
    <row r="6" spans="1:6">
      <c r="A6" s="455" t="s">
        <v>665</v>
      </c>
      <c r="B6" s="456" t="s">
        <v>668</v>
      </c>
      <c r="C6" s="9"/>
      <c r="D6" s="9">
        <v>120</v>
      </c>
      <c r="E6" s="9">
        <f>E5+C6-D6</f>
        <v>921</v>
      </c>
      <c r="F6" s="453"/>
    </row>
    <row r="7" spans="1:6">
      <c r="A7" s="21">
        <v>43134</v>
      </c>
      <c r="B7" s="482" t="s">
        <v>672</v>
      </c>
      <c r="C7" s="9"/>
      <c r="D7" s="9">
        <v>114</v>
      </c>
      <c r="E7" s="9">
        <f>E6+C7-D7</f>
        <v>807</v>
      </c>
      <c r="F7" s="484"/>
    </row>
    <row r="8" spans="1:6">
      <c r="A8" s="9" t="s">
        <v>744</v>
      </c>
      <c r="B8" s="482" t="s">
        <v>672</v>
      </c>
      <c r="C8" s="9">
        <v>90</v>
      </c>
      <c r="D8" s="9"/>
      <c r="E8" s="9">
        <f>E7+C8-D8</f>
        <v>897</v>
      </c>
      <c r="F8" s="529" t="s">
        <v>46</v>
      </c>
    </row>
    <row r="9" spans="1:6">
      <c r="A9" s="539" t="s">
        <v>755</v>
      </c>
      <c r="B9" s="538" t="s">
        <v>641</v>
      </c>
      <c r="C9" s="9">
        <v>50</v>
      </c>
      <c r="D9" s="9"/>
      <c r="E9" s="9">
        <f t="shared" ref="E9" si="0">E8+C9-D9</f>
        <v>947</v>
      </c>
    </row>
    <row r="10" spans="1:6">
      <c r="A10" s="539" t="s">
        <v>755</v>
      </c>
      <c r="B10" s="538" t="s">
        <v>641</v>
      </c>
      <c r="C10" s="9">
        <v>51</v>
      </c>
      <c r="D10" s="9"/>
      <c r="E10" s="9">
        <f>E9+C10-D10</f>
        <v>998</v>
      </c>
      <c r="F10" s="541" t="s">
        <v>46</v>
      </c>
    </row>
    <row r="11" spans="1:6">
      <c r="A11" s="9" t="s">
        <v>767</v>
      </c>
      <c r="B11" s="9" t="s">
        <v>672</v>
      </c>
      <c r="C11" s="9">
        <v>16</v>
      </c>
      <c r="D11" s="9"/>
      <c r="E11" s="9">
        <f t="shared" ref="E11:E18" si="1">E10+C11-D11</f>
        <v>1014</v>
      </c>
    </row>
    <row r="12" spans="1:6">
      <c r="A12" s="9" t="s">
        <v>768</v>
      </c>
      <c r="B12" s="9" t="s">
        <v>769</v>
      </c>
      <c r="C12" s="9"/>
      <c r="D12" s="9">
        <v>280</v>
      </c>
      <c r="E12" s="9">
        <f t="shared" si="1"/>
        <v>734</v>
      </c>
      <c r="F12" t="s">
        <v>46</v>
      </c>
    </row>
    <row r="13" spans="1:6">
      <c r="A13" s="21">
        <v>43224</v>
      </c>
      <c r="B13" s="554" t="s">
        <v>770</v>
      </c>
      <c r="C13" s="9"/>
      <c r="D13" s="9">
        <v>130</v>
      </c>
      <c r="E13" s="9">
        <f t="shared" si="1"/>
        <v>604</v>
      </c>
    </row>
    <row r="14" spans="1:6">
      <c r="A14" s="21">
        <v>43255</v>
      </c>
      <c r="B14" s="554" t="s">
        <v>778</v>
      </c>
      <c r="C14" s="9"/>
      <c r="D14" s="9">
        <v>65</v>
      </c>
      <c r="E14" s="9">
        <f t="shared" si="1"/>
        <v>539</v>
      </c>
      <c r="F14" s="556" t="s">
        <v>46</v>
      </c>
    </row>
    <row r="15" spans="1:6">
      <c r="A15" s="576" t="s">
        <v>798</v>
      </c>
      <c r="B15" s="576" t="s">
        <v>806</v>
      </c>
      <c r="C15" s="9"/>
      <c r="D15" s="9">
        <v>60</v>
      </c>
      <c r="E15" s="9">
        <f t="shared" si="1"/>
        <v>479</v>
      </c>
    </row>
    <row r="16" spans="1:6">
      <c r="A16" s="576" t="s">
        <v>808</v>
      </c>
      <c r="B16" s="576" t="s">
        <v>806</v>
      </c>
      <c r="C16" s="9"/>
      <c r="D16" s="9">
        <v>90</v>
      </c>
      <c r="E16" s="9">
        <f t="shared" si="1"/>
        <v>389</v>
      </c>
      <c r="F16" s="579" t="s">
        <v>46</v>
      </c>
    </row>
    <row r="17" spans="1:6">
      <c r="A17" s="581" t="s">
        <v>811</v>
      </c>
      <c r="B17" s="576" t="s">
        <v>806</v>
      </c>
      <c r="C17" s="9"/>
      <c r="D17" s="9">
        <v>70</v>
      </c>
      <c r="E17" s="9">
        <f t="shared" si="1"/>
        <v>319</v>
      </c>
      <c r="F17" s="584" t="s">
        <v>46</v>
      </c>
    </row>
    <row r="18" spans="1:6">
      <c r="A18" s="21">
        <v>43225</v>
      </c>
      <c r="B18" s="9" t="s">
        <v>806</v>
      </c>
      <c r="C18" s="9"/>
      <c r="D18" s="9">
        <v>200</v>
      </c>
      <c r="E18" s="9">
        <f t="shared" si="1"/>
        <v>119</v>
      </c>
      <c r="F18" s="626" t="s">
        <v>46</v>
      </c>
    </row>
    <row r="19" spans="1:6">
      <c r="A19" s="9"/>
      <c r="B19" s="9"/>
      <c r="C19" s="9"/>
      <c r="D19" s="9"/>
      <c r="E19" s="9"/>
    </row>
    <row r="20" spans="1:6">
      <c r="A20" s="9"/>
      <c r="B20" s="9"/>
      <c r="C20" s="9"/>
      <c r="D20" s="9"/>
      <c r="E20" s="9"/>
    </row>
    <row r="21" spans="1:6">
      <c r="A21" s="9"/>
      <c r="B21" s="9"/>
      <c r="C21" s="9"/>
      <c r="D21" s="9"/>
      <c r="E21" s="9"/>
    </row>
    <row r="22" spans="1:6">
      <c r="A22" s="9"/>
      <c r="B22" s="9"/>
      <c r="C22" s="9"/>
      <c r="D22" s="9"/>
      <c r="E22" s="9"/>
    </row>
    <row r="23" spans="1:6">
      <c r="A23" s="9"/>
      <c r="B23" s="9"/>
      <c r="C23" s="9"/>
      <c r="D23" s="9"/>
      <c r="E23" s="9"/>
    </row>
    <row r="24" spans="1:6">
      <c r="A24" s="9"/>
      <c r="B24" s="9"/>
      <c r="C24" s="9"/>
      <c r="D24" s="9"/>
      <c r="E24" s="9"/>
    </row>
    <row r="25" spans="1:6">
      <c r="A25" s="9"/>
      <c r="B25" s="9"/>
      <c r="C25" s="9"/>
      <c r="D25" s="9"/>
      <c r="E25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9"/>
  <sheetViews>
    <sheetView workbookViewId="0">
      <selection activeCell="A2" sqref="A2:F5"/>
    </sheetView>
  </sheetViews>
  <sheetFormatPr baseColWidth="10" defaultColWidth="9" defaultRowHeight="14" x14ac:dyDescent="0"/>
  <cols>
    <col min="1" max="1" width="13" customWidth="1"/>
    <col min="2" max="2" width="23.33203125" customWidth="1"/>
  </cols>
  <sheetData>
    <row r="2" spans="1:6" s="129" customFormat="1" ht="15">
      <c r="A2" s="217" t="s">
        <v>30</v>
      </c>
      <c r="B2" s="217"/>
      <c r="C2" s="217"/>
      <c r="D2" s="217"/>
      <c r="E2" s="217"/>
    </row>
    <row r="3" spans="1:6">
      <c r="A3" s="50"/>
      <c r="B3" s="51"/>
      <c r="C3" s="50"/>
      <c r="D3" s="50"/>
      <c r="E3" s="50"/>
    </row>
    <row r="4" spans="1:6">
      <c r="A4" s="52" t="s">
        <v>1</v>
      </c>
      <c r="B4" s="52" t="s">
        <v>429</v>
      </c>
      <c r="C4" s="52" t="s">
        <v>3</v>
      </c>
      <c r="D4" s="52" t="s">
        <v>4</v>
      </c>
      <c r="E4" s="52" t="s">
        <v>5</v>
      </c>
      <c r="F4" s="25" t="s">
        <v>6</v>
      </c>
    </row>
    <row r="5" spans="1:6">
      <c r="A5" s="9"/>
      <c r="B5" s="298" t="s">
        <v>408</v>
      </c>
      <c r="C5" s="9"/>
      <c r="D5" s="9"/>
      <c r="E5" s="9">
        <v>769</v>
      </c>
    </row>
    <row r="6" spans="1:6">
      <c r="A6" s="9"/>
      <c r="B6" s="9"/>
      <c r="C6" s="9"/>
      <c r="D6" s="9"/>
      <c r="E6" s="9"/>
    </row>
    <row r="7" spans="1:6">
      <c r="A7" s="9"/>
      <c r="B7" s="9"/>
      <c r="C7" s="9"/>
      <c r="D7" s="9"/>
      <c r="E7" s="9"/>
    </row>
    <row r="8" spans="1:6">
      <c r="A8" s="9"/>
      <c r="B8" s="9"/>
      <c r="C8" s="9"/>
      <c r="D8" s="9"/>
      <c r="E8" s="9"/>
    </row>
    <row r="9" spans="1:6">
      <c r="A9" s="9"/>
      <c r="B9" s="9"/>
      <c r="C9" s="9"/>
      <c r="D9" s="9"/>
      <c r="E9" s="9"/>
    </row>
    <row r="10" spans="1:6">
      <c r="A10" s="9"/>
      <c r="B10" s="9"/>
      <c r="C10" s="9"/>
      <c r="D10" s="9"/>
      <c r="E10" s="9"/>
    </row>
    <row r="11" spans="1:6">
      <c r="A11" s="9"/>
      <c r="B11" s="9"/>
      <c r="C11" s="9"/>
      <c r="D11" s="9"/>
      <c r="E11" s="9"/>
    </row>
    <row r="12" spans="1:6">
      <c r="A12" s="9"/>
      <c r="B12" s="9"/>
      <c r="C12" s="9"/>
      <c r="D12" s="9"/>
      <c r="E12" s="9"/>
    </row>
    <row r="13" spans="1:6">
      <c r="A13" s="9"/>
      <c r="B13" s="9"/>
      <c r="C13" s="9"/>
      <c r="D13" s="9"/>
      <c r="E13" s="9"/>
    </row>
    <row r="14" spans="1:6">
      <c r="A14" s="9"/>
      <c r="B14" s="9"/>
      <c r="C14" s="9"/>
      <c r="D14" s="9"/>
      <c r="E14" s="9"/>
    </row>
    <row r="15" spans="1:6">
      <c r="A15" s="9"/>
      <c r="B15" s="9"/>
      <c r="C15" s="9"/>
      <c r="D15" s="9"/>
      <c r="E15" s="9"/>
    </row>
    <row r="16" spans="1:6">
      <c r="A16" s="9"/>
      <c r="B16" s="9"/>
      <c r="C16" s="9"/>
      <c r="D16" s="9"/>
      <c r="E16" s="9"/>
    </row>
    <row r="17" spans="1:5">
      <c r="A17" s="9"/>
      <c r="B17" s="9"/>
      <c r="C17" s="9"/>
      <c r="D17" s="9"/>
      <c r="E17" s="9"/>
    </row>
    <row r="18" spans="1:5">
      <c r="A18" s="9"/>
      <c r="B18" s="9"/>
      <c r="C18" s="9"/>
      <c r="D18" s="9"/>
      <c r="E18" s="9"/>
    </row>
    <row r="19" spans="1:5">
      <c r="A19" s="9"/>
      <c r="B19" s="9"/>
      <c r="C19" s="9"/>
      <c r="D19" s="9"/>
      <c r="E19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78"/>
  <sheetViews>
    <sheetView topLeftCell="A246" zoomScale="110" zoomScaleNormal="110" zoomScalePageLayoutView="110" workbookViewId="0">
      <selection activeCell="F275" sqref="F275"/>
    </sheetView>
  </sheetViews>
  <sheetFormatPr baseColWidth="10" defaultColWidth="9" defaultRowHeight="14" x14ac:dyDescent="0"/>
  <cols>
    <col min="1" max="1" width="13.6640625" customWidth="1"/>
    <col min="2" max="2" width="43" customWidth="1"/>
  </cols>
  <sheetData>
    <row r="2" spans="1:6" s="273" customFormat="1" ht="15">
      <c r="A2" s="217" t="s">
        <v>31</v>
      </c>
      <c r="B2" s="217"/>
      <c r="C2" s="217"/>
      <c r="D2" s="217"/>
      <c r="E2" s="217"/>
    </row>
    <row r="3" spans="1:6">
      <c r="A3" s="50"/>
      <c r="B3" s="51"/>
      <c r="C3" s="50"/>
      <c r="D3" s="50"/>
      <c r="E3" s="50"/>
    </row>
    <row r="4" spans="1:6">
      <c r="A4" s="52" t="s">
        <v>1</v>
      </c>
      <c r="B4" s="52" t="s">
        <v>429</v>
      </c>
      <c r="C4" s="52" t="s">
        <v>3</v>
      </c>
      <c r="D4" s="52" t="s">
        <v>4</v>
      </c>
      <c r="E4" s="52" t="s">
        <v>5</v>
      </c>
      <c r="F4" s="25" t="s">
        <v>6</v>
      </c>
    </row>
    <row r="5" spans="1:6">
      <c r="A5" s="9"/>
      <c r="B5" s="298" t="s">
        <v>408</v>
      </c>
      <c r="C5" s="9"/>
      <c r="D5" s="9"/>
      <c r="E5" s="9">
        <v>12540</v>
      </c>
    </row>
    <row r="6" spans="1:6">
      <c r="A6" s="21">
        <v>43132</v>
      </c>
      <c r="B6" s="298" t="s">
        <v>24</v>
      </c>
      <c r="C6" s="9">
        <v>27</v>
      </c>
      <c r="D6" s="9"/>
      <c r="E6" s="9">
        <f>E5+C6-D6</f>
        <v>12567</v>
      </c>
    </row>
    <row r="7" spans="1:6">
      <c r="A7" s="42">
        <v>43132</v>
      </c>
      <c r="B7" s="298" t="s">
        <v>417</v>
      </c>
      <c r="C7" s="9">
        <v>236</v>
      </c>
      <c r="D7" s="9"/>
      <c r="E7" s="9">
        <f t="shared" ref="E7:E15" si="0">E6+C7-D7</f>
        <v>12803</v>
      </c>
    </row>
    <row r="8" spans="1:6">
      <c r="A8" s="42">
        <v>43160</v>
      </c>
      <c r="B8" s="299" t="s">
        <v>8</v>
      </c>
      <c r="C8" s="9">
        <v>876</v>
      </c>
      <c r="D8" s="9"/>
      <c r="E8" s="9">
        <f t="shared" si="0"/>
        <v>13679</v>
      </c>
    </row>
    <row r="9" spans="1:6">
      <c r="A9" s="42">
        <v>43160</v>
      </c>
      <c r="B9" s="299" t="s">
        <v>421</v>
      </c>
      <c r="C9" s="9">
        <v>33</v>
      </c>
      <c r="D9" s="9"/>
      <c r="E9" s="9">
        <f t="shared" si="0"/>
        <v>13712</v>
      </c>
      <c r="F9" s="304" t="s">
        <v>46</v>
      </c>
    </row>
    <row r="10" spans="1:6">
      <c r="A10" s="172">
        <v>43191</v>
      </c>
      <c r="B10" s="299" t="s">
        <v>15</v>
      </c>
      <c r="C10" s="9">
        <v>14</v>
      </c>
      <c r="D10" s="9"/>
      <c r="E10" s="9">
        <f t="shared" si="0"/>
        <v>13726</v>
      </c>
    </row>
    <row r="11" spans="1:6">
      <c r="A11" s="42">
        <v>43191</v>
      </c>
      <c r="B11" s="306" t="s">
        <v>24</v>
      </c>
      <c r="C11" s="9">
        <v>22</v>
      </c>
      <c r="D11" s="9"/>
      <c r="E11" s="9">
        <f t="shared" si="0"/>
        <v>13748</v>
      </c>
    </row>
    <row r="12" spans="1:6">
      <c r="A12" s="42">
        <v>43191</v>
      </c>
      <c r="B12" s="306" t="s">
        <v>427</v>
      </c>
      <c r="C12" s="9">
        <v>100</v>
      </c>
      <c r="D12" s="9"/>
      <c r="E12" s="9">
        <f t="shared" si="0"/>
        <v>13848</v>
      </c>
      <c r="F12" s="308" t="s">
        <v>46</v>
      </c>
    </row>
    <row r="13" spans="1:6">
      <c r="A13" s="42">
        <v>43221</v>
      </c>
      <c r="B13" s="313" t="s">
        <v>24</v>
      </c>
      <c r="C13" s="9">
        <v>15</v>
      </c>
      <c r="D13" s="9"/>
      <c r="E13" s="9">
        <f t="shared" si="0"/>
        <v>13863</v>
      </c>
    </row>
    <row r="14" spans="1:6">
      <c r="A14" s="42">
        <v>43221</v>
      </c>
      <c r="B14" s="313" t="s">
        <v>433</v>
      </c>
      <c r="C14" s="9">
        <v>14</v>
      </c>
      <c r="D14" s="9"/>
      <c r="E14" s="9">
        <f t="shared" si="0"/>
        <v>13877</v>
      </c>
    </row>
    <row r="15" spans="1:6">
      <c r="A15" s="21">
        <v>43221</v>
      </c>
      <c r="B15" s="313" t="s">
        <v>437</v>
      </c>
      <c r="C15" s="24">
        <v>301</v>
      </c>
      <c r="D15" s="9"/>
      <c r="E15" s="9">
        <f t="shared" si="0"/>
        <v>14178</v>
      </c>
    </row>
    <row r="16" spans="1:6">
      <c r="A16" s="21">
        <v>43221</v>
      </c>
      <c r="B16" s="313" t="s">
        <v>439</v>
      </c>
      <c r="C16" s="9">
        <v>1585</v>
      </c>
      <c r="D16" s="9"/>
      <c r="E16" s="9">
        <f>E15+C16-D16</f>
        <v>15763</v>
      </c>
      <c r="F16" s="315" t="s">
        <v>46</v>
      </c>
    </row>
    <row r="17" spans="1:6">
      <c r="A17" s="42">
        <v>43252</v>
      </c>
      <c r="B17" s="317" t="s">
        <v>445</v>
      </c>
      <c r="C17" s="9">
        <v>104</v>
      </c>
      <c r="D17" s="9"/>
      <c r="E17" s="9">
        <f t="shared" ref="E17:E80" si="1">E16+C17-D17</f>
        <v>15867</v>
      </c>
    </row>
    <row r="18" spans="1:6">
      <c r="A18" s="42">
        <v>43282</v>
      </c>
      <c r="B18" s="317" t="s">
        <v>17</v>
      </c>
      <c r="C18" s="9"/>
      <c r="D18" s="9">
        <v>650</v>
      </c>
      <c r="E18" s="9">
        <f t="shared" si="1"/>
        <v>15217</v>
      </c>
    </row>
    <row r="19" spans="1:6">
      <c r="A19" s="21">
        <v>43313</v>
      </c>
      <c r="B19" s="320" t="s">
        <v>455</v>
      </c>
      <c r="C19" s="9">
        <v>121</v>
      </c>
      <c r="D19" s="9"/>
      <c r="E19" s="9">
        <f t="shared" si="1"/>
        <v>15338</v>
      </c>
    </row>
    <row r="20" spans="1:6">
      <c r="A20" s="21">
        <v>43313</v>
      </c>
      <c r="B20" s="320" t="s">
        <v>17</v>
      </c>
      <c r="C20" s="9"/>
      <c r="D20" s="9">
        <v>800</v>
      </c>
      <c r="E20" s="9">
        <f t="shared" si="1"/>
        <v>14538</v>
      </c>
      <c r="F20" s="324" t="s">
        <v>46</v>
      </c>
    </row>
    <row r="21" spans="1:6">
      <c r="A21" s="21">
        <v>43313</v>
      </c>
      <c r="B21" s="9" t="s">
        <v>462</v>
      </c>
      <c r="C21" s="9">
        <v>94</v>
      </c>
      <c r="D21" s="9"/>
      <c r="E21" s="9">
        <f t="shared" si="1"/>
        <v>14632</v>
      </c>
    </row>
    <row r="22" spans="1:6">
      <c r="A22" s="42">
        <v>43313</v>
      </c>
      <c r="B22" s="326" t="s">
        <v>16</v>
      </c>
      <c r="C22" s="9">
        <v>6</v>
      </c>
      <c r="D22" s="9"/>
      <c r="E22" s="9">
        <f t="shared" si="1"/>
        <v>14638</v>
      </c>
    </row>
    <row r="23" spans="1:6">
      <c r="A23" s="42">
        <v>43344</v>
      </c>
      <c r="B23" s="325" t="s">
        <v>444</v>
      </c>
      <c r="C23" s="9">
        <v>2</v>
      </c>
      <c r="D23" s="9"/>
      <c r="E23" s="9">
        <f t="shared" si="1"/>
        <v>14640</v>
      </c>
    </row>
    <row r="24" spans="1:6">
      <c r="A24" s="21">
        <v>43374</v>
      </c>
      <c r="B24" s="326" t="s">
        <v>459</v>
      </c>
      <c r="C24" s="9">
        <v>980</v>
      </c>
      <c r="D24" s="9"/>
      <c r="E24" s="9">
        <f t="shared" si="1"/>
        <v>15620</v>
      </c>
    </row>
    <row r="25" spans="1:6">
      <c r="A25" s="21">
        <v>43374</v>
      </c>
      <c r="B25" s="326" t="s">
        <v>470</v>
      </c>
      <c r="C25" s="9">
        <v>5</v>
      </c>
      <c r="D25" s="9"/>
      <c r="E25" s="9">
        <f t="shared" si="1"/>
        <v>15625</v>
      </c>
    </row>
    <row r="26" spans="1:6">
      <c r="A26" s="42">
        <v>43374</v>
      </c>
      <c r="B26" s="326" t="s">
        <v>17</v>
      </c>
      <c r="C26" s="9"/>
      <c r="D26" s="9">
        <v>600</v>
      </c>
      <c r="E26" s="9">
        <f t="shared" si="1"/>
        <v>15025</v>
      </c>
      <c r="F26" s="329" t="s">
        <v>46</v>
      </c>
    </row>
    <row r="27" spans="1:6">
      <c r="A27" s="42">
        <v>43405</v>
      </c>
      <c r="B27" s="330" t="s">
        <v>444</v>
      </c>
      <c r="C27" s="9">
        <v>400</v>
      </c>
      <c r="D27" s="9"/>
      <c r="E27" s="9">
        <f t="shared" si="1"/>
        <v>15425</v>
      </c>
    </row>
    <row r="28" spans="1:6" ht="15">
      <c r="A28" s="49">
        <v>43405</v>
      </c>
      <c r="B28" s="35" t="s">
        <v>472</v>
      </c>
      <c r="C28" s="9">
        <v>53</v>
      </c>
      <c r="D28" s="9"/>
      <c r="E28" s="9">
        <f t="shared" si="1"/>
        <v>15478</v>
      </c>
    </row>
    <row r="29" spans="1:6">
      <c r="A29" s="42">
        <v>43405</v>
      </c>
      <c r="B29" s="330" t="s">
        <v>17</v>
      </c>
      <c r="C29" s="9"/>
      <c r="D29" s="9">
        <v>800</v>
      </c>
      <c r="E29" s="9">
        <f t="shared" si="1"/>
        <v>14678</v>
      </c>
    </row>
    <row r="30" spans="1:6">
      <c r="A30" s="21">
        <v>43435</v>
      </c>
      <c r="B30" s="330" t="s">
        <v>445</v>
      </c>
      <c r="C30" s="9">
        <v>65</v>
      </c>
      <c r="D30" s="9"/>
      <c r="E30" s="9">
        <f t="shared" si="1"/>
        <v>14743</v>
      </c>
    </row>
    <row r="31" spans="1:6">
      <c r="A31" s="42">
        <v>43435</v>
      </c>
      <c r="B31" s="330" t="s">
        <v>487</v>
      </c>
      <c r="C31" s="9"/>
      <c r="D31" s="9">
        <v>1000</v>
      </c>
      <c r="E31" s="9">
        <f t="shared" si="1"/>
        <v>13743</v>
      </c>
      <c r="F31" s="333" t="s">
        <v>46</v>
      </c>
    </row>
    <row r="32" spans="1:6">
      <c r="A32" s="24" t="s">
        <v>488</v>
      </c>
      <c r="B32" s="24" t="s">
        <v>434</v>
      </c>
      <c r="C32" s="9">
        <v>300</v>
      </c>
      <c r="D32" s="9"/>
      <c r="E32" s="9">
        <f t="shared" si="1"/>
        <v>14043</v>
      </c>
    </row>
    <row r="33" spans="1:6">
      <c r="A33" s="335" t="s">
        <v>488</v>
      </c>
      <c r="B33" s="334" t="s">
        <v>483</v>
      </c>
      <c r="C33" s="9">
        <v>13</v>
      </c>
      <c r="D33" s="9"/>
      <c r="E33" s="9">
        <f t="shared" si="1"/>
        <v>14056</v>
      </c>
    </row>
    <row r="34" spans="1:6">
      <c r="A34" s="334" t="s">
        <v>488</v>
      </c>
      <c r="B34" s="334" t="s">
        <v>24</v>
      </c>
      <c r="C34" s="9">
        <v>4</v>
      </c>
      <c r="D34" s="9"/>
      <c r="E34" s="9">
        <f t="shared" si="1"/>
        <v>14060</v>
      </c>
    </row>
    <row r="35" spans="1:6">
      <c r="A35" s="336" t="s">
        <v>488</v>
      </c>
      <c r="B35" s="334" t="s">
        <v>17</v>
      </c>
      <c r="C35" s="9"/>
      <c r="D35" s="9">
        <v>800</v>
      </c>
      <c r="E35" s="9">
        <f t="shared" si="1"/>
        <v>13260</v>
      </c>
    </row>
    <row r="36" spans="1:6">
      <c r="A36" s="340" t="s">
        <v>500</v>
      </c>
      <c r="B36" s="341" t="s">
        <v>501</v>
      </c>
      <c r="C36" s="9">
        <v>500</v>
      </c>
      <c r="D36" s="9"/>
      <c r="E36" s="9">
        <f t="shared" si="1"/>
        <v>13760</v>
      </c>
    </row>
    <row r="37" spans="1:6">
      <c r="A37" s="342" t="s">
        <v>500</v>
      </c>
      <c r="B37" s="341" t="s">
        <v>15</v>
      </c>
      <c r="C37" s="9">
        <v>14</v>
      </c>
      <c r="D37" s="9"/>
      <c r="E37" s="9">
        <f t="shared" si="1"/>
        <v>13774</v>
      </c>
    </row>
    <row r="38" spans="1:6">
      <c r="A38" s="341" t="s">
        <v>500</v>
      </c>
      <c r="B38" s="341" t="s">
        <v>505</v>
      </c>
      <c r="C38" s="9">
        <v>2</v>
      </c>
      <c r="D38" s="9"/>
      <c r="E38" s="9">
        <f t="shared" si="1"/>
        <v>13776</v>
      </c>
    </row>
    <row r="39" spans="1:6">
      <c r="A39" s="341" t="s">
        <v>509</v>
      </c>
      <c r="B39" s="341" t="s">
        <v>468</v>
      </c>
      <c r="C39" s="9">
        <v>120</v>
      </c>
      <c r="D39" s="9"/>
      <c r="E39" s="9">
        <f t="shared" si="1"/>
        <v>13896</v>
      </c>
    </row>
    <row r="40" spans="1:6">
      <c r="A40" s="343" t="s">
        <v>509</v>
      </c>
      <c r="B40" s="344" t="s">
        <v>462</v>
      </c>
      <c r="C40" s="9">
        <v>100</v>
      </c>
      <c r="D40" s="9"/>
      <c r="E40" s="9">
        <f t="shared" si="1"/>
        <v>13996</v>
      </c>
      <c r="F40" s="345" t="s">
        <v>46</v>
      </c>
    </row>
    <row r="41" spans="1:6">
      <c r="A41" s="9" t="s">
        <v>516</v>
      </c>
      <c r="B41" s="9" t="s">
        <v>517</v>
      </c>
      <c r="C41" s="9">
        <v>100</v>
      </c>
      <c r="D41" s="9"/>
      <c r="E41" s="9">
        <f t="shared" si="1"/>
        <v>14096</v>
      </c>
    </row>
    <row r="42" spans="1:6">
      <c r="A42" s="347" t="s">
        <v>516</v>
      </c>
      <c r="B42" s="348" t="s">
        <v>452</v>
      </c>
      <c r="C42" s="9">
        <v>111</v>
      </c>
      <c r="D42" s="9"/>
      <c r="E42" s="9">
        <f t="shared" si="1"/>
        <v>14207</v>
      </c>
    </row>
    <row r="43" spans="1:6">
      <c r="A43" s="348" t="s">
        <v>516</v>
      </c>
      <c r="B43" s="348" t="s">
        <v>434</v>
      </c>
      <c r="C43" s="9">
        <v>400</v>
      </c>
      <c r="D43" s="9"/>
      <c r="E43" s="9">
        <f t="shared" si="1"/>
        <v>14607</v>
      </c>
    </row>
    <row r="44" spans="1:6">
      <c r="A44" s="349" t="s">
        <v>516</v>
      </c>
      <c r="B44" s="350" t="s">
        <v>521</v>
      </c>
      <c r="C44" s="9">
        <v>1600</v>
      </c>
      <c r="D44" s="9"/>
      <c r="E44" s="9">
        <f t="shared" si="1"/>
        <v>16207</v>
      </c>
    </row>
    <row r="45" spans="1:6">
      <c r="A45" s="347" t="s">
        <v>516</v>
      </c>
      <c r="B45" s="348" t="s">
        <v>433</v>
      </c>
      <c r="C45" s="9">
        <v>5</v>
      </c>
      <c r="D45" s="9"/>
      <c r="E45" s="9">
        <f t="shared" si="1"/>
        <v>16212</v>
      </c>
    </row>
    <row r="46" spans="1:6">
      <c r="A46" s="348" t="s">
        <v>526</v>
      </c>
      <c r="B46" s="348" t="s">
        <v>462</v>
      </c>
      <c r="C46" s="9">
        <v>66</v>
      </c>
      <c r="D46" s="9"/>
      <c r="E46" s="9">
        <f t="shared" si="1"/>
        <v>16278</v>
      </c>
    </row>
    <row r="47" spans="1:6">
      <c r="A47" s="347" t="s">
        <v>526</v>
      </c>
      <c r="B47" s="348" t="s">
        <v>528</v>
      </c>
      <c r="C47" s="9">
        <v>53</v>
      </c>
      <c r="D47" s="9"/>
      <c r="E47" s="9">
        <f t="shared" si="1"/>
        <v>16331</v>
      </c>
    </row>
    <row r="48" spans="1:6">
      <c r="A48" s="347" t="s">
        <v>531</v>
      </c>
      <c r="B48" s="348" t="s">
        <v>445</v>
      </c>
      <c r="C48" s="9">
        <v>8</v>
      </c>
      <c r="D48" s="9"/>
      <c r="E48" s="9">
        <f t="shared" si="1"/>
        <v>16339</v>
      </c>
      <c r="F48" s="352" t="s">
        <v>46</v>
      </c>
    </row>
    <row r="49" spans="1:6">
      <c r="A49" s="125" t="s">
        <v>541</v>
      </c>
      <c r="B49" s="9" t="s">
        <v>24</v>
      </c>
      <c r="C49" s="9">
        <v>10</v>
      </c>
      <c r="D49" s="9"/>
      <c r="E49" s="9">
        <f t="shared" si="1"/>
        <v>16349</v>
      </c>
      <c r="F49" s="356" t="s">
        <v>46</v>
      </c>
    </row>
    <row r="50" spans="1:6">
      <c r="A50" s="125" t="s">
        <v>546</v>
      </c>
      <c r="B50" s="9" t="s">
        <v>24</v>
      </c>
      <c r="C50" s="24">
        <v>35</v>
      </c>
      <c r="D50" s="9"/>
      <c r="E50" s="9">
        <f t="shared" si="1"/>
        <v>16384</v>
      </c>
    </row>
    <row r="51" spans="1:6">
      <c r="A51" s="359" t="s">
        <v>546</v>
      </c>
      <c r="B51" s="359" t="s">
        <v>444</v>
      </c>
      <c r="C51" s="9">
        <v>400</v>
      </c>
      <c r="D51" s="9"/>
      <c r="E51" s="9">
        <f t="shared" si="1"/>
        <v>16784</v>
      </c>
    </row>
    <row r="52" spans="1:6">
      <c r="A52" s="357" t="s">
        <v>547</v>
      </c>
      <c r="B52" s="357" t="s">
        <v>402</v>
      </c>
      <c r="C52" s="9">
        <v>82</v>
      </c>
      <c r="D52" s="9"/>
      <c r="E52" s="9">
        <f t="shared" si="1"/>
        <v>16866</v>
      </c>
    </row>
    <row r="53" spans="1:6">
      <c r="A53" s="357" t="s">
        <v>546</v>
      </c>
      <c r="B53" s="357" t="s">
        <v>548</v>
      </c>
      <c r="C53" s="9"/>
      <c r="D53" s="9">
        <v>700</v>
      </c>
      <c r="E53" s="9">
        <f t="shared" si="1"/>
        <v>16166</v>
      </c>
    </row>
    <row r="54" spans="1:6">
      <c r="A54" s="358" t="s">
        <v>551</v>
      </c>
      <c r="B54" s="357" t="s">
        <v>24</v>
      </c>
      <c r="C54" s="9">
        <v>5</v>
      </c>
      <c r="D54" s="9"/>
      <c r="E54" s="9">
        <f t="shared" si="1"/>
        <v>16171</v>
      </c>
    </row>
    <row r="55" spans="1:6">
      <c r="A55" s="357" t="s">
        <v>551</v>
      </c>
      <c r="B55" s="357" t="s">
        <v>402</v>
      </c>
      <c r="C55" s="9">
        <v>3</v>
      </c>
      <c r="D55" s="9"/>
      <c r="E55" s="9">
        <f t="shared" si="1"/>
        <v>16174</v>
      </c>
    </row>
    <row r="56" spans="1:6">
      <c r="A56" s="357" t="s">
        <v>551</v>
      </c>
      <c r="B56" s="357" t="s">
        <v>553</v>
      </c>
      <c r="C56" s="9"/>
      <c r="D56" s="9">
        <v>240</v>
      </c>
      <c r="E56" s="9">
        <f t="shared" si="1"/>
        <v>15934</v>
      </c>
      <c r="F56" s="363" t="s">
        <v>46</v>
      </c>
    </row>
    <row r="57" spans="1:6">
      <c r="A57" s="24" t="s">
        <v>557</v>
      </c>
      <c r="B57" s="24" t="s">
        <v>510</v>
      </c>
      <c r="C57" s="9">
        <v>76</v>
      </c>
      <c r="D57" s="9"/>
      <c r="E57" s="9">
        <f t="shared" si="1"/>
        <v>16010</v>
      </c>
    </row>
    <row r="58" spans="1:6">
      <c r="A58" s="365" t="s">
        <v>557</v>
      </c>
      <c r="B58" s="365" t="s">
        <v>433</v>
      </c>
      <c r="C58" s="9">
        <v>260</v>
      </c>
      <c r="D58" s="9"/>
      <c r="E58" s="9">
        <f t="shared" si="1"/>
        <v>16270</v>
      </c>
      <c r="F58" s="367" t="s">
        <v>46</v>
      </c>
    </row>
    <row r="59" spans="1:6">
      <c r="A59" s="368" t="s">
        <v>564</v>
      </c>
      <c r="B59" s="369" t="s">
        <v>24</v>
      </c>
      <c r="C59" s="9">
        <v>10</v>
      </c>
      <c r="D59" s="9"/>
      <c r="E59" s="9">
        <f t="shared" si="1"/>
        <v>16280</v>
      </c>
    </row>
    <row r="60" spans="1:6">
      <c r="A60" s="368" t="s">
        <v>564</v>
      </c>
      <c r="B60" s="369" t="s">
        <v>524</v>
      </c>
      <c r="C60" s="9">
        <v>39</v>
      </c>
      <c r="D60" s="9"/>
      <c r="E60" s="9">
        <f t="shared" si="1"/>
        <v>16319</v>
      </c>
    </row>
    <row r="61" spans="1:6">
      <c r="A61" s="369" t="s">
        <v>564</v>
      </c>
      <c r="B61" s="369" t="s">
        <v>566</v>
      </c>
      <c r="C61" s="9"/>
      <c r="D61" s="9">
        <v>600</v>
      </c>
      <c r="E61" s="9">
        <f t="shared" si="1"/>
        <v>15719</v>
      </c>
    </row>
    <row r="62" spans="1:6">
      <c r="A62" s="369" t="s">
        <v>564</v>
      </c>
      <c r="B62" s="369" t="s">
        <v>459</v>
      </c>
      <c r="C62" s="9"/>
      <c r="D62" s="9">
        <v>100</v>
      </c>
      <c r="E62" s="9">
        <f t="shared" si="1"/>
        <v>15619</v>
      </c>
    </row>
    <row r="63" spans="1:6">
      <c r="A63" s="370" t="s">
        <v>569</v>
      </c>
      <c r="B63" s="371" t="s">
        <v>24</v>
      </c>
      <c r="C63" s="9">
        <v>297</v>
      </c>
      <c r="D63" s="9"/>
      <c r="E63" s="9">
        <f t="shared" si="1"/>
        <v>15916</v>
      </c>
    </row>
    <row r="64" spans="1:6">
      <c r="A64" s="368" t="s">
        <v>569</v>
      </c>
      <c r="B64" s="369" t="s">
        <v>573</v>
      </c>
      <c r="C64" s="9">
        <v>135</v>
      </c>
      <c r="D64" s="9"/>
      <c r="E64" s="9">
        <f t="shared" si="1"/>
        <v>16051</v>
      </c>
    </row>
    <row r="65" spans="1:6">
      <c r="A65" s="370" t="s">
        <v>569</v>
      </c>
      <c r="B65" s="371" t="s">
        <v>8</v>
      </c>
      <c r="C65" s="9">
        <v>359</v>
      </c>
      <c r="D65" s="9"/>
      <c r="E65" s="9">
        <f t="shared" si="1"/>
        <v>16410</v>
      </c>
    </row>
    <row r="66" spans="1:6">
      <c r="A66" s="369" t="s">
        <v>569</v>
      </c>
      <c r="B66" s="369" t="s">
        <v>434</v>
      </c>
      <c r="C66" s="24">
        <v>1000</v>
      </c>
      <c r="D66" s="9"/>
      <c r="E66" s="9">
        <f t="shared" si="1"/>
        <v>17410</v>
      </c>
    </row>
    <row r="67" spans="1:6">
      <c r="A67" s="369" t="s">
        <v>569</v>
      </c>
      <c r="B67" s="369" t="s">
        <v>578</v>
      </c>
      <c r="C67" s="9"/>
      <c r="D67" s="9">
        <v>500</v>
      </c>
      <c r="E67" s="9">
        <f t="shared" si="1"/>
        <v>16910</v>
      </c>
    </row>
    <row r="68" spans="1:6">
      <c r="A68" s="369" t="s">
        <v>569</v>
      </c>
      <c r="B68" s="369" t="s">
        <v>580</v>
      </c>
      <c r="C68" s="9"/>
      <c r="D68" s="9">
        <v>1000</v>
      </c>
      <c r="E68" s="9">
        <f t="shared" si="1"/>
        <v>15910</v>
      </c>
      <c r="F68" s="372" t="s">
        <v>46</v>
      </c>
    </row>
    <row r="69" spans="1:6">
      <c r="A69" s="375" t="s">
        <v>586</v>
      </c>
      <c r="B69" s="375" t="s">
        <v>445</v>
      </c>
      <c r="C69" s="9">
        <v>182</v>
      </c>
      <c r="D69" s="9"/>
      <c r="E69" s="9">
        <f t="shared" si="1"/>
        <v>16092</v>
      </c>
    </row>
    <row r="70" spans="1:6">
      <c r="A70" s="34" t="s">
        <v>586</v>
      </c>
      <c r="B70" s="348" t="s">
        <v>16</v>
      </c>
      <c r="C70" s="9">
        <v>400</v>
      </c>
      <c r="D70" s="9"/>
      <c r="E70" s="9">
        <f t="shared" si="1"/>
        <v>16492</v>
      </c>
    </row>
    <row r="71" spans="1:6">
      <c r="A71" s="375" t="s">
        <v>586</v>
      </c>
      <c r="B71" s="375" t="s">
        <v>593</v>
      </c>
      <c r="C71" s="9"/>
      <c r="D71" s="9">
        <v>2500</v>
      </c>
      <c r="E71" s="9">
        <f t="shared" si="1"/>
        <v>13992</v>
      </c>
      <c r="F71" s="379" t="s">
        <v>46</v>
      </c>
    </row>
    <row r="72" spans="1:6">
      <c r="A72" s="9" t="s">
        <v>594</v>
      </c>
      <c r="B72" s="9" t="s">
        <v>595</v>
      </c>
      <c r="C72" s="9">
        <v>474</v>
      </c>
      <c r="D72" s="9"/>
      <c r="E72" s="9">
        <f t="shared" si="1"/>
        <v>14466</v>
      </c>
    </row>
    <row r="73" spans="1:6">
      <c r="A73" s="380" t="s">
        <v>594</v>
      </c>
      <c r="B73" s="381" t="s">
        <v>524</v>
      </c>
      <c r="C73" s="9">
        <v>6</v>
      </c>
      <c r="D73" s="9"/>
      <c r="E73" s="9">
        <f t="shared" si="1"/>
        <v>14472</v>
      </c>
    </row>
    <row r="74" spans="1:6">
      <c r="A74" s="380" t="s">
        <v>594</v>
      </c>
      <c r="B74" s="381" t="s">
        <v>16</v>
      </c>
      <c r="C74" s="9">
        <v>5</v>
      </c>
      <c r="D74" s="9"/>
      <c r="E74" s="9">
        <f t="shared" si="1"/>
        <v>14477</v>
      </c>
      <c r="F74" s="384" t="s">
        <v>46</v>
      </c>
    </row>
    <row r="75" spans="1:6">
      <c r="A75" s="125" t="s">
        <v>598</v>
      </c>
      <c r="B75" s="9" t="s">
        <v>524</v>
      </c>
      <c r="C75" s="9">
        <v>52</v>
      </c>
      <c r="D75" s="9"/>
      <c r="E75" s="9">
        <f t="shared" si="1"/>
        <v>14529</v>
      </c>
    </row>
    <row r="76" spans="1:6">
      <c r="A76" s="9" t="s">
        <v>598</v>
      </c>
      <c r="B76" s="9" t="s">
        <v>587</v>
      </c>
      <c r="C76" s="9">
        <v>55</v>
      </c>
      <c r="D76" s="9"/>
      <c r="E76" s="9">
        <f t="shared" si="1"/>
        <v>14584</v>
      </c>
      <c r="F76" s="388" t="s">
        <v>46</v>
      </c>
    </row>
    <row r="77" spans="1:6">
      <c r="A77" s="57">
        <v>43102</v>
      </c>
      <c r="B77" s="389" t="s">
        <v>596</v>
      </c>
      <c r="C77" s="9">
        <v>105</v>
      </c>
      <c r="D77" s="9"/>
      <c r="E77" s="9">
        <f t="shared" si="1"/>
        <v>14689</v>
      </c>
      <c r="F77" s="392" t="s">
        <v>46</v>
      </c>
    </row>
    <row r="78" spans="1:6">
      <c r="A78" s="42">
        <v>43133</v>
      </c>
      <c r="B78" s="395" t="s">
        <v>462</v>
      </c>
      <c r="C78" s="9">
        <v>148</v>
      </c>
      <c r="D78" s="9"/>
      <c r="E78" s="9">
        <f t="shared" si="1"/>
        <v>14837</v>
      </c>
      <c r="F78" s="396" t="s">
        <v>46</v>
      </c>
    </row>
    <row r="79" spans="1:6">
      <c r="A79" s="21">
        <v>43222</v>
      </c>
      <c r="B79" s="9" t="s">
        <v>24</v>
      </c>
      <c r="C79" s="9">
        <v>19</v>
      </c>
      <c r="D79" s="9"/>
      <c r="E79" s="9">
        <f t="shared" si="1"/>
        <v>14856</v>
      </c>
    </row>
    <row r="80" spans="1:6">
      <c r="A80" s="42">
        <v>43222</v>
      </c>
      <c r="B80" s="401" t="s">
        <v>587</v>
      </c>
      <c r="C80" s="9">
        <v>308</v>
      </c>
      <c r="D80" s="9"/>
      <c r="E80" s="9">
        <f t="shared" si="1"/>
        <v>15164</v>
      </c>
    </row>
    <row r="81" spans="1:6">
      <c r="A81" s="21">
        <v>43222</v>
      </c>
      <c r="B81" s="401" t="s">
        <v>604</v>
      </c>
      <c r="C81" s="9">
        <v>84</v>
      </c>
      <c r="D81" s="9"/>
      <c r="E81" s="9">
        <f t="shared" ref="E81:E83" si="2">E80+C81-D81</f>
        <v>15248</v>
      </c>
      <c r="F81" s="404" t="s">
        <v>46</v>
      </c>
    </row>
    <row r="82" spans="1:6">
      <c r="A82" s="42">
        <v>43253</v>
      </c>
      <c r="B82" s="9" t="s">
        <v>608</v>
      </c>
      <c r="C82" s="9">
        <v>20</v>
      </c>
      <c r="D82" s="9"/>
      <c r="E82" s="9">
        <f t="shared" si="2"/>
        <v>15268</v>
      </c>
    </row>
    <row r="83" spans="1:6">
      <c r="A83" s="21">
        <v>43253</v>
      </c>
      <c r="B83" s="9" t="s">
        <v>609</v>
      </c>
      <c r="C83" s="9">
        <v>281</v>
      </c>
      <c r="D83" s="9"/>
      <c r="E83" s="9">
        <f t="shared" si="2"/>
        <v>15549</v>
      </c>
    </row>
    <row r="84" spans="1:6">
      <c r="A84" s="21">
        <v>43253</v>
      </c>
      <c r="B84" s="9" t="s">
        <v>610</v>
      </c>
      <c r="C84" s="9">
        <v>22</v>
      </c>
      <c r="D84" s="9"/>
      <c r="E84" s="9">
        <f>E83+C84-D84</f>
        <v>15571</v>
      </c>
      <c r="F84" s="410" t="s">
        <v>46</v>
      </c>
    </row>
    <row r="85" spans="1:6">
      <c r="A85" s="42">
        <v>43283</v>
      </c>
      <c r="B85" s="411" t="s">
        <v>524</v>
      </c>
      <c r="C85" s="24">
        <v>12</v>
      </c>
      <c r="D85" s="9"/>
      <c r="E85" s="9">
        <f t="shared" ref="E85:E111" si="3">E84+C85-D85</f>
        <v>15583</v>
      </c>
    </row>
    <row r="86" spans="1:6">
      <c r="A86" s="42">
        <v>43283</v>
      </c>
      <c r="B86" s="411" t="s">
        <v>613</v>
      </c>
      <c r="C86" s="9">
        <v>117</v>
      </c>
      <c r="D86" s="9"/>
      <c r="E86" s="9">
        <f t="shared" si="3"/>
        <v>15700</v>
      </c>
    </row>
    <row r="87" spans="1:6">
      <c r="A87" s="21">
        <v>43283</v>
      </c>
      <c r="B87" s="411" t="s">
        <v>614</v>
      </c>
      <c r="C87" s="9">
        <v>82</v>
      </c>
      <c r="D87" s="9"/>
      <c r="E87" s="9">
        <f t="shared" si="3"/>
        <v>15782</v>
      </c>
    </row>
    <row r="88" spans="1:6">
      <c r="A88" s="42">
        <v>43283</v>
      </c>
      <c r="B88" s="411" t="s">
        <v>560</v>
      </c>
      <c r="C88" s="9"/>
      <c r="D88" s="9">
        <v>500</v>
      </c>
      <c r="E88" s="9">
        <f t="shared" si="3"/>
        <v>15282</v>
      </c>
    </row>
    <row r="89" spans="1:6">
      <c r="A89" s="42">
        <v>43314</v>
      </c>
      <c r="B89" s="411" t="s">
        <v>510</v>
      </c>
      <c r="C89" s="9">
        <v>123</v>
      </c>
      <c r="D89" s="9"/>
      <c r="E89" s="9">
        <f t="shared" si="3"/>
        <v>15405</v>
      </c>
    </row>
    <row r="90" spans="1:6">
      <c r="A90" s="21">
        <v>43314</v>
      </c>
      <c r="B90" s="411" t="s">
        <v>621</v>
      </c>
      <c r="C90" s="9">
        <v>137</v>
      </c>
      <c r="D90" s="9"/>
      <c r="E90" s="9">
        <f t="shared" si="3"/>
        <v>15542</v>
      </c>
    </row>
    <row r="91" spans="1:6">
      <c r="A91" s="322">
        <v>43324</v>
      </c>
      <c r="B91" s="25" t="s">
        <v>587</v>
      </c>
      <c r="C91" s="9">
        <v>31</v>
      </c>
      <c r="D91" s="9"/>
      <c r="E91" s="9">
        <f t="shared" si="3"/>
        <v>15573</v>
      </c>
      <c r="F91" s="414" t="s">
        <v>46</v>
      </c>
    </row>
    <row r="92" spans="1:6">
      <c r="A92" s="42">
        <v>43345</v>
      </c>
      <c r="B92" s="415" t="s">
        <v>524</v>
      </c>
      <c r="C92" s="9">
        <v>13</v>
      </c>
      <c r="D92" s="9"/>
      <c r="E92" s="9">
        <f t="shared" si="3"/>
        <v>15586</v>
      </c>
    </row>
    <row r="93" spans="1:6">
      <c r="A93" s="42">
        <v>43345</v>
      </c>
      <c r="B93" s="415" t="s">
        <v>625</v>
      </c>
      <c r="C93" s="9"/>
      <c r="D93" s="9">
        <v>100</v>
      </c>
      <c r="E93" s="9">
        <f t="shared" si="3"/>
        <v>15486</v>
      </c>
      <c r="F93" s="418" t="s">
        <v>46</v>
      </c>
    </row>
    <row r="94" spans="1:6">
      <c r="A94" s="21">
        <v>43375</v>
      </c>
      <c r="B94" s="422" t="s">
        <v>610</v>
      </c>
      <c r="C94" s="604">
        <v>25</v>
      </c>
      <c r="D94" s="9"/>
      <c r="E94" s="9">
        <f t="shared" si="3"/>
        <v>15511</v>
      </c>
    </row>
    <row r="95" spans="1:6">
      <c r="A95" s="57">
        <v>43375</v>
      </c>
      <c r="B95" s="423" t="s">
        <v>627</v>
      </c>
      <c r="C95" s="9"/>
      <c r="D95" s="9">
        <v>100</v>
      </c>
      <c r="E95" s="9">
        <f t="shared" si="3"/>
        <v>15411</v>
      </c>
    </row>
    <row r="96" spans="1:6">
      <c r="A96" s="21">
        <v>43436</v>
      </c>
      <c r="B96" s="422" t="s">
        <v>524</v>
      </c>
      <c r="C96" s="9">
        <v>10</v>
      </c>
      <c r="D96" s="9"/>
      <c r="E96" s="9">
        <f t="shared" si="3"/>
        <v>15421</v>
      </c>
      <c r="F96" s="426" t="s">
        <v>46</v>
      </c>
    </row>
    <row r="97" spans="1:6">
      <c r="A97" s="429" t="s">
        <v>630</v>
      </c>
      <c r="B97" s="429" t="s">
        <v>631</v>
      </c>
      <c r="C97" s="9">
        <v>66</v>
      </c>
      <c r="D97" s="9"/>
      <c r="E97" s="9">
        <f t="shared" si="3"/>
        <v>15487</v>
      </c>
    </row>
    <row r="98" spans="1:6">
      <c r="A98" s="429" t="s">
        <v>630</v>
      </c>
      <c r="B98" s="429" t="s">
        <v>587</v>
      </c>
      <c r="C98" s="9">
        <v>20</v>
      </c>
      <c r="D98" s="9"/>
      <c r="E98" s="9">
        <f t="shared" si="3"/>
        <v>15507</v>
      </c>
    </row>
    <row r="99" spans="1:6">
      <c r="A99" s="429" t="s">
        <v>630</v>
      </c>
      <c r="B99" s="429" t="s">
        <v>510</v>
      </c>
      <c r="C99" s="9">
        <v>187</v>
      </c>
      <c r="D99" s="9"/>
      <c r="E99" s="9">
        <f t="shared" si="3"/>
        <v>15694</v>
      </c>
    </row>
    <row r="100" spans="1:6">
      <c r="A100" s="430" t="s">
        <v>636</v>
      </c>
      <c r="B100" s="429" t="s">
        <v>24</v>
      </c>
      <c r="C100" s="9">
        <v>300</v>
      </c>
      <c r="D100" s="9"/>
      <c r="E100" s="9">
        <f t="shared" si="3"/>
        <v>15994</v>
      </c>
    </row>
    <row r="101" spans="1:6">
      <c r="A101" s="429" t="s">
        <v>636</v>
      </c>
      <c r="B101" s="429" t="s">
        <v>637</v>
      </c>
      <c r="C101" s="9">
        <v>77</v>
      </c>
      <c r="D101" s="9"/>
      <c r="E101" s="9">
        <f t="shared" si="3"/>
        <v>16071</v>
      </c>
      <c r="F101" s="433"/>
    </row>
    <row r="102" spans="1:6">
      <c r="A102" s="125" t="s">
        <v>630</v>
      </c>
      <c r="B102" s="9" t="s">
        <v>524</v>
      </c>
      <c r="C102" s="9">
        <v>3</v>
      </c>
      <c r="D102" s="9"/>
      <c r="E102" s="9">
        <f t="shared" si="3"/>
        <v>16074</v>
      </c>
    </row>
    <row r="103" spans="1:6">
      <c r="A103" s="434" t="s">
        <v>638</v>
      </c>
      <c r="B103" s="434" t="s">
        <v>642</v>
      </c>
      <c r="C103" s="9"/>
      <c r="D103" s="9">
        <v>658</v>
      </c>
      <c r="E103" s="9">
        <f t="shared" si="3"/>
        <v>15416</v>
      </c>
    </row>
    <row r="104" spans="1:6">
      <c r="A104" s="436" t="s">
        <v>644</v>
      </c>
      <c r="B104" s="437" t="s">
        <v>646</v>
      </c>
      <c r="C104" s="9"/>
      <c r="D104" s="9">
        <v>80</v>
      </c>
      <c r="E104" s="9">
        <f t="shared" si="3"/>
        <v>15336</v>
      </c>
    </row>
    <row r="105" spans="1:6">
      <c r="A105" s="438" t="s">
        <v>644</v>
      </c>
      <c r="B105" s="438" t="s">
        <v>647</v>
      </c>
      <c r="C105" s="9"/>
      <c r="D105" s="9">
        <v>280</v>
      </c>
      <c r="E105" s="9">
        <f t="shared" si="3"/>
        <v>15056</v>
      </c>
    </row>
    <row r="106" spans="1:6" ht="15">
      <c r="A106" s="33" t="s">
        <v>649</v>
      </c>
      <c r="B106" s="33" t="s">
        <v>17</v>
      </c>
      <c r="C106" s="9"/>
      <c r="D106" s="9">
        <v>2000</v>
      </c>
      <c r="E106" s="9">
        <f t="shared" si="3"/>
        <v>13056</v>
      </c>
      <c r="F106" s="440"/>
    </row>
    <row r="107" spans="1:6">
      <c r="A107" s="445" t="s">
        <v>651</v>
      </c>
      <c r="B107" s="445" t="s">
        <v>587</v>
      </c>
      <c r="C107" s="9">
        <v>126</v>
      </c>
      <c r="D107" s="9"/>
      <c r="E107" s="9">
        <f t="shared" si="3"/>
        <v>13182</v>
      </c>
    </row>
    <row r="108" spans="1:6">
      <c r="A108" s="444" t="s">
        <v>651</v>
      </c>
      <c r="B108" s="444" t="s">
        <v>434</v>
      </c>
      <c r="C108" s="9">
        <v>150</v>
      </c>
      <c r="D108" s="9"/>
      <c r="E108" s="9">
        <f t="shared" si="3"/>
        <v>13332</v>
      </c>
    </row>
    <row r="109" spans="1:6">
      <c r="A109" s="443" t="s">
        <v>651</v>
      </c>
      <c r="B109" s="444" t="s">
        <v>17</v>
      </c>
      <c r="C109" s="9"/>
      <c r="D109" s="9">
        <v>2000</v>
      </c>
      <c r="E109" s="9">
        <f t="shared" si="3"/>
        <v>11332</v>
      </c>
    </row>
    <row r="110" spans="1:6">
      <c r="A110" s="444" t="s">
        <v>651</v>
      </c>
      <c r="B110" s="444" t="s">
        <v>655</v>
      </c>
      <c r="C110" s="9">
        <v>126</v>
      </c>
      <c r="D110" s="9"/>
      <c r="E110" s="9">
        <f t="shared" si="3"/>
        <v>11458</v>
      </c>
      <c r="F110" s="447"/>
    </row>
    <row r="111" spans="1:6">
      <c r="A111" s="448" t="s">
        <v>661</v>
      </c>
      <c r="B111" s="449" t="s">
        <v>662</v>
      </c>
      <c r="C111" s="9">
        <v>10</v>
      </c>
      <c r="D111" s="9"/>
      <c r="E111" s="9">
        <f t="shared" si="3"/>
        <v>11468</v>
      </c>
    </row>
    <row r="112" spans="1:6">
      <c r="A112" s="448" t="s">
        <v>661</v>
      </c>
      <c r="B112" s="449" t="s">
        <v>663</v>
      </c>
      <c r="C112" s="9">
        <v>15</v>
      </c>
      <c r="D112" s="9"/>
      <c r="E112" s="9">
        <f>E111+C112-D112</f>
        <v>11483</v>
      </c>
      <c r="F112" s="451"/>
    </row>
    <row r="113" spans="1:6">
      <c r="A113" s="454" t="s">
        <v>665</v>
      </c>
      <c r="B113" s="452" t="s">
        <v>621</v>
      </c>
      <c r="C113" s="9">
        <v>710</v>
      </c>
      <c r="D113" s="9"/>
      <c r="E113" s="9">
        <f>E112+C113-D113</f>
        <v>12193</v>
      </c>
    </row>
    <row r="114" spans="1:6">
      <c r="A114" s="459" t="s">
        <v>669</v>
      </c>
      <c r="B114" s="457" t="s">
        <v>456</v>
      </c>
      <c r="C114" s="9">
        <v>223</v>
      </c>
      <c r="D114" s="9"/>
      <c r="E114" s="9">
        <f t="shared" ref="E114:E123" si="4">E113+C114-D114</f>
        <v>12416</v>
      </c>
    </row>
    <row r="115" spans="1:6">
      <c r="A115" s="457" t="s">
        <v>669</v>
      </c>
      <c r="B115" s="457" t="s">
        <v>459</v>
      </c>
      <c r="C115" s="9"/>
      <c r="D115" s="9">
        <v>250</v>
      </c>
      <c r="E115" s="9">
        <f t="shared" si="4"/>
        <v>12166</v>
      </c>
    </row>
    <row r="116" spans="1:6">
      <c r="A116" s="459" t="s">
        <v>669</v>
      </c>
      <c r="B116" s="457" t="s">
        <v>548</v>
      </c>
      <c r="C116" s="9"/>
      <c r="D116" s="9">
        <v>200</v>
      </c>
      <c r="E116" s="9">
        <f t="shared" si="4"/>
        <v>11966</v>
      </c>
    </row>
    <row r="117" spans="1:6" ht="15">
      <c r="A117" s="33" t="s">
        <v>669</v>
      </c>
      <c r="B117" s="33" t="s">
        <v>672</v>
      </c>
      <c r="C117" s="9"/>
      <c r="D117" s="9">
        <v>120</v>
      </c>
      <c r="E117" s="9">
        <f t="shared" si="4"/>
        <v>11846</v>
      </c>
      <c r="F117" s="461"/>
    </row>
    <row r="118" spans="1:6">
      <c r="A118" s="463" t="s">
        <v>677</v>
      </c>
      <c r="B118" s="462" t="s">
        <v>680</v>
      </c>
      <c r="C118" s="9">
        <v>96</v>
      </c>
      <c r="D118" s="9"/>
      <c r="E118" s="9">
        <f t="shared" si="4"/>
        <v>11942</v>
      </c>
    </row>
    <row r="119" spans="1:6">
      <c r="A119" s="462" t="s">
        <v>677</v>
      </c>
      <c r="B119" s="462" t="s">
        <v>682</v>
      </c>
      <c r="C119" s="9"/>
      <c r="D119" s="9">
        <v>26</v>
      </c>
      <c r="E119" s="9">
        <f t="shared" si="4"/>
        <v>11916</v>
      </c>
    </row>
    <row r="120" spans="1:6">
      <c r="A120" s="462" t="s">
        <v>677</v>
      </c>
      <c r="B120" s="462" t="s">
        <v>683</v>
      </c>
      <c r="C120" s="9"/>
      <c r="D120" s="9">
        <v>4000</v>
      </c>
      <c r="E120" s="9">
        <f t="shared" si="4"/>
        <v>7916</v>
      </c>
      <c r="F120" s="466"/>
    </row>
    <row r="121" spans="1:6">
      <c r="A121" s="469" t="s">
        <v>687</v>
      </c>
      <c r="B121" s="467" t="s">
        <v>689</v>
      </c>
      <c r="C121" s="9"/>
      <c r="D121" s="9">
        <v>620</v>
      </c>
      <c r="E121" s="9">
        <f t="shared" si="4"/>
        <v>7296</v>
      </c>
      <c r="F121" s="471"/>
    </row>
    <row r="122" spans="1:6">
      <c r="A122" s="473" t="s">
        <v>694</v>
      </c>
      <c r="B122" s="472" t="s">
        <v>24</v>
      </c>
      <c r="C122" s="9">
        <v>205</v>
      </c>
      <c r="D122" s="9"/>
      <c r="E122" s="9">
        <f t="shared" si="4"/>
        <v>7501</v>
      </c>
    </row>
    <row r="123" spans="1:6">
      <c r="A123" s="473" t="s">
        <v>694</v>
      </c>
      <c r="B123" s="472" t="s">
        <v>699</v>
      </c>
      <c r="C123" s="9">
        <v>10</v>
      </c>
      <c r="D123" s="9"/>
      <c r="E123" s="9">
        <f t="shared" si="4"/>
        <v>7511</v>
      </c>
      <c r="F123" s="475"/>
    </row>
    <row r="124" spans="1:6">
      <c r="A124" s="9" t="s">
        <v>703</v>
      </c>
      <c r="B124" s="9" t="s">
        <v>589</v>
      </c>
      <c r="C124" s="9"/>
      <c r="D124" s="9">
        <v>584</v>
      </c>
      <c r="E124" s="9">
        <f>E123+C124-D124</f>
        <v>6927</v>
      </c>
      <c r="F124" s="480"/>
    </row>
    <row r="125" spans="1:6">
      <c r="A125" s="319">
        <v>43103</v>
      </c>
      <c r="B125" s="7" t="s">
        <v>15</v>
      </c>
      <c r="C125" s="9">
        <v>85</v>
      </c>
      <c r="D125" s="9"/>
      <c r="E125" s="9">
        <f t="shared" ref="E125:E158" si="5">E124+C125-D125</f>
        <v>7012</v>
      </c>
    </row>
    <row r="126" spans="1:6">
      <c r="A126" s="21">
        <v>43103</v>
      </c>
      <c r="B126" s="9" t="s">
        <v>459</v>
      </c>
      <c r="C126" s="9"/>
      <c r="D126" s="9">
        <v>200</v>
      </c>
      <c r="E126" s="9">
        <f t="shared" si="5"/>
        <v>6812</v>
      </c>
    </row>
    <row r="127" spans="1:6">
      <c r="A127" s="21">
        <v>43134</v>
      </c>
      <c r="B127" s="482" t="s">
        <v>668</v>
      </c>
      <c r="C127" s="9"/>
      <c r="D127" s="9">
        <v>300</v>
      </c>
      <c r="E127" s="9">
        <f t="shared" si="5"/>
        <v>6512</v>
      </c>
      <c r="F127" s="484"/>
    </row>
    <row r="128" spans="1:6">
      <c r="A128" s="489">
        <v>43162</v>
      </c>
      <c r="B128" s="487" t="s">
        <v>469</v>
      </c>
      <c r="C128" s="9"/>
      <c r="D128" s="9">
        <v>40</v>
      </c>
      <c r="E128" s="9">
        <f t="shared" si="5"/>
        <v>6472</v>
      </c>
    </row>
    <row r="129" spans="1:6">
      <c r="A129" s="489">
        <v>43162</v>
      </c>
      <c r="B129" s="487" t="s">
        <v>706</v>
      </c>
      <c r="C129" s="9"/>
      <c r="D129" s="9">
        <v>80</v>
      </c>
      <c r="E129" s="9">
        <f t="shared" si="5"/>
        <v>6392</v>
      </c>
      <c r="F129" s="491"/>
    </row>
    <row r="130" spans="1:6">
      <c r="A130" s="57">
        <v>43223</v>
      </c>
      <c r="B130" s="493" t="s">
        <v>510</v>
      </c>
      <c r="C130" s="9">
        <v>132</v>
      </c>
      <c r="D130" s="9"/>
      <c r="E130" s="9">
        <f t="shared" si="5"/>
        <v>6524</v>
      </c>
    </row>
    <row r="131" spans="1:6">
      <c r="A131" s="21">
        <v>43223</v>
      </c>
      <c r="B131" s="492" t="s">
        <v>710</v>
      </c>
      <c r="C131" s="9">
        <v>3</v>
      </c>
      <c r="D131" s="9"/>
      <c r="E131" s="9">
        <f t="shared" si="5"/>
        <v>6527</v>
      </c>
    </row>
    <row r="132" spans="1:6">
      <c r="A132" s="21">
        <v>43254</v>
      </c>
      <c r="B132" s="492" t="s">
        <v>708</v>
      </c>
      <c r="C132" s="9">
        <v>711</v>
      </c>
      <c r="D132" s="9"/>
      <c r="E132" s="9">
        <f t="shared" si="5"/>
        <v>7238</v>
      </c>
    </row>
    <row r="133" spans="1:6">
      <c r="A133" s="483">
        <v>43254</v>
      </c>
      <c r="B133" s="492" t="s">
        <v>715</v>
      </c>
      <c r="C133" s="9">
        <v>14</v>
      </c>
      <c r="D133" s="9"/>
      <c r="E133" s="9">
        <f t="shared" si="5"/>
        <v>7252</v>
      </c>
      <c r="F133" s="495"/>
    </row>
    <row r="134" spans="1:6">
      <c r="A134" s="42">
        <v>43284</v>
      </c>
      <c r="B134" s="9" t="s">
        <v>552</v>
      </c>
      <c r="C134" s="9">
        <v>36</v>
      </c>
      <c r="D134" s="9"/>
      <c r="E134" s="9">
        <f t="shared" si="5"/>
        <v>7288</v>
      </c>
    </row>
    <row r="135" spans="1:6">
      <c r="A135" s="42">
        <v>43284</v>
      </c>
      <c r="B135" s="9" t="s">
        <v>708</v>
      </c>
      <c r="C135" s="9">
        <v>360</v>
      </c>
      <c r="D135" s="9"/>
      <c r="E135" s="9">
        <f t="shared" si="5"/>
        <v>7648</v>
      </c>
    </row>
    <row r="136" spans="1:6">
      <c r="A136" s="42">
        <v>43315</v>
      </c>
      <c r="B136" s="497" t="s">
        <v>462</v>
      </c>
      <c r="C136" s="9">
        <v>90</v>
      </c>
      <c r="D136" s="9"/>
      <c r="E136" s="9">
        <f t="shared" si="5"/>
        <v>7738</v>
      </c>
    </row>
    <row r="137" spans="1:6">
      <c r="A137" s="42">
        <v>43376</v>
      </c>
      <c r="B137" s="498" t="s">
        <v>708</v>
      </c>
      <c r="C137" s="9">
        <v>232</v>
      </c>
      <c r="D137" s="9"/>
      <c r="E137" s="9">
        <f t="shared" si="5"/>
        <v>7970</v>
      </c>
      <c r="F137" s="501"/>
    </row>
    <row r="138" spans="1:6">
      <c r="A138" s="42">
        <v>43437</v>
      </c>
      <c r="B138" s="502" t="s">
        <v>8</v>
      </c>
      <c r="C138" s="9">
        <v>134</v>
      </c>
      <c r="D138" s="9"/>
      <c r="E138" s="9">
        <f t="shared" si="5"/>
        <v>8104</v>
      </c>
    </row>
    <row r="139" spans="1:6">
      <c r="A139" s="57">
        <v>43437</v>
      </c>
      <c r="B139" s="503" t="s">
        <v>727</v>
      </c>
      <c r="C139" s="9"/>
      <c r="D139" s="9">
        <v>300</v>
      </c>
      <c r="E139" s="9">
        <f t="shared" si="5"/>
        <v>7804</v>
      </c>
    </row>
    <row r="140" spans="1:6">
      <c r="A140" s="502" t="s">
        <v>728</v>
      </c>
      <c r="B140" s="502" t="s">
        <v>524</v>
      </c>
      <c r="C140" s="9">
        <v>6</v>
      </c>
      <c r="D140" s="9"/>
      <c r="E140" s="9">
        <f t="shared" si="5"/>
        <v>7810</v>
      </c>
    </row>
    <row r="141" spans="1:6">
      <c r="A141" s="502" t="s">
        <v>728</v>
      </c>
      <c r="B141" s="502" t="s">
        <v>15</v>
      </c>
      <c r="C141" s="9">
        <v>202</v>
      </c>
      <c r="D141" s="9"/>
      <c r="E141" s="9">
        <f t="shared" si="5"/>
        <v>8012</v>
      </c>
    </row>
    <row r="142" spans="1:6">
      <c r="A142" s="504" t="s">
        <v>728</v>
      </c>
      <c r="B142" s="502" t="s">
        <v>17</v>
      </c>
      <c r="C142" s="9"/>
      <c r="D142" s="9">
        <v>100</v>
      </c>
      <c r="E142" s="9">
        <f t="shared" si="5"/>
        <v>7912</v>
      </c>
    </row>
    <row r="143" spans="1:6">
      <c r="A143" s="504" t="s">
        <v>728</v>
      </c>
      <c r="B143" s="502" t="s">
        <v>17</v>
      </c>
      <c r="C143" s="9"/>
      <c r="D143" s="9">
        <v>100</v>
      </c>
      <c r="E143" s="9">
        <f t="shared" si="5"/>
        <v>7812</v>
      </c>
    </row>
    <row r="144" spans="1:6">
      <c r="A144" s="502" t="s">
        <v>728</v>
      </c>
      <c r="B144" s="502" t="s">
        <v>548</v>
      </c>
      <c r="C144" s="9"/>
      <c r="D144" s="9">
        <v>1000</v>
      </c>
      <c r="E144" s="9">
        <f t="shared" si="5"/>
        <v>6812</v>
      </c>
      <c r="F144" s="506"/>
    </row>
    <row r="145" spans="1:6">
      <c r="A145" s="125" t="s">
        <v>731</v>
      </c>
      <c r="B145" s="9" t="s">
        <v>524</v>
      </c>
      <c r="C145" s="9">
        <v>5</v>
      </c>
      <c r="D145" s="9"/>
      <c r="E145" s="9">
        <f t="shared" si="5"/>
        <v>6817</v>
      </c>
    </row>
    <row r="146" spans="1:6">
      <c r="A146" s="9" t="s">
        <v>731</v>
      </c>
      <c r="B146" s="9" t="s">
        <v>510</v>
      </c>
      <c r="C146" s="9">
        <v>80</v>
      </c>
      <c r="D146" s="9"/>
      <c r="E146" s="9">
        <f t="shared" si="5"/>
        <v>6897</v>
      </c>
    </row>
    <row r="147" spans="1:6">
      <c r="A147" s="507" t="s">
        <v>731</v>
      </c>
      <c r="B147" s="508" t="s">
        <v>459</v>
      </c>
      <c r="C147" s="9"/>
      <c r="D147" s="9">
        <v>140</v>
      </c>
      <c r="E147" s="9">
        <f t="shared" si="5"/>
        <v>6757</v>
      </c>
    </row>
    <row r="148" spans="1:6">
      <c r="A148" s="125" t="s">
        <v>731</v>
      </c>
      <c r="B148" s="9" t="s">
        <v>17</v>
      </c>
      <c r="C148" s="9"/>
      <c r="D148" s="9">
        <v>300</v>
      </c>
      <c r="E148" s="9">
        <f t="shared" si="5"/>
        <v>6457</v>
      </c>
    </row>
    <row r="149" spans="1:6">
      <c r="A149" s="507" t="s">
        <v>732</v>
      </c>
      <c r="B149" s="508" t="s">
        <v>734</v>
      </c>
      <c r="C149" s="9"/>
      <c r="D149" s="9">
        <v>400</v>
      </c>
      <c r="E149" s="9">
        <f t="shared" si="5"/>
        <v>6057</v>
      </c>
    </row>
    <row r="150" spans="1:6">
      <c r="A150" s="507" t="s">
        <v>732</v>
      </c>
      <c r="B150" s="508" t="s">
        <v>679</v>
      </c>
      <c r="C150" s="9"/>
      <c r="D150" s="9">
        <v>500</v>
      </c>
      <c r="E150" s="9">
        <f t="shared" si="5"/>
        <v>5557</v>
      </c>
      <c r="F150" s="510"/>
    </row>
    <row r="151" spans="1:6">
      <c r="A151" s="512" t="s">
        <v>735</v>
      </c>
      <c r="B151" s="513" t="s">
        <v>24</v>
      </c>
      <c r="C151" s="9">
        <v>15</v>
      </c>
      <c r="D151" s="9"/>
      <c r="E151" s="9">
        <f t="shared" si="5"/>
        <v>5572</v>
      </c>
    </row>
    <row r="152" spans="1:6">
      <c r="A152" s="125" t="s">
        <v>735</v>
      </c>
      <c r="B152" s="9" t="s">
        <v>524</v>
      </c>
      <c r="C152" s="9">
        <v>30</v>
      </c>
      <c r="D152" s="9"/>
      <c r="E152" s="9">
        <f t="shared" si="5"/>
        <v>5602</v>
      </c>
    </row>
    <row r="153" spans="1:6">
      <c r="A153" s="125" t="s">
        <v>735</v>
      </c>
      <c r="B153" s="9" t="s">
        <v>708</v>
      </c>
      <c r="C153" s="9">
        <v>10</v>
      </c>
      <c r="D153" s="9"/>
      <c r="E153" s="9">
        <f t="shared" si="5"/>
        <v>5612</v>
      </c>
    </row>
    <row r="154" spans="1:6">
      <c r="A154" s="513" t="s">
        <v>738</v>
      </c>
      <c r="B154" s="513" t="s">
        <v>740</v>
      </c>
      <c r="C154" s="9">
        <v>245</v>
      </c>
      <c r="D154" s="9"/>
      <c r="E154" s="9">
        <f t="shared" si="5"/>
        <v>5857</v>
      </c>
      <c r="F154" s="516"/>
    </row>
    <row r="155" spans="1:6">
      <c r="A155" s="517" t="s">
        <v>742</v>
      </c>
      <c r="B155" s="517" t="s">
        <v>17</v>
      </c>
      <c r="C155" s="9"/>
      <c r="D155" s="9">
        <v>1000</v>
      </c>
      <c r="E155" s="9">
        <f t="shared" si="5"/>
        <v>4857</v>
      </c>
    </row>
    <row r="156" spans="1:6">
      <c r="A156" s="518" t="s">
        <v>742</v>
      </c>
      <c r="B156" s="517" t="s">
        <v>679</v>
      </c>
      <c r="C156" s="9"/>
      <c r="D156" s="9">
        <v>600</v>
      </c>
      <c r="E156" s="9">
        <f t="shared" si="5"/>
        <v>4257</v>
      </c>
      <c r="F156" s="520" t="s">
        <v>46</v>
      </c>
    </row>
    <row r="157" spans="1:6">
      <c r="A157" s="522" t="s">
        <v>743</v>
      </c>
      <c r="B157" s="517" t="s">
        <v>679</v>
      </c>
      <c r="C157" s="9">
        <v>500</v>
      </c>
      <c r="D157" s="9"/>
      <c r="E157" s="9">
        <f t="shared" si="5"/>
        <v>4757</v>
      </c>
    </row>
    <row r="158" spans="1:6">
      <c r="A158" s="521" t="s">
        <v>743</v>
      </c>
      <c r="B158" s="521" t="s">
        <v>8</v>
      </c>
      <c r="C158" s="9">
        <v>185</v>
      </c>
      <c r="D158" s="9"/>
      <c r="E158" s="9">
        <f t="shared" si="5"/>
        <v>4942</v>
      </c>
    </row>
    <row r="159" spans="1:6">
      <c r="A159" s="521" t="s">
        <v>743</v>
      </c>
      <c r="B159" s="521" t="s">
        <v>589</v>
      </c>
      <c r="C159" s="9"/>
      <c r="D159" s="9">
        <v>500</v>
      </c>
      <c r="E159" s="9">
        <f>E158+C159-D159</f>
        <v>4442</v>
      </c>
      <c r="F159" s="526" t="s">
        <v>46</v>
      </c>
    </row>
    <row r="160" spans="1:6">
      <c r="A160" s="9" t="s">
        <v>744</v>
      </c>
      <c r="B160" s="9" t="s">
        <v>24</v>
      </c>
      <c r="C160" s="9">
        <v>26</v>
      </c>
      <c r="D160" s="9"/>
      <c r="E160" s="9">
        <f t="shared" ref="E160:E212" si="6">E159+C160-D160</f>
        <v>4468</v>
      </c>
    </row>
    <row r="161" spans="1:6">
      <c r="A161" s="528" t="s">
        <v>744</v>
      </c>
      <c r="B161" s="528" t="s">
        <v>668</v>
      </c>
      <c r="C161" s="9">
        <v>183</v>
      </c>
      <c r="D161" s="9"/>
      <c r="E161" s="9">
        <f t="shared" si="6"/>
        <v>4651</v>
      </c>
    </row>
    <row r="162" spans="1:6">
      <c r="A162" s="527" t="s">
        <v>744</v>
      </c>
      <c r="B162" s="528" t="s">
        <v>746</v>
      </c>
      <c r="C162" s="9"/>
      <c r="D162" s="9">
        <v>160</v>
      </c>
      <c r="E162" s="9">
        <f t="shared" si="6"/>
        <v>4491</v>
      </c>
      <c r="F162" s="529" t="s">
        <v>46</v>
      </c>
    </row>
    <row r="163" spans="1:6">
      <c r="A163" s="531" t="s">
        <v>744</v>
      </c>
      <c r="B163" s="531" t="s">
        <v>719</v>
      </c>
      <c r="C163" s="9">
        <v>168</v>
      </c>
      <c r="D163" s="9"/>
      <c r="E163" s="9">
        <f t="shared" si="6"/>
        <v>4659</v>
      </c>
    </row>
    <row r="164" spans="1:6">
      <c r="A164" s="527" t="s">
        <v>747</v>
      </c>
      <c r="B164" s="528" t="s">
        <v>604</v>
      </c>
      <c r="C164" s="9">
        <v>197</v>
      </c>
      <c r="D164" s="9"/>
      <c r="E164" s="9">
        <f t="shared" si="6"/>
        <v>4856</v>
      </c>
      <c r="F164" s="529" t="s">
        <v>46</v>
      </c>
    </row>
    <row r="165" spans="1:6">
      <c r="A165" s="534" t="s">
        <v>750</v>
      </c>
      <c r="B165" s="533" t="s">
        <v>751</v>
      </c>
      <c r="C165" s="9">
        <v>50</v>
      </c>
      <c r="D165" s="9"/>
      <c r="E165" s="9">
        <f t="shared" si="6"/>
        <v>4906</v>
      </c>
    </row>
    <row r="166" spans="1:6">
      <c r="A166" s="9" t="s">
        <v>747</v>
      </c>
      <c r="B166" s="9" t="s">
        <v>10</v>
      </c>
      <c r="C166" s="9">
        <v>1982</v>
      </c>
      <c r="D166" s="9"/>
      <c r="E166" s="9">
        <f t="shared" si="6"/>
        <v>6888</v>
      </c>
    </row>
    <row r="167" spans="1:6">
      <c r="A167" s="9" t="s">
        <v>750</v>
      </c>
      <c r="B167" s="9" t="s">
        <v>679</v>
      </c>
      <c r="C167" s="9">
        <v>598</v>
      </c>
      <c r="D167" s="9"/>
      <c r="E167" s="9">
        <f t="shared" si="6"/>
        <v>7486</v>
      </c>
    </row>
    <row r="168" spans="1:6">
      <c r="A168" s="533" t="s">
        <v>750</v>
      </c>
      <c r="B168" s="533" t="s">
        <v>752</v>
      </c>
      <c r="C168" s="9"/>
      <c r="D168" s="9">
        <v>1982</v>
      </c>
      <c r="E168" s="9">
        <f t="shared" si="6"/>
        <v>5504</v>
      </c>
    </row>
    <row r="169" spans="1:6">
      <c r="A169" s="533" t="s">
        <v>753</v>
      </c>
      <c r="B169" s="533" t="s">
        <v>754</v>
      </c>
      <c r="C169" s="9"/>
      <c r="D169" s="9">
        <v>500</v>
      </c>
      <c r="E169" s="9">
        <f t="shared" si="6"/>
        <v>5004</v>
      </c>
      <c r="F169" s="536" t="s">
        <v>46</v>
      </c>
    </row>
    <row r="170" spans="1:6">
      <c r="A170" s="538" t="s">
        <v>755</v>
      </c>
      <c r="B170" s="538" t="s">
        <v>24</v>
      </c>
      <c r="C170" s="9">
        <v>10</v>
      </c>
      <c r="D170" s="9"/>
      <c r="E170" s="9">
        <f t="shared" si="6"/>
        <v>5014</v>
      </c>
    </row>
    <row r="171" spans="1:6">
      <c r="A171" s="538" t="s">
        <v>755</v>
      </c>
      <c r="B171" s="538" t="s">
        <v>24</v>
      </c>
      <c r="C171" s="9">
        <v>180</v>
      </c>
      <c r="D171" s="9"/>
      <c r="E171" s="9">
        <f t="shared" si="6"/>
        <v>5194</v>
      </c>
    </row>
    <row r="172" spans="1:6" ht="15">
      <c r="A172" s="95" t="s">
        <v>755</v>
      </c>
      <c r="B172" s="95" t="s">
        <v>522</v>
      </c>
      <c r="C172" s="9">
        <v>280</v>
      </c>
      <c r="D172" s="9"/>
      <c r="E172" s="9">
        <f t="shared" si="6"/>
        <v>5474</v>
      </c>
    </row>
    <row r="173" spans="1:6">
      <c r="A173" s="539" t="s">
        <v>755</v>
      </c>
      <c r="B173" s="538" t="s">
        <v>641</v>
      </c>
      <c r="C173" s="9">
        <v>4</v>
      </c>
      <c r="D173" s="9"/>
      <c r="E173" s="9">
        <f t="shared" si="6"/>
        <v>5478</v>
      </c>
    </row>
    <row r="174" spans="1:6">
      <c r="A174" s="539" t="s">
        <v>755</v>
      </c>
      <c r="B174" s="538" t="s">
        <v>641</v>
      </c>
      <c r="C174" s="9">
        <v>665</v>
      </c>
      <c r="D174" s="9"/>
      <c r="E174" s="9">
        <f t="shared" si="6"/>
        <v>6143</v>
      </c>
    </row>
    <row r="175" spans="1:6">
      <c r="A175" s="538" t="s">
        <v>757</v>
      </c>
      <c r="B175" s="538" t="s">
        <v>459</v>
      </c>
      <c r="C175" s="9">
        <v>750</v>
      </c>
      <c r="D175" s="9"/>
      <c r="E175" s="9">
        <f t="shared" si="6"/>
        <v>6893</v>
      </c>
      <c r="F175" s="541" t="s">
        <v>46</v>
      </c>
    </row>
    <row r="176" spans="1:6">
      <c r="A176" s="542" t="s">
        <v>761</v>
      </c>
      <c r="B176" s="542" t="s">
        <v>762</v>
      </c>
      <c r="C176" s="9">
        <v>1</v>
      </c>
      <c r="D176" s="9"/>
      <c r="E176" s="9">
        <f t="shared" si="6"/>
        <v>6894</v>
      </c>
    </row>
    <row r="177" spans="1:6">
      <c r="A177" s="543" t="s">
        <v>761</v>
      </c>
      <c r="B177" s="542" t="s">
        <v>462</v>
      </c>
      <c r="C177" s="9">
        <v>12</v>
      </c>
      <c r="D177" s="9"/>
      <c r="E177" s="9">
        <f t="shared" si="6"/>
        <v>6906</v>
      </c>
    </row>
    <row r="178" spans="1:6">
      <c r="A178" s="544" t="s">
        <v>761</v>
      </c>
      <c r="B178" s="544" t="s">
        <v>459</v>
      </c>
      <c r="C178" s="9">
        <v>28</v>
      </c>
      <c r="D178" s="9"/>
      <c r="E178" s="9">
        <f t="shared" si="6"/>
        <v>6934</v>
      </c>
    </row>
    <row r="179" spans="1:6">
      <c r="A179" s="542" t="s">
        <v>761</v>
      </c>
      <c r="B179" s="542" t="s">
        <v>524</v>
      </c>
      <c r="C179" s="9">
        <v>45</v>
      </c>
      <c r="D179" s="9"/>
      <c r="E179" s="9">
        <f t="shared" si="6"/>
        <v>6979</v>
      </c>
    </row>
    <row r="180" spans="1:6">
      <c r="A180" s="543" t="s">
        <v>764</v>
      </c>
      <c r="B180" s="542" t="s">
        <v>691</v>
      </c>
      <c r="C180" s="9">
        <v>4</v>
      </c>
      <c r="D180" s="9"/>
      <c r="E180" s="9">
        <f t="shared" si="6"/>
        <v>6983</v>
      </c>
    </row>
    <row r="181" spans="1:6">
      <c r="A181" s="543" t="s">
        <v>764</v>
      </c>
      <c r="B181" s="542" t="s">
        <v>766</v>
      </c>
      <c r="C181" s="9"/>
      <c r="D181" s="9">
        <v>800</v>
      </c>
      <c r="E181" s="9">
        <f t="shared" si="6"/>
        <v>6183</v>
      </c>
      <c r="F181" s="545"/>
    </row>
    <row r="182" spans="1:6">
      <c r="A182" s="9" t="s">
        <v>767</v>
      </c>
      <c r="B182" s="9" t="s">
        <v>672</v>
      </c>
      <c r="C182" s="9">
        <v>91</v>
      </c>
      <c r="D182" s="9"/>
      <c r="E182" s="9">
        <f t="shared" si="6"/>
        <v>6274</v>
      </c>
    </row>
    <row r="183" spans="1:6">
      <c r="A183" s="125" t="s">
        <v>768</v>
      </c>
      <c r="B183" s="9" t="s">
        <v>552</v>
      </c>
      <c r="C183" s="9">
        <v>347</v>
      </c>
      <c r="D183" s="9"/>
      <c r="E183" s="9">
        <f t="shared" si="6"/>
        <v>6621</v>
      </c>
    </row>
    <row r="184" spans="1:6">
      <c r="A184" s="42">
        <v>43135</v>
      </c>
      <c r="B184" s="548" t="s">
        <v>8</v>
      </c>
      <c r="C184" s="9">
        <v>75</v>
      </c>
      <c r="D184" s="9"/>
      <c r="E184" s="9">
        <f t="shared" si="6"/>
        <v>6696</v>
      </c>
    </row>
    <row r="185" spans="1:6">
      <c r="A185" s="172">
        <v>43135</v>
      </c>
      <c r="B185" s="549" t="s">
        <v>773</v>
      </c>
      <c r="C185" s="9"/>
      <c r="D185" s="9">
        <v>96</v>
      </c>
      <c r="E185" s="9">
        <f t="shared" si="6"/>
        <v>6600</v>
      </c>
      <c r="F185" s="551"/>
    </row>
    <row r="186" spans="1:6">
      <c r="A186" s="42">
        <v>43255</v>
      </c>
      <c r="B186" s="554" t="s">
        <v>15</v>
      </c>
      <c r="C186" s="9">
        <v>63</v>
      </c>
      <c r="D186" s="9"/>
      <c r="E186" s="9">
        <f t="shared" si="6"/>
        <v>6663</v>
      </c>
    </row>
    <row r="187" spans="1:6">
      <c r="A187" s="42">
        <v>43255</v>
      </c>
      <c r="B187" s="554" t="s">
        <v>775</v>
      </c>
      <c r="C187" s="9"/>
      <c r="D187" s="9">
        <v>200</v>
      </c>
      <c r="E187" s="9">
        <f t="shared" si="6"/>
        <v>6463</v>
      </c>
    </row>
    <row r="188" spans="1:6">
      <c r="A188" s="172">
        <v>43255</v>
      </c>
      <c r="B188" s="555" t="s">
        <v>775</v>
      </c>
      <c r="C188" s="9"/>
      <c r="D188" s="9">
        <v>200</v>
      </c>
      <c r="E188" s="9">
        <f t="shared" si="6"/>
        <v>6263</v>
      </c>
    </row>
    <row r="189" spans="1:6">
      <c r="A189" s="42">
        <v>43285</v>
      </c>
      <c r="B189" s="554" t="s">
        <v>775</v>
      </c>
      <c r="C189" s="9"/>
      <c r="D189" s="9">
        <v>150</v>
      </c>
      <c r="E189" s="9">
        <f t="shared" si="6"/>
        <v>6113</v>
      </c>
    </row>
    <row r="190" spans="1:6">
      <c r="A190" s="21">
        <v>43347</v>
      </c>
      <c r="B190" s="554" t="s">
        <v>775</v>
      </c>
      <c r="C190" s="9"/>
      <c r="D190" s="9">
        <v>150</v>
      </c>
      <c r="E190" s="9">
        <f t="shared" si="6"/>
        <v>5963</v>
      </c>
      <c r="F190" s="556"/>
    </row>
    <row r="191" spans="1:6">
      <c r="A191" s="42">
        <v>43408</v>
      </c>
      <c r="B191" s="9" t="s">
        <v>24</v>
      </c>
      <c r="C191" s="9">
        <v>26</v>
      </c>
      <c r="D191" s="9"/>
      <c r="E191" s="9">
        <f t="shared" si="6"/>
        <v>5989</v>
      </c>
    </row>
    <row r="192" spans="1:6">
      <c r="A192" s="21">
        <v>43408</v>
      </c>
      <c r="B192" s="9" t="s">
        <v>775</v>
      </c>
      <c r="C192" s="9"/>
      <c r="D192" s="9">
        <v>200</v>
      </c>
      <c r="E192" s="9">
        <f t="shared" si="6"/>
        <v>5789</v>
      </c>
      <c r="F192" s="560"/>
    </row>
    <row r="193" spans="1:6">
      <c r="A193" s="42">
        <v>43438</v>
      </c>
      <c r="B193" s="564" t="s">
        <v>524</v>
      </c>
      <c r="C193" s="9">
        <v>18</v>
      </c>
      <c r="D193" s="9"/>
      <c r="E193" s="9">
        <f t="shared" si="6"/>
        <v>5807</v>
      </c>
      <c r="F193" t="s">
        <v>46</v>
      </c>
    </row>
    <row r="194" spans="1:6">
      <c r="A194" s="9" t="s">
        <v>789</v>
      </c>
      <c r="B194" s="9" t="s">
        <v>627</v>
      </c>
      <c r="C194" s="9"/>
      <c r="D194" s="9">
        <v>200</v>
      </c>
      <c r="E194" s="9">
        <f t="shared" si="6"/>
        <v>5607</v>
      </c>
    </row>
    <row r="195" spans="1:6">
      <c r="A195" s="9" t="s">
        <v>789</v>
      </c>
      <c r="B195" s="9" t="s">
        <v>791</v>
      </c>
      <c r="C195" s="9"/>
      <c r="D195" s="9">
        <v>60</v>
      </c>
      <c r="E195" s="9">
        <f t="shared" si="6"/>
        <v>5547</v>
      </c>
    </row>
    <row r="196" spans="1:6">
      <c r="A196" s="570" t="s">
        <v>793</v>
      </c>
      <c r="B196" s="570" t="s">
        <v>794</v>
      </c>
      <c r="C196" s="9">
        <v>1</v>
      </c>
      <c r="D196" s="9"/>
      <c r="E196" s="9">
        <f t="shared" si="6"/>
        <v>5548</v>
      </c>
    </row>
    <row r="197" spans="1:6">
      <c r="A197" s="571" t="s">
        <v>793</v>
      </c>
      <c r="B197" s="570" t="s">
        <v>524</v>
      </c>
      <c r="C197" s="9">
        <v>6</v>
      </c>
      <c r="D197" s="9"/>
      <c r="E197" s="9">
        <f t="shared" si="6"/>
        <v>5554</v>
      </c>
    </row>
    <row r="198" spans="1:6">
      <c r="A198" s="570" t="s">
        <v>793</v>
      </c>
      <c r="B198" s="570" t="s">
        <v>627</v>
      </c>
      <c r="C198" s="9"/>
      <c r="D198" s="9">
        <v>600</v>
      </c>
      <c r="E198" s="9">
        <f t="shared" si="6"/>
        <v>4954</v>
      </c>
    </row>
    <row r="199" spans="1:6">
      <c r="A199" s="572" t="s">
        <v>793</v>
      </c>
      <c r="B199" s="572" t="s">
        <v>508</v>
      </c>
      <c r="C199" s="9"/>
      <c r="D199" s="9">
        <v>100</v>
      </c>
      <c r="E199" s="9">
        <f t="shared" si="6"/>
        <v>4854</v>
      </c>
    </row>
    <row r="200" spans="1:6">
      <c r="A200" s="571" t="s">
        <v>793</v>
      </c>
      <c r="B200" s="570" t="s">
        <v>508</v>
      </c>
      <c r="C200" s="9"/>
      <c r="D200" s="9">
        <v>100</v>
      </c>
      <c r="E200" s="9">
        <f t="shared" si="6"/>
        <v>4754</v>
      </c>
      <c r="F200" s="574" t="s">
        <v>46</v>
      </c>
    </row>
    <row r="201" spans="1:6">
      <c r="A201" s="125" t="s">
        <v>798</v>
      </c>
      <c r="B201" s="9" t="s">
        <v>799</v>
      </c>
      <c r="C201" s="9">
        <v>100</v>
      </c>
      <c r="D201" s="9"/>
      <c r="E201" s="9">
        <f t="shared" si="6"/>
        <v>4854</v>
      </c>
    </row>
    <row r="202" spans="1:6">
      <c r="A202" s="576" t="s">
        <v>798</v>
      </c>
      <c r="B202" s="576" t="s">
        <v>805</v>
      </c>
      <c r="C202" s="9"/>
      <c r="D202" s="9">
        <v>100</v>
      </c>
      <c r="E202" s="9">
        <f t="shared" si="6"/>
        <v>4754</v>
      </c>
    </row>
    <row r="203" spans="1:6">
      <c r="A203" s="576" t="s">
        <v>798</v>
      </c>
      <c r="B203" s="576" t="s">
        <v>810</v>
      </c>
      <c r="C203" s="9"/>
      <c r="D203" s="9">
        <v>100</v>
      </c>
      <c r="E203" s="9">
        <f t="shared" si="6"/>
        <v>4654</v>
      </c>
    </row>
    <row r="204" spans="1:6">
      <c r="A204" s="576" t="s">
        <v>798</v>
      </c>
      <c r="B204" s="576" t="s">
        <v>567</v>
      </c>
      <c r="C204" s="9"/>
      <c r="D204" s="9">
        <v>1000</v>
      </c>
      <c r="E204" s="9">
        <f t="shared" si="6"/>
        <v>3654</v>
      </c>
    </row>
    <row r="205" spans="1:6">
      <c r="A205" s="26" t="s">
        <v>808</v>
      </c>
      <c r="B205" s="26" t="s">
        <v>524</v>
      </c>
      <c r="C205" s="26">
        <v>7</v>
      </c>
      <c r="D205" s="9"/>
      <c r="E205" s="9">
        <f t="shared" si="6"/>
        <v>3661</v>
      </c>
    </row>
    <row r="206" spans="1:6">
      <c r="A206" s="26" t="s">
        <v>798</v>
      </c>
      <c r="B206" s="26" t="s">
        <v>10</v>
      </c>
      <c r="C206" s="26">
        <v>1000</v>
      </c>
      <c r="D206" s="9"/>
      <c r="E206" s="9">
        <f t="shared" si="6"/>
        <v>4661</v>
      </c>
    </row>
    <row r="207" spans="1:6">
      <c r="A207" s="578" t="s">
        <v>808</v>
      </c>
      <c r="B207" s="576" t="s">
        <v>616</v>
      </c>
      <c r="C207" s="9"/>
      <c r="D207" s="9">
        <v>100</v>
      </c>
      <c r="E207" s="26">
        <f t="shared" si="6"/>
        <v>4561</v>
      </c>
      <c r="F207" s="579" t="s">
        <v>46</v>
      </c>
    </row>
    <row r="208" spans="1:6">
      <c r="A208" s="9" t="s">
        <v>811</v>
      </c>
      <c r="B208" s="9" t="s">
        <v>813</v>
      </c>
      <c r="C208" s="9"/>
      <c r="D208" s="9">
        <v>64</v>
      </c>
      <c r="E208" s="9">
        <f t="shared" si="6"/>
        <v>4497</v>
      </c>
    </row>
    <row r="209" spans="1:6">
      <c r="A209" s="582" t="s">
        <v>814</v>
      </c>
      <c r="B209" s="581" t="s">
        <v>508</v>
      </c>
      <c r="C209" s="9"/>
      <c r="D209" s="9">
        <v>100</v>
      </c>
      <c r="E209" s="9">
        <f t="shared" si="6"/>
        <v>4397</v>
      </c>
      <c r="F209" s="584" t="s">
        <v>46</v>
      </c>
    </row>
    <row r="210" spans="1:6">
      <c r="A210" s="586" t="s">
        <v>815</v>
      </c>
      <c r="B210" s="587" t="s">
        <v>552</v>
      </c>
      <c r="C210" s="9">
        <v>235</v>
      </c>
      <c r="D210" s="9"/>
      <c r="E210" s="9">
        <f t="shared" si="6"/>
        <v>4632</v>
      </c>
    </row>
    <row r="211" spans="1:6">
      <c r="A211" s="586" t="s">
        <v>815</v>
      </c>
      <c r="B211" s="587" t="s">
        <v>817</v>
      </c>
      <c r="C211" s="9"/>
      <c r="D211" s="9">
        <v>800</v>
      </c>
      <c r="E211" s="9">
        <f t="shared" si="6"/>
        <v>3832</v>
      </c>
    </row>
    <row r="212" spans="1:6">
      <c r="A212" s="587" t="s">
        <v>815</v>
      </c>
      <c r="B212" s="587" t="s">
        <v>818</v>
      </c>
      <c r="C212" s="9"/>
      <c r="D212" s="9">
        <v>100</v>
      </c>
      <c r="E212" s="9">
        <f t="shared" si="6"/>
        <v>3732</v>
      </c>
    </row>
    <row r="213" spans="1:6">
      <c r="A213" s="587" t="s">
        <v>815</v>
      </c>
      <c r="B213" s="587" t="s">
        <v>819</v>
      </c>
      <c r="C213" s="9"/>
      <c r="D213" s="9">
        <v>100</v>
      </c>
      <c r="E213" s="9">
        <f>E212+C213-D213</f>
        <v>3632</v>
      </c>
    </row>
    <row r="214" spans="1:6">
      <c r="A214" s="587" t="s">
        <v>815</v>
      </c>
      <c r="B214" s="587" t="s">
        <v>520</v>
      </c>
      <c r="C214" s="9"/>
      <c r="D214" s="9">
        <v>4</v>
      </c>
      <c r="E214" s="9">
        <f t="shared" ref="E214:E274" si="7">E213+C214-D214</f>
        <v>3628</v>
      </c>
      <c r="F214" s="591" t="s">
        <v>46</v>
      </c>
    </row>
    <row r="215" spans="1:6">
      <c r="A215" s="592" t="s">
        <v>820</v>
      </c>
      <c r="B215" s="592" t="s">
        <v>10</v>
      </c>
      <c r="C215" s="9">
        <v>3000</v>
      </c>
      <c r="D215" s="9"/>
      <c r="E215" s="9">
        <f t="shared" si="7"/>
        <v>6628</v>
      </c>
    </row>
    <row r="216" spans="1:6">
      <c r="A216" s="592" t="s">
        <v>820</v>
      </c>
      <c r="B216" s="592" t="s">
        <v>817</v>
      </c>
      <c r="C216" s="9"/>
      <c r="D216" s="9">
        <v>200</v>
      </c>
      <c r="E216" s="9">
        <f t="shared" si="7"/>
        <v>6428</v>
      </c>
    </row>
    <row r="217" spans="1:6">
      <c r="A217" s="595" t="s">
        <v>820</v>
      </c>
      <c r="B217" s="592" t="s">
        <v>508</v>
      </c>
      <c r="C217" s="9"/>
      <c r="D217" s="9">
        <v>200</v>
      </c>
      <c r="E217" s="9">
        <f t="shared" si="7"/>
        <v>6228</v>
      </c>
    </row>
    <row r="218" spans="1:6">
      <c r="A218" s="592" t="s">
        <v>820</v>
      </c>
      <c r="B218" s="592" t="s">
        <v>824</v>
      </c>
      <c r="C218" s="9"/>
      <c r="D218" s="9">
        <v>800</v>
      </c>
      <c r="E218" s="9">
        <f t="shared" si="7"/>
        <v>5428</v>
      </c>
      <c r="F218" s="597" t="s">
        <v>46</v>
      </c>
    </row>
    <row r="219" spans="1:6">
      <c r="A219" s="601" t="s">
        <v>829</v>
      </c>
      <c r="B219" s="598" t="s">
        <v>524</v>
      </c>
      <c r="C219" s="9">
        <v>7</v>
      </c>
      <c r="D219" s="9"/>
      <c r="E219" s="9">
        <f t="shared" si="7"/>
        <v>5435</v>
      </c>
      <c r="F219" s="597"/>
    </row>
    <row r="220" spans="1:6">
      <c r="A220" s="598" t="s">
        <v>826</v>
      </c>
      <c r="B220" s="592" t="s">
        <v>817</v>
      </c>
      <c r="C220" s="9"/>
      <c r="D220" s="9">
        <v>700</v>
      </c>
      <c r="E220" s="9">
        <f t="shared" si="7"/>
        <v>4735</v>
      </c>
    </row>
    <row r="221" spans="1:6">
      <c r="A221" s="615" t="s">
        <v>834</v>
      </c>
      <c r="B221" s="616" t="s">
        <v>817</v>
      </c>
      <c r="C221" s="9"/>
      <c r="D221" s="9">
        <v>500</v>
      </c>
      <c r="E221" s="9">
        <f t="shared" si="7"/>
        <v>4235</v>
      </c>
    </row>
    <row r="222" spans="1:6">
      <c r="A222" s="615" t="s">
        <v>844</v>
      </c>
      <c r="B222" s="616" t="s">
        <v>524</v>
      </c>
      <c r="C222" s="9">
        <v>20</v>
      </c>
      <c r="D222" s="9"/>
      <c r="E222" s="9">
        <f t="shared" si="7"/>
        <v>4255</v>
      </c>
    </row>
    <row r="223" spans="1:6">
      <c r="A223" s="615" t="s">
        <v>844</v>
      </c>
      <c r="B223" s="616" t="s">
        <v>846</v>
      </c>
      <c r="C223" s="9">
        <v>16</v>
      </c>
      <c r="D223" s="9"/>
      <c r="E223" s="9">
        <f t="shared" si="7"/>
        <v>4271</v>
      </c>
      <c r="F223" s="618" t="s">
        <v>46</v>
      </c>
    </row>
    <row r="224" spans="1:6">
      <c r="A224" s="21">
        <v>43164</v>
      </c>
      <c r="B224" s="9" t="s">
        <v>508</v>
      </c>
      <c r="C224" s="9"/>
      <c r="D224" s="9">
        <v>100</v>
      </c>
      <c r="E224" s="9">
        <f t="shared" si="7"/>
        <v>4171</v>
      </c>
    </row>
    <row r="225" spans="1:6">
      <c r="A225" s="42">
        <v>43195</v>
      </c>
      <c r="B225" s="9" t="s">
        <v>552</v>
      </c>
      <c r="C225" s="9">
        <v>261</v>
      </c>
      <c r="D225" s="9"/>
      <c r="E225" s="9">
        <f t="shared" si="7"/>
        <v>4432</v>
      </c>
    </row>
    <row r="226" spans="1:6">
      <c r="A226" s="42">
        <v>43195</v>
      </c>
      <c r="B226" s="9" t="s">
        <v>508</v>
      </c>
      <c r="C226" s="9"/>
      <c r="D226" s="9">
        <v>100</v>
      </c>
      <c r="E226" s="9">
        <f t="shared" si="7"/>
        <v>4332</v>
      </c>
    </row>
    <row r="227" spans="1:6">
      <c r="A227" s="42">
        <v>43195</v>
      </c>
      <c r="B227" s="9" t="s">
        <v>508</v>
      </c>
      <c r="C227" s="9"/>
      <c r="D227" s="9">
        <v>100</v>
      </c>
      <c r="E227" s="9">
        <f t="shared" si="7"/>
        <v>4232</v>
      </c>
    </row>
    <row r="228" spans="1:6">
      <c r="A228" s="21">
        <v>43195</v>
      </c>
      <c r="B228" s="9" t="s">
        <v>710</v>
      </c>
      <c r="C228" s="9">
        <v>58</v>
      </c>
      <c r="D228" s="9"/>
      <c r="E228" s="9">
        <f t="shared" si="7"/>
        <v>4290</v>
      </c>
      <c r="F228" s="624" t="s">
        <v>46</v>
      </c>
    </row>
    <row r="229" spans="1:6">
      <c r="A229" s="21">
        <v>43286</v>
      </c>
      <c r="B229" s="629" t="s">
        <v>24</v>
      </c>
      <c r="C229" s="9">
        <v>3</v>
      </c>
      <c r="D229" s="9"/>
      <c r="E229" s="9">
        <f t="shared" si="7"/>
        <v>4293</v>
      </c>
    </row>
    <row r="230" spans="1:6">
      <c r="A230" s="21">
        <v>43286</v>
      </c>
      <c r="B230" s="24" t="s">
        <v>24</v>
      </c>
      <c r="C230" s="24">
        <v>100</v>
      </c>
      <c r="D230" s="9"/>
      <c r="E230" s="9">
        <f t="shared" si="7"/>
        <v>4393</v>
      </c>
    </row>
    <row r="231" spans="1:6">
      <c r="A231" s="42">
        <v>43409</v>
      </c>
      <c r="B231" s="629" t="s">
        <v>24</v>
      </c>
      <c r="C231" s="9">
        <v>20</v>
      </c>
      <c r="D231" s="9"/>
      <c r="E231" s="9">
        <f t="shared" si="7"/>
        <v>4413</v>
      </c>
    </row>
    <row r="232" spans="1:6">
      <c r="A232" s="21">
        <v>43409</v>
      </c>
      <c r="B232" s="631" t="s">
        <v>817</v>
      </c>
      <c r="C232" s="9"/>
      <c r="D232" s="9">
        <v>200</v>
      </c>
      <c r="E232" s="9">
        <f t="shared" si="7"/>
        <v>4213</v>
      </c>
    </row>
    <row r="233" spans="1:6">
      <c r="A233" s="42">
        <v>43439</v>
      </c>
      <c r="B233" s="631" t="s">
        <v>24</v>
      </c>
      <c r="C233" s="9">
        <v>105</v>
      </c>
      <c r="D233" s="9"/>
      <c r="E233" s="9">
        <f t="shared" si="7"/>
        <v>4318</v>
      </c>
    </row>
    <row r="234" spans="1:6">
      <c r="A234" s="21">
        <v>43439</v>
      </c>
      <c r="B234" s="631" t="s">
        <v>809</v>
      </c>
      <c r="C234" s="9"/>
      <c r="D234" s="9">
        <v>950</v>
      </c>
      <c r="E234" s="9">
        <f t="shared" si="7"/>
        <v>3368</v>
      </c>
    </row>
    <row r="235" spans="1:6">
      <c r="A235" s="633" t="s">
        <v>862</v>
      </c>
      <c r="B235" s="633" t="s">
        <v>24</v>
      </c>
      <c r="C235" s="9">
        <v>117</v>
      </c>
      <c r="D235" s="9"/>
      <c r="E235" s="9">
        <f t="shared" si="7"/>
        <v>3485</v>
      </c>
    </row>
    <row r="236" spans="1:6">
      <c r="A236" s="631" t="s">
        <v>862</v>
      </c>
      <c r="B236" s="631" t="s">
        <v>710</v>
      </c>
      <c r="C236" s="9">
        <v>17</v>
      </c>
      <c r="D236" s="9"/>
      <c r="E236" s="9">
        <f t="shared" si="7"/>
        <v>3502</v>
      </c>
    </row>
    <row r="237" spans="1:6">
      <c r="A237" s="125" t="s">
        <v>863</v>
      </c>
      <c r="B237" s="9" t="s">
        <v>24</v>
      </c>
      <c r="C237" s="9">
        <v>185</v>
      </c>
      <c r="D237" s="9"/>
      <c r="E237" s="9">
        <f t="shared" si="7"/>
        <v>3687</v>
      </c>
    </row>
    <row r="238" spans="1:6">
      <c r="A238" s="656" t="s">
        <v>733</v>
      </c>
      <c r="B238" s="662" t="s">
        <v>870</v>
      </c>
      <c r="C238" s="9">
        <v>27</v>
      </c>
      <c r="D238" s="9"/>
      <c r="E238" s="9">
        <f t="shared" si="7"/>
        <v>3714</v>
      </c>
    </row>
    <row r="239" spans="1:6">
      <c r="A239" s="656" t="s">
        <v>733</v>
      </c>
      <c r="B239" s="656" t="s">
        <v>868</v>
      </c>
      <c r="C239" s="9"/>
      <c r="D239" s="9">
        <v>150</v>
      </c>
      <c r="E239" s="9">
        <f t="shared" si="7"/>
        <v>3564</v>
      </c>
    </row>
    <row r="240" spans="1:6">
      <c r="A240" s="659" t="s">
        <v>733</v>
      </c>
      <c r="B240" s="656" t="s">
        <v>762</v>
      </c>
      <c r="C240" s="9"/>
      <c r="D240" s="9">
        <v>120</v>
      </c>
      <c r="E240" s="9">
        <f t="shared" si="7"/>
        <v>3444</v>
      </c>
      <c r="F240" s="658" t="s">
        <v>46</v>
      </c>
    </row>
    <row r="241" spans="1:6">
      <c r="A241" s="125" t="s">
        <v>874</v>
      </c>
      <c r="B241" s="9" t="s">
        <v>876</v>
      </c>
      <c r="C241" s="9"/>
      <c r="D241" s="9">
        <v>100</v>
      </c>
      <c r="E241" s="9">
        <f t="shared" si="7"/>
        <v>3344</v>
      </c>
    </row>
    <row r="242" spans="1:6">
      <c r="A242" s="665" t="s">
        <v>878</v>
      </c>
      <c r="B242" s="664" t="s">
        <v>879</v>
      </c>
      <c r="C242" s="9">
        <v>250</v>
      </c>
      <c r="D242" s="9"/>
      <c r="E242" s="9">
        <f t="shared" si="7"/>
        <v>3594</v>
      </c>
    </row>
    <row r="243" spans="1:6">
      <c r="A243" s="664" t="s">
        <v>878</v>
      </c>
      <c r="B243" s="664" t="s">
        <v>24</v>
      </c>
      <c r="C243" s="9">
        <v>40</v>
      </c>
      <c r="D243" s="9"/>
      <c r="E243" s="9">
        <f t="shared" si="7"/>
        <v>3634</v>
      </c>
    </row>
    <row r="244" spans="1:6">
      <c r="A244" s="666" t="s">
        <v>878</v>
      </c>
      <c r="B244" s="667" t="s">
        <v>875</v>
      </c>
      <c r="C244" s="9">
        <v>65</v>
      </c>
      <c r="D244" s="9"/>
      <c r="E244" s="9">
        <f t="shared" si="7"/>
        <v>3699</v>
      </c>
    </row>
    <row r="245" spans="1:6">
      <c r="A245" s="665" t="s">
        <v>878</v>
      </c>
      <c r="B245" s="664" t="s">
        <v>679</v>
      </c>
      <c r="C245" s="9">
        <v>2</v>
      </c>
      <c r="D245" s="9"/>
      <c r="E245" s="9">
        <f t="shared" si="7"/>
        <v>3701</v>
      </c>
    </row>
    <row r="246" spans="1:6">
      <c r="A246" s="664" t="s">
        <v>878</v>
      </c>
      <c r="B246" s="664" t="s">
        <v>882</v>
      </c>
      <c r="C246" s="9"/>
      <c r="D246" s="9">
        <v>400</v>
      </c>
      <c r="E246" s="9">
        <f t="shared" si="7"/>
        <v>3301</v>
      </c>
      <c r="F246" s="669" t="s">
        <v>46</v>
      </c>
    </row>
    <row r="247" spans="1:6">
      <c r="A247" s="671" t="s">
        <v>884</v>
      </c>
      <c r="B247" s="671" t="s">
        <v>817</v>
      </c>
      <c r="C247" s="9"/>
      <c r="D247" s="9">
        <v>150</v>
      </c>
      <c r="E247" s="9">
        <f t="shared" si="7"/>
        <v>3151</v>
      </c>
      <c r="F247" s="675" t="s">
        <v>46</v>
      </c>
    </row>
    <row r="248" spans="1:6">
      <c r="A248" s="125" t="s">
        <v>886</v>
      </c>
      <c r="B248" s="9" t="s">
        <v>887</v>
      </c>
      <c r="C248" s="9">
        <v>3</v>
      </c>
      <c r="D248" s="9"/>
      <c r="E248" s="9">
        <f t="shared" si="7"/>
        <v>3154</v>
      </c>
    </row>
    <row r="249" spans="1:6">
      <c r="A249" s="676" t="s">
        <v>886</v>
      </c>
      <c r="B249" s="677" t="s">
        <v>647</v>
      </c>
      <c r="C249" s="9">
        <v>280</v>
      </c>
      <c r="D249" s="9"/>
      <c r="E249" s="9">
        <f t="shared" si="7"/>
        <v>3434</v>
      </c>
    </row>
    <row r="250" spans="1:6">
      <c r="A250" s="677" t="s">
        <v>886</v>
      </c>
      <c r="B250" s="677" t="s">
        <v>459</v>
      </c>
      <c r="C250" s="9">
        <v>1</v>
      </c>
      <c r="D250" s="9"/>
      <c r="E250" s="9">
        <f t="shared" si="7"/>
        <v>3435</v>
      </c>
    </row>
    <row r="251" spans="1:6">
      <c r="A251" s="677" t="s">
        <v>889</v>
      </c>
      <c r="B251" s="677" t="s">
        <v>890</v>
      </c>
      <c r="C251" s="9">
        <v>2</v>
      </c>
      <c r="D251" s="9"/>
      <c r="E251" s="9">
        <f t="shared" si="7"/>
        <v>3437</v>
      </c>
    </row>
    <row r="252" spans="1:6">
      <c r="A252" s="676" t="s">
        <v>889</v>
      </c>
      <c r="B252" s="677" t="s">
        <v>552</v>
      </c>
      <c r="C252" s="9">
        <v>4</v>
      </c>
      <c r="D252" s="9"/>
      <c r="E252" s="9">
        <f t="shared" si="7"/>
        <v>3441</v>
      </c>
    </row>
    <row r="253" spans="1:6">
      <c r="A253" s="676" t="s">
        <v>893</v>
      </c>
      <c r="B253" s="677" t="s">
        <v>895</v>
      </c>
      <c r="C253" s="9">
        <v>40</v>
      </c>
      <c r="D253" s="9"/>
      <c r="E253" s="9">
        <f t="shared" si="7"/>
        <v>3481</v>
      </c>
    </row>
    <row r="254" spans="1:6">
      <c r="A254" s="676" t="s">
        <v>893</v>
      </c>
      <c r="B254" s="677" t="s">
        <v>708</v>
      </c>
      <c r="C254" s="9">
        <v>55</v>
      </c>
      <c r="D254" s="9"/>
      <c r="E254" s="9">
        <f t="shared" si="7"/>
        <v>3536</v>
      </c>
    </row>
    <row r="255" spans="1:6">
      <c r="A255" s="676" t="s">
        <v>893</v>
      </c>
      <c r="B255" s="677" t="s">
        <v>708</v>
      </c>
      <c r="C255" s="9">
        <v>803</v>
      </c>
      <c r="D255" s="9"/>
      <c r="E255" s="9">
        <f t="shared" si="7"/>
        <v>4339</v>
      </c>
    </row>
    <row r="256" spans="1:6">
      <c r="A256" s="680" t="s">
        <v>896</v>
      </c>
      <c r="B256" s="680" t="s">
        <v>427</v>
      </c>
      <c r="C256" s="9">
        <v>700</v>
      </c>
      <c r="D256" s="9"/>
      <c r="E256" s="9">
        <f t="shared" si="7"/>
        <v>5039</v>
      </c>
    </row>
    <row r="257" spans="1:6">
      <c r="A257" s="676" t="s">
        <v>896</v>
      </c>
      <c r="B257" s="677" t="s">
        <v>24</v>
      </c>
      <c r="C257" s="9">
        <v>10</v>
      </c>
      <c r="D257" s="9"/>
      <c r="E257" s="9">
        <f t="shared" si="7"/>
        <v>5049</v>
      </c>
      <c r="F257" s="682" t="s">
        <v>46</v>
      </c>
    </row>
    <row r="258" spans="1:6">
      <c r="A258" s="683" t="s">
        <v>898</v>
      </c>
      <c r="B258" s="684" t="s">
        <v>427</v>
      </c>
      <c r="C258" s="9">
        <v>4</v>
      </c>
      <c r="D258" s="9"/>
      <c r="E258" s="9">
        <f t="shared" si="7"/>
        <v>5053</v>
      </c>
    </row>
    <row r="259" spans="1:6">
      <c r="A259" s="683" t="s">
        <v>898</v>
      </c>
      <c r="B259" s="684" t="s">
        <v>646</v>
      </c>
      <c r="C259" s="9">
        <v>80</v>
      </c>
      <c r="D259" s="9"/>
      <c r="E259" s="9">
        <f t="shared" si="7"/>
        <v>5133</v>
      </c>
      <c r="F259" s="687" t="s">
        <v>46</v>
      </c>
    </row>
    <row r="260" spans="1:6">
      <c r="A260" s="125" t="s">
        <v>907</v>
      </c>
      <c r="B260" s="9" t="s">
        <v>909</v>
      </c>
      <c r="C260" s="9">
        <v>1079</v>
      </c>
      <c r="D260" s="9"/>
      <c r="E260" s="9">
        <f t="shared" si="7"/>
        <v>6212</v>
      </c>
    </row>
    <row r="261" spans="1:6">
      <c r="A261" s="24" t="s">
        <v>907</v>
      </c>
      <c r="B261" s="24" t="s">
        <v>710</v>
      </c>
      <c r="C261" s="9">
        <v>78</v>
      </c>
      <c r="D261" s="9"/>
      <c r="E261" s="9">
        <f t="shared" si="7"/>
        <v>6290</v>
      </c>
    </row>
    <row r="262" spans="1:6">
      <c r="A262" s="9" t="s">
        <v>907</v>
      </c>
      <c r="B262" s="9" t="s">
        <v>910</v>
      </c>
      <c r="C262" s="9"/>
      <c r="D262" s="9">
        <v>90</v>
      </c>
      <c r="E262" s="9">
        <f t="shared" si="7"/>
        <v>6200</v>
      </c>
    </row>
    <row r="263" spans="1:6">
      <c r="A263" s="691" t="s">
        <v>912</v>
      </c>
      <c r="B263" s="691" t="s">
        <v>24</v>
      </c>
      <c r="C263" s="9">
        <v>11</v>
      </c>
      <c r="D263" s="9"/>
      <c r="E263" s="9">
        <f t="shared" si="7"/>
        <v>6211</v>
      </c>
    </row>
    <row r="264" spans="1:6">
      <c r="A264" s="692" t="s">
        <v>914</v>
      </c>
      <c r="B264" s="690" t="s">
        <v>24</v>
      </c>
      <c r="C264" s="9">
        <v>30</v>
      </c>
      <c r="D264" s="9"/>
      <c r="E264" s="9">
        <f t="shared" si="7"/>
        <v>6241</v>
      </c>
    </row>
    <row r="265" spans="1:6">
      <c r="A265" s="692" t="s">
        <v>914</v>
      </c>
      <c r="B265" s="690" t="s">
        <v>548</v>
      </c>
      <c r="C265" s="9"/>
      <c r="D265" s="9">
        <v>300</v>
      </c>
      <c r="E265" s="9">
        <f t="shared" si="7"/>
        <v>5941</v>
      </c>
      <c r="F265" s="693" t="s">
        <v>46</v>
      </c>
    </row>
    <row r="266" spans="1:6">
      <c r="A266" s="697" t="s">
        <v>915</v>
      </c>
      <c r="B266" s="698" t="s">
        <v>917</v>
      </c>
      <c r="C266" s="9">
        <v>2</v>
      </c>
      <c r="D266" s="9"/>
      <c r="E266" s="9">
        <f t="shared" si="7"/>
        <v>5943</v>
      </c>
    </row>
    <row r="267" spans="1:6">
      <c r="A267" s="698" t="s">
        <v>915</v>
      </c>
      <c r="B267" s="698" t="s">
        <v>24</v>
      </c>
      <c r="C267" s="9">
        <v>60</v>
      </c>
      <c r="D267" s="9"/>
      <c r="E267" s="9">
        <f t="shared" si="7"/>
        <v>6003</v>
      </c>
      <c r="F267" s="701" t="s">
        <v>46</v>
      </c>
    </row>
    <row r="268" spans="1:6">
      <c r="A268" s="702" t="s">
        <v>918</v>
      </c>
      <c r="B268" s="703" t="s">
        <v>24</v>
      </c>
      <c r="C268" s="9">
        <v>34</v>
      </c>
      <c r="D268" s="9"/>
      <c r="E268" s="9">
        <f t="shared" si="7"/>
        <v>6037</v>
      </c>
    </row>
    <row r="269" spans="1:6">
      <c r="A269" s="702" t="s">
        <v>918</v>
      </c>
      <c r="B269" s="703" t="s">
        <v>406</v>
      </c>
      <c r="C269" s="9">
        <v>3</v>
      </c>
      <c r="D269" s="9"/>
      <c r="E269" s="9">
        <f t="shared" si="7"/>
        <v>6040</v>
      </c>
    </row>
    <row r="270" spans="1:6">
      <c r="A270" s="172">
        <v>43137</v>
      </c>
      <c r="B270" s="705" t="s">
        <v>919</v>
      </c>
      <c r="C270" s="9">
        <v>530</v>
      </c>
      <c r="D270" s="9"/>
      <c r="E270" s="9">
        <f t="shared" si="7"/>
        <v>6570</v>
      </c>
      <c r="F270" s="707" t="s">
        <v>46</v>
      </c>
    </row>
    <row r="271" spans="1:6">
      <c r="A271" s="172">
        <v>43137</v>
      </c>
      <c r="B271" s="703" t="s">
        <v>24</v>
      </c>
      <c r="C271" s="9">
        <v>23</v>
      </c>
      <c r="D271" s="9"/>
      <c r="E271" s="9">
        <f t="shared" si="7"/>
        <v>6593</v>
      </c>
      <c r="F271" s="707"/>
    </row>
    <row r="272" spans="1:6">
      <c r="A272" s="22">
        <v>43165</v>
      </c>
      <c r="B272" s="13" t="s">
        <v>926</v>
      </c>
      <c r="C272" s="13"/>
      <c r="D272" s="13">
        <v>1050</v>
      </c>
      <c r="E272" s="9">
        <f t="shared" si="7"/>
        <v>5543</v>
      </c>
    </row>
    <row r="273" spans="1:6">
      <c r="A273" s="42">
        <v>43226</v>
      </c>
      <c r="B273" s="715" t="s">
        <v>876</v>
      </c>
      <c r="C273" s="9">
        <v>127</v>
      </c>
      <c r="D273" s="9"/>
      <c r="E273" s="9">
        <f t="shared" si="7"/>
        <v>5670</v>
      </c>
    </row>
    <row r="274" spans="1:6">
      <c r="A274" s="22">
        <v>43226</v>
      </c>
      <c r="B274" s="13" t="s">
        <v>941</v>
      </c>
      <c r="C274" s="9"/>
      <c r="D274" s="13">
        <v>600</v>
      </c>
      <c r="E274" s="9">
        <f t="shared" si="7"/>
        <v>5070</v>
      </c>
      <c r="F274" s="721" t="s">
        <v>46</v>
      </c>
    </row>
    <row r="275" spans="1:6">
      <c r="A275" s="9"/>
      <c r="B275" s="9"/>
      <c r="C275" s="9"/>
      <c r="D275" s="9"/>
      <c r="E275" s="9"/>
    </row>
    <row r="276" spans="1:6">
      <c r="A276" s="9"/>
      <c r="B276" s="9"/>
      <c r="C276" s="9"/>
      <c r="D276" s="9"/>
      <c r="E276" s="9"/>
    </row>
    <row r="277" spans="1:6">
      <c r="A277" s="9"/>
      <c r="B277" s="9"/>
      <c r="C277" s="9"/>
      <c r="D277" s="9"/>
      <c r="E277" s="9"/>
    </row>
    <row r="278" spans="1:6">
      <c r="A278" s="9"/>
      <c r="B278" s="9"/>
      <c r="C278" s="9"/>
      <c r="D278" s="9"/>
      <c r="E278" s="9"/>
    </row>
  </sheetData>
  <pageMargins left="0.69930555555555596" right="0.69930555555555596" top="0" bottom="0" header="0.3" footer="0.3"/>
  <pageSetup paperSize="9" scale="85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79"/>
  <sheetViews>
    <sheetView zoomScale="110" zoomScaleNormal="110" zoomScalePageLayoutView="110" workbookViewId="0">
      <pane ySplit="1960" topLeftCell="A257" activePane="bottomLeft"/>
      <selection pane="bottomLeft" activeCell="B270" sqref="B270"/>
    </sheetView>
  </sheetViews>
  <sheetFormatPr baseColWidth="10" defaultColWidth="9" defaultRowHeight="14" x14ac:dyDescent="0"/>
  <cols>
    <col min="1" max="1" width="12.83203125" customWidth="1"/>
    <col min="2" max="2" width="34.5" customWidth="1"/>
    <col min="5" max="5" width="10.5" customWidth="1"/>
    <col min="6" max="6" width="13.33203125" customWidth="1"/>
    <col min="7" max="7" width="40.1640625" customWidth="1"/>
  </cols>
  <sheetData>
    <row r="2" spans="1:7" s="273" customFormat="1" ht="15">
      <c r="A2" s="217" t="s">
        <v>405</v>
      </c>
      <c r="B2" s="217"/>
      <c r="C2" s="217"/>
      <c r="D2" s="217"/>
      <c r="E2" s="217"/>
      <c r="F2" s="217"/>
    </row>
    <row r="3" spans="1:7">
      <c r="A3" s="50"/>
      <c r="B3" s="51"/>
      <c r="C3" s="50"/>
      <c r="D3" s="50"/>
      <c r="E3" s="50"/>
      <c r="F3" s="50"/>
    </row>
    <row r="4" spans="1:7" ht="28.5" customHeight="1">
      <c r="A4" s="649" t="s">
        <v>1</v>
      </c>
      <c r="B4" s="649" t="s">
        <v>429</v>
      </c>
      <c r="C4" s="649" t="s">
        <v>3</v>
      </c>
      <c r="D4" s="649" t="s">
        <v>4</v>
      </c>
      <c r="E4" s="649" t="s">
        <v>5</v>
      </c>
      <c r="F4" s="663" t="s">
        <v>873</v>
      </c>
      <c r="G4" s="650" t="s">
        <v>6</v>
      </c>
    </row>
    <row r="5" spans="1:7">
      <c r="A5" s="9"/>
      <c r="B5" s="298" t="s">
        <v>408</v>
      </c>
      <c r="C5" s="9"/>
      <c r="D5" s="9"/>
      <c r="E5" s="9">
        <v>5968</v>
      </c>
      <c r="F5" s="9"/>
      <c r="G5" s="9"/>
    </row>
    <row r="6" spans="1:7">
      <c r="A6" s="42">
        <v>43132</v>
      </c>
      <c r="B6" s="298" t="s">
        <v>415</v>
      </c>
      <c r="C6" s="9">
        <v>57</v>
      </c>
      <c r="D6" s="9"/>
      <c r="E6" s="9">
        <f>E5+C6-D6</f>
        <v>6025</v>
      </c>
      <c r="F6" s="9"/>
      <c r="G6" s="9"/>
    </row>
    <row r="7" spans="1:7">
      <c r="A7" s="42">
        <v>43132</v>
      </c>
      <c r="B7" s="298" t="s">
        <v>13</v>
      </c>
      <c r="C7" s="9">
        <v>2</v>
      </c>
      <c r="D7" s="9"/>
      <c r="E7" s="9">
        <f t="shared" ref="E7:E18" si="0">E6+C7-D7</f>
        <v>6027</v>
      </c>
      <c r="F7" s="9"/>
      <c r="G7" s="9"/>
    </row>
    <row r="8" spans="1:7">
      <c r="A8" s="42">
        <v>43132</v>
      </c>
      <c r="B8" s="298" t="s">
        <v>13</v>
      </c>
      <c r="C8" s="9">
        <v>109</v>
      </c>
      <c r="D8" s="9"/>
      <c r="E8" s="9">
        <f t="shared" si="0"/>
        <v>6136</v>
      </c>
      <c r="F8" s="9"/>
      <c r="G8" s="9"/>
    </row>
    <row r="9" spans="1:7">
      <c r="A9" s="21">
        <v>43132</v>
      </c>
      <c r="B9" s="298" t="s">
        <v>16</v>
      </c>
      <c r="C9" s="9">
        <v>151</v>
      </c>
      <c r="D9" s="9"/>
      <c r="E9" s="9">
        <f t="shared" si="0"/>
        <v>6287</v>
      </c>
      <c r="F9" s="9"/>
      <c r="G9" s="9"/>
    </row>
    <row r="10" spans="1:7">
      <c r="A10" s="42">
        <v>43160</v>
      </c>
      <c r="B10" s="299" t="s">
        <v>422</v>
      </c>
      <c r="C10" s="9">
        <v>141</v>
      </c>
      <c r="D10" s="9"/>
      <c r="E10" s="9">
        <f t="shared" si="0"/>
        <v>6428</v>
      </c>
      <c r="F10" s="9"/>
      <c r="G10" s="9"/>
    </row>
    <row r="11" spans="1:7">
      <c r="A11" s="42">
        <v>43160</v>
      </c>
      <c r="B11" s="299" t="s">
        <v>424</v>
      </c>
      <c r="C11" s="9">
        <v>150</v>
      </c>
      <c r="D11" s="9"/>
      <c r="E11" s="9">
        <f t="shared" si="0"/>
        <v>6578</v>
      </c>
      <c r="F11" s="9"/>
      <c r="G11" s="9"/>
    </row>
    <row r="12" spans="1:7">
      <c r="A12" s="21">
        <v>43160</v>
      </c>
      <c r="B12" s="299" t="s">
        <v>17</v>
      </c>
      <c r="C12" s="9"/>
      <c r="D12" s="9">
        <v>400</v>
      </c>
      <c r="E12" s="9">
        <f t="shared" si="0"/>
        <v>6178</v>
      </c>
      <c r="F12" s="9"/>
      <c r="G12" s="299" t="s">
        <v>46</v>
      </c>
    </row>
    <row r="13" spans="1:7">
      <c r="A13" s="21">
        <v>43191</v>
      </c>
      <c r="B13" s="306" t="s">
        <v>13</v>
      </c>
      <c r="C13" s="9">
        <v>5</v>
      </c>
      <c r="D13" s="9"/>
      <c r="E13" s="9">
        <f t="shared" si="0"/>
        <v>6183</v>
      </c>
      <c r="F13" s="9"/>
      <c r="G13" s="9"/>
    </row>
    <row r="14" spans="1:7">
      <c r="A14" s="57">
        <v>43191</v>
      </c>
      <c r="B14" s="307" t="s">
        <v>13</v>
      </c>
      <c r="C14" s="9">
        <v>77</v>
      </c>
      <c r="D14" s="9"/>
      <c r="E14" s="9">
        <f t="shared" si="0"/>
        <v>6260</v>
      </c>
      <c r="F14" s="9"/>
      <c r="G14" s="9"/>
    </row>
    <row r="15" spans="1:7">
      <c r="A15" s="42">
        <v>43191</v>
      </c>
      <c r="B15" s="306" t="s">
        <v>427</v>
      </c>
      <c r="C15" s="9">
        <v>50</v>
      </c>
      <c r="D15" s="9"/>
      <c r="E15" s="9">
        <f t="shared" si="0"/>
        <v>6310</v>
      </c>
      <c r="F15" s="9"/>
      <c r="G15" s="306" t="s">
        <v>46</v>
      </c>
    </row>
    <row r="16" spans="1:7">
      <c r="A16" s="42">
        <v>43221</v>
      </c>
      <c r="B16" s="313" t="s">
        <v>433</v>
      </c>
      <c r="C16" s="9">
        <v>200</v>
      </c>
      <c r="D16" s="9"/>
      <c r="E16" s="9">
        <f t="shared" si="0"/>
        <v>6510</v>
      </c>
      <c r="F16" s="9"/>
      <c r="G16" s="9"/>
    </row>
    <row r="17" spans="1:7">
      <c r="A17" s="21">
        <v>43221</v>
      </c>
      <c r="B17" s="313" t="s">
        <v>436</v>
      </c>
      <c r="C17" s="9">
        <v>192</v>
      </c>
      <c r="D17" s="9"/>
      <c r="E17" s="9">
        <f t="shared" si="0"/>
        <v>6702</v>
      </c>
      <c r="F17" s="9"/>
      <c r="G17" s="9"/>
    </row>
    <row r="18" spans="1:7">
      <c r="A18" s="21">
        <v>43221</v>
      </c>
      <c r="B18" s="313" t="s">
        <v>440</v>
      </c>
      <c r="C18" s="9">
        <v>230</v>
      </c>
      <c r="D18" s="9"/>
      <c r="E18" s="9">
        <f t="shared" si="0"/>
        <v>6932</v>
      </c>
      <c r="F18" s="9"/>
      <c r="G18" s="9"/>
    </row>
    <row r="19" spans="1:7">
      <c r="A19" s="21">
        <v>43221</v>
      </c>
      <c r="B19" s="313" t="s">
        <v>443</v>
      </c>
      <c r="C19" s="9"/>
      <c r="D19" s="9">
        <v>800</v>
      </c>
      <c r="E19" s="9">
        <f>E18+C19-D19</f>
        <v>6132</v>
      </c>
      <c r="F19" s="9"/>
      <c r="G19" s="313" t="s">
        <v>46</v>
      </c>
    </row>
    <row r="20" spans="1:7">
      <c r="A20" s="42">
        <v>43252</v>
      </c>
      <c r="B20" s="317" t="s">
        <v>447</v>
      </c>
      <c r="C20" s="9">
        <v>206</v>
      </c>
      <c r="D20" s="9"/>
      <c r="E20" s="9">
        <f t="shared" ref="E20:E22" si="1">E19+C20-D20</f>
        <v>6338</v>
      </c>
      <c r="F20" s="9"/>
      <c r="G20" s="9"/>
    </row>
    <row r="21" spans="1:7">
      <c r="A21" s="21">
        <v>43252</v>
      </c>
      <c r="B21" s="317" t="s">
        <v>434</v>
      </c>
      <c r="C21" s="9">
        <v>60</v>
      </c>
      <c r="D21" s="9"/>
      <c r="E21" s="9">
        <f t="shared" si="1"/>
        <v>6398</v>
      </c>
      <c r="F21" s="9"/>
      <c r="G21" s="9"/>
    </row>
    <row r="22" spans="1:7">
      <c r="A22" s="21">
        <v>43252</v>
      </c>
      <c r="B22" s="317" t="s">
        <v>451</v>
      </c>
      <c r="C22" s="9"/>
      <c r="D22" s="9">
        <v>1000</v>
      </c>
      <c r="E22" s="9">
        <f t="shared" si="1"/>
        <v>5398</v>
      </c>
      <c r="F22" s="9"/>
      <c r="G22" s="9"/>
    </row>
    <row r="23" spans="1:7">
      <c r="A23" s="21">
        <v>43313</v>
      </c>
      <c r="B23" s="320" t="s">
        <v>8</v>
      </c>
      <c r="C23" s="9">
        <v>22</v>
      </c>
      <c r="D23" s="9"/>
      <c r="E23" s="9">
        <f>E22+C23-D23</f>
        <v>5420</v>
      </c>
      <c r="F23" s="9"/>
      <c r="G23" s="320" t="s">
        <v>46</v>
      </c>
    </row>
    <row r="24" spans="1:7">
      <c r="A24" s="21">
        <v>43313</v>
      </c>
      <c r="B24" s="9" t="s">
        <v>459</v>
      </c>
      <c r="C24" s="9">
        <v>42</v>
      </c>
      <c r="D24" s="9"/>
      <c r="E24" s="9">
        <f t="shared" ref="E24:E49" si="2">E23+C24-D24</f>
        <v>5462</v>
      </c>
      <c r="F24" s="9"/>
      <c r="G24" s="9"/>
    </row>
    <row r="25" spans="1:7">
      <c r="A25" s="21">
        <v>43313</v>
      </c>
      <c r="B25" s="9" t="s">
        <v>463</v>
      </c>
      <c r="C25" s="9">
        <v>170</v>
      </c>
      <c r="D25" s="9"/>
      <c r="E25" s="9">
        <f t="shared" si="2"/>
        <v>5632</v>
      </c>
      <c r="F25" s="9"/>
      <c r="G25" s="9"/>
    </row>
    <row r="26" spans="1:7">
      <c r="A26" s="57">
        <v>42979</v>
      </c>
      <c r="B26" s="24" t="s">
        <v>15</v>
      </c>
      <c r="C26" s="9">
        <v>207</v>
      </c>
      <c r="D26" s="9"/>
      <c r="E26" s="9">
        <f t="shared" si="2"/>
        <v>5839</v>
      </c>
      <c r="F26" s="9"/>
      <c r="G26" s="9"/>
    </row>
    <row r="27" spans="1:7">
      <c r="A27" s="57">
        <v>42979</v>
      </c>
      <c r="B27" s="24" t="s">
        <v>15</v>
      </c>
      <c r="C27" s="9">
        <v>83</v>
      </c>
      <c r="D27" s="9"/>
      <c r="E27" s="9">
        <f t="shared" si="2"/>
        <v>5922</v>
      </c>
      <c r="F27" s="9"/>
      <c r="G27" s="9"/>
    </row>
    <row r="28" spans="1:7">
      <c r="A28" s="21">
        <v>42979</v>
      </c>
      <c r="B28" s="9" t="s">
        <v>17</v>
      </c>
      <c r="C28" s="9"/>
      <c r="D28" s="9">
        <v>400</v>
      </c>
      <c r="E28" s="9">
        <f t="shared" si="2"/>
        <v>5522</v>
      </c>
      <c r="F28" s="9"/>
      <c r="G28" s="9" t="s">
        <v>46</v>
      </c>
    </row>
    <row r="29" spans="1:7">
      <c r="A29" s="21">
        <v>43374</v>
      </c>
      <c r="B29" s="326" t="s">
        <v>459</v>
      </c>
      <c r="C29" s="9">
        <v>50</v>
      </c>
      <c r="D29" s="9"/>
      <c r="E29" s="9">
        <f t="shared" si="2"/>
        <v>5572</v>
      </c>
      <c r="F29" s="9"/>
      <c r="G29" s="9"/>
    </row>
    <row r="30" spans="1:7">
      <c r="A30" s="42">
        <v>43374</v>
      </c>
      <c r="B30" s="326" t="s">
        <v>17</v>
      </c>
      <c r="C30" s="9"/>
      <c r="D30" s="9">
        <v>400</v>
      </c>
      <c r="E30" s="9">
        <f t="shared" si="2"/>
        <v>5172</v>
      </c>
      <c r="F30" s="9"/>
      <c r="G30" s="326" t="s">
        <v>46</v>
      </c>
    </row>
    <row r="31" spans="1:7" ht="15">
      <c r="A31" s="49">
        <v>43405</v>
      </c>
      <c r="B31" s="35" t="s">
        <v>472</v>
      </c>
      <c r="C31" s="9">
        <v>4</v>
      </c>
      <c r="D31" s="9"/>
      <c r="E31" s="9">
        <f t="shared" si="2"/>
        <v>5176</v>
      </c>
      <c r="F31" s="9"/>
      <c r="G31" s="9"/>
    </row>
    <row r="32" spans="1:7">
      <c r="A32" s="322">
        <v>43405</v>
      </c>
      <c r="B32" s="25" t="s">
        <v>477</v>
      </c>
      <c r="C32" s="9">
        <v>182</v>
      </c>
      <c r="D32" s="9"/>
      <c r="E32" s="9">
        <f t="shared" si="2"/>
        <v>5358</v>
      </c>
      <c r="F32" s="9"/>
      <c r="G32" s="9"/>
    </row>
    <row r="33" spans="1:7">
      <c r="A33" s="21">
        <v>43435</v>
      </c>
      <c r="B33" s="330" t="s">
        <v>445</v>
      </c>
      <c r="C33" s="9">
        <v>141</v>
      </c>
      <c r="D33" s="9"/>
      <c r="E33" s="9">
        <f t="shared" si="2"/>
        <v>5499</v>
      </c>
      <c r="F33" s="9"/>
      <c r="G33" s="330" t="s">
        <v>46</v>
      </c>
    </row>
    <row r="34" spans="1:7">
      <c r="A34" s="42" t="s">
        <v>488</v>
      </c>
      <c r="B34" s="334" t="s">
        <v>434</v>
      </c>
      <c r="C34" s="9">
        <v>52</v>
      </c>
      <c r="D34" s="9"/>
      <c r="E34" s="9">
        <f t="shared" si="2"/>
        <v>5551</v>
      </c>
      <c r="F34" s="9"/>
      <c r="G34" s="9"/>
    </row>
    <row r="35" spans="1:7">
      <c r="A35" s="334" t="s">
        <v>488</v>
      </c>
      <c r="B35" s="334" t="s">
        <v>424</v>
      </c>
      <c r="C35" s="9">
        <v>3</v>
      </c>
      <c r="D35" s="9"/>
      <c r="E35" s="9">
        <f t="shared" si="2"/>
        <v>5554</v>
      </c>
      <c r="F35" s="9"/>
      <c r="G35" s="9"/>
    </row>
    <row r="36" spans="1:7">
      <c r="A36" s="340" t="s">
        <v>500</v>
      </c>
      <c r="B36" s="341" t="s">
        <v>502</v>
      </c>
      <c r="C36" s="9">
        <v>36</v>
      </c>
      <c r="D36" s="9"/>
      <c r="E36" s="9">
        <f t="shared" si="2"/>
        <v>5590</v>
      </c>
      <c r="F36" s="9"/>
      <c r="G36" s="9"/>
    </row>
    <row r="37" spans="1:7">
      <c r="A37" s="341" t="s">
        <v>500</v>
      </c>
      <c r="B37" s="341" t="s">
        <v>16</v>
      </c>
      <c r="C37" s="9">
        <v>200</v>
      </c>
      <c r="D37" s="9"/>
      <c r="E37" s="9">
        <f t="shared" si="2"/>
        <v>5790</v>
      </c>
      <c r="F37" s="9"/>
      <c r="G37" s="9"/>
    </row>
    <row r="38" spans="1:7">
      <c r="A38" s="341" t="s">
        <v>509</v>
      </c>
      <c r="B38" s="341" t="s">
        <v>510</v>
      </c>
      <c r="C38" s="9">
        <v>137</v>
      </c>
      <c r="D38" s="9"/>
      <c r="E38" s="9">
        <f t="shared" si="2"/>
        <v>5927</v>
      </c>
      <c r="F38" s="9"/>
      <c r="G38" s="9"/>
    </row>
    <row r="39" spans="1:7">
      <c r="A39" s="343" t="s">
        <v>509</v>
      </c>
      <c r="B39" s="344" t="s">
        <v>462</v>
      </c>
      <c r="C39" s="9">
        <v>35</v>
      </c>
      <c r="D39" s="9"/>
      <c r="E39" s="9">
        <f t="shared" si="2"/>
        <v>5962</v>
      </c>
      <c r="F39" s="9"/>
      <c r="G39" s="9"/>
    </row>
    <row r="40" spans="1:7">
      <c r="A40" s="9" t="s">
        <v>516</v>
      </c>
      <c r="B40" s="9" t="s">
        <v>517</v>
      </c>
      <c r="C40" s="9">
        <v>9</v>
      </c>
      <c r="D40" s="9"/>
      <c r="E40" s="9">
        <f t="shared" si="2"/>
        <v>5971</v>
      </c>
      <c r="F40" s="9"/>
      <c r="G40" s="9"/>
    </row>
    <row r="41" spans="1:7">
      <c r="A41" s="349" t="s">
        <v>516</v>
      </c>
      <c r="B41" s="350" t="s">
        <v>521</v>
      </c>
      <c r="C41" s="9">
        <v>30</v>
      </c>
      <c r="D41" s="9"/>
      <c r="E41" s="9">
        <f t="shared" si="2"/>
        <v>6001</v>
      </c>
      <c r="F41" s="9"/>
      <c r="G41" s="9"/>
    </row>
    <row r="42" spans="1:7">
      <c r="A42" s="348" t="s">
        <v>516</v>
      </c>
      <c r="B42" s="348" t="s">
        <v>433</v>
      </c>
      <c r="C42" s="9">
        <v>382</v>
      </c>
      <c r="D42" s="9"/>
      <c r="E42" s="9">
        <f t="shared" si="2"/>
        <v>6383</v>
      </c>
      <c r="F42" s="9"/>
      <c r="G42" s="9"/>
    </row>
    <row r="43" spans="1:7">
      <c r="A43" s="347" t="s">
        <v>516</v>
      </c>
      <c r="B43" s="348" t="s">
        <v>525</v>
      </c>
      <c r="C43" s="9">
        <v>5</v>
      </c>
      <c r="D43" s="9"/>
      <c r="E43" s="9">
        <f t="shared" si="2"/>
        <v>6388</v>
      </c>
      <c r="F43" s="9"/>
      <c r="G43" s="9"/>
    </row>
    <row r="44" spans="1:7">
      <c r="A44" s="348" t="s">
        <v>526</v>
      </c>
      <c r="B44" s="348" t="s">
        <v>462</v>
      </c>
      <c r="C44" s="9">
        <v>17</v>
      </c>
      <c r="D44" s="9"/>
      <c r="E44" s="9">
        <f t="shared" si="2"/>
        <v>6405</v>
      </c>
      <c r="F44" s="9"/>
      <c r="G44" s="9"/>
    </row>
    <row r="45" spans="1:7">
      <c r="A45" s="347" t="s">
        <v>531</v>
      </c>
      <c r="B45" s="348" t="s">
        <v>16</v>
      </c>
      <c r="C45" s="9">
        <v>60</v>
      </c>
      <c r="D45" s="9"/>
      <c r="E45" s="9">
        <f>E44+C45-D45</f>
        <v>6465</v>
      </c>
      <c r="F45" s="9"/>
      <c r="G45" s="348" t="s">
        <v>46</v>
      </c>
    </row>
    <row r="46" spans="1:7">
      <c r="A46" s="125" t="s">
        <v>541</v>
      </c>
      <c r="B46" s="9" t="s">
        <v>543</v>
      </c>
      <c r="C46" s="9"/>
      <c r="D46" s="9">
        <v>236</v>
      </c>
      <c r="E46" s="9">
        <f t="shared" si="2"/>
        <v>6229</v>
      </c>
      <c r="F46" s="9"/>
      <c r="G46" s="9"/>
    </row>
    <row r="47" spans="1:7">
      <c r="A47" s="125" t="s">
        <v>544</v>
      </c>
      <c r="B47" s="9" t="s">
        <v>17</v>
      </c>
      <c r="C47" s="9"/>
      <c r="D47" s="9">
        <v>300</v>
      </c>
      <c r="E47" s="9">
        <f t="shared" si="2"/>
        <v>5929</v>
      </c>
      <c r="F47" s="9"/>
      <c r="G47" s="353" t="s">
        <v>46</v>
      </c>
    </row>
    <row r="48" spans="1:7">
      <c r="A48" s="359" t="s">
        <v>546</v>
      </c>
      <c r="B48" s="359" t="s">
        <v>444</v>
      </c>
      <c r="C48" s="9">
        <v>50</v>
      </c>
      <c r="D48" s="9"/>
      <c r="E48" s="9">
        <f t="shared" si="2"/>
        <v>5979</v>
      </c>
      <c r="F48" s="9"/>
      <c r="G48" s="9"/>
    </row>
    <row r="49" spans="1:7">
      <c r="A49" s="357" t="s">
        <v>546</v>
      </c>
      <c r="B49" s="357" t="s">
        <v>17</v>
      </c>
      <c r="C49" s="9"/>
      <c r="D49" s="9">
        <v>200</v>
      </c>
      <c r="E49" s="9">
        <f t="shared" si="2"/>
        <v>5779</v>
      </c>
      <c r="F49" s="9"/>
      <c r="G49" s="9"/>
    </row>
    <row r="50" spans="1:7">
      <c r="A50" s="357" t="s">
        <v>551</v>
      </c>
      <c r="B50" s="357" t="s">
        <v>17</v>
      </c>
      <c r="C50" s="9"/>
      <c r="D50" s="9">
        <v>270</v>
      </c>
      <c r="E50" s="9">
        <f>E49+C50-D50</f>
        <v>5509</v>
      </c>
      <c r="F50" s="9"/>
      <c r="G50" s="357" t="s">
        <v>46</v>
      </c>
    </row>
    <row r="51" spans="1:7">
      <c r="A51" s="365" t="s">
        <v>557</v>
      </c>
      <c r="B51" s="365" t="s">
        <v>433</v>
      </c>
      <c r="C51" s="9">
        <v>27</v>
      </c>
      <c r="D51" s="9"/>
      <c r="E51" s="9">
        <f t="shared" ref="E51:E112" si="3">E50+C51-D51</f>
        <v>5536</v>
      </c>
      <c r="F51" s="9"/>
      <c r="G51" s="9"/>
    </row>
    <row r="52" spans="1:7">
      <c r="A52" s="365" t="s">
        <v>557</v>
      </c>
      <c r="B52" s="365" t="s">
        <v>561</v>
      </c>
      <c r="C52" s="9"/>
      <c r="D52" s="9">
        <v>260</v>
      </c>
      <c r="E52" s="9">
        <f t="shared" si="3"/>
        <v>5276</v>
      </c>
      <c r="F52" s="9"/>
      <c r="G52" s="9"/>
    </row>
    <row r="53" spans="1:7">
      <c r="A53" s="364" t="s">
        <v>557</v>
      </c>
      <c r="B53" s="364" t="s">
        <v>563</v>
      </c>
      <c r="C53" s="9"/>
      <c r="D53" s="9">
        <v>336</v>
      </c>
      <c r="E53" s="9">
        <f t="shared" si="3"/>
        <v>4940</v>
      </c>
      <c r="F53" s="9"/>
      <c r="G53" s="365" t="s">
        <v>46</v>
      </c>
    </row>
    <row r="54" spans="1:7">
      <c r="A54" s="368" t="s">
        <v>564</v>
      </c>
      <c r="B54" s="369" t="s">
        <v>24</v>
      </c>
      <c r="C54" s="9">
        <v>72</v>
      </c>
      <c r="D54" s="9"/>
      <c r="E54" s="9">
        <f t="shared" si="3"/>
        <v>5012</v>
      </c>
      <c r="F54" s="9"/>
      <c r="G54" s="9"/>
    </row>
    <row r="55" spans="1:7">
      <c r="A55" s="368" t="s">
        <v>564</v>
      </c>
      <c r="B55" s="369" t="s">
        <v>524</v>
      </c>
      <c r="C55" s="9">
        <v>2</v>
      </c>
      <c r="D55" s="9"/>
      <c r="E55" s="9">
        <f t="shared" si="3"/>
        <v>5014</v>
      </c>
      <c r="F55" s="9"/>
      <c r="G55" s="9"/>
    </row>
    <row r="56" spans="1:7">
      <c r="A56" s="368" t="s">
        <v>564</v>
      </c>
      <c r="B56" s="369" t="s">
        <v>552</v>
      </c>
      <c r="C56" s="9">
        <v>100</v>
      </c>
      <c r="D56" s="9"/>
      <c r="E56" s="9">
        <f t="shared" si="3"/>
        <v>5114</v>
      </c>
      <c r="F56" s="9"/>
      <c r="G56" s="9"/>
    </row>
    <row r="57" spans="1:7">
      <c r="A57" s="369" t="s">
        <v>564</v>
      </c>
      <c r="B57" s="369" t="s">
        <v>567</v>
      </c>
      <c r="C57" s="9"/>
      <c r="D57" s="9">
        <v>600</v>
      </c>
      <c r="E57" s="9">
        <f t="shared" si="3"/>
        <v>4514</v>
      </c>
      <c r="F57" s="9"/>
      <c r="G57" s="9"/>
    </row>
    <row r="58" spans="1:7">
      <c r="A58" s="368" t="s">
        <v>564</v>
      </c>
      <c r="B58" s="369" t="s">
        <v>568</v>
      </c>
      <c r="C58" s="9"/>
      <c r="D58" s="9">
        <v>300</v>
      </c>
      <c r="E58" s="9">
        <f t="shared" si="3"/>
        <v>4214</v>
      </c>
      <c r="F58" s="9"/>
      <c r="G58" s="9"/>
    </row>
    <row r="59" spans="1:7">
      <c r="A59" s="369" t="s">
        <v>569</v>
      </c>
      <c r="B59" s="369" t="s">
        <v>24</v>
      </c>
      <c r="C59" s="9">
        <v>22</v>
      </c>
      <c r="D59" s="9"/>
      <c r="E59" s="9">
        <f t="shared" si="3"/>
        <v>4236</v>
      </c>
      <c r="F59" s="9"/>
      <c r="G59" s="9"/>
    </row>
    <row r="60" spans="1:7">
      <c r="A60" s="370" t="s">
        <v>569</v>
      </c>
      <c r="B60" s="371" t="s">
        <v>8</v>
      </c>
      <c r="C60" s="9">
        <v>30</v>
      </c>
      <c r="D60" s="9"/>
      <c r="E60" s="9">
        <f t="shared" si="3"/>
        <v>4266</v>
      </c>
      <c r="F60" s="9"/>
      <c r="G60" s="9"/>
    </row>
    <row r="61" spans="1:7">
      <c r="A61" s="369" t="s">
        <v>569</v>
      </c>
      <c r="B61" s="369" t="s">
        <v>434</v>
      </c>
      <c r="C61" s="9">
        <v>148</v>
      </c>
      <c r="D61" s="9"/>
      <c r="E61" s="9">
        <f t="shared" si="3"/>
        <v>4414</v>
      </c>
      <c r="F61" s="9"/>
      <c r="G61" s="9"/>
    </row>
    <row r="62" spans="1:7">
      <c r="A62" s="369" t="s">
        <v>569</v>
      </c>
      <c r="B62" s="369" t="s">
        <v>577</v>
      </c>
      <c r="C62" s="9">
        <v>14</v>
      </c>
      <c r="D62" s="9"/>
      <c r="E62" s="9">
        <f t="shared" si="3"/>
        <v>4428</v>
      </c>
      <c r="F62" s="9"/>
      <c r="G62" s="9"/>
    </row>
    <row r="63" spans="1:7">
      <c r="A63" s="369" t="s">
        <v>569</v>
      </c>
      <c r="B63" s="369" t="s">
        <v>17</v>
      </c>
      <c r="C63" s="9"/>
      <c r="D63" s="9">
        <v>600</v>
      </c>
      <c r="E63" s="9">
        <f t="shared" si="3"/>
        <v>3828</v>
      </c>
      <c r="F63" s="9"/>
      <c r="G63" s="369" t="s">
        <v>46</v>
      </c>
    </row>
    <row r="64" spans="1:7">
      <c r="A64" s="375" t="s">
        <v>581</v>
      </c>
      <c r="B64" s="375" t="s">
        <v>523</v>
      </c>
      <c r="C64" s="9">
        <v>242</v>
      </c>
      <c r="D64" s="9"/>
      <c r="E64" s="9">
        <f t="shared" si="3"/>
        <v>4070</v>
      </c>
      <c r="F64" s="9"/>
      <c r="G64" s="9"/>
    </row>
    <row r="65" spans="1:7">
      <c r="A65" s="374" t="s">
        <v>581</v>
      </c>
      <c r="B65" s="375" t="s">
        <v>583</v>
      </c>
      <c r="C65" s="9"/>
      <c r="D65" s="9">
        <v>1100</v>
      </c>
      <c r="E65" s="9">
        <f t="shared" si="3"/>
        <v>2970</v>
      </c>
      <c r="F65" s="9"/>
      <c r="G65" s="9"/>
    </row>
    <row r="66" spans="1:7">
      <c r="A66" s="375" t="s">
        <v>586</v>
      </c>
      <c r="B66" s="375" t="s">
        <v>445</v>
      </c>
      <c r="C66" s="9">
        <v>6</v>
      </c>
      <c r="D66" s="9"/>
      <c r="E66" s="9">
        <f t="shared" si="3"/>
        <v>2976</v>
      </c>
      <c r="F66" s="9"/>
      <c r="G66" s="9"/>
    </row>
    <row r="67" spans="1:7">
      <c r="A67" s="375" t="s">
        <v>586</v>
      </c>
      <c r="B67" s="375" t="s">
        <v>16</v>
      </c>
      <c r="C67" s="9">
        <v>42</v>
      </c>
      <c r="D67" s="9"/>
      <c r="E67" s="9">
        <f t="shared" si="3"/>
        <v>3018</v>
      </c>
      <c r="F67" s="9"/>
      <c r="G67" s="9"/>
    </row>
    <row r="68" spans="1:7">
      <c r="A68" s="375" t="s">
        <v>586</v>
      </c>
      <c r="B68" s="375" t="s">
        <v>591</v>
      </c>
      <c r="C68" s="9"/>
      <c r="D68" s="9">
        <v>860</v>
      </c>
      <c r="E68" s="9">
        <f t="shared" si="3"/>
        <v>2158</v>
      </c>
      <c r="F68" s="9"/>
      <c r="G68" s="375" t="s">
        <v>46</v>
      </c>
    </row>
    <row r="69" spans="1:7">
      <c r="A69" s="9" t="s">
        <v>594</v>
      </c>
      <c r="B69" s="9" t="s">
        <v>595</v>
      </c>
      <c r="C69" s="9">
        <v>250</v>
      </c>
      <c r="D69" s="9"/>
      <c r="E69" s="9">
        <f t="shared" si="3"/>
        <v>2408</v>
      </c>
      <c r="F69" s="9"/>
      <c r="G69" s="9"/>
    </row>
    <row r="70" spans="1:7">
      <c r="A70" s="380" t="s">
        <v>594</v>
      </c>
      <c r="B70" s="381" t="s">
        <v>596</v>
      </c>
      <c r="C70" s="9">
        <v>10</v>
      </c>
      <c r="D70" s="9"/>
      <c r="E70" s="9">
        <f t="shared" si="3"/>
        <v>2418</v>
      </c>
      <c r="F70" s="9"/>
      <c r="G70" s="9"/>
    </row>
    <row r="71" spans="1:7">
      <c r="A71" s="380" t="s">
        <v>594</v>
      </c>
      <c r="B71" s="381" t="s">
        <v>17</v>
      </c>
      <c r="C71" s="9"/>
      <c r="D71" s="9">
        <v>87</v>
      </c>
      <c r="E71" s="9">
        <f t="shared" si="3"/>
        <v>2331</v>
      </c>
      <c r="F71" s="9"/>
      <c r="G71" s="381" t="s">
        <v>46</v>
      </c>
    </row>
    <row r="72" spans="1:7">
      <c r="A72" s="9" t="s">
        <v>598</v>
      </c>
      <c r="B72" s="9" t="s">
        <v>587</v>
      </c>
      <c r="C72" s="9">
        <v>2</v>
      </c>
      <c r="D72" s="9"/>
      <c r="E72" s="9">
        <f t="shared" si="3"/>
        <v>2333</v>
      </c>
      <c r="F72" s="9"/>
      <c r="G72" s="9"/>
    </row>
    <row r="73" spans="1:7" ht="15">
      <c r="A73" s="95" t="s">
        <v>598</v>
      </c>
      <c r="B73" s="34" t="s">
        <v>600</v>
      </c>
      <c r="C73" s="9">
        <v>34</v>
      </c>
      <c r="D73" s="9"/>
      <c r="E73" s="9">
        <f t="shared" si="3"/>
        <v>2367</v>
      </c>
      <c r="F73" s="9"/>
      <c r="G73" s="386" t="s">
        <v>46</v>
      </c>
    </row>
    <row r="74" spans="1:7" ht="15">
      <c r="A74" s="37">
        <v>43102</v>
      </c>
      <c r="B74" s="33" t="s">
        <v>601</v>
      </c>
      <c r="C74" s="9">
        <v>16</v>
      </c>
      <c r="D74" s="9"/>
      <c r="E74" s="9">
        <f t="shared" si="3"/>
        <v>2383</v>
      </c>
      <c r="F74" s="9"/>
      <c r="G74" s="9"/>
    </row>
    <row r="75" spans="1:7">
      <c r="A75" s="57">
        <v>43102</v>
      </c>
      <c r="B75" s="389" t="s">
        <v>560</v>
      </c>
      <c r="C75" s="9"/>
      <c r="D75" s="9">
        <v>300</v>
      </c>
      <c r="E75" s="9">
        <f t="shared" si="3"/>
        <v>2083</v>
      </c>
      <c r="F75" s="9"/>
      <c r="G75" s="390" t="s">
        <v>46</v>
      </c>
    </row>
    <row r="76" spans="1:7">
      <c r="A76" s="21">
        <v>43133</v>
      </c>
      <c r="B76" s="9" t="s">
        <v>13</v>
      </c>
      <c r="C76" s="9">
        <v>16</v>
      </c>
      <c r="D76" s="9"/>
      <c r="E76" s="9">
        <f t="shared" si="3"/>
        <v>2099</v>
      </c>
      <c r="F76" s="9"/>
      <c r="G76" s="9"/>
    </row>
    <row r="77" spans="1:7">
      <c r="A77" s="42">
        <v>43133</v>
      </c>
      <c r="B77" s="395" t="s">
        <v>462</v>
      </c>
      <c r="C77" s="9">
        <v>66</v>
      </c>
      <c r="D77" s="9"/>
      <c r="E77" s="9">
        <f t="shared" si="3"/>
        <v>2165</v>
      </c>
      <c r="F77" s="9"/>
      <c r="G77" s="9"/>
    </row>
    <row r="78" spans="1:7">
      <c r="A78" s="21">
        <v>43133</v>
      </c>
      <c r="B78" s="395" t="s">
        <v>16</v>
      </c>
      <c r="C78" s="9">
        <v>50</v>
      </c>
      <c r="D78" s="9"/>
      <c r="E78" s="9">
        <f t="shared" si="3"/>
        <v>2215</v>
      </c>
      <c r="F78" s="9"/>
      <c r="G78" s="395" t="s">
        <v>46</v>
      </c>
    </row>
    <row r="79" spans="1:7">
      <c r="A79" s="42">
        <v>43222</v>
      </c>
      <c r="B79" s="401" t="s">
        <v>604</v>
      </c>
      <c r="C79" s="9">
        <v>9</v>
      </c>
      <c r="D79" s="9"/>
      <c r="E79" s="9">
        <f t="shared" si="3"/>
        <v>2224</v>
      </c>
      <c r="F79" s="9"/>
      <c r="G79" s="9"/>
    </row>
    <row r="80" spans="1:7">
      <c r="A80" s="21">
        <v>43222</v>
      </c>
      <c r="B80" s="401" t="s">
        <v>606</v>
      </c>
      <c r="C80" s="9">
        <v>19</v>
      </c>
      <c r="D80" s="9"/>
      <c r="E80" s="9">
        <f t="shared" si="3"/>
        <v>2243</v>
      </c>
      <c r="F80" s="9"/>
      <c r="G80" s="9"/>
    </row>
    <row r="81" spans="1:7">
      <c r="A81" s="21">
        <v>43222</v>
      </c>
      <c r="B81" s="401" t="s">
        <v>607</v>
      </c>
      <c r="C81" s="9">
        <v>25</v>
      </c>
      <c r="D81" s="9"/>
      <c r="E81" s="9">
        <f t="shared" si="3"/>
        <v>2268</v>
      </c>
      <c r="F81" s="9"/>
      <c r="G81" s="9"/>
    </row>
    <row r="82" spans="1:7">
      <c r="A82" s="21">
        <v>43222</v>
      </c>
      <c r="B82" s="401" t="s">
        <v>17</v>
      </c>
      <c r="C82" s="9"/>
      <c r="D82" s="9">
        <v>150</v>
      </c>
      <c r="E82" s="9">
        <f t="shared" si="3"/>
        <v>2118</v>
      </c>
      <c r="F82" s="9"/>
      <c r="G82" s="401" t="s">
        <v>46</v>
      </c>
    </row>
    <row r="83" spans="1:7">
      <c r="A83" s="21">
        <v>43253</v>
      </c>
      <c r="B83" s="9" t="s">
        <v>609</v>
      </c>
      <c r="C83" s="9">
        <v>40</v>
      </c>
      <c r="D83" s="9"/>
      <c r="E83" s="9">
        <f t="shared" si="3"/>
        <v>2158</v>
      </c>
      <c r="F83" s="9"/>
      <c r="G83" s="407" t="s">
        <v>46</v>
      </c>
    </row>
    <row r="84" spans="1:7">
      <c r="A84" s="21">
        <v>43283</v>
      </c>
      <c r="B84" s="411" t="s">
        <v>612</v>
      </c>
      <c r="C84" s="9">
        <v>700</v>
      </c>
      <c r="D84" s="9"/>
      <c r="E84" s="9">
        <f t="shared" si="3"/>
        <v>2858</v>
      </c>
      <c r="F84" s="9"/>
      <c r="G84" s="9"/>
    </row>
    <row r="85" spans="1:7">
      <c r="A85" s="21">
        <v>43283</v>
      </c>
      <c r="B85" s="411" t="s">
        <v>614</v>
      </c>
      <c r="C85" s="9">
        <v>21</v>
      </c>
      <c r="D85" s="9"/>
      <c r="E85" s="9">
        <f t="shared" si="3"/>
        <v>2879</v>
      </c>
      <c r="F85" s="9"/>
      <c r="G85" s="9"/>
    </row>
    <row r="86" spans="1:7">
      <c r="A86" s="21">
        <v>43283</v>
      </c>
      <c r="B86" s="411" t="s">
        <v>615</v>
      </c>
      <c r="C86" s="9">
        <v>7</v>
      </c>
      <c r="D86" s="9"/>
      <c r="E86" s="9">
        <f t="shared" si="3"/>
        <v>2886</v>
      </c>
      <c r="F86" s="9"/>
      <c r="G86" s="9"/>
    </row>
    <row r="87" spans="1:7">
      <c r="A87" s="42">
        <v>43283</v>
      </c>
      <c r="B87" s="411" t="s">
        <v>560</v>
      </c>
      <c r="C87" s="9"/>
      <c r="D87" s="9">
        <v>800</v>
      </c>
      <c r="E87" s="9">
        <f t="shared" si="3"/>
        <v>2086</v>
      </c>
      <c r="F87" s="9"/>
      <c r="G87" s="9"/>
    </row>
    <row r="88" spans="1:7">
      <c r="A88" s="42">
        <v>43314</v>
      </c>
      <c r="B88" s="411" t="s">
        <v>510</v>
      </c>
      <c r="C88" s="9">
        <v>40</v>
      </c>
      <c r="D88" s="9"/>
      <c r="E88" s="9">
        <f t="shared" si="3"/>
        <v>2126</v>
      </c>
      <c r="F88" s="9"/>
      <c r="G88" s="9"/>
    </row>
    <row r="89" spans="1:7">
      <c r="A89" s="21">
        <v>43314</v>
      </c>
      <c r="B89" s="411" t="s">
        <v>619</v>
      </c>
      <c r="C89" s="9">
        <v>43</v>
      </c>
      <c r="D89" s="9"/>
      <c r="E89" s="9">
        <f t="shared" si="3"/>
        <v>2169</v>
      </c>
      <c r="F89" s="9"/>
      <c r="G89" s="9"/>
    </row>
    <row r="90" spans="1:7">
      <c r="A90" s="322">
        <v>43324</v>
      </c>
      <c r="B90" s="25" t="s">
        <v>587</v>
      </c>
      <c r="C90" s="9">
        <v>3</v>
      </c>
      <c r="D90" s="9"/>
      <c r="E90" s="9">
        <f t="shared" si="3"/>
        <v>2172</v>
      </c>
      <c r="F90" s="9"/>
      <c r="G90" s="9"/>
    </row>
    <row r="91" spans="1:7">
      <c r="A91" s="42">
        <v>43314</v>
      </c>
      <c r="B91" s="411" t="s">
        <v>616</v>
      </c>
      <c r="C91" s="9"/>
      <c r="D91" s="9">
        <v>30</v>
      </c>
      <c r="E91" s="9">
        <f t="shared" si="3"/>
        <v>2142</v>
      </c>
      <c r="F91" s="9"/>
      <c r="G91" s="411" t="s">
        <v>46</v>
      </c>
    </row>
    <row r="92" spans="1:7">
      <c r="A92" s="42">
        <v>43345</v>
      </c>
      <c r="B92" s="415" t="s">
        <v>427</v>
      </c>
      <c r="C92" s="9">
        <v>25</v>
      </c>
      <c r="D92" s="9"/>
      <c r="E92" s="9">
        <f t="shared" si="3"/>
        <v>2167</v>
      </c>
      <c r="F92" s="9"/>
      <c r="G92" s="9"/>
    </row>
    <row r="93" spans="1:7">
      <c r="A93" s="21">
        <v>43345</v>
      </c>
      <c r="B93" s="415" t="s">
        <v>624</v>
      </c>
      <c r="C93" s="9">
        <v>42</v>
      </c>
      <c r="D93" s="9"/>
      <c r="E93" s="9">
        <f t="shared" si="3"/>
        <v>2209</v>
      </c>
      <c r="F93" s="9"/>
      <c r="G93" s="415" t="s">
        <v>46</v>
      </c>
    </row>
    <row r="94" spans="1:7">
      <c r="A94" s="57">
        <v>43375</v>
      </c>
      <c r="B94" s="423" t="s">
        <v>627</v>
      </c>
      <c r="C94" s="9"/>
      <c r="D94" s="9">
        <v>80</v>
      </c>
      <c r="E94" s="9">
        <f t="shared" si="3"/>
        <v>2129</v>
      </c>
      <c r="F94" s="9"/>
      <c r="G94" s="422"/>
    </row>
    <row r="95" spans="1:7">
      <c r="A95" s="429" t="s">
        <v>630</v>
      </c>
      <c r="B95" s="429" t="s">
        <v>632</v>
      </c>
      <c r="C95" s="9">
        <v>42</v>
      </c>
      <c r="D95" s="9"/>
      <c r="E95" s="9">
        <f t="shared" si="3"/>
        <v>2171</v>
      </c>
      <c r="F95" s="9"/>
      <c r="G95" s="9"/>
    </row>
    <row r="96" spans="1:7">
      <c r="A96" s="429" t="s">
        <v>630</v>
      </c>
      <c r="B96" s="429" t="s">
        <v>587</v>
      </c>
      <c r="C96" s="9">
        <v>5</v>
      </c>
      <c r="D96" s="9"/>
      <c r="E96" s="9">
        <f t="shared" si="3"/>
        <v>2176</v>
      </c>
      <c r="F96" s="9"/>
      <c r="G96" s="9"/>
    </row>
    <row r="97" spans="1:7">
      <c r="A97" s="429" t="s">
        <v>630</v>
      </c>
      <c r="B97" s="429" t="s">
        <v>510</v>
      </c>
      <c r="C97" s="9">
        <v>76</v>
      </c>
      <c r="D97" s="9"/>
      <c r="E97" s="9">
        <f t="shared" si="3"/>
        <v>2252</v>
      </c>
      <c r="F97" s="9"/>
      <c r="G97" s="429"/>
    </row>
    <row r="98" spans="1:7">
      <c r="A98" s="9" t="s">
        <v>630</v>
      </c>
      <c r="B98" s="9" t="s">
        <v>616</v>
      </c>
      <c r="C98" s="9"/>
      <c r="D98" s="9">
        <v>70</v>
      </c>
      <c r="E98" s="9">
        <f t="shared" si="3"/>
        <v>2182</v>
      </c>
      <c r="F98" s="9"/>
      <c r="G98" s="9"/>
    </row>
    <row r="99" spans="1:7">
      <c r="A99" s="434" t="s">
        <v>638</v>
      </c>
      <c r="B99" s="434" t="s">
        <v>642</v>
      </c>
      <c r="C99" s="9"/>
      <c r="D99" s="9">
        <v>130</v>
      </c>
      <c r="E99" s="9">
        <f t="shared" si="3"/>
        <v>2052</v>
      </c>
      <c r="F99" s="9"/>
      <c r="G99" s="434"/>
    </row>
    <row r="100" spans="1:7">
      <c r="A100" s="436" t="s">
        <v>644</v>
      </c>
      <c r="B100" s="437" t="s">
        <v>616</v>
      </c>
      <c r="C100" s="9">
        <v>151</v>
      </c>
      <c r="D100" s="9"/>
      <c r="E100" s="9">
        <f t="shared" si="3"/>
        <v>2203</v>
      </c>
      <c r="F100" s="9"/>
      <c r="G100" s="9"/>
    </row>
    <row r="101" spans="1:7">
      <c r="A101" s="436" t="s">
        <v>644</v>
      </c>
      <c r="B101" s="437" t="s">
        <v>646</v>
      </c>
      <c r="C101" s="9"/>
      <c r="D101" s="9">
        <v>20</v>
      </c>
      <c r="E101" s="9">
        <f t="shared" si="3"/>
        <v>2183</v>
      </c>
      <c r="F101" s="9"/>
      <c r="G101" s="9"/>
    </row>
    <row r="102" spans="1:7">
      <c r="A102" s="437" t="s">
        <v>644</v>
      </c>
      <c r="B102" s="437" t="s">
        <v>648</v>
      </c>
      <c r="C102" s="9"/>
      <c r="D102" s="9">
        <v>58</v>
      </c>
      <c r="E102" s="9">
        <f t="shared" si="3"/>
        <v>2125</v>
      </c>
      <c r="F102" s="9"/>
      <c r="G102" s="437"/>
    </row>
    <row r="103" spans="1:7">
      <c r="A103" s="443" t="s">
        <v>651</v>
      </c>
      <c r="B103" s="444" t="s">
        <v>654</v>
      </c>
      <c r="C103" s="9">
        <v>68</v>
      </c>
      <c r="D103" s="9"/>
      <c r="E103" s="9">
        <f t="shared" si="3"/>
        <v>2193</v>
      </c>
      <c r="F103" s="9"/>
      <c r="G103" s="9"/>
    </row>
    <row r="104" spans="1:7">
      <c r="A104" s="445" t="s">
        <v>651</v>
      </c>
      <c r="B104" s="445" t="s">
        <v>587</v>
      </c>
      <c r="C104" s="9">
        <v>4</v>
      </c>
      <c r="D104" s="9"/>
      <c r="E104" s="9">
        <f t="shared" si="3"/>
        <v>2197</v>
      </c>
      <c r="F104" s="9"/>
      <c r="G104" s="9"/>
    </row>
    <row r="105" spans="1:7">
      <c r="A105" s="444" t="s">
        <v>651</v>
      </c>
      <c r="B105" s="444" t="s">
        <v>434</v>
      </c>
      <c r="C105" s="9">
        <v>76</v>
      </c>
      <c r="D105" s="9"/>
      <c r="E105" s="9">
        <f t="shared" si="3"/>
        <v>2273</v>
      </c>
      <c r="F105" s="9"/>
      <c r="G105" s="9"/>
    </row>
    <row r="106" spans="1:7">
      <c r="A106" s="446" t="s">
        <v>651</v>
      </c>
      <c r="B106" s="445" t="s">
        <v>434</v>
      </c>
      <c r="C106" s="9">
        <v>26</v>
      </c>
      <c r="D106" s="9"/>
      <c r="E106" s="9">
        <f t="shared" si="3"/>
        <v>2299</v>
      </c>
      <c r="F106" s="9"/>
      <c r="G106" s="9"/>
    </row>
    <row r="107" spans="1:7">
      <c r="A107" s="444" t="s">
        <v>651</v>
      </c>
      <c r="B107" s="444" t="s">
        <v>655</v>
      </c>
      <c r="C107" s="9">
        <v>150</v>
      </c>
      <c r="D107" s="9"/>
      <c r="E107" s="9">
        <f t="shared" si="3"/>
        <v>2449</v>
      </c>
      <c r="F107" s="9"/>
      <c r="G107" s="9"/>
    </row>
    <row r="108" spans="1:7">
      <c r="A108" s="445" t="s">
        <v>656</v>
      </c>
      <c r="B108" s="445" t="s">
        <v>657</v>
      </c>
      <c r="C108" s="9">
        <v>18</v>
      </c>
      <c r="D108" s="9"/>
      <c r="E108" s="9">
        <f t="shared" si="3"/>
        <v>2467</v>
      </c>
      <c r="F108" s="9"/>
      <c r="G108" s="444"/>
    </row>
    <row r="109" spans="1:7">
      <c r="A109" s="448" t="s">
        <v>661</v>
      </c>
      <c r="B109" s="449" t="s">
        <v>662</v>
      </c>
      <c r="C109" s="9">
        <v>42</v>
      </c>
      <c r="D109" s="9"/>
      <c r="E109" s="9">
        <f t="shared" si="3"/>
        <v>2509</v>
      </c>
      <c r="F109" s="9"/>
      <c r="G109" s="449"/>
    </row>
    <row r="110" spans="1:7">
      <c r="A110" s="455" t="s">
        <v>665</v>
      </c>
      <c r="B110" s="456" t="s">
        <v>668</v>
      </c>
      <c r="C110" s="9"/>
      <c r="D110" s="9">
        <v>240</v>
      </c>
      <c r="E110" s="9">
        <f t="shared" si="3"/>
        <v>2269</v>
      </c>
      <c r="F110" s="9"/>
      <c r="G110" s="9"/>
    </row>
    <row r="111" spans="1:7">
      <c r="A111" s="459" t="s">
        <v>669</v>
      </c>
      <c r="B111" s="457" t="s">
        <v>456</v>
      </c>
      <c r="C111" s="9">
        <v>14</v>
      </c>
      <c r="D111" s="9"/>
      <c r="E111" s="9">
        <f t="shared" si="3"/>
        <v>2283</v>
      </c>
      <c r="F111" s="9"/>
      <c r="G111" s="9"/>
    </row>
    <row r="112" spans="1:7">
      <c r="A112" s="458" t="s">
        <v>669</v>
      </c>
      <c r="B112" s="458" t="s">
        <v>459</v>
      </c>
      <c r="C112" s="9"/>
      <c r="D112" s="9">
        <v>70</v>
      </c>
      <c r="E112" s="9">
        <f t="shared" si="3"/>
        <v>2213</v>
      </c>
      <c r="F112" s="9"/>
      <c r="G112" s="9"/>
    </row>
    <row r="113" spans="1:7">
      <c r="A113" s="459" t="s">
        <v>669</v>
      </c>
      <c r="B113" s="457" t="s">
        <v>548</v>
      </c>
      <c r="C113" s="9"/>
      <c r="D113" s="9">
        <v>76</v>
      </c>
      <c r="E113" s="9">
        <f>E112+C113-D113</f>
        <v>2137</v>
      </c>
      <c r="F113" s="9"/>
      <c r="G113" s="457"/>
    </row>
    <row r="114" spans="1:7">
      <c r="A114" s="462" t="s">
        <v>677</v>
      </c>
      <c r="B114" s="462" t="s">
        <v>616</v>
      </c>
      <c r="C114" s="9">
        <v>124</v>
      </c>
      <c r="D114" s="9"/>
      <c r="E114" s="9">
        <f t="shared" ref="E114:E178" si="4">E113+C114-D114</f>
        <v>2261</v>
      </c>
      <c r="F114" s="9"/>
      <c r="G114" s="9"/>
    </row>
    <row r="115" spans="1:7">
      <c r="A115" s="463" t="s">
        <v>677</v>
      </c>
      <c r="B115" s="462" t="s">
        <v>680</v>
      </c>
      <c r="C115" s="9">
        <v>20</v>
      </c>
      <c r="D115" s="9"/>
      <c r="E115" s="9">
        <f t="shared" si="4"/>
        <v>2281</v>
      </c>
      <c r="F115" s="9"/>
      <c r="G115" s="9"/>
    </row>
    <row r="116" spans="1:7">
      <c r="A116" s="464" t="s">
        <v>677</v>
      </c>
      <c r="B116" s="464" t="s">
        <v>682</v>
      </c>
      <c r="C116" s="9">
        <v>225</v>
      </c>
      <c r="D116" s="9"/>
      <c r="E116" s="9">
        <f t="shared" si="4"/>
        <v>2506</v>
      </c>
      <c r="F116" s="9"/>
      <c r="G116" s="9"/>
    </row>
    <row r="117" spans="1:7">
      <c r="A117" s="462" t="s">
        <v>686</v>
      </c>
      <c r="B117" s="462" t="s">
        <v>17</v>
      </c>
      <c r="C117" s="9"/>
      <c r="D117" s="9">
        <v>415</v>
      </c>
      <c r="E117" s="9">
        <f t="shared" si="4"/>
        <v>2091</v>
      </c>
      <c r="F117" s="9"/>
      <c r="G117" s="462"/>
    </row>
    <row r="118" spans="1:7">
      <c r="A118" s="469" t="s">
        <v>687</v>
      </c>
      <c r="B118" s="467" t="s">
        <v>688</v>
      </c>
      <c r="C118" s="9">
        <v>73</v>
      </c>
      <c r="D118" s="9"/>
      <c r="E118" s="9">
        <f t="shared" si="4"/>
        <v>2164</v>
      </c>
      <c r="F118" s="9"/>
      <c r="G118" s="9"/>
    </row>
    <row r="119" spans="1:7">
      <c r="A119" s="467" t="s">
        <v>687</v>
      </c>
      <c r="B119" s="467" t="s">
        <v>692</v>
      </c>
      <c r="C119" s="9">
        <v>230</v>
      </c>
      <c r="D119" s="9"/>
      <c r="E119" s="9">
        <f t="shared" si="4"/>
        <v>2394</v>
      </c>
      <c r="F119" s="9"/>
      <c r="G119" s="467" t="s">
        <v>46</v>
      </c>
    </row>
    <row r="120" spans="1:7">
      <c r="A120" s="472" t="s">
        <v>694</v>
      </c>
      <c r="B120" s="472" t="s">
        <v>697</v>
      </c>
      <c r="C120" s="9">
        <v>43</v>
      </c>
      <c r="D120" s="9"/>
      <c r="E120" s="9">
        <f t="shared" si="4"/>
        <v>2437</v>
      </c>
      <c r="F120" s="9"/>
      <c r="G120" s="9"/>
    </row>
    <row r="121" spans="1:7">
      <c r="A121" s="473" t="s">
        <v>694</v>
      </c>
      <c r="B121" s="472" t="s">
        <v>699</v>
      </c>
      <c r="C121" s="9">
        <v>9</v>
      </c>
      <c r="D121" s="9"/>
      <c r="E121" s="9">
        <f t="shared" si="4"/>
        <v>2446</v>
      </c>
      <c r="F121" s="9"/>
      <c r="G121" s="472" t="s">
        <v>46</v>
      </c>
    </row>
    <row r="122" spans="1:7">
      <c r="A122" s="319">
        <v>43103</v>
      </c>
      <c r="B122" s="7" t="s">
        <v>15</v>
      </c>
      <c r="C122" s="9">
        <v>100</v>
      </c>
      <c r="D122" s="9"/>
      <c r="E122" s="9">
        <f t="shared" si="4"/>
        <v>2546</v>
      </c>
      <c r="F122" s="9"/>
      <c r="G122" s="9"/>
    </row>
    <row r="123" spans="1:7">
      <c r="A123" s="319">
        <v>43103</v>
      </c>
      <c r="B123" s="7" t="s">
        <v>15</v>
      </c>
      <c r="C123" s="9">
        <v>15</v>
      </c>
      <c r="D123" s="9"/>
      <c r="E123" s="9">
        <f t="shared" si="4"/>
        <v>2561</v>
      </c>
      <c r="F123" s="9"/>
      <c r="G123" s="9"/>
    </row>
    <row r="124" spans="1:7">
      <c r="A124" s="21">
        <v>43134</v>
      </c>
      <c r="B124" s="482" t="s">
        <v>402</v>
      </c>
      <c r="C124" s="24">
        <v>56</v>
      </c>
      <c r="D124" s="9"/>
      <c r="E124" s="9">
        <f t="shared" si="4"/>
        <v>2617</v>
      </c>
      <c r="F124" s="9"/>
      <c r="G124" s="9"/>
    </row>
    <row r="125" spans="1:7">
      <c r="A125" s="21">
        <v>43134</v>
      </c>
      <c r="B125" s="482" t="s">
        <v>668</v>
      </c>
      <c r="C125" s="9"/>
      <c r="D125" s="9">
        <v>90</v>
      </c>
      <c r="E125" s="9">
        <f t="shared" si="4"/>
        <v>2527</v>
      </c>
      <c r="F125" s="9"/>
      <c r="G125" s="482" t="s">
        <v>46</v>
      </c>
    </row>
    <row r="126" spans="1:7">
      <c r="A126" s="489">
        <v>43162</v>
      </c>
      <c r="B126" s="487" t="s">
        <v>706</v>
      </c>
      <c r="C126" s="9"/>
      <c r="D126" s="9">
        <v>80</v>
      </c>
      <c r="E126" s="9">
        <f t="shared" si="4"/>
        <v>2447</v>
      </c>
      <c r="F126" s="9"/>
      <c r="G126" s="487"/>
    </row>
    <row r="127" spans="1:7">
      <c r="A127" s="483">
        <v>43223</v>
      </c>
      <c r="B127" s="492" t="s">
        <v>510</v>
      </c>
      <c r="C127" s="9">
        <v>25</v>
      </c>
      <c r="D127" s="9"/>
      <c r="E127" s="9">
        <f t="shared" si="4"/>
        <v>2472</v>
      </c>
      <c r="F127" s="9"/>
      <c r="G127" s="9"/>
    </row>
    <row r="128" spans="1:7">
      <c r="A128" s="21">
        <v>43223</v>
      </c>
      <c r="B128" s="492" t="s">
        <v>709</v>
      </c>
      <c r="C128" s="9"/>
      <c r="D128" s="9">
        <v>373</v>
      </c>
      <c r="E128" s="9">
        <f t="shared" si="4"/>
        <v>2099</v>
      </c>
      <c r="F128" s="9"/>
      <c r="G128" s="9"/>
    </row>
    <row r="129" spans="1:7">
      <c r="A129" s="21">
        <v>43223</v>
      </c>
      <c r="B129" s="492" t="s">
        <v>710</v>
      </c>
      <c r="C129" s="9">
        <v>70</v>
      </c>
      <c r="D129" s="9"/>
      <c r="E129" s="9">
        <f t="shared" si="4"/>
        <v>2169</v>
      </c>
      <c r="F129" s="9"/>
      <c r="G129" s="9"/>
    </row>
    <row r="130" spans="1:7">
      <c r="A130" s="21">
        <v>43254</v>
      </c>
      <c r="B130" s="492" t="s">
        <v>709</v>
      </c>
      <c r="C130" s="9"/>
      <c r="D130" s="9">
        <v>100</v>
      </c>
      <c r="E130" s="9">
        <f t="shared" si="4"/>
        <v>2069</v>
      </c>
      <c r="F130" s="9"/>
      <c r="G130" s="9"/>
    </row>
    <row r="131" spans="1:7">
      <c r="A131" s="21">
        <v>43254</v>
      </c>
      <c r="B131" s="492" t="s">
        <v>554</v>
      </c>
      <c r="C131" s="9">
        <v>7</v>
      </c>
      <c r="D131" s="9"/>
      <c r="E131" s="9">
        <f t="shared" si="4"/>
        <v>2076</v>
      </c>
      <c r="F131" s="9"/>
      <c r="G131" s="9"/>
    </row>
    <row r="132" spans="1:7">
      <c r="A132" s="21">
        <v>43254</v>
      </c>
      <c r="B132" s="492" t="s">
        <v>714</v>
      </c>
      <c r="C132" s="9">
        <v>22</v>
      </c>
      <c r="D132" s="9"/>
      <c r="E132" s="9">
        <f t="shared" si="4"/>
        <v>2098</v>
      </c>
      <c r="F132" s="9"/>
      <c r="G132" s="492"/>
    </row>
    <row r="133" spans="1:7">
      <c r="A133" s="42">
        <v>43286</v>
      </c>
      <c r="B133" s="9" t="s">
        <v>552</v>
      </c>
      <c r="C133" s="9">
        <v>50</v>
      </c>
      <c r="D133" s="9"/>
      <c r="E133" s="9">
        <f t="shared" si="4"/>
        <v>2148</v>
      </c>
      <c r="F133" s="9"/>
      <c r="G133" s="9"/>
    </row>
    <row r="134" spans="1:7">
      <c r="A134" s="21">
        <v>43315</v>
      </c>
      <c r="B134" s="9" t="s">
        <v>719</v>
      </c>
      <c r="C134" s="9">
        <v>3</v>
      </c>
      <c r="D134" s="9"/>
      <c r="E134" s="9">
        <f t="shared" si="4"/>
        <v>2151</v>
      </c>
      <c r="F134" s="9"/>
      <c r="G134" s="9"/>
    </row>
    <row r="135" spans="1:7">
      <c r="A135" s="42">
        <v>43315</v>
      </c>
      <c r="B135" s="497" t="s">
        <v>522</v>
      </c>
      <c r="C135" s="9">
        <v>40</v>
      </c>
      <c r="D135" s="9"/>
      <c r="E135" s="9">
        <f t="shared" si="4"/>
        <v>2191</v>
      </c>
      <c r="F135" s="9"/>
      <c r="G135" s="9"/>
    </row>
    <row r="136" spans="1:7">
      <c r="A136" s="42">
        <v>43315</v>
      </c>
      <c r="B136" s="497" t="s">
        <v>720</v>
      </c>
      <c r="C136" s="9">
        <v>38</v>
      </c>
      <c r="D136" s="9"/>
      <c r="E136" s="9">
        <f t="shared" si="4"/>
        <v>2229</v>
      </c>
      <c r="F136" s="9"/>
      <c r="G136" s="9"/>
    </row>
    <row r="137" spans="1:7">
      <c r="A137" s="21">
        <v>43315</v>
      </c>
      <c r="B137" s="429" t="s">
        <v>406</v>
      </c>
      <c r="C137" s="9"/>
      <c r="D137" s="9">
        <v>123</v>
      </c>
      <c r="E137" s="9">
        <f t="shared" si="4"/>
        <v>2106</v>
      </c>
      <c r="F137" s="9"/>
      <c r="G137" s="9"/>
    </row>
    <row r="138" spans="1:7">
      <c r="A138" s="21">
        <v>43346</v>
      </c>
      <c r="B138" s="497" t="s">
        <v>612</v>
      </c>
      <c r="C138" s="9">
        <v>180</v>
      </c>
      <c r="D138" s="9"/>
      <c r="E138" s="9">
        <f t="shared" si="4"/>
        <v>2286</v>
      </c>
      <c r="F138" s="9"/>
      <c r="G138" s="9"/>
    </row>
    <row r="139" spans="1:7">
      <c r="A139" s="21">
        <v>43346</v>
      </c>
      <c r="B139" s="497" t="s">
        <v>678</v>
      </c>
      <c r="C139" s="9">
        <v>98</v>
      </c>
      <c r="D139" s="9"/>
      <c r="E139" s="9">
        <f t="shared" si="4"/>
        <v>2384</v>
      </c>
      <c r="F139" s="9"/>
      <c r="G139" s="9"/>
    </row>
    <row r="140" spans="1:7">
      <c r="A140" s="42">
        <v>43346</v>
      </c>
      <c r="B140" s="497" t="s">
        <v>722</v>
      </c>
      <c r="C140" s="9"/>
      <c r="D140" s="9">
        <v>200</v>
      </c>
      <c r="E140" s="9">
        <f t="shared" si="4"/>
        <v>2184</v>
      </c>
      <c r="F140" s="9"/>
      <c r="G140" s="9"/>
    </row>
    <row r="141" spans="1:7">
      <c r="A141" s="42">
        <v>43376</v>
      </c>
      <c r="B141" s="498" t="s">
        <v>708</v>
      </c>
      <c r="C141" s="9">
        <v>44</v>
      </c>
      <c r="D141" s="9"/>
      <c r="E141" s="9">
        <f t="shared" si="4"/>
        <v>2228</v>
      </c>
      <c r="F141" s="9"/>
      <c r="G141" s="9"/>
    </row>
    <row r="142" spans="1:7">
      <c r="A142" s="42">
        <v>43376</v>
      </c>
      <c r="B142" s="498" t="s">
        <v>725</v>
      </c>
      <c r="C142" s="9"/>
      <c r="D142" s="9">
        <v>130</v>
      </c>
      <c r="E142" s="9">
        <f t="shared" si="4"/>
        <v>2098</v>
      </c>
      <c r="F142" s="9"/>
      <c r="G142" s="498"/>
    </row>
    <row r="143" spans="1:7">
      <c r="A143" s="42">
        <v>43437</v>
      </c>
      <c r="B143" s="502" t="s">
        <v>8</v>
      </c>
      <c r="C143" s="9">
        <v>49</v>
      </c>
      <c r="D143" s="9"/>
      <c r="E143" s="9">
        <f t="shared" si="4"/>
        <v>2147</v>
      </c>
      <c r="F143" s="9"/>
      <c r="G143" s="9"/>
    </row>
    <row r="144" spans="1:7">
      <c r="A144" s="502" t="s">
        <v>728</v>
      </c>
      <c r="B144" s="502" t="s">
        <v>729</v>
      </c>
      <c r="C144" s="9">
        <v>150</v>
      </c>
      <c r="D144" s="9"/>
      <c r="E144" s="9">
        <f t="shared" si="4"/>
        <v>2297</v>
      </c>
      <c r="F144" s="9"/>
      <c r="G144" s="9"/>
    </row>
    <row r="145" spans="1:7">
      <c r="A145" s="504" t="s">
        <v>728</v>
      </c>
      <c r="B145" s="502" t="s">
        <v>17</v>
      </c>
      <c r="C145" s="9"/>
      <c r="D145" s="9">
        <v>90</v>
      </c>
      <c r="E145" s="9">
        <f t="shared" si="4"/>
        <v>2207</v>
      </c>
      <c r="F145" s="9"/>
      <c r="G145" s="9"/>
    </row>
    <row r="146" spans="1:7">
      <c r="A146" s="504" t="s">
        <v>728</v>
      </c>
      <c r="B146" s="502" t="s">
        <v>17</v>
      </c>
      <c r="C146" s="9"/>
      <c r="D146" s="9">
        <v>150</v>
      </c>
      <c r="E146" s="9">
        <f t="shared" si="4"/>
        <v>2057</v>
      </c>
      <c r="F146" s="9"/>
      <c r="G146" s="502" t="s">
        <v>46</v>
      </c>
    </row>
    <row r="147" spans="1:7">
      <c r="A147" s="9" t="s">
        <v>731</v>
      </c>
      <c r="B147" s="9" t="s">
        <v>729</v>
      </c>
      <c r="C147" s="9">
        <v>300</v>
      </c>
      <c r="D147" s="9"/>
      <c r="E147" s="9">
        <f t="shared" si="4"/>
        <v>2357</v>
      </c>
      <c r="F147" s="9"/>
      <c r="G147" s="9"/>
    </row>
    <row r="148" spans="1:7">
      <c r="A148" s="9" t="s">
        <v>731</v>
      </c>
      <c r="B148" s="9" t="s">
        <v>510</v>
      </c>
      <c r="C148" s="9">
        <v>16</v>
      </c>
      <c r="D148" s="9"/>
      <c r="E148" s="9">
        <f t="shared" si="4"/>
        <v>2373</v>
      </c>
      <c r="F148" s="9"/>
      <c r="G148" s="9"/>
    </row>
    <row r="149" spans="1:7">
      <c r="A149" s="125" t="s">
        <v>731</v>
      </c>
      <c r="B149" s="9" t="s">
        <v>720</v>
      </c>
      <c r="C149" s="9">
        <v>18</v>
      </c>
      <c r="D149" s="9"/>
      <c r="E149" s="9">
        <f t="shared" si="4"/>
        <v>2391</v>
      </c>
      <c r="F149" s="9"/>
      <c r="G149" s="9"/>
    </row>
    <row r="150" spans="1:7">
      <c r="A150" s="507" t="s">
        <v>731</v>
      </c>
      <c r="B150" s="508" t="s">
        <v>459</v>
      </c>
      <c r="C150" s="9"/>
      <c r="D150" s="9">
        <v>20</v>
      </c>
      <c r="E150" s="9">
        <f t="shared" si="4"/>
        <v>2371</v>
      </c>
      <c r="F150" s="9"/>
      <c r="G150" s="9"/>
    </row>
    <row r="151" spans="1:7">
      <c r="A151" s="125" t="s">
        <v>731</v>
      </c>
      <c r="B151" s="9" t="s">
        <v>17</v>
      </c>
      <c r="C151" s="9"/>
      <c r="D151" s="9">
        <v>300</v>
      </c>
      <c r="E151" s="9">
        <f t="shared" si="4"/>
        <v>2071</v>
      </c>
      <c r="F151" s="9"/>
      <c r="G151" s="9"/>
    </row>
    <row r="152" spans="1:7">
      <c r="A152" s="174" t="s">
        <v>732</v>
      </c>
      <c r="B152" s="24" t="s">
        <v>24</v>
      </c>
      <c r="C152" s="9">
        <v>10</v>
      </c>
      <c r="D152" s="9"/>
      <c r="E152" s="9">
        <f t="shared" si="4"/>
        <v>2081</v>
      </c>
      <c r="F152" s="9"/>
      <c r="G152" s="9"/>
    </row>
    <row r="153" spans="1:7">
      <c r="A153" s="125" t="s">
        <v>732</v>
      </c>
      <c r="B153" s="9" t="s">
        <v>720</v>
      </c>
      <c r="C153" s="9">
        <v>15</v>
      </c>
      <c r="D153" s="9"/>
      <c r="E153" s="9">
        <f t="shared" si="4"/>
        <v>2096</v>
      </c>
      <c r="F153" s="9"/>
      <c r="G153" s="9"/>
    </row>
    <row r="154" spans="1:7">
      <c r="A154" s="507" t="s">
        <v>732</v>
      </c>
      <c r="B154" s="508" t="s">
        <v>734</v>
      </c>
      <c r="C154" s="9"/>
      <c r="D154" s="9">
        <v>16</v>
      </c>
      <c r="E154" s="9">
        <f t="shared" si="4"/>
        <v>2080</v>
      </c>
      <c r="F154" s="9"/>
      <c r="G154" s="9"/>
    </row>
    <row r="155" spans="1:7">
      <c r="A155" s="507" t="s">
        <v>732</v>
      </c>
      <c r="B155" s="508" t="s">
        <v>679</v>
      </c>
      <c r="C155" s="9"/>
      <c r="D155" s="9">
        <v>10</v>
      </c>
      <c r="E155" s="9">
        <f t="shared" si="4"/>
        <v>2070</v>
      </c>
      <c r="F155" s="9"/>
      <c r="G155" s="508" t="s">
        <v>46</v>
      </c>
    </row>
    <row r="156" spans="1:7">
      <c r="A156" s="125" t="s">
        <v>735</v>
      </c>
      <c r="B156" s="9" t="s">
        <v>708</v>
      </c>
      <c r="C156" s="9">
        <v>33</v>
      </c>
      <c r="D156" s="9"/>
      <c r="E156" s="9">
        <f t="shared" si="4"/>
        <v>2103</v>
      </c>
      <c r="F156" s="9"/>
      <c r="G156" s="9"/>
    </row>
    <row r="157" spans="1:7">
      <c r="A157" s="513" t="s">
        <v>738</v>
      </c>
      <c r="B157" s="513" t="s">
        <v>739</v>
      </c>
      <c r="C157" s="9">
        <v>86</v>
      </c>
      <c r="D157" s="9"/>
      <c r="E157" s="9">
        <f t="shared" si="4"/>
        <v>2189</v>
      </c>
      <c r="F157" s="9"/>
      <c r="G157" s="9"/>
    </row>
    <row r="158" spans="1:7">
      <c r="A158" s="512" t="s">
        <v>738</v>
      </c>
      <c r="B158" s="513" t="s">
        <v>740</v>
      </c>
      <c r="C158" s="9">
        <v>7</v>
      </c>
      <c r="D158" s="9"/>
      <c r="E158" s="9">
        <f t="shared" si="4"/>
        <v>2196</v>
      </c>
      <c r="F158" s="9"/>
      <c r="G158" s="9"/>
    </row>
    <row r="159" spans="1:7">
      <c r="A159" s="513" t="s">
        <v>738</v>
      </c>
      <c r="B159" s="513" t="s">
        <v>734</v>
      </c>
      <c r="C159" s="9"/>
      <c r="D159" s="9">
        <v>84</v>
      </c>
      <c r="E159" s="9">
        <f t="shared" si="4"/>
        <v>2112</v>
      </c>
      <c r="F159" s="9"/>
      <c r="G159" s="9"/>
    </row>
    <row r="160" spans="1:7">
      <c r="A160" s="513" t="s">
        <v>738</v>
      </c>
      <c r="B160" s="513" t="s">
        <v>655</v>
      </c>
      <c r="C160" s="9">
        <v>30</v>
      </c>
      <c r="D160" s="9"/>
      <c r="E160" s="9">
        <f t="shared" si="4"/>
        <v>2142</v>
      </c>
      <c r="F160" s="9"/>
      <c r="G160" s="513" t="s">
        <v>46</v>
      </c>
    </row>
    <row r="161" spans="1:7">
      <c r="A161" s="521" t="s">
        <v>743</v>
      </c>
      <c r="B161" s="521" t="s">
        <v>24</v>
      </c>
      <c r="C161" s="9">
        <v>40</v>
      </c>
      <c r="D161" s="9"/>
      <c r="E161" s="9">
        <f t="shared" si="4"/>
        <v>2182</v>
      </c>
      <c r="F161" s="9"/>
      <c r="G161" s="9"/>
    </row>
    <row r="162" spans="1:7">
      <c r="A162" s="522" t="s">
        <v>743</v>
      </c>
      <c r="B162" s="521" t="s">
        <v>8</v>
      </c>
      <c r="C162" s="9">
        <v>122</v>
      </c>
      <c r="D162" s="9"/>
      <c r="E162" s="9">
        <f t="shared" si="4"/>
        <v>2304</v>
      </c>
      <c r="F162" s="9"/>
      <c r="G162" s="521" t="s">
        <v>46</v>
      </c>
    </row>
    <row r="163" spans="1:7">
      <c r="A163" s="528" t="s">
        <v>744</v>
      </c>
      <c r="B163" s="528" t="s">
        <v>745</v>
      </c>
      <c r="C163" s="9">
        <v>116</v>
      </c>
      <c r="D163" s="9"/>
      <c r="E163" s="9">
        <f t="shared" si="4"/>
        <v>2420</v>
      </c>
      <c r="F163" s="9"/>
      <c r="G163" s="528" t="s">
        <v>46</v>
      </c>
    </row>
    <row r="164" spans="1:7">
      <c r="A164" s="532" t="s">
        <v>744</v>
      </c>
      <c r="B164" s="531" t="s">
        <v>16</v>
      </c>
      <c r="C164" s="9">
        <v>61</v>
      </c>
      <c r="D164" s="9"/>
      <c r="E164" s="9">
        <f t="shared" si="4"/>
        <v>2481</v>
      </c>
      <c r="F164" s="9"/>
      <c r="G164" s="9"/>
    </row>
    <row r="165" spans="1:7">
      <c r="A165" s="527" t="s">
        <v>747</v>
      </c>
      <c r="B165" s="528" t="s">
        <v>679</v>
      </c>
      <c r="C165" s="9">
        <v>10</v>
      </c>
      <c r="D165" s="9"/>
      <c r="E165" s="9">
        <f t="shared" si="4"/>
        <v>2491</v>
      </c>
      <c r="F165" s="9"/>
      <c r="G165" s="9"/>
    </row>
    <row r="166" spans="1:7">
      <c r="A166" s="528" t="s">
        <v>747</v>
      </c>
      <c r="B166" s="528" t="s">
        <v>720</v>
      </c>
      <c r="C166" s="9">
        <v>11</v>
      </c>
      <c r="D166" s="9"/>
      <c r="E166" s="9">
        <f t="shared" si="4"/>
        <v>2502</v>
      </c>
      <c r="F166" s="9"/>
      <c r="G166" s="9"/>
    </row>
    <row r="167" spans="1:7">
      <c r="A167" s="527" t="s">
        <v>747</v>
      </c>
      <c r="B167" s="528" t="s">
        <v>604</v>
      </c>
      <c r="C167" s="9">
        <v>45</v>
      </c>
      <c r="D167" s="9"/>
      <c r="E167" s="9">
        <f t="shared" si="4"/>
        <v>2547</v>
      </c>
      <c r="F167" s="9"/>
      <c r="G167" s="528" t="s">
        <v>46</v>
      </c>
    </row>
    <row r="168" spans="1:7">
      <c r="A168" s="25" t="s">
        <v>750</v>
      </c>
      <c r="B168" s="25" t="s">
        <v>751</v>
      </c>
      <c r="C168" s="9">
        <v>2</v>
      </c>
      <c r="D168" s="9"/>
      <c r="E168" s="9">
        <f t="shared" si="4"/>
        <v>2549</v>
      </c>
      <c r="F168" s="9"/>
      <c r="G168" s="9"/>
    </row>
    <row r="169" spans="1:7">
      <c r="A169" s="533" t="s">
        <v>750</v>
      </c>
      <c r="B169" s="533" t="s">
        <v>752</v>
      </c>
      <c r="C169" s="9"/>
      <c r="D169" s="9">
        <v>200</v>
      </c>
      <c r="E169" s="9">
        <f t="shared" si="4"/>
        <v>2349</v>
      </c>
      <c r="F169" s="9"/>
      <c r="G169" s="9"/>
    </row>
    <row r="170" spans="1:7">
      <c r="A170" s="534" t="s">
        <v>753</v>
      </c>
      <c r="B170" s="533" t="s">
        <v>752</v>
      </c>
      <c r="C170" s="9"/>
      <c r="D170" s="9">
        <v>200</v>
      </c>
      <c r="E170" s="9">
        <f t="shared" si="4"/>
        <v>2149</v>
      </c>
      <c r="F170" s="9"/>
      <c r="G170" s="533" t="s">
        <v>46</v>
      </c>
    </row>
    <row r="171" spans="1:7">
      <c r="A171" s="537" t="s">
        <v>755</v>
      </c>
      <c r="B171" s="537" t="s">
        <v>24</v>
      </c>
      <c r="C171" s="9">
        <v>110</v>
      </c>
      <c r="D171" s="9"/>
      <c r="E171" s="9">
        <f t="shared" si="4"/>
        <v>2259</v>
      </c>
      <c r="F171" s="9"/>
      <c r="G171" s="9"/>
    </row>
    <row r="172" spans="1:7">
      <c r="A172" s="538" t="s">
        <v>755</v>
      </c>
      <c r="B172" s="538" t="s">
        <v>24</v>
      </c>
      <c r="C172" s="9">
        <v>50</v>
      </c>
      <c r="D172" s="9"/>
      <c r="E172" s="9">
        <f t="shared" si="4"/>
        <v>2309</v>
      </c>
      <c r="F172" s="9"/>
      <c r="G172" s="9"/>
    </row>
    <row r="173" spans="1:7">
      <c r="A173" s="539" t="s">
        <v>755</v>
      </c>
      <c r="B173" s="538" t="s">
        <v>459</v>
      </c>
      <c r="C173" s="9">
        <v>76</v>
      </c>
      <c r="D173" s="9"/>
      <c r="E173" s="9">
        <f t="shared" si="4"/>
        <v>2385</v>
      </c>
      <c r="F173" s="9"/>
      <c r="G173" s="9"/>
    </row>
    <row r="174" spans="1:7">
      <c r="A174" s="539" t="s">
        <v>755</v>
      </c>
      <c r="B174" s="538" t="s">
        <v>691</v>
      </c>
      <c r="C174" s="9">
        <v>25</v>
      </c>
      <c r="D174" s="9"/>
      <c r="E174" s="9">
        <f t="shared" si="4"/>
        <v>2410</v>
      </c>
      <c r="F174" s="9"/>
      <c r="G174" s="9"/>
    </row>
    <row r="175" spans="1:7">
      <c r="A175" s="539" t="s">
        <v>755</v>
      </c>
      <c r="B175" s="538" t="s">
        <v>641</v>
      </c>
      <c r="C175" s="9">
        <v>91</v>
      </c>
      <c r="D175" s="9"/>
      <c r="E175" s="9">
        <f t="shared" si="4"/>
        <v>2501</v>
      </c>
      <c r="F175" s="9"/>
      <c r="G175" s="9"/>
    </row>
    <row r="176" spans="1:7">
      <c r="A176" s="539" t="s">
        <v>755</v>
      </c>
      <c r="B176" s="538" t="s">
        <v>641</v>
      </c>
      <c r="C176" s="9">
        <v>179</v>
      </c>
      <c r="D176" s="9"/>
      <c r="E176" s="9">
        <f t="shared" si="4"/>
        <v>2680</v>
      </c>
      <c r="F176" s="9"/>
      <c r="G176" s="9"/>
    </row>
    <row r="177" spans="1:7">
      <c r="A177" s="538" t="s">
        <v>757</v>
      </c>
      <c r="B177" s="538" t="s">
        <v>459</v>
      </c>
      <c r="C177" s="24">
        <v>40</v>
      </c>
      <c r="D177" s="9"/>
      <c r="E177" s="9">
        <f t="shared" si="4"/>
        <v>2720</v>
      </c>
      <c r="F177" s="9"/>
      <c r="G177" s="538" t="s">
        <v>46</v>
      </c>
    </row>
    <row r="178" spans="1:7">
      <c r="A178" s="542" t="s">
        <v>761</v>
      </c>
      <c r="B178" s="542" t="s">
        <v>641</v>
      </c>
      <c r="C178" s="9">
        <v>71</v>
      </c>
      <c r="D178" s="9"/>
      <c r="E178" s="9">
        <f t="shared" si="4"/>
        <v>2791</v>
      </c>
      <c r="F178" s="9"/>
      <c r="G178" s="9"/>
    </row>
    <row r="179" spans="1:7">
      <c r="A179" s="543" t="s">
        <v>761</v>
      </c>
      <c r="B179" s="542" t="s">
        <v>604</v>
      </c>
      <c r="C179" s="9">
        <v>12</v>
      </c>
      <c r="D179" s="9"/>
      <c r="E179" s="9">
        <f t="shared" ref="E179:E238" si="5">E178+C179-D179</f>
        <v>2803</v>
      </c>
      <c r="F179" s="9"/>
      <c r="G179" s="9"/>
    </row>
    <row r="180" spans="1:7">
      <c r="A180" s="543" t="s">
        <v>761</v>
      </c>
      <c r="B180" s="542" t="s">
        <v>462</v>
      </c>
      <c r="C180" s="9">
        <v>3</v>
      </c>
      <c r="D180" s="9"/>
      <c r="E180" s="9">
        <f t="shared" si="5"/>
        <v>2806</v>
      </c>
      <c r="F180" s="9"/>
      <c r="G180" s="9"/>
    </row>
    <row r="181" spans="1:7">
      <c r="A181" s="542" t="s">
        <v>763</v>
      </c>
      <c r="B181" s="542" t="s">
        <v>739</v>
      </c>
      <c r="C181" s="9">
        <v>56</v>
      </c>
      <c r="D181" s="9"/>
      <c r="E181" s="9">
        <f t="shared" si="5"/>
        <v>2862</v>
      </c>
      <c r="F181" s="9"/>
      <c r="G181" s="9"/>
    </row>
    <row r="182" spans="1:7">
      <c r="A182" s="543" t="s">
        <v>764</v>
      </c>
      <c r="B182" s="542" t="s">
        <v>691</v>
      </c>
      <c r="C182" s="9">
        <v>25</v>
      </c>
      <c r="D182" s="9"/>
      <c r="E182" s="9">
        <f t="shared" si="5"/>
        <v>2887</v>
      </c>
      <c r="F182" s="9"/>
      <c r="G182" s="542"/>
    </row>
    <row r="183" spans="1:7">
      <c r="A183" s="9" t="s">
        <v>767</v>
      </c>
      <c r="B183" s="9" t="s">
        <v>672</v>
      </c>
      <c r="C183" s="9">
        <v>11</v>
      </c>
      <c r="D183" s="9"/>
      <c r="E183" s="9">
        <f t="shared" si="5"/>
        <v>2898</v>
      </c>
      <c r="F183" s="9"/>
      <c r="G183" s="9"/>
    </row>
    <row r="184" spans="1:7">
      <c r="A184" s="9" t="s">
        <v>768</v>
      </c>
      <c r="B184" s="9" t="s">
        <v>769</v>
      </c>
      <c r="C184" s="9"/>
      <c r="D184" s="9">
        <v>300</v>
      </c>
      <c r="E184" s="9">
        <f t="shared" si="5"/>
        <v>2598</v>
      </c>
      <c r="F184" s="9"/>
      <c r="G184" s="9"/>
    </row>
    <row r="185" spans="1:7">
      <c r="A185" s="9" t="s">
        <v>768</v>
      </c>
      <c r="B185" s="9" t="s">
        <v>770</v>
      </c>
      <c r="C185" s="9"/>
      <c r="D185" s="9">
        <v>400</v>
      </c>
      <c r="E185" s="9">
        <f t="shared" si="5"/>
        <v>2198</v>
      </c>
      <c r="F185" s="9"/>
      <c r="G185" s="9"/>
    </row>
    <row r="186" spans="1:7">
      <c r="A186" s="42">
        <v>43135</v>
      </c>
      <c r="B186" s="548" t="s">
        <v>8</v>
      </c>
      <c r="C186" s="9">
        <v>37</v>
      </c>
      <c r="D186" s="9"/>
      <c r="E186" s="9">
        <f t="shared" si="5"/>
        <v>2235</v>
      </c>
      <c r="F186" s="9"/>
      <c r="G186" s="548"/>
    </row>
    <row r="187" spans="1:7">
      <c r="A187" s="21">
        <v>43194</v>
      </c>
      <c r="B187" s="9" t="s">
        <v>774</v>
      </c>
      <c r="C187" s="9">
        <v>6</v>
      </c>
      <c r="D187" s="9"/>
      <c r="E187" s="9">
        <f t="shared" si="5"/>
        <v>2241</v>
      </c>
      <c r="F187" s="9"/>
      <c r="G187" s="9"/>
    </row>
    <row r="188" spans="1:7">
      <c r="A188" s="42">
        <v>43255</v>
      </c>
      <c r="B188" s="554" t="s">
        <v>775</v>
      </c>
      <c r="C188" s="9"/>
      <c r="D188" s="9">
        <v>100</v>
      </c>
      <c r="E188" s="9">
        <f t="shared" si="5"/>
        <v>2141</v>
      </c>
      <c r="F188" s="9"/>
      <c r="G188" s="9"/>
    </row>
    <row r="189" spans="1:7">
      <c r="A189" s="172">
        <v>43255</v>
      </c>
      <c r="B189" s="555" t="s">
        <v>775</v>
      </c>
      <c r="C189" s="9"/>
      <c r="D189" s="9">
        <v>11</v>
      </c>
      <c r="E189" s="9">
        <f t="shared" si="5"/>
        <v>2130</v>
      </c>
      <c r="F189" s="9"/>
      <c r="G189" s="9"/>
    </row>
    <row r="190" spans="1:7">
      <c r="A190" s="21">
        <v>43255</v>
      </c>
      <c r="B190" s="554" t="s">
        <v>777</v>
      </c>
      <c r="C190" s="9"/>
      <c r="D190" s="9">
        <v>50</v>
      </c>
      <c r="E190" s="9">
        <f t="shared" si="5"/>
        <v>2080</v>
      </c>
      <c r="F190" s="9"/>
      <c r="G190" s="9"/>
    </row>
    <row r="191" spans="1:7">
      <c r="A191" s="21">
        <v>43255</v>
      </c>
      <c r="B191" s="554" t="s">
        <v>777</v>
      </c>
      <c r="C191" s="9"/>
      <c r="D191" s="9">
        <v>30</v>
      </c>
      <c r="E191" s="9">
        <f t="shared" si="5"/>
        <v>2050</v>
      </c>
      <c r="F191" s="9"/>
      <c r="G191" s="9"/>
    </row>
    <row r="192" spans="1:7">
      <c r="A192" s="21">
        <v>43285</v>
      </c>
      <c r="B192" s="554" t="s">
        <v>612</v>
      </c>
      <c r="C192" s="9">
        <v>800</v>
      </c>
      <c r="D192" s="9"/>
      <c r="E192" s="9">
        <f t="shared" si="5"/>
        <v>2850</v>
      </c>
      <c r="F192" s="9"/>
      <c r="G192" s="9"/>
    </row>
    <row r="193" spans="1:7">
      <c r="A193" s="172">
        <v>43347</v>
      </c>
      <c r="B193" s="555" t="s">
        <v>782</v>
      </c>
      <c r="C193" s="9">
        <v>7</v>
      </c>
      <c r="D193" s="9"/>
      <c r="E193" s="9">
        <f t="shared" si="5"/>
        <v>2857</v>
      </c>
      <c r="F193" s="9"/>
      <c r="G193" s="9"/>
    </row>
    <row r="194" spans="1:7">
      <c r="A194" s="21">
        <v>43347</v>
      </c>
      <c r="B194" s="554" t="s">
        <v>775</v>
      </c>
      <c r="C194" s="9"/>
      <c r="D194" s="9">
        <v>150</v>
      </c>
      <c r="E194" s="9">
        <f t="shared" si="5"/>
        <v>2707</v>
      </c>
      <c r="F194" s="9"/>
      <c r="G194" s="559"/>
    </row>
    <row r="195" spans="1:7">
      <c r="A195" s="21">
        <v>43377</v>
      </c>
      <c r="B195" s="528" t="s">
        <v>720</v>
      </c>
      <c r="C195" s="9">
        <v>8</v>
      </c>
      <c r="D195" s="9"/>
      <c r="E195" s="9">
        <f t="shared" si="5"/>
        <v>2715</v>
      </c>
      <c r="F195" s="9"/>
      <c r="G195" s="9"/>
    </row>
    <row r="196" spans="1:7">
      <c r="A196" s="21">
        <v>43408</v>
      </c>
      <c r="B196" s="9" t="s">
        <v>775</v>
      </c>
      <c r="D196" s="9">
        <v>100</v>
      </c>
      <c r="E196" s="9">
        <f t="shared" si="5"/>
        <v>2615</v>
      </c>
      <c r="F196" s="9"/>
      <c r="G196" s="559" t="s">
        <v>46</v>
      </c>
    </row>
    <row r="197" spans="1:7">
      <c r="A197" s="172">
        <v>43438</v>
      </c>
      <c r="B197" s="565" t="s">
        <v>785</v>
      </c>
      <c r="C197" s="9">
        <v>71</v>
      </c>
      <c r="D197" s="9"/>
      <c r="E197" s="9">
        <f t="shared" si="5"/>
        <v>2686</v>
      </c>
      <c r="F197" s="9"/>
      <c r="G197" s="9"/>
    </row>
    <row r="198" spans="1:7">
      <c r="A198" s="57">
        <v>43438</v>
      </c>
      <c r="B198" s="548" t="s">
        <v>771</v>
      </c>
      <c r="C198" s="9"/>
      <c r="D198" s="9">
        <v>150</v>
      </c>
      <c r="E198" s="9">
        <f t="shared" si="5"/>
        <v>2536</v>
      </c>
      <c r="F198" s="9"/>
      <c r="G198" s="9"/>
    </row>
    <row r="199" spans="1:7">
      <c r="A199" s="21">
        <v>43438</v>
      </c>
      <c r="B199" s="9" t="s">
        <v>672</v>
      </c>
      <c r="C199" s="9"/>
      <c r="D199" s="9">
        <v>30</v>
      </c>
      <c r="E199" s="9">
        <f t="shared" si="5"/>
        <v>2506</v>
      </c>
      <c r="F199" s="9"/>
      <c r="G199" s="9" t="s">
        <v>46</v>
      </c>
    </row>
    <row r="200" spans="1:7">
      <c r="A200" s="9" t="s">
        <v>789</v>
      </c>
      <c r="B200" s="9" t="s">
        <v>24</v>
      </c>
      <c r="C200" s="9">
        <v>153</v>
      </c>
      <c r="D200" s="9"/>
      <c r="E200" s="9">
        <f t="shared" si="5"/>
        <v>2659</v>
      </c>
      <c r="F200" s="9"/>
      <c r="G200" s="9"/>
    </row>
    <row r="201" spans="1:7">
      <c r="A201" s="9" t="s">
        <v>789</v>
      </c>
      <c r="B201" s="9" t="s">
        <v>627</v>
      </c>
      <c r="C201" s="9"/>
      <c r="D201" s="9">
        <v>200</v>
      </c>
      <c r="E201" s="9">
        <f t="shared" si="5"/>
        <v>2459</v>
      </c>
      <c r="F201" s="9"/>
      <c r="G201" s="9"/>
    </row>
    <row r="202" spans="1:7">
      <c r="A202" s="570" t="s">
        <v>793</v>
      </c>
      <c r="B202" s="570" t="s">
        <v>794</v>
      </c>
      <c r="C202" s="9">
        <v>36</v>
      </c>
      <c r="D202" s="9"/>
      <c r="E202" s="9">
        <f t="shared" si="5"/>
        <v>2495</v>
      </c>
      <c r="F202" s="9"/>
      <c r="G202" s="9"/>
    </row>
    <row r="203" spans="1:7">
      <c r="A203" s="570" t="s">
        <v>793</v>
      </c>
      <c r="B203" s="570" t="s">
        <v>739</v>
      </c>
      <c r="C203" s="9">
        <v>80</v>
      </c>
      <c r="D203" s="9"/>
      <c r="E203" s="9">
        <f t="shared" si="5"/>
        <v>2575</v>
      </c>
      <c r="F203" s="9"/>
      <c r="G203" s="9"/>
    </row>
    <row r="204" spans="1:7">
      <c r="A204" s="570" t="s">
        <v>793</v>
      </c>
      <c r="B204" s="570" t="s">
        <v>627</v>
      </c>
      <c r="C204" s="9"/>
      <c r="D204" s="9">
        <v>100</v>
      </c>
      <c r="E204" s="9">
        <f t="shared" si="5"/>
        <v>2475</v>
      </c>
      <c r="F204" s="9"/>
      <c r="G204" s="9"/>
    </row>
    <row r="205" spans="1:7">
      <c r="A205" s="570" t="s">
        <v>793</v>
      </c>
      <c r="B205" s="570" t="s">
        <v>627</v>
      </c>
      <c r="C205" s="9"/>
      <c r="D205" s="9">
        <v>100</v>
      </c>
      <c r="E205" s="9">
        <f t="shared" si="5"/>
        <v>2375</v>
      </c>
      <c r="F205" s="9"/>
      <c r="G205" s="9"/>
    </row>
    <row r="206" spans="1:7">
      <c r="A206" s="571" t="s">
        <v>793</v>
      </c>
      <c r="B206" s="570" t="s">
        <v>797</v>
      </c>
      <c r="C206" s="9"/>
      <c r="D206" s="24">
        <v>100</v>
      </c>
      <c r="E206" s="9">
        <f t="shared" si="5"/>
        <v>2275</v>
      </c>
      <c r="F206" s="9"/>
      <c r="G206" s="570" t="s">
        <v>46</v>
      </c>
    </row>
    <row r="207" spans="1:7">
      <c r="A207" s="576" t="s">
        <v>798</v>
      </c>
      <c r="B207" s="576" t="s">
        <v>805</v>
      </c>
      <c r="C207" s="9"/>
      <c r="D207" s="9">
        <v>100</v>
      </c>
      <c r="E207" s="9">
        <f t="shared" si="5"/>
        <v>2175</v>
      </c>
      <c r="F207" s="9"/>
      <c r="G207" s="9"/>
    </row>
    <row r="208" spans="1:7">
      <c r="A208" s="576" t="s">
        <v>798</v>
      </c>
      <c r="B208" s="576" t="s">
        <v>807</v>
      </c>
      <c r="C208" s="9"/>
      <c r="D208" s="9">
        <v>100</v>
      </c>
      <c r="E208" s="9">
        <f t="shared" si="5"/>
        <v>2075</v>
      </c>
      <c r="F208" s="9"/>
      <c r="G208" s="9"/>
    </row>
    <row r="209" spans="1:7">
      <c r="A209" s="576" t="s">
        <v>808</v>
      </c>
      <c r="B209" s="576" t="s">
        <v>806</v>
      </c>
      <c r="C209" s="9"/>
      <c r="D209" s="9">
        <v>30</v>
      </c>
      <c r="E209" s="9">
        <f t="shared" si="5"/>
        <v>2045</v>
      </c>
      <c r="F209" s="9"/>
      <c r="G209" s="576" t="s">
        <v>46</v>
      </c>
    </row>
    <row r="210" spans="1:7">
      <c r="A210" s="125" t="s">
        <v>811</v>
      </c>
      <c r="B210" s="9" t="s">
        <v>720</v>
      </c>
      <c r="C210" s="9">
        <v>11</v>
      </c>
      <c r="D210" s="9"/>
      <c r="E210" s="9">
        <f t="shared" si="5"/>
        <v>2056</v>
      </c>
      <c r="F210" s="9"/>
      <c r="G210" s="581" t="s">
        <v>46</v>
      </c>
    </row>
    <row r="211" spans="1:7">
      <c r="A211" s="592" t="s">
        <v>820</v>
      </c>
      <c r="B211" s="592" t="s">
        <v>821</v>
      </c>
      <c r="C211" s="9">
        <v>1000</v>
      </c>
      <c r="D211" s="9"/>
      <c r="E211" s="9">
        <f t="shared" si="5"/>
        <v>3056</v>
      </c>
      <c r="F211" s="9"/>
      <c r="G211" s="9"/>
    </row>
    <row r="212" spans="1:7">
      <c r="A212" s="592" t="s">
        <v>820</v>
      </c>
      <c r="B212" s="592" t="s">
        <v>817</v>
      </c>
      <c r="C212" s="9"/>
      <c r="D212" s="9">
        <v>1000</v>
      </c>
      <c r="E212" s="9">
        <f t="shared" si="5"/>
        <v>2056</v>
      </c>
      <c r="F212" s="9"/>
      <c r="G212" s="592" t="s">
        <v>46</v>
      </c>
    </row>
    <row r="213" spans="1:7">
      <c r="A213" s="598" t="s">
        <v>829</v>
      </c>
      <c r="B213" s="598" t="s">
        <v>752</v>
      </c>
      <c r="C213" s="9"/>
      <c r="D213" s="9">
        <v>62</v>
      </c>
      <c r="E213" s="9">
        <f t="shared" si="5"/>
        <v>1994</v>
      </c>
      <c r="F213" s="9"/>
      <c r="G213" s="592"/>
    </row>
    <row r="214" spans="1:7">
      <c r="A214" s="598" t="s">
        <v>829</v>
      </c>
      <c r="B214" s="598" t="s">
        <v>831</v>
      </c>
      <c r="C214" s="9"/>
      <c r="D214" s="9">
        <v>500</v>
      </c>
      <c r="E214" s="9">
        <f t="shared" si="5"/>
        <v>1494</v>
      </c>
      <c r="F214" s="9"/>
      <c r="G214" s="592"/>
    </row>
    <row r="215" spans="1:7">
      <c r="A215" s="598" t="s">
        <v>826</v>
      </c>
      <c r="B215" s="9" t="s">
        <v>24</v>
      </c>
      <c r="C215" s="9">
        <v>70</v>
      </c>
      <c r="D215" s="9"/>
      <c r="E215" s="9">
        <f t="shared" si="5"/>
        <v>1564</v>
      </c>
      <c r="F215" s="9"/>
      <c r="G215" s="9"/>
    </row>
    <row r="216" spans="1:7">
      <c r="A216" s="599" t="s">
        <v>826</v>
      </c>
      <c r="B216" s="600" t="s">
        <v>817</v>
      </c>
      <c r="C216" s="9"/>
      <c r="D216" s="9">
        <v>200</v>
      </c>
      <c r="E216" s="9">
        <f t="shared" si="5"/>
        <v>1364</v>
      </c>
      <c r="F216" s="9"/>
      <c r="G216" s="9"/>
    </row>
    <row r="217" spans="1:7">
      <c r="A217" s="598" t="s">
        <v>826</v>
      </c>
      <c r="B217" s="598" t="s">
        <v>729</v>
      </c>
      <c r="C217" s="9">
        <v>762</v>
      </c>
      <c r="D217" s="9"/>
      <c r="E217" s="9">
        <f t="shared" si="5"/>
        <v>2126</v>
      </c>
      <c r="F217" s="9"/>
      <c r="G217" s="9"/>
    </row>
    <row r="218" spans="1:7">
      <c r="A218" s="608" t="s">
        <v>834</v>
      </c>
      <c r="B218" s="598" t="s">
        <v>729</v>
      </c>
      <c r="C218" s="9">
        <v>700</v>
      </c>
      <c r="D218" s="9"/>
      <c r="E218" s="9">
        <f t="shared" si="5"/>
        <v>2826</v>
      </c>
      <c r="F218" s="9"/>
      <c r="G218" s="9"/>
    </row>
    <row r="219" spans="1:7" ht="15">
      <c r="A219" s="33" t="s">
        <v>834</v>
      </c>
      <c r="B219" s="33" t="s">
        <v>817</v>
      </c>
      <c r="C219" s="9"/>
      <c r="D219" s="9">
        <v>700</v>
      </c>
      <c r="E219" s="9">
        <f t="shared" si="5"/>
        <v>2126</v>
      </c>
      <c r="F219" s="9"/>
      <c r="G219" s="608" t="s">
        <v>46</v>
      </c>
    </row>
    <row r="220" spans="1:7">
      <c r="A220" s="125" t="s">
        <v>837</v>
      </c>
      <c r="B220" s="9" t="s">
        <v>456</v>
      </c>
      <c r="C220" s="9">
        <v>19</v>
      </c>
      <c r="D220" s="9"/>
      <c r="E220" s="9">
        <f t="shared" si="5"/>
        <v>2145</v>
      </c>
      <c r="F220" s="9"/>
      <c r="G220" s="9" t="s">
        <v>46</v>
      </c>
    </row>
    <row r="221" spans="1:7">
      <c r="A221" s="616" t="s">
        <v>844</v>
      </c>
      <c r="B221" s="616" t="s">
        <v>729</v>
      </c>
      <c r="C221" s="9">
        <v>600</v>
      </c>
      <c r="D221" s="9"/>
      <c r="E221" s="9">
        <f t="shared" si="5"/>
        <v>2745</v>
      </c>
      <c r="F221" s="9"/>
      <c r="G221" s="9"/>
    </row>
    <row r="222" spans="1:7">
      <c r="A222" s="616" t="s">
        <v>844</v>
      </c>
      <c r="B222" s="616" t="s">
        <v>817</v>
      </c>
      <c r="C222" s="9"/>
      <c r="D222" s="9">
        <v>600</v>
      </c>
      <c r="E222" s="9">
        <f t="shared" si="5"/>
        <v>2145</v>
      </c>
      <c r="F222" s="9"/>
      <c r="G222" s="616" t="s">
        <v>46</v>
      </c>
    </row>
    <row r="223" spans="1:7">
      <c r="A223" s="21">
        <v>43136</v>
      </c>
      <c r="B223" s="9" t="s">
        <v>774</v>
      </c>
      <c r="C223" s="9">
        <v>22</v>
      </c>
      <c r="D223" s="9"/>
      <c r="E223" s="9">
        <f t="shared" si="5"/>
        <v>2167</v>
      </c>
      <c r="F223" s="9"/>
      <c r="G223" s="9" t="s">
        <v>46</v>
      </c>
    </row>
    <row r="224" spans="1:7">
      <c r="A224" s="21">
        <v>43164</v>
      </c>
      <c r="B224" s="9" t="s">
        <v>817</v>
      </c>
      <c r="C224" s="9"/>
      <c r="D224" s="9">
        <v>90</v>
      </c>
      <c r="E224" s="9">
        <f t="shared" si="5"/>
        <v>2077</v>
      </c>
      <c r="F224" s="9"/>
      <c r="G224" s="9"/>
    </row>
    <row r="225" spans="1:7">
      <c r="A225" s="21">
        <v>43164</v>
      </c>
      <c r="B225" s="9" t="s">
        <v>508</v>
      </c>
      <c r="C225" s="9"/>
      <c r="D225" s="9">
        <v>35</v>
      </c>
      <c r="E225" s="9">
        <f t="shared" si="5"/>
        <v>2042</v>
      </c>
      <c r="F225" s="9"/>
      <c r="G225" s="623" t="s">
        <v>46</v>
      </c>
    </row>
    <row r="226" spans="1:7">
      <c r="A226" s="21">
        <v>43286</v>
      </c>
      <c r="B226" s="24" t="s">
        <v>24</v>
      </c>
      <c r="C226" s="9">
        <v>63</v>
      </c>
      <c r="D226" s="9"/>
      <c r="E226" s="9">
        <f t="shared" si="5"/>
        <v>2105</v>
      </c>
      <c r="F226" s="9"/>
      <c r="G226" s="9"/>
    </row>
    <row r="227" spans="1:7">
      <c r="A227" s="21">
        <v>43286</v>
      </c>
      <c r="B227" s="629" t="s">
        <v>821</v>
      </c>
      <c r="C227" s="9">
        <v>498</v>
      </c>
      <c r="D227" s="9"/>
      <c r="E227" s="9">
        <f t="shared" si="5"/>
        <v>2603</v>
      </c>
      <c r="F227" s="9"/>
      <c r="G227" s="9"/>
    </row>
    <row r="228" spans="1:7">
      <c r="A228" s="21">
        <v>43286</v>
      </c>
      <c r="B228" s="629" t="s">
        <v>855</v>
      </c>
      <c r="C228" s="9"/>
      <c r="D228" s="9">
        <v>300</v>
      </c>
      <c r="E228" s="9">
        <f t="shared" si="5"/>
        <v>2303</v>
      </c>
      <c r="F228" s="9"/>
      <c r="G228" s="9"/>
    </row>
    <row r="229" spans="1:7">
      <c r="A229" s="21">
        <v>43348</v>
      </c>
      <c r="B229" s="631" t="s">
        <v>817</v>
      </c>
      <c r="C229" s="9"/>
      <c r="D229" s="9">
        <v>270</v>
      </c>
      <c r="E229" s="9">
        <f t="shared" si="5"/>
        <v>2033</v>
      </c>
      <c r="F229" s="9"/>
      <c r="G229" s="9"/>
    </row>
    <row r="230" spans="1:7">
      <c r="A230" s="42">
        <v>43378</v>
      </c>
      <c r="B230" s="631" t="s">
        <v>859</v>
      </c>
      <c r="C230" s="9">
        <v>12</v>
      </c>
      <c r="D230" s="9"/>
      <c r="E230" s="9">
        <f t="shared" si="5"/>
        <v>2045</v>
      </c>
      <c r="F230" s="9"/>
      <c r="G230" s="9"/>
    </row>
    <row r="231" spans="1:7">
      <c r="A231" s="42">
        <v>43439</v>
      </c>
      <c r="B231" s="631" t="s">
        <v>24</v>
      </c>
      <c r="C231" s="9">
        <v>20</v>
      </c>
      <c r="D231" s="9"/>
      <c r="E231" s="9">
        <f t="shared" si="5"/>
        <v>2065</v>
      </c>
      <c r="F231" s="9"/>
      <c r="G231" s="9"/>
    </row>
    <row r="232" spans="1:7">
      <c r="A232" s="633" t="s">
        <v>862</v>
      </c>
      <c r="B232" s="633" t="s">
        <v>24</v>
      </c>
      <c r="C232" s="9">
        <v>27</v>
      </c>
      <c r="D232" s="9"/>
      <c r="E232" s="9">
        <f t="shared" si="5"/>
        <v>2092</v>
      </c>
      <c r="F232" s="9"/>
      <c r="G232" s="9"/>
    </row>
    <row r="233" spans="1:7">
      <c r="A233" s="631" t="s">
        <v>863</v>
      </c>
      <c r="B233" s="631" t="s">
        <v>794</v>
      </c>
      <c r="C233" s="9">
        <v>290</v>
      </c>
      <c r="D233" s="9"/>
      <c r="E233" s="9">
        <f t="shared" si="5"/>
        <v>2382</v>
      </c>
      <c r="F233" s="9"/>
      <c r="G233" s="9"/>
    </row>
    <row r="234" spans="1:7">
      <c r="A234" s="125" t="s">
        <v>863</v>
      </c>
      <c r="B234" s="9" t="s">
        <v>722</v>
      </c>
      <c r="C234" s="9">
        <v>128</v>
      </c>
      <c r="D234" s="9"/>
      <c r="E234" s="9">
        <f t="shared" si="5"/>
        <v>2510</v>
      </c>
      <c r="F234" s="9"/>
      <c r="G234" s="9"/>
    </row>
    <row r="235" spans="1:7">
      <c r="A235" s="656" t="s">
        <v>733</v>
      </c>
      <c r="B235" s="662" t="s">
        <v>870</v>
      </c>
      <c r="C235" s="24">
        <v>56</v>
      </c>
      <c r="D235" s="9"/>
      <c r="E235" s="9">
        <f t="shared" si="5"/>
        <v>2566</v>
      </c>
      <c r="F235" s="26">
        <v>601</v>
      </c>
      <c r="G235" s="26" t="s">
        <v>871</v>
      </c>
    </row>
    <row r="236" spans="1:7">
      <c r="A236" s="9" t="s">
        <v>874</v>
      </c>
      <c r="B236" s="9" t="s">
        <v>875</v>
      </c>
      <c r="C236" s="9">
        <v>156</v>
      </c>
      <c r="D236" s="9"/>
      <c r="E236" s="9">
        <f t="shared" si="5"/>
        <v>2722</v>
      </c>
      <c r="F236" s="9">
        <f t="shared" ref="F236:F270" si="6">F235+C236-D236</f>
        <v>757</v>
      </c>
      <c r="G236" s="26" t="s">
        <v>872</v>
      </c>
    </row>
    <row r="237" spans="1:7">
      <c r="A237" s="665" t="s">
        <v>878</v>
      </c>
      <c r="B237" s="664" t="s">
        <v>879</v>
      </c>
      <c r="C237" s="9">
        <v>91</v>
      </c>
      <c r="D237" s="9"/>
      <c r="E237" s="9">
        <f t="shared" si="5"/>
        <v>2813</v>
      </c>
      <c r="F237" s="9">
        <f t="shared" si="6"/>
        <v>848</v>
      </c>
      <c r="G237" s="9"/>
    </row>
    <row r="238" spans="1:7">
      <c r="A238" s="664" t="s">
        <v>878</v>
      </c>
      <c r="B238" s="664" t="s">
        <v>24</v>
      </c>
      <c r="C238" s="9">
        <v>34</v>
      </c>
      <c r="D238" s="9"/>
      <c r="E238" s="9">
        <f t="shared" si="5"/>
        <v>2847</v>
      </c>
      <c r="F238" s="9">
        <f t="shared" si="6"/>
        <v>882</v>
      </c>
      <c r="G238" s="9"/>
    </row>
    <row r="239" spans="1:7">
      <c r="A239" s="664" t="s">
        <v>878</v>
      </c>
      <c r="B239" s="664" t="s">
        <v>882</v>
      </c>
      <c r="C239" s="9"/>
      <c r="D239" s="9">
        <v>320</v>
      </c>
      <c r="E239" s="9">
        <f t="shared" ref="E239:E270" si="7">E238+C239-D239</f>
        <v>2527</v>
      </c>
      <c r="F239" s="9">
        <f t="shared" si="6"/>
        <v>562</v>
      </c>
      <c r="G239" s="9"/>
    </row>
    <row r="240" spans="1:7">
      <c r="A240" s="670" t="s">
        <v>884</v>
      </c>
      <c r="B240" s="671" t="s">
        <v>762</v>
      </c>
      <c r="C240" s="9"/>
      <c r="D240" s="9">
        <v>30</v>
      </c>
      <c r="E240" s="9">
        <f t="shared" si="7"/>
        <v>2497</v>
      </c>
      <c r="F240" s="9">
        <f t="shared" si="6"/>
        <v>532</v>
      </c>
      <c r="G240" s="9"/>
    </row>
    <row r="241" spans="1:7">
      <c r="A241" s="671" t="s">
        <v>884</v>
      </c>
      <c r="B241" s="671" t="s">
        <v>817</v>
      </c>
      <c r="C241" s="9"/>
      <c r="D241" s="9">
        <v>470</v>
      </c>
      <c r="E241" s="9">
        <f t="shared" si="7"/>
        <v>2027</v>
      </c>
      <c r="F241" s="9">
        <f t="shared" si="6"/>
        <v>62</v>
      </c>
      <c r="G241" s="671" t="s">
        <v>46</v>
      </c>
    </row>
    <row r="242" spans="1:7">
      <c r="A242" s="677" t="s">
        <v>884</v>
      </c>
      <c r="B242" s="677" t="s">
        <v>897</v>
      </c>
      <c r="C242" s="9">
        <v>5</v>
      </c>
      <c r="D242" s="9"/>
      <c r="E242" s="9">
        <f t="shared" si="7"/>
        <v>2032</v>
      </c>
      <c r="F242" s="9">
        <f t="shared" si="6"/>
        <v>67</v>
      </c>
      <c r="G242" s="671"/>
    </row>
    <row r="243" spans="1:7">
      <c r="A243" s="677" t="s">
        <v>886</v>
      </c>
      <c r="B243" s="677" t="s">
        <v>459</v>
      </c>
      <c r="C243" s="9">
        <v>2</v>
      </c>
      <c r="D243" s="9"/>
      <c r="E243" s="9">
        <f t="shared" si="7"/>
        <v>2034</v>
      </c>
      <c r="F243" s="9">
        <f t="shared" si="6"/>
        <v>69</v>
      </c>
      <c r="G243" s="9"/>
    </row>
    <row r="244" spans="1:7">
      <c r="A244" s="676" t="s">
        <v>889</v>
      </c>
      <c r="B244" s="677" t="s">
        <v>774</v>
      </c>
      <c r="C244" s="9">
        <v>24</v>
      </c>
      <c r="D244" s="9"/>
      <c r="E244" s="9">
        <f t="shared" si="7"/>
        <v>2058</v>
      </c>
      <c r="F244" s="9">
        <f t="shared" si="6"/>
        <v>93</v>
      </c>
      <c r="G244" s="9"/>
    </row>
    <row r="245" spans="1:7">
      <c r="A245" s="676" t="s">
        <v>893</v>
      </c>
      <c r="B245" s="677" t="s">
        <v>895</v>
      </c>
      <c r="C245" s="9">
        <v>426</v>
      </c>
      <c r="D245" s="9"/>
      <c r="E245" s="9">
        <f t="shared" si="7"/>
        <v>2484</v>
      </c>
      <c r="F245" s="9">
        <f t="shared" si="6"/>
        <v>519</v>
      </c>
      <c r="G245" s="9"/>
    </row>
    <row r="246" spans="1:7">
      <c r="A246" s="676" t="s">
        <v>893</v>
      </c>
      <c r="B246" s="677" t="s">
        <v>708</v>
      </c>
      <c r="C246" s="9">
        <v>9</v>
      </c>
      <c r="D246" s="9"/>
      <c r="E246" s="9">
        <f t="shared" si="7"/>
        <v>2493</v>
      </c>
      <c r="F246" s="9">
        <f t="shared" si="6"/>
        <v>528</v>
      </c>
      <c r="G246" s="9"/>
    </row>
    <row r="247" spans="1:7">
      <c r="A247" s="676" t="s">
        <v>896</v>
      </c>
      <c r="B247" s="677" t="s">
        <v>24</v>
      </c>
      <c r="C247" s="9">
        <v>14</v>
      </c>
      <c r="D247" s="9"/>
      <c r="E247" s="9">
        <f t="shared" si="7"/>
        <v>2507</v>
      </c>
      <c r="F247" s="9">
        <f t="shared" si="6"/>
        <v>542</v>
      </c>
      <c r="G247" s="677" t="s">
        <v>46</v>
      </c>
    </row>
    <row r="248" spans="1:7">
      <c r="A248" s="683" t="s">
        <v>898</v>
      </c>
      <c r="B248" s="684" t="s">
        <v>646</v>
      </c>
      <c r="C248" s="9">
        <v>20</v>
      </c>
      <c r="D248" s="9"/>
      <c r="E248" s="9">
        <f t="shared" si="7"/>
        <v>2527</v>
      </c>
      <c r="F248" s="9">
        <f t="shared" si="6"/>
        <v>562</v>
      </c>
      <c r="G248" s="684"/>
    </row>
    <row r="249" spans="1:7">
      <c r="A249" s="9" t="s">
        <v>907</v>
      </c>
      <c r="B249" s="9" t="s">
        <v>910</v>
      </c>
      <c r="C249" s="9"/>
      <c r="D249" s="9">
        <v>24</v>
      </c>
      <c r="E249" s="9">
        <f t="shared" si="7"/>
        <v>2503</v>
      </c>
      <c r="F249" s="9">
        <f t="shared" si="6"/>
        <v>538</v>
      </c>
      <c r="G249" s="9"/>
    </row>
    <row r="250" spans="1:7">
      <c r="A250" s="690" t="s">
        <v>907</v>
      </c>
      <c r="B250" s="690" t="s">
        <v>911</v>
      </c>
      <c r="C250" s="9"/>
      <c r="D250" s="9">
        <v>450</v>
      </c>
      <c r="E250" s="9">
        <f t="shared" si="7"/>
        <v>2053</v>
      </c>
      <c r="F250" s="9">
        <f t="shared" si="6"/>
        <v>88</v>
      </c>
      <c r="G250" s="9"/>
    </row>
    <row r="251" spans="1:7">
      <c r="A251" s="691" t="s">
        <v>912</v>
      </c>
      <c r="B251" s="691" t="s">
        <v>24</v>
      </c>
      <c r="C251" s="9">
        <v>20</v>
      </c>
      <c r="D251" s="9"/>
      <c r="E251" s="9">
        <f t="shared" si="7"/>
        <v>2073</v>
      </c>
      <c r="F251" s="9">
        <f t="shared" si="6"/>
        <v>108</v>
      </c>
      <c r="G251" s="9"/>
    </row>
    <row r="252" spans="1:7">
      <c r="A252" s="690" t="s">
        <v>912</v>
      </c>
      <c r="B252" s="690" t="s">
        <v>782</v>
      </c>
      <c r="C252" s="9">
        <v>85</v>
      </c>
      <c r="D252" s="9"/>
      <c r="E252" s="9">
        <f t="shared" si="7"/>
        <v>2158</v>
      </c>
      <c r="F252" s="9">
        <f t="shared" si="6"/>
        <v>193</v>
      </c>
      <c r="G252" s="9"/>
    </row>
    <row r="253" spans="1:7">
      <c r="A253" s="692" t="s">
        <v>914</v>
      </c>
      <c r="B253" s="690" t="s">
        <v>24</v>
      </c>
      <c r="C253" s="9">
        <v>26</v>
      </c>
      <c r="D253" s="9"/>
      <c r="E253" s="9">
        <f t="shared" si="7"/>
        <v>2184</v>
      </c>
      <c r="F253" s="9">
        <f t="shared" si="6"/>
        <v>219</v>
      </c>
      <c r="G253" s="9"/>
    </row>
    <row r="254" spans="1:7">
      <c r="A254" s="692" t="s">
        <v>914</v>
      </c>
      <c r="B254" s="690" t="s">
        <v>548</v>
      </c>
      <c r="C254" s="9"/>
      <c r="D254" s="9">
        <v>127</v>
      </c>
      <c r="E254" s="9">
        <f t="shared" si="7"/>
        <v>2057</v>
      </c>
      <c r="F254" s="9">
        <f t="shared" si="6"/>
        <v>92</v>
      </c>
      <c r="G254" s="9"/>
    </row>
    <row r="255" spans="1:7">
      <c r="A255" s="698" t="s">
        <v>915</v>
      </c>
      <c r="B255" s="698" t="s">
        <v>24</v>
      </c>
      <c r="C255" s="9">
        <v>25</v>
      </c>
      <c r="D255" s="9"/>
      <c r="E255" s="9">
        <f t="shared" si="7"/>
        <v>2082</v>
      </c>
      <c r="F255" s="9">
        <f t="shared" si="6"/>
        <v>117</v>
      </c>
      <c r="G255" s="9"/>
    </row>
    <row r="256" spans="1:7">
      <c r="A256" s="697" t="s">
        <v>915</v>
      </c>
      <c r="B256" s="698" t="s">
        <v>548</v>
      </c>
      <c r="C256" s="9"/>
      <c r="D256" s="9">
        <v>27</v>
      </c>
      <c r="E256" s="9">
        <f t="shared" si="7"/>
        <v>2055</v>
      </c>
      <c r="F256" s="9">
        <f t="shared" si="6"/>
        <v>90</v>
      </c>
      <c r="G256" s="9"/>
    </row>
    <row r="257" spans="1:7">
      <c r="A257" s="702" t="s">
        <v>918</v>
      </c>
      <c r="B257" s="703" t="s">
        <v>508</v>
      </c>
      <c r="C257" s="9">
        <v>100</v>
      </c>
      <c r="D257" s="9"/>
      <c r="E257" s="9">
        <f t="shared" si="7"/>
        <v>2155</v>
      </c>
      <c r="F257" s="9">
        <f t="shared" si="6"/>
        <v>190</v>
      </c>
      <c r="G257" s="9"/>
    </row>
    <row r="258" spans="1:7">
      <c r="A258" s="702" t="s">
        <v>918</v>
      </c>
      <c r="B258" s="703" t="s">
        <v>24</v>
      </c>
      <c r="C258" s="9">
        <v>5</v>
      </c>
      <c r="D258" s="9"/>
      <c r="E258" s="9">
        <f t="shared" si="7"/>
        <v>2160</v>
      </c>
      <c r="F258" s="9">
        <f t="shared" si="6"/>
        <v>195</v>
      </c>
      <c r="G258" s="9"/>
    </row>
    <row r="259" spans="1:7">
      <c r="A259" s="702" t="s">
        <v>918</v>
      </c>
      <c r="B259" s="703" t="s">
        <v>406</v>
      </c>
      <c r="C259" s="9">
        <v>75</v>
      </c>
      <c r="D259" s="9"/>
      <c r="E259" s="26">
        <f t="shared" si="7"/>
        <v>2235</v>
      </c>
      <c r="F259" s="9">
        <f t="shared" si="6"/>
        <v>270</v>
      </c>
      <c r="G259" s="9"/>
    </row>
    <row r="260" spans="1:7">
      <c r="A260" s="172">
        <v>43137</v>
      </c>
      <c r="B260" s="705" t="s">
        <v>919</v>
      </c>
      <c r="C260" s="9">
        <v>201</v>
      </c>
      <c r="D260" s="9"/>
      <c r="E260" s="9">
        <f t="shared" si="7"/>
        <v>2436</v>
      </c>
      <c r="F260" s="9">
        <f t="shared" si="6"/>
        <v>471</v>
      </c>
      <c r="G260" s="703"/>
    </row>
    <row r="261" spans="1:7">
      <c r="A261" s="172">
        <v>43137</v>
      </c>
      <c r="B261" s="716" t="s">
        <v>543</v>
      </c>
      <c r="C261" s="9">
        <v>230</v>
      </c>
      <c r="D261" s="9"/>
      <c r="E261" s="9">
        <f t="shared" si="7"/>
        <v>2666</v>
      </c>
      <c r="F261" s="9">
        <f t="shared" si="6"/>
        <v>701</v>
      </c>
      <c r="G261" s="703"/>
    </row>
    <row r="262" spans="1:7">
      <c r="A262" s="172">
        <v>43137</v>
      </c>
      <c r="B262" s="716" t="s">
        <v>24</v>
      </c>
      <c r="C262" s="9">
        <v>17</v>
      </c>
      <c r="D262" s="9"/>
      <c r="E262" s="9">
        <f t="shared" si="7"/>
        <v>2683</v>
      </c>
      <c r="F262" s="9">
        <f t="shared" si="6"/>
        <v>718</v>
      </c>
      <c r="G262" s="703"/>
    </row>
    <row r="263" spans="1:7">
      <c r="A263" s="21">
        <v>43196</v>
      </c>
      <c r="B263" s="9" t="s">
        <v>508</v>
      </c>
      <c r="C263" s="9">
        <v>579</v>
      </c>
      <c r="D263" s="9"/>
      <c r="E263" s="9">
        <f t="shared" si="7"/>
        <v>3262</v>
      </c>
      <c r="F263" s="9">
        <f t="shared" si="6"/>
        <v>1297</v>
      </c>
      <c r="G263" s="9"/>
    </row>
    <row r="264" spans="1:7">
      <c r="A264" s="42">
        <v>43196</v>
      </c>
      <c r="B264" s="9" t="s">
        <v>774</v>
      </c>
      <c r="C264" s="9">
        <v>22</v>
      </c>
      <c r="D264" s="9"/>
      <c r="E264" s="9">
        <f t="shared" si="7"/>
        <v>3284</v>
      </c>
      <c r="F264" s="9">
        <f t="shared" si="6"/>
        <v>1319</v>
      </c>
      <c r="G264" s="9"/>
    </row>
    <row r="265" spans="1:7">
      <c r="A265" s="21">
        <v>43196</v>
      </c>
      <c r="B265" s="9" t="s">
        <v>911</v>
      </c>
      <c r="C265" s="9"/>
      <c r="D265" s="9">
        <v>500</v>
      </c>
      <c r="E265" s="9">
        <f t="shared" si="7"/>
        <v>2784</v>
      </c>
      <c r="F265" s="9">
        <f t="shared" si="6"/>
        <v>819</v>
      </c>
      <c r="G265" s="9"/>
    </row>
    <row r="266" spans="1:7">
      <c r="A266" s="21">
        <v>43196</v>
      </c>
      <c r="B266" s="715" t="s">
        <v>548</v>
      </c>
      <c r="C266" s="9"/>
      <c r="D266" s="9">
        <v>146</v>
      </c>
      <c r="E266" s="9">
        <f t="shared" si="7"/>
        <v>2638</v>
      </c>
      <c r="F266" s="9">
        <f t="shared" si="6"/>
        <v>673</v>
      </c>
      <c r="G266" s="9"/>
    </row>
    <row r="267" spans="1:7">
      <c r="A267" s="21">
        <v>43196</v>
      </c>
      <c r="B267" s="715" t="s">
        <v>933</v>
      </c>
      <c r="C267" s="9"/>
      <c r="D267" s="9">
        <v>579</v>
      </c>
      <c r="E267" s="9">
        <f t="shared" si="7"/>
        <v>2059</v>
      </c>
      <c r="F267" s="9">
        <f t="shared" si="6"/>
        <v>94</v>
      </c>
      <c r="G267" s="9"/>
    </row>
    <row r="268" spans="1:7">
      <c r="A268" s="21">
        <v>43226</v>
      </c>
      <c r="B268" s="715" t="s">
        <v>627</v>
      </c>
      <c r="C268" s="9">
        <v>85</v>
      </c>
      <c r="D268" s="9"/>
      <c r="E268" s="9">
        <f t="shared" si="7"/>
        <v>2144</v>
      </c>
      <c r="F268" s="9">
        <f t="shared" si="6"/>
        <v>179</v>
      </c>
      <c r="G268" s="9"/>
    </row>
    <row r="269" spans="1:7">
      <c r="A269" s="42">
        <v>43226</v>
      </c>
      <c r="B269" s="715" t="s">
        <v>427</v>
      </c>
      <c r="C269" s="9">
        <v>80</v>
      </c>
      <c r="D269" s="9"/>
      <c r="E269" s="9">
        <f t="shared" si="7"/>
        <v>2224</v>
      </c>
      <c r="F269" s="9">
        <f t="shared" si="6"/>
        <v>259</v>
      </c>
      <c r="G269" s="9"/>
    </row>
    <row r="270" spans="1:7">
      <c r="A270" s="21">
        <v>43226</v>
      </c>
      <c r="B270" s="715" t="s">
        <v>936</v>
      </c>
      <c r="C270" s="9">
        <v>27</v>
      </c>
      <c r="D270" s="9"/>
      <c r="E270" s="26">
        <f t="shared" si="7"/>
        <v>2251</v>
      </c>
      <c r="F270" s="9">
        <f t="shared" si="6"/>
        <v>286</v>
      </c>
      <c r="G270" s="9"/>
    </row>
    <row r="271" spans="1:7">
      <c r="A271" s="21"/>
      <c r="B271" s="715"/>
      <c r="C271" s="9"/>
      <c r="D271" s="9"/>
      <c r="E271" s="9"/>
      <c r="F271" s="9"/>
      <c r="G271" s="9"/>
    </row>
    <row r="272" spans="1:7">
      <c r="A272" s="21"/>
      <c r="B272" s="715"/>
      <c r="C272" s="9"/>
      <c r="D272" s="9"/>
      <c r="E272" s="9"/>
      <c r="F272" s="9"/>
      <c r="G272" s="9"/>
    </row>
    <row r="273" spans="1:7">
      <c r="A273" s="21"/>
      <c r="B273" s="715"/>
      <c r="C273" s="9"/>
      <c r="D273" s="9"/>
      <c r="E273" s="9"/>
      <c r="F273" s="9"/>
      <c r="G273" s="9"/>
    </row>
    <row r="274" spans="1:7">
      <c r="A274" s="21"/>
      <c r="B274" s="715"/>
      <c r="C274" s="9"/>
      <c r="D274" s="9"/>
      <c r="E274" s="9"/>
      <c r="F274" s="9"/>
      <c r="G274" s="9"/>
    </row>
    <row r="275" spans="1:7">
      <c r="A275" s="21"/>
      <c r="B275" s="715"/>
      <c r="C275" s="9"/>
      <c r="D275" s="9"/>
      <c r="E275" s="9"/>
      <c r="F275" s="9"/>
      <c r="G275" s="9"/>
    </row>
    <row r="276" spans="1:7">
      <c r="A276" s="21"/>
      <c r="B276" s="715"/>
      <c r="C276" s="9"/>
      <c r="D276" s="9"/>
      <c r="E276" s="9"/>
      <c r="F276" s="9"/>
      <c r="G276" s="9"/>
    </row>
    <row r="277" spans="1:7">
      <c r="A277" s="21"/>
      <c r="B277" s="715"/>
      <c r="C277" s="9"/>
      <c r="D277" s="9"/>
      <c r="E277" s="9"/>
      <c r="F277" s="9"/>
      <c r="G277" s="9"/>
    </row>
    <row r="278" spans="1:7">
      <c r="A278" s="21"/>
      <c r="B278" s="715"/>
      <c r="C278" s="9"/>
      <c r="D278" s="9"/>
      <c r="E278" s="9"/>
      <c r="F278" s="9"/>
      <c r="G278" s="9"/>
    </row>
    <row r="279" spans="1:7">
      <c r="A279" s="9"/>
      <c r="B279" s="9"/>
      <c r="C279" s="9"/>
      <c r="D279" s="9"/>
      <c r="E279" s="9"/>
      <c r="F279" s="9"/>
      <c r="G279" s="9"/>
    </row>
  </sheetData>
  <pageMargins left="0.69930555555555596" right="0.69930555555555596" top="0" bottom="0" header="0.3" footer="0.3"/>
  <pageSetup paperSize="9" scale="85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7"/>
  <sheetViews>
    <sheetView topLeftCell="A216" zoomScale="110" zoomScaleNormal="110" zoomScalePageLayoutView="110" workbookViewId="0">
      <selection activeCell="F231" sqref="F231"/>
    </sheetView>
  </sheetViews>
  <sheetFormatPr baseColWidth="10" defaultColWidth="9" defaultRowHeight="14" x14ac:dyDescent="0"/>
  <cols>
    <col min="1" max="1" width="13.1640625" style="264" customWidth="1"/>
    <col min="2" max="2" width="40.83203125" customWidth="1"/>
    <col min="3" max="3" width="7.1640625" customWidth="1"/>
    <col min="4" max="4" width="6.83203125" customWidth="1"/>
    <col min="6" max="6" width="12.33203125" customWidth="1"/>
  </cols>
  <sheetData>
    <row r="1" spans="1:6" s="273" customFormat="1" ht="15">
      <c r="A1" s="278" t="s">
        <v>33</v>
      </c>
      <c r="B1" s="217"/>
      <c r="C1" s="217"/>
      <c r="D1" s="217"/>
      <c r="E1" s="217"/>
    </row>
    <row r="2" spans="1:6">
      <c r="A2" s="279"/>
      <c r="B2" s="51"/>
      <c r="C2" s="50"/>
      <c r="D2" s="50"/>
      <c r="E2" s="50"/>
    </row>
    <row r="3" spans="1:6">
      <c r="A3" s="634" t="s">
        <v>1</v>
      </c>
      <c r="B3" s="52" t="s">
        <v>2</v>
      </c>
      <c r="C3" s="52" t="s">
        <v>3</v>
      </c>
      <c r="D3" s="52" t="s">
        <v>4</v>
      </c>
      <c r="E3" s="52" t="s">
        <v>5</v>
      </c>
      <c r="F3" s="52" t="s">
        <v>6</v>
      </c>
    </row>
    <row r="4" spans="1:6">
      <c r="A4" s="125"/>
      <c r="B4" s="298" t="s">
        <v>408</v>
      </c>
      <c r="C4" s="9"/>
      <c r="D4" s="9"/>
      <c r="E4" s="9">
        <v>4534</v>
      </c>
      <c r="F4" s="9"/>
    </row>
    <row r="5" spans="1:6">
      <c r="A5" s="42">
        <v>43132</v>
      </c>
      <c r="B5" s="298" t="s">
        <v>416</v>
      </c>
      <c r="C5" s="9">
        <v>64</v>
      </c>
      <c r="D5" s="9"/>
      <c r="E5" s="9">
        <f>E4+C5-D5</f>
        <v>4598</v>
      </c>
      <c r="F5" s="9"/>
    </row>
    <row r="6" spans="1:6">
      <c r="A6" s="42">
        <v>43132</v>
      </c>
      <c r="B6" s="298" t="s">
        <v>13</v>
      </c>
      <c r="C6" s="9">
        <v>2</v>
      </c>
      <c r="D6" s="9"/>
      <c r="E6" s="9">
        <f t="shared" ref="E6:E12" si="0">E5+C6-D6</f>
        <v>4600</v>
      </c>
      <c r="F6" s="9"/>
    </row>
    <row r="7" spans="1:6">
      <c r="A7" s="42">
        <v>43132</v>
      </c>
      <c r="B7" s="298" t="s">
        <v>13</v>
      </c>
      <c r="C7" s="9">
        <v>8</v>
      </c>
      <c r="D7" s="9"/>
      <c r="E7" s="9">
        <f t="shared" si="0"/>
        <v>4608</v>
      </c>
      <c r="F7" s="9"/>
    </row>
    <row r="8" spans="1:6">
      <c r="A8" s="42">
        <v>43132</v>
      </c>
      <c r="B8" s="298" t="s">
        <v>16</v>
      </c>
      <c r="C8" s="9">
        <v>150</v>
      </c>
      <c r="D8" s="9"/>
      <c r="E8" s="9">
        <f t="shared" si="0"/>
        <v>4758</v>
      </c>
      <c r="F8" s="9"/>
    </row>
    <row r="9" spans="1:6">
      <c r="A9" s="42">
        <v>43132</v>
      </c>
      <c r="B9" s="298" t="s">
        <v>16</v>
      </c>
      <c r="C9" s="9">
        <v>43</v>
      </c>
      <c r="D9" s="9"/>
      <c r="E9" s="9">
        <f t="shared" si="0"/>
        <v>4801</v>
      </c>
      <c r="F9" s="9"/>
    </row>
    <row r="10" spans="1:6">
      <c r="A10" s="42">
        <v>43160</v>
      </c>
      <c r="B10" s="299" t="s">
        <v>8</v>
      </c>
      <c r="C10" s="9">
        <v>124</v>
      </c>
      <c r="D10" s="9"/>
      <c r="E10" s="9">
        <f t="shared" si="0"/>
        <v>4925</v>
      </c>
      <c r="F10" s="9"/>
    </row>
    <row r="11" spans="1:6">
      <c r="A11" s="42">
        <v>43160</v>
      </c>
      <c r="B11" s="299" t="s">
        <v>423</v>
      </c>
      <c r="C11" s="9">
        <v>332</v>
      </c>
      <c r="D11" s="9"/>
      <c r="E11" s="9">
        <f t="shared" si="0"/>
        <v>5257</v>
      </c>
      <c r="F11" s="9"/>
    </row>
    <row r="12" spans="1:6">
      <c r="A12" s="42">
        <v>43160</v>
      </c>
      <c r="B12" s="299" t="s">
        <v>424</v>
      </c>
      <c r="C12" s="9">
        <v>200</v>
      </c>
      <c r="D12" s="9"/>
      <c r="E12" s="9">
        <f t="shared" si="0"/>
        <v>5457</v>
      </c>
      <c r="F12" s="9"/>
    </row>
    <row r="13" spans="1:6">
      <c r="A13" s="42">
        <v>43160</v>
      </c>
      <c r="B13" s="299" t="s">
        <v>17</v>
      </c>
      <c r="C13" s="9"/>
      <c r="D13" s="9">
        <v>400</v>
      </c>
      <c r="E13" s="9">
        <f>E12+C13-D13</f>
        <v>5057</v>
      </c>
      <c r="F13" s="299" t="s">
        <v>46</v>
      </c>
    </row>
    <row r="14" spans="1:6">
      <c r="A14" s="42">
        <v>43191</v>
      </c>
      <c r="B14" s="306" t="s">
        <v>425</v>
      </c>
      <c r="C14" s="9">
        <v>22</v>
      </c>
      <c r="D14" s="9"/>
      <c r="E14" s="9">
        <f t="shared" ref="E14:E15" si="1">E13+C14-D14</f>
        <v>5079</v>
      </c>
      <c r="F14" s="9"/>
    </row>
    <row r="15" spans="1:6">
      <c r="A15" s="172">
        <v>43191</v>
      </c>
      <c r="B15" s="307" t="s">
        <v>13</v>
      </c>
      <c r="C15" s="9">
        <v>3</v>
      </c>
      <c r="D15" s="9"/>
      <c r="E15" s="9">
        <f t="shared" si="1"/>
        <v>5082</v>
      </c>
      <c r="F15" s="9"/>
    </row>
    <row r="16" spans="1:6">
      <c r="A16" s="42">
        <v>43191</v>
      </c>
      <c r="B16" s="306" t="s">
        <v>427</v>
      </c>
      <c r="C16" s="9">
        <v>50</v>
      </c>
      <c r="D16" s="9"/>
      <c r="E16" s="9">
        <f>E15+C16-D16</f>
        <v>5132</v>
      </c>
      <c r="F16" s="306" t="s">
        <v>46</v>
      </c>
    </row>
    <row r="17" spans="1:6">
      <c r="A17" s="42">
        <v>43221</v>
      </c>
      <c r="B17" s="313" t="s">
        <v>433</v>
      </c>
      <c r="C17" s="9">
        <v>325</v>
      </c>
      <c r="D17" s="9"/>
      <c r="E17" s="9">
        <f t="shared" ref="E17:E46" si="2">E16+C17-D17</f>
        <v>5457</v>
      </c>
      <c r="F17" s="9"/>
    </row>
    <row r="18" spans="1:6">
      <c r="A18" s="42">
        <v>43221</v>
      </c>
      <c r="B18" s="313" t="s">
        <v>436</v>
      </c>
      <c r="C18" s="9">
        <v>32</v>
      </c>
      <c r="D18" s="9"/>
      <c r="E18" s="9">
        <f t="shared" si="2"/>
        <v>5489</v>
      </c>
      <c r="F18" s="9"/>
    </row>
    <row r="19" spans="1:6">
      <c r="A19" s="172">
        <v>42856</v>
      </c>
      <c r="B19" s="314" t="s">
        <v>441</v>
      </c>
      <c r="C19" s="9">
        <v>155</v>
      </c>
      <c r="D19" s="9"/>
      <c r="E19" s="9">
        <f t="shared" si="2"/>
        <v>5644</v>
      </c>
      <c r="F19" s="9"/>
    </row>
    <row r="20" spans="1:6">
      <c r="A20" s="42">
        <v>43221</v>
      </c>
      <c r="B20" s="313" t="s">
        <v>443</v>
      </c>
      <c r="C20" s="9"/>
      <c r="D20" s="9">
        <v>800</v>
      </c>
      <c r="E20" s="9">
        <f t="shared" si="2"/>
        <v>4844</v>
      </c>
      <c r="F20" s="313" t="s">
        <v>46</v>
      </c>
    </row>
    <row r="21" spans="1:6">
      <c r="A21" s="42">
        <v>43252</v>
      </c>
      <c r="B21" s="317" t="s">
        <v>446</v>
      </c>
      <c r="C21" s="9">
        <v>227</v>
      </c>
      <c r="D21" s="9"/>
      <c r="E21" s="9">
        <f t="shared" si="2"/>
        <v>5071</v>
      </c>
      <c r="F21" s="9"/>
    </row>
    <row r="22" spans="1:6">
      <c r="A22" s="42">
        <v>43252</v>
      </c>
      <c r="B22" s="317" t="s">
        <v>434</v>
      </c>
      <c r="C22" s="9">
        <v>118</v>
      </c>
      <c r="D22" s="9"/>
      <c r="E22" s="9">
        <f t="shared" si="2"/>
        <v>5189</v>
      </c>
      <c r="F22" s="9"/>
    </row>
    <row r="23" spans="1:6">
      <c r="A23" s="42">
        <v>43252</v>
      </c>
      <c r="B23" s="317" t="s">
        <v>450</v>
      </c>
      <c r="C23" s="9"/>
      <c r="D23" s="9">
        <v>1000</v>
      </c>
      <c r="E23" s="9">
        <f t="shared" si="2"/>
        <v>4189</v>
      </c>
      <c r="F23" s="9"/>
    </row>
    <row r="24" spans="1:6">
      <c r="A24" s="42">
        <v>43313</v>
      </c>
      <c r="B24" s="320" t="s">
        <v>455</v>
      </c>
      <c r="C24" s="9">
        <v>9</v>
      </c>
      <c r="D24" s="9"/>
      <c r="E24" s="9">
        <f t="shared" si="2"/>
        <v>4198</v>
      </c>
      <c r="F24" s="9"/>
    </row>
    <row r="25" spans="1:6">
      <c r="A25" s="42">
        <v>43313</v>
      </c>
      <c r="B25" s="320" t="s">
        <v>8</v>
      </c>
      <c r="C25" s="9">
        <v>33</v>
      </c>
      <c r="D25" s="9"/>
      <c r="E25" s="9">
        <f t="shared" si="2"/>
        <v>4231</v>
      </c>
      <c r="F25" s="320" t="s">
        <v>46</v>
      </c>
    </row>
    <row r="26" spans="1:6">
      <c r="A26" s="42">
        <v>43313</v>
      </c>
      <c r="B26" s="9" t="s">
        <v>459</v>
      </c>
      <c r="C26" s="9">
        <v>5</v>
      </c>
      <c r="D26" s="9"/>
      <c r="E26" s="9">
        <f t="shared" si="2"/>
        <v>4236</v>
      </c>
      <c r="F26" s="9"/>
    </row>
    <row r="27" spans="1:6">
      <c r="A27" s="42">
        <v>43313</v>
      </c>
      <c r="B27" s="9" t="s">
        <v>464</v>
      </c>
      <c r="C27" s="9">
        <v>15</v>
      </c>
      <c r="D27" s="9"/>
      <c r="E27" s="9">
        <f t="shared" si="2"/>
        <v>4251</v>
      </c>
      <c r="F27" s="9"/>
    </row>
    <row r="28" spans="1:6">
      <c r="A28" s="172">
        <v>42979</v>
      </c>
      <c r="B28" s="24" t="s">
        <v>15</v>
      </c>
      <c r="C28" s="9">
        <v>248</v>
      </c>
      <c r="D28" s="9"/>
      <c r="E28" s="9">
        <f t="shared" si="2"/>
        <v>4499</v>
      </c>
      <c r="F28" s="9"/>
    </row>
    <row r="29" spans="1:6">
      <c r="A29" s="172">
        <v>42979</v>
      </c>
      <c r="B29" s="24" t="s">
        <v>15</v>
      </c>
      <c r="C29" s="9">
        <v>84</v>
      </c>
      <c r="D29" s="9"/>
      <c r="E29" s="9">
        <f t="shared" si="2"/>
        <v>4583</v>
      </c>
      <c r="F29" s="9"/>
    </row>
    <row r="30" spans="1:6">
      <c r="A30" s="42">
        <v>42979</v>
      </c>
      <c r="B30" s="9" t="s">
        <v>461</v>
      </c>
      <c r="C30" s="9"/>
      <c r="D30" s="9">
        <v>400</v>
      </c>
      <c r="E30" s="9">
        <f t="shared" si="2"/>
        <v>4183</v>
      </c>
      <c r="F30" s="9" t="s">
        <v>46</v>
      </c>
    </row>
    <row r="31" spans="1:6">
      <c r="A31" s="42">
        <v>43374</v>
      </c>
      <c r="B31" s="326" t="s">
        <v>468</v>
      </c>
      <c r="C31" s="9">
        <v>2</v>
      </c>
      <c r="D31" s="9"/>
      <c r="E31" s="9">
        <f t="shared" si="2"/>
        <v>4185</v>
      </c>
      <c r="F31" s="9"/>
    </row>
    <row r="32" spans="1:6">
      <c r="A32" s="42">
        <v>43374</v>
      </c>
      <c r="B32" s="326" t="s">
        <v>17</v>
      </c>
      <c r="C32" s="9"/>
      <c r="D32" s="9">
        <v>400</v>
      </c>
      <c r="E32" s="9">
        <f t="shared" si="2"/>
        <v>3785</v>
      </c>
      <c r="F32" s="326" t="s">
        <v>46</v>
      </c>
    </row>
    <row r="33" spans="1:6" ht="15">
      <c r="A33" s="635">
        <v>43405</v>
      </c>
      <c r="B33" s="35" t="s">
        <v>472</v>
      </c>
      <c r="C33" s="9">
        <v>3</v>
      </c>
      <c r="D33" s="9"/>
      <c r="E33" s="9">
        <f t="shared" si="2"/>
        <v>3788</v>
      </c>
      <c r="F33" s="9"/>
    </row>
    <row r="34" spans="1:6">
      <c r="A34" s="636">
        <v>43405</v>
      </c>
      <c r="B34" s="25" t="s">
        <v>476</v>
      </c>
      <c r="C34" s="24">
        <v>162</v>
      </c>
      <c r="D34" s="9"/>
      <c r="E34" s="9">
        <f t="shared" si="2"/>
        <v>3950</v>
      </c>
      <c r="F34" s="9"/>
    </row>
    <row r="35" spans="1:6">
      <c r="A35" s="42">
        <v>43435</v>
      </c>
      <c r="B35" s="330" t="s">
        <v>445</v>
      </c>
      <c r="C35" s="9">
        <v>347</v>
      </c>
      <c r="D35" s="9"/>
      <c r="E35" s="9">
        <f t="shared" si="2"/>
        <v>4297</v>
      </c>
      <c r="F35" s="9"/>
    </row>
    <row r="36" spans="1:6">
      <c r="A36" s="42">
        <v>43435</v>
      </c>
      <c r="B36" s="330" t="s">
        <v>481</v>
      </c>
      <c r="C36" s="9">
        <v>311</v>
      </c>
      <c r="D36" s="9"/>
      <c r="E36" s="9">
        <f t="shared" si="2"/>
        <v>4608</v>
      </c>
      <c r="F36" s="330" t="s">
        <v>46</v>
      </c>
    </row>
    <row r="37" spans="1:6">
      <c r="A37" s="42" t="s">
        <v>488</v>
      </c>
      <c r="B37" s="334" t="s">
        <v>434</v>
      </c>
      <c r="C37" s="9">
        <v>87</v>
      </c>
      <c r="D37" s="9"/>
      <c r="E37" s="9">
        <f t="shared" si="2"/>
        <v>4695</v>
      </c>
      <c r="F37" s="9"/>
    </row>
    <row r="38" spans="1:6">
      <c r="A38" s="336" t="s">
        <v>488</v>
      </c>
      <c r="B38" s="334" t="s">
        <v>493</v>
      </c>
      <c r="C38" s="9">
        <v>78</v>
      </c>
      <c r="D38" s="9"/>
      <c r="E38" s="9">
        <f t="shared" si="2"/>
        <v>4773</v>
      </c>
      <c r="F38" s="9"/>
    </row>
    <row r="39" spans="1:6">
      <c r="A39" s="342" t="s">
        <v>500</v>
      </c>
      <c r="B39" s="341" t="s">
        <v>504</v>
      </c>
      <c r="C39" s="9">
        <v>90</v>
      </c>
      <c r="D39" s="9"/>
      <c r="E39" s="9">
        <f t="shared" si="2"/>
        <v>4863</v>
      </c>
      <c r="F39" s="9"/>
    </row>
    <row r="40" spans="1:6">
      <c r="A40" s="342" t="s">
        <v>509</v>
      </c>
      <c r="B40" s="341" t="s">
        <v>510</v>
      </c>
      <c r="C40" s="9">
        <v>5</v>
      </c>
      <c r="D40" s="9"/>
      <c r="E40" s="9">
        <f t="shared" si="2"/>
        <v>4868</v>
      </c>
      <c r="F40" s="9"/>
    </row>
    <row r="41" spans="1:6">
      <c r="A41" s="343" t="s">
        <v>509</v>
      </c>
      <c r="B41" s="344" t="s">
        <v>462</v>
      </c>
      <c r="C41" s="9">
        <v>24</v>
      </c>
      <c r="D41" s="9"/>
      <c r="E41" s="9">
        <f t="shared" si="2"/>
        <v>4892</v>
      </c>
      <c r="F41" s="341" t="s">
        <v>46</v>
      </c>
    </row>
    <row r="42" spans="1:6">
      <c r="A42" s="125" t="s">
        <v>516</v>
      </c>
      <c r="B42" s="9" t="s">
        <v>517</v>
      </c>
      <c r="C42" s="9">
        <v>4</v>
      </c>
      <c r="D42" s="9"/>
      <c r="E42" s="9">
        <f t="shared" si="2"/>
        <v>4896</v>
      </c>
      <c r="F42" s="9"/>
    </row>
    <row r="43" spans="1:6">
      <c r="A43" s="347" t="s">
        <v>516</v>
      </c>
      <c r="B43" s="348" t="s">
        <v>433</v>
      </c>
      <c r="C43" s="9">
        <v>343</v>
      </c>
      <c r="D43" s="9"/>
      <c r="E43" s="9">
        <f t="shared" si="2"/>
        <v>5239</v>
      </c>
      <c r="F43" s="9"/>
    </row>
    <row r="44" spans="1:6">
      <c r="A44" s="347" t="s">
        <v>516</v>
      </c>
      <c r="B44" s="348" t="s">
        <v>525</v>
      </c>
      <c r="C44" s="9">
        <v>4</v>
      </c>
      <c r="D44" s="9"/>
      <c r="E44" s="9">
        <f t="shared" si="2"/>
        <v>5243</v>
      </c>
      <c r="F44" s="9"/>
    </row>
    <row r="45" spans="1:6">
      <c r="A45" s="347" t="s">
        <v>526</v>
      </c>
      <c r="B45" s="348" t="s">
        <v>462</v>
      </c>
      <c r="C45" s="9">
        <v>3</v>
      </c>
      <c r="D45" s="9"/>
      <c r="E45" s="9">
        <f t="shared" si="2"/>
        <v>5246</v>
      </c>
      <c r="F45" s="9"/>
    </row>
    <row r="46" spans="1:6">
      <c r="A46" s="347" t="s">
        <v>531</v>
      </c>
      <c r="B46" s="348" t="s">
        <v>533</v>
      </c>
      <c r="C46" s="9">
        <v>176</v>
      </c>
      <c r="D46" s="9"/>
      <c r="E46" s="9">
        <f t="shared" si="2"/>
        <v>5422</v>
      </c>
      <c r="F46" s="9"/>
    </row>
    <row r="47" spans="1:6">
      <c r="A47" s="347" t="s">
        <v>531</v>
      </c>
      <c r="B47" s="348" t="s">
        <v>535</v>
      </c>
      <c r="C47" s="9">
        <v>243</v>
      </c>
      <c r="D47" s="9"/>
      <c r="E47" s="9">
        <f t="shared" ref="E47:E83" si="3">E46+C47-D47</f>
        <v>5665</v>
      </c>
      <c r="F47" s="348" t="s">
        <v>46</v>
      </c>
    </row>
    <row r="48" spans="1:6">
      <c r="A48" s="125" t="s">
        <v>544</v>
      </c>
      <c r="B48" s="9" t="s">
        <v>17</v>
      </c>
      <c r="C48" s="9"/>
      <c r="D48" s="9">
        <v>300</v>
      </c>
      <c r="E48" s="9">
        <f t="shared" si="3"/>
        <v>5365</v>
      </c>
      <c r="F48" s="353" t="s">
        <v>46</v>
      </c>
    </row>
    <row r="49" spans="1:6">
      <c r="A49" s="360" t="s">
        <v>546</v>
      </c>
      <c r="B49" s="359" t="s">
        <v>444</v>
      </c>
      <c r="C49" s="9">
        <v>25</v>
      </c>
      <c r="D49" s="9"/>
      <c r="E49" s="9">
        <f t="shared" si="3"/>
        <v>5390</v>
      </c>
      <c r="F49" s="9"/>
    </row>
    <row r="50" spans="1:6">
      <c r="A50" s="358" t="s">
        <v>546</v>
      </c>
      <c r="B50" s="357" t="s">
        <v>17</v>
      </c>
      <c r="C50" s="9"/>
      <c r="D50" s="9">
        <v>200</v>
      </c>
      <c r="E50" s="9">
        <f t="shared" si="3"/>
        <v>5190</v>
      </c>
      <c r="F50" s="9"/>
    </row>
    <row r="51" spans="1:6">
      <c r="A51" s="358" t="s">
        <v>551</v>
      </c>
      <c r="B51" s="357" t="s">
        <v>17</v>
      </c>
      <c r="C51" s="9"/>
      <c r="D51" s="9">
        <v>270</v>
      </c>
      <c r="E51" s="9">
        <f t="shared" si="3"/>
        <v>4920</v>
      </c>
      <c r="F51" s="357" t="s">
        <v>46</v>
      </c>
    </row>
    <row r="52" spans="1:6">
      <c r="A52" s="174" t="s">
        <v>557</v>
      </c>
      <c r="B52" s="24" t="s">
        <v>510</v>
      </c>
      <c r="C52" s="9">
        <v>2</v>
      </c>
      <c r="D52" s="9"/>
      <c r="E52" s="9">
        <f t="shared" si="3"/>
        <v>4922</v>
      </c>
      <c r="F52" s="9"/>
    </row>
    <row r="53" spans="1:6">
      <c r="A53" s="637" t="s">
        <v>557</v>
      </c>
      <c r="B53" s="365" t="s">
        <v>433</v>
      </c>
      <c r="C53" s="9">
        <v>29</v>
      </c>
      <c r="D53" s="9"/>
      <c r="E53" s="9">
        <f t="shared" si="3"/>
        <v>4951</v>
      </c>
      <c r="F53" s="9"/>
    </row>
    <row r="54" spans="1:6">
      <c r="A54" s="638" t="s">
        <v>557</v>
      </c>
      <c r="B54" s="364" t="s">
        <v>563</v>
      </c>
      <c r="C54" s="9"/>
      <c r="D54" s="9">
        <v>336</v>
      </c>
      <c r="E54" s="9">
        <f t="shared" si="3"/>
        <v>4615</v>
      </c>
      <c r="F54" s="365" t="s">
        <v>46</v>
      </c>
    </row>
    <row r="55" spans="1:6">
      <c r="A55" s="368" t="s">
        <v>564</v>
      </c>
      <c r="B55" s="369" t="s">
        <v>24</v>
      </c>
      <c r="C55" s="9">
        <v>50</v>
      </c>
      <c r="D55" s="9"/>
      <c r="E55" s="9">
        <f t="shared" si="3"/>
        <v>4665</v>
      </c>
      <c r="F55" s="9"/>
    </row>
    <row r="56" spans="1:6">
      <c r="A56" s="368" t="s">
        <v>564</v>
      </c>
      <c r="B56" s="369" t="s">
        <v>567</v>
      </c>
      <c r="C56" s="9"/>
      <c r="D56" s="9">
        <v>600</v>
      </c>
      <c r="E56" s="9">
        <f t="shared" si="3"/>
        <v>4065</v>
      </c>
      <c r="F56" s="9"/>
    </row>
    <row r="57" spans="1:6">
      <c r="A57" s="368" t="s">
        <v>564</v>
      </c>
      <c r="B57" s="369" t="s">
        <v>568</v>
      </c>
      <c r="C57" s="9"/>
      <c r="D57" s="9">
        <v>300</v>
      </c>
      <c r="E57" s="9">
        <f t="shared" si="3"/>
        <v>3765</v>
      </c>
      <c r="F57" s="9"/>
    </row>
    <row r="58" spans="1:6">
      <c r="A58" s="368" t="s">
        <v>569</v>
      </c>
      <c r="B58" s="369" t="s">
        <v>573</v>
      </c>
      <c r="C58" s="9">
        <v>42</v>
      </c>
      <c r="D58" s="9"/>
      <c r="E58" s="9">
        <f t="shared" si="3"/>
        <v>3807</v>
      </c>
      <c r="F58" s="9"/>
    </row>
    <row r="59" spans="1:6">
      <c r="A59" s="370" t="s">
        <v>569</v>
      </c>
      <c r="B59" s="371" t="s">
        <v>8</v>
      </c>
      <c r="C59" s="9">
        <v>35</v>
      </c>
      <c r="D59" s="9"/>
      <c r="E59" s="9">
        <f t="shared" si="3"/>
        <v>3842</v>
      </c>
      <c r="F59" s="9"/>
    </row>
    <row r="60" spans="1:6">
      <c r="A60" s="368" t="s">
        <v>569</v>
      </c>
      <c r="B60" s="369" t="s">
        <v>575</v>
      </c>
      <c r="C60" s="9">
        <v>85</v>
      </c>
      <c r="D60" s="9"/>
      <c r="E60" s="9">
        <f t="shared" si="3"/>
        <v>3927</v>
      </c>
      <c r="F60" s="9"/>
    </row>
    <row r="61" spans="1:6">
      <c r="A61" s="368" t="s">
        <v>569</v>
      </c>
      <c r="B61" s="369" t="s">
        <v>576</v>
      </c>
      <c r="C61" s="9">
        <v>385</v>
      </c>
      <c r="D61" s="9"/>
      <c r="E61" s="9">
        <f t="shared" si="3"/>
        <v>4312</v>
      </c>
      <c r="F61" s="9"/>
    </row>
    <row r="62" spans="1:6">
      <c r="A62" s="368" t="s">
        <v>569</v>
      </c>
      <c r="B62" s="369" t="s">
        <v>17</v>
      </c>
      <c r="C62" s="9"/>
      <c r="D62" s="9">
        <v>600</v>
      </c>
      <c r="E62" s="9">
        <f t="shared" si="3"/>
        <v>3712</v>
      </c>
      <c r="F62" s="369" t="s">
        <v>46</v>
      </c>
    </row>
    <row r="63" spans="1:6">
      <c r="A63" s="374" t="s">
        <v>581</v>
      </c>
      <c r="B63" s="375" t="s">
        <v>583</v>
      </c>
      <c r="C63" s="9"/>
      <c r="D63" s="9">
        <v>1100</v>
      </c>
      <c r="E63" s="9">
        <f t="shared" si="3"/>
        <v>2612</v>
      </c>
      <c r="F63" s="9"/>
    </row>
    <row r="64" spans="1:6">
      <c r="A64" s="376" t="s">
        <v>585</v>
      </c>
      <c r="B64" s="377" t="s">
        <v>8</v>
      </c>
      <c r="C64" s="9">
        <v>28</v>
      </c>
      <c r="D64" s="9"/>
      <c r="E64" s="9">
        <f t="shared" si="3"/>
        <v>2640</v>
      </c>
      <c r="F64" s="9"/>
    </row>
    <row r="65" spans="1:6">
      <c r="A65" s="374" t="s">
        <v>586</v>
      </c>
      <c r="B65" s="375" t="s">
        <v>445</v>
      </c>
      <c r="C65" s="9">
        <v>16</v>
      </c>
      <c r="D65" s="9"/>
      <c r="E65" s="9">
        <f t="shared" si="3"/>
        <v>2656</v>
      </c>
      <c r="F65" s="9"/>
    </row>
    <row r="66" spans="1:6">
      <c r="A66" s="374" t="s">
        <v>586</v>
      </c>
      <c r="B66" s="375" t="s">
        <v>16</v>
      </c>
      <c r="C66" s="9">
        <v>66</v>
      </c>
      <c r="D66" s="9"/>
      <c r="E66" s="9">
        <f t="shared" si="3"/>
        <v>2722</v>
      </c>
      <c r="F66" s="9"/>
    </row>
    <row r="67" spans="1:6">
      <c r="A67" s="374" t="s">
        <v>586</v>
      </c>
      <c r="B67" s="375" t="s">
        <v>16</v>
      </c>
      <c r="C67" s="9">
        <v>4</v>
      </c>
      <c r="D67" s="9"/>
      <c r="E67" s="9">
        <f t="shared" si="3"/>
        <v>2726</v>
      </c>
      <c r="F67" s="9"/>
    </row>
    <row r="68" spans="1:6">
      <c r="A68" s="374" t="s">
        <v>586</v>
      </c>
      <c r="B68" s="375" t="s">
        <v>592</v>
      </c>
      <c r="C68" s="9"/>
      <c r="D68" s="9">
        <v>1100</v>
      </c>
      <c r="E68" s="9">
        <f t="shared" si="3"/>
        <v>1626</v>
      </c>
      <c r="F68" s="375" t="s">
        <v>46</v>
      </c>
    </row>
    <row r="69" spans="1:6">
      <c r="A69" s="125" t="s">
        <v>594</v>
      </c>
      <c r="B69" s="9" t="s">
        <v>595</v>
      </c>
      <c r="C69" s="9">
        <v>200</v>
      </c>
      <c r="D69" s="9"/>
      <c r="E69" s="9">
        <f t="shared" si="3"/>
        <v>1826</v>
      </c>
      <c r="F69" s="9"/>
    </row>
    <row r="70" spans="1:6">
      <c r="A70" s="380" t="s">
        <v>594</v>
      </c>
      <c r="B70" s="381" t="s">
        <v>596</v>
      </c>
      <c r="C70" s="9">
        <v>60</v>
      </c>
      <c r="D70" s="9"/>
      <c r="E70" s="9">
        <f t="shared" si="3"/>
        <v>1886</v>
      </c>
      <c r="F70" s="9"/>
    </row>
    <row r="71" spans="1:6">
      <c r="A71" s="380" t="s">
        <v>594</v>
      </c>
      <c r="B71" s="381" t="s">
        <v>17</v>
      </c>
      <c r="C71" s="9"/>
      <c r="D71" s="9">
        <v>624</v>
      </c>
      <c r="E71" s="9">
        <f t="shared" si="3"/>
        <v>1262</v>
      </c>
      <c r="F71" s="381" t="s">
        <v>46</v>
      </c>
    </row>
    <row r="72" spans="1:6">
      <c r="A72" s="125" t="s">
        <v>598</v>
      </c>
      <c r="B72" s="9" t="s">
        <v>587</v>
      </c>
      <c r="C72" s="9">
        <v>23</v>
      </c>
      <c r="D72" s="9"/>
      <c r="E72" s="9">
        <f t="shared" si="3"/>
        <v>1285</v>
      </c>
      <c r="F72" s="9"/>
    </row>
    <row r="73" spans="1:6" ht="15">
      <c r="A73" s="421" t="s">
        <v>598</v>
      </c>
      <c r="B73" s="34" t="s">
        <v>505</v>
      </c>
      <c r="C73" s="9">
        <v>67</v>
      </c>
      <c r="D73" s="9"/>
      <c r="E73" s="9">
        <f t="shared" si="3"/>
        <v>1352</v>
      </c>
      <c r="F73" s="386" t="s">
        <v>46</v>
      </c>
    </row>
    <row r="74" spans="1:6" ht="15">
      <c r="A74" s="419">
        <v>43102</v>
      </c>
      <c r="B74" s="33" t="s">
        <v>601</v>
      </c>
      <c r="C74" s="9">
        <v>147</v>
      </c>
      <c r="D74" s="9"/>
      <c r="E74" s="9">
        <f t="shared" si="3"/>
        <v>1499</v>
      </c>
      <c r="F74" s="9"/>
    </row>
    <row r="75" spans="1:6">
      <c r="A75" s="172">
        <v>43102</v>
      </c>
      <c r="B75" s="389" t="s">
        <v>560</v>
      </c>
      <c r="C75" s="9"/>
      <c r="D75" s="9">
        <v>300</v>
      </c>
      <c r="E75" s="9">
        <f t="shared" si="3"/>
        <v>1199</v>
      </c>
      <c r="F75" s="390" t="s">
        <v>46</v>
      </c>
    </row>
    <row r="76" spans="1:6">
      <c r="A76" s="42">
        <v>43133</v>
      </c>
      <c r="B76" s="9" t="s">
        <v>13</v>
      </c>
      <c r="C76" s="9">
        <v>50</v>
      </c>
      <c r="D76" s="9"/>
      <c r="E76" s="9">
        <f t="shared" si="3"/>
        <v>1249</v>
      </c>
      <c r="F76" s="9"/>
    </row>
    <row r="77" spans="1:6">
      <c r="A77" s="42">
        <v>43133</v>
      </c>
      <c r="B77" s="395" t="s">
        <v>462</v>
      </c>
      <c r="C77" s="9">
        <v>4</v>
      </c>
      <c r="D77" s="9"/>
      <c r="E77" s="9">
        <f t="shared" si="3"/>
        <v>1253</v>
      </c>
      <c r="F77" s="395" t="s">
        <v>46</v>
      </c>
    </row>
    <row r="78" spans="1:6">
      <c r="A78" s="42">
        <v>43222</v>
      </c>
      <c r="B78" s="401" t="s">
        <v>587</v>
      </c>
      <c r="C78" s="9">
        <v>35</v>
      </c>
      <c r="D78" s="9"/>
      <c r="E78" s="9">
        <f t="shared" si="3"/>
        <v>1288</v>
      </c>
      <c r="F78" s="9"/>
    </row>
    <row r="79" spans="1:6">
      <c r="A79" s="636">
        <v>43222</v>
      </c>
      <c r="B79" s="25" t="s">
        <v>604</v>
      </c>
      <c r="C79" s="9">
        <v>94</v>
      </c>
      <c r="D79" s="9"/>
      <c r="E79" s="9">
        <f t="shared" si="3"/>
        <v>1382</v>
      </c>
      <c r="F79" s="9"/>
    </row>
    <row r="80" spans="1:6">
      <c r="A80" s="42">
        <v>43222</v>
      </c>
      <c r="B80" s="401" t="s">
        <v>605</v>
      </c>
      <c r="C80" s="9">
        <v>2</v>
      </c>
      <c r="D80" s="9"/>
      <c r="E80" s="9">
        <f t="shared" si="3"/>
        <v>1384</v>
      </c>
      <c r="F80" s="9"/>
    </row>
    <row r="81" spans="1:6">
      <c r="A81" s="42">
        <v>43222</v>
      </c>
      <c r="B81" s="401" t="s">
        <v>607</v>
      </c>
      <c r="C81" s="9">
        <v>23</v>
      </c>
      <c r="D81" s="9"/>
      <c r="E81" s="9">
        <f t="shared" si="3"/>
        <v>1407</v>
      </c>
      <c r="F81" s="9"/>
    </row>
    <row r="82" spans="1:6">
      <c r="A82" s="42">
        <v>43222</v>
      </c>
      <c r="B82" s="401" t="s">
        <v>17</v>
      </c>
      <c r="C82" s="9"/>
      <c r="D82" s="9">
        <v>500</v>
      </c>
      <c r="E82" s="9">
        <f t="shared" si="3"/>
        <v>907</v>
      </c>
      <c r="F82" s="401" t="s">
        <v>46</v>
      </c>
    </row>
    <row r="83" spans="1:6">
      <c r="A83" s="42">
        <v>43253</v>
      </c>
      <c r="B83" s="9" t="s">
        <v>608</v>
      </c>
      <c r="C83" s="9">
        <v>1</v>
      </c>
      <c r="D83" s="9"/>
      <c r="E83" s="9">
        <f t="shared" si="3"/>
        <v>908</v>
      </c>
      <c r="F83" s="9"/>
    </row>
    <row r="84" spans="1:6">
      <c r="A84" s="639">
        <v>43253</v>
      </c>
      <c r="B84" s="34" t="s">
        <v>611</v>
      </c>
      <c r="C84" s="9">
        <v>79</v>
      </c>
      <c r="D84" s="9"/>
      <c r="E84" s="9">
        <f>E83+C84-D84</f>
        <v>987</v>
      </c>
      <c r="F84" s="407" t="s">
        <v>46</v>
      </c>
    </row>
    <row r="85" spans="1:6">
      <c r="A85" s="42">
        <v>43283</v>
      </c>
      <c r="B85" s="411" t="s">
        <v>612</v>
      </c>
      <c r="C85" s="9">
        <v>700</v>
      </c>
      <c r="D85" s="9"/>
      <c r="E85" s="9">
        <f t="shared" ref="E85:E106" si="4">E84+C85-D85</f>
        <v>1687</v>
      </c>
      <c r="F85" s="9"/>
    </row>
    <row r="86" spans="1:6">
      <c r="A86" s="42">
        <v>43283</v>
      </c>
      <c r="B86" s="411" t="s">
        <v>613</v>
      </c>
      <c r="C86" s="9">
        <v>11</v>
      </c>
      <c r="D86" s="9"/>
      <c r="E86" s="9">
        <f t="shared" si="4"/>
        <v>1698</v>
      </c>
      <c r="F86" s="9"/>
    </row>
    <row r="87" spans="1:6">
      <c r="A87" s="42">
        <v>43283</v>
      </c>
      <c r="B87" s="411" t="s">
        <v>614</v>
      </c>
      <c r="C87" s="9">
        <v>108</v>
      </c>
      <c r="D87" s="9"/>
      <c r="E87" s="9">
        <f t="shared" si="4"/>
        <v>1806</v>
      </c>
      <c r="F87" s="9"/>
    </row>
    <row r="88" spans="1:6">
      <c r="A88" s="42">
        <v>43283</v>
      </c>
      <c r="B88" s="411" t="s">
        <v>560</v>
      </c>
      <c r="C88" s="9"/>
      <c r="D88" s="9">
        <v>800</v>
      </c>
      <c r="E88" s="9">
        <f t="shared" si="4"/>
        <v>1006</v>
      </c>
      <c r="F88" s="9"/>
    </row>
    <row r="89" spans="1:6">
      <c r="A89" s="42">
        <v>43283</v>
      </c>
      <c r="B89" s="411" t="s">
        <v>17</v>
      </c>
      <c r="C89" s="9"/>
      <c r="D89" s="9">
        <v>500</v>
      </c>
      <c r="E89" s="9">
        <f t="shared" si="4"/>
        <v>506</v>
      </c>
      <c r="F89" s="9"/>
    </row>
    <row r="90" spans="1:6">
      <c r="A90" s="172">
        <v>43314</v>
      </c>
      <c r="B90" s="412" t="s">
        <v>618</v>
      </c>
      <c r="C90" s="9">
        <v>72</v>
      </c>
      <c r="D90" s="9"/>
      <c r="E90" s="9">
        <f t="shared" si="4"/>
        <v>578</v>
      </c>
      <c r="F90" s="9"/>
    </row>
    <row r="91" spans="1:6">
      <c r="A91" s="636">
        <v>43324</v>
      </c>
      <c r="B91" s="25" t="s">
        <v>587</v>
      </c>
      <c r="C91" s="9">
        <v>10</v>
      </c>
      <c r="D91" s="9"/>
      <c r="E91" s="9">
        <f t="shared" si="4"/>
        <v>588</v>
      </c>
      <c r="F91" s="411"/>
    </row>
    <row r="92" spans="1:6">
      <c r="A92" s="42">
        <v>43345</v>
      </c>
      <c r="B92" s="415" t="s">
        <v>427</v>
      </c>
      <c r="C92" s="9">
        <v>25</v>
      </c>
      <c r="D92" s="9"/>
      <c r="E92" s="9">
        <f t="shared" si="4"/>
        <v>613</v>
      </c>
      <c r="F92" s="9"/>
    </row>
    <row r="93" spans="1:6">
      <c r="A93" s="42">
        <v>43345</v>
      </c>
      <c r="B93" s="415" t="s">
        <v>624</v>
      </c>
      <c r="C93" s="9">
        <v>170</v>
      </c>
      <c r="D93" s="9"/>
      <c r="E93" s="9">
        <f t="shared" si="4"/>
        <v>783</v>
      </c>
      <c r="F93" s="415"/>
    </row>
    <row r="94" spans="1:6" ht="15">
      <c r="A94" s="32" t="s">
        <v>630</v>
      </c>
      <c r="B94" s="34" t="s">
        <v>635</v>
      </c>
      <c r="C94" s="9">
        <v>156</v>
      </c>
      <c r="D94" s="9"/>
      <c r="E94" s="9">
        <f t="shared" si="4"/>
        <v>939</v>
      </c>
      <c r="F94" s="9"/>
    </row>
    <row r="95" spans="1:6">
      <c r="A95" s="640" t="s">
        <v>630</v>
      </c>
      <c r="B95" s="429" t="s">
        <v>587</v>
      </c>
      <c r="C95" s="9">
        <v>5</v>
      </c>
      <c r="D95" s="9"/>
      <c r="E95" s="9">
        <f t="shared" si="4"/>
        <v>944</v>
      </c>
      <c r="F95" s="9"/>
    </row>
    <row r="96" spans="1:6">
      <c r="A96" s="640" t="s">
        <v>636</v>
      </c>
      <c r="B96" s="429" t="s">
        <v>637</v>
      </c>
      <c r="C96" s="9">
        <v>16</v>
      </c>
      <c r="D96" s="9"/>
      <c r="E96" s="9">
        <f t="shared" si="4"/>
        <v>960</v>
      </c>
      <c r="F96" s="429"/>
    </row>
    <row r="97" spans="1:6">
      <c r="A97" s="641" t="s">
        <v>638</v>
      </c>
      <c r="B97" s="434" t="s">
        <v>642</v>
      </c>
      <c r="C97" s="9"/>
      <c r="D97" s="9">
        <v>50</v>
      </c>
      <c r="E97" s="9">
        <f t="shared" si="4"/>
        <v>910</v>
      </c>
      <c r="F97" s="434"/>
    </row>
    <row r="98" spans="1:6">
      <c r="A98" s="436" t="s">
        <v>644</v>
      </c>
      <c r="B98" s="437" t="s">
        <v>645</v>
      </c>
      <c r="C98" s="9"/>
      <c r="D98" s="9">
        <v>450</v>
      </c>
      <c r="E98" s="9">
        <f t="shared" si="4"/>
        <v>460</v>
      </c>
      <c r="F98" s="437"/>
    </row>
    <row r="99" spans="1:6">
      <c r="A99" s="443" t="s">
        <v>651</v>
      </c>
      <c r="B99" s="444" t="s">
        <v>654</v>
      </c>
      <c r="C99" s="9">
        <v>172</v>
      </c>
      <c r="D99" s="9"/>
      <c r="E99" s="9">
        <f t="shared" si="4"/>
        <v>632</v>
      </c>
      <c r="F99" s="9"/>
    </row>
    <row r="100" spans="1:6">
      <c r="A100" s="446" t="s">
        <v>651</v>
      </c>
      <c r="B100" s="445" t="s">
        <v>587</v>
      </c>
      <c r="C100" s="9">
        <v>6</v>
      </c>
      <c r="D100" s="9"/>
      <c r="E100" s="9">
        <f t="shared" si="4"/>
        <v>638</v>
      </c>
      <c r="F100" s="9"/>
    </row>
    <row r="101" spans="1:6">
      <c r="A101" s="446" t="s">
        <v>651</v>
      </c>
      <c r="B101" s="445" t="s">
        <v>434</v>
      </c>
      <c r="C101" s="9">
        <v>11</v>
      </c>
      <c r="D101" s="9"/>
      <c r="E101" s="9">
        <f t="shared" si="4"/>
        <v>649</v>
      </c>
      <c r="F101" s="9"/>
    </row>
    <row r="102" spans="1:6">
      <c r="A102" s="443" t="s">
        <v>651</v>
      </c>
      <c r="B102" s="444" t="s">
        <v>655</v>
      </c>
      <c r="C102" s="9">
        <v>100</v>
      </c>
      <c r="D102" s="9"/>
      <c r="E102" s="9">
        <f t="shared" si="4"/>
        <v>749</v>
      </c>
      <c r="F102" s="9"/>
    </row>
    <row r="103" spans="1:6" ht="15">
      <c r="A103" s="32" t="s">
        <v>656</v>
      </c>
      <c r="B103" s="33" t="s">
        <v>587</v>
      </c>
      <c r="C103" s="9">
        <v>3</v>
      </c>
      <c r="D103" s="9"/>
      <c r="E103" s="9">
        <f t="shared" si="4"/>
        <v>752</v>
      </c>
      <c r="F103" s="444"/>
    </row>
    <row r="104" spans="1:6">
      <c r="A104" s="448" t="s">
        <v>661</v>
      </c>
      <c r="B104" s="449" t="s">
        <v>662</v>
      </c>
      <c r="C104" s="9">
        <v>50</v>
      </c>
      <c r="D104" s="9"/>
      <c r="E104" s="9">
        <f t="shared" si="4"/>
        <v>802</v>
      </c>
      <c r="F104" s="449"/>
    </row>
    <row r="105" spans="1:6">
      <c r="A105" s="454" t="s">
        <v>665</v>
      </c>
      <c r="B105" s="452" t="s">
        <v>645</v>
      </c>
      <c r="C105" s="9"/>
      <c r="D105" s="9">
        <v>250</v>
      </c>
      <c r="E105" s="9">
        <f t="shared" si="4"/>
        <v>552</v>
      </c>
      <c r="F105" s="9"/>
    </row>
    <row r="106" spans="1:6">
      <c r="A106" s="455" t="s">
        <v>665</v>
      </c>
      <c r="B106" s="456" t="s">
        <v>668</v>
      </c>
      <c r="C106" s="9"/>
      <c r="D106" s="9">
        <v>120</v>
      </c>
      <c r="E106" s="9">
        <f t="shared" si="4"/>
        <v>432</v>
      </c>
      <c r="F106" s="452"/>
    </row>
    <row r="107" spans="1:6">
      <c r="A107" s="459" t="s">
        <v>669</v>
      </c>
      <c r="B107" s="457" t="s">
        <v>456</v>
      </c>
      <c r="C107" s="9">
        <v>1</v>
      </c>
      <c r="D107" s="9"/>
      <c r="E107" s="9">
        <f>E106+C107-D107</f>
        <v>433</v>
      </c>
      <c r="F107" s="457" t="s">
        <v>46</v>
      </c>
    </row>
    <row r="108" spans="1:6">
      <c r="A108" s="463" t="s">
        <v>677</v>
      </c>
      <c r="B108" s="462" t="s">
        <v>616</v>
      </c>
      <c r="C108" s="24">
        <v>29</v>
      </c>
      <c r="D108" s="9"/>
      <c r="E108" s="9">
        <f t="shared" ref="E108:E171" si="5">E107+C108-D108</f>
        <v>462</v>
      </c>
      <c r="F108" s="9"/>
    </row>
    <row r="109" spans="1:6">
      <c r="A109" s="642" t="s">
        <v>677</v>
      </c>
      <c r="B109" s="464" t="s">
        <v>682</v>
      </c>
      <c r="C109" s="9">
        <v>224</v>
      </c>
      <c r="D109" s="9"/>
      <c r="E109" s="9">
        <f t="shared" si="5"/>
        <v>686</v>
      </c>
      <c r="F109" s="9"/>
    </row>
    <row r="110" spans="1:6">
      <c r="A110" s="463" t="s">
        <v>677</v>
      </c>
      <c r="B110" s="462" t="s">
        <v>685</v>
      </c>
      <c r="C110" s="9">
        <v>250</v>
      </c>
      <c r="D110" s="9"/>
      <c r="E110" s="9">
        <f t="shared" si="5"/>
        <v>936</v>
      </c>
      <c r="F110" s="9"/>
    </row>
    <row r="111" spans="1:6">
      <c r="A111" s="463" t="s">
        <v>686</v>
      </c>
      <c r="B111" s="462" t="s">
        <v>17</v>
      </c>
      <c r="C111" s="9"/>
      <c r="D111" s="9">
        <v>580</v>
      </c>
      <c r="E111" s="9">
        <f t="shared" si="5"/>
        <v>356</v>
      </c>
      <c r="F111" s="462" t="s">
        <v>46</v>
      </c>
    </row>
    <row r="112" spans="1:6">
      <c r="A112" s="469" t="s">
        <v>687</v>
      </c>
      <c r="B112" s="467" t="s">
        <v>688</v>
      </c>
      <c r="C112" s="9">
        <v>49</v>
      </c>
      <c r="D112" s="9"/>
      <c r="E112" s="9">
        <f t="shared" si="5"/>
        <v>405</v>
      </c>
      <c r="F112" s="9"/>
    </row>
    <row r="113" spans="1:6">
      <c r="A113" s="469" t="s">
        <v>687</v>
      </c>
      <c r="B113" s="467" t="s">
        <v>692</v>
      </c>
      <c r="C113" s="9">
        <v>278</v>
      </c>
      <c r="D113" s="9"/>
      <c r="E113" s="9">
        <f t="shared" si="5"/>
        <v>683</v>
      </c>
      <c r="F113" s="467" t="s">
        <v>46</v>
      </c>
    </row>
    <row r="114" spans="1:6">
      <c r="A114" s="473" t="s">
        <v>694</v>
      </c>
      <c r="B114" s="472" t="s">
        <v>698</v>
      </c>
      <c r="C114" s="9">
        <v>51</v>
      </c>
      <c r="D114" s="9"/>
      <c r="E114" s="9">
        <f t="shared" si="5"/>
        <v>734</v>
      </c>
      <c r="F114" s="9"/>
    </row>
    <row r="115" spans="1:6">
      <c r="A115" s="473" t="s">
        <v>694</v>
      </c>
      <c r="B115" s="472" t="s">
        <v>699</v>
      </c>
      <c r="C115" s="9">
        <v>4</v>
      </c>
      <c r="D115" s="9"/>
      <c r="E115" s="9">
        <f t="shared" si="5"/>
        <v>738</v>
      </c>
      <c r="F115" s="472" t="s">
        <v>46</v>
      </c>
    </row>
    <row r="116" spans="1:6">
      <c r="A116" s="319">
        <v>43103</v>
      </c>
      <c r="B116" s="7" t="s">
        <v>15</v>
      </c>
      <c r="C116" s="9">
        <v>165</v>
      </c>
      <c r="D116" s="9"/>
      <c r="E116" s="9">
        <f t="shared" si="5"/>
        <v>903</v>
      </c>
      <c r="F116" s="9"/>
    </row>
    <row r="117" spans="1:6">
      <c r="A117" s="319">
        <v>43103</v>
      </c>
      <c r="B117" s="7" t="s">
        <v>15</v>
      </c>
      <c r="C117" s="9">
        <v>42</v>
      </c>
      <c r="D117" s="9"/>
      <c r="E117" s="9">
        <f t="shared" si="5"/>
        <v>945</v>
      </c>
      <c r="F117" s="9"/>
    </row>
    <row r="118" spans="1:6">
      <c r="A118" s="172">
        <v>43103</v>
      </c>
      <c r="B118" s="24" t="s">
        <v>705</v>
      </c>
      <c r="C118" s="9"/>
      <c r="D118" s="9">
        <v>400</v>
      </c>
      <c r="E118" s="9">
        <f t="shared" si="5"/>
        <v>545</v>
      </c>
      <c r="F118" s="9"/>
    </row>
    <row r="119" spans="1:6">
      <c r="A119" s="42">
        <v>43134</v>
      </c>
      <c r="B119" s="482" t="s">
        <v>402</v>
      </c>
      <c r="C119" s="9">
        <v>78</v>
      </c>
      <c r="D119" s="9"/>
      <c r="E119" s="9">
        <f t="shared" si="5"/>
        <v>623</v>
      </c>
      <c r="F119" s="9"/>
    </row>
    <row r="120" spans="1:6">
      <c r="A120" s="42">
        <v>43134</v>
      </c>
      <c r="B120" s="482" t="s">
        <v>668</v>
      </c>
      <c r="C120" s="9"/>
      <c r="D120" s="9">
        <v>90</v>
      </c>
      <c r="E120" s="9">
        <f t="shared" si="5"/>
        <v>533</v>
      </c>
      <c r="F120" s="482" t="s">
        <v>46</v>
      </c>
    </row>
    <row r="121" spans="1:6">
      <c r="A121" s="489">
        <v>43162</v>
      </c>
      <c r="B121" s="487" t="s">
        <v>706</v>
      </c>
      <c r="C121" s="9"/>
      <c r="D121" s="9">
        <v>80</v>
      </c>
      <c r="E121" s="9">
        <f t="shared" si="5"/>
        <v>453</v>
      </c>
      <c r="F121" s="487" t="s">
        <v>46</v>
      </c>
    </row>
    <row r="122" spans="1:6">
      <c r="A122" s="483">
        <v>43223</v>
      </c>
      <c r="B122" s="492" t="s">
        <v>510</v>
      </c>
      <c r="C122" s="9">
        <v>1</v>
      </c>
      <c r="D122" s="9"/>
      <c r="E122" s="9">
        <f t="shared" si="5"/>
        <v>454</v>
      </c>
      <c r="F122" s="9"/>
    </row>
    <row r="123" spans="1:6">
      <c r="A123" s="42">
        <v>43254</v>
      </c>
      <c r="B123" s="492" t="s">
        <v>711</v>
      </c>
      <c r="C123" s="9">
        <v>19</v>
      </c>
      <c r="D123" s="9"/>
      <c r="E123" s="9">
        <f t="shared" si="5"/>
        <v>473</v>
      </c>
      <c r="F123" s="492" t="s">
        <v>46</v>
      </c>
    </row>
    <row r="124" spans="1:6">
      <c r="A124" s="42">
        <v>43284</v>
      </c>
      <c r="B124" s="9" t="s">
        <v>655</v>
      </c>
      <c r="C124" s="9">
        <v>127</v>
      </c>
      <c r="D124" s="9"/>
      <c r="E124" s="9">
        <f t="shared" si="5"/>
        <v>600</v>
      </c>
      <c r="F124" s="9" t="s">
        <v>46</v>
      </c>
    </row>
    <row r="125" spans="1:6">
      <c r="A125" s="42">
        <v>43315</v>
      </c>
      <c r="B125" s="497" t="s">
        <v>720</v>
      </c>
      <c r="C125" s="9">
        <v>39</v>
      </c>
      <c r="D125" s="9"/>
      <c r="E125" s="9">
        <f t="shared" si="5"/>
        <v>639</v>
      </c>
      <c r="F125" s="9"/>
    </row>
    <row r="126" spans="1:6">
      <c r="A126" s="42">
        <v>43346</v>
      </c>
      <c r="B126" s="498" t="s">
        <v>726</v>
      </c>
      <c r="C126" s="9">
        <v>2000</v>
      </c>
      <c r="D126" s="9"/>
      <c r="E126" s="9">
        <f t="shared" si="5"/>
        <v>2639</v>
      </c>
      <c r="F126" s="9"/>
    </row>
    <row r="127" spans="1:6">
      <c r="A127" s="42">
        <v>43346</v>
      </c>
      <c r="B127" s="497" t="s">
        <v>678</v>
      </c>
      <c r="C127" s="9">
        <v>28</v>
      </c>
      <c r="D127" s="9"/>
      <c r="E127" s="9">
        <f t="shared" si="5"/>
        <v>2667</v>
      </c>
      <c r="F127" s="9"/>
    </row>
    <row r="128" spans="1:6">
      <c r="A128" s="42">
        <v>43346</v>
      </c>
      <c r="B128" s="497" t="s">
        <v>721</v>
      </c>
      <c r="C128" s="9"/>
      <c r="D128" s="9">
        <v>54</v>
      </c>
      <c r="E128" s="9">
        <f t="shared" si="5"/>
        <v>2613</v>
      </c>
      <c r="F128" s="9"/>
    </row>
    <row r="129" spans="1:6">
      <c r="A129" s="42">
        <v>43346</v>
      </c>
      <c r="B129" s="497" t="s">
        <v>722</v>
      </c>
      <c r="C129" s="9"/>
      <c r="D129" s="9">
        <v>200</v>
      </c>
      <c r="E129" s="9">
        <f t="shared" si="5"/>
        <v>2413</v>
      </c>
      <c r="F129" s="9"/>
    </row>
    <row r="130" spans="1:6">
      <c r="A130" s="42">
        <v>43376</v>
      </c>
      <c r="B130" s="498" t="s">
        <v>671</v>
      </c>
      <c r="C130" s="9">
        <v>1700</v>
      </c>
      <c r="D130" s="9"/>
      <c r="E130" s="9">
        <f t="shared" si="5"/>
        <v>4113</v>
      </c>
      <c r="F130" s="9"/>
    </row>
    <row r="131" spans="1:6">
      <c r="A131" s="42">
        <v>43376</v>
      </c>
      <c r="B131" s="498" t="s">
        <v>671</v>
      </c>
      <c r="C131" s="9">
        <v>550</v>
      </c>
      <c r="D131" s="9"/>
      <c r="E131" s="9">
        <f t="shared" si="5"/>
        <v>4663</v>
      </c>
      <c r="F131" s="9"/>
    </row>
    <row r="132" spans="1:6">
      <c r="A132" s="42">
        <v>43376</v>
      </c>
      <c r="B132" s="498" t="s">
        <v>708</v>
      </c>
      <c r="C132" s="9">
        <v>128</v>
      </c>
      <c r="D132" s="9"/>
      <c r="E132" s="9">
        <f t="shared" si="5"/>
        <v>4791</v>
      </c>
      <c r="F132" s="9"/>
    </row>
    <row r="133" spans="1:6">
      <c r="A133" s="42">
        <v>43376</v>
      </c>
      <c r="B133" s="498" t="s">
        <v>708</v>
      </c>
      <c r="C133" s="9">
        <v>17</v>
      </c>
      <c r="D133" s="9"/>
      <c r="E133" s="9">
        <f t="shared" si="5"/>
        <v>4808</v>
      </c>
      <c r="F133" s="9"/>
    </row>
    <row r="134" spans="1:6">
      <c r="A134" s="42">
        <v>43376</v>
      </c>
      <c r="B134" s="498" t="s">
        <v>725</v>
      </c>
      <c r="C134" s="9"/>
      <c r="D134" s="9">
        <v>146</v>
      </c>
      <c r="E134" s="9">
        <f t="shared" si="5"/>
        <v>4662</v>
      </c>
      <c r="F134" s="498"/>
    </row>
    <row r="135" spans="1:6">
      <c r="A135" s="42">
        <v>43437</v>
      </c>
      <c r="B135" s="502" t="s">
        <v>8</v>
      </c>
      <c r="C135" s="9">
        <v>20</v>
      </c>
      <c r="D135" s="9"/>
      <c r="E135" s="9">
        <f t="shared" si="5"/>
        <v>4682</v>
      </c>
      <c r="F135" s="9"/>
    </row>
    <row r="136" spans="1:6">
      <c r="A136" s="504" t="s">
        <v>728</v>
      </c>
      <c r="B136" s="502" t="s">
        <v>17</v>
      </c>
      <c r="C136" s="9"/>
      <c r="D136" s="9">
        <v>100</v>
      </c>
      <c r="E136" s="9">
        <f t="shared" si="5"/>
        <v>4582</v>
      </c>
      <c r="F136" s="9"/>
    </row>
    <row r="137" spans="1:6">
      <c r="A137" s="504" t="s">
        <v>728</v>
      </c>
      <c r="B137" s="502" t="s">
        <v>17</v>
      </c>
      <c r="C137" s="9"/>
      <c r="D137" s="9">
        <v>150</v>
      </c>
      <c r="E137" s="9">
        <f t="shared" si="5"/>
        <v>4432</v>
      </c>
      <c r="F137" s="502"/>
    </row>
    <row r="138" spans="1:6">
      <c r="A138" s="125" t="s">
        <v>731</v>
      </c>
      <c r="B138" s="9" t="s">
        <v>671</v>
      </c>
      <c r="C138" s="9">
        <v>1730</v>
      </c>
      <c r="D138" s="9"/>
      <c r="E138" s="9">
        <f t="shared" si="5"/>
        <v>6162</v>
      </c>
      <c r="F138" s="9"/>
    </row>
    <row r="139" spans="1:6">
      <c r="A139" s="125" t="s">
        <v>731</v>
      </c>
      <c r="B139" s="9" t="s">
        <v>720</v>
      </c>
      <c r="C139" s="9">
        <v>27</v>
      </c>
      <c r="D139" s="9"/>
      <c r="E139" s="9">
        <f t="shared" si="5"/>
        <v>6189</v>
      </c>
      <c r="F139" s="9"/>
    </row>
    <row r="140" spans="1:6">
      <c r="A140" s="125" t="s">
        <v>731</v>
      </c>
      <c r="B140" s="9" t="s">
        <v>17</v>
      </c>
      <c r="C140" s="9"/>
      <c r="D140" s="9">
        <v>500</v>
      </c>
      <c r="E140" s="9">
        <f t="shared" si="5"/>
        <v>5689</v>
      </c>
      <c r="F140" s="9"/>
    </row>
    <row r="141" spans="1:6">
      <c r="A141" s="125" t="s">
        <v>732</v>
      </c>
      <c r="B141" s="9" t="s">
        <v>720</v>
      </c>
      <c r="C141" s="9">
        <v>20</v>
      </c>
      <c r="D141" s="9"/>
      <c r="E141" s="9">
        <f t="shared" si="5"/>
        <v>5709</v>
      </c>
      <c r="F141" s="508"/>
    </row>
    <row r="142" spans="1:6">
      <c r="A142" s="125" t="s">
        <v>735</v>
      </c>
      <c r="B142" s="9" t="s">
        <v>24</v>
      </c>
      <c r="C142" s="9">
        <v>74</v>
      </c>
      <c r="D142" s="9"/>
      <c r="E142" s="9">
        <f t="shared" si="5"/>
        <v>5783</v>
      </c>
      <c r="F142" s="9"/>
    </row>
    <row r="143" spans="1:6">
      <c r="A143" s="174" t="s">
        <v>735</v>
      </c>
      <c r="B143" s="24" t="s">
        <v>17</v>
      </c>
      <c r="C143" s="9"/>
      <c r="D143" s="9">
        <v>300</v>
      </c>
      <c r="E143" s="9">
        <f t="shared" si="5"/>
        <v>5483</v>
      </c>
      <c r="F143" s="9"/>
    </row>
    <row r="144" spans="1:6">
      <c r="A144" s="512" t="s">
        <v>738</v>
      </c>
      <c r="B144" s="513" t="s">
        <v>739</v>
      </c>
      <c r="C144" s="9">
        <v>64</v>
      </c>
      <c r="D144" s="9"/>
      <c r="E144" s="9">
        <f t="shared" si="5"/>
        <v>5547</v>
      </c>
      <c r="F144" s="9"/>
    </row>
    <row r="145" spans="1:6">
      <c r="A145" s="512" t="s">
        <v>738</v>
      </c>
      <c r="B145" s="513" t="s">
        <v>740</v>
      </c>
      <c r="C145" s="9">
        <v>4</v>
      </c>
      <c r="D145" s="9"/>
      <c r="E145" s="9">
        <f t="shared" si="5"/>
        <v>5551</v>
      </c>
      <c r="F145" s="513"/>
    </row>
    <row r="146" spans="1:6">
      <c r="A146" s="518" t="s">
        <v>742</v>
      </c>
      <c r="B146" s="517" t="s">
        <v>671</v>
      </c>
      <c r="C146" s="9">
        <v>540</v>
      </c>
      <c r="D146" s="9"/>
      <c r="E146" s="9">
        <f t="shared" si="5"/>
        <v>6091</v>
      </c>
      <c r="F146" s="9"/>
    </row>
    <row r="147" spans="1:6">
      <c r="A147" s="518" t="s">
        <v>742</v>
      </c>
      <c r="B147" s="517" t="s">
        <v>17</v>
      </c>
      <c r="C147" s="9"/>
      <c r="D147" s="9">
        <v>540</v>
      </c>
      <c r="E147" s="9">
        <f t="shared" si="5"/>
        <v>5551</v>
      </c>
      <c r="F147" s="517"/>
    </row>
    <row r="148" spans="1:6">
      <c r="A148" s="522" t="s">
        <v>743</v>
      </c>
      <c r="B148" s="521" t="s">
        <v>24</v>
      </c>
      <c r="C148" s="9">
        <v>10</v>
      </c>
      <c r="D148" s="9"/>
      <c r="E148" s="9">
        <f t="shared" si="5"/>
        <v>5561</v>
      </c>
      <c r="F148" s="521"/>
    </row>
    <row r="149" spans="1:6">
      <c r="A149" s="527" t="s">
        <v>744</v>
      </c>
      <c r="B149" s="528" t="s">
        <v>745</v>
      </c>
      <c r="C149" s="9">
        <v>135</v>
      </c>
      <c r="D149" s="9"/>
      <c r="E149" s="9">
        <f t="shared" si="5"/>
        <v>5696</v>
      </c>
      <c r="F149" s="528" t="s">
        <v>46</v>
      </c>
    </row>
    <row r="150" spans="1:6">
      <c r="A150" s="532" t="s">
        <v>744</v>
      </c>
      <c r="B150" s="531" t="s">
        <v>16</v>
      </c>
      <c r="C150" s="9">
        <v>58</v>
      </c>
      <c r="D150" s="9"/>
      <c r="E150" s="9">
        <f t="shared" si="5"/>
        <v>5754</v>
      </c>
      <c r="F150" s="9"/>
    </row>
    <row r="151" spans="1:6">
      <c r="A151" s="532" t="s">
        <v>744</v>
      </c>
      <c r="B151" s="531" t="s">
        <v>16</v>
      </c>
      <c r="C151" s="9">
        <v>19</v>
      </c>
      <c r="D151" s="9"/>
      <c r="E151" s="9">
        <f t="shared" si="5"/>
        <v>5773</v>
      </c>
      <c r="F151" s="9"/>
    </row>
    <row r="152" spans="1:6">
      <c r="A152" s="527" t="s">
        <v>747</v>
      </c>
      <c r="B152" s="528" t="s">
        <v>671</v>
      </c>
      <c r="C152" s="9">
        <v>460</v>
      </c>
      <c r="D152" s="9"/>
      <c r="E152" s="9">
        <f t="shared" si="5"/>
        <v>6233</v>
      </c>
      <c r="F152" s="9"/>
    </row>
    <row r="153" spans="1:6">
      <c r="A153" s="527" t="s">
        <v>747</v>
      </c>
      <c r="B153" s="528" t="s">
        <v>720</v>
      </c>
      <c r="C153" s="9">
        <v>6</v>
      </c>
      <c r="D153" s="9"/>
      <c r="E153" s="9">
        <f t="shared" si="5"/>
        <v>6239</v>
      </c>
      <c r="F153" s="528" t="s">
        <v>46</v>
      </c>
    </row>
    <row r="154" spans="1:6">
      <c r="A154" s="643" t="s">
        <v>750</v>
      </c>
      <c r="B154" s="25" t="s">
        <v>751</v>
      </c>
      <c r="C154" s="9">
        <v>21</v>
      </c>
      <c r="D154" s="9"/>
      <c r="E154" s="9">
        <f t="shared" si="5"/>
        <v>6260</v>
      </c>
      <c r="F154" s="533" t="s">
        <v>46</v>
      </c>
    </row>
    <row r="155" spans="1:6">
      <c r="A155" s="644" t="s">
        <v>755</v>
      </c>
      <c r="B155" s="537" t="s">
        <v>24</v>
      </c>
      <c r="C155" s="9">
        <v>59</v>
      </c>
      <c r="D155" s="9"/>
      <c r="E155" s="9">
        <f t="shared" si="5"/>
        <v>6319</v>
      </c>
      <c r="F155" s="9"/>
    </row>
    <row r="156" spans="1:6">
      <c r="A156" s="539" t="s">
        <v>755</v>
      </c>
      <c r="B156" s="538" t="s">
        <v>523</v>
      </c>
      <c r="C156" s="9">
        <v>125</v>
      </c>
      <c r="D156" s="9"/>
      <c r="E156" s="9">
        <f t="shared" si="5"/>
        <v>6444</v>
      </c>
      <c r="F156" s="9"/>
    </row>
    <row r="157" spans="1:6">
      <c r="A157" s="539" t="s">
        <v>755</v>
      </c>
      <c r="B157" s="538" t="s">
        <v>691</v>
      </c>
      <c r="C157" s="9">
        <v>292</v>
      </c>
      <c r="D157" s="9"/>
      <c r="E157" s="9">
        <f t="shared" si="5"/>
        <v>6736</v>
      </c>
      <c r="F157" s="9"/>
    </row>
    <row r="158" spans="1:6">
      <c r="A158" s="539" t="s">
        <v>755</v>
      </c>
      <c r="B158" s="538" t="s">
        <v>641</v>
      </c>
      <c r="C158" s="9">
        <v>18</v>
      </c>
      <c r="D158" s="9"/>
      <c r="E158" s="9">
        <f t="shared" si="5"/>
        <v>6754</v>
      </c>
      <c r="F158" s="9"/>
    </row>
    <row r="159" spans="1:6">
      <c r="A159" s="539" t="s">
        <v>755</v>
      </c>
      <c r="B159" s="538" t="s">
        <v>641</v>
      </c>
      <c r="C159" s="9">
        <v>22</v>
      </c>
      <c r="D159" s="9"/>
      <c r="E159" s="9">
        <f t="shared" si="5"/>
        <v>6776</v>
      </c>
      <c r="F159" s="9"/>
    </row>
    <row r="160" spans="1:6">
      <c r="A160" s="539" t="s">
        <v>757</v>
      </c>
      <c r="B160" s="538" t="s">
        <v>691</v>
      </c>
      <c r="C160" s="9">
        <v>105</v>
      </c>
      <c r="D160" s="9"/>
      <c r="E160" s="9">
        <f t="shared" si="5"/>
        <v>6881</v>
      </c>
      <c r="F160" s="9"/>
    </row>
    <row r="161" spans="1:6">
      <c r="A161" s="539" t="s">
        <v>757</v>
      </c>
      <c r="B161" s="538" t="s">
        <v>24</v>
      </c>
      <c r="C161" s="9"/>
      <c r="D161" s="9">
        <v>93</v>
      </c>
      <c r="E161" s="9">
        <f t="shared" si="5"/>
        <v>6788</v>
      </c>
      <c r="F161" s="538" t="s">
        <v>46</v>
      </c>
    </row>
    <row r="162" spans="1:6">
      <c r="A162" s="543" t="s">
        <v>761</v>
      </c>
      <c r="B162" s="542" t="s">
        <v>641</v>
      </c>
      <c r="C162" s="9">
        <v>32</v>
      </c>
      <c r="D162" s="9"/>
      <c r="E162" s="9">
        <f t="shared" si="5"/>
        <v>6820</v>
      </c>
      <c r="F162" s="9"/>
    </row>
    <row r="163" spans="1:6">
      <c r="A163" s="543" t="s">
        <v>761</v>
      </c>
      <c r="B163" s="542" t="s">
        <v>462</v>
      </c>
      <c r="C163" s="9">
        <v>4</v>
      </c>
      <c r="D163" s="9"/>
      <c r="E163" s="9">
        <f t="shared" si="5"/>
        <v>6824</v>
      </c>
      <c r="F163" s="9"/>
    </row>
    <row r="164" spans="1:6">
      <c r="A164" s="645" t="s">
        <v>761</v>
      </c>
      <c r="B164" s="544" t="s">
        <v>459</v>
      </c>
      <c r="C164" s="9">
        <v>6</v>
      </c>
      <c r="D164" s="9"/>
      <c r="E164" s="9">
        <f t="shared" si="5"/>
        <v>6830</v>
      </c>
      <c r="F164" s="9"/>
    </row>
    <row r="165" spans="1:6">
      <c r="A165" s="543" t="s">
        <v>763</v>
      </c>
      <c r="B165" s="542" t="s">
        <v>739</v>
      </c>
      <c r="C165" s="9">
        <v>64</v>
      </c>
      <c r="D165" s="9"/>
      <c r="E165" s="9">
        <f t="shared" si="5"/>
        <v>6894</v>
      </c>
      <c r="F165" s="9"/>
    </row>
    <row r="166" spans="1:6">
      <c r="A166" s="543" t="s">
        <v>764</v>
      </c>
      <c r="B166" s="542" t="s">
        <v>691</v>
      </c>
      <c r="C166" s="9">
        <v>16</v>
      </c>
      <c r="D166" s="9"/>
      <c r="E166" s="9">
        <f t="shared" si="5"/>
        <v>6910</v>
      </c>
      <c r="F166" s="542" t="s">
        <v>46</v>
      </c>
    </row>
    <row r="167" spans="1:6">
      <c r="A167" s="125" t="s">
        <v>768</v>
      </c>
      <c r="B167" s="9" t="s">
        <v>769</v>
      </c>
      <c r="C167" s="9"/>
      <c r="D167" s="9">
        <v>187</v>
      </c>
      <c r="E167" s="9">
        <f t="shared" si="5"/>
        <v>6723</v>
      </c>
      <c r="F167" s="9"/>
    </row>
    <row r="168" spans="1:6">
      <c r="A168" s="42">
        <v>43135</v>
      </c>
      <c r="B168" s="548" t="s">
        <v>8</v>
      </c>
      <c r="C168" s="9">
        <v>5</v>
      </c>
      <c r="D168" s="9"/>
      <c r="E168" s="9">
        <f t="shared" si="5"/>
        <v>6728</v>
      </c>
      <c r="F168" s="548"/>
    </row>
    <row r="169" spans="1:6">
      <c r="A169" s="42">
        <v>43163</v>
      </c>
      <c r="B169" s="9" t="s">
        <v>642</v>
      </c>
      <c r="C169" s="9">
        <v>52</v>
      </c>
      <c r="D169" s="9"/>
      <c r="E169" s="9">
        <f t="shared" si="5"/>
        <v>6780</v>
      </c>
      <c r="F169" s="9"/>
    </row>
    <row r="170" spans="1:6">
      <c r="A170" s="42">
        <v>43194</v>
      </c>
      <c r="B170" s="9" t="s">
        <v>720</v>
      </c>
      <c r="C170" s="9">
        <v>1</v>
      </c>
      <c r="D170" s="9"/>
      <c r="E170" s="9">
        <f t="shared" si="5"/>
        <v>6781</v>
      </c>
      <c r="F170" s="9"/>
    </row>
    <row r="171" spans="1:6">
      <c r="A171" s="42">
        <v>43224</v>
      </c>
      <c r="B171" s="554" t="s">
        <v>770</v>
      </c>
      <c r="C171" s="9"/>
      <c r="D171" s="9">
        <v>30</v>
      </c>
      <c r="E171" s="9">
        <f t="shared" si="5"/>
        <v>6751</v>
      </c>
      <c r="F171" s="9"/>
    </row>
    <row r="172" spans="1:6">
      <c r="A172" s="42">
        <v>43255</v>
      </c>
      <c r="B172" s="554" t="s">
        <v>775</v>
      </c>
      <c r="C172" s="9"/>
      <c r="D172" s="9">
        <v>100</v>
      </c>
      <c r="E172" s="9">
        <f t="shared" ref="E172:E212" si="6">E171+C172-D172</f>
        <v>6651</v>
      </c>
      <c r="F172" s="9"/>
    </row>
    <row r="173" spans="1:6">
      <c r="A173" s="172">
        <v>43255</v>
      </c>
      <c r="B173" s="555" t="s">
        <v>775</v>
      </c>
      <c r="C173" s="9"/>
      <c r="D173" s="9">
        <v>100</v>
      </c>
      <c r="E173" s="9">
        <f t="shared" si="6"/>
        <v>6551</v>
      </c>
      <c r="F173" s="9"/>
    </row>
    <row r="174" spans="1:6">
      <c r="A174" s="42">
        <v>43285</v>
      </c>
      <c r="B174" s="554" t="s">
        <v>775</v>
      </c>
      <c r="C174" s="9"/>
      <c r="D174" s="24">
        <v>150</v>
      </c>
      <c r="E174" s="9">
        <f t="shared" si="6"/>
        <v>6401</v>
      </c>
      <c r="F174" s="9"/>
    </row>
    <row r="175" spans="1:6">
      <c r="A175" s="172">
        <v>43347</v>
      </c>
      <c r="B175" s="555" t="s">
        <v>782</v>
      </c>
      <c r="C175" s="9">
        <v>273</v>
      </c>
      <c r="D175" s="9"/>
      <c r="E175" s="9">
        <f t="shared" si="6"/>
        <v>6674</v>
      </c>
      <c r="F175" s="554"/>
    </row>
    <row r="176" spans="1:6">
      <c r="A176" s="42">
        <v>43377</v>
      </c>
      <c r="B176" s="528" t="s">
        <v>720</v>
      </c>
      <c r="C176" s="9">
        <v>27</v>
      </c>
      <c r="D176" s="9"/>
      <c r="E176" s="9">
        <f t="shared" si="6"/>
        <v>6701</v>
      </c>
      <c r="F176" s="9"/>
    </row>
    <row r="177" spans="1:6">
      <c r="A177" s="42">
        <v>43408</v>
      </c>
      <c r="B177" s="9" t="s">
        <v>775</v>
      </c>
      <c r="C177" s="9"/>
      <c r="D177" s="9">
        <v>100</v>
      </c>
      <c r="E177" s="9">
        <f t="shared" si="6"/>
        <v>6601</v>
      </c>
      <c r="F177" s="559"/>
    </row>
    <row r="178" spans="1:6">
      <c r="A178" s="42">
        <v>43438</v>
      </c>
      <c r="B178" s="564" t="s">
        <v>787</v>
      </c>
      <c r="C178" s="9">
        <v>129</v>
      </c>
      <c r="D178" s="9"/>
      <c r="E178" s="9">
        <f t="shared" si="6"/>
        <v>6730</v>
      </c>
      <c r="F178" s="9"/>
    </row>
    <row r="179" spans="1:6">
      <c r="A179" s="42">
        <v>43438</v>
      </c>
      <c r="B179" s="564" t="s">
        <v>424</v>
      </c>
      <c r="C179" s="9">
        <v>2</v>
      </c>
      <c r="D179" s="9"/>
      <c r="E179" s="9">
        <f t="shared" si="6"/>
        <v>6732</v>
      </c>
      <c r="F179" s="9"/>
    </row>
    <row r="180" spans="1:6">
      <c r="A180" s="42">
        <v>43438</v>
      </c>
      <c r="B180" s="9" t="s">
        <v>672</v>
      </c>
      <c r="C180" s="9"/>
      <c r="D180" s="9">
        <v>35</v>
      </c>
      <c r="E180" s="9">
        <f t="shared" si="6"/>
        <v>6697</v>
      </c>
      <c r="F180" s="9" t="s">
        <v>46</v>
      </c>
    </row>
    <row r="181" spans="1:6">
      <c r="A181" s="571" t="s">
        <v>793</v>
      </c>
      <c r="B181" s="570" t="s">
        <v>739</v>
      </c>
      <c r="C181" s="9">
        <v>241</v>
      </c>
      <c r="D181" s="9"/>
      <c r="E181" s="9">
        <f t="shared" si="6"/>
        <v>6938</v>
      </c>
      <c r="F181" s="570" t="s">
        <v>46</v>
      </c>
    </row>
    <row r="182" spans="1:6">
      <c r="A182" s="578" t="s">
        <v>798</v>
      </c>
      <c r="B182" s="576" t="s">
        <v>803</v>
      </c>
      <c r="C182" s="9">
        <v>3</v>
      </c>
      <c r="D182" s="9"/>
      <c r="E182" s="9">
        <f t="shared" si="6"/>
        <v>6941</v>
      </c>
      <c r="F182" s="9"/>
    </row>
    <row r="183" spans="1:6">
      <c r="A183" s="577" t="s">
        <v>798</v>
      </c>
      <c r="B183" s="575" t="s">
        <v>807</v>
      </c>
      <c r="C183" s="9"/>
      <c r="D183" s="9">
        <v>250</v>
      </c>
      <c r="E183" s="9">
        <f t="shared" si="6"/>
        <v>6691</v>
      </c>
      <c r="F183" s="9"/>
    </row>
    <row r="184" spans="1:6">
      <c r="A184" s="578" t="s">
        <v>808</v>
      </c>
      <c r="B184" s="576" t="s">
        <v>809</v>
      </c>
      <c r="C184" s="9"/>
      <c r="D184" s="9">
        <v>500</v>
      </c>
      <c r="E184" s="9">
        <f t="shared" si="6"/>
        <v>6191</v>
      </c>
      <c r="F184" s="9"/>
    </row>
    <row r="185" spans="1:6">
      <c r="A185" s="578" t="s">
        <v>808</v>
      </c>
      <c r="B185" s="576" t="s">
        <v>806</v>
      </c>
      <c r="C185" s="9"/>
      <c r="D185" s="9">
        <v>90</v>
      </c>
      <c r="E185" s="9">
        <f t="shared" si="6"/>
        <v>6101</v>
      </c>
      <c r="F185" s="576" t="s">
        <v>46</v>
      </c>
    </row>
    <row r="186" spans="1:6">
      <c r="A186" s="125" t="s">
        <v>811</v>
      </c>
      <c r="B186" s="9" t="s">
        <v>720</v>
      </c>
      <c r="C186" s="9">
        <v>6</v>
      </c>
      <c r="D186" s="9"/>
      <c r="E186" s="9">
        <f t="shared" si="6"/>
        <v>6107</v>
      </c>
      <c r="F186" s="9"/>
    </row>
    <row r="187" spans="1:6">
      <c r="A187" s="125" t="s">
        <v>811</v>
      </c>
      <c r="B187" s="9" t="s">
        <v>813</v>
      </c>
      <c r="C187" s="9"/>
      <c r="D187" s="9">
        <v>50</v>
      </c>
      <c r="E187" s="9">
        <f t="shared" si="6"/>
        <v>6057</v>
      </c>
      <c r="F187" s="9"/>
    </row>
    <row r="188" spans="1:6">
      <c r="A188" s="125" t="s">
        <v>811</v>
      </c>
      <c r="B188" s="9" t="s">
        <v>813</v>
      </c>
      <c r="C188" s="9"/>
      <c r="D188" s="9">
        <v>50</v>
      </c>
      <c r="E188" s="9">
        <f t="shared" si="6"/>
        <v>6007</v>
      </c>
      <c r="F188" s="581" t="s">
        <v>46</v>
      </c>
    </row>
    <row r="189" spans="1:6">
      <c r="A189" s="588" t="s">
        <v>815</v>
      </c>
      <c r="B189" s="589" t="s">
        <v>805</v>
      </c>
      <c r="C189" s="9"/>
      <c r="D189" s="9">
        <v>170</v>
      </c>
      <c r="E189" s="9">
        <f t="shared" si="6"/>
        <v>5837</v>
      </c>
      <c r="F189" s="9"/>
    </row>
    <row r="190" spans="1:6">
      <c r="A190" s="586" t="s">
        <v>815</v>
      </c>
      <c r="B190" s="587" t="s">
        <v>816</v>
      </c>
      <c r="C190" s="9"/>
      <c r="D190" s="9">
        <v>100</v>
      </c>
      <c r="E190" s="9">
        <f t="shared" si="6"/>
        <v>5737</v>
      </c>
      <c r="F190" s="598" t="s">
        <v>46</v>
      </c>
    </row>
    <row r="191" spans="1:6">
      <c r="A191" s="595" t="s">
        <v>820</v>
      </c>
      <c r="B191" s="592" t="s">
        <v>807</v>
      </c>
      <c r="C191" s="9"/>
      <c r="D191" s="9">
        <v>350</v>
      </c>
      <c r="E191" s="9">
        <f t="shared" si="6"/>
        <v>5387</v>
      </c>
      <c r="F191" s="592" t="s">
        <v>46</v>
      </c>
    </row>
    <row r="192" spans="1:6">
      <c r="A192" s="599" t="s">
        <v>826</v>
      </c>
      <c r="B192" s="600" t="s">
        <v>817</v>
      </c>
      <c r="C192" s="9"/>
      <c r="D192" s="9">
        <v>200</v>
      </c>
      <c r="E192" s="9">
        <f t="shared" si="6"/>
        <v>5187</v>
      </c>
      <c r="F192" s="9"/>
    </row>
    <row r="193" spans="1:6">
      <c r="A193" s="599" t="s">
        <v>826</v>
      </c>
      <c r="B193" s="600" t="s">
        <v>828</v>
      </c>
      <c r="C193" s="9"/>
      <c r="D193" s="9">
        <v>750</v>
      </c>
      <c r="E193" s="9">
        <f t="shared" si="6"/>
        <v>4437</v>
      </c>
      <c r="F193" s="9"/>
    </row>
    <row r="194" spans="1:6">
      <c r="A194" s="599" t="s">
        <v>826</v>
      </c>
      <c r="B194" s="600" t="s">
        <v>804</v>
      </c>
      <c r="C194" s="9">
        <v>56</v>
      </c>
      <c r="D194" s="9"/>
      <c r="E194" s="9">
        <f t="shared" si="6"/>
        <v>4493</v>
      </c>
      <c r="F194" s="598" t="s">
        <v>46</v>
      </c>
    </row>
    <row r="195" spans="1:6">
      <c r="A195" s="605" t="s">
        <v>832</v>
      </c>
      <c r="B195" s="608" t="s">
        <v>817</v>
      </c>
      <c r="C195" s="9"/>
      <c r="D195" s="9">
        <v>750</v>
      </c>
      <c r="E195" s="9">
        <f t="shared" si="6"/>
        <v>3743</v>
      </c>
      <c r="F195" s="623" t="s">
        <v>46</v>
      </c>
    </row>
    <row r="196" spans="1:6">
      <c r="A196" s="125" t="s">
        <v>832</v>
      </c>
      <c r="B196" s="608" t="s">
        <v>817</v>
      </c>
      <c r="C196" s="9"/>
      <c r="D196" s="9">
        <v>350</v>
      </c>
      <c r="E196" s="9">
        <f t="shared" si="6"/>
        <v>3393</v>
      </c>
      <c r="F196" s="608" t="s">
        <v>46</v>
      </c>
    </row>
    <row r="197" spans="1:6">
      <c r="A197" s="125" t="s">
        <v>837</v>
      </c>
      <c r="B197" s="9" t="s">
        <v>456</v>
      </c>
      <c r="C197" s="9">
        <v>2</v>
      </c>
      <c r="D197" s="9"/>
      <c r="E197" s="9">
        <f t="shared" si="6"/>
        <v>3395</v>
      </c>
      <c r="F197" s="9"/>
    </row>
    <row r="198" spans="1:6">
      <c r="A198" s="612" t="s">
        <v>837</v>
      </c>
      <c r="B198" s="613" t="s">
        <v>809</v>
      </c>
      <c r="C198" s="9"/>
      <c r="D198" s="9">
        <v>750</v>
      </c>
      <c r="E198" s="9">
        <f t="shared" si="6"/>
        <v>2645</v>
      </c>
      <c r="F198" s="9" t="s">
        <v>46</v>
      </c>
    </row>
    <row r="199" spans="1:6">
      <c r="A199" s="615" t="s">
        <v>844</v>
      </c>
      <c r="B199" s="616" t="s">
        <v>817</v>
      </c>
      <c r="C199" s="9"/>
      <c r="D199" s="9">
        <v>250</v>
      </c>
      <c r="E199" s="9">
        <f t="shared" si="6"/>
        <v>2395</v>
      </c>
      <c r="F199" s="616" t="s">
        <v>46</v>
      </c>
    </row>
    <row r="200" spans="1:6">
      <c r="A200" s="42">
        <v>43136</v>
      </c>
      <c r="B200" s="9" t="s">
        <v>774</v>
      </c>
      <c r="C200" s="9">
        <v>21</v>
      </c>
      <c r="D200" s="9"/>
      <c r="E200" s="9">
        <f t="shared" si="6"/>
        <v>2416</v>
      </c>
      <c r="F200" s="9"/>
    </row>
    <row r="201" spans="1:6">
      <c r="A201" s="42">
        <v>43136</v>
      </c>
      <c r="B201" s="9" t="s">
        <v>560</v>
      </c>
      <c r="C201" s="9"/>
      <c r="D201" s="9">
        <v>100</v>
      </c>
      <c r="E201" s="9">
        <f t="shared" si="6"/>
        <v>2316</v>
      </c>
      <c r="F201" s="9"/>
    </row>
    <row r="202" spans="1:6">
      <c r="A202" s="42">
        <v>43136</v>
      </c>
      <c r="B202" s="9" t="s">
        <v>560</v>
      </c>
      <c r="C202" s="9"/>
      <c r="D202" s="9">
        <v>150</v>
      </c>
      <c r="E202" s="9">
        <f t="shared" si="6"/>
        <v>2166</v>
      </c>
      <c r="F202" s="9" t="s">
        <v>46</v>
      </c>
    </row>
    <row r="203" spans="1:6">
      <c r="A203" s="42">
        <v>43164</v>
      </c>
      <c r="B203" s="9" t="s">
        <v>817</v>
      </c>
      <c r="C203" s="9"/>
      <c r="D203" s="9">
        <v>440</v>
      </c>
      <c r="E203" s="9">
        <f t="shared" si="6"/>
        <v>1726</v>
      </c>
      <c r="F203" s="623" t="s">
        <v>46</v>
      </c>
    </row>
    <row r="204" spans="1:6">
      <c r="A204" s="172">
        <v>43225</v>
      </c>
      <c r="B204" s="24" t="s">
        <v>852</v>
      </c>
      <c r="C204" s="9"/>
      <c r="D204" s="9">
        <v>80</v>
      </c>
      <c r="E204" s="9">
        <f t="shared" si="6"/>
        <v>1646</v>
      </c>
      <c r="F204" s="9" t="s">
        <v>46</v>
      </c>
    </row>
    <row r="205" spans="1:6">
      <c r="A205" s="42">
        <v>43286</v>
      </c>
      <c r="B205" s="629" t="s">
        <v>821</v>
      </c>
      <c r="C205" s="9"/>
      <c r="D205" s="9">
        <v>498</v>
      </c>
      <c r="E205" s="9">
        <f t="shared" si="6"/>
        <v>1148</v>
      </c>
      <c r="F205" s="9"/>
    </row>
    <row r="206" spans="1:6">
      <c r="A206" s="42">
        <v>43348</v>
      </c>
      <c r="B206" s="631" t="s">
        <v>817</v>
      </c>
      <c r="C206" s="9"/>
      <c r="D206" s="9">
        <v>270</v>
      </c>
      <c r="E206" s="9">
        <f t="shared" si="6"/>
        <v>878</v>
      </c>
      <c r="F206" s="9"/>
    </row>
    <row r="207" spans="1:6">
      <c r="A207" s="42">
        <v>43378</v>
      </c>
      <c r="B207" s="631" t="s">
        <v>859</v>
      </c>
      <c r="C207" s="9">
        <v>67</v>
      </c>
      <c r="D207" s="9"/>
      <c r="E207" s="9">
        <f t="shared" si="6"/>
        <v>945</v>
      </c>
      <c r="F207" s="9"/>
    </row>
    <row r="208" spans="1:6">
      <c r="A208" s="42">
        <v>43378</v>
      </c>
      <c r="B208" s="631" t="s">
        <v>859</v>
      </c>
      <c r="C208" s="9">
        <v>12</v>
      </c>
      <c r="D208" s="9"/>
      <c r="E208" s="9">
        <f t="shared" si="6"/>
        <v>957</v>
      </c>
      <c r="F208" s="9"/>
    </row>
    <row r="209" spans="1:6">
      <c r="A209" s="646" t="s">
        <v>863</v>
      </c>
      <c r="B209" s="631" t="s">
        <v>794</v>
      </c>
      <c r="C209" s="9">
        <v>47</v>
      </c>
      <c r="D209" s="9"/>
      <c r="E209" s="9">
        <f t="shared" si="6"/>
        <v>1004</v>
      </c>
      <c r="F209" s="9"/>
    </row>
    <row r="210" spans="1:6">
      <c r="A210" s="125" t="s">
        <v>863</v>
      </c>
      <c r="B210" s="9" t="s">
        <v>722</v>
      </c>
      <c r="C210" s="9">
        <v>132</v>
      </c>
      <c r="D210" s="9"/>
      <c r="E210" s="9">
        <f t="shared" si="6"/>
        <v>1136</v>
      </c>
      <c r="F210" s="9"/>
    </row>
    <row r="211" spans="1:6">
      <c r="A211" s="656" t="s">
        <v>733</v>
      </c>
      <c r="B211" s="662" t="s">
        <v>870</v>
      </c>
      <c r="C211" s="24">
        <v>74</v>
      </c>
      <c r="D211" s="9"/>
      <c r="E211" s="9">
        <f t="shared" si="6"/>
        <v>1210</v>
      </c>
      <c r="F211" s="656" t="s">
        <v>46</v>
      </c>
    </row>
    <row r="212" spans="1:6">
      <c r="A212" s="9" t="s">
        <v>874</v>
      </c>
      <c r="B212" s="9" t="s">
        <v>875</v>
      </c>
      <c r="C212" s="9">
        <v>100</v>
      </c>
      <c r="D212" s="9"/>
      <c r="E212" s="9">
        <f t="shared" si="6"/>
        <v>1310</v>
      </c>
      <c r="F212" s="9"/>
    </row>
    <row r="213" spans="1:6">
      <c r="A213" s="666" t="s">
        <v>878</v>
      </c>
      <c r="B213" s="667" t="s">
        <v>875</v>
      </c>
      <c r="C213" s="9">
        <v>8</v>
      </c>
      <c r="D213" s="9"/>
      <c r="E213" s="9">
        <f>E212+C213-D213</f>
        <v>1318</v>
      </c>
      <c r="F213" s="664" t="s">
        <v>46</v>
      </c>
    </row>
    <row r="214" spans="1:6">
      <c r="A214" s="671" t="s">
        <v>884</v>
      </c>
      <c r="B214" s="671" t="s">
        <v>817</v>
      </c>
      <c r="C214" s="9"/>
      <c r="D214" s="9">
        <v>420</v>
      </c>
      <c r="E214" s="9">
        <f>E213+C214-D214</f>
        <v>898</v>
      </c>
      <c r="F214" s="671" t="s">
        <v>46</v>
      </c>
    </row>
    <row r="215" spans="1:6">
      <c r="A215" s="677" t="s">
        <v>884</v>
      </c>
      <c r="B215" s="677" t="s">
        <v>897</v>
      </c>
      <c r="C215" s="9">
        <v>5</v>
      </c>
      <c r="D215" s="9"/>
      <c r="E215" s="9">
        <f t="shared" ref="E215:E223" si="7">E214+C215-D215</f>
        <v>903</v>
      </c>
      <c r="F215" s="671"/>
    </row>
    <row r="216" spans="1:6">
      <c r="A216" s="676" t="s">
        <v>889</v>
      </c>
      <c r="B216" s="677" t="s">
        <v>774</v>
      </c>
      <c r="C216" s="9">
        <v>5</v>
      </c>
      <c r="D216" s="9"/>
      <c r="E216" s="9">
        <f t="shared" si="7"/>
        <v>908</v>
      </c>
      <c r="F216" s="9"/>
    </row>
    <row r="217" spans="1:6">
      <c r="A217" s="676" t="s">
        <v>893</v>
      </c>
      <c r="B217" s="677" t="s">
        <v>895</v>
      </c>
      <c r="C217" s="9">
        <v>34</v>
      </c>
      <c r="D217" s="9"/>
      <c r="E217" s="9">
        <f t="shared" si="7"/>
        <v>942</v>
      </c>
      <c r="F217" s="9"/>
    </row>
    <row r="218" spans="1:6">
      <c r="A218" s="676" t="s">
        <v>893</v>
      </c>
      <c r="B218" s="677" t="s">
        <v>708</v>
      </c>
      <c r="C218" s="9">
        <v>21</v>
      </c>
      <c r="D218" s="9"/>
      <c r="E218" s="9">
        <f t="shared" si="7"/>
        <v>963</v>
      </c>
      <c r="F218" s="9"/>
    </row>
    <row r="219" spans="1:6">
      <c r="A219" s="676" t="s">
        <v>893</v>
      </c>
      <c r="B219" s="677" t="s">
        <v>708</v>
      </c>
      <c r="C219" s="9">
        <v>4</v>
      </c>
      <c r="D219" s="9"/>
      <c r="E219" s="9">
        <f t="shared" si="7"/>
        <v>967</v>
      </c>
      <c r="F219" s="677" t="s">
        <v>46</v>
      </c>
    </row>
    <row r="220" spans="1:6">
      <c r="A220" s="685" t="s">
        <v>898</v>
      </c>
      <c r="B220" s="686" t="s">
        <v>807</v>
      </c>
      <c r="C220" s="9">
        <v>108</v>
      </c>
      <c r="D220" s="9"/>
      <c r="E220" s="9">
        <f t="shared" si="7"/>
        <v>1075</v>
      </c>
      <c r="F220" s="684" t="s">
        <v>46</v>
      </c>
    </row>
    <row r="221" spans="1:6">
      <c r="A221" s="692" t="s">
        <v>912</v>
      </c>
      <c r="B221" s="690" t="s">
        <v>913</v>
      </c>
      <c r="C221" s="9">
        <v>197</v>
      </c>
      <c r="D221" s="9"/>
      <c r="E221" s="9">
        <f t="shared" si="7"/>
        <v>1272</v>
      </c>
      <c r="F221" s="9"/>
    </row>
    <row r="222" spans="1:6">
      <c r="A222" s="690" t="s">
        <v>912</v>
      </c>
      <c r="B222" s="690" t="s">
        <v>782</v>
      </c>
      <c r="C222" s="9">
        <v>170</v>
      </c>
      <c r="D222" s="9"/>
      <c r="E222" s="9">
        <f t="shared" si="7"/>
        <v>1442</v>
      </c>
      <c r="F222" s="9"/>
    </row>
    <row r="223" spans="1:6">
      <c r="A223" s="692" t="s">
        <v>914</v>
      </c>
      <c r="B223" s="690" t="s">
        <v>548</v>
      </c>
      <c r="C223" s="9"/>
      <c r="D223" s="9">
        <v>300</v>
      </c>
      <c r="E223" s="9">
        <f t="shared" si="7"/>
        <v>1142</v>
      </c>
      <c r="F223" s="690" t="s">
        <v>46</v>
      </c>
    </row>
    <row r="224" spans="1:6">
      <c r="A224" s="697" t="s">
        <v>914</v>
      </c>
      <c r="B224" s="698" t="s">
        <v>913</v>
      </c>
      <c r="C224" s="9">
        <v>71</v>
      </c>
      <c r="D224" s="9"/>
      <c r="E224" s="9">
        <f>E223+C224-D224</f>
        <v>1213</v>
      </c>
      <c r="F224" s="9"/>
    </row>
    <row r="225" spans="1:6">
      <c r="A225" s="702" t="s">
        <v>918</v>
      </c>
      <c r="B225" s="703" t="s">
        <v>406</v>
      </c>
      <c r="C225" s="9">
        <v>89</v>
      </c>
      <c r="D225" s="9"/>
      <c r="E225" s="9">
        <f t="shared" ref="E225:E230" si="8">E224+C225-D225</f>
        <v>1302</v>
      </c>
      <c r="F225" s="9"/>
    </row>
    <row r="226" spans="1:6">
      <c r="A226" s="702" t="s">
        <v>918</v>
      </c>
      <c r="B226" s="703" t="s">
        <v>406</v>
      </c>
      <c r="C226" s="9">
        <v>2</v>
      </c>
      <c r="D226" s="9"/>
      <c r="E226" s="9">
        <f t="shared" si="8"/>
        <v>1304</v>
      </c>
      <c r="F226" s="9"/>
    </row>
    <row r="227" spans="1:6">
      <c r="A227" s="172">
        <v>43137</v>
      </c>
      <c r="B227" s="705" t="s">
        <v>919</v>
      </c>
      <c r="C227" s="9">
        <v>312</v>
      </c>
      <c r="D227" s="9"/>
      <c r="E227" s="9">
        <f t="shared" si="8"/>
        <v>1616</v>
      </c>
      <c r="F227" s="703" t="s">
        <v>46</v>
      </c>
    </row>
    <row r="228" spans="1:6">
      <c r="A228" s="42">
        <v>43196</v>
      </c>
      <c r="B228" s="9" t="s">
        <v>774</v>
      </c>
      <c r="C228" s="9">
        <v>5</v>
      </c>
      <c r="D228" s="9"/>
      <c r="E228" s="9">
        <f t="shared" si="8"/>
        <v>1621</v>
      </c>
      <c r="F228" s="9"/>
    </row>
    <row r="229" spans="1:6">
      <c r="A229" s="42">
        <v>43226</v>
      </c>
      <c r="B229" s="715" t="s">
        <v>427</v>
      </c>
      <c r="C229" s="9">
        <v>20</v>
      </c>
      <c r="D229" s="9"/>
      <c r="E229" s="9">
        <f t="shared" si="8"/>
        <v>1641</v>
      </c>
      <c r="F229" s="9"/>
    </row>
    <row r="230" spans="1:6">
      <c r="A230" s="42">
        <v>43226</v>
      </c>
      <c r="B230" s="715" t="s">
        <v>936</v>
      </c>
      <c r="C230" s="9">
        <v>48</v>
      </c>
      <c r="D230" s="9"/>
      <c r="E230" s="9">
        <f t="shared" si="8"/>
        <v>1689</v>
      </c>
      <c r="F230" s="715" t="s">
        <v>46</v>
      </c>
    </row>
    <row r="231" spans="1:6">
      <c r="A231" s="125"/>
      <c r="B231" s="9"/>
      <c r="C231" s="9"/>
      <c r="D231" s="9"/>
      <c r="E231" s="9"/>
      <c r="F231" s="9"/>
    </row>
    <row r="232" spans="1:6">
      <c r="A232" s="125"/>
      <c r="B232" s="9"/>
      <c r="C232" s="9"/>
      <c r="D232" s="9"/>
      <c r="E232" s="9"/>
      <c r="F232" s="9"/>
    </row>
    <row r="233" spans="1:6">
      <c r="A233" s="125"/>
      <c r="B233" s="9"/>
      <c r="C233" s="9"/>
      <c r="D233" s="9"/>
      <c r="E233" s="9"/>
      <c r="F233" s="9"/>
    </row>
    <row r="234" spans="1:6">
      <c r="A234" s="125"/>
      <c r="B234" s="9"/>
      <c r="C234" s="9"/>
      <c r="D234" s="9"/>
      <c r="E234" s="9"/>
      <c r="F234" s="9"/>
    </row>
    <row r="235" spans="1:6">
      <c r="A235" s="125"/>
      <c r="B235" s="9"/>
      <c r="C235" s="9"/>
      <c r="D235" s="9"/>
      <c r="E235" s="9"/>
      <c r="F235" s="9"/>
    </row>
    <row r="236" spans="1:6">
      <c r="A236" s="125"/>
      <c r="B236" s="9"/>
      <c r="C236" s="9"/>
      <c r="D236" s="9"/>
      <c r="E236" s="9"/>
      <c r="F236" s="9"/>
    </row>
    <row r="237" spans="1:6">
      <c r="A237" s="125"/>
      <c r="B237" s="9"/>
      <c r="C237" s="9"/>
      <c r="D237" s="9"/>
      <c r="E237" s="9"/>
      <c r="F237" s="9"/>
    </row>
    <row r="238" spans="1:6">
      <c r="A238" s="125"/>
      <c r="B238" s="9"/>
      <c r="C238" s="9"/>
      <c r="D238" s="9"/>
      <c r="E238" s="9"/>
      <c r="F238" s="9"/>
    </row>
    <row r="239" spans="1:6">
      <c r="A239" s="125"/>
      <c r="B239" s="9"/>
      <c r="C239" s="9"/>
      <c r="D239" s="9"/>
      <c r="E239" s="9"/>
      <c r="F239" s="9"/>
    </row>
    <row r="240" spans="1:6">
      <c r="A240" s="125"/>
      <c r="B240" s="9"/>
      <c r="C240" s="9"/>
      <c r="D240" s="9"/>
      <c r="E240" s="9"/>
      <c r="F240" s="9"/>
    </row>
    <row r="241" spans="1:6">
      <c r="A241" s="125"/>
      <c r="B241" s="9"/>
      <c r="C241" s="9"/>
      <c r="D241" s="9"/>
      <c r="E241" s="9"/>
      <c r="F241" s="9"/>
    </row>
    <row r="242" spans="1:6">
      <c r="A242" s="125"/>
      <c r="B242" s="9"/>
      <c r="C242" s="9"/>
      <c r="D242" s="9"/>
      <c r="E242" s="9"/>
      <c r="F242" s="9"/>
    </row>
    <row r="243" spans="1:6">
      <c r="A243" s="125"/>
      <c r="B243" s="9"/>
      <c r="C243" s="9"/>
      <c r="D243" s="9"/>
      <c r="E243" s="9"/>
      <c r="F243" s="9"/>
    </row>
    <row r="244" spans="1:6">
      <c r="A244" s="125"/>
      <c r="B244" s="9"/>
      <c r="C244" s="9"/>
      <c r="D244" s="9"/>
      <c r="E244" s="9"/>
      <c r="F244" s="9"/>
    </row>
    <row r="245" spans="1:6">
      <c r="A245" s="125"/>
      <c r="B245" s="9"/>
      <c r="C245" s="9"/>
      <c r="D245" s="9"/>
      <c r="E245" s="9"/>
      <c r="F245" s="9"/>
    </row>
    <row r="246" spans="1:6">
      <c r="A246" s="125"/>
      <c r="B246" s="9"/>
      <c r="C246" s="9"/>
      <c r="D246" s="9"/>
      <c r="E246" s="9"/>
      <c r="F246" s="9"/>
    </row>
    <row r="247" spans="1:6">
      <c r="A247" s="125"/>
      <c r="B247" s="9"/>
      <c r="C247" s="9"/>
      <c r="D247" s="9"/>
      <c r="E247" s="9"/>
      <c r="F247" s="9"/>
    </row>
  </sheetData>
  <pageMargins left="0.69930555555555596" right="0.69930555555555596" top="0.25" bottom="0.75" header="0.3" footer="0.3"/>
  <pageSetup paperSize="9" scale="90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048540"/>
  <sheetViews>
    <sheetView topLeftCell="A2" zoomScale="110" zoomScaleNormal="110" zoomScalePageLayoutView="110" workbookViewId="0">
      <selection activeCell="F29" sqref="F29"/>
    </sheetView>
  </sheetViews>
  <sheetFormatPr baseColWidth="10" defaultColWidth="9" defaultRowHeight="14" x14ac:dyDescent="0.75"/>
  <cols>
    <col min="1" max="1" width="13" style="156" customWidth="1"/>
    <col min="2" max="2" width="33.83203125" style="156" customWidth="1"/>
    <col min="3" max="6" width="9" style="156"/>
  </cols>
  <sheetData>
    <row r="2" spans="1:6" s="273" customFormat="1" ht="15">
      <c r="A2" s="281" t="s">
        <v>34</v>
      </c>
      <c r="B2" s="281"/>
      <c r="C2" s="281"/>
      <c r="D2" s="281"/>
      <c r="E2" s="281"/>
      <c r="F2" s="280"/>
    </row>
    <row r="3" spans="1:6">
      <c r="A3" s="282"/>
      <c r="B3" s="283"/>
      <c r="C3" s="282"/>
      <c r="D3" s="282"/>
      <c r="E3" s="282"/>
    </row>
    <row r="4" spans="1:6">
      <c r="A4" s="52" t="s">
        <v>1</v>
      </c>
      <c r="B4" s="52" t="s">
        <v>429</v>
      </c>
      <c r="C4" s="52" t="s">
        <v>3</v>
      </c>
      <c r="D4" s="52" t="s">
        <v>4</v>
      </c>
      <c r="E4" s="52" t="s">
        <v>5</v>
      </c>
      <c r="F4" s="25" t="s">
        <v>6</v>
      </c>
    </row>
    <row r="5" spans="1:6">
      <c r="A5" s="24"/>
      <c r="B5" s="24" t="s">
        <v>414</v>
      </c>
      <c r="C5" s="24"/>
      <c r="D5" s="24"/>
      <c r="E5" s="24">
        <v>370</v>
      </c>
    </row>
    <row r="6" spans="1:6">
      <c r="A6" s="57">
        <v>42856</v>
      </c>
      <c r="B6" s="314" t="s">
        <v>15</v>
      </c>
      <c r="C6" s="24">
        <v>25</v>
      </c>
      <c r="D6" s="24"/>
      <c r="E6" s="24">
        <f>E5+C6-D6</f>
        <v>395</v>
      </c>
      <c r="F6" s="316"/>
    </row>
    <row r="7" spans="1:6">
      <c r="A7" s="322">
        <v>43405</v>
      </c>
      <c r="B7" s="25" t="s">
        <v>424</v>
      </c>
      <c r="C7" s="24">
        <v>4</v>
      </c>
      <c r="D7" s="24"/>
      <c r="E7" s="24">
        <f t="shared" ref="E7:E28" si="0">E6+C7-D7</f>
        <v>399</v>
      </c>
    </row>
    <row r="8" spans="1:6">
      <c r="A8" s="21">
        <v>43435</v>
      </c>
      <c r="B8" s="330" t="s">
        <v>483</v>
      </c>
      <c r="C8" s="24">
        <v>48</v>
      </c>
      <c r="D8" s="24"/>
      <c r="E8" s="24">
        <f t="shared" si="0"/>
        <v>447</v>
      </c>
    </row>
    <row r="9" spans="1:6">
      <c r="A9" s="57">
        <v>43435</v>
      </c>
      <c r="B9" s="331" t="s">
        <v>485</v>
      </c>
      <c r="C9" s="24"/>
      <c r="D9" s="24">
        <v>30</v>
      </c>
      <c r="E9" s="24">
        <f t="shared" si="0"/>
        <v>417</v>
      </c>
      <c r="F9" s="332"/>
    </row>
    <row r="10" spans="1:6">
      <c r="A10" s="334" t="s">
        <v>488</v>
      </c>
      <c r="B10" s="334" t="s">
        <v>494</v>
      </c>
      <c r="C10" s="24">
        <v>27</v>
      </c>
      <c r="D10" s="24"/>
      <c r="E10" s="24">
        <f t="shared" si="0"/>
        <v>444</v>
      </c>
    </row>
    <row r="11" spans="1:6">
      <c r="A11" s="344" t="s">
        <v>509</v>
      </c>
      <c r="B11" s="344" t="s">
        <v>515</v>
      </c>
      <c r="C11" s="24"/>
      <c r="D11" s="24">
        <v>42</v>
      </c>
      <c r="E11" s="24">
        <f t="shared" si="0"/>
        <v>402</v>
      </c>
      <c r="F11" s="346"/>
    </row>
    <row r="12" spans="1:6">
      <c r="A12" s="358" t="s">
        <v>551</v>
      </c>
      <c r="B12" s="357" t="s">
        <v>552</v>
      </c>
      <c r="C12" s="24">
        <v>50</v>
      </c>
      <c r="D12" s="24"/>
      <c r="E12" s="24">
        <f t="shared" si="0"/>
        <v>452</v>
      </c>
      <c r="F12" s="362"/>
    </row>
    <row r="13" spans="1:6">
      <c r="A13" s="368" t="s">
        <v>564</v>
      </c>
      <c r="B13" s="369" t="s">
        <v>552</v>
      </c>
      <c r="C13" s="24">
        <v>24</v>
      </c>
      <c r="D13" s="24"/>
      <c r="E13" s="24">
        <f t="shared" si="0"/>
        <v>476</v>
      </c>
      <c r="F13" s="373"/>
    </row>
    <row r="14" spans="1:6">
      <c r="A14" s="21">
        <v>43222</v>
      </c>
      <c r="B14" s="401" t="s">
        <v>605</v>
      </c>
      <c r="C14" s="24">
        <v>13</v>
      </c>
      <c r="D14" s="24"/>
      <c r="E14" s="24">
        <f t="shared" si="0"/>
        <v>489</v>
      </c>
    </row>
    <row r="15" spans="1:6">
      <c r="A15" s="42">
        <v>43345</v>
      </c>
      <c r="B15" s="415" t="s">
        <v>625</v>
      </c>
      <c r="C15" s="24"/>
      <c r="D15" s="24">
        <v>100</v>
      </c>
      <c r="E15" s="24">
        <f t="shared" si="0"/>
        <v>389</v>
      </c>
      <c r="F15" s="417"/>
    </row>
    <row r="16" spans="1:6">
      <c r="A16" s="469" t="s">
        <v>687</v>
      </c>
      <c r="B16" s="467" t="s">
        <v>688</v>
      </c>
      <c r="C16" s="24">
        <v>5</v>
      </c>
      <c r="D16" s="24"/>
      <c r="E16" s="24">
        <f t="shared" si="0"/>
        <v>394</v>
      </c>
      <c r="F16" s="470" t="s">
        <v>46</v>
      </c>
    </row>
    <row r="17" spans="1:6">
      <c r="A17" s="319">
        <v>43103</v>
      </c>
      <c r="B17" s="7" t="s">
        <v>15</v>
      </c>
      <c r="C17" s="24">
        <v>20</v>
      </c>
      <c r="D17" s="24"/>
      <c r="E17" s="24">
        <f t="shared" si="0"/>
        <v>414</v>
      </c>
      <c r="F17" s="486"/>
    </row>
    <row r="18" spans="1:6">
      <c r="A18" s="21">
        <v>43254</v>
      </c>
      <c r="B18" s="492" t="s">
        <v>708</v>
      </c>
      <c r="C18" s="24">
        <v>4</v>
      </c>
      <c r="D18" s="24"/>
      <c r="E18" s="24">
        <f t="shared" si="0"/>
        <v>418</v>
      </c>
      <c r="F18" s="494"/>
    </row>
    <row r="19" spans="1:6">
      <c r="A19" s="42">
        <v>43376</v>
      </c>
      <c r="B19" s="498" t="s">
        <v>708</v>
      </c>
      <c r="C19" s="24">
        <v>9</v>
      </c>
      <c r="D19" s="24"/>
      <c r="E19" s="24">
        <f t="shared" si="0"/>
        <v>427</v>
      </c>
    </row>
    <row r="20" spans="1:6">
      <c r="A20" s="21">
        <v>43376</v>
      </c>
      <c r="B20" s="498" t="s">
        <v>459</v>
      </c>
      <c r="C20" s="24"/>
      <c r="D20" s="24">
        <v>20</v>
      </c>
      <c r="E20" s="24">
        <f t="shared" si="0"/>
        <v>407</v>
      </c>
      <c r="F20" s="500"/>
    </row>
    <row r="21" spans="1:6">
      <c r="A21" s="539" t="s">
        <v>755</v>
      </c>
      <c r="B21" s="538" t="s">
        <v>459</v>
      </c>
      <c r="C21" s="24">
        <v>22</v>
      </c>
      <c r="D21" s="24"/>
      <c r="E21" s="24">
        <f t="shared" si="0"/>
        <v>429</v>
      </c>
      <c r="F21" s="540"/>
    </row>
    <row r="22" spans="1:6">
      <c r="A22" s="57">
        <v>43438</v>
      </c>
      <c r="B22" s="565" t="s">
        <v>788</v>
      </c>
      <c r="C22" s="24">
        <v>36</v>
      </c>
      <c r="D22" s="24"/>
      <c r="E22" s="24">
        <f t="shared" si="0"/>
        <v>465</v>
      </c>
      <c r="F22" s="567" t="s">
        <v>46</v>
      </c>
    </row>
    <row r="23" spans="1:6">
      <c r="A23" s="587" t="s">
        <v>815</v>
      </c>
      <c r="B23" s="587" t="s">
        <v>818</v>
      </c>
      <c r="C23" s="24"/>
      <c r="D23" s="24">
        <v>50</v>
      </c>
      <c r="E23" s="24">
        <f t="shared" si="0"/>
        <v>415</v>
      </c>
      <c r="F23" s="590" t="s">
        <v>46</v>
      </c>
    </row>
    <row r="24" spans="1:6">
      <c r="A24" s="594" t="s">
        <v>820</v>
      </c>
      <c r="B24" s="594" t="s">
        <v>825</v>
      </c>
      <c r="C24" s="24"/>
      <c r="D24" s="24">
        <v>90</v>
      </c>
      <c r="E24" s="24">
        <f t="shared" si="0"/>
        <v>325</v>
      </c>
      <c r="F24" s="596" t="s">
        <v>46</v>
      </c>
    </row>
    <row r="25" spans="1:6">
      <c r="A25" s="676" t="s">
        <v>893</v>
      </c>
      <c r="B25" s="677" t="s">
        <v>708</v>
      </c>
      <c r="C25" s="24">
        <v>5</v>
      </c>
      <c r="D25" s="24"/>
      <c r="E25" s="24">
        <f t="shared" si="0"/>
        <v>330</v>
      </c>
    </row>
    <row r="26" spans="1:6">
      <c r="A26" s="676" t="s">
        <v>893</v>
      </c>
      <c r="B26" s="677" t="s">
        <v>708</v>
      </c>
      <c r="C26" s="24">
        <v>2</v>
      </c>
      <c r="D26" s="24"/>
      <c r="E26" s="24">
        <f t="shared" si="0"/>
        <v>332</v>
      </c>
      <c r="F26" s="681" t="s">
        <v>46</v>
      </c>
    </row>
    <row r="27" spans="1:6">
      <c r="A27" s="702" t="s">
        <v>918</v>
      </c>
      <c r="B27" s="703" t="s">
        <v>406</v>
      </c>
      <c r="C27" s="24">
        <v>79</v>
      </c>
      <c r="D27" s="24"/>
      <c r="E27" s="24">
        <f t="shared" si="0"/>
        <v>411</v>
      </c>
      <c r="F27" s="706" t="s">
        <v>46</v>
      </c>
    </row>
    <row r="28" spans="1:6">
      <c r="A28" s="21">
        <v>43226</v>
      </c>
      <c r="B28" s="715" t="s">
        <v>760</v>
      </c>
      <c r="C28" s="9">
        <v>24</v>
      </c>
      <c r="D28" s="24"/>
      <c r="E28" s="24">
        <f t="shared" si="0"/>
        <v>435</v>
      </c>
      <c r="F28" s="722" t="s">
        <v>46</v>
      </c>
    </row>
    <row r="29" spans="1:6">
      <c r="A29" s="24"/>
      <c r="B29" s="24"/>
      <c r="C29" s="24"/>
      <c r="D29" s="24"/>
      <c r="E29" s="24"/>
    </row>
    <row r="30" spans="1:6">
      <c r="A30" s="24"/>
      <c r="B30" s="24"/>
      <c r="C30" s="24"/>
      <c r="D30" s="24"/>
      <c r="E30" s="24"/>
    </row>
    <row r="31" spans="1:6">
      <c r="A31" s="24"/>
      <c r="B31" s="24"/>
      <c r="C31" s="24"/>
      <c r="D31" s="24"/>
      <c r="E31" s="24"/>
    </row>
    <row r="32" spans="1:6">
      <c r="A32" s="24"/>
      <c r="B32" s="24"/>
      <c r="C32" s="24"/>
      <c r="D32" s="24"/>
      <c r="E32" s="24"/>
    </row>
    <row r="33" spans="1:5">
      <c r="A33" s="24"/>
      <c r="B33" s="24"/>
      <c r="C33" s="24"/>
      <c r="D33" s="24"/>
      <c r="E33" s="24"/>
    </row>
    <row r="34" spans="1:5">
      <c r="A34" s="24"/>
      <c r="B34" s="24"/>
      <c r="C34" s="24"/>
      <c r="D34" s="24"/>
      <c r="E34" s="24"/>
    </row>
    <row r="1048540" spans="5:5">
      <c r="E1048540" s="24"/>
    </row>
  </sheetData>
  <pageMargins left="0.69930555555555596" right="0.69930555555555596" top="0.75" bottom="0.75" header="0.3" footer="0.3"/>
  <pageSetup paperSize="9" scale="90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5"/>
  <sheetViews>
    <sheetView topLeftCell="A5" zoomScale="120" zoomScaleNormal="120" zoomScalePageLayoutView="120" workbookViewId="0">
      <selection activeCell="F21" sqref="F21"/>
    </sheetView>
  </sheetViews>
  <sheetFormatPr baseColWidth="10" defaultColWidth="9" defaultRowHeight="14" x14ac:dyDescent="0"/>
  <cols>
    <col min="1" max="1" width="14" style="156" customWidth="1"/>
    <col min="2" max="2" width="36.5" style="156" customWidth="1"/>
    <col min="3" max="7" width="9" style="156"/>
  </cols>
  <sheetData>
    <row r="2" spans="1:7" s="273" customFormat="1" ht="15">
      <c r="A2" s="217" t="s">
        <v>35</v>
      </c>
      <c r="B2" s="217"/>
      <c r="C2" s="217"/>
      <c r="D2" s="217"/>
      <c r="E2" s="217"/>
      <c r="F2" s="280"/>
      <c r="G2" s="280"/>
    </row>
    <row r="3" spans="1:7">
      <c r="A3" s="50"/>
      <c r="B3" s="51"/>
      <c r="C3" s="50"/>
      <c r="D3" s="50"/>
      <c r="E3" s="50"/>
    </row>
    <row r="4" spans="1:7">
      <c r="A4" s="52" t="s">
        <v>1</v>
      </c>
      <c r="B4" s="52" t="s">
        <v>429</v>
      </c>
      <c r="C4" s="52" t="s">
        <v>3</v>
      </c>
      <c r="D4" s="52" t="s">
        <v>4</v>
      </c>
      <c r="E4" s="52" t="s">
        <v>5</v>
      </c>
      <c r="F4" s="25" t="s">
        <v>6</v>
      </c>
    </row>
    <row r="5" spans="1:7">
      <c r="A5" s="24"/>
      <c r="B5" s="24" t="s">
        <v>414</v>
      </c>
      <c r="C5" s="24"/>
      <c r="D5" s="24"/>
      <c r="E5" s="24">
        <v>300</v>
      </c>
    </row>
    <row r="6" spans="1:7">
      <c r="A6" s="57">
        <v>42856</v>
      </c>
      <c r="B6" s="314" t="s">
        <v>15</v>
      </c>
      <c r="C6" s="24">
        <v>95</v>
      </c>
      <c r="D6" s="24"/>
      <c r="E6" s="24">
        <f>E5+C6-D6</f>
        <v>395</v>
      </c>
      <c r="F6" s="316"/>
    </row>
    <row r="7" spans="1:7">
      <c r="A7" s="322">
        <v>43405</v>
      </c>
      <c r="B7" s="25" t="s">
        <v>478</v>
      </c>
      <c r="C7" s="24">
        <v>82</v>
      </c>
      <c r="D7" s="24"/>
      <c r="E7" s="24">
        <f t="shared" ref="E7:E20" si="0">E6+C7-D7</f>
        <v>477</v>
      </c>
    </row>
    <row r="8" spans="1:7">
      <c r="A8" s="21">
        <v>43435</v>
      </c>
      <c r="B8" s="330" t="s">
        <v>482</v>
      </c>
      <c r="C8" s="24">
        <v>118</v>
      </c>
      <c r="D8" s="24"/>
      <c r="E8" s="24">
        <f t="shared" si="0"/>
        <v>595</v>
      </c>
    </row>
    <row r="9" spans="1:7">
      <c r="A9" s="57">
        <v>43435</v>
      </c>
      <c r="B9" s="331" t="s">
        <v>485</v>
      </c>
      <c r="C9" s="24"/>
      <c r="D9" s="24">
        <v>73</v>
      </c>
      <c r="E9" s="24">
        <f t="shared" si="0"/>
        <v>522</v>
      </c>
      <c r="F9" s="332"/>
    </row>
    <row r="10" spans="1:7">
      <c r="A10" s="334" t="s">
        <v>488</v>
      </c>
      <c r="B10" s="334" t="s">
        <v>483</v>
      </c>
      <c r="C10" s="24">
        <v>10</v>
      </c>
      <c r="D10" s="24"/>
      <c r="E10" s="24">
        <f t="shared" si="0"/>
        <v>532</v>
      </c>
    </row>
    <row r="11" spans="1:7">
      <c r="A11" s="403">
        <v>43222</v>
      </c>
      <c r="B11" s="404" t="s">
        <v>605</v>
      </c>
      <c r="C11" s="405">
        <v>32</v>
      </c>
      <c r="D11" s="405"/>
      <c r="E11" s="24">
        <f t="shared" si="0"/>
        <v>564</v>
      </c>
      <c r="F11" s="406"/>
    </row>
    <row r="12" spans="1:7">
      <c r="A12" s="21">
        <v>43283</v>
      </c>
      <c r="B12" s="411" t="s">
        <v>614</v>
      </c>
      <c r="C12" s="24">
        <v>8</v>
      </c>
      <c r="D12" s="24"/>
      <c r="E12" s="24">
        <f t="shared" si="0"/>
        <v>572</v>
      </c>
      <c r="F12" s="413"/>
    </row>
    <row r="13" spans="1:7">
      <c r="A13" s="469" t="s">
        <v>687</v>
      </c>
      <c r="B13" s="467" t="s">
        <v>688</v>
      </c>
      <c r="C13" s="24">
        <v>5</v>
      </c>
      <c r="D13" s="24"/>
      <c r="E13" s="24">
        <f t="shared" si="0"/>
        <v>577</v>
      </c>
      <c r="F13" s="470"/>
    </row>
    <row r="14" spans="1:7">
      <c r="A14" s="319">
        <v>43103</v>
      </c>
      <c r="B14" s="7" t="s">
        <v>15</v>
      </c>
      <c r="C14" s="24">
        <v>35</v>
      </c>
      <c r="D14" s="24"/>
      <c r="E14" s="24">
        <f t="shared" si="0"/>
        <v>612</v>
      </c>
      <c r="F14" s="486"/>
    </row>
    <row r="15" spans="1:7">
      <c r="A15" s="21">
        <v>43254</v>
      </c>
      <c r="B15" s="492" t="s">
        <v>708</v>
      </c>
      <c r="C15" s="24">
        <v>6</v>
      </c>
      <c r="D15" s="24"/>
      <c r="E15" s="24">
        <f t="shared" si="0"/>
        <v>618</v>
      </c>
      <c r="F15" s="494"/>
    </row>
    <row r="16" spans="1:7">
      <c r="A16" s="42">
        <v>43376</v>
      </c>
      <c r="B16" s="498" t="s">
        <v>708</v>
      </c>
      <c r="C16" s="24">
        <v>38</v>
      </c>
      <c r="D16" s="24"/>
      <c r="E16" s="24">
        <f t="shared" si="0"/>
        <v>656</v>
      </c>
      <c r="F16" s="500"/>
    </row>
    <row r="17" spans="1:6">
      <c r="A17" s="57">
        <v>43438</v>
      </c>
      <c r="B17" s="498" t="s">
        <v>708</v>
      </c>
      <c r="C17" s="24">
        <v>74</v>
      </c>
      <c r="D17" s="24"/>
      <c r="E17" s="24">
        <f t="shared" si="0"/>
        <v>730</v>
      </c>
      <c r="F17" s="567" t="s">
        <v>46</v>
      </c>
    </row>
    <row r="18" spans="1:6">
      <c r="A18" s="42">
        <v>43378</v>
      </c>
      <c r="B18" s="631" t="s">
        <v>859</v>
      </c>
      <c r="C18" s="24">
        <v>7</v>
      </c>
      <c r="D18" s="24"/>
      <c r="E18" s="24">
        <f t="shared" si="0"/>
        <v>737</v>
      </c>
      <c r="F18" s="661" t="s">
        <v>46</v>
      </c>
    </row>
    <row r="19" spans="1:6">
      <c r="A19" s="676" t="s">
        <v>893</v>
      </c>
      <c r="B19" s="677" t="s">
        <v>708</v>
      </c>
      <c r="C19" s="24">
        <v>8</v>
      </c>
      <c r="D19" s="24"/>
      <c r="E19" s="24">
        <f t="shared" si="0"/>
        <v>745</v>
      </c>
    </row>
    <row r="20" spans="1:6">
      <c r="A20" s="676" t="s">
        <v>893</v>
      </c>
      <c r="B20" s="677" t="s">
        <v>708</v>
      </c>
      <c r="C20" s="24">
        <v>1</v>
      </c>
      <c r="D20" s="24"/>
      <c r="E20" s="24">
        <f t="shared" si="0"/>
        <v>746</v>
      </c>
      <c r="F20" s="681" t="s">
        <v>46</v>
      </c>
    </row>
    <row r="21" spans="1:6">
      <c r="A21" s="24"/>
      <c r="B21" s="24"/>
      <c r="C21" s="24"/>
      <c r="D21" s="24"/>
      <c r="E21" s="24"/>
    </row>
    <row r="22" spans="1:6">
      <c r="A22" s="24"/>
      <c r="B22" s="24"/>
      <c r="C22" s="24"/>
      <c r="D22" s="24"/>
      <c r="E22" s="24"/>
    </row>
    <row r="23" spans="1:6">
      <c r="A23" s="24"/>
      <c r="B23" s="24"/>
      <c r="C23" s="24"/>
      <c r="D23" s="24"/>
      <c r="E23" s="24"/>
    </row>
    <row r="24" spans="1:6">
      <c r="A24" s="24"/>
      <c r="B24" s="24"/>
      <c r="C24" s="24"/>
      <c r="D24" s="24"/>
      <c r="E24" s="24"/>
    </row>
    <row r="25" spans="1:6">
      <c r="A25" s="24"/>
      <c r="B25" s="24"/>
      <c r="C25" s="24"/>
      <c r="D25" s="24"/>
      <c r="E25" s="24"/>
    </row>
    <row r="26" spans="1:6">
      <c r="A26" s="24"/>
      <c r="B26" s="24"/>
      <c r="C26" s="24"/>
      <c r="D26" s="24"/>
      <c r="E26" s="24"/>
    </row>
    <row r="27" spans="1:6">
      <c r="A27" s="24"/>
      <c r="B27" s="24"/>
      <c r="C27" s="24"/>
      <c r="D27" s="24"/>
      <c r="E27" s="24"/>
    </row>
    <row r="28" spans="1:6">
      <c r="A28" s="24"/>
      <c r="B28" s="24"/>
      <c r="C28" s="24"/>
      <c r="D28" s="24"/>
      <c r="E28" s="24"/>
    </row>
    <row r="29" spans="1:6">
      <c r="A29" s="24"/>
      <c r="B29" s="24"/>
      <c r="C29" s="24"/>
      <c r="D29" s="24"/>
      <c r="E29" s="24"/>
    </row>
    <row r="30" spans="1:6">
      <c r="A30" s="24"/>
      <c r="B30" s="24"/>
      <c r="C30" s="24"/>
      <c r="D30" s="24"/>
      <c r="E30" s="24"/>
    </row>
    <row r="31" spans="1:6">
      <c r="A31" s="24"/>
      <c r="B31" s="24"/>
      <c r="C31" s="24"/>
      <c r="D31" s="24"/>
      <c r="E31" s="24"/>
    </row>
    <row r="32" spans="1:6">
      <c r="A32" s="24"/>
      <c r="B32" s="24"/>
      <c r="C32" s="24"/>
      <c r="D32" s="24"/>
      <c r="E32" s="24"/>
    </row>
    <row r="33" spans="1:5">
      <c r="A33" s="24"/>
      <c r="B33" s="24"/>
      <c r="C33" s="24"/>
      <c r="D33" s="24"/>
      <c r="E33" s="24"/>
    </row>
    <row r="34" spans="1:5">
      <c r="A34" s="24"/>
      <c r="B34" s="24"/>
      <c r="C34" s="24"/>
      <c r="D34" s="24"/>
      <c r="E34" s="24"/>
    </row>
    <row r="35" spans="1:5">
      <c r="A35" s="24"/>
      <c r="B35" s="24"/>
      <c r="C35" s="24"/>
      <c r="D35" s="24"/>
      <c r="E35" s="24"/>
    </row>
  </sheetData>
  <pageMargins left="0.69930555555555596" right="0.69930555555555596" top="0.75" bottom="0.75" header="0.3" footer="0.3"/>
  <pageSetup paperSize="9" scale="95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E6" sqref="E6"/>
    </sheetView>
  </sheetViews>
  <sheetFormatPr baseColWidth="10" defaultColWidth="8.83203125" defaultRowHeight="14" x14ac:dyDescent="0"/>
  <cols>
    <col min="1" max="1" width="15" customWidth="1"/>
    <col min="2" max="2" width="29.5" customWidth="1"/>
  </cols>
  <sheetData>
    <row r="1" spans="1:6" ht="15">
      <c r="A1" s="217" t="s">
        <v>404</v>
      </c>
      <c r="B1" s="217"/>
      <c r="C1" s="217"/>
      <c r="D1" s="217"/>
      <c r="E1" s="217"/>
    </row>
    <row r="2" spans="1:6">
      <c r="A2" s="50"/>
      <c r="B2" s="51"/>
      <c r="C2" s="50"/>
      <c r="D2" s="50"/>
      <c r="E2" s="50"/>
    </row>
    <row r="3" spans="1:6">
      <c r="A3" s="52" t="s">
        <v>1</v>
      </c>
      <c r="B3" s="52" t="s">
        <v>429</v>
      </c>
      <c r="C3" s="52" t="s">
        <v>3</v>
      </c>
      <c r="D3" s="52" t="s">
        <v>4</v>
      </c>
      <c r="E3" s="52" t="s">
        <v>5</v>
      </c>
      <c r="F3" s="25" t="s">
        <v>6</v>
      </c>
    </row>
    <row r="4" spans="1:6">
      <c r="A4" s="292" t="s">
        <v>400</v>
      </c>
      <c r="B4" s="292" t="s">
        <v>10</v>
      </c>
      <c r="C4" s="9">
        <v>50</v>
      </c>
      <c r="D4" s="9"/>
      <c r="E4" s="9">
        <v>50</v>
      </c>
    </row>
    <row r="5" spans="1:6">
      <c r="A5" s="578" t="s">
        <v>808</v>
      </c>
      <c r="B5" s="576" t="s">
        <v>616</v>
      </c>
      <c r="D5" s="9">
        <v>10</v>
      </c>
      <c r="E5" s="9">
        <f>E4+C5-D5</f>
        <v>40</v>
      </c>
    </row>
    <row r="6" spans="1:6">
      <c r="A6" s="9"/>
      <c r="B6" s="9"/>
      <c r="C6" s="9"/>
      <c r="D6" s="9"/>
      <c r="E6" s="9"/>
    </row>
    <row r="7" spans="1:6">
      <c r="A7" s="9"/>
      <c r="B7" s="9"/>
      <c r="C7" s="9"/>
      <c r="D7" s="9"/>
      <c r="E7" s="9"/>
    </row>
    <row r="8" spans="1:6">
      <c r="A8" s="9"/>
      <c r="B8" s="9"/>
      <c r="C8" s="9"/>
      <c r="D8" s="9"/>
      <c r="E8" s="9"/>
    </row>
    <row r="9" spans="1:6">
      <c r="A9" s="9"/>
      <c r="B9" s="9"/>
      <c r="C9" s="9"/>
      <c r="D9" s="9"/>
      <c r="E9" s="9"/>
    </row>
    <row r="10" spans="1:6">
      <c r="A10" s="9"/>
      <c r="B10" s="9"/>
      <c r="C10" s="9"/>
      <c r="D10" s="9"/>
      <c r="E10" s="9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FF00"/>
  </sheetPr>
  <dimension ref="A2:F126"/>
  <sheetViews>
    <sheetView topLeftCell="A95" zoomScale="110" zoomScaleNormal="110" zoomScalePageLayoutView="110" workbookViewId="0">
      <selection activeCell="F108" sqref="F108"/>
    </sheetView>
  </sheetViews>
  <sheetFormatPr baseColWidth="10" defaultColWidth="9" defaultRowHeight="14" x14ac:dyDescent="0"/>
  <cols>
    <col min="1" max="1" width="12" style="264" customWidth="1"/>
    <col min="2" max="2" width="33.5" customWidth="1"/>
    <col min="6" max="6" width="12.33203125" customWidth="1"/>
  </cols>
  <sheetData>
    <row r="2" spans="1:6" s="273" customFormat="1" ht="15">
      <c r="A2" s="278" t="s">
        <v>36</v>
      </c>
      <c r="B2" s="217"/>
      <c r="C2" s="217"/>
      <c r="D2" s="217"/>
      <c r="E2" s="217"/>
    </row>
    <row r="3" spans="1:6">
      <c r="A3" s="279"/>
      <c r="B3" s="51"/>
      <c r="C3" s="50"/>
      <c r="D3" s="50"/>
      <c r="E3" s="50"/>
    </row>
    <row r="4" spans="1:6">
      <c r="A4" s="634" t="s">
        <v>1</v>
      </c>
      <c r="B4" s="52" t="s">
        <v>429</v>
      </c>
      <c r="C4" s="52" t="s">
        <v>3</v>
      </c>
      <c r="D4" s="52" t="s">
        <v>4</v>
      </c>
      <c r="E4" s="52" t="s">
        <v>5</v>
      </c>
      <c r="F4" s="25" t="s">
        <v>6</v>
      </c>
    </row>
    <row r="5" spans="1:6">
      <c r="A5" s="125"/>
      <c r="B5" s="9" t="s">
        <v>414</v>
      </c>
      <c r="C5" s="9"/>
      <c r="D5" s="9"/>
      <c r="E5" s="9">
        <v>581</v>
      </c>
    </row>
    <row r="6" spans="1:6">
      <c r="A6" s="42">
        <v>43191</v>
      </c>
      <c r="B6" s="306" t="s">
        <v>427</v>
      </c>
      <c r="C6" s="9">
        <v>12</v>
      </c>
      <c r="D6" s="9"/>
      <c r="E6" s="9">
        <f>E5+C6-D6</f>
        <v>593</v>
      </c>
      <c r="F6" s="308" t="s">
        <v>46</v>
      </c>
    </row>
    <row r="7" spans="1:6">
      <c r="A7" s="42">
        <v>43344</v>
      </c>
      <c r="B7" s="325" t="s">
        <v>444</v>
      </c>
      <c r="C7" s="9">
        <v>10</v>
      </c>
      <c r="D7" s="9"/>
      <c r="E7" s="9">
        <f>E6+C7-D7</f>
        <v>603</v>
      </c>
      <c r="F7" t="s">
        <v>46</v>
      </c>
    </row>
    <row r="8" spans="1:6">
      <c r="A8" s="42">
        <v>43374</v>
      </c>
      <c r="B8" s="9" t="s">
        <v>459</v>
      </c>
      <c r="C8" s="9">
        <v>12</v>
      </c>
      <c r="D8" s="9"/>
      <c r="E8" s="9">
        <f t="shared" ref="E8:E73" si="0">E7+C8-D8</f>
        <v>615</v>
      </c>
    </row>
    <row r="9" spans="1:6">
      <c r="A9" s="42">
        <v>43374</v>
      </c>
      <c r="B9" s="326" t="s">
        <v>465</v>
      </c>
      <c r="C9" s="9">
        <v>169</v>
      </c>
      <c r="D9" s="9"/>
      <c r="E9" s="9">
        <f t="shared" si="0"/>
        <v>784</v>
      </c>
      <c r="F9" s="329" t="s">
        <v>46</v>
      </c>
    </row>
    <row r="10" spans="1:6">
      <c r="A10" s="42">
        <v>43435</v>
      </c>
      <c r="B10" s="330" t="s">
        <v>479</v>
      </c>
      <c r="C10" s="9">
        <v>40</v>
      </c>
      <c r="D10" s="9"/>
      <c r="E10" s="9">
        <f t="shared" si="0"/>
        <v>824</v>
      </c>
    </row>
    <row r="11" spans="1:6">
      <c r="A11" s="172">
        <v>43435</v>
      </c>
      <c r="B11" s="331" t="s">
        <v>424</v>
      </c>
      <c r="C11" s="9">
        <v>10</v>
      </c>
      <c r="D11" s="9"/>
      <c r="E11" s="9">
        <f t="shared" si="0"/>
        <v>834</v>
      </c>
      <c r="F11" s="333"/>
    </row>
    <row r="12" spans="1:6">
      <c r="A12" s="647" t="s">
        <v>488</v>
      </c>
      <c r="B12" s="334" t="s">
        <v>490</v>
      </c>
      <c r="C12" s="9">
        <v>51</v>
      </c>
      <c r="D12" s="9"/>
      <c r="E12" s="9">
        <f t="shared" si="0"/>
        <v>885</v>
      </c>
    </row>
    <row r="13" spans="1:6">
      <c r="A13" s="342" t="s">
        <v>500</v>
      </c>
      <c r="B13" s="341" t="s">
        <v>15</v>
      </c>
      <c r="C13" s="9">
        <v>1</v>
      </c>
      <c r="D13" s="9"/>
      <c r="E13" s="9">
        <f t="shared" si="0"/>
        <v>886</v>
      </c>
    </row>
    <row r="14" spans="1:6">
      <c r="A14" s="342" t="s">
        <v>509</v>
      </c>
      <c r="B14" s="341" t="s">
        <v>510</v>
      </c>
      <c r="C14" s="9">
        <v>4</v>
      </c>
      <c r="D14" s="9"/>
      <c r="E14" s="9">
        <f t="shared" si="0"/>
        <v>890</v>
      </c>
      <c r="F14" s="345"/>
    </row>
    <row r="15" spans="1:6">
      <c r="A15" s="347" t="s">
        <v>516</v>
      </c>
      <c r="B15" s="348" t="s">
        <v>525</v>
      </c>
      <c r="C15" s="9">
        <v>4</v>
      </c>
      <c r="D15" s="9"/>
      <c r="E15" s="9">
        <f t="shared" si="0"/>
        <v>894</v>
      </c>
    </row>
    <row r="16" spans="1:6">
      <c r="A16" s="347" t="s">
        <v>526</v>
      </c>
      <c r="B16" s="348" t="s">
        <v>462</v>
      </c>
      <c r="C16" s="9">
        <v>10</v>
      </c>
      <c r="D16" s="9"/>
      <c r="E16" s="9">
        <f t="shared" si="0"/>
        <v>904</v>
      </c>
      <c r="F16" s="352"/>
    </row>
    <row r="17" spans="1:6">
      <c r="A17" s="358" t="s">
        <v>546</v>
      </c>
      <c r="B17" s="357" t="s">
        <v>427</v>
      </c>
      <c r="C17" s="9">
        <v>22</v>
      </c>
      <c r="D17" s="9"/>
      <c r="E17" s="9">
        <f t="shared" si="0"/>
        <v>926</v>
      </c>
    </row>
    <row r="18" spans="1:6">
      <c r="A18" s="358" t="s">
        <v>546</v>
      </c>
      <c r="B18" s="357" t="s">
        <v>548</v>
      </c>
      <c r="C18" s="9">
        <v>15</v>
      </c>
      <c r="D18" s="9"/>
      <c r="E18" s="9">
        <f t="shared" si="0"/>
        <v>941</v>
      </c>
    </row>
    <row r="19" spans="1:6">
      <c r="A19" s="358" t="s">
        <v>551</v>
      </c>
      <c r="B19" s="357" t="s">
        <v>553</v>
      </c>
      <c r="C19" s="9"/>
      <c r="D19" s="9">
        <v>60</v>
      </c>
      <c r="E19" s="9">
        <f t="shared" si="0"/>
        <v>881</v>
      </c>
      <c r="F19" s="363"/>
    </row>
    <row r="20" spans="1:6">
      <c r="A20" s="125" t="s">
        <v>557</v>
      </c>
      <c r="B20" s="9" t="s">
        <v>558</v>
      </c>
      <c r="C20" s="9">
        <v>25</v>
      </c>
      <c r="D20" s="9"/>
      <c r="E20" s="9">
        <f t="shared" si="0"/>
        <v>906</v>
      </c>
    </row>
    <row r="21" spans="1:6">
      <c r="A21" s="637" t="s">
        <v>557</v>
      </c>
      <c r="B21" s="365" t="s">
        <v>15</v>
      </c>
      <c r="C21" s="9"/>
      <c r="D21" s="9">
        <v>100</v>
      </c>
      <c r="E21" s="9">
        <f t="shared" si="0"/>
        <v>806</v>
      </c>
      <c r="F21" s="367"/>
    </row>
    <row r="22" spans="1:6">
      <c r="A22" s="368" t="s">
        <v>564</v>
      </c>
      <c r="B22" s="369" t="s">
        <v>524</v>
      </c>
      <c r="C22" s="9">
        <v>3</v>
      </c>
      <c r="D22" s="9"/>
      <c r="E22" s="9">
        <f t="shared" si="0"/>
        <v>809</v>
      </c>
    </row>
    <row r="23" spans="1:6">
      <c r="A23" s="368" t="s">
        <v>564</v>
      </c>
      <c r="B23" s="369" t="s">
        <v>459</v>
      </c>
      <c r="C23" s="9"/>
      <c r="D23" s="9">
        <v>8</v>
      </c>
      <c r="E23" s="9">
        <f t="shared" si="0"/>
        <v>801</v>
      </c>
    </row>
    <row r="24" spans="1:6">
      <c r="A24" s="368" t="s">
        <v>569</v>
      </c>
      <c r="B24" s="369" t="s">
        <v>24</v>
      </c>
      <c r="C24" s="9">
        <v>6</v>
      </c>
      <c r="D24" s="9"/>
      <c r="E24" s="9">
        <f t="shared" si="0"/>
        <v>807</v>
      </c>
    </row>
    <row r="25" spans="1:6">
      <c r="A25" s="368" t="s">
        <v>569</v>
      </c>
      <c r="B25" s="369" t="s">
        <v>578</v>
      </c>
      <c r="C25" s="9"/>
      <c r="D25" s="9">
        <v>48</v>
      </c>
      <c r="E25" s="9">
        <f t="shared" si="0"/>
        <v>759</v>
      </c>
      <c r="F25" s="372"/>
    </row>
    <row r="26" spans="1:6">
      <c r="A26" s="376" t="s">
        <v>585</v>
      </c>
      <c r="B26" s="377" t="s">
        <v>8</v>
      </c>
      <c r="C26" s="9">
        <v>3</v>
      </c>
      <c r="D26" s="9"/>
      <c r="E26" s="9">
        <f t="shared" si="0"/>
        <v>762</v>
      </c>
      <c r="F26" s="379"/>
    </row>
    <row r="27" spans="1:6">
      <c r="A27" s="125" t="s">
        <v>598</v>
      </c>
      <c r="B27" s="9" t="s">
        <v>524</v>
      </c>
      <c r="C27" s="9">
        <v>7</v>
      </c>
      <c r="D27" s="9"/>
      <c r="E27" s="9">
        <f t="shared" si="0"/>
        <v>769</v>
      </c>
      <c r="F27" s="388"/>
    </row>
    <row r="28" spans="1:6">
      <c r="A28" s="42">
        <v>43222</v>
      </c>
      <c r="B28" s="401" t="s">
        <v>462</v>
      </c>
      <c r="C28" s="9">
        <v>9</v>
      </c>
      <c r="D28" s="9"/>
      <c r="E28" s="9">
        <f t="shared" si="0"/>
        <v>778</v>
      </c>
    </row>
    <row r="29" spans="1:6">
      <c r="A29" s="42">
        <v>43222</v>
      </c>
      <c r="B29" s="401" t="s">
        <v>604</v>
      </c>
      <c r="C29" s="9">
        <v>35</v>
      </c>
      <c r="D29" s="9"/>
      <c r="E29" s="9">
        <f t="shared" si="0"/>
        <v>813</v>
      </c>
      <c r="F29" s="404"/>
    </row>
    <row r="30" spans="1:6">
      <c r="A30" s="42">
        <v>43283</v>
      </c>
      <c r="B30" s="411" t="s">
        <v>560</v>
      </c>
      <c r="C30" s="9"/>
      <c r="D30" s="9">
        <v>12</v>
      </c>
      <c r="E30" s="9">
        <f t="shared" si="0"/>
        <v>801</v>
      </c>
    </row>
    <row r="31" spans="1:6">
      <c r="A31" s="42">
        <v>43314</v>
      </c>
      <c r="B31" s="411" t="s">
        <v>510</v>
      </c>
      <c r="C31" s="9">
        <v>2</v>
      </c>
      <c r="D31" s="9"/>
      <c r="E31" s="9">
        <f t="shared" si="0"/>
        <v>803</v>
      </c>
      <c r="F31" s="414"/>
    </row>
    <row r="32" spans="1:6">
      <c r="A32" s="42">
        <v>43345</v>
      </c>
      <c r="B32" s="415" t="s">
        <v>427</v>
      </c>
      <c r="C32" s="9">
        <v>13</v>
      </c>
      <c r="D32" s="9"/>
      <c r="E32" s="9">
        <f t="shared" si="0"/>
        <v>816</v>
      </c>
      <c r="F32" s="418"/>
    </row>
    <row r="33" spans="1:6">
      <c r="A33" s="640" t="s">
        <v>630</v>
      </c>
      <c r="B33" s="429" t="s">
        <v>510</v>
      </c>
      <c r="C33" s="9">
        <v>7</v>
      </c>
      <c r="D33" s="9"/>
      <c r="E33" s="9">
        <f t="shared" si="0"/>
        <v>823</v>
      </c>
      <c r="F33" s="433"/>
    </row>
    <row r="34" spans="1:6">
      <c r="A34" s="641" t="s">
        <v>638</v>
      </c>
      <c r="B34" s="434" t="s">
        <v>642</v>
      </c>
      <c r="C34" s="9"/>
      <c r="D34" s="9">
        <v>20</v>
      </c>
      <c r="E34" s="9">
        <f t="shared" si="0"/>
        <v>803</v>
      </c>
    </row>
    <row r="35" spans="1:6">
      <c r="A35" s="436" t="s">
        <v>644</v>
      </c>
      <c r="B35" s="437" t="s">
        <v>616</v>
      </c>
      <c r="C35" s="9">
        <v>4</v>
      </c>
      <c r="D35" s="9"/>
      <c r="E35" s="9">
        <f t="shared" si="0"/>
        <v>807</v>
      </c>
    </row>
    <row r="36" spans="1:6">
      <c r="A36" s="436" t="s">
        <v>644</v>
      </c>
      <c r="B36" s="437" t="s">
        <v>646</v>
      </c>
      <c r="C36" s="9"/>
      <c r="D36" s="9">
        <v>4</v>
      </c>
      <c r="E36" s="9">
        <f t="shared" si="0"/>
        <v>803</v>
      </c>
      <c r="F36" s="440"/>
    </row>
    <row r="37" spans="1:6">
      <c r="A37" s="454" t="s">
        <v>665</v>
      </c>
      <c r="B37" s="452" t="s">
        <v>666</v>
      </c>
      <c r="C37" s="9">
        <v>30</v>
      </c>
      <c r="D37" s="9"/>
      <c r="E37" s="9">
        <f t="shared" si="0"/>
        <v>833</v>
      </c>
    </row>
    <row r="38" spans="1:6">
      <c r="A38" s="454" t="s">
        <v>665</v>
      </c>
      <c r="B38" s="452" t="s">
        <v>17</v>
      </c>
      <c r="C38" s="9"/>
      <c r="D38" s="9">
        <v>50</v>
      </c>
      <c r="E38" s="9">
        <f t="shared" si="0"/>
        <v>783</v>
      </c>
      <c r="F38" s="453"/>
    </row>
    <row r="39" spans="1:6">
      <c r="A39" s="459" t="s">
        <v>669</v>
      </c>
      <c r="B39" s="457" t="s">
        <v>459</v>
      </c>
      <c r="C39" s="9"/>
      <c r="D39" s="9">
        <v>18</v>
      </c>
      <c r="E39" s="9">
        <f t="shared" si="0"/>
        <v>765</v>
      </c>
    </row>
    <row r="40" spans="1:6">
      <c r="A40" s="459" t="s">
        <v>669</v>
      </c>
      <c r="B40" s="457" t="s">
        <v>560</v>
      </c>
      <c r="C40" s="9"/>
      <c r="D40" s="9">
        <v>18</v>
      </c>
      <c r="E40" s="9">
        <f t="shared" si="0"/>
        <v>747</v>
      </c>
      <c r="F40" s="461"/>
    </row>
    <row r="41" spans="1:6">
      <c r="A41" s="319">
        <v>43103</v>
      </c>
      <c r="B41" s="7" t="s">
        <v>15</v>
      </c>
      <c r="C41" s="9">
        <v>30</v>
      </c>
      <c r="D41" s="9"/>
      <c r="E41" s="9">
        <f t="shared" si="0"/>
        <v>777</v>
      </c>
    </row>
    <row r="42" spans="1:6">
      <c r="A42" s="489">
        <v>43223</v>
      </c>
      <c r="B42" s="492" t="s">
        <v>524</v>
      </c>
      <c r="C42" s="9">
        <v>1</v>
      </c>
      <c r="D42" s="9"/>
      <c r="E42" s="9">
        <f t="shared" si="0"/>
        <v>778</v>
      </c>
    </row>
    <row r="43" spans="1:6">
      <c r="A43" s="483">
        <v>43223</v>
      </c>
      <c r="B43" s="492" t="s">
        <v>510</v>
      </c>
      <c r="C43" s="9">
        <v>17</v>
      </c>
      <c r="D43" s="9"/>
      <c r="E43" s="9">
        <f t="shared" si="0"/>
        <v>795</v>
      </c>
    </row>
    <row r="44" spans="1:6">
      <c r="A44" s="42">
        <v>43223</v>
      </c>
      <c r="B44" s="492" t="s">
        <v>708</v>
      </c>
      <c r="C44" s="9">
        <v>74</v>
      </c>
      <c r="D44" s="9"/>
      <c r="E44" s="9">
        <f t="shared" si="0"/>
        <v>869</v>
      </c>
      <c r="F44" s="495"/>
    </row>
    <row r="45" spans="1:6">
      <c r="A45" s="42">
        <v>43284</v>
      </c>
      <c r="B45" s="9" t="s">
        <v>708</v>
      </c>
      <c r="C45" s="9">
        <v>20</v>
      </c>
      <c r="D45" s="9"/>
      <c r="E45" s="9">
        <f t="shared" si="0"/>
        <v>889</v>
      </c>
    </row>
    <row r="46" spans="1:6">
      <c r="A46" s="42">
        <v>43315</v>
      </c>
      <c r="B46" s="497" t="s">
        <v>462</v>
      </c>
      <c r="C46" s="9">
        <v>9</v>
      </c>
      <c r="D46" s="9"/>
      <c r="E46" s="9">
        <f t="shared" si="0"/>
        <v>898</v>
      </c>
    </row>
    <row r="47" spans="1:6">
      <c r="A47" s="42">
        <v>43346</v>
      </c>
      <c r="B47" s="497" t="s">
        <v>678</v>
      </c>
      <c r="C47" s="9">
        <v>5</v>
      </c>
      <c r="D47" s="9"/>
      <c r="E47" s="9">
        <f t="shared" si="0"/>
        <v>903</v>
      </c>
    </row>
    <row r="48" spans="1:6">
      <c r="A48" s="42">
        <v>43376</v>
      </c>
      <c r="B48" s="498" t="s">
        <v>554</v>
      </c>
      <c r="C48" s="9">
        <v>9</v>
      </c>
      <c r="D48" s="9"/>
      <c r="E48" s="9">
        <f t="shared" si="0"/>
        <v>912</v>
      </c>
      <c r="F48" s="501"/>
    </row>
    <row r="49" spans="1:6">
      <c r="A49" s="504" t="s">
        <v>728</v>
      </c>
      <c r="B49" s="502" t="s">
        <v>524</v>
      </c>
      <c r="C49" s="9">
        <v>2</v>
      </c>
      <c r="D49" s="9"/>
      <c r="E49" s="9">
        <f t="shared" si="0"/>
        <v>914</v>
      </c>
      <c r="F49" s="506"/>
    </row>
    <row r="50" spans="1:6">
      <c r="A50" s="125" t="s">
        <v>731</v>
      </c>
      <c r="B50" s="9" t="s">
        <v>510</v>
      </c>
      <c r="C50" s="9">
        <v>16</v>
      </c>
      <c r="D50" s="9"/>
      <c r="E50" s="9">
        <f t="shared" si="0"/>
        <v>930</v>
      </c>
    </row>
    <row r="51" spans="1:6">
      <c r="A51" s="125" t="s">
        <v>732</v>
      </c>
      <c r="B51" s="9" t="s">
        <v>720</v>
      </c>
      <c r="C51" s="9">
        <v>2</v>
      </c>
      <c r="D51" s="9"/>
      <c r="E51" s="9">
        <f t="shared" si="0"/>
        <v>932</v>
      </c>
    </row>
    <row r="52" spans="1:6">
      <c r="A52" s="507" t="s">
        <v>732</v>
      </c>
      <c r="B52" s="508" t="s">
        <v>679</v>
      </c>
      <c r="C52" s="9"/>
      <c r="D52" s="9">
        <v>10</v>
      </c>
      <c r="E52" s="9">
        <f t="shared" si="0"/>
        <v>922</v>
      </c>
      <c r="F52" s="510"/>
    </row>
    <row r="53" spans="1:6">
      <c r="A53" s="125" t="s">
        <v>735</v>
      </c>
      <c r="B53" s="9" t="s">
        <v>708</v>
      </c>
      <c r="C53" s="9">
        <v>2</v>
      </c>
      <c r="D53" s="9"/>
      <c r="E53" s="9">
        <f t="shared" si="0"/>
        <v>924</v>
      </c>
    </row>
    <row r="54" spans="1:6">
      <c r="A54" s="125" t="s">
        <v>735</v>
      </c>
      <c r="B54" s="9" t="s">
        <v>708</v>
      </c>
      <c r="C54" s="9">
        <v>9</v>
      </c>
      <c r="D54" s="9"/>
      <c r="E54" s="9">
        <f t="shared" si="0"/>
        <v>933</v>
      </c>
    </row>
    <row r="55" spans="1:6">
      <c r="A55" s="125" t="s">
        <v>735</v>
      </c>
      <c r="B55" s="9" t="s">
        <v>736</v>
      </c>
      <c r="C55" s="9"/>
      <c r="D55" s="9">
        <v>20</v>
      </c>
      <c r="E55" s="9">
        <f t="shared" si="0"/>
        <v>913</v>
      </c>
      <c r="F55" s="516"/>
    </row>
    <row r="56" spans="1:6">
      <c r="A56" s="522" t="s">
        <v>743</v>
      </c>
      <c r="B56" s="521" t="s">
        <v>8</v>
      </c>
      <c r="C56" s="9">
        <v>21</v>
      </c>
      <c r="D56" s="9"/>
      <c r="E56" s="9">
        <f t="shared" si="0"/>
        <v>934</v>
      </c>
      <c r="F56" s="526"/>
    </row>
    <row r="57" spans="1:6">
      <c r="A57" s="527" t="s">
        <v>744</v>
      </c>
      <c r="B57" s="528" t="s">
        <v>745</v>
      </c>
      <c r="C57" s="9">
        <v>10</v>
      </c>
      <c r="D57" s="9"/>
      <c r="E57" s="9">
        <f t="shared" si="0"/>
        <v>944</v>
      </c>
      <c r="F57" s="529"/>
    </row>
    <row r="58" spans="1:6">
      <c r="A58" s="527" t="s">
        <v>747</v>
      </c>
      <c r="B58" s="528" t="s">
        <v>524</v>
      </c>
      <c r="C58" s="9">
        <v>3</v>
      </c>
      <c r="D58" s="9"/>
      <c r="E58" s="9">
        <f t="shared" si="0"/>
        <v>947</v>
      </c>
    </row>
    <row r="59" spans="1:6">
      <c r="A59" s="527" t="s">
        <v>747</v>
      </c>
      <c r="B59" s="528" t="s">
        <v>720</v>
      </c>
      <c r="C59" s="9">
        <v>1</v>
      </c>
      <c r="D59" s="9"/>
      <c r="E59" s="9">
        <f t="shared" si="0"/>
        <v>948</v>
      </c>
    </row>
    <row r="60" spans="1:6">
      <c r="A60" s="527" t="s">
        <v>747</v>
      </c>
      <c r="B60" s="528" t="s">
        <v>604</v>
      </c>
      <c r="C60" s="9">
        <v>36</v>
      </c>
      <c r="D60" s="9"/>
      <c r="E60" s="9">
        <f t="shared" si="0"/>
        <v>984</v>
      </c>
      <c r="F60" s="529"/>
    </row>
    <row r="61" spans="1:6">
      <c r="A61" s="125" t="s">
        <v>750</v>
      </c>
      <c r="B61" s="9" t="s">
        <v>679</v>
      </c>
      <c r="C61" s="9">
        <v>30</v>
      </c>
      <c r="D61" s="9"/>
      <c r="E61" s="9">
        <f t="shared" si="0"/>
        <v>1014</v>
      </c>
      <c r="F61" s="536"/>
    </row>
    <row r="62" spans="1:6">
      <c r="A62" s="539" t="s">
        <v>757</v>
      </c>
      <c r="B62" s="538" t="s">
        <v>760</v>
      </c>
      <c r="C62" s="9"/>
      <c r="D62" s="9">
        <v>20</v>
      </c>
      <c r="E62" s="9">
        <f t="shared" si="0"/>
        <v>994</v>
      </c>
      <c r="F62" s="541"/>
    </row>
    <row r="63" spans="1:6">
      <c r="A63" s="543" t="s">
        <v>761</v>
      </c>
      <c r="B63" s="542" t="s">
        <v>641</v>
      </c>
      <c r="C63" s="9">
        <v>7</v>
      </c>
      <c r="D63" s="9"/>
      <c r="E63" s="9">
        <f t="shared" si="0"/>
        <v>1001</v>
      </c>
    </row>
    <row r="64" spans="1:6">
      <c r="A64" s="543" t="s">
        <v>761</v>
      </c>
      <c r="B64" s="542" t="s">
        <v>604</v>
      </c>
      <c r="C64" s="9">
        <v>8</v>
      </c>
      <c r="D64" s="9"/>
      <c r="E64" s="9">
        <f t="shared" si="0"/>
        <v>1009</v>
      </c>
    </row>
    <row r="65" spans="1:6">
      <c r="A65" s="543" t="s">
        <v>761</v>
      </c>
      <c r="B65" s="542" t="s">
        <v>462</v>
      </c>
      <c r="C65" s="9">
        <v>2</v>
      </c>
      <c r="D65" s="9"/>
      <c r="E65" s="9">
        <f t="shared" si="0"/>
        <v>1011</v>
      </c>
    </row>
    <row r="66" spans="1:6">
      <c r="A66" s="645" t="s">
        <v>761</v>
      </c>
      <c r="B66" s="544" t="s">
        <v>459</v>
      </c>
      <c r="C66" s="9">
        <v>40</v>
      </c>
      <c r="D66" s="9"/>
      <c r="E66" s="9">
        <f t="shared" si="0"/>
        <v>1051</v>
      </c>
    </row>
    <row r="67" spans="1:6">
      <c r="A67" s="543" t="s">
        <v>761</v>
      </c>
      <c r="B67" s="542" t="s">
        <v>524</v>
      </c>
      <c r="C67" s="9">
        <v>5</v>
      </c>
      <c r="D67" s="9"/>
      <c r="E67" s="9">
        <f t="shared" si="0"/>
        <v>1056</v>
      </c>
      <c r="F67" s="545"/>
    </row>
    <row r="68" spans="1:6">
      <c r="A68" s="125" t="s">
        <v>768</v>
      </c>
      <c r="B68" s="9" t="s">
        <v>770</v>
      </c>
      <c r="C68" s="9"/>
      <c r="D68" s="9">
        <v>60</v>
      </c>
      <c r="E68" s="9">
        <f t="shared" si="0"/>
        <v>996</v>
      </c>
    </row>
    <row r="69" spans="1:6">
      <c r="A69" s="42">
        <v>43135</v>
      </c>
      <c r="B69" s="548" t="s">
        <v>8</v>
      </c>
      <c r="C69" s="9">
        <v>11</v>
      </c>
      <c r="D69" s="9"/>
      <c r="E69" s="9">
        <f t="shared" si="0"/>
        <v>1007</v>
      </c>
      <c r="F69" s="551"/>
    </row>
    <row r="70" spans="1:6">
      <c r="A70" s="42">
        <v>43347</v>
      </c>
      <c r="B70" s="554" t="s">
        <v>524</v>
      </c>
      <c r="C70" s="9">
        <v>5</v>
      </c>
      <c r="D70" s="9"/>
      <c r="E70" s="9">
        <f t="shared" si="0"/>
        <v>1012</v>
      </c>
      <c r="F70" s="556" t="s">
        <v>46</v>
      </c>
    </row>
    <row r="71" spans="1:6">
      <c r="A71" s="42">
        <v>43438</v>
      </c>
      <c r="B71" s="564" t="s">
        <v>524</v>
      </c>
      <c r="C71" s="9">
        <v>2</v>
      </c>
      <c r="D71" s="9"/>
      <c r="E71" s="9">
        <f t="shared" si="0"/>
        <v>1014</v>
      </c>
      <c r="F71" t="s">
        <v>46</v>
      </c>
    </row>
    <row r="72" spans="1:6">
      <c r="A72" s="125" t="s">
        <v>789</v>
      </c>
      <c r="B72" s="9" t="s">
        <v>627</v>
      </c>
      <c r="C72" s="9"/>
      <c r="D72" s="9">
        <v>25</v>
      </c>
      <c r="E72" s="9">
        <f t="shared" si="0"/>
        <v>989</v>
      </c>
    </row>
    <row r="73" spans="1:6">
      <c r="A73" s="571" t="s">
        <v>793</v>
      </c>
      <c r="B73" s="570" t="s">
        <v>560</v>
      </c>
      <c r="C73" s="9"/>
      <c r="D73" s="9">
        <v>25</v>
      </c>
      <c r="E73" s="9">
        <f t="shared" si="0"/>
        <v>964</v>
      </c>
    </row>
    <row r="74" spans="1:6">
      <c r="A74" s="648" t="s">
        <v>793</v>
      </c>
      <c r="B74" s="572" t="s">
        <v>508</v>
      </c>
      <c r="C74" s="9"/>
      <c r="D74" s="9">
        <v>20</v>
      </c>
      <c r="E74" s="9">
        <f t="shared" ref="E74:E107" si="1">E73+C74-D74</f>
        <v>944</v>
      </c>
      <c r="F74" s="574" t="s">
        <v>46</v>
      </c>
    </row>
    <row r="75" spans="1:6">
      <c r="A75" s="578" t="s">
        <v>798</v>
      </c>
      <c r="B75" s="572" t="s">
        <v>508</v>
      </c>
      <c r="C75" s="9"/>
      <c r="D75" s="9">
        <v>10</v>
      </c>
      <c r="E75" s="9">
        <f t="shared" si="1"/>
        <v>934</v>
      </c>
    </row>
    <row r="76" spans="1:6">
      <c r="A76" s="578" t="s">
        <v>808</v>
      </c>
      <c r="B76" s="570" t="s">
        <v>794</v>
      </c>
      <c r="C76" s="9"/>
      <c r="D76" s="9">
        <v>10</v>
      </c>
      <c r="E76" s="9">
        <f t="shared" si="1"/>
        <v>924</v>
      </c>
      <c r="F76" s="579" t="s">
        <v>46</v>
      </c>
    </row>
    <row r="77" spans="1:6">
      <c r="A77" s="125" t="s">
        <v>811</v>
      </c>
      <c r="B77" s="9" t="s">
        <v>720</v>
      </c>
      <c r="C77" s="9">
        <v>2</v>
      </c>
      <c r="D77" s="9"/>
      <c r="E77" s="9">
        <f t="shared" si="1"/>
        <v>926</v>
      </c>
      <c r="F77" s="584" t="s">
        <v>46</v>
      </c>
    </row>
    <row r="78" spans="1:6">
      <c r="A78" s="586" t="s">
        <v>815</v>
      </c>
      <c r="B78" s="587" t="s">
        <v>818</v>
      </c>
      <c r="C78" s="9"/>
      <c r="D78" s="9">
        <v>10</v>
      </c>
      <c r="E78" s="9">
        <f t="shared" si="1"/>
        <v>916</v>
      </c>
      <c r="F78" s="591" t="s">
        <v>46</v>
      </c>
    </row>
    <row r="79" spans="1:6">
      <c r="A79" s="601" t="s">
        <v>829</v>
      </c>
      <c r="B79" s="598" t="s">
        <v>830</v>
      </c>
      <c r="C79" s="9"/>
      <c r="D79" s="9">
        <v>10</v>
      </c>
      <c r="E79" s="9">
        <f t="shared" si="1"/>
        <v>906</v>
      </c>
    </row>
    <row r="80" spans="1:6">
      <c r="A80" s="601" t="s">
        <v>829</v>
      </c>
      <c r="B80" s="598" t="s">
        <v>616</v>
      </c>
      <c r="C80" s="9"/>
      <c r="D80" s="9">
        <v>26</v>
      </c>
      <c r="E80" s="9">
        <f t="shared" si="1"/>
        <v>880</v>
      </c>
      <c r="F80" s="603" t="s">
        <v>46</v>
      </c>
    </row>
    <row r="81" spans="1:6">
      <c r="A81" s="615" t="s">
        <v>837</v>
      </c>
      <c r="B81" s="616" t="s">
        <v>838</v>
      </c>
      <c r="C81" s="9"/>
      <c r="D81" s="9">
        <v>100</v>
      </c>
      <c r="E81" s="9">
        <f t="shared" si="1"/>
        <v>780</v>
      </c>
    </row>
    <row r="82" spans="1:6">
      <c r="A82" s="615" t="s">
        <v>839</v>
      </c>
      <c r="B82" s="616" t="s">
        <v>840</v>
      </c>
      <c r="C82" s="9">
        <v>12</v>
      </c>
      <c r="D82" s="9"/>
      <c r="E82" s="9">
        <f t="shared" si="1"/>
        <v>792</v>
      </c>
    </row>
    <row r="83" spans="1:6">
      <c r="A83" s="615" t="s">
        <v>844</v>
      </c>
      <c r="B83" s="616" t="s">
        <v>524</v>
      </c>
      <c r="C83" s="9">
        <v>1</v>
      </c>
      <c r="D83" s="9"/>
      <c r="E83" s="9">
        <f t="shared" si="1"/>
        <v>793</v>
      </c>
    </row>
    <row r="84" spans="1:6">
      <c r="A84" s="615" t="s">
        <v>844</v>
      </c>
      <c r="B84" s="616" t="s">
        <v>846</v>
      </c>
      <c r="C84" s="9">
        <v>2</v>
      </c>
      <c r="D84" s="9"/>
      <c r="E84" s="9">
        <f t="shared" si="1"/>
        <v>795</v>
      </c>
    </row>
    <row r="85" spans="1:6">
      <c r="A85" s="615" t="s">
        <v>844</v>
      </c>
      <c r="B85" s="616" t="s">
        <v>817</v>
      </c>
      <c r="C85" s="9"/>
      <c r="D85" s="9">
        <v>40</v>
      </c>
      <c r="E85" s="9">
        <f t="shared" si="1"/>
        <v>755</v>
      </c>
      <c r="F85" s="618" t="s">
        <v>46</v>
      </c>
    </row>
    <row r="86" spans="1:6">
      <c r="A86" s="42">
        <v>43164</v>
      </c>
      <c r="B86" s="9" t="s">
        <v>817</v>
      </c>
      <c r="C86" s="9"/>
      <c r="D86" s="9">
        <v>60</v>
      </c>
      <c r="E86" s="9">
        <f t="shared" si="1"/>
        <v>695</v>
      </c>
      <c r="F86" s="624" t="s">
        <v>46</v>
      </c>
    </row>
    <row r="87" spans="1:6">
      <c r="A87" s="42">
        <v>43286</v>
      </c>
      <c r="B87" s="629" t="s">
        <v>833</v>
      </c>
      <c r="C87" s="9">
        <v>58</v>
      </c>
      <c r="D87" s="9"/>
      <c r="E87" s="9">
        <f t="shared" si="1"/>
        <v>753</v>
      </c>
    </row>
    <row r="88" spans="1:6">
      <c r="A88" s="42">
        <v>43409</v>
      </c>
      <c r="B88" s="631" t="s">
        <v>548</v>
      </c>
      <c r="C88" s="9">
        <v>117</v>
      </c>
      <c r="D88" s="9"/>
      <c r="E88" s="9">
        <f t="shared" si="1"/>
        <v>870</v>
      </c>
    </row>
    <row r="89" spans="1:6">
      <c r="A89" s="646" t="s">
        <v>863</v>
      </c>
      <c r="B89" s="631" t="s">
        <v>794</v>
      </c>
      <c r="C89" s="9">
        <v>17</v>
      </c>
      <c r="D89" s="9"/>
      <c r="E89" s="9">
        <f t="shared" si="1"/>
        <v>887</v>
      </c>
    </row>
    <row r="90" spans="1:6">
      <c r="A90" s="659" t="s">
        <v>863</v>
      </c>
      <c r="B90" s="9" t="s">
        <v>24</v>
      </c>
      <c r="C90" s="24">
        <v>15</v>
      </c>
      <c r="D90" s="9"/>
      <c r="E90" s="9">
        <f t="shared" si="1"/>
        <v>902</v>
      </c>
    </row>
    <row r="91" spans="1:6">
      <c r="A91" s="659" t="s">
        <v>733</v>
      </c>
      <c r="B91" s="656" t="s">
        <v>869</v>
      </c>
      <c r="C91" s="9"/>
      <c r="D91" s="9">
        <v>30</v>
      </c>
      <c r="E91" s="9">
        <f t="shared" si="1"/>
        <v>872</v>
      </c>
      <c r="F91" s="658" t="s">
        <v>46</v>
      </c>
    </row>
    <row r="92" spans="1:6">
      <c r="A92" s="670" t="s">
        <v>884</v>
      </c>
      <c r="B92" s="671" t="s">
        <v>762</v>
      </c>
      <c r="C92" s="9"/>
      <c r="D92" s="9">
        <v>15</v>
      </c>
      <c r="E92" s="9">
        <f t="shared" si="1"/>
        <v>857</v>
      </c>
    </row>
    <row r="93" spans="1:6">
      <c r="A93" s="676" t="s">
        <v>893</v>
      </c>
      <c r="B93" s="677" t="s">
        <v>708</v>
      </c>
      <c r="C93" s="9">
        <v>14</v>
      </c>
      <c r="D93" s="9"/>
      <c r="E93" s="9">
        <f t="shared" si="1"/>
        <v>871</v>
      </c>
    </row>
    <row r="94" spans="1:6">
      <c r="A94" s="676" t="s">
        <v>893</v>
      </c>
      <c r="B94" s="677" t="s">
        <v>708</v>
      </c>
      <c r="C94" s="9">
        <v>14</v>
      </c>
      <c r="D94" s="9"/>
      <c r="E94" s="9">
        <f t="shared" si="1"/>
        <v>885</v>
      </c>
    </row>
    <row r="95" spans="1:6">
      <c r="A95" s="676" t="s">
        <v>896</v>
      </c>
      <c r="B95" s="677" t="s">
        <v>24</v>
      </c>
      <c r="C95" s="9">
        <v>2</v>
      </c>
      <c r="D95" s="9"/>
      <c r="E95" s="9">
        <f t="shared" si="1"/>
        <v>887</v>
      </c>
      <c r="F95" s="682" t="s">
        <v>46</v>
      </c>
    </row>
    <row r="96" spans="1:6">
      <c r="A96" s="683" t="s">
        <v>898</v>
      </c>
      <c r="B96" s="684" t="s">
        <v>646</v>
      </c>
      <c r="C96" s="9">
        <v>4</v>
      </c>
      <c r="D96" s="9"/>
      <c r="E96" s="9">
        <f t="shared" si="1"/>
        <v>891</v>
      </c>
      <c r="F96" s="687" t="s">
        <v>46</v>
      </c>
    </row>
    <row r="97" spans="1:6">
      <c r="A97" s="24" t="s">
        <v>907</v>
      </c>
      <c r="B97" s="24" t="s">
        <v>910</v>
      </c>
      <c r="C97" s="9"/>
      <c r="D97" s="9">
        <v>6</v>
      </c>
      <c r="E97" s="9">
        <f t="shared" si="1"/>
        <v>885</v>
      </c>
      <c r="F97" s="693" t="s">
        <v>46</v>
      </c>
    </row>
    <row r="98" spans="1:6">
      <c r="A98" s="697" t="s">
        <v>915</v>
      </c>
      <c r="B98" s="698" t="s">
        <v>917</v>
      </c>
      <c r="C98" s="9">
        <v>15</v>
      </c>
      <c r="D98" s="9"/>
      <c r="E98" s="9">
        <f t="shared" si="1"/>
        <v>900</v>
      </c>
    </row>
    <row r="99" spans="1:6">
      <c r="A99" s="698" t="s">
        <v>915</v>
      </c>
      <c r="B99" s="698" t="s">
        <v>24</v>
      </c>
      <c r="C99" s="9">
        <v>3</v>
      </c>
      <c r="D99" s="9"/>
      <c r="E99" s="9">
        <f t="shared" si="1"/>
        <v>903</v>
      </c>
      <c r="F99" s="701" t="s">
        <v>46</v>
      </c>
    </row>
    <row r="100" spans="1:6">
      <c r="A100" s="702" t="s">
        <v>918</v>
      </c>
      <c r="B100" s="703" t="s">
        <v>24</v>
      </c>
      <c r="C100" s="9">
        <v>2</v>
      </c>
      <c r="D100" s="9"/>
      <c r="E100" s="9">
        <f t="shared" si="1"/>
        <v>905</v>
      </c>
    </row>
    <row r="101" spans="1:6">
      <c r="A101" s="21">
        <v>43106</v>
      </c>
      <c r="B101" s="703" t="s">
        <v>809</v>
      </c>
      <c r="C101" s="9"/>
      <c r="D101" s="9">
        <v>60</v>
      </c>
      <c r="E101" s="9">
        <f t="shared" si="1"/>
        <v>845</v>
      </c>
      <c r="F101" s="707" t="s">
        <v>46</v>
      </c>
    </row>
    <row r="102" spans="1:6">
      <c r="A102" s="21">
        <v>43137</v>
      </c>
      <c r="B102" s="703" t="s">
        <v>24</v>
      </c>
      <c r="C102" s="9">
        <v>1</v>
      </c>
      <c r="D102" s="9"/>
      <c r="E102" s="9">
        <f t="shared" si="1"/>
        <v>846</v>
      </c>
      <c r="F102" s="707"/>
    </row>
    <row r="103" spans="1:6">
      <c r="A103" s="21">
        <v>43137</v>
      </c>
      <c r="B103" s="715" t="s">
        <v>794</v>
      </c>
      <c r="C103" s="9">
        <v>1</v>
      </c>
      <c r="D103" s="9"/>
      <c r="E103" s="9">
        <f t="shared" si="1"/>
        <v>847</v>
      </c>
      <c r="F103" s="707"/>
    </row>
    <row r="104" spans="1:6">
      <c r="A104" s="42">
        <v>43196</v>
      </c>
      <c r="B104" s="9" t="s">
        <v>774</v>
      </c>
      <c r="C104" s="9">
        <v>3</v>
      </c>
      <c r="D104" s="9"/>
      <c r="E104" s="9">
        <f t="shared" si="1"/>
        <v>850</v>
      </c>
    </row>
    <row r="105" spans="1:6">
      <c r="A105" s="21">
        <v>43226</v>
      </c>
      <c r="B105" s="715" t="s">
        <v>760</v>
      </c>
      <c r="C105" s="9">
        <v>5</v>
      </c>
      <c r="D105" s="9"/>
      <c r="E105" s="9">
        <f t="shared" si="1"/>
        <v>855</v>
      </c>
    </row>
    <row r="106" spans="1:6">
      <c r="A106" s="21">
        <v>43226</v>
      </c>
      <c r="B106" s="715" t="s">
        <v>937</v>
      </c>
      <c r="C106" s="9"/>
      <c r="D106" s="9">
        <v>100</v>
      </c>
      <c r="E106" s="9">
        <f t="shared" si="1"/>
        <v>755</v>
      </c>
    </row>
    <row r="107" spans="1:6" s="719" customFormat="1">
      <c r="A107" s="720">
        <v>43226</v>
      </c>
      <c r="B107" s="13" t="s">
        <v>939</v>
      </c>
      <c r="C107" s="13"/>
      <c r="D107" s="13">
        <v>1</v>
      </c>
      <c r="E107" s="9">
        <f t="shared" si="1"/>
        <v>754</v>
      </c>
      <c r="F107" s="719" t="s">
        <v>46</v>
      </c>
    </row>
    <row r="108" spans="1:6">
      <c r="A108" s="125"/>
      <c r="B108" s="9"/>
      <c r="C108" s="9"/>
      <c r="D108" s="9"/>
      <c r="E108" s="9"/>
    </row>
    <row r="109" spans="1:6">
      <c r="A109" s="125"/>
      <c r="B109" s="9"/>
      <c r="C109" s="9"/>
      <c r="D109" s="9"/>
      <c r="E109" s="9"/>
    </row>
    <row r="110" spans="1:6">
      <c r="A110" s="125"/>
      <c r="B110" s="9"/>
      <c r="C110" s="9"/>
      <c r="D110" s="9"/>
      <c r="E110" s="9"/>
    </row>
    <row r="111" spans="1:6">
      <c r="A111" s="125"/>
      <c r="B111" s="9"/>
      <c r="C111" s="9"/>
      <c r="D111" s="9"/>
      <c r="E111" s="9"/>
    </row>
    <row r="112" spans="1:6">
      <c r="A112" s="125"/>
      <c r="B112" s="9"/>
      <c r="C112" s="9"/>
      <c r="D112" s="9"/>
      <c r="E112" s="9"/>
    </row>
    <row r="113" spans="1:5">
      <c r="A113" s="125"/>
      <c r="B113" s="9"/>
      <c r="C113" s="9"/>
      <c r="D113" s="9"/>
      <c r="E113" s="9"/>
    </row>
    <row r="114" spans="1:5">
      <c r="A114" s="125"/>
      <c r="B114" s="9"/>
      <c r="C114" s="9"/>
      <c r="D114" s="9"/>
      <c r="E114" s="9"/>
    </row>
    <row r="115" spans="1:5">
      <c r="A115" s="125"/>
      <c r="B115" s="9"/>
      <c r="C115" s="9"/>
      <c r="D115" s="9"/>
      <c r="E115" s="9"/>
    </row>
    <row r="116" spans="1:5">
      <c r="A116" s="125"/>
      <c r="B116" s="9"/>
      <c r="C116" s="9"/>
      <c r="D116" s="9"/>
      <c r="E116" s="9"/>
    </row>
    <row r="117" spans="1:5">
      <c r="A117" s="125"/>
      <c r="B117" s="9"/>
      <c r="C117" s="9"/>
      <c r="D117" s="9"/>
      <c r="E117" s="9"/>
    </row>
    <row r="118" spans="1:5">
      <c r="A118" s="125"/>
      <c r="B118" s="9"/>
      <c r="C118" s="9"/>
      <c r="D118" s="9"/>
      <c r="E118" s="9"/>
    </row>
    <row r="119" spans="1:5">
      <c r="A119" s="125"/>
      <c r="B119" s="9"/>
      <c r="C119" s="9"/>
      <c r="D119" s="9"/>
      <c r="E119" s="9"/>
    </row>
    <row r="120" spans="1:5">
      <c r="A120" s="125"/>
      <c r="B120" s="9"/>
      <c r="C120" s="9"/>
      <c r="D120" s="9"/>
      <c r="E120" s="9"/>
    </row>
    <row r="121" spans="1:5">
      <c r="A121" s="125"/>
      <c r="B121" s="9"/>
      <c r="C121" s="9"/>
      <c r="D121" s="9"/>
      <c r="E121" s="9"/>
    </row>
    <row r="122" spans="1:5">
      <c r="A122" s="125"/>
      <c r="B122" s="9"/>
      <c r="C122" s="9"/>
      <c r="D122" s="9"/>
      <c r="E122" s="9"/>
    </row>
    <row r="123" spans="1:5">
      <c r="A123" s="125"/>
      <c r="B123" s="9"/>
      <c r="C123" s="9"/>
      <c r="D123" s="9"/>
      <c r="E123" s="9"/>
    </row>
    <row r="124" spans="1:5">
      <c r="A124" s="125"/>
      <c r="B124" s="9"/>
      <c r="C124" s="9"/>
      <c r="D124" s="9"/>
      <c r="E124" s="9"/>
    </row>
    <row r="125" spans="1:5">
      <c r="A125" s="125"/>
      <c r="B125" s="9"/>
      <c r="C125" s="9"/>
      <c r="D125" s="9"/>
      <c r="E125" s="9"/>
    </row>
    <row r="126" spans="1:5">
      <c r="A126" s="125"/>
      <c r="B126" s="9"/>
      <c r="C126" s="9"/>
      <c r="D126" s="9"/>
      <c r="E126" s="9"/>
    </row>
  </sheetData>
  <pageMargins left="0.69930555555555596" right="0.69930555555555596" top="0" bottom="0" header="0.3" footer="0.3"/>
  <pageSetup paperSize="9" scale="90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6"/>
  <sheetViews>
    <sheetView topLeftCell="A219" zoomScale="110" zoomScaleNormal="110" zoomScalePageLayoutView="110" workbookViewId="0">
      <selection activeCell="F241" sqref="F241"/>
    </sheetView>
  </sheetViews>
  <sheetFormatPr baseColWidth="10" defaultColWidth="9" defaultRowHeight="14" x14ac:dyDescent="0"/>
  <cols>
    <col min="1" max="1" width="11.33203125" style="264" customWidth="1"/>
    <col min="2" max="2" width="53" customWidth="1"/>
    <col min="3" max="3" width="8.6640625" customWidth="1"/>
    <col min="4" max="4" width="8.5" customWidth="1"/>
    <col min="5" max="5" width="7.83203125" customWidth="1"/>
    <col min="6" max="6" width="13.1640625" bestFit="1" customWidth="1"/>
    <col min="7" max="7" width="13.83203125" customWidth="1"/>
  </cols>
  <sheetData>
    <row r="1" spans="1:7" s="273" customFormat="1" ht="15">
      <c r="A1" s="278" t="s">
        <v>37</v>
      </c>
      <c r="B1" s="217"/>
      <c r="C1" s="217"/>
      <c r="D1" s="217"/>
      <c r="E1" s="217"/>
    </row>
    <row r="2" spans="1:7">
      <c r="A2" s="279"/>
      <c r="B2" s="51"/>
      <c r="C2" s="50"/>
      <c r="D2" s="50"/>
      <c r="E2" s="50"/>
    </row>
    <row r="3" spans="1:7" s="651" customFormat="1" ht="27.75" customHeight="1">
      <c r="A3" s="649" t="s">
        <v>1</v>
      </c>
      <c r="B3" s="649" t="s">
        <v>429</v>
      </c>
      <c r="C3" s="649" t="s">
        <v>3</v>
      </c>
      <c r="D3" s="649" t="s">
        <v>4</v>
      </c>
      <c r="E3" s="649" t="s">
        <v>5</v>
      </c>
      <c r="F3" s="650" t="s">
        <v>6</v>
      </c>
      <c r="G3" s="427" t="s">
        <v>629</v>
      </c>
    </row>
    <row r="4" spans="1:7">
      <c r="A4" s="125"/>
      <c r="B4" s="298" t="s">
        <v>408</v>
      </c>
      <c r="C4" s="9"/>
      <c r="D4" s="9"/>
      <c r="E4" s="9">
        <v>990</v>
      </c>
      <c r="F4" s="9"/>
      <c r="G4" s="9"/>
    </row>
    <row r="5" spans="1:7">
      <c r="A5" s="42">
        <v>43132</v>
      </c>
      <c r="B5" s="298" t="s">
        <v>24</v>
      </c>
      <c r="C5" s="9">
        <v>52</v>
      </c>
      <c r="D5" s="9"/>
      <c r="E5" s="9">
        <f>E4+C5-D5</f>
        <v>1042</v>
      </c>
      <c r="F5" s="9"/>
      <c r="G5" s="9"/>
    </row>
    <row r="6" spans="1:7">
      <c r="A6" s="42">
        <v>43132</v>
      </c>
      <c r="B6" s="317" t="s">
        <v>427</v>
      </c>
      <c r="C6" s="9">
        <v>19</v>
      </c>
      <c r="D6" s="9"/>
      <c r="E6" s="9">
        <f t="shared" ref="E6:E37" si="0">E5+C6-D6</f>
        <v>1061</v>
      </c>
      <c r="F6" s="9"/>
      <c r="G6" s="9"/>
    </row>
    <row r="7" spans="1:7">
      <c r="A7" s="42">
        <v>43160</v>
      </c>
      <c r="B7" s="317" t="s">
        <v>427</v>
      </c>
      <c r="C7" s="9">
        <v>162</v>
      </c>
      <c r="D7" s="9"/>
      <c r="E7" s="9">
        <f t="shared" si="0"/>
        <v>1223</v>
      </c>
      <c r="F7" s="299" t="s">
        <v>46</v>
      </c>
      <c r="G7" s="9"/>
    </row>
    <row r="8" spans="1:7">
      <c r="A8" s="42">
        <v>43191</v>
      </c>
      <c r="B8" s="306" t="s">
        <v>427</v>
      </c>
      <c r="C8" s="9">
        <v>27</v>
      </c>
      <c r="D8" s="9"/>
      <c r="E8" s="9">
        <f t="shared" si="0"/>
        <v>1250</v>
      </c>
      <c r="F8" s="306" t="s">
        <v>46</v>
      </c>
      <c r="G8" s="9"/>
    </row>
    <row r="9" spans="1:7">
      <c r="A9" s="42">
        <v>43221</v>
      </c>
      <c r="B9" s="313" t="s">
        <v>24</v>
      </c>
      <c r="C9" s="9">
        <v>7</v>
      </c>
      <c r="D9" s="9"/>
      <c r="E9" s="9">
        <f t="shared" si="0"/>
        <v>1257</v>
      </c>
      <c r="F9" s="313" t="s">
        <v>46</v>
      </c>
      <c r="G9" s="9"/>
    </row>
    <row r="10" spans="1:7">
      <c r="A10" s="42">
        <v>43252</v>
      </c>
      <c r="B10" s="9" t="s">
        <v>444</v>
      </c>
      <c r="C10" s="9">
        <v>168</v>
      </c>
      <c r="D10" s="9"/>
      <c r="E10" s="9">
        <f t="shared" si="0"/>
        <v>1425</v>
      </c>
      <c r="F10" s="320" t="s">
        <v>46</v>
      </c>
      <c r="G10" s="9"/>
    </row>
    <row r="11" spans="1:7">
      <c r="A11" s="42">
        <v>43344</v>
      </c>
      <c r="B11" s="325" t="s">
        <v>444</v>
      </c>
      <c r="C11" s="9">
        <v>39</v>
      </c>
      <c r="D11" s="9"/>
      <c r="E11" s="9">
        <f t="shared" si="0"/>
        <v>1464</v>
      </c>
      <c r="F11" s="325" t="s">
        <v>46</v>
      </c>
      <c r="G11" s="9"/>
    </row>
    <row r="12" spans="1:7">
      <c r="A12" s="42">
        <v>43374</v>
      </c>
      <c r="B12" s="9" t="s">
        <v>459</v>
      </c>
      <c r="C12" s="9">
        <v>26</v>
      </c>
      <c r="D12" s="9"/>
      <c r="E12" s="9">
        <f t="shared" si="0"/>
        <v>1490</v>
      </c>
      <c r="F12" s="9"/>
      <c r="G12" s="9"/>
    </row>
    <row r="13" spans="1:7">
      <c r="A13" s="42">
        <v>43374</v>
      </c>
      <c r="B13" s="326" t="s">
        <v>466</v>
      </c>
      <c r="C13" s="9">
        <v>63</v>
      </c>
      <c r="D13" s="9"/>
      <c r="E13" s="9">
        <f t="shared" si="0"/>
        <v>1553</v>
      </c>
      <c r="F13" s="326" t="s">
        <v>46</v>
      </c>
      <c r="G13" s="9"/>
    </row>
    <row r="14" spans="1:7">
      <c r="A14" s="42">
        <v>43405</v>
      </c>
      <c r="B14" s="330" t="s">
        <v>444</v>
      </c>
      <c r="C14" s="9">
        <v>20</v>
      </c>
      <c r="D14" s="9"/>
      <c r="E14" s="9">
        <f t="shared" si="0"/>
        <v>1573</v>
      </c>
      <c r="F14" s="9"/>
      <c r="G14" s="9"/>
    </row>
    <row r="15" spans="1:7">
      <c r="A15" s="42">
        <v>43405</v>
      </c>
      <c r="B15" s="330" t="s">
        <v>444</v>
      </c>
      <c r="C15" s="9">
        <v>14</v>
      </c>
      <c r="D15" s="9"/>
      <c r="E15" s="9">
        <f t="shared" si="0"/>
        <v>1587</v>
      </c>
      <c r="F15" s="9"/>
      <c r="G15" s="9"/>
    </row>
    <row r="16" spans="1:7">
      <c r="A16" s="42">
        <v>43405</v>
      </c>
      <c r="B16" s="330" t="s">
        <v>474</v>
      </c>
      <c r="C16" s="9">
        <v>11</v>
      </c>
      <c r="D16" s="9"/>
      <c r="E16" s="9">
        <f t="shared" si="0"/>
        <v>1598</v>
      </c>
      <c r="F16" s="9"/>
      <c r="G16" s="9"/>
    </row>
    <row r="17" spans="1:7">
      <c r="A17" s="42">
        <v>43435</v>
      </c>
      <c r="B17" s="330" t="s">
        <v>480</v>
      </c>
      <c r="C17" s="9">
        <v>45</v>
      </c>
      <c r="D17" s="9"/>
      <c r="E17" s="9">
        <f t="shared" si="0"/>
        <v>1643</v>
      </c>
      <c r="F17" s="9"/>
      <c r="G17" s="9"/>
    </row>
    <row r="18" spans="1:7">
      <c r="A18" s="42">
        <v>43435</v>
      </c>
      <c r="B18" s="330" t="s">
        <v>462</v>
      </c>
      <c r="C18" s="9">
        <v>162</v>
      </c>
      <c r="D18" s="9"/>
      <c r="E18" s="9">
        <f t="shared" si="0"/>
        <v>1805</v>
      </c>
      <c r="F18" s="330" t="s">
        <v>46</v>
      </c>
      <c r="G18" s="9"/>
    </row>
    <row r="19" spans="1:7">
      <c r="A19" s="42">
        <v>43435</v>
      </c>
      <c r="B19" s="338" t="s">
        <v>499</v>
      </c>
      <c r="C19" s="9"/>
      <c r="D19" s="9">
        <v>162</v>
      </c>
      <c r="E19" s="9">
        <f t="shared" si="0"/>
        <v>1643</v>
      </c>
      <c r="F19" s="330"/>
      <c r="G19" s="9"/>
    </row>
    <row r="20" spans="1:7">
      <c r="A20" s="336" t="s">
        <v>488</v>
      </c>
      <c r="B20" s="334" t="s">
        <v>24</v>
      </c>
      <c r="C20" s="9">
        <v>11</v>
      </c>
      <c r="D20" s="9"/>
      <c r="E20" s="9">
        <f t="shared" si="0"/>
        <v>1654</v>
      </c>
      <c r="F20" s="9"/>
      <c r="G20" s="9"/>
    </row>
    <row r="21" spans="1:7">
      <c r="A21" s="336" t="s">
        <v>488</v>
      </c>
      <c r="B21" s="334" t="s">
        <v>444</v>
      </c>
      <c r="C21" s="9">
        <v>45</v>
      </c>
      <c r="D21" s="9"/>
      <c r="E21" s="9">
        <f t="shared" si="0"/>
        <v>1699</v>
      </c>
      <c r="F21" s="9"/>
      <c r="G21" s="9"/>
    </row>
    <row r="22" spans="1:7">
      <c r="A22" s="336" t="s">
        <v>488</v>
      </c>
      <c r="B22" s="338" t="s">
        <v>498</v>
      </c>
      <c r="C22" s="9"/>
      <c r="D22" s="9">
        <v>491</v>
      </c>
      <c r="E22" s="9">
        <f t="shared" si="0"/>
        <v>1208</v>
      </c>
      <c r="F22" s="9"/>
      <c r="G22" s="9"/>
    </row>
    <row r="23" spans="1:7">
      <c r="A23" s="342" t="s">
        <v>500</v>
      </c>
      <c r="B23" s="341" t="s">
        <v>15</v>
      </c>
      <c r="C23" s="9">
        <v>13</v>
      </c>
      <c r="D23" s="9"/>
      <c r="E23" s="9">
        <f t="shared" si="0"/>
        <v>1221</v>
      </c>
      <c r="F23" s="9"/>
      <c r="G23" s="9"/>
    </row>
    <row r="24" spans="1:7">
      <c r="A24" s="342" t="s">
        <v>500</v>
      </c>
      <c r="B24" s="341" t="s">
        <v>508</v>
      </c>
      <c r="C24" s="9"/>
      <c r="D24" s="9">
        <v>163</v>
      </c>
      <c r="E24" s="9">
        <f t="shared" si="0"/>
        <v>1058</v>
      </c>
      <c r="F24" s="9"/>
      <c r="G24" s="9"/>
    </row>
    <row r="25" spans="1:7">
      <c r="A25" s="342" t="s">
        <v>509</v>
      </c>
      <c r="B25" s="341" t="s">
        <v>427</v>
      </c>
      <c r="C25" s="9">
        <v>86</v>
      </c>
      <c r="D25" s="9"/>
      <c r="E25" s="9">
        <f t="shared" si="0"/>
        <v>1144</v>
      </c>
      <c r="F25" s="9"/>
      <c r="G25" s="9"/>
    </row>
    <row r="26" spans="1:7">
      <c r="A26" s="342" t="s">
        <v>509</v>
      </c>
      <c r="B26" s="341" t="s">
        <v>510</v>
      </c>
      <c r="C26" s="9">
        <v>81</v>
      </c>
      <c r="D26" s="9"/>
      <c r="E26" s="9">
        <f t="shared" si="0"/>
        <v>1225</v>
      </c>
      <c r="F26" s="9"/>
      <c r="G26" s="9"/>
    </row>
    <row r="27" spans="1:7">
      <c r="A27" s="343" t="s">
        <v>509</v>
      </c>
      <c r="B27" s="344" t="s">
        <v>462</v>
      </c>
      <c r="C27" s="9">
        <v>77</v>
      </c>
      <c r="D27" s="9"/>
      <c r="E27" s="9">
        <f t="shared" si="0"/>
        <v>1302</v>
      </c>
      <c r="F27" s="341" t="s">
        <v>46</v>
      </c>
      <c r="G27" s="9"/>
    </row>
    <row r="28" spans="1:7">
      <c r="A28" s="347" t="s">
        <v>516</v>
      </c>
      <c r="B28" s="348" t="s">
        <v>525</v>
      </c>
      <c r="C28" s="9">
        <v>11</v>
      </c>
      <c r="D28" s="9"/>
      <c r="E28" s="9">
        <f t="shared" si="0"/>
        <v>1313</v>
      </c>
      <c r="F28" s="9"/>
      <c r="G28" s="9"/>
    </row>
    <row r="29" spans="1:7">
      <c r="A29" s="347" t="s">
        <v>526</v>
      </c>
      <c r="B29" s="348" t="s">
        <v>462</v>
      </c>
      <c r="C29" s="9">
        <v>23</v>
      </c>
      <c r="D29" s="9"/>
      <c r="E29" s="9">
        <f t="shared" si="0"/>
        <v>1336</v>
      </c>
      <c r="F29" s="9"/>
      <c r="G29" s="9"/>
    </row>
    <row r="30" spans="1:7">
      <c r="A30" s="347" t="s">
        <v>526</v>
      </c>
      <c r="B30" s="348" t="s">
        <v>540</v>
      </c>
      <c r="C30" s="9">
        <v>34</v>
      </c>
      <c r="D30" s="9"/>
      <c r="E30" s="9">
        <f t="shared" si="0"/>
        <v>1370</v>
      </c>
      <c r="F30" s="9"/>
      <c r="G30" s="9"/>
    </row>
    <row r="31" spans="1:7">
      <c r="A31" s="347" t="s">
        <v>531</v>
      </c>
      <c r="B31" s="348" t="s">
        <v>539</v>
      </c>
      <c r="C31" s="9"/>
      <c r="D31" s="9">
        <v>200</v>
      </c>
      <c r="E31" s="9">
        <f t="shared" si="0"/>
        <v>1170</v>
      </c>
      <c r="F31" s="348" t="s">
        <v>46</v>
      </c>
      <c r="G31" s="9"/>
    </row>
    <row r="32" spans="1:7">
      <c r="A32" s="125" t="s">
        <v>541</v>
      </c>
      <c r="B32" s="9" t="s">
        <v>24</v>
      </c>
      <c r="C32" s="9">
        <v>53</v>
      </c>
      <c r="D32" s="9"/>
      <c r="E32" s="9">
        <f t="shared" si="0"/>
        <v>1223</v>
      </c>
      <c r="F32" s="353" t="s">
        <v>46</v>
      </c>
      <c r="G32" s="9"/>
    </row>
    <row r="33" spans="1:8">
      <c r="A33" s="358" t="s">
        <v>546</v>
      </c>
      <c r="B33" s="357" t="s">
        <v>24</v>
      </c>
      <c r="C33" s="9">
        <v>30</v>
      </c>
      <c r="D33" s="9"/>
      <c r="E33" s="9">
        <f t="shared" si="0"/>
        <v>1253</v>
      </c>
      <c r="F33" s="9"/>
      <c r="G33" s="9"/>
    </row>
    <row r="34" spans="1:8">
      <c r="A34" s="358" t="s">
        <v>546</v>
      </c>
      <c r="B34" s="357" t="s">
        <v>444</v>
      </c>
      <c r="C34" s="9">
        <v>90</v>
      </c>
      <c r="D34" s="9"/>
      <c r="E34" s="9">
        <f t="shared" si="0"/>
        <v>1343</v>
      </c>
      <c r="F34" s="9"/>
      <c r="G34" s="9"/>
    </row>
    <row r="35" spans="1:8">
      <c r="A35" s="358" t="s">
        <v>551</v>
      </c>
      <c r="B35" s="357" t="s">
        <v>24</v>
      </c>
      <c r="C35" s="9">
        <v>50</v>
      </c>
      <c r="D35" s="9"/>
      <c r="E35" s="9">
        <f t="shared" si="0"/>
        <v>1393</v>
      </c>
      <c r="F35" s="9"/>
      <c r="G35" s="9"/>
    </row>
    <row r="36" spans="1:8">
      <c r="A36" s="358" t="s">
        <v>551</v>
      </c>
      <c r="B36" s="357" t="s">
        <v>552</v>
      </c>
      <c r="C36" s="9">
        <v>30</v>
      </c>
      <c r="D36" s="9"/>
      <c r="E36" s="9">
        <f t="shared" si="0"/>
        <v>1423</v>
      </c>
      <c r="F36" s="9"/>
      <c r="G36" s="9"/>
    </row>
    <row r="37" spans="1:8">
      <c r="A37" s="358" t="s">
        <v>551</v>
      </c>
      <c r="B37" s="357" t="s">
        <v>553</v>
      </c>
      <c r="C37" s="9"/>
      <c r="D37" s="9">
        <v>60</v>
      </c>
      <c r="E37" s="9">
        <f t="shared" si="0"/>
        <v>1363</v>
      </c>
      <c r="F37" s="9"/>
      <c r="G37" s="9"/>
    </row>
    <row r="38" spans="1:8">
      <c r="A38" s="358" t="s">
        <v>551</v>
      </c>
      <c r="B38" s="357" t="s">
        <v>554</v>
      </c>
      <c r="C38" s="9"/>
      <c r="D38" s="9">
        <v>561</v>
      </c>
      <c r="E38" s="9">
        <f>E37+C38-D38</f>
        <v>802</v>
      </c>
      <c r="F38" s="357" t="s">
        <v>46</v>
      </c>
      <c r="G38" s="9"/>
    </row>
    <row r="39" spans="1:8" ht="15">
      <c r="A39" s="652" t="s">
        <v>557</v>
      </c>
      <c r="B39" s="428" t="s">
        <v>510</v>
      </c>
      <c r="C39" s="428">
        <v>27</v>
      </c>
      <c r="D39" s="428"/>
      <c r="E39" s="428">
        <f t="shared" ref="E39:E82" si="1">E38+C39-D39</f>
        <v>829</v>
      </c>
      <c r="F39" s="26"/>
      <c r="G39" s="134"/>
    </row>
    <row r="40" spans="1:8">
      <c r="A40" s="637" t="s">
        <v>557</v>
      </c>
      <c r="B40" s="365" t="s">
        <v>15</v>
      </c>
      <c r="C40" s="9"/>
      <c r="D40" s="9">
        <v>139</v>
      </c>
      <c r="E40" s="9">
        <f t="shared" si="1"/>
        <v>690</v>
      </c>
      <c r="F40" s="365" t="s">
        <v>46</v>
      </c>
      <c r="G40" s="136">
        <v>493</v>
      </c>
      <c r="H40" s="442">
        <f>E40-G40</f>
        <v>197</v>
      </c>
    </row>
    <row r="41" spans="1:8">
      <c r="A41" s="368" t="s">
        <v>564</v>
      </c>
      <c r="B41" s="369" t="s">
        <v>24</v>
      </c>
      <c r="C41" s="9">
        <v>13</v>
      </c>
      <c r="D41" s="9"/>
      <c r="E41" s="9">
        <f t="shared" si="1"/>
        <v>703</v>
      </c>
      <c r="F41" s="9"/>
      <c r="G41" s="9">
        <f>G40+C41-D41</f>
        <v>506</v>
      </c>
    </row>
    <row r="42" spans="1:8">
      <c r="A42" s="368" t="s">
        <v>564</v>
      </c>
      <c r="B42" s="369" t="s">
        <v>524</v>
      </c>
      <c r="C42" s="9">
        <v>10</v>
      </c>
      <c r="D42" s="9"/>
      <c r="E42" s="9">
        <f t="shared" si="1"/>
        <v>713</v>
      </c>
      <c r="F42" s="9"/>
      <c r="G42" s="9">
        <f t="shared" ref="G42:G105" si="2">G41+C42-D42</f>
        <v>516</v>
      </c>
    </row>
    <row r="43" spans="1:8">
      <c r="A43" s="368" t="s">
        <v>564</v>
      </c>
      <c r="B43" s="369" t="s">
        <v>459</v>
      </c>
      <c r="C43" s="9"/>
      <c r="D43" s="9">
        <v>16</v>
      </c>
      <c r="E43" s="9">
        <f t="shared" si="1"/>
        <v>697</v>
      </c>
      <c r="F43" s="369" t="s">
        <v>46</v>
      </c>
      <c r="G43" s="9">
        <f t="shared" si="2"/>
        <v>500</v>
      </c>
    </row>
    <row r="44" spans="1:8">
      <c r="A44" s="376" t="s">
        <v>585</v>
      </c>
      <c r="B44" s="377" t="s">
        <v>8</v>
      </c>
      <c r="C44" s="9">
        <v>27</v>
      </c>
      <c r="D44" s="9"/>
      <c r="E44" s="9">
        <f t="shared" si="1"/>
        <v>724</v>
      </c>
      <c r="F44" s="375" t="s">
        <v>46</v>
      </c>
      <c r="G44" s="9">
        <f t="shared" si="2"/>
        <v>527</v>
      </c>
    </row>
    <row r="45" spans="1:8">
      <c r="A45" s="125" t="s">
        <v>598</v>
      </c>
      <c r="B45" s="9" t="s">
        <v>524</v>
      </c>
      <c r="C45" s="9">
        <v>28</v>
      </c>
      <c r="D45" s="9"/>
      <c r="E45" s="9">
        <f t="shared" si="1"/>
        <v>752</v>
      </c>
      <c r="F45" s="386" t="s">
        <v>46</v>
      </c>
      <c r="G45" s="9">
        <f t="shared" si="2"/>
        <v>555</v>
      </c>
    </row>
    <row r="46" spans="1:8">
      <c r="A46" s="42">
        <v>43102</v>
      </c>
      <c r="B46" s="390" t="s">
        <v>552</v>
      </c>
      <c r="C46" s="9">
        <v>22</v>
      </c>
      <c r="D46" s="9"/>
      <c r="E46" s="9">
        <f t="shared" si="1"/>
        <v>774</v>
      </c>
      <c r="F46" s="390" t="s">
        <v>46</v>
      </c>
      <c r="G46" s="9">
        <f t="shared" si="2"/>
        <v>577</v>
      </c>
    </row>
    <row r="47" spans="1:8">
      <c r="A47" s="42">
        <v>43133</v>
      </c>
      <c r="B47" s="395" t="s">
        <v>462</v>
      </c>
      <c r="C47" s="9">
        <v>101</v>
      </c>
      <c r="D47" s="9"/>
      <c r="E47" s="9">
        <f t="shared" si="1"/>
        <v>875</v>
      </c>
      <c r="F47" s="9"/>
      <c r="G47" s="9">
        <f t="shared" si="2"/>
        <v>678</v>
      </c>
    </row>
    <row r="48" spans="1:8">
      <c r="A48" s="42">
        <v>43133</v>
      </c>
      <c r="B48" s="395" t="s">
        <v>16</v>
      </c>
      <c r="C48" s="9">
        <v>31</v>
      </c>
      <c r="D48" s="9"/>
      <c r="E48" s="9">
        <f t="shared" si="1"/>
        <v>906</v>
      </c>
      <c r="F48" s="395" t="s">
        <v>46</v>
      </c>
      <c r="G48" s="9">
        <f t="shared" si="2"/>
        <v>709</v>
      </c>
    </row>
    <row r="49" spans="1:7">
      <c r="A49" s="42">
        <v>43161</v>
      </c>
      <c r="B49" s="398" t="s">
        <v>603</v>
      </c>
      <c r="C49" s="9"/>
      <c r="D49" s="9">
        <v>20</v>
      </c>
      <c r="E49" s="9">
        <f t="shared" si="1"/>
        <v>886</v>
      </c>
      <c r="F49" s="398" t="s">
        <v>46</v>
      </c>
      <c r="G49" s="9">
        <f t="shared" si="2"/>
        <v>689</v>
      </c>
    </row>
    <row r="50" spans="1:7">
      <c r="A50" s="42">
        <v>43222</v>
      </c>
      <c r="B50" s="401" t="s">
        <v>462</v>
      </c>
      <c r="C50" s="9">
        <v>81</v>
      </c>
      <c r="D50" s="9"/>
      <c r="E50" s="9">
        <f t="shared" si="1"/>
        <v>967</v>
      </c>
      <c r="F50" s="9"/>
      <c r="G50" s="9">
        <f t="shared" si="2"/>
        <v>770</v>
      </c>
    </row>
    <row r="51" spans="1:7">
      <c r="A51" s="42">
        <v>43222</v>
      </c>
      <c r="B51" s="401" t="s">
        <v>604</v>
      </c>
      <c r="C51" s="9">
        <v>23</v>
      </c>
      <c r="D51" s="9"/>
      <c r="E51" s="9">
        <f t="shared" si="1"/>
        <v>990</v>
      </c>
      <c r="F51" s="401" t="s">
        <v>46</v>
      </c>
      <c r="G51" s="9">
        <f t="shared" si="2"/>
        <v>793</v>
      </c>
    </row>
    <row r="52" spans="1:7">
      <c r="A52" s="42">
        <v>43283</v>
      </c>
      <c r="B52" s="411" t="s">
        <v>524</v>
      </c>
      <c r="C52" s="9">
        <v>7</v>
      </c>
      <c r="D52" s="9"/>
      <c r="E52" s="9">
        <f t="shared" si="1"/>
        <v>997</v>
      </c>
      <c r="F52" s="9"/>
      <c r="G52" s="9">
        <f t="shared" si="2"/>
        <v>800</v>
      </c>
    </row>
    <row r="53" spans="1:7">
      <c r="A53" s="42">
        <v>43283</v>
      </c>
      <c r="B53" s="411" t="s">
        <v>560</v>
      </c>
      <c r="C53" s="9"/>
      <c r="D53" s="9">
        <v>6</v>
      </c>
      <c r="E53" s="9">
        <f t="shared" si="1"/>
        <v>991</v>
      </c>
      <c r="F53" s="9"/>
      <c r="G53" s="9">
        <f t="shared" si="2"/>
        <v>794</v>
      </c>
    </row>
    <row r="54" spans="1:7">
      <c r="A54" s="42">
        <v>43283</v>
      </c>
      <c r="B54" s="411" t="s">
        <v>616</v>
      </c>
      <c r="C54" s="9"/>
      <c r="D54" s="9">
        <v>60</v>
      </c>
      <c r="E54" s="9">
        <f t="shared" si="1"/>
        <v>931</v>
      </c>
      <c r="F54" s="9"/>
      <c r="G54" s="9">
        <f t="shared" si="2"/>
        <v>734</v>
      </c>
    </row>
    <row r="55" spans="1:7">
      <c r="A55" s="42">
        <v>43283</v>
      </c>
      <c r="B55" s="411" t="s">
        <v>510</v>
      </c>
      <c r="C55" s="9">
        <v>15</v>
      </c>
      <c r="D55" s="9"/>
      <c r="E55" s="9">
        <f t="shared" si="1"/>
        <v>946</v>
      </c>
      <c r="F55" s="411" t="s">
        <v>46</v>
      </c>
      <c r="G55" s="9">
        <f t="shared" si="2"/>
        <v>749</v>
      </c>
    </row>
    <row r="56" spans="1:7">
      <c r="A56" s="42">
        <v>43345</v>
      </c>
      <c r="B56" s="415" t="s">
        <v>524</v>
      </c>
      <c r="C56" s="9">
        <v>1</v>
      </c>
      <c r="D56" s="9"/>
      <c r="E56" s="9">
        <f t="shared" si="1"/>
        <v>947</v>
      </c>
      <c r="F56" s="9"/>
      <c r="G56" s="9">
        <f t="shared" si="2"/>
        <v>750</v>
      </c>
    </row>
    <row r="57" spans="1:7">
      <c r="A57" s="42">
        <v>43345</v>
      </c>
      <c r="B57" s="415" t="s">
        <v>427</v>
      </c>
      <c r="C57" s="9">
        <v>33</v>
      </c>
      <c r="D57" s="9"/>
      <c r="E57" s="9">
        <f t="shared" si="1"/>
        <v>980</v>
      </c>
      <c r="F57" s="415" t="s">
        <v>46</v>
      </c>
      <c r="G57" s="9">
        <f t="shared" si="2"/>
        <v>783</v>
      </c>
    </row>
    <row r="58" spans="1:7">
      <c r="A58" s="42">
        <v>43436</v>
      </c>
      <c r="B58" s="422" t="s">
        <v>524</v>
      </c>
      <c r="C58" s="9">
        <v>25</v>
      </c>
      <c r="D58" s="9"/>
      <c r="E58" s="9">
        <f t="shared" si="1"/>
        <v>1005</v>
      </c>
      <c r="F58" s="422" t="s">
        <v>46</v>
      </c>
      <c r="G58" s="9">
        <f t="shared" si="2"/>
        <v>808</v>
      </c>
    </row>
    <row r="59" spans="1:7">
      <c r="A59" s="640" t="s">
        <v>630</v>
      </c>
      <c r="B59" s="429" t="s">
        <v>631</v>
      </c>
      <c r="C59" s="9">
        <v>9</v>
      </c>
      <c r="D59" s="9"/>
      <c r="E59" s="9">
        <f t="shared" si="1"/>
        <v>1014</v>
      </c>
      <c r="F59" s="9"/>
      <c r="G59" s="9">
        <f t="shared" si="2"/>
        <v>817</v>
      </c>
    </row>
    <row r="60" spans="1:7">
      <c r="A60" s="640" t="s">
        <v>630</v>
      </c>
      <c r="B60" s="429" t="s">
        <v>510</v>
      </c>
      <c r="C60" s="9">
        <v>43</v>
      </c>
      <c r="D60" s="9"/>
      <c r="E60" s="9">
        <f t="shared" si="1"/>
        <v>1057</v>
      </c>
      <c r="F60" s="9"/>
      <c r="G60" s="9">
        <f t="shared" si="2"/>
        <v>860</v>
      </c>
    </row>
    <row r="61" spans="1:7">
      <c r="A61" s="430" t="s">
        <v>636</v>
      </c>
      <c r="B61" s="429" t="s">
        <v>24</v>
      </c>
      <c r="C61" s="9">
        <v>5</v>
      </c>
      <c r="D61" s="9"/>
      <c r="E61" s="9">
        <f t="shared" si="1"/>
        <v>1062</v>
      </c>
      <c r="F61" s="9"/>
      <c r="G61" s="9">
        <f t="shared" si="2"/>
        <v>865</v>
      </c>
    </row>
    <row r="62" spans="1:7">
      <c r="A62" s="640" t="s">
        <v>636</v>
      </c>
      <c r="B62" s="429" t="s">
        <v>508</v>
      </c>
      <c r="C62" s="9">
        <v>75</v>
      </c>
      <c r="D62" s="9"/>
      <c r="E62" s="9">
        <f t="shared" si="1"/>
        <v>1137</v>
      </c>
      <c r="F62" s="429" t="s">
        <v>46</v>
      </c>
      <c r="G62" s="9">
        <f t="shared" si="2"/>
        <v>940</v>
      </c>
    </row>
    <row r="63" spans="1:7">
      <c r="A63" s="125" t="s">
        <v>630</v>
      </c>
      <c r="B63" s="9" t="s">
        <v>524</v>
      </c>
      <c r="C63" s="9">
        <v>17</v>
      </c>
      <c r="D63" s="9"/>
      <c r="E63" s="9">
        <f t="shared" si="1"/>
        <v>1154</v>
      </c>
      <c r="F63" s="9"/>
      <c r="G63" s="9">
        <f t="shared" si="2"/>
        <v>957</v>
      </c>
    </row>
    <row r="64" spans="1:7">
      <c r="A64" s="125" t="s">
        <v>638</v>
      </c>
      <c r="B64" s="434" t="s">
        <v>508</v>
      </c>
      <c r="C64" s="9">
        <v>158</v>
      </c>
      <c r="D64" s="9"/>
      <c r="E64" s="9">
        <f t="shared" si="1"/>
        <v>1312</v>
      </c>
      <c r="F64" s="9"/>
      <c r="G64" s="9">
        <f t="shared" si="2"/>
        <v>1115</v>
      </c>
    </row>
    <row r="65" spans="1:7">
      <c r="A65" s="641" t="s">
        <v>638</v>
      </c>
      <c r="B65" s="434" t="s">
        <v>642</v>
      </c>
      <c r="C65" s="9"/>
      <c r="D65" s="9">
        <v>20</v>
      </c>
      <c r="E65" s="9">
        <f t="shared" si="1"/>
        <v>1292</v>
      </c>
      <c r="F65" s="434"/>
      <c r="G65" s="9">
        <f t="shared" si="2"/>
        <v>1095</v>
      </c>
    </row>
    <row r="66" spans="1:7">
      <c r="A66" s="436" t="s">
        <v>644</v>
      </c>
      <c r="B66" s="437" t="s">
        <v>616</v>
      </c>
      <c r="C66" s="9">
        <v>33</v>
      </c>
      <c r="D66" s="9"/>
      <c r="E66" s="9">
        <f t="shared" si="1"/>
        <v>1325</v>
      </c>
      <c r="F66" s="9"/>
      <c r="G66" s="9">
        <f t="shared" si="2"/>
        <v>1128</v>
      </c>
    </row>
    <row r="67" spans="1:7">
      <c r="A67" s="436" t="s">
        <v>644</v>
      </c>
      <c r="B67" s="437" t="s">
        <v>646</v>
      </c>
      <c r="C67" s="9"/>
      <c r="D67" s="9">
        <v>20</v>
      </c>
      <c r="E67" s="441">
        <f t="shared" si="1"/>
        <v>1305</v>
      </c>
      <c r="F67" s="437"/>
      <c r="G67" s="26">
        <f t="shared" si="2"/>
        <v>1108</v>
      </c>
    </row>
    <row r="68" spans="1:7">
      <c r="A68" s="443" t="s">
        <v>651</v>
      </c>
      <c r="B68" s="444" t="s">
        <v>616</v>
      </c>
      <c r="C68" s="9">
        <v>19</v>
      </c>
      <c r="D68" s="9"/>
      <c r="E68" s="441">
        <f t="shared" si="1"/>
        <v>1324</v>
      </c>
      <c r="F68" s="9"/>
      <c r="G68" s="26">
        <f t="shared" si="2"/>
        <v>1127</v>
      </c>
    </row>
    <row r="69" spans="1:7">
      <c r="A69" s="443" t="s">
        <v>651</v>
      </c>
      <c r="B69" s="444" t="s">
        <v>24</v>
      </c>
      <c r="C69" s="9">
        <v>120</v>
      </c>
      <c r="D69" s="9"/>
      <c r="E69" s="441">
        <f t="shared" si="1"/>
        <v>1444</v>
      </c>
      <c r="F69" s="9"/>
      <c r="G69" s="26">
        <f t="shared" si="2"/>
        <v>1247</v>
      </c>
    </row>
    <row r="70" spans="1:7">
      <c r="A70" s="443" t="s">
        <v>656</v>
      </c>
      <c r="B70" s="444" t="s">
        <v>658</v>
      </c>
      <c r="C70" s="9">
        <v>320</v>
      </c>
      <c r="D70" s="9"/>
      <c r="E70" s="441">
        <f t="shared" si="1"/>
        <v>1764</v>
      </c>
      <c r="F70" s="9"/>
      <c r="G70" s="26">
        <f t="shared" si="2"/>
        <v>1567</v>
      </c>
    </row>
    <row r="71" spans="1:7">
      <c r="A71" s="443" t="s">
        <v>656</v>
      </c>
      <c r="B71" s="444" t="s">
        <v>24</v>
      </c>
      <c r="C71" s="9">
        <v>38</v>
      </c>
      <c r="D71" s="9"/>
      <c r="E71" s="441">
        <f t="shared" si="1"/>
        <v>1802</v>
      </c>
      <c r="F71" s="444"/>
      <c r="G71" s="26">
        <f t="shared" si="2"/>
        <v>1605</v>
      </c>
    </row>
    <row r="72" spans="1:7">
      <c r="A72" s="454" t="s">
        <v>665</v>
      </c>
      <c r="B72" s="9" t="s">
        <v>24</v>
      </c>
      <c r="C72" s="9">
        <v>80</v>
      </c>
      <c r="D72" s="9"/>
      <c r="E72" s="441">
        <f t="shared" si="1"/>
        <v>1882</v>
      </c>
      <c r="F72" s="9"/>
      <c r="G72" s="26">
        <f t="shared" si="2"/>
        <v>1685</v>
      </c>
    </row>
    <row r="73" spans="1:7">
      <c r="A73" s="246" t="s">
        <v>665</v>
      </c>
      <c r="B73" s="26" t="s">
        <v>24</v>
      </c>
      <c r="C73" s="26">
        <v>80</v>
      </c>
      <c r="D73" s="9"/>
      <c r="E73" s="441">
        <f t="shared" si="1"/>
        <v>1962</v>
      </c>
      <c r="F73" s="26" t="s">
        <v>693</v>
      </c>
      <c r="G73" s="26">
        <f t="shared" si="2"/>
        <v>1765</v>
      </c>
    </row>
    <row r="74" spans="1:7">
      <c r="A74" s="454" t="s">
        <v>665</v>
      </c>
      <c r="B74" s="452" t="s">
        <v>17</v>
      </c>
      <c r="C74" s="9"/>
      <c r="D74" s="9">
        <v>200</v>
      </c>
      <c r="E74" s="441">
        <f t="shared" si="1"/>
        <v>1762</v>
      </c>
      <c r="F74" s="9"/>
      <c r="G74" s="26">
        <f t="shared" si="2"/>
        <v>1565</v>
      </c>
    </row>
    <row r="75" spans="1:7">
      <c r="A75" s="459" t="s">
        <v>669</v>
      </c>
      <c r="B75" s="457" t="s">
        <v>670</v>
      </c>
      <c r="C75" s="9">
        <v>250</v>
      </c>
      <c r="D75" s="9"/>
      <c r="E75" s="441">
        <f t="shared" si="1"/>
        <v>2012</v>
      </c>
      <c r="F75" s="9"/>
      <c r="G75" s="26">
        <f t="shared" si="2"/>
        <v>1815</v>
      </c>
    </row>
    <row r="76" spans="1:7">
      <c r="A76" s="459" t="s">
        <v>669</v>
      </c>
      <c r="B76" s="457" t="s">
        <v>459</v>
      </c>
      <c r="C76" s="9"/>
      <c r="D76" s="9">
        <v>150</v>
      </c>
      <c r="E76" s="441">
        <f t="shared" si="1"/>
        <v>1862</v>
      </c>
      <c r="F76" s="9"/>
      <c r="G76" s="26">
        <f t="shared" si="2"/>
        <v>1665</v>
      </c>
    </row>
    <row r="77" spans="1:7">
      <c r="A77" s="459" t="s">
        <v>669</v>
      </c>
      <c r="B77" s="457" t="s">
        <v>560</v>
      </c>
      <c r="C77" s="9"/>
      <c r="D77" s="9">
        <v>30</v>
      </c>
      <c r="E77" s="441">
        <f t="shared" si="1"/>
        <v>1832</v>
      </c>
      <c r="F77" s="9"/>
      <c r="G77" s="26">
        <f t="shared" si="2"/>
        <v>1635</v>
      </c>
    </row>
    <row r="78" spans="1:7">
      <c r="A78" s="459" t="s">
        <v>669</v>
      </c>
      <c r="B78" s="457" t="s">
        <v>548</v>
      </c>
      <c r="C78" s="9"/>
      <c r="D78" s="9">
        <v>30</v>
      </c>
      <c r="E78" s="441">
        <f t="shared" si="1"/>
        <v>1802</v>
      </c>
      <c r="F78" s="457"/>
      <c r="G78" s="26">
        <f t="shared" si="2"/>
        <v>1605</v>
      </c>
    </row>
    <row r="79" spans="1:7">
      <c r="A79" s="463" t="s">
        <v>677</v>
      </c>
      <c r="B79" s="462" t="s">
        <v>680</v>
      </c>
      <c r="C79" s="9">
        <v>15</v>
      </c>
      <c r="D79" s="9"/>
      <c r="E79" s="441">
        <f t="shared" si="1"/>
        <v>1817</v>
      </c>
      <c r="F79" s="9"/>
      <c r="G79" s="26">
        <f t="shared" si="2"/>
        <v>1620</v>
      </c>
    </row>
    <row r="80" spans="1:7">
      <c r="A80" s="463" t="s">
        <v>677</v>
      </c>
      <c r="B80" s="462" t="s">
        <v>684</v>
      </c>
      <c r="C80" s="9"/>
      <c r="D80" s="9">
        <v>100</v>
      </c>
      <c r="E80" s="441">
        <f t="shared" si="1"/>
        <v>1717</v>
      </c>
      <c r="F80" s="462"/>
      <c r="G80" s="26">
        <f t="shared" si="2"/>
        <v>1520</v>
      </c>
    </row>
    <row r="81" spans="1:7">
      <c r="A81" s="469" t="s">
        <v>687</v>
      </c>
      <c r="B81" s="467" t="s">
        <v>24</v>
      </c>
      <c r="C81" s="9">
        <v>60</v>
      </c>
      <c r="D81" s="9"/>
      <c r="E81" s="441">
        <f t="shared" si="1"/>
        <v>1777</v>
      </c>
      <c r="F81" s="9"/>
      <c r="G81" s="26">
        <f t="shared" si="2"/>
        <v>1580</v>
      </c>
    </row>
    <row r="82" spans="1:7">
      <c r="A82" s="469" t="s">
        <v>687</v>
      </c>
      <c r="B82" s="467" t="s">
        <v>689</v>
      </c>
      <c r="C82" s="9"/>
      <c r="D82" s="9">
        <v>30</v>
      </c>
      <c r="E82" s="441">
        <f t="shared" si="1"/>
        <v>1747</v>
      </c>
      <c r="F82" s="9"/>
      <c r="G82" s="26">
        <f t="shared" si="2"/>
        <v>1550</v>
      </c>
    </row>
    <row r="83" spans="1:7">
      <c r="A83" s="469" t="s">
        <v>687</v>
      </c>
      <c r="B83" s="467" t="s">
        <v>690</v>
      </c>
      <c r="C83" s="9"/>
      <c r="D83" s="9">
        <v>20</v>
      </c>
      <c r="E83" s="441">
        <f>E82+C83-D83</f>
        <v>1727</v>
      </c>
      <c r="F83" s="467"/>
      <c r="G83" s="26">
        <f t="shared" si="2"/>
        <v>1530</v>
      </c>
    </row>
    <row r="84" spans="1:7">
      <c r="A84" s="473" t="s">
        <v>694</v>
      </c>
      <c r="B84" s="472" t="s">
        <v>24</v>
      </c>
      <c r="C84" s="9">
        <v>6</v>
      </c>
      <c r="D84" s="9"/>
      <c r="E84" s="441">
        <f>E83+C84-D84</f>
        <v>1733</v>
      </c>
      <c r="F84" s="472"/>
      <c r="G84" s="26">
        <f t="shared" si="2"/>
        <v>1536</v>
      </c>
    </row>
    <row r="85" spans="1:7">
      <c r="A85" s="125" t="s">
        <v>703</v>
      </c>
      <c r="B85" s="9" t="s">
        <v>589</v>
      </c>
      <c r="C85" s="9"/>
      <c r="D85" s="9">
        <v>20</v>
      </c>
      <c r="E85" s="441">
        <f>E84+C85-D85</f>
        <v>1713</v>
      </c>
      <c r="F85" s="479" t="s">
        <v>46</v>
      </c>
      <c r="G85" s="26">
        <f t="shared" si="2"/>
        <v>1516</v>
      </c>
    </row>
    <row r="86" spans="1:7">
      <c r="A86" s="319">
        <v>43103</v>
      </c>
      <c r="B86" s="7" t="s">
        <v>15</v>
      </c>
      <c r="C86" s="9">
        <v>50</v>
      </c>
      <c r="D86" s="9"/>
      <c r="E86" s="441">
        <f t="shared" ref="E86:E119" si="3">E85+C86-D86</f>
        <v>1763</v>
      </c>
      <c r="F86" s="9"/>
      <c r="G86" s="26">
        <f t="shared" si="2"/>
        <v>1566</v>
      </c>
    </row>
    <row r="87" spans="1:7">
      <c r="A87" s="483">
        <v>43134</v>
      </c>
      <c r="B87" s="482" t="s">
        <v>672</v>
      </c>
      <c r="C87" s="9"/>
      <c r="D87" s="9">
        <v>20</v>
      </c>
      <c r="E87" s="441">
        <f t="shared" si="3"/>
        <v>1743</v>
      </c>
      <c r="F87" s="9"/>
      <c r="G87" s="26">
        <f t="shared" si="2"/>
        <v>1546</v>
      </c>
    </row>
    <row r="88" spans="1:7" ht="15">
      <c r="A88" s="653">
        <v>43134</v>
      </c>
      <c r="B88" s="158" t="s">
        <v>17</v>
      </c>
      <c r="C88" s="9"/>
      <c r="D88" s="9">
        <v>150</v>
      </c>
      <c r="E88" s="441">
        <f t="shared" si="3"/>
        <v>1593</v>
      </c>
      <c r="F88" s="482" t="s">
        <v>46</v>
      </c>
      <c r="G88" s="26">
        <f t="shared" si="2"/>
        <v>1396</v>
      </c>
    </row>
    <row r="89" spans="1:7">
      <c r="A89" s="42">
        <v>43162</v>
      </c>
      <c r="B89" s="487" t="s">
        <v>15</v>
      </c>
      <c r="C89" s="9">
        <v>238</v>
      </c>
      <c r="D89" s="9"/>
      <c r="E89" s="441">
        <f t="shared" si="3"/>
        <v>1831</v>
      </c>
      <c r="F89" s="487" t="s">
        <v>46</v>
      </c>
      <c r="G89" s="26">
        <f t="shared" si="2"/>
        <v>1634</v>
      </c>
    </row>
    <row r="90" spans="1:7">
      <c r="A90" s="489">
        <v>43223</v>
      </c>
      <c r="B90" s="492" t="s">
        <v>524</v>
      </c>
      <c r="C90" s="9">
        <v>33</v>
      </c>
      <c r="D90" s="9"/>
      <c r="E90" s="441">
        <f t="shared" si="3"/>
        <v>1864</v>
      </c>
      <c r="F90" s="9"/>
      <c r="G90" s="26">
        <f t="shared" si="2"/>
        <v>1667</v>
      </c>
    </row>
    <row r="91" spans="1:7">
      <c r="A91" s="42">
        <v>43223</v>
      </c>
      <c r="B91" s="492" t="s">
        <v>510</v>
      </c>
      <c r="C91" s="9">
        <v>14</v>
      </c>
      <c r="D91" s="9"/>
      <c r="E91" s="441">
        <f t="shared" si="3"/>
        <v>1878</v>
      </c>
      <c r="F91" s="9"/>
      <c r="G91" s="26">
        <f t="shared" si="2"/>
        <v>1681</v>
      </c>
    </row>
    <row r="92" spans="1:7">
      <c r="A92" s="42">
        <v>43223</v>
      </c>
      <c r="B92" s="492" t="s">
        <v>708</v>
      </c>
      <c r="C92" s="9">
        <v>100</v>
      </c>
      <c r="D92" s="9"/>
      <c r="E92" s="441">
        <f t="shared" si="3"/>
        <v>1978</v>
      </c>
      <c r="F92" s="9"/>
      <c r="G92" s="26">
        <f t="shared" si="2"/>
        <v>1781</v>
      </c>
    </row>
    <row r="93" spans="1:7">
      <c r="A93" s="42">
        <v>43254</v>
      </c>
      <c r="B93" s="492" t="s">
        <v>708</v>
      </c>
      <c r="C93" s="9">
        <v>130</v>
      </c>
      <c r="D93" s="9"/>
      <c r="E93" s="441">
        <f t="shared" si="3"/>
        <v>2108</v>
      </c>
      <c r="F93" s="492" t="s">
        <v>46</v>
      </c>
      <c r="G93" s="26">
        <f t="shared" si="2"/>
        <v>1911</v>
      </c>
    </row>
    <row r="94" spans="1:7">
      <c r="A94" s="42">
        <v>43286</v>
      </c>
      <c r="B94" s="9" t="s">
        <v>552</v>
      </c>
      <c r="C94" s="9">
        <v>27</v>
      </c>
      <c r="D94" s="9"/>
      <c r="E94" s="441">
        <f t="shared" si="3"/>
        <v>2135</v>
      </c>
      <c r="F94" s="9"/>
      <c r="G94" s="26">
        <f t="shared" si="2"/>
        <v>1938</v>
      </c>
    </row>
    <row r="95" spans="1:7">
      <c r="A95" s="42">
        <v>43284</v>
      </c>
      <c r="B95" s="9" t="s">
        <v>708</v>
      </c>
      <c r="C95" s="9">
        <v>60</v>
      </c>
      <c r="D95" s="9"/>
      <c r="E95" s="441">
        <f t="shared" si="3"/>
        <v>2195</v>
      </c>
      <c r="F95" s="9" t="s">
        <v>46</v>
      </c>
      <c r="G95" s="26">
        <f t="shared" si="2"/>
        <v>1998</v>
      </c>
    </row>
    <row r="96" spans="1:7">
      <c r="A96" s="42">
        <v>43315</v>
      </c>
      <c r="B96" s="497" t="s">
        <v>720</v>
      </c>
      <c r="C96" s="9">
        <v>6</v>
      </c>
      <c r="D96" s="9"/>
      <c r="E96" s="441">
        <f t="shared" si="3"/>
        <v>2201</v>
      </c>
      <c r="F96" s="9"/>
      <c r="G96" s="26">
        <f t="shared" si="2"/>
        <v>2004</v>
      </c>
    </row>
    <row r="97" spans="1:8">
      <c r="A97" s="42">
        <v>43315</v>
      </c>
      <c r="B97" s="497" t="s">
        <v>524</v>
      </c>
      <c r="C97" s="9">
        <v>38</v>
      </c>
      <c r="D97" s="9"/>
      <c r="E97" s="441">
        <f t="shared" si="3"/>
        <v>2239</v>
      </c>
      <c r="F97" s="9"/>
      <c r="G97" s="26">
        <f t="shared" si="2"/>
        <v>2042</v>
      </c>
    </row>
    <row r="98" spans="1:8">
      <c r="A98" s="42">
        <v>43315</v>
      </c>
      <c r="B98" s="497" t="s">
        <v>462</v>
      </c>
      <c r="C98" s="9">
        <v>29</v>
      </c>
      <c r="D98" s="9"/>
      <c r="E98" s="441">
        <f t="shared" si="3"/>
        <v>2268</v>
      </c>
      <c r="F98" s="9"/>
      <c r="G98" s="26">
        <f t="shared" si="2"/>
        <v>2071</v>
      </c>
    </row>
    <row r="99" spans="1:8">
      <c r="A99" s="42">
        <v>43346</v>
      </c>
      <c r="B99" s="497" t="s">
        <v>24</v>
      </c>
      <c r="C99" s="9">
        <v>109</v>
      </c>
      <c r="D99" s="9"/>
      <c r="E99" s="441">
        <f t="shared" si="3"/>
        <v>2377</v>
      </c>
      <c r="F99" s="9"/>
      <c r="G99" s="26">
        <f t="shared" si="2"/>
        <v>2180</v>
      </c>
    </row>
    <row r="100" spans="1:8">
      <c r="A100" s="42">
        <v>43376</v>
      </c>
      <c r="B100" s="498" t="s">
        <v>524</v>
      </c>
      <c r="C100" s="9">
        <v>38</v>
      </c>
      <c r="D100" s="9"/>
      <c r="E100" s="441">
        <f t="shared" si="3"/>
        <v>2415</v>
      </c>
      <c r="F100" s="9"/>
      <c r="G100" s="26">
        <f t="shared" si="2"/>
        <v>2218</v>
      </c>
    </row>
    <row r="101" spans="1:8">
      <c r="A101" s="42">
        <v>43376</v>
      </c>
      <c r="B101" s="498" t="s">
        <v>708</v>
      </c>
      <c r="C101" s="9">
        <v>100</v>
      </c>
      <c r="D101" s="9"/>
      <c r="E101" s="441">
        <f t="shared" si="3"/>
        <v>2515</v>
      </c>
      <c r="F101" s="9"/>
      <c r="G101" s="26">
        <f t="shared" si="2"/>
        <v>2318</v>
      </c>
    </row>
    <row r="102" spans="1:8">
      <c r="A102" s="42">
        <v>43376</v>
      </c>
      <c r="B102" s="498" t="s">
        <v>459</v>
      </c>
      <c r="C102" s="9"/>
      <c r="D102" s="9">
        <v>50</v>
      </c>
      <c r="E102" s="441">
        <f t="shared" si="3"/>
        <v>2465</v>
      </c>
      <c r="F102" s="498"/>
      <c r="G102" s="26">
        <f t="shared" si="2"/>
        <v>2268</v>
      </c>
    </row>
    <row r="103" spans="1:8">
      <c r="A103" s="42">
        <v>43437</v>
      </c>
      <c r="B103" s="502" t="s">
        <v>8</v>
      </c>
      <c r="C103" s="9">
        <v>35</v>
      </c>
      <c r="D103" s="9"/>
      <c r="E103" s="441">
        <f t="shared" si="3"/>
        <v>2500</v>
      </c>
      <c r="F103" s="9"/>
      <c r="G103" s="26">
        <f t="shared" si="2"/>
        <v>2303</v>
      </c>
    </row>
    <row r="104" spans="1:8">
      <c r="A104" s="504" t="s">
        <v>728</v>
      </c>
      <c r="B104" s="502" t="s">
        <v>524</v>
      </c>
      <c r="C104" s="24">
        <v>22</v>
      </c>
      <c r="D104" s="9"/>
      <c r="E104" s="441">
        <f t="shared" si="3"/>
        <v>2522</v>
      </c>
      <c r="F104" s="502" t="s">
        <v>46</v>
      </c>
      <c r="G104" s="26">
        <f t="shared" si="2"/>
        <v>2325</v>
      </c>
      <c r="H104" s="506"/>
    </row>
    <row r="105" spans="1:8">
      <c r="A105" s="125" t="s">
        <v>731</v>
      </c>
      <c r="B105" s="9" t="s">
        <v>524</v>
      </c>
      <c r="C105" s="9">
        <v>14</v>
      </c>
      <c r="D105" s="9"/>
      <c r="E105" s="441">
        <f t="shared" si="3"/>
        <v>2536</v>
      </c>
      <c r="F105" s="9"/>
      <c r="G105" s="26">
        <f t="shared" si="2"/>
        <v>2339</v>
      </c>
    </row>
    <row r="106" spans="1:8">
      <c r="A106" s="125" t="s">
        <v>731</v>
      </c>
      <c r="B106" s="9" t="s">
        <v>510</v>
      </c>
      <c r="C106" s="9">
        <v>6</v>
      </c>
      <c r="D106" s="9"/>
      <c r="E106" s="441">
        <f t="shared" si="3"/>
        <v>2542</v>
      </c>
      <c r="F106" s="9"/>
      <c r="G106" s="26">
        <f t="shared" ref="G106:G170" si="4">G105+C106-D106</f>
        <v>2345</v>
      </c>
    </row>
    <row r="107" spans="1:8">
      <c r="A107" s="125" t="s">
        <v>731</v>
      </c>
      <c r="B107" s="9" t="s">
        <v>720</v>
      </c>
      <c r="C107" s="9">
        <v>20</v>
      </c>
      <c r="D107" s="9"/>
      <c r="E107" s="441">
        <f t="shared" si="3"/>
        <v>2562</v>
      </c>
      <c r="F107" s="9"/>
      <c r="G107" s="26">
        <f t="shared" si="4"/>
        <v>2365</v>
      </c>
    </row>
    <row r="108" spans="1:8">
      <c r="A108" s="125" t="s">
        <v>731</v>
      </c>
      <c r="B108" s="9" t="s">
        <v>459</v>
      </c>
      <c r="C108" s="9"/>
      <c r="D108" s="9">
        <v>50</v>
      </c>
      <c r="E108" s="441">
        <f t="shared" si="3"/>
        <v>2512</v>
      </c>
      <c r="F108" s="9"/>
      <c r="G108" s="26">
        <f t="shared" si="4"/>
        <v>2315</v>
      </c>
    </row>
    <row r="109" spans="1:8">
      <c r="A109" s="174" t="s">
        <v>732</v>
      </c>
      <c r="B109" s="24" t="s">
        <v>24</v>
      </c>
      <c r="C109" s="9">
        <v>36</v>
      </c>
      <c r="D109" s="9"/>
      <c r="E109" s="441">
        <f t="shared" si="3"/>
        <v>2548</v>
      </c>
      <c r="F109" s="9"/>
      <c r="G109" s="26">
        <f t="shared" si="4"/>
        <v>2351</v>
      </c>
    </row>
    <row r="110" spans="1:8">
      <c r="A110" s="125" t="s">
        <v>732</v>
      </c>
      <c r="B110" s="9" t="s">
        <v>720</v>
      </c>
      <c r="C110" s="9">
        <v>16</v>
      </c>
      <c r="D110" s="9"/>
      <c r="E110" s="441">
        <f t="shared" si="3"/>
        <v>2564</v>
      </c>
      <c r="F110" s="9"/>
      <c r="G110" s="26">
        <f t="shared" si="4"/>
        <v>2367</v>
      </c>
    </row>
    <row r="111" spans="1:8">
      <c r="A111" s="507" t="s">
        <v>732</v>
      </c>
      <c r="B111" s="508" t="s">
        <v>734</v>
      </c>
      <c r="C111" s="9"/>
      <c r="D111" s="9">
        <v>50</v>
      </c>
      <c r="E111" s="441">
        <f t="shared" si="3"/>
        <v>2514</v>
      </c>
      <c r="F111" s="9"/>
      <c r="G111" s="26">
        <f t="shared" si="4"/>
        <v>2317</v>
      </c>
    </row>
    <row r="112" spans="1:8">
      <c r="A112" s="507" t="s">
        <v>732</v>
      </c>
      <c r="B112" s="508" t="s">
        <v>679</v>
      </c>
      <c r="C112" s="9"/>
      <c r="D112" s="9">
        <v>40</v>
      </c>
      <c r="E112" s="441">
        <f t="shared" si="3"/>
        <v>2474</v>
      </c>
      <c r="F112" s="508" t="s">
        <v>46</v>
      </c>
      <c r="G112" s="26">
        <f t="shared" si="4"/>
        <v>2277</v>
      </c>
    </row>
    <row r="113" spans="1:7">
      <c r="A113" s="512" t="s">
        <v>735</v>
      </c>
      <c r="B113" s="513" t="s">
        <v>24</v>
      </c>
      <c r="C113" s="9">
        <v>28</v>
      </c>
      <c r="D113" s="9"/>
      <c r="E113" s="441">
        <f t="shared" si="3"/>
        <v>2502</v>
      </c>
      <c r="F113" s="9"/>
      <c r="G113" s="26">
        <f t="shared" si="4"/>
        <v>2305</v>
      </c>
    </row>
    <row r="114" spans="1:7">
      <c r="A114" s="125" t="s">
        <v>735</v>
      </c>
      <c r="B114" s="9" t="s">
        <v>524</v>
      </c>
      <c r="C114" s="9">
        <v>22</v>
      </c>
      <c r="D114" s="9"/>
      <c r="E114" s="441">
        <f t="shared" si="3"/>
        <v>2524</v>
      </c>
      <c r="F114" s="9"/>
      <c r="G114" s="26">
        <f t="shared" si="4"/>
        <v>2327</v>
      </c>
    </row>
    <row r="115" spans="1:7">
      <c r="A115" s="125" t="s">
        <v>735</v>
      </c>
      <c r="B115" s="9" t="s">
        <v>708</v>
      </c>
      <c r="C115" s="9">
        <v>38</v>
      </c>
      <c r="D115" s="9"/>
      <c r="E115" s="441">
        <f t="shared" si="3"/>
        <v>2562</v>
      </c>
      <c r="F115" s="9"/>
      <c r="G115" s="26">
        <f t="shared" si="4"/>
        <v>2365</v>
      </c>
    </row>
    <row r="116" spans="1:7">
      <c r="A116" s="125" t="s">
        <v>735</v>
      </c>
      <c r="B116" s="9" t="s">
        <v>736</v>
      </c>
      <c r="C116" s="9"/>
      <c r="D116" s="9">
        <v>70</v>
      </c>
      <c r="E116" s="441">
        <f t="shared" si="3"/>
        <v>2492</v>
      </c>
      <c r="F116" s="513" t="s">
        <v>46</v>
      </c>
      <c r="G116" s="26">
        <f t="shared" si="4"/>
        <v>2295</v>
      </c>
    </row>
    <row r="117" spans="1:7">
      <c r="A117" s="522" t="s">
        <v>743</v>
      </c>
      <c r="B117" s="521" t="s">
        <v>24</v>
      </c>
      <c r="C117" s="9">
        <v>64</v>
      </c>
      <c r="D117" s="9"/>
      <c r="E117" s="441">
        <f t="shared" si="3"/>
        <v>2556</v>
      </c>
      <c r="F117" s="9"/>
      <c r="G117" s="26">
        <f t="shared" si="4"/>
        <v>2359</v>
      </c>
    </row>
    <row r="118" spans="1:7">
      <c r="A118" s="522" t="s">
        <v>743</v>
      </c>
      <c r="B118" s="521" t="s">
        <v>8</v>
      </c>
      <c r="C118" s="9">
        <v>42</v>
      </c>
      <c r="D118" s="9"/>
      <c r="E118" s="441">
        <f t="shared" si="3"/>
        <v>2598</v>
      </c>
      <c r="F118" s="521" t="s">
        <v>46</v>
      </c>
      <c r="G118" s="26">
        <f t="shared" si="4"/>
        <v>2401</v>
      </c>
    </row>
    <row r="119" spans="1:7">
      <c r="A119" s="125" t="s">
        <v>744</v>
      </c>
      <c r="B119" s="9" t="s">
        <v>24</v>
      </c>
      <c r="C119" s="9">
        <v>14</v>
      </c>
      <c r="D119" s="9"/>
      <c r="E119" s="441">
        <f t="shared" si="3"/>
        <v>2612</v>
      </c>
      <c r="F119" s="9"/>
      <c r="G119" s="26">
        <f t="shared" si="4"/>
        <v>2415</v>
      </c>
    </row>
    <row r="120" spans="1:7">
      <c r="A120" s="125" t="s">
        <v>744</v>
      </c>
      <c r="B120" s="482" t="s">
        <v>672</v>
      </c>
      <c r="C120" s="9">
        <v>7</v>
      </c>
      <c r="D120" s="9"/>
      <c r="E120" s="441">
        <f>E119+C120-D120</f>
        <v>2619</v>
      </c>
      <c r="F120" s="528" t="s">
        <v>46</v>
      </c>
      <c r="G120" s="26">
        <f t="shared" si="4"/>
        <v>2422</v>
      </c>
    </row>
    <row r="121" spans="1:7">
      <c r="A121" s="527" t="s">
        <v>744</v>
      </c>
      <c r="B121" s="528" t="s">
        <v>679</v>
      </c>
      <c r="C121" s="9">
        <v>51</v>
      </c>
      <c r="D121" s="9"/>
      <c r="E121" s="441">
        <f t="shared" ref="E121:E124" si="5">E120+C121-D121</f>
        <v>2670</v>
      </c>
      <c r="F121" s="9"/>
      <c r="G121" s="26">
        <f t="shared" si="4"/>
        <v>2473</v>
      </c>
    </row>
    <row r="122" spans="1:7">
      <c r="A122" s="527" t="s">
        <v>747</v>
      </c>
      <c r="B122" s="528" t="s">
        <v>524</v>
      </c>
      <c r="C122" s="9">
        <v>10</v>
      </c>
      <c r="D122" s="9"/>
      <c r="E122" s="441">
        <f t="shared" si="5"/>
        <v>2680</v>
      </c>
      <c r="F122" s="9"/>
      <c r="G122" s="26">
        <f t="shared" si="4"/>
        <v>2483</v>
      </c>
    </row>
    <row r="123" spans="1:7">
      <c r="A123" s="527" t="s">
        <v>747</v>
      </c>
      <c r="B123" s="528" t="s">
        <v>679</v>
      </c>
      <c r="C123" s="9">
        <v>56</v>
      </c>
      <c r="D123" s="9"/>
      <c r="E123" s="441">
        <f t="shared" si="5"/>
        <v>2736</v>
      </c>
      <c r="F123" s="9"/>
      <c r="G123" s="26">
        <f t="shared" si="4"/>
        <v>2539</v>
      </c>
    </row>
    <row r="124" spans="1:7">
      <c r="A124" s="527" t="s">
        <v>747</v>
      </c>
      <c r="B124" s="528" t="s">
        <v>604</v>
      </c>
      <c r="C124" s="9">
        <v>50</v>
      </c>
      <c r="D124" s="9"/>
      <c r="E124" s="441">
        <f t="shared" si="5"/>
        <v>2786</v>
      </c>
      <c r="F124" s="9"/>
      <c r="G124" s="26">
        <f t="shared" si="4"/>
        <v>2589</v>
      </c>
    </row>
    <row r="125" spans="1:7">
      <c r="A125" s="527" t="s">
        <v>747</v>
      </c>
      <c r="B125" s="528" t="s">
        <v>589</v>
      </c>
      <c r="C125" s="9"/>
      <c r="D125" s="9">
        <v>30</v>
      </c>
      <c r="E125" s="441">
        <f>E124+C125-D125</f>
        <v>2756</v>
      </c>
      <c r="F125" s="528" t="s">
        <v>46</v>
      </c>
      <c r="G125" s="26">
        <f t="shared" si="4"/>
        <v>2559</v>
      </c>
    </row>
    <row r="126" spans="1:7">
      <c r="A126" s="534" t="s">
        <v>750</v>
      </c>
      <c r="B126" s="533" t="s">
        <v>24</v>
      </c>
      <c r="C126" s="9">
        <v>48</v>
      </c>
      <c r="D126" s="9"/>
      <c r="E126" s="441">
        <f t="shared" ref="E126:E189" si="6">E125+C126-D126</f>
        <v>2804</v>
      </c>
      <c r="F126" s="528"/>
      <c r="G126" s="26">
        <f t="shared" si="4"/>
        <v>2607</v>
      </c>
    </row>
    <row r="127" spans="1:7">
      <c r="A127" s="125" t="s">
        <v>750</v>
      </c>
      <c r="B127" s="9" t="s">
        <v>679</v>
      </c>
      <c r="C127" s="9">
        <v>1</v>
      </c>
      <c r="D127" s="9"/>
      <c r="E127" s="441">
        <f t="shared" si="6"/>
        <v>2805</v>
      </c>
      <c r="F127" s="528"/>
      <c r="G127" s="26">
        <f t="shared" si="4"/>
        <v>2608</v>
      </c>
    </row>
    <row r="128" spans="1:7">
      <c r="A128" s="125" t="s">
        <v>750</v>
      </c>
      <c r="B128" s="9" t="s">
        <v>679</v>
      </c>
      <c r="C128" s="9">
        <v>2</v>
      </c>
      <c r="D128" s="9"/>
      <c r="E128" s="441">
        <f t="shared" si="6"/>
        <v>2807</v>
      </c>
      <c r="F128" s="528"/>
      <c r="G128" s="26">
        <f t="shared" si="4"/>
        <v>2610</v>
      </c>
    </row>
    <row r="129" spans="1:7">
      <c r="A129" s="534" t="s">
        <v>750</v>
      </c>
      <c r="B129" s="533" t="s">
        <v>752</v>
      </c>
      <c r="C129" s="9"/>
      <c r="D129" s="9">
        <v>50</v>
      </c>
      <c r="E129" s="441">
        <f t="shared" si="6"/>
        <v>2757</v>
      </c>
      <c r="F129" s="533" t="s">
        <v>46</v>
      </c>
      <c r="G129" s="26">
        <f t="shared" si="4"/>
        <v>2560</v>
      </c>
    </row>
    <row r="130" spans="1:7">
      <c r="A130" s="539" t="s">
        <v>755</v>
      </c>
      <c r="B130" s="538" t="s">
        <v>459</v>
      </c>
      <c r="C130" s="9">
        <v>227</v>
      </c>
      <c r="D130" s="9"/>
      <c r="E130" s="441">
        <f t="shared" si="6"/>
        <v>2984</v>
      </c>
      <c r="F130" s="528"/>
      <c r="G130" s="26">
        <f t="shared" si="4"/>
        <v>2787</v>
      </c>
    </row>
    <row r="131" spans="1:7">
      <c r="A131" s="539" t="s">
        <v>755</v>
      </c>
      <c r="B131" s="538" t="s">
        <v>641</v>
      </c>
      <c r="C131" s="9">
        <v>5</v>
      </c>
      <c r="D131" s="9"/>
      <c r="E131" s="441">
        <f t="shared" si="6"/>
        <v>2989</v>
      </c>
      <c r="F131" s="528"/>
      <c r="G131" s="26">
        <f t="shared" si="4"/>
        <v>2792</v>
      </c>
    </row>
    <row r="132" spans="1:7">
      <c r="A132" s="539" t="s">
        <v>755</v>
      </c>
      <c r="B132" s="538" t="s">
        <v>24</v>
      </c>
      <c r="C132" s="9">
        <v>55</v>
      </c>
      <c r="D132" s="9"/>
      <c r="E132" s="441">
        <f t="shared" si="6"/>
        <v>3044</v>
      </c>
      <c r="F132" s="528"/>
      <c r="G132" s="26">
        <f t="shared" si="4"/>
        <v>2847</v>
      </c>
    </row>
    <row r="133" spans="1:7">
      <c r="A133" s="539" t="s">
        <v>757</v>
      </c>
      <c r="B133" s="538" t="s">
        <v>24</v>
      </c>
      <c r="C133" s="9">
        <v>117</v>
      </c>
      <c r="D133" s="9"/>
      <c r="E133" s="441">
        <f t="shared" si="6"/>
        <v>3161</v>
      </c>
      <c r="F133" s="528"/>
      <c r="G133" s="26">
        <f t="shared" si="4"/>
        <v>2964</v>
      </c>
    </row>
    <row r="134" spans="1:7">
      <c r="A134" s="539" t="s">
        <v>757</v>
      </c>
      <c r="B134" s="538" t="s">
        <v>459</v>
      </c>
      <c r="C134" s="9">
        <v>127</v>
      </c>
      <c r="D134" s="9"/>
      <c r="E134" s="441">
        <f t="shared" si="6"/>
        <v>3288</v>
      </c>
      <c r="F134" s="528"/>
      <c r="G134" s="26">
        <f t="shared" si="4"/>
        <v>3091</v>
      </c>
    </row>
    <row r="135" spans="1:7">
      <c r="A135" s="539" t="s">
        <v>757</v>
      </c>
      <c r="B135" s="538" t="s">
        <v>760</v>
      </c>
      <c r="C135" s="9"/>
      <c r="D135" s="9">
        <v>50</v>
      </c>
      <c r="E135" s="441">
        <f t="shared" si="6"/>
        <v>3238</v>
      </c>
      <c r="F135" s="538" t="s">
        <v>46</v>
      </c>
      <c r="G135" s="26">
        <f t="shared" si="4"/>
        <v>3041</v>
      </c>
    </row>
    <row r="136" spans="1:7">
      <c r="A136" s="543" t="s">
        <v>761</v>
      </c>
      <c r="B136" s="542" t="s">
        <v>641</v>
      </c>
      <c r="C136" s="9">
        <v>17</v>
      </c>
      <c r="D136" s="9"/>
      <c r="E136" s="441">
        <f t="shared" si="6"/>
        <v>3255</v>
      </c>
      <c r="F136" s="528"/>
      <c r="G136" s="26">
        <f t="shared" si="4"/>
        <v>3058</v>
      </c>
    </row>
    <row r="137" spans="1:7">
      <c r="A137" s="543" t="s">
        <v>761</v>
      </c>
      <c r="B137" s="542" t="s">
        <v>762</v>
      </c>
      <c r="C137" s="9">
        <v>2</v>
      </c>
      <c r="D137" s="9"/>
      <c r="E137" s="441">
        <f t="shared" si="6"/>
        <v>3257</v>
      </c>
      <c r="F137" s="528"/>
      <c r="G137" s="26">
        <f t="shared" si="4"/>
        <v>3060</v>
      </c>
    </row>
    <row r="138" spans="1:7">
      <c r="A138" s="543" t="s">
        <v>761</v>
      </c>
      <c r="B138" s="542" t="s">
        <v>604</v>
      </c>
      <c r="C138" s="9">
        <v>6</v>
      </c>
      <c r="D138" s="9"/>
      <c r="E138" s="441">
        <f t="shared" si="6"/>
        <v>3263</v>
      </c>
      <c r="F138" s="528"/>
      <c r="G138" s="26">
        <f t="shared" si="4"/>
        <v>3066</v>
      </c>
    </row>
    <row r="139" spans="1:7">
      <c r="A139" s="645" t="s">
        <v>761</v>
      </c>
      <c r="B139" s="544" t="s">
        <v>459</v>
      </c>
      <c r="C139" s="9">
        <v>3</v>
      </c>
      <c r="D139" s="9"/>
      <c r="E139" s="441">
        <f t="shared" si="6"/>
        <v>3266</v>
      </c>
      <c r="F139" s="9"/>
      <c r="G139" s="26">
        <f t="shared" si="4"/>
        <v>3069</v>
      </c>
    </row>
    <row r="140" spans="1:7">
      <c r="A140" s="543" t="s">
        <v>764</v>
      </c>
      <c r="B140" s="542" t="s">
        <v>524</v>
      </c>
      <c r="C140" s="9">
        <v>11</v>
      </c>
      <c r="D140" s="9"/>
      <c r="E140" s="441">
        <f t="shared" si="6"/>
        <v>3277</v>
      </c>
      <c r="F140" s="9"/>
      <c r="G140" s="26">
        <f t="shared" si="4"/>
        <v>3080</v>
      </c>
    </row>
    <row r="141" spans="1:7">
      <c r="A141" s="543" t="s">
        <v>764</v>
      </c>
      <c r="B141" s="542" t="s">
        <v>766</v>
      </c>
      <c r="C141" s="9"/>
      <c r="D141" s="9">
        <v>100</v>
      </c>
      <c r="E141" s="441">
        <f t="shared" si="6"/>
        <v>3177</v>
      </c>
      <c r="F141" s="542"/>
      <c r="G141" s="26">
        <f t="shared" si="4"/>
        <v>2980</v>
      </c>
    </row>
    <row r="142" spans="1:7">
      <c r="A142" s="125" t="s">
        <v>767</v>
      </c>
      <c r="B142" s="9" t="s">
        <v>672</v>
      </c>
      <c r="C142" s="9">
        <v>1</v>
      </c>
      <c r="D142" s="9"/>
      <c r="E142" s="441">
        <f t="shared" si="6"/>
        <v>3178</v>
      </c>
      <c r="F142" s="9"/>
      <c r="G142" s="26">
        <f t="shared" si="4"/>
        <v>2981</v>
      </c>
    </row>
    <row r="143" spans="1:7">
      <c r="A143" s="125" t="s">
        <v>768</v>
      </c>
      <c r="B143" s="9" t="s">
        <v>770</v>
      </c>
      <c r="C143" s="9"/>
      <c r="D143" s="9">
        <v>80</v>
      </c>
      <c r="E143" s="441">
        <f t="shared" si="6"/>
        <v>3098</v>
      </c>
      <c r="F143" s="9" t="s">
        <v>46</v>
      </c>
      <c r="G143" s="26">
        <f t="shared" si="4"/>
        <v>2901</v>
      </c>
    </row>
    <row r="144" spans="1:7">
      <c r="A144" s="42">
        <v>43135</v>
      </c>
      <c r="B144" s="548" t="s">
        <v>8</v>
      </c>
      <c r="C144" s="9">
        <v>31</v>
      </c>
      <c r="D144" s="9"/>
      <c r="E144" s="441">
        <f t="shared" si="6"/>
        <v>3129</v>
      </c>
      <c r="F144" s="9"/>
      <c r="G144" s="26">
        <f t="shared" si="4"/>
        <v>2932</v>
      </c>
    </row>
    <row r="145" spans="1:7">
      <c r="A145" s="172">
        <v>43135</v>
      </c>
      <c r="B145" s="549" t="s">
        <v>773</v>
      </c>
      <c r="C145" s="9"/>
      <c r="D145" s="9">
        <v>12</v>
      </c>
      <c r="E145" s="441">
        <f t="shared" si="6"/>
        <v>3117</v>
      </c>
      <c r="F145" s="548" t="s">
        <v>46</v>
      </c>
      <c r="G145" s="26">
        <f t="shared" si="4"/>
        <v>2920</v>
      </c>
    </row>
    <row r="146" spans="1:7">
      <c r="A146" s="42">
        <v>43194</v>
      </c>
      <c r="B146" s="9" t="s">
        <v>774</v>
      </c>
      <c r="C146" s="9">
        <v>4</v>
      </c>
      <c r="D146" s="9"/>
      <c r="E146" s="441">
        <f t="shared" si="6"/>
        <v>3121</v>
      </c>
      <c r="F146" s="9" t="s">
        <v>46</v>
      </c>
      <c r="G146" s="26">
        <f t="shared" si="4"/>
        <v>2924</v>
      </c>
    </row>
    <row r="147" spans="1:7">
      <c r="A147" s="42">
        <v>43255</v>
      </c>
      <c r="B147" s="554" t="s">
        <v>15</v>
      </c>
      <c r="C147" s="9">
        <v>75</v>
      </c>
      <c r="D147" s="9"/>
      <c r="E147" s="441">
        <f t="shared" si="6"/>
        <v>3196</v>
      </c>
      <c r="F147" s="9"/>
      <c r="G147" s="26">
        <f t="shared" si="4"/>
        <v>2999</v>
      </c>
    </row>
    <row r="148" spans="1:7">
      <c r="A148" s="42">
        <v>43255</v>
      </c>
      <c r="B148" s="554" t="s">
        <v>552</v>
      </c>
      <c r="C148" s="9"/>
      <c r="D148" s="9">
        <v>350</v>
      </c>
      <c r="E148" s="441">
        <f t="shared" si="6"/>
        <v>2846</v>
      </c>
      <c r="F148" s="9"/>
      <c r="G148" s="26">
        <f t="shared" si="4"/>
        <v>2649</v>
      </c>
    </row>
    <row r="149" spans="1:7">
      <c r="A149" s="42">
        <v>43285</v>
      </c>
      <c r="B149" s="554" t="s">
        <v>552</v>
      </c>
      <c r="C149" s="9"/>
      <c r="D149" s="9">
        <v>98</v>
      </c>
      <c r="E149" s="441">
        <f t="shared" si="6"/>
        <v>2748</v>
      </c>
      <c r="F149" s="9"/>
      <c r="G149" s="26">
        <f t="shared" si="4"/>
        <v>2551</v>
      </c>
    </row>
    <row r="150" spans="1:7">
      <c r="A150" s="42">
        <v>43347</v>
      </c>
      <c r="B150" s="554" t="s">
        <v>524</v>
      </c>
      <c r="C150" s="9">
        <v>3</v>
      </c>
      <c r="D150" s="9"/>
      <c r="E150" s="441">
        <f t="shared" si="6"/>
        <v>2751</v>
      </c>
      <c r="F150" s="554" t="s">
        <v>46</v>
      </c>
      <c r="G150" s="26">
        <f t="shared" si="4"/>
        <v>2554</v>
      </c>
    </row>
    <row r="151" spans="1:7">
      <c r="A151" s="42">
        <v>43377</v>
      </c>
      <c r="B151" s="528" t="s">
        <v>720</v>
      </c>
      <c r="C151" s="9">
        <v>10</v>
      </c>
      <c r="D151" s="9"/>
      <c r="E151" s="441">
        <f t="shared" si="6"/>
        <v>2761</v>
      </c>
      <c r="F151" s="9"/>
      <c r="G151" s="26">
        <f t="shared" si="4"/>
        <v>2564</v>
      </c>
    </row>
    <row r="152" spans="1:7">
      <c r="A152" s="42">
        <v>43408</v>
      </c>
      <c r="B152" s="9" t="s">
        <v>524</v>
      </c>
      <c r="C152" s="9">
        <v>63</v>
      </c>
      <c r="D152" s="9"/>
      <c r="E152" s="441">
        <f t="shared" si="6"/>
        <v>2824</v>
      </c>
      <c r="F152" s="559" t="s">
        <v>46</v>
      </c>
      <c r="G152" s="26">
        <f t="shared" si="4"/>
        <v>2627</v>
      </c>
    </row>
    <row r="153" spans="1:7">
      <c r="A153" s="42">
        <v>43438</v>
      </c>
      <c r="B153" s="564" t="s">
        <v>524</v>
      </c>
      <c r="C153" s="9">
        <v>48</v>
      </c>
      <c r="D153" s="9"/>
      <c r="E153" s="441">
        <f t="shared" si="6"/>
        <v>2872</v>
      </c>
      <c r="F153" s="9"/>
      <c r="G153" s="26">
        <f t="shared" si="4"/>
        <v>2675</v>
      </c>
    </row>
    <row r="154" spans="1:7">
      <c r="A154" s="42">
        <v>43376</v>
      </c>
      <c r="B154" s="498" t="s">
        <v>708</v>
      </c>
      <c r="C154" s="9">
        <v>96</v>
      </c>
      <c r="D154" s="9"/>
      <c r="E154" s="441">
        <f t="shared" si="6"/>
        <v>2968</v>
      </c>
      <c r="F154" s="9"/>
      <c r="G154" s="26">
        <f t="shared" si="4"/>
        <v>2771</v>
      </c>
    </row>
    <row r="155" spans="1:7">
      <c r="A155" s="42">
        <v>43438</v>
      </c>
      <c r="B155" s="9" t="s">
        <v>672</v>
      </c>
      <c r="C155" s="9"/>
      <c r="D155" s="9">
        <v>10</v>
      </c>
      <c r="E155" s="441">
        <f t="shared" si="6"/>
        <v>2958</v>
      </c>
      <c r="F155" s="9" t="s">
        <v>46</v>
      </c>
      <c r="G155" s="26">
        <f t="shared" si="4"/>
        <v>2761</v>
      </c>
    </row>
    <row r="156" spans="1:7">
      <c r="A156" s="42" t="s">
        <v>789</v>
      </c>
      <c r="B156" s="9" t="s">
        <v>524</v>
      </c>
      <c r="C156" s="9">
        <v>28</v>
      </c>
      <c r="D156" s="9"/>
      <c r="E156" s="441">
        <f t="shared" si="6"/>
        <v>2986</v>
      </c>
      <c r="F156" s="9"/>
      <c r="G156" s="26">
        <f t="shared" si="4"/>
        <v>2789</v>
      </c>
    </row>
    <row r="157" spans="1:7">
      <c r="A157" s="125" t="s">
        <v>789</v>
      </c>
      <c r="B157" s="9" t="s">
        <v>24</v>
      </c>
      <c r="C157" s="9">
        <v>12</v>
      </c>
      <c r="D157" s="9"/>
      <c r="E157" s="441">
        <f t="shared" si="6"/>
        <v>2998</v>
      </c>
      <c r="F157" s="9"/>
      <c r="G157" s="26">
        <f t="shared" si="4"/>
        <v>2801</v>
      </c>
    </row>
    <row r="158" spans="1:7">
      <c r="A158" s="125" t="s">
        <v>789</v>
      </c>
      <c r="B158" s="9" t="s">
        <v>627</v>
      </c>
      <c r="C158" s="9"/>
      <c r="D158" s="9">
        <v>105</v>
      </c>
      <c r="E158" s="441">
        <f t="shared" si="6"/>
        <v>2893</v>
      </c>
      <c r="F158" s="9"/>
      <c r="G158" s="26">
        <f t="shared" si="4"/>
        <v>2696</v>
      </c>
    </row>
    <row r="159" spans="1:7">
      <c r="A159" s="125" t="s">
        <v>789</v>
      </c>
      <c r="B159" s="9" t="s">
        <v>791</v>
      </c>
      <c r="C159" s="9"/>
      <c r="D159" s="9">
        <v>15</v>
      </c>
      <c r="E159" s="441">
        <f t="shared" si="6"/>
        <v>2878</v>
      </c>
      <c r="F159" s="9"/>
      <c r="G159" s="26">
        <f t="shared" si="4"/>
        <v>2681</v>
      </c>
    </row>
    <row r="160" spans="1:7">
      <c r="A160" s="571" t="s">
        <v>793</v>
      </c>
      <c r="B160" s="570" t="s">
        <v>524</v>
      </c>
      <c r="C160" s="9">
        <v>24</v>
      </c>
      <c r="D160" s="9"/>
      <c r="E160" s="441">
        <f t="shared" si="6"/>
        <v>2902</v>
      </c>
      <c r="F160" s="9"/>
      <c r="G160" s="26">
        <f t="shared" si="4"/>
        <v>2705</v>
      </c>
    </row>
    <row r="161" spans="1:7">
      <c r="A161" s="571" t="s">
        <v>793</v>
      </c>
      <c r="B161" s="570" t="s">
        <v>627</v>
      </c>
      <c r="C161" s="9"/>
      <c r="D161" s="9">
        <v>145</v>
      </c>
      <c r="E161" s="441">
        <f t="shared" si="6"/>
        <v>2757</v>
      </c>
      <c r="F161" s="9"/>
      <c r="G161" s="26">
        <f t="shared" si="4"/>
        <v>2560</v>
      </c>
    </row>
    <row r="162" spans="1:7">
      <c r="A162" s="648" t="s">
        <v>793</v>
      </c>
      <c r="B162" s="572" t="s">
        <v>508</v>
      </c>
      <c r="C162" s="9"/>
      <c r="D162" s="9">
        <v>15</v>
      </c>
      <c r="E162" s="441">
        <f t="shared" si="6"/>
        <v>2742</v>
      </c>
      <c r="F162" s="9"/>
      <c r="G162" s="26">
        <f t="shared" si="4"/>
        <v>2545</v>
      </c>
    </row>
    <row r="163" spans="1:7">
      <c r="A163" s="571" t="s">
        <v>793</v>
      </c>
      <c r="B163" s="570" t="s">
        <v>508</v>
      </c>
      <c r="C163" s="9"/>
      <c r="D163" s="9">
        <v>15</v>
      </c>
      <c r="E163" s="441">
        <f t="shared" si="6"/>
        <v>2727</v>
      </c>
      <c r="F163" s="9"/>
      <c r="G163" s="26">
        <f t="shared" si="4"/>
        <v>2530</v>
      </c>
    </row>
    <row r="164" spans="1:7">
      <c r="A164" s="571" t="s">
        <v>793</v>
      </c>
      <c r="B164" s="570" t="s">
        <v>560</v>
      </c>
      <c r="C164" s="9"/>
      <c r="D164" s="9">
        <v>25</v>
      </c>
      <c r="E164" s="441">
        <f t="shared" si="6"/>
        <v>2702</v>
      </c>
      <c r="F164" s="570"/>
      <c r="G164" s="26">
        <f t="shared" si="4"/>
        <v>2505</v>
      </c>
    </row>
    <row r="165" spans="1:7">
      <c r="A165" s="577" t="s">
        <v>798</v>
      </c>
      <c r="B165" s="575" t="s">
        <v>800</v>
      </c>
      <c r="C165" s="9">
        <v>40</v>
      </c>
      <c r="D165" s="9"/>
      <c r="E165" s="441">
        <f t="shared" si="6"/>
        <v>2742</v>
      </c>
      <c r="F165" s="9"/>
      <c r="G165" s="26">
        <f t="shared" si="4"/>
        <v>2545</v>
      </c>
    </row>
    <row r="166" spans="1:7">
      <c r="A166" s="578" t="s">
        <v>798</v>
      </c>
      <c r="B166" s="576" t="s">
        <v>805</v>
      </c>
      <c r="C166" s="9"/>
      <c r="D166" s="9">
        <v>35</v>
      </c>
      <c r="E166" s="441">
        <f t="shared" si="6"/>
        <v>2707</v>
      </c>
      <c r="F166" s="9"/>
      <c r="G166" s="26">
        <f t="shared" si="4"/>
        <v>2510</v>
      </c>
    </row>
    <row r="167" spans="1:7">
      <c r="A167" s="578" t="s">
        <v>798</v>
      </c>
      <c r="B167" s="576" t="s">
        <v>806</v>
      </c>
      <c r="C167" s="9"/>
      <c r="D167" s="9">
        <v>100</v>
      </c>
      <c r="E167" s="441">
        <f t="shared" si="6"/>
        <v>2607</v>
      </c>
      <c r="F167" s="9"/>
      <c r="G167" s="26">
        <f t="shared" si="4"/>
        <v>2410</v>
      </c>
    </row>
    <row r="168" spans="1:7">
      <c r="A168" s="578" t="s">
        <v>798</v>
      </c>
      <c r="B168" s="576" t="s">
        <v>524</v>
      </c>
      <c r="C168" s="9">
        <v>24</v>
      </c>
      <c r="D168" s="9"/>
      <c r="E168" s="441">
        <f t="shared" si="6"/>
        <v>2631</v>
      </c>
      <c r="F168" s="9"/>
      <c r="G168" s="26">
        <f t="shared" si="4"/>
        <v>2434</v>
      </c>
    </row>
    <row r="169" spans="1:7">
      <c r="A169" s="578" t="s">
        <v>808</v>
      </c>
      <c r="B169" s="576" t="s">
        <v>616</v>
      </c>
      <c r="C169" s="9"/>
      <c r="D169" s="9">
        <v>36</v>
      </c>
      <c r="E169" s="441">
        <f t="shared" si="6"/>
        <v>2595</v>
      </c>
      <c r="F169" s="576"/>
      <c r="G169" s="26">
        <f t="shared" si="4"/>
        <v>2398</v>
      </c>
    </row>
    <row r="170" spans="1:7">
      <c r="A170" s="125" t="s">
        <v>811</v>
      </c>
      <c r="B170" s="9" t="s">
        <v>720</v>
      </c>
      <c r="C170" s="9">
        <v>2</v>
      </c>
      <c r="D170" s="9"/>
      <c r="E170" s="441">
        <f t="shared" si="6"/>
        <v>2597</v>
      </c>
      <c r="F170" s="9"/>
      <c r="G170" s="26">
        <f t="shared" si="4"/>
        <v>2400</v>
      </c>
    </row>
    <row r="171" spans="1:7">
      <c r="A171" s="582" t="s">
        <v>814</v>
      </c>
      <c r="B171" s="581" t="s">
        <v>508</v>
      </c>
      <c r="C171" s="9"/>
      <c r="D171" s="9">
        <v>46</v>
      </c>
      <c r="E171" s="441">
        <f t="shared" si="6"/>
        <v>2551</v>
      </c>
      <c r="F171" s="581"/>
      <c r="G171" s="26">
        <f t="shared" ref="G171" si="7">G170+C171-D171</f>
        <v>2354</v>
      </c>
    </row>
    <row r="172" spans="1:7">
      <c r="A172" s="586" t="s">
        <v>815</v>
      </c>
      <c r="B172" s="587" t="s">
        <v>616</v>
      </c>
      <c r="C172" s="9"/>
      <c r="D172" s="9">
        <v>25</v>
      </c>
      <c r="E172" s="441">
        <f t="shared" si="6"/>
        <v>2526</v>
      </c>
      <c r="F172" s="9"/>
      <c r="G172" s="26">
        <f>G171+C172-D172</f>
        <v>2329</v>
      </c>
    </row>
    <row r="173" spans="1:7">
      <c r="A173" s="246" t="s">
        <v>815</v>
      </c>
      <c r="B173" s="26" t="s">
        <v>817</v>
      </c>
      <c r="C173" s="26"/>
      <c r="D173" s="26">
        <v>270</v>
      </c>
      <c r="E173" s="441">
        <f t="shared" si="6"/>
        <v>2256</v>
      </c>
      <c r="F173" s="9"/>
      <c r="G173" s="26">
        <f t="shared" ref="G173:G236" si="8">G172+C173-D173</f>
        <v>2059</v>
      </c>
    </row>
    <row r="174" spans="1:7">
      <c r="A174" s="595" t="s">
        <v>820</v>
      </c>
      <c r="B174" s="592" t="s">
        <v>508</v>
      </c>
      <c r="C174" s="9"/>
      <c r="D174" s="9">
        <v>128</v>
      </c>
      <c r="E174" s="441">
        <f t="shared" si="6"/>
        <v>2128</v>
      </c>
      <c r="F174" s="9"/>
      <c r="G174" s="26">
        <f t="shared" si="8"/>
        <v>1931</v>
      </c>
    </row>
    <row r="175" spans="1:7">
      <c r="A175" s="595" t="s">
        <v>822</v>
      </c>
      <c r="B175" s="592" t="s">
        <v>817</v>
      </c>
      <c r="C175" s="9"/>
      <c r="D175" s="9">
        <v>200</v>
      </c>
      <c r="E175" s="441">
        <f t="shared" si="6"/>
        <v>1928</v>
      </c>
      <c r="F175" s="592" t="s">
        <v>46</v>
      </c>
      <c r="G175" s="26">
        <f t="shared" si="8"/>
        <v>1731</v>
      </c>
    </row>
    <row r="176" spans="1:7">
      <c r="A176" s="601" t="s">
        <v>829</v>
      </c>
      <c r="B176" s="598" t="s">
        <v>524</v>
      </c>
      <c r="C176" s="9">
        <v>18</v>
      </c>
      <c r="D176" s="9"/>
      <c r="E176" s="441">
        <f t="shared" si="6"/>
        <v>1946</v>
      </c>
      <c r="F176" s="592"/>
      <c r="G176" s="26">
        <f t="shared" si="8"/>
        <v>1749</v>
      </c>
    </row>
    <row r="177" spans="1:7">
      <c r="A177" s="601" t="s">
        <v>829</v>
      </c>
      <c r="B177" s="598" t="s">
        <v>830</v>
      </c>
      <c r="C177" s="9"/>
      <c r="D177" s="9">
        <v>10</v>
      </c>
      <c r="E177" s="441">
        <f t="shared" si="6"/>
        <v>1936</v>
      </c>
      <c r="F177" s="592"/>
      <c r="G177" s="26">
        <f t="shared" si="8"/>
        <v>1739</v>
      </c>
    </row>
    <row r="178" spans="1:7">
      <c r="A178" s="601" t="s">
        <v>826</v>
      </c>
      <c r="B178" s="598" t="s">
        <v>24</v>
      </c>
      <c r="C178" s="9">
        <v>121</v>
      </c>
      <c r="D178" s="9"/>
      <c r="E178" s="441">
        <f t="shared" si="6"/>
        <v>2057</v>
      </c>
      <c r="F178" s="9"/>
      <c r="G178" s="26">
        <f t="shared" si="8"/>
        <v>1860</v>
      </c>
    </row>
    <row r="179" spans="1:7">
      <c r="A179" s="601" t="s">
        <v>829</v>
      </c>
      <c r="B179" s="598" t="s">
        <v>616</v>
      </c>
      <c r="C179" s="9"/>
      <c r="D179" s="9">
        <v>39</v>
      </c>
      <c r="E179" s="441">
        <f t="shared" si="6"/>
        <v>2018</v>
      </c>
      <c r="F179" s="598" t="s">
        <v>46</v>
      </c>
      <c r="G179" s="26">
        <f t="shared" si="8"/>
        <v>1821</v>
      </c>
    </row>
    <row r="180" spans="1:7">
      <c r="A180" s="125" t="s">
        <v>837</v>
      </c>
      <c r="B180" s="9" t="s">
        <v>24</v>
      </c>
      <c r="C180" s="9">
        <v>30</v>
      </c>
      <c r="D180" s="9"/>
      <c r="E180" s="441">
        <f t="shared" si="6"/>
        <v>2048</v>
      </c>
      <c r="F180" s="9"/>
      <c r="G180" s="26">
        <f t="shared" si="8"/>
        <v>1851</v>
      </c>
    </row>
    <row r="181" spans="1:7">
      <c r="A181" s="125" t="s">
        <v>837</v>
      </c>
      <c r="B181" s="9" t="s">
        <v>456</v>
      </c>
      <c r="C181" s="9">
        <v>14</v>
      </c>
      <c r="D181" s="9"/>
      <c r="E181" s="441">
        <f t="shared" si="6"/>
        <v>2062</v>
      </c>
      <c r="F181" s="9" t="s">
        <v>46</v>
      </c>
      <c r="G181" s="26">
        <f t="shared" si="8"/>
        <v>1865</v>
      </c>
    </row>
    <row r="182" spans="1:7">
      <c r="A182" s="615" t="s">
        <v>837</v>
      </c>
      <c r="B182" s="616" t="s">
        <v>838</v>
      </c>
      <c r="C182" s="9"/>
      <c r="D182" s="9">
        <v>300</v>
      </c>
      <c r="E182" s="441">
        <f t="shared" si="6"/>
        <v>1762</v>
      </c>
      <c r="F182" s="9"/>
      <c r="G182" s="26">
        <f t="shared" si="8"/>
        <v>1565</v>
      </c>
    </row>
    <row r="183" spans="1:7">
      <c r="A183" s="615" t="s">
        <v>844</v>
      </c>
      <c r="B183" s="616" t="s">
        <v>524</v>
      </c>
      <c r="C183" s="9">
        <v>1</v>
      </c>
      <c r="D183" s="9"/>
      <c r="E183" s="441">
        <f t="shared" si="6"/>
        <v>1763</v>
      </c>
      <c r="F183" s="9"/>
      <c r="G183" s="26">
        <f t="shared" si="8"/>
        <v>1566</v>
      </c>
    </row>
    <row r="184" spans="1:7">
      <c r="A184" s="615" t="s">
        <v>844</v>
      </c>
      <c r="B184" s="616" t="s">
        <v>846</v>
      </c>
      <c r="C184" s="9">
        <v>4</v>
      </c>
      <c r="D184" s="9"/>
      <c r="E184" s="441">
        <f t="shared" si="6"/>
        <v>1767</v>
      </c>
      <c r="F184" s="9"/>
      <c r="G184" s="26">
        <f t="shared" si="8"/>
        <v>1570</v>
      </c>
    </row>
    <row r="185" spans="1:7">
      <c r="A185" s="615" t="s">
        <v>844</v>
      </c>
      <c r="B185" s="616" t="s">
        <v>817</v>
      </c>
      <c r="C185" s="9"/>
      <c r="D185" s="9">
        <v>104</v>
      </c>
      <c r="E185" s="441">
        <f t="shared" si="6"/>
        <v>1663</v>
      </c>
      <c r="F185" s="9"/>
      <c r="G185" s="26">
        <f t="shared" si="8"/>
        <v>1466</v>
      </c>
    </row>
    <row r="186" spans="1:7">
      <c r="A186" s="42">
        <v>43136</v>
      </c>
      <c r="B186" s="9" t="s">
        <v>24</v>
      </c>
      <c r="C186" s="9">
        <v>112</v>
      </c>
      <c r="D186" s="9"/>
      <c r="E186" s="441">
        <f t="shared" si="6"/>
        <v>1775</v>
      </c>
      <c r="F186" s="9"/>
      <c r="G186" s="26">
        <f t="shared" si="8"/>
        <v>1578</v>
      </c>
    </row>
    <row r="187" spans="1:7">
      <c r="A187" s="42">
        <v>43136</v>
      </c>
      <c r="B187" s="9" t="s">
        <v>774</v>
      </c>
      <c r="C187" s="9">
        <v>3</v>
      </c>
      <c r="D187" s="9"/>
      <c r="E187" s="441">
        <f t="shared" si="6"/>
        <v>1778</v>
      </c>
      <c r="F187" s="9" t="s">
        <v>46</v>
      </c>
      <c r="G187" s="26">
        <f t="shared" si="8"/>
        <v>1581</v>
      </c>
    </row>
    <row r="188" spans="1:7">
      <c r="A188" s="42">
        <v>43164</v>
      </c>
      <c r="B188" s="9" t="s">
        <v>817</v>
      </c>
      <c r="C188" s="9"/>
      <c r="D188" s="9">
        <v>183</v>
      </c>
      <c r="E188" s="441">
        <f t="shared" si="6"/>
        <v>1595</v>
      </c>
      <c r="F188" s="9"/>
      <c r="G188" s="26">
        <f t="shared" si="8"/>
        <v>1398</v>
      </c>
    </row>
    <row r="189" spans="1:7">
      <c r="A189" s="42">
        <v>43164</v>
      </c>
      <c r="B189" s="9" t="s">
        <v>508</v>
      </c>
      <c r="C189" s="9"/>
      <c r="D189" s="9">
        <v>30</v>
      </c>
      <c r="E189" s="441">
        <f t="shared" si="6"/>
        <v>1565</v>
      </c>
      <c r="F189" s="9"/>
      <c r="G189" s="26">
        <f t="shared" si="8"/>
        <v>1368</v>
      </c>
    </row>
    <row r="190" spans="1:7">
      <c r="A190" s="42">
        <v>43164</v>
      </c>
      <c r="B190" s="9" t="s">
        <v>567</v>
      </c>
      <c r="C190" s="9"/>
      <c r="D190" s="9">
        <v>168</v>
      </c>
      <c r="E190" s="441">
        <f t="shared" ref="E190:E220" si="9">E189+C190-D190</f>
        <v>1397</v>
      </c>
      <c r="F190" s="9"/>
      <c r="G190" s="26">
        <f t="shared" si="8"/>
        <v>1200</v>
      </c>
    </row>
    <row r="191" spans="1:7">
      <c r="A191" s="42">
        <v>43195</v>
      </c>
      <c r="B191" s="9" t="s">
        <v>508</v>
      </c>
      <c r="C191" s="9"/>
      <c r="D191" s="9">
        <v>40</v>
      </c>
      <c r="E191" s="441">
        <f t="shared" si="9"/>
        <v>1357</v>
      </c>
      <c r="F191" s="9"/>
      <c r="G191" s="26">
        <f t="shared" si="8"/>
        <v>1160</v>
      </c>
    </row>
    <row r="192" spans="1:7">
      <c r="A192" s="42">
        <v>43195</v>
      </c>
      <c r="B192" s="9" t="s">
        <v>508</v>
      </c>
      <c r="C192" s="9"/>
      <c r="D192" s="9">
        <v>32</v>
      </c>
      <c r="E192" s="441">
        <f t="shared" si="9"/>
        <v>1325</v>
      </c>
      <c r="F192" s="9"/>
      <c r="G192" s="26">
        <f t="shared" si="8"/>
        <v>1128</v>
      </c>
    </row>
    <row r="193" spans="1:7">
      <c r="A193" s="42">
        <v>43225</v>
      </c>
      <c r="B193" s="9" t="s">
        <v>24</v>
      </c>
      <c r="C193" s="9">
        <v>25</v>
      </c>
      <c r="D193" s="9"/>
      <c r="E193" s="441">
        <f t="shared" si="9"/>
        <v>1350</v>
      </c>
      <c r="F193" s="9"/>
      <c r="G193" s="26">
        <f t="shared" si="8"/>
        <v>1153</v>
      </c>
    </row>
    <row r="194" spans="1:7" ht="15">
      <c r="A194" s="419">
        <v>43225</v>
      </c>
      <c r="B194" s="33" t="s">
        <v>817</v>
      </c>
      <c r="C194" s="9"/>
      <c r="D194" s="9">
        <v>570</v>
      </c>
      <c r="E194" s="441">
        <f t="shared" si="9"/>
        <v>780</v>
      </c>
      <c r="F194" s="9"/>
      <c r="G194" s="26">
        <f t="shared" si="8"/>
        <v>583</v>
      </c>
    </row>
    <row r="195" spans="1:7">
      <c r="A195" s="172">
        <v>43225</v>
      </c>
      <c r="B195" s="24" t="s">
        <v>852</v>
      </c>
      <c r="C195" s="9"/>
      <c r="D195" s="9">
        <v>20</v>
      </c>
      <c r="E195" s="441">
        <f t="shared" si="9"/>
        <v>760</v>
      </c>
      <c r="F195" s="9" t="s">
        <v>46</v>
      </c>
      <c r="G195" s="26">
        <f t="shared" si="8"/>
        <v>563</v>
      </c>
    </row>
    <row r="196" spans="1:7">
      <c r="A196" s="172">
        <v>43286</v>
      </c>
      <c r="B196" s="24" t="s">
        <v>24</v>
      </c>
      <c r="C196" s="9">
        <v>25</v>
      </c>
      <c r="D196" s="9"/>
      <c r="E196" s="441">
        <f t="shared" si="9"/>
        <v>785</v>
      </c>
      <c r="F196" s="9"/>
      <c r="G196" s="26">
        <f t="shared" si="8"/>
        <v>588</v>
      </c>
    </row>
    <row r="197" spans="1:7">
      <c r="A197" s="42">
        <v>43286</v>
      </c>
      <c r="B197" s="629" t="s">
        <v>24</v>
      </c>
      <c r="C197" s="9">
        <v>9</v>
      </c>
      <c r="D197" s="9"/>
      <c r="E197" s="441">
        <f t="shared" si="9"/>
        <v>794</v>
      </c>
      <c r="F197" s="9"/>
      <c r="G197" s="26">
        <f t="shared" si="8"/>
        <v>597</v>
      </c>
    </row>
    <row r="198" spans="1:7">
      <c r="A198" s="42">
        <v>43286</v>
      </c>
      <c r="B198" s="24" t="s">
        <v>24</v>
      </c>
      <c r="C198" s="9">
        <v>30</v>
      </c>
      <c r="D198" s="9"/>
      <c r="E198" s="441">
        <f t="shared" si="9"/>
        <v>824</v>
      </c>
      <c r="F198" s="9"/>
      <c r="G198" s="26">
        <f t="shared" si="8"/>
        <v>627</v>
      </c>
    </row>
    <row r="199" spans="1:7">
      <c r="A199" s="42">
        <v>43286</v>
      </c>
      <c r="B199" s="629" t="s">
        <v>833</v>
      </c>
      <c r="C199" s="9"/>
      <c r="D199" s="9">
        <v>110</v>
      </c>
      <c r="E199" s="441">
        <f t="shared" si="9"/>
        <v>714</v>
      </c>
      <c r="F199" s="9"/>
      <c r="G199" s="26">
        <f t="shared" si="8"/>
        <v>517</v>
      </c>
    </row>
    <row r="200" spans="1:7">
      <c r="A200" s="42">
        <v>43317</v>
      </c>
      <c r="B200" s="629" t="s">
        <v>24</v>
      </c>
      <c r="C200" s="9">
        <v>61</v>
      </c>
      <c r="D200" s="9"/>
      <c r="E200" s="441">
        <f t="shared" si="9"/>
        <v>775</v>
      </c>
      <c r="F200" s="9"/>
      <c r="G200" s="26">
        <f t="shared" si="8"/>
        <v>578</v>
      </c>
    </row>
    <row r="201" spans="1:7" ht="15">
      <c r="A201" s="420">
        <v>43348</v>
      </c>
      <c r="B201" s="36" t="s">
        <v>858</v>
      </c>
      <c r="C201" s="9"/>
      <c r="D201" s="9">
        <v>40</v>
      </c>
      <c r="E201" s="441">
        <f t="shared" si="9"/>
        <v>735</v>
      </c>
      <c r="F201" s="9"/>
      <c r="G201" s="26">
        <f t="shared" si="8"/>
        <v>538</v>
      </c>
    </row>
    <row r="202" spans="1:7">
      <c r="A202" s="42">
        <v>43378</v>
      </c>
      <c r="B202" s="631" t="s">
        <v>859</v>
      </c>
      <c r="C202" s="9">
        <v>75</v>
      </c>
      <c r="D202" s="9"/>
      <c r="E202" s="441">
        <f t="shared" si="9"/>
        <v>810</v>
      </c>
      <c r="F202" s="9"/>
      <c r="G202" s="26">
        <f t="shared" si="8"/>
        <v>613</v>
      </c>
    </row>
    <row r="203" spans="1:7">
      <c r="A203" s="42">
        <v>43409</v>
      </c>
      <c r="B203" s="629" t="s">
        <v>24</v>
      </c>
      <c r="C203" s="9">
        <v>108</v>
      </c>
      <c r="D203" s="9"/>
      <c r="E203" s="441">
        <f t="shared" si="9"/>
        <v>918</v>
      </c>
      <c r="F203" s="9"/>
      <c r="G203" s="26">
        <f t="shared" si="8"/>
        <v>721</v>
      </c>
    </row>
    <row r="204" spans="1:7">
      <c r="A204" s="42">
        <v>43409</v>
      </c>
      <c r="B204" s="631" t="s">
        <v>833</v>
      </c>
      <c r="C204" s="9"/>
      <c r="D204" s="9">
        <v>40</v>
      </c>
      <c r="E204" s="441">
        <f t="shared" si="9"/>
        <v>878</v>
      </c>
      <c r="F204" s="9"/>
      <c r="G204" s="26">
        <f t="shared" si="8"/>
        <v>681</v>
      </c>
    </row>
    <row r="205" spans="1:7">
      <c r="A205" s="42">
        <v>43439</v>
      </c>
      <c r="B205" s="631" t="s">
        <v>24</v>
      </c>
      <c r="C205" s="9">
        <v>47</v>
      </c>
      <c r="D205" s="9"/>
      <c r="E205" s="441">
        <f t="shared" si="9"/>
        <v>925</v>
      </c>
      <c r="F205" s="9"/>
      <c r="G205" s="26">
        <f t="shared" si="8"/>
        <v>728</v>
      </c>
    </row>
    <row r="206" spans="1:7">
      <c r="A206" s="654" t="s">
        <v>862</v>
      </c>
      <c r="B206" s="633" t="s">
        <v>24</v>
      </c>
      <c r="C206" s="9">
        <v>27</v>
      </c>
      <c r="D206" s="9"/>
      <c r="E206" s="441">
        <f t="shared" si="9"/>
        <v>952</v>
      </c>
      <c r="F206" s="9"/>
      <c r="G206" s="26">
        <f t="shared" si="8"/>
        <v>755</v>
      </c>
    </row>
    <row r="207" spans="1:7">
      <c r="A207" s="125" t="s">
        <v>863</v>
      </c>
      <c r="B207" s="9" t="s">
        <v>24</v>
      </c>
      <c r="C207" s="24">
        <v>11</v>
      </c>
      <c r="D207" s="9"/>
      <c r="E207" s="441">
        <f t="shared" si="9"/>
        <v>963</v>
      </c>
      <c r="F207" s="9"/>
      <c r="G207" s="26">
        <f t="shared" si="8"/>
        <v>766</v>
      </c>
    </row>
    <row r="208" spans="1:7">
      <c r="A208" s="659" t="s">
        <v>733</v>
      </c>
      <c r="B208" s="656" t="s">
        <v>869</v>
      </c>
      <c r="C208" s="9"/>
      <c r="D208" s="9">
        <v>50</v>
      </c>
      <c r="E208" s="441">
        <f t="shared" si="9"/>
        <v>913</v>
      </c>
      <c r="F208" s="9"/>
      <c r="G208" s="26">
        <f t="shared" si="8"/>
        <v>716</v>
      </c>
    </row>
    <row r="209" spans="1:7">
      <c r="A209" s="659" t="s">
        <v>733</v>
      </c>
      <c r="B209" s="656" t="s">
        <v>762</v>
      </c>
      <c r="C209" s="9"/>
      <c r="D209" s="9">
        <v>60</v>
      </c>
      <c r="E209" s="441">
        <f t="shared" si="9"/>
        <v>853</v>
      </c>
      <c r="F209" s="656" t="s">
        <v>46</v>
      </c>
      <c r="G209" s="26">
        <f t="shared" si="8"/>
        <v>656</v>
      </c>
    </row>
    <row r="210" spans="1:7">
      <c r="A210" s="665" t="s">
        <v>878</v>
      </c>
      <c r="B210" s="664" t="s">
        <v>508</v>
      </c>
      <c r="C210" s="9">
        <v>10</v>
      </c>
      <c r="D210" s="9"/>
      <c r="E210" s="441">
        <f t="shared" si="9"/>
        <v>863</v>
      </c>
      <c r="F210" s="9"/>
      <c r="G210" s="26">
        <f t="shared" si="8"/>
        <v>666</v>
      </c>
    </row>
    <row r="211" spans="1:7">
      <c r="A211" s="665" t="s">
        <v>878</v>
      </c>
      <c r="B211" s="664" t="s">
        <v>24</v>
      </c>
      <c r="C211" s="9">
        <v>138</v>
      </c>
      <c r="D211" s="9"/>
      <c r="E211" s="441">
        <f t="shared" si="9"/>
        <v>1001</v>
      </c>
      <c r="F211" s="9"/>
      <c r="G211" s="26">
        <f t="shared" si="8"/>
        <v>804</v>
      </c>
    </row>
    <row r="212" spans="1:7">
      <c r="A212" s="665" t="s">
        <v>878</v>
      </c>
      <c r="B212" s="664" t="s">
        <v>817</v>
      </c>
      <c r="C212" s="9"/>
      <c r="D212" s="9">
        <v>300</v>
      </c>
      <c r="E212" s="441">
        <f t="shared" si="9"/>
        <v>701</v>
      </c>
      <c r="F212" s="664" t="s">
        <v>46</v>
      </c>
      <c r="G212" s="26">
        <f t="shared" si="8"/>
        <v>504</v>
      </c>
    </row>
    <row r="213" spans="1:7">
      <c r="A213" s="677" t="s">
        <v>886</v>
      </c>
      <c r="B213" s="677" t="s">
        <v>459</v>
      </c>
      <c r="C213" s="9">
        <v>7</v>
      </c>
      <c r="D213" s="9"/>
      <c r="E213" s="441">
        <f t="shared" si="9"/>
        <v>708</v>
      </c>
      <c r="F213" s="9"/>
      <c r="G213" s="26">
        <f t="shared" si="8"/>
        <v>511</v>
      </c>
    </row>
    <row r="214" spans="1:7">
      <c r="A214" s="676" t="s">
        <v>886</v>
      </c>
      <c r="B214" s="677" t="s">
        <v>888</v>
      </c>
      <c r="C214" s="9"/>
      <c r="D214" s="9">
        <v>150</v>
      </c>
      <c r="E214" s="441">
        <f t="shared" si="9"/>
        <v>558</v>
      </c>
      <c r="F214" s="9"/>
      <c r="G214" s="26">
        <f t="shared" si="8"/>
        <v>361</v>
      </c>
    </row>
    <row r="215" spans="1:7">
      <c r="A215" s="676" t="s">
        <v>889</v>
      </c>
      <c r="B215" s="677" t="s">
        <v>774</v>
      </c>
      <c r="C215" s="9">
        <v>12</v>
      </c>
      <c r="D215" s="9"/>
      <c r="E215" s="441">
        <f t="shared" si="9"/>
        <v>570</v>
      </c>
      <c r="F215" s="9"/>
      <c r="G215" s="26">
        <f t="shared" si="8"/>
        <v>373</v>
      </c>
    </row>
    <row r="216" spans="1:7">
      <c r="A216" s="676" t="s">
        <v>889</v>
      </c>
      <c r="B216" s="677" t="s">
        <v>552</v>
      </c>
      <c r="C216" s="9">
        <v>40</v>
      </c>
      <c r="D216" s="9"/>
      <c r="E216" s="441">
        <f t="shared" si="9"/>
        <v>610</v>
      </c>
      <c r="F216" s="9"/>
      <c r="G216" s="26">
        <f t="shared" si="8"/>
        <v>413</v>
      </c>
    </row>
    <row r="217" spans="1:7">
      <c r="A217" s="676" t="s">
        <v>893</v>
      </c>
      <c r="B217" s="677" t="s">
        <v>894</v>
      </c>
      <c r="C217" s="9">
        <v>60</v>
      </c>
      <c r="D217" s="9"/>
      <c r="E217" s="441">
        <f t="shared" si="9"/>
        <v>670</v>
      </c>
      <c r="F217" s="9"/>
      <c r="G217" s="26">
        <f t="shared" si="8"/>
        <v>473</v>
      </c>
    </row>
    <row r="218" spans="1:7">
      <c r="A218" s="676" t="s">
        <v>893</v>
      </c>
      <c r="B218" s="677" t="s">
        <v>708</v>
      </c>
      <c r="C218" s="9">
        <v>75</v>
      </c>
      <c r="D218" s="9"/>
      <c r="E218" s="441">
        <f t="shared" si="9"/>
        <v>745</v>
      </c>
      <c r="F218" s="9"/>
      <c r="G218" s="26">
        <f t="shared" si="8"/>
        <v>548</v>
      </c>
    </row>
    <row r="219" spans="1:7">
      <c r="A219" s="676" t="s">
        <v>896</v>
      </c>
      <c r="B219" s="677" t="s">
        <v>427</v>
      </c>
      <c r="C219" s="9">
        <v>50</v>
      </c>
      <c r="D219" s="9"/>
      <c r="E219" s="441">
        <f t="shared" si="9"/>
        <v>795</v>
      </c>
      <c r="F219" s="9"/>
      <c r="G219" s="26">
        <f t="shared" si="8"/>
        <v>598</v>
      </c>
    </row>
    <row r="220" spans="1:7">
      <c r="A220" s="676" t="s">
        <v>896</v>
      </c>
      <c r="B220" s="677" t="s">
        <v>24</v>
      </c>
      <c r="C220" s="9">
        <v>50</v>
      </c>
      <c r="D220" s="9"/>
      <c r="E220" s="441">
        <f t="shared" si="9"/>
        <v>845</v>
      </c>
      <c r="F220" s="9"/>
      <c r="G220" s="26">
        <f t="shared" si="8"/>
        <v>648</v>
      </c>
    </row>
    <row r="221" spans="1:7">
      <c r="A221" s="676" t="s">
        <v>896</v>
      </c>
      <c r="B221" s="677" t="s">
        <v>508</v>
      </c>
      <c r="C221" s="9">
        <v>60</v>
      </c>
      <c r="D221" s="9"/>
      <c r="E221" s="441">
        <f>E220+C221-D221</f>
        <v>905</v>
      </c>
      <c r="F221" s="677" t="s">
        <v>46</v>
      </c>
      <c r="G221" s="26">
        <f t="shared" si="8"/>
        <v>708</v>
      </c>
    </row>
    <row r="222" spans="1:7">
      <c r="A222" s="683" t="s">
        <v>898</v>
      </c>
      <c r="B222" s="684" t="s">
        <v>427</v>
      </c>
      <c r="C222" s="9">
        <v>135</v>
      </c>
      <c r="D222" s="9"/>
      <c r="E222" s="441">
        <f t="shared" ref="E222:E240" si="10">E221+C222-D222</f>
        <v>1040</v>
      </c>
      <c r="F222" s="9"/>
      <c r="G222" s="26">
        <f t="shared" si="8"/>
        <v>843</v>
      </c>
    </row>
    <row r="223" spans="1:7">
      <c r="A223" s="683" t="s">
        <v>898</v>
      </c>
      <c r="B223" s="684" t="s">
        <v>646</v>
      </c>
      <c r="C223" s="9">
        <v>20</v>
      </c>
      <c r="D223" s="9"/>
      <c r="E223" s="441">
        <f t="shared" si="10"/>
        <v>1060</v>
      </c>
      <c r="F223" s="9"/>
      <c r="G223" s="26">
        <f t="shared" si="8"/>
        <v>863</v>
      </c>
    </row>
    <row r="224" spans="1:7">
      <c r="A224" s="125" t="s">
        <v>907</v>
      </c>
      <c r="B224" s="9" t="s">
        <v>24</v>
      </c>
      <c r="C224" s="9">
        <v>130</v>
      </c>
      <c r="D224" s="9"/>
      <c r="E224" s="441">
        <f t="shared" si="10"/>
        <v>1190</v>
      </c>
      <c r="F224" s="9"/>
      <c r="G224" s="26">
        <f t="shared" si="8"/>
        <v>993</v>
      </c>
    </row>
    <row r="225" spans="1:7">
      <c r="A225" s="125" t="s">
        <v>907</v>
      </c>
      <c r="B225" s="9" t="s">
        <v>909</v>
      </c>
      <c r="C225" s="9">
        <v>193</v>
      </c>
      <c r="D225" s="9"/>
      <c r="E225" s="441">
        <f t="shared" si="10"/>
        <v>1383</v>
      </c>
      <c r="F225" s="9"/>
      <c r="G225" s="26">
        <f t="shared" si="8"/>
        <v>1186</v>
      </c>
    </row>
    <row r="226" spans="1:7">
      <c r="A226" s="9" t="s">
        <v>907</v>
      </c>
      <c r="B226" s="9" t="s">
        <v>910</v>
      </c>
      <c r="C226" s="9"/>
      <c r="D226" s="9">
        <v>45</v>
      </c>
      <c r="E226" s="441">
        <f t="shared" si="10"/>
        <v>1338</v>
      </c>
      <c r="F226" s="9"/>
      <c r="G226" s="26">
        <f t="shared" si="8"/>
        <v>1141</v>
      </c>
    </row>
    <row r="227" spans="1:7">
      <c r="A227" s="690" t="s">
        <v>912</v>
      </c>
      <c r="B227" s="9" t="s">
        <v>909</v>
      </c>
      <c r="C227" s="9">
        <v>19</v>
      </c>
      <c r="D227" s="9"/>
      <c r="E227" s="441">
        <f t="shared" si="10"/>
        <v>1357</v>
      </c>
      <c r="F227" s="9"/>
      <c r="G227" s="26">
        <f t="shared" si="8"/>
        <v>1160</v>
      </c>
    </row>
    <row r="228" spans="1:7">
      <c r="A228" s="692" t="s">
        <v>914</v>
      </c>
      <c r="B228" s="690" t="s">
        <v>24</v>
      </c>
      <c r="C228" s="9">
        <v>51</v>
      </c>
      <c r="D228" s="9"/>
      <c r="E228" s="441">
        <f t="shared" si="10"/>
        <v>1408</v>
      </c>
      <c r="F228" s="9"/>
      <c r="G228" s="26">
        <f t="shared" si="8"/>
        <v>1211</v>
      </c>
    </row>
    <row r="229" spans="1:7">
      <c r="A229" s="697" t="s">
        <v>915</v>
      </c>
      <c r="B229" s="698" t="s">
        <v>427</v>
      </c>
      <c r="C229" s="9">
        <v>60</v>
      </c>
      <c r="D229" s="9"/>
      <c r="E229" s="441">
        <f t="shared" si="10"/>
        <v>1468</v>
      </c>
      <c r="F229" s="9"/>
      <c r="G229" s="26">
        <f t="shared" si="8"/>
        <v>1271</v>
      </c>
    </row>
    <row r="230" spans="1:7">
      <c r="A230" s="697" t="s">
        <v>915</v>
      </c>
      <c r="B230" s="698" t="s">
        <v>24</v>
      </c>
      <c r="C230" s="9">
        <v>38</v>
      </c>
      <c r="D230" s="9"/>
      <c r="E230" s="441">
        <f t="shared" si="10"/>
        <v>1506</v>
      </c>
      <c r="F230" s="698" t="s">
        <v>46</v>
      </c>
      <c r="G230" s="26">
        <f t="shared" si="8"/>
        <v>1309</v>
      </c>
    </row>
    <row r="231" spans="1:7">
      <c r="A231" s="702" t="s">
        <v>918</v>
      </c>
      <c r="B231" s="703" t="s">
        <v>508</v>
      </c>
      <c r="C231" s="9">
        <v>91</v>
      </c>
      <c r="D231" s="9"/>
      <c r="E231" s="441">
        <f t="shared" si="10"/>
        <v>1597</v>
      </c>
      <c r="F231" s="9"/>
      <c r="G231" s="26">
        <f t="shared" si="8"/>
        <v>1400</v>
      </c>
    </row>
    <row r="232" spans="1:7">
      <c r="A232" s="702" t="s">
        <v>918</v>
      </c>
      <c r="B232" s="703" t="s">
        <v>24</v>
      </c>
      <c r="C232" s="9">
        <v>60</v>
      </c>
      <c r="D232" s="9"/>
      <c r="E232" s="441">
        <f t="shared" si="10"/>
        <v>1657</v>
      </c>
      <c r="F232" s="703" t="s">
        <v>46</v>
      </c>
      <c r="G232" s="26">
        <f t="shared" si="8"/>
        <v>1460</v>
      </c>
    </row>
    <row r="233" spans="1:7" s="719" customFormat="1">
      <c r="A233" s="717">
        <v>43106</v>
      </c>
      <c r="B233" s="718" t="s">
        <v>924</v>
      </c>
      <c r="C233" s="13"/>
      <c r="D233" s="13">
        <v>54</v>
      </c>
      <c r="E233" s="441">
        <f t="shared" si="10"/>
        <v>1603</v>
      </c>
      <c r="F233" s="13"/>
      <c r="G233" s="26">
        <f t="shared" si="8"/>
        <v>1406</v>
      </c>
    </row>
    <row r="234" spans="1:7">
      <c r="A234" s="322">
        <v>43137</v>
      </c>
      <c r="B234" s="710" t="s">
        <v>24</v>
      </c>
      <c r="C234" s="9">
        <v>57</v>
      </c>
      <c r="D234" s="26"/>
      <c r="E234" s="441">
        <f t="shared" si="10"/>
        <v>1660</v>
      </c>
      <c r="F234" s="9"/>
      <c r="G234" s="26">
        <f t="shared" si="8"/>
        <v>1463</v>
      </c>
    </row>
    <row r="235" spans="1:7">
      <c r="A235" s="322">
        <v>43137</v>
      </c>
      <c r="B235" s="710" t="s">
        <v>616</v>
      </c>
      <c r="C235" s="9">
        <v>5</v>
      </c>
      <c r="D235" s="26"/>
      <c r="E235" s="441">
        <f t="shared" si="10"/>
        <v>1665</v>
      </c>
      <c r="F235" s="9"/>
      <c r="G235" s="26">
        <f t="shared" si="8"/>
        <v>1468</v>
      </c>
    </row>
    <row r="236" spans="1:7" s="719" customFormat="1">
      <c r="A236" s="720">
        <v>43165</v>
      </c>
      <c r="B236" s="13" t="s">
        <v>932</v>
      </c>
      <c r="C236" s="13"/>
      <c r="D236" s="13">
        <v>6</v>
      </c>
      <c r="E236" s="13">
        <f t="shared" si="10"/>
        <v>1659</v>
      </c>
      <c r="F236" s="13"/>
      <c r="G236" s="13">
        <f t="shared" si="8"/>
        <v>1462</v>
      </c>
    </row>
    <row r="237" spans="1:7">
      <c r="A237" s="42">
        <v>43196</v>
      </c>
      <c r="B237" s="9" t="s">
        <v>774</v>
      </c>
      <c r="C237" s="9">
        <v>13</v>
      </c>
      <c r="D237" s="9"/>
      <c r="E237" s="441">
        <f t="shared" si="10"/>
        <v>1672</v>
      </c>
      <c r="F237" s="9"/>
      <c r="G237" s="26">
        <f t="shared" ref="G237:G240" si="11">G236+C237-D237</f>
        <v>1475</v>
      </c>
    </row>
    <row r="238" spans="1:7">
      <c r="A238" s="21">
        <v>43226</v>
      </c>
      <c r="B238" s="715" t="s">
        <v>760</v>
      </c>
      <c r="C238" s="9">
        <v>31</v>
      </c>
      <c r="D238" s="9"/>
      <c r="E238" s="441">
        <f t="shared" si="10"/>
        <v>1703</v>
      </c>
      <c r="F238" s="9"/>
      <c r="G238" s="26">
        <f t="shared" si="11"/>
        <v>1506</v>
      </c>
    </row>
    <row r="239" spans="1:7" s="719" customFormat="1">
      <c r="A239" s="720">
        <v>43226</v>
      </c>
      <c r="B239" s="13" t="s">
        <v>938</v>
      </c>
      <c r="C239" s="13"/>
      <c r="D239" s="13">
        <v>11</v>
      </c>
      <c r="E239" s="441">
        <f t="shared" si="10"/>
        <v>1692</v>
      </c>
      <c r="F239" s="13"/>
      <c r="G239" s="26">
        <f t="shared" si="11"/>
        <v>1495</v>
      </c>
    </row>
    <row r="240" spans="1:7" s="719" customFormat="1">
      <c r="A240" s="22">
        <v>43226</v>
      </c>
      <c r="B240" s="13" t="s">
        <v>941</v>
      </c>
      <c r="C240" s="13"/>
      <c r="D240" s="13">
        <v>8</v>
      </c>
      <c r="E240" s="26">
        <f t="shared" si="10"/>
        <v>1684</v>
      </c>
      <c r="F240" s="13" t="s">
        <v>46</v>
      </c>
      <c r="G240" s="26">
        <f t="shared" si="11"/>
        <v>1487</v>
      </c>
    </row>
    <row r="241" spans="1:7">
      <c r="A241" s="125"/>
      <c r="B241" s="9"/>
      <c r="C241" s="9"/>
      <c r="D241" s="9"/>
      <c r="E241" s="9"/>
      <c r="F241" s="9"/>
      <c r="G241" s="9"/>
    </row>
    <row r="242" spans="1:7">
      <c r="A242" s="125"/>
      <c r="B242" s="9"/>
      <c r="C242" s="9"/>
      <c r="D242" s="9"/>
      <c r="E242" s="9"/>
      <c r="F242" s="9"/>
      <c r="G242" s="9"/>
    </row>
    <row r="243" spans="1:7">
      <c r="A243" s="125"/>
      <c r="B243" s="9"/>
      <c r="C243" s="9"/>
      <c r="D243" s="9"/>
      <c r="E243" s="9"/>
      <c r="F243" s="9"/>
      <c r="G243" s="9"/>
    </row>
    <row r="244" spans="1:7">
      <c r="A244" s="125"/>
      <c r="B244" s="9"/>
      <c r="C244" s="9"/>
      <c r="D244" s="9"/>
      <c r="E244" s="9"/>
      <c r="F244" s="9"/>
      <c r="G244" s="9"/>
    </row>
    <row r="245" spans="1:7">
      <c r="A245" s="125"/>
      <c r="B245" s="9"/>
      <c r="C245" s="9"/>
      <c r="D245" s="9"/>
      <c r="E245" s="9"/>
      <c r="F245" s="9"/>
      <c r="G245" s="9"/>
    </row>
    <row r="246" spans="1:7">
      <c r="A246" s="125"/>
      <c r="B246" s="9"/>
      <c r="C246" s="9"/>
      <c r="D246" s="9"/>
      <c r="E246" s="9"/>
      <c r="F246" s="9"/>
      <c r="G246" s="9"/>
    </row>
  </sheetData>
  <pageMargins left="0.69930555555555596" right="0.69930555555555596" top="0" bottom="0" header="0.3" footer="0.3"/>
  <pageSetup paperSize="9" scale="75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75"/>
  <sheetViews>
    <sheetView topLeftCell="A34" zoomScale="110" zoomScaleNormal="110" zoomScalePageLayoutView="110" workbookViewId="0">
      <selection activeCell="F68" sqref="F68"/>
    </sheetView>
  </sheetViews>
  <sheetFormatPr baseColWidth="10" defaultColWidth="9" defaultRowHeight="14" x14ac:dyDescent="0"/>
  <cols>
    <col min="1" max="1" width="13.33203125" style="274" customWidth="1"/>
    <col min="2" max="2" width="35.5" style="274" customWidth="1"/>
    <col min="3" max="5" width="9" style="274"/>
    <col min="6" max="6" width="13.1640625" style="274" bestFit="1" customWidth="1"/>
  </cols>
  <sheetData>
    <row r="2" spans="1:6" s="129" customFormat="1" ht="15">
      <c r="A2" s="271" t="s">
        <v>38</v>
      </c>
      <c r="B2" s="271"/>
      <c r="C2" s="275"/>
      <c r="D2" s="275"/>
      <c r="E2" s="275"/>
      <c r="F2" s="276"/>
    </row>
    <row r="3" spans="1:6">
      <c r="A3" s="272"/>
      <c r="B3" s="277"/>
      <c r="C3" s="272"/>
      <c r="D3" s="272"/>
      <c r="E3" s="272"/>
    </row>
    <row r="4" spans="1:6">
      <c r="A4" s="52" t="s">
        <v>1</v>
      </c>
      <c r="B4" s="52" t="s">
        <v>429</v>
      </c>
      <c r="C4" s="52" t="s">
        <v>3</v>
      </c>
      <c r="D4" s="52" t="s">
        <v>4</v>
      </c>
      <c r="E4" s="52" t="s">
        <v>5</v>
      </c>
      <c r="F4" s="25" t="s">
        <v>6</v>
      </c>
    </row>
    <row r="5" spans="1:6">
      <c r="A5" s="25"/>
      <c r="B5" s="25" t="s">
        <v>408</v>
      </c>
      <c r="C5" s="25"/>
      <c r="D5" s="25"/>
      <c r="E5" s="25">
        <v>822</v>
      </c>
      <c r="F5" s="25"/>
    </row>
    <row r="6" spans="1:6">
      <c r="A6" s="21">
        <v>43221</v>
      </c>
      <c r="B6" s="313" t="s">
        <v>436</v>
      </c>
      <c r="C6" s="25">
        <v>7</v>
      </c>
      <c r="D6" s="25"/>
      <c r="E6" s="25">
        <f>E5+C6-D6</f>
        <v>829</v>
      </c>
      <c r="F6" s="25"/>
    </row>
    <row r="7" spans="1:6">
      <c r="A7" s="42">
        <v>43221</v>
      </c>
      <c r="B7" s="313" t="s">
        <v>438</v>
      </c>
      <c r="C7" s="25">
        <v>52</v>
      </c>
      <c r="D7" s="25"/>
      <c r="E7" s="25">
        <f>E6+C7-D7</f>
        <v>881</v>
      </c>
      <c r="F7" s="25" t="s">
        <v>46</v>
      </c>
    </row>
    <row r="8" spans="1:6">
      <c r="A8" s="322">
        <v>43313</v>
      </c>
      <c r="B8" s="320" t="s">
        <v>454</v>
      </c>
      <c r="C8" s="25">
        <v>11</v>
      </c>
      <c r="D8" s="25"/>
      <c r="E8" s="25">
        <f t="shared" ref="E8:E67" si="0">E7+C8-D8</f>
        <v>892</v>
      </c>
      <c r="F8" s="25"/>
    </row>
    <row r="9" spans="1:6">
      <c r="A9" s="21">
        <v>43313</v>
      </c>
      <c r="B9" s="320" t="s">
        <v>8</v>
      </c>
      <c r="C9" s="25">
        <v>19</v>
      </c>
      <c r="D9" s="25"/>
      <c r="E9" s="25">
        <f t="shared" si="0"/>
        <v>911</v>
      </c>
      <c r="F9" s="25" t="s">
        <v>46</v>
      </c>
    </row>
    <row r="10" spans="1:6">
      <c r="A10" s="21">
        <v>43374</v>
      </c>
      <c r="B10" s="326" t="s">
        <v>466</v>
      </c>
      <c r="C10" s="25">
        <v>6</v>
      </c>
      <c r="D10" s="25"/>
      <c r="E10" s="25">
        <f t="shared" si="0"/>
        <v>917</v>
      </c>
      <c r="F10" s="25"/>
    </row>
    <row r="11" spans="1:6">
      <c r="A11" s="21">
        <v>43374</v>
      </c>
      <c r="B11" s="326" t="s">
        <v>470</v>
      </c>
      <c r="C11" s="25">
        <v>3</v>
      </c>
      <c r="D11" s="25"/>
      <c r="E11" s="25">
        <f t="shared" si="0"/>
        <v>920</v>
      </c>
      <c r="F11" s="25" t="s">
        <v>46</v>
      </c>
    </row>
    <row r="12" spans="1:6" ht="15">
      <c r="A12" s="49">
        <v>43405</v>
      </c>
      <c r="B12" s="35" t="s">
        <v>472</v>
      </c>
      <c r="C12" s="25">
        <v>4</v>
      </c>
      <c r="D12" s="25"/>
      <c r="E12" s="25">
        <f t="shared" si="0"/>
        <v>924</v>
      </c>
      <c r="F12" s="25"/>
    </row>
    <row r="13" spans="1:6">
      <c r="A13" s="322">
        <v>43405</v>
      </c>
      <c r="B13" s="25" t="s">
        <v>15</v>
      </c>
      <c r="C13" s="25">
        <v>110</v>
      </c>
      <c r="D13" s="25"/>
      <c r="E13" s="25">
        <f t="shared" si="0"/>
        <v>1034</v>
      </c>
      <c r="F13" s="25"/>
    </row>
    <row r="14" spans="1:6">
      <c r="A14" s="57">
        <v>43435</v>
      </c>
      <c r="B14" s="331" t="s">
        <v>424</v>
      </c>
      <c r="C14" s="25">
        <v>91</v>
      </c>
      <c r="D14" s="25"/>
      <c r="E14" s="25">
        <f t="shared" si="0"/>
        <v>1125</v>
      </c>
      <c r="F14" s="25" t="s">
        <v>46</v>
      </c>
    </row>
    <row r="15" spans="1:6">
      <c r="A15" s="25" t="s">
        <v>488</v>
      </c>
      <c r="B15" s="25" t="s">
        <v>15</v>
      </c>
      <c r="C15" s="25">
        <v>41</v>
      </c>
      <c r="D15" s="25"/>
      <c r="E15" s="25">
        <f t="shared" si="0"/>
        <v>1166</v>
      </c>
      <c r="F15" s="25"/>
    </row>
    <row r="16" spans="1:6">
      <c r="A16" s="340" t="s">
        <v>500</v>
      </c>
      <c r="B16" s="341" t="s">
        <v>501</v>
      </c>
      <c r="C16" s="25">
        <v>11</v>
      </c>
      <c r="D16" s="25"/>
      <c r="E16" s="25">
        <f t="shared" si="0"/>
        <v>1177</v>
      </c>
      <c r="F16" s="25"/>
    </row>
    <row r="17" spans="1:6">
      <c r="A17" s="341" t="s">
        <v>509</v>
      </c>
      <c r="B17" s="341" t="s">
        <v>468</v>
      </c>
      <c r="C17" s="25">
        <v>1</v>
      </c>
      <c r="D17" s="25"/>
      <c r="E17" s="25">
        <f t="shared" si="0"/>
        <v>1178</v>
      </c>
      <c r="F17" s="25" t="s">
        <v>46</v>
      </c>
    </row>
    <row r="18" spans="1:6">
      <c r="A18" s="347" t="s">
        <v>516</v>
      </c>
      <c r="B18" s="348" t="s">
        <v>452</v>
      </c>
      <c r="C18" s="25">
        <v>2</v>
      </c>
      <c r="D18" s="25"/>
      <c r="E18" s="25">
        <f t="shared" si="0"/>
        <v>1180</v>
      </c>
      <c r="F18" s="25"/>
    </row>
    <row r="19" spans="1:6">
      <c r="A19" s="25" t="s">
        <v>531</v>
      </c>
      <c r="B19" s="25" t="s">
        <v>532</v>
      </c>
      <c r="C19" s="25">
        <v>75</v>
      </c>
      <c r="D19" s="25"/>
      <c r="E19" s="25">
        <f t="shared" si="0"/>
        <v>1255</v>
      </c>
      <c r="F19" s="25"/>
    </row>
    <row r="20" spans="1:6">
      <c r="A20" s="347" t="s">
        <v>531</v>
      </c>
      <c r="B20" s="348" t="s">
        <v>534</v>
      </c>
      <c r="C20" s="25">
        <v>42</v>
      </c>
      <c r="D20" s="25"/>
      <c r="E20" s="25">
        <f t="shared" si="0"/>
        <v>1297</v>
      </c>
      <c r="F20" s="25"/>
    </row>
    <row r="21" spans="1:6">
      <c r="A21" s="357" t="s">
        <v>547</v>
      </c>
      <c r="B21" s="357" t="s">
        <v>402</v>
      </c>
      <c r="C21" s="25">
        <v>35</v>
      </c>
      <c r="D21" s="25"/>
      <c r="E21" s="25">
        <f t="shared" si="0"/>
        <v>1332</v>
      </c>
      <c r="F21" s="25"/>
    </row>
    <row r="22" spans="1:6">
      <c r="A22" s="358" t="s">
        <v>551</v>
      </c>
      <c r="B22" s="357" t="s">
        <v>552</v>
      </c>
      <c r="C22" s="25">
        <v>21</v>
      </c>
      <c r="D22" s="25"/>
      <c r="E22" s="25">
        <f t="shared" si="0"/>
        <v>1353</v>
      </c>
      <c r="F22" s="25"/>
    </row>
    <row r="23" spans="1:6">
      <c r="A23" s="370" t="s">
        <v>569</v>
      </c>
      <c r="B23" s="371" t="s">
        <v>8</v>
      </c>
      <c r="C23" s="25">
        <v>3</v>
      </c>
      <c r="D23" s="25"/>
      <c r="E23" s="25">
        <f t="shared" si="0"/>
        <v>1356</v>
      </c>
      <c r="F23" s="25"/>
    </row>
    <row r="24" spans="1:6">
      <c r="A24" s="369" t="s">
        <v>569</v>
      </c>
      <c r="B24" s="369" t="s">
        <v>580</v>
      </c>
      <c r="C24" s="25"/>
      <c r="D24" s="25">
        <v>100</v>
      </c>
      <c r="E24" s="25">
        <f t="shared" si="0"/>
        <v>1256</v>
      </c>
      <c r="F24" s="25"/>
    </row>
    <row r="25" spans="1:6">
      <c r="A25" s="57">
        <v>43102</v>
      </c>
      <c r="B25" s="389" t="s">
        <v>596</v>
      </c>
      <c r="C25" s="25">
        <v>42</v>
      </c>
      <c r="D25" s="25"/>
      <c r="E25" s="25">
        <f t="shared" si="0"/>
        <v>1298</v>
      </c>
      <c r="F25" s="25"/>
    </row>
    <row r="26" spans="1:6">
      <c r="A26" s="57">
        <v>43222</v>
      </c>
      <c r="B26" s="402" t="s">
        <v>463</v>
      </c>
      <c r="C26" s="25">
        <v>3</v>
      </c>
      <c r="D26" s="25"/>
      <c r="E26" s="25">
        <f t="shared" si="0"/>
        <v>1301</v>
      </c>
      <c r="F26" s="25"/>
    </row>
    <row r="27" spans="1:6">
      <c r="A27" s="322">
        <v>43222</v>
      </c>
      <c r="B27" s="25" t="s">
        <v>604</v>
      </c>
      <c r="C27" s="25">
        <v>45</v>
      </c>
      <c r="D27" s="25"/>
      <c r="E27" s="25">
        <f t="shared" si="0"/>
        <v>1346</v>
      </c>
      <c r="F27" s="25"/>
    </row>
    <row r="28" spans="1:6">
      <c r="A28" s="21">
        <v>43222</v>
      </c>
      <c r="B28" s="401" t="s">
        <v>607</v>
      </c>
      <c r="C28" s="25">
        <v>11</v>
      </c>
      <c r="D28" s="25"/>
      <c r="E28" s="25">
        <f t="shared" si="0"/>
        <v>1357</v>
      </c>
      <c r="F28" s="25"/>
    </row>
    <row r="29" spans="1:6">
      <c r="A29" s="21">
        <v>43283</v>
      </c>
      <c r="B29" s="411" t="s">
        <v>615</v>
      </c>
      <c r="C29" s="25">
        <v>1</v>
      </c>
      <c r="D29" s="25"/>
      <c r="E29" s="25">
        <f t="shared" si="0"/>
        <v>1358</v>
      </c>
      <c r="F29" s="25"/>
    </row>
    <row r="30" spans="1:6">
      <c r="A30" s="57">
        <v>43314</v>
      </c>
      <c r="B30" s="412" t="s">
        <v>620</v>
      </c>
      <c r="C30" s="25">
        <v>31</v>
      </c>
      <c r="D30" s="25"/>
      <c r="E30" s="25">
        <f t="shared" si="0"/>
        <v>1389</v>
      </c>
      <c r="F30" s="25"/>
    </row>
    <row r="31" spans="1:6">
      <c r="A31" s="322">
        <v>43324</v>
      </c>
      <c r="B31" s="25" t="s">
        <v>587</v>
      </c>
      <c r="C31" s="25">
        <v>38</v>
      </c>
      <c r="D31" s="25"/>
      <c r="E31" s="25">
        <f t="shared" si="0"/>
        <v>1427</v>
      </c>
      <c r="F31" s="25"/>
    </row>
    <row r="32" spans="1:6">
      <c r="A32" s="429" t="s">
        <v>636</v>
      </c>
      <c r="B32" s="429" t="s">
        <v>637</v>
      </c>
      <c r="C32" s="25">
        <v>10</v>
      </c>
      <c r="D32" s="25"/>
      <c r="E32" s="25">
        <f t="shared" si="0"/>
        <v>1437</v>
      </c>
      <c r="F32" s="25"/>
    </row>
    <row r="33" spans="1:6">
      <c r="A33" s="25" t="s">
        <v>644</v>
      </c>
      <c r="B33" s="25" t="s">
        <v>17</v>
      </c>
      <c r="C33" s="25"/>
      <c r="D33" s="25">
        <v>100</v>
      </c>
      <c r="E33" s="25">
        <f t="shared" si="0"/>
        <v>1337</v>
      </c>
      <c r="F33" s="25"/>
    </row>
    <row r="34" spans="1:6" ht="15">
      <c r="A34" s="33" t="s">
        <v>649</v>
      </c>
      <c r="B34" s="33" t="s">
        <v>17</v>
      </c>
      <c r="C34" s="25"/>
      <c r="D34" s="25">
        <v>300</v>
      </c>
      <c r="E34" s="25">
        <f t="shared" si="0"/>
        <v>1037</v>
      </c>
      <c r="F34" s="25"/>
    </row>
    <row r="35" spans="1:6">
      <c r="A35" s="445" t="s">
        <v>651</v>
      </c>
      <c r="B35" s="445" t="s">
        <v>587</v>
      </c>
      <c r="C35" s="25">
        <v>5</v>
      </c>
      <c r="D35" s="25"/>
      <c r="E35" s="25">
        <f t="shared" si="0"/>
        <v>1042</v>
      </c>
      <c r="F35" s="25"/>
    </row>
    <row r="36" spans="1:6">
      <c r="A36" s="444" t="s">
        <v>656</v>
      </c>
      <c r="B36" s="444" t="s">
        <v>601</v>
      </c>
      <c r="C36" s="25">
        <v>1</v>
      </c>
      <c r="D36" s="25"/>
      <c r="E36" s="25">
        <f t="shared" si="0"/>
        <v>1043</v>
      </c>
      <c r="F36" s="25"/>
    </row>
    <row r="37" spans="1:6">
      <c r="A37" s="452" t="s">
        <v>665</v>
      </c>
      <c r="B37" s="9" t="s">
        <v>24</v>
      </c>
      <c r="C37" s="25">
        <v>24</v>
      </c>
      <c r="D37" s="25"/>
      <c r="E37" s="25">
        <f t="shared" si="0"/>
        <v>1067</v>
      </c>
      <c r="F37" s="25"/>
    </row>
    <row r="38" spans="1:6">
      <c r="A38" s="454" t="s">
        <v>665</v>
      </c>
      <c r="B38" s="452" t="s">
        <v>621</v>
      </c>
      <c r="C38" s="25">
        <v>70</v>
      </c>
      <c r="D38" s="25"/>
      <c r="E38" s="25">
        <f t="shared" si="0"/>
        <v>1137</v>
      </c>
      <c r="F38" s="25"/>
    </row>
    <row r="39" spans="1:6">
      <c r="A39" s="473" t="s">
        <v>694</v>
      </c>
      <c r="B39" s="472" t="s">
        <v>699</v>
      </c>
      <c r="C39" s="25">
        <v>22</v>
      </c>
      <c r="D39" s="25"/>
      <c r="E39" s="25">
        <f t="shared" si="0"/>
        <v>1159</v>
      </c>
      <c r="F39" s="25"/>
    </row>
    <row r="40" spans="1:6">
      <c r="A40" s="502" t="s">
        <v>728</v>
      </c>
      <c r="B40" s="502" t="s">
        <v>15</v>
      </c>
      <c r="C40" s="25">
        <v>144</v>
      </c>
      <c r="D40" s="25"/>
      <c r="E40" s="25">
        <f t="shared" si="0"/>
        <v>1303</v>
      </c>
      <c r="F40" s="25"/>
    </row>
    <row r="41" spans="1:6">
      <c r="A41" s="513" t="s">
        <v>738</v>
      </c>
      <c r="B41" s="513" t="s">
        <v>739</v>
      </c>
      <c r="C41" s="25">
        <v>5</v>
      </c>
      <c r="D41" s="25"/>
      <c r="E41" s="25">
        <f t="shared" si="0"/>
        <v>1308</v>
      </c>
      <c r="F41" s="25"/>
    </row>
    <row r="42" spans="1:6">
      <c r="A42" s="25" t="s">
        <v>744</v>
      </c>
      <c r="B42" s="25" t="s">
        <v>16</v>
      </c>
      <c r="C42" s="25">
        <v>6</v>
      </c>
      <c r="D42" s="25"/>
      <c r="E42" s="25">
        <f t="shared" si="0"/>
        <v>1314</v>
      </c>
      <c r="F42" s="25" t="s">
        <v>46</v>
      </c>
    </row>
    <row r="43" spans="1:6">
      <c r="A43" s="25" t="s">
        <v>829</v>
      </c>
      <c r="B43" s="25" t="s">
        <v>775</v>
      </c>
      <c r="C43" s="25"/>
      <c r="D43" s="25">
        <v>100</v>
      </c>
      <c r="E43" s="25">
        <f t="shared" si="0"/>
        <v>1214</v>
      </c>
      <c r="F43" s="25"/>
    </row>
    <row r="44" spans="1:6">
      <c r="A44" s="25" t="s">
        <v>829</v>
      </c>
      <c r="B44" s="25" t="s">
        <v>775</v>
      </c>
      <c r="C44" s="25"/>
      <c r="D44" s="25">
        <v>80</v>
      </c>
      <c r="E44" s="25">
        <f t="shared" si="0"/>
        <v>1134</v>
      </c>
      <c r="F44" s="25"/>
    </row>
    <row r="45" spans="1:6">
      <c r="A45" s="25" t="s">
        <v>750</v>
      </c>
      <c r="B45" s="25" t="s">
        <v>751</v>
      </c>
      <c r="C45" s="25">
        <v>2</v>
      </c>
      <c r="D45" s="25"/>
      <c r="E45" s="25">
        <f t="shared" si="0"/>
        <v>1136</v>
      </c>
      <c r="F45" s="25" t="s">
        <v>46</v>
      </c>
    </row>
    <row r="46" spans="1:6">
      <c r="A46" s="598" t="s">
        <v>826</v>
      </c>
      <c r="B46" s="9" t="s">
        <v>24</v>
      </c>
      <c r="C46" s="25">
        <v>51</v>
      </c>
      <c r="D46" s="25"/>
      <c r="E46" s="25">
        <f t="shared" si="0"/>
        <v>1187</v>
      </c>
      <c r="F46" s="25"/>
    </row>
    <row r="47" spans="1:6">
      <c r="A47" s="25" t="s">
        <v>826</v>
      </c>
      <c r="B47" s="25" t="s">
        <v>827</v>
      </c>
      <c r="C47" s="25"/>
      <c r="D47" s="25">
        <v>165</v>
      </c>
      <c r="E47" s="25">
        <f t="shared" si="0"/>
        <v>1022</v>
      </c>
      <c r="F47" s="25" t="s">
        <v>46</v>
      </c>
    </row>
    <row r="48" spans="1:6">
      <c r="A48" s="25" t="s">
        <v>832</v>
      </c>
      <c r="B48" s="25" t="s">
        <v>532</v>
      </c>
      <c r="C48" s="25"/>
      <c r="D48" s="25">
        <v>168</v>
      </c>
      <c r="E48" s="25">
        <f t="shared" si="0"/>
        <v>854</v>
      </c>
      <c r="F48" s="25" t="s">
        <v>46</v>
      </c>
    </row>
    <row r="49" spans="1:6">
      <c r="A49" s="21">
        <v>43136</v>
      </c>
      <c r="B49" s="9" t="s">
        <v>560</v>
      </c>
      <c r="C49" s="25"/>
      <c r="D49" s="25">
        <v>20</v>
      </c>
      <c r="E49" s="25">
        <f t="shared" si="0"/>
        <v>834</v>
      </c>
      <c r="F49" s="25"/>
    </row>
    <row r="50" spans="1:6">
      <c r="A50" s="21">
        <v>43136</v>
      </c>
      <c r="B50" s="9" t="s">
        <v>560</v>
      </c>
      <c r="C50" s="25"/>
      <c r="D50" s="25">
        <v>100</v>
      </c>
      <c r="E50" s="25">
        <f t="shared" si="0"/>
        <v>734</v>
      </c>
      <c r="F50" s="25" t="s">
        <v>46</v>
      </c>
    </row>
    <row r="51" spans="1:6">
      <c r="A51" s="322">
        <v>43378</v>
      </c>
      <c r="B51" s="9" t="s">
        <v>560</v>
      </c>
      <c r="C51" s="25"/>
      <c r="D51" s="25">
        <v>60</v>
      </c>
      <c r="E51" s="25">
        <f t="shared" si="0"/>
        <v>674</v>
      </c>
      <c r="F51" s="25"/>
    </row>
    <row r="52" spans="1:6" hidden="1">
      <c r="A52" s="25"/>
      <c r="B52" s="25"/>
      <c r="C52" s="25"/>
      <c r="D52" s="25"/>
      <c r="E52" s="25">
        <f t="shared" si="0"/>
        <v>674</v>
      </c>
      <c r="F52" s="25"/>
    </row>
    <row r="53" spans="1:6" hidden="1">
      <c r="A53" s="25"/>
      <c r="B53" s="25"/>
      <c r="C53" s="25"/>
      <c r="D53" s="25"/>
      <c r="E53" s="25">
        <f t="shared" si="0"/>
        <v>674</v>
      </c>
      <c r="F53" s="25"/>
    </row>
    <row r="54" spans="1:6" hidden="1">
      <c r="A54" s="25"/>
      <c r="B54" s="25"/>
      <c r="C54" s="25"/>
      <c r="D54" s="25"/>
      <c r="E54" s="25">
        <f t="shared" si="0"/>
        <v>674</v>
      </c>
      <c r="F54" s="25"/>
    </row>
    <row r="55" spans="1:6" hidden="1">
      <c r="A55" s="25"/>
      <c r="B55" s="25"/>
      <c r="C55" s="25"/>
      <c r="D55" s="25"/>
      <c r="E55" s="25">
        <f t="shared" si="0"/>
        <v>674</v>
      </c>
      <c r="F55" s="25"/>
    </row>
    <row r="56" spans="1:6" hidden="1">
      <c r="A56" s="25"/>
      <c r="B56" s="25"/>
      <c r="C56" s="25"/>
      <c r="D56" s="25"/>
      <c r="E56" s="25">
        <f t="shared" si="0"/>
        <v>674</v>
      </c>
      <c r="F56" s="25"/>
    </row>
    <row r="57" spans="1:6" hidden="1">
      <c r="A57" s="25"/>
      <c r="B57" s="25"/>
      <c r="C57" s="25"/>
      <c r="D57" s="25"/>
      <c r="E57" s="25">
        <f t="shared" si="0"/>
        <v>674</v>
      </c>
      <c r="F57" s="25"/>
    </row>
    <row r="58" spans="1:6" hidden="1">
      <c r="A58" s="25"/>
      <c r="B58" s="25"/>
      <c r="C58" s="25"/>
      <c r="D58" s="25"/>
      <c r="E58" s="25">
        <f t="shared" si="0"/>
        <v>674</v>
      </c>
      <c r="F58" s="25"/>
    </row>
    <row r="59" spans="1:6" hidden="1">
      <c r="A59" s="25"/>
      <c r="B59" s="25"/>
      <c r="C59" s="25"/>
      <c r="D59" s="25"/>
      <c r="E59" s="25">
        <f t="shared" si="0"/>
        <v>674</v>
      </c>
      <c r="F59" s="25"/>
    </row>
    <row r="60" spans="1:6" hidden="1">
      <c r="A60" s="25"/>
      <c r="B60" s="25"/>
      <c r="C60" s="25"/>
      <c r="D60" s="25"/>
      <c r="E60" s="25">
        <f t="shared" si="0"/>
        <v>674</v>
      </c>
      <c r="F60" s="25"/>
    </row>
    <row r="61" spans="1:6" hidden="1">
      <c r="A61" s="25"/>
      <c r="B61" s="25"/>
      <c r="C61" s="25"/>
      <c r="D61" s="25"/>
      <c r="E61" s="25">
        <f t="shared" si="0"/>
        <v>674</v>
      </c>
      <c r="F61" s="25"/>
    </row>
    <row r="62" spans="1:6" hidden="1">
      <c r="A62" s="25"/>
      <c r="B62" s="25"/>
      <c r="C62" s="25"/>
      <c r="D62" s="25"/>
      <c r="E62" s="25">
        <f t="shared" si="0"/>
        <v>674</v>
      </c>
      <c r="F62" s="25"/>
    </row>
    <row r="63" spans="1:6" hidden="1">
      <c r="E63" s="25">
        <f t="shared" si="0"/>
        <v>674</v>
      </c>
    </row>
    <row r="64" spans="1:6">
      <c r="A64" s="322">
        <v>43106</v>
      </c>
      <c r="B64" s="25" t="s">
        <v>921</v>
      </c>
      <c r="C64" s="25"/>
      <c r="D64" s="709">
        <v>87</v>
      </c>
      <c r="E64" s="25">
        <f t="shared" si="0"/>
        <v>587</v>
      </c>
      <c r="F64" s="25" t="s">
        <v>922</v>
      </c>
    </row>
    <row r="65" spans="1:6">
      <c r="A65" s="322">
        <v>43106</v>
      </c>
      <c r="B65" s="25" t="s">
        <v>921</v>
      </c>
      <c r="C65" s="25"/>
      <c r="D65" s="709">
        <v>65</v>
      </c>
      <c r="E65" s="25">
        <f t="shared" si="0"/>
        <v>522</v>
      </c>
      <c r="F65" s="25" t="s">
        <v>923</v>
      </c>
    </row>
    <row r="66" spans="1:6">
      <c r="A66" s="21">
        <v>43165</v>
      </c>
      <c r="B66" s="708" t="s">
        <v>930</v>
      </c>
      <c r="C66" s="25"/>
      <c r="D66" s="25">
        <v>13</v>
      </c>
      <c r="E66" s="25">
        <f t="shared" si="0"/>
        <v>509</v>
      </c>
      <c r="F66" s="25"/>
    </row>
    <row r="67" spans="1:6">
      <c r="A67" s="21">
        <v>43165</v>
      </c>
      <c r="B67" s="708" t="s">
        <v>931</v>
      </c>
      <c r="C67" s="25"/>
      <c r="D67" s="25">
        <v>7</v>
      </c>
      <c r="E67" s="25">
        <f t="shared" si="0"/>
        <v>502</v>
      </c>
      <c r="F67" s="25" t="s">
        <v>46</v>
      </c>
    </row>
    <row r="68" spans="1:6">
      <c r="A68" s="25"/>
      <c r="B68" s="25"/>
      <c r="C68" s="25"/>
      <c r="D68" s="25"/>
      <c r="E68" s="25"/>
      <c r="F68" s="25"/>
    </row>
    <row r="69" spans="1:6">
      <c r="A69" s="25"/>
      <c r="B69" s="25"/>
      <c r="C69" s="25"/>
      <c r="D69" s="25"/>
      <c r="E69" s="25"/>
      <c r="F69" s="25"/>
    </row>
    <row r="70" spans="1:6">
      <c r="A70" s="25"/>
      <c r="B70" s="25"/>
      <c r="C70" s="25"/>
      <c r="D70" s="25"/>
      <c r="E70" s="25"/>
      <c r="F70" s="25"/>
    </row>
    <row r="71" spans="1:6">
      <c r="A71" s="25"/>
      <c r="B71" s="25"/>
      <c r="C71" s="25"/>
      <c r="D71" s="25"/>
      <c r="E71" s="25"/>
      <c r="F71" s="25"/>
    </row>
    <row r="72" spans="1:6">
      <c r="A72" s="25"/>
      <c r="B72" s="25"/>
      <c r="C72" s="25"/>
      <c r="D72" s="25"/>
      <c r="E72" s="25"/>
      <c r="F72" s="25"/>
    </row>
    <row r="73" spans="1:6">
      <c r="A73" s="25"/>
      <c r="B73" s="25"/>
      <c r="C73" s="25"/>
      <c r="D73" s="25"/>
      <c r="E73" s="25"/>
      <c r="F73" s="25"/>
    </row>
    <row r="74" spans="1:6">
      <c r="A74" s="25"/>
      <c r="B74" s="25"/>
      <c r="C74" s="25"/>
      <c r="D74" s="25"/>
      <c r="E74" s="25"/>
      <c r="F74" s="25"/>
    </row>
    <row r="75" spans="1:6">
      <c r="A75" s="25"/>
      <c r="B75" s="25"/>
      <c r="C75" s="25"/>
      <c r="D75" s="25"/>
      <c r="E75" s="25"/>
      <c r="F75" s="25"/>
    </row>
  </sheetData>
  <pageMargins left="0.69930555555555596" right="0.69930555555555596" top="0" bottom="0" header="0.3" footer="0.3"/>
  <pageSetup paperSize="9" scale="85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8219"/>
  <sheetViews>
    <sheetView topLeftCell="A118" zoomScale="110" zoomScaleNormal="110" zoomScalePageLayoutView="110" workbookViewId="0">
      <selection activeCell="F132" sqref="F132"/>
    </sheetView>
  </sheetViews>
  <sheetFormatPr baseColWidth="10" defaultColWidth="9" defaultRowHeight="14" x14ac:dyDescent="0.75"/>
  <cols>
    <col min="1" max="1" width="11.1640625" customWidth="1"/>
    <col min="2" max="2" width="42.5" customWidth="1"/>
    <col min="6" max="6" width="12.5" customWidth="1"/>
  </cols>
  <sheetData>
    <row r="1" spans="1:6" ht="15">
      <c r="A1" s="217" t="s">
        <v>39</v>
      </c>
      <c r="B1" s="217"/>
      <c r="C1" s="217"/>
      <c r="D1" s="217"/>
      <c r="E1" s="217"/>
      <c r="F1" s="273"/>
    </row>
    <row r="2" spans="1:6" s="273" customFormat="1" ht="15">
      <c r="A2" s="50"/>
      <c r="B2" s="51"/>
      <c r="C2" s="50"/>
      <c r="D2" s="50"/>
      <c r="E2" s="50"/>
      <c r="F2"/>
    </row>
    <row r="3" spans="1:6">
      <c r="A3" s="52" t="s">
        <v>1</v>
      </c>
      <c r="B3" s="52" t="s">
        <v>429</v>
      </c>
      <c r="C3" s="52" t="s">
        <v>3</v>
      </c>
      <c r="D3" s="52" t="s">
        <v>4</v>
      </c>
      <c r="E3" s="52" t="s">
        <v>5</v>
      </c>
      <c r="F3" s="25" t="s">
        <v>6</v>
      </c>
    </row>
    <row r="4" spans="1:6">
      <c r="A4" s="9"/>
      <c r="B4" s="712" t="s">
        <v>418</v>
      </c>
      <c r="C4" s="9"/>
      <c r="D4" s="9"/>
      <c r="E4" s="713">
        <v>17613</v>
      </c>
      <c r="F4" s="9"/>
    </row>
    <row r="5" spans="1:6">
      <c r="A5" s="42">
        <v>43160</v>
      </c>
      <c r="B5" s="299" t="s">
        <v>8</v>
      </c>
      <c r="C5" s="9">
        <v>250</v>
      </c>
      <c r="D5" s="9"/>
      <c r="E5" s="9">
        <f>E4+C5-D5</f>
        <v>17863</v>
      </c>
      <c r="F5" s="299" t="s">
        <v>46</v>
      </c>
    </row>
    <row r="6" spans="1:6">
      <c r="A6" s="21">
        <v>43221</v>
      </c>
      <c r="B6" s="313" t="s">
        <v>15</v>
      </c>
      <c r="C6" s="9">
        <v>4</v>
      </c>
      <c r="D6" s="9"/>
      <c r="E6" s="9">
        <f>E5+C6-D6</f>
        <v>17867</v>
      </c>
      <c r="F6" s="313" t="s">
        <v>46</v>
      </c>
    </row>
    <row r="7" spans="1:6">
      <c r="A7" s="21">
        <v>43252</v>
      </c>
      <c r="B7" s="317" t="s">
        <v>448</v>
      </c>
      <c r="C7" s="9"/>
      <c r="D7" s="9">
        <v>400</v>
      </c>
      <c r="E7" s="9">
        <f t="shared" ref="E7:E70" si="0">E6+C7-D7</f>
        <v>17467</v>
      </c>
      <c r="F7" s="9"/>
    </row>
    <row r="8" spans="1:6">
      <c r="A8" s="21">
        <v>43252</v>
      </c>
      <c r="B8" s="317" t="s">
        <v>449</v>
      </c>
      <c r="C8" s="9">
        <v>200</v>
      </c>
      <c r="D8" s="9"/>
      <c r="E8" s="9">
        <f t="shared" si="0"/>
        <v>17667</v>
      </c>
      <c r="F8" s="9"/>
    </row>
    <row r="9" spans="1:6">
      <c r="A9" s="21">
        <v>43313</v>
      </c>
      <c r="B9" s="9" t="s">
        <v>449</v>
      </c>
      <c r="C9" s="9">
        <v>100</v>
      </c>
      <c r="D9" s="9"/>
      <c r="E9" s="9">
        <f t="shared" si="0"/>
        <v>17767</v>
      </c>
      <c r="F9" s="9"/>
    </row>
    <row r="10" spans="1:6">
      <c r="A10" s="21">
        <v>43313</v>
      </c>
      <c r="B10" s="9" t="s">
        <v>449</v>
      </c>
      <c r="C10" s="9"/>
      <c r="D10" s="9">
        <v>100</v>
      </c>
      <c r="E10" s="9">
        <f t="shared" si="0"/>
        <v>17667</v>
      </c>
      <c r="F10" s="320" t="s">
        <v>46</v>
      </c>
    </row>
    <row r="11" spans="1:6">
      <c r="A11" s="21">
        <v>43313</v>
      </c>
      <c r="B11" s="9" t="s">
        <v>459</v>
      </c>
      <c r="C11" s="9">
        <v>500</v>
      </c>
      <c r="D11" s="9"/>
      <c r="E11" s="9">
        <f t="shared" si="0"/>
        <v>18167</v>
      </c>
      <c r="F11" s="9" t="s">
        <v>46</v>
      </c>
    </row>
    <row r="12" spans="1:6">
      <c r="A12" s="21">
        <v>43313</v>
      </c>
      <c r="B12" s="9" t="s">
        <v>464</v>
      </c>
      <c r="C12" s="9">
        <v>150</v>
      </c>
      <c r="D12" s="9"/>
      <c r="E12" s="9">
        <f t="shared" si="0"/>
        <v>18317</v>
      </c>
      <c r="F12" s="9"/>
    </row>
    <row r="13" spans="1:6">
      <c r="A13" s="21">
        <v>43374</v>
      </c>
      <c r="B13" s="326" t="s">
        <v>459</v>
      </c>
      <c r="C13" s="9">
        <v>400</v>
      </c>
      <c r="D13" s="9"/>
      <c r="E13" s="9">
        <f t="shared" si="0"/>
        <v>18717</v>
      </c>
      <c r="F13" s="326" t="s">
        <v>46</v>
      </c>
    </row>
    <row r="14" spans="1:6">
      <c r="A14" s="57">
        <v>43405</v>
      </c>
      <c r="B14" s="331" t="s">
        <v>473</v>
      </c>
      <c r="C14" s="9"/>
      <c r="D14" s="9">
        <v>100</v>
      </c>
      <c r="E14" s="9">
        <f t="shared" si="0"/>
        <v>18617</v>
      </c>
      <c r="F14" s="330" t="s">
        <v>46</v>
      </c>
    </row>
    <row r="15" spans="1:6">
      <c r="A15" s="335" t="s">
        <v>488</v>
      </c>
      <c r="B15" s="334" t="s">
        <v>492</v>
      </c>
      <c r="C15" s="9">
        <v>1</v>
      </c>
      <c r="D15" s="9"/>
      <c r="E15" s="9">
        <f t="shared" si="0"/>
        <v>18618</v>
      </c>
      <c r="F15" s="9"/>
    </row>
    <row r="16" spans="1:6">
      <c r="A16" s="334" t="s">
        <v>488</v>
      </c>
      <c r="B16" s="334" t="s">
        <v>24</v>
      </c>
      <c r="C16" s="9">
        <v>150</v>
      </c>
      <c r="D16" s="9"/>
      <c r="E16" s="9">
        <f t="shared" si="0"/>
        <v>18768</v>
      </c>
      <c r="F16" s="9"/>
    </row>
    <row r="17" spans="1:6">
      <c r="A17" s="341" t="s">
        <v>509</v>
      </c>
      <c r="B17" s="341" t="s">
        <v>510</v>
      </c>
      <c r="C17" s="9">
        <v>67</v>
      </c>
      <c r="D17" s="9"/>
      <c r="E17" s="9">
        <f t="shared" si="0"/>
        <v>18835</v>
      </c>
      <c r="F17" s="9"/>
    </row>
    <row r="18" spans="1:6">
      <c r="A18" s="343" t="s">
        <v>509</v>
      </c>
      <c r="B18" s="344" t="s">
        <v>462</v>
      </c>
      <c r="C18" s="9">
        <v>120</v>
      </c>
      <c r="D18" s="9"/>
      <c r="E18" s="9">
        <f t="shared" si="0"/>
        <v>18955</v>
      </c>
      <c r="F18" s="341" t="s">
        <v>46</v>
      </c>
    </row>
    <row r="19" spans="1:6">
      <c r="A19" s="348" t="s">
        <v>516</v>
      </c>
      <c r="B19" s="348" t="s">
        <v>524</v>
      </c>
      <c r="C19" s="9"/>
      <c r="D19" s="9">
        <v>111</v>
      </c>
      <c r="E19" s="9">
        <f t="shared" si="0"/>
        <v>18844</v>
      </c>
      <c r="F19" s="9"/>
    </row>
    <row r="20" spans="1:6">
      <c r="A20" s="348" t="s">
        <v>526</v>
      </c>
      <c r="B20" s="348" t="s">
        <v>462</v>
      </c>
      <c r="C20" s="9">
        <v>73</v>
      </c>
      <c r="D20" s="9"/>
      <c r="E20" s="9">
        <f t="shared" si="0"/>
        <v>18917</v>
      </c>
      <c r="F20" s="9"/>
    </row>
    <row r="21" spans="1:6">
      <c r="A21" s="347" t="s">
        <v>526</v>
      </c>
      <c r="B21" s="348" t="s">
        <v>529</v>
      </c>
      <c r="C21" s="9">
        <v>51</v>
      </c>
      <c r="D21" s="9"/>
      <c r="E21" s="9">
        <f t="shared" si="0"/>
        <v>18968</v>
      </c>
      <c r="F21" s="348" t="s">
        <v>46</v>
      </c>
    </row>
    <row r="22" spans="1:6">
      <c r="A22" s="360" t="s">
        <v>546</v>
      </c>
      <c r="B22" s="359" t="s">
        <v>448</v>
      </c>
      <c r="C22" s="9"/>
      <c r="D22" s="9">
        <v>500</v>
      </c>
      <c r="E22" s="9">
        <f t="shared" si="0"/>
        <v>18468</v>
      </c>
      <c r="F22" s="9"/>
    </row>
    <row r="23" spans="1:6">
      <c r="A23" s="361" t="s">
        <v>546</v>
      </c>
      <c r="B23" s="357" t="s">
        <v>449</v>
      </c>
      <c r="C23" s="9">
        <v>500</v>
      </c>
      <c r="D23" s="9"/>
      <c r="E23" s="9">
        <f t="shared" si="0"/>
        <v>18968</v>
      </c>
      <c r="F23" s="9"/>
    </row>
    <row r="24" spans="1:6">
      <c r="A24" s="359" t="s">
        <v>551</v>
      </c>
      <c r="B24" s="359" t="s">
        <v>24</v>
      </c>
      <c r="C24" s="9">
        <v>100</v>
      </c>
      <c r="D24" s="9"/>
      <c r="E24" s="9">
        <f t="shared" si="0"/>
        <v>19068</v>
      </c>
      <c r="F24" s="357" t="s">
        <v>46</v>
      </c>
    </row>
    <row r="25" spans="1:6">
      <c r="A25" s="364" t="s">
        <v>557</v>
      </c>
      <c r="B25" s="364" t="s">
        <v>559</v>
      </c>
      <c r="C25" s="9">
        <v>130</v>
      </c>
      <c r="D25" s="9"/>
      <c r="E25" s="9">
        <f t="shared" si="0"/>
        <v>19198</v>
      </c>
      <c r="F25" s="365" t="s">
        <v>46</v>
      </c>
    </row>
    <row r="26" spans="1:6">
      <c r="A26" s="369" t="s">
        <v>564</v>
      </c>
      <c r="B26" s="369" t="s">
        <v>459</v>
      </c>
      <c r="C26" s="9"/>
      <c r="D26" s="9">
        <v>50</v>
      </c>
      <c r="E26" s="9">
        <f t="shared" si="0"/>
        <v>19148</v>
      </c>
      <c r="F26" s="9"/>
    </row>
    <row r="27" spans="1:6">
      <c r="A27" s="370" t="s">
        <v>569</v>
      </c>
      <c r="B27" s="371" t="s">
        <v>572</v>
      </c>
      <c r="C27" s="9">
        <v>500</v>
      </c>
      <c r="D27" s="9"/>
      <c r="E27" s="9">
        <f t="shared" si="0"/>
        <v>19648</v>
      </c>
      <c r="F27" s="9"/>
    </row>
    <row r="28" spans="1:6">
      <c r="A28" s="370" t="s">
        <v>569</v>
      </c>
      <c r="B28" s="371" t="s">
        <v>8</v>
      </c>
      <c r="C28" s="9">
        <v>950</v>
      </c>
      <c r="D28" s="9"/>
      <c r="E28" s="9">
        <f t="shared" si="0"/>
        <v>20598</v>
      </c>
      <c r="F28" s="9"/>
    </row>
    <row r="29" spans="1:6">
      <c r="A29" s="369" t="s">
        <v>569</v>
      </c>
      <c r="B29" s="369" t="s">
        <v>578</v>
      </c>
      <c r="C29" s="9"/>
      <c r="D29" s="9">
        <v>288</v>
      </c>
      <c r="E29" s="9">
        <f t="shared" si="0"/>
        <v>20310</v>
      </c>
      <c r="F29" s="369"/>
    </row>
    <row r="30" spans="1:6">
      <c r="A30" s="377" t="s">
        <v>585</v>
      </c>
      <c r="B30" s="377" t="s">
        <v>8</v>
      </c>
      <c r="C30" s="9">
        <v>20</v>
      </c>
      <c r="D30" s="9"/>
      <c r="E30" s="9">
        <f t="shared" si="0"/>
        <v>20330</v>
      </c>
      <c r="F30" s="9"/>
    </row>
    <row r="31" spans="1:6">
      <c r="A31" s="375" t="s">
        <v>586</v>
      </c>
      <c r="B31" s="375" t="s">
        <v>445</v>
      </c>
      <c r="C31" s="9">
        <v>63</v>
      </c>
      <c r="D31" s="9"/>
      <c r="E31" s="9">
        <f t="shared" si="0"/>
        <v>20393</v>
      </c>
      <c r="F31" s="375"/>
    </row>
    <row r="32" spans="1:6">
      <c r="A32" s="9" t="s">
        <v>598</v>
      </c>
      <c r="B32" s="9" t="s">
        <v>587</v>
      </c>
      <c r="C32" s="9">
        <v>70</v>
      </c>
      <c r="D32" s="9"/>
      <c r="E32" s="9">
        <f t="shared" si="0"/>
        <v>20463</v>
      </c>
      <c r="F32" s="386"/>
    </row>
    <row r="33" spans="1:6">
      <c r="A33" s="42">
        <v>43133</v>
      </c>
      <c r="B33" s="395" t="s">
        <v>462</v>
      </c>
      <c r="C33" s="9">
        <v>179</v>
      </c>
      <c r="D33" s="9"/>
      <c r="E33" s="9">
        <f t="shared" si="0"/>
        <v>20642</v>
      </c>
      <c r="F33" s="9"/>
    </row>
    <row r="34" spans="1:6">
      <c r="A34" s="21">
        <v>43222</v>
      </c>
      <c r="B34" s="401" t="s">
        <v>587</v>
      </c>
      <c r="C34" s="9">
        <v>6</v>
      </c>
      <c r="D34" s="9"/>
      <c r="E34" s="9">
        <f t="shared" si="0"/>
        <v>20648</v>
      </c>
      <c r="F34" s="9"/>
    </row>
    <row r="35" spans="1:6">
      <c r="A35" s="42">
        <v>43222</v>
      </c>
      <c r="B35" s="401" t="s">
        <v>604</v>
      </c>
      <c r="C35" s="9">
        <v>182</v>
      </c>
      <c r="D35" s="9"/>
      <c r="E35" s="9">
        <f t="shared" si="0"/>
        <v>20830</v>
      </c>
      <c r="F35" s="401"/>
    </row>
    <row r="36" spans="1:6">
      <c r="A36" s="42">
        <v>43314</v>
      </c>
      <c r="B36" s="411" t="s">
        <v>510</v>
      </c>
      <c r="C36" s="9">
        <v>210</v>
      </c>
      <c r="D36" s="9"/>
      <c r="E36" s="9">
        <f t="shared" si="0"/>
        <v>21040</v>
      </c>
      <c r="F36" s="9"/>
    </row>
    <row r="37" spans="1:6">
      <c r="A37" s="322">
        <v>43324</v>
      </c>
      <c r="B37" s="25" t="s">
        <v>587</v>
      </c>
      <c r="C37" s="24">
        <v>15</v>
      </c>
      <c r="D37" s="9"/>
      <c r="E37" s="9">
        <f t="shared" si="0"/>
        <v>21055</v>
      </c>
      <c r="F37" s="411"/>
    </row>
    <row r="38" spans="1:6">
      <c r="A38" s="429" t="s">
        <v>630</v>
      </c>
      <c r="B38" s="429" t="s">
        <v>631</v>
      </c>
      <c r="C38" s="9">
        <v>8</v>
      </c>
      <c r="D38" s="9"/>
      <c r="E38" s="9">
        <f t="shared" si="0"/>
        <v>21063</v>
      </c>
      <c r="F38" s="9"/>
    </row>
    <row r="39" spans="1:6">
      <c r="A39" s="429" t="s">
        <v>630</v>
      </c>
      <c r="B39" s="429" t="s">
        <v>510</v>
      </c>
      <c r="C39" s="9">
        <v>450</v>
      </c>
      <c r="D39" s="9"/>
      <c r="E39" s="9">
        <f t="shared" si="0"/>
        <v>21513</v>
      </c>
      <c r="F39" s="429"/>
    </row>
    <row r="40" spans="1:6">
      <c r="A40" s="434" t="s">
        <v>638</v>
      </c>
      <c r="B40" s="434" t="s">
        <v>642</v>
      </c>
      <c r="C40" s="9"/>
      <c r="D40" s="9">
        <v>300</v>
      </c>
      <c r="E40" s="9">
        <f t="shared" si="0"/>
        <v>21213</v>
      </c>
      <c r="F40" s="434"/>
    </row>
    <row r="41" spans="1:6">
      <c r="A41" s="436" t="s">
        <v>644</v>
      </c>
      <c r="B41" s="437" t="s">
        <v>646</v>
      </c>
      <c r="C41" s="9"/>
      <c r="D41" s="9">
        <v>50</v>
      </c>
      <c r="E41" s="9">
        <f t="shared" si="0"/>
        <v>21163</v>
      </c>
      <c r="F41" s="437"/>
    </row>
    <row r="42" spans="1:6">
      <c r="A42" s="445" t="s">
        <v>651</v>
      </c>
      <c r="B42" s="445" t="s">
        <v>587</v>
      </c>
      <c r="C42" s="9">
        <v>12</v>
      </c>
      <c r="D42" s="9"/>
      <c r="E42" s="9">
        <f t="shared" si="0"/>
        <v>21175</v>
      </c>
      <c r="F42" s="444"/>
    </row>
    <row r="43" spans="1:6">
      <c r="A43" s="452" t="s">
        <v>665</v>
      </c>
      <c r="B43" s="9" t="s">
        <v>24</v>
      </c>
      <c r="C43" s="9">
        <v>270</v>
      </c>
      <c r="D43" s="9"/>
      <c r="E43" s="9">
        <f t="shared" si="0"/>
        <v>21445</v>
      </c>
      <c r="F43" s="452"/>
    </row>
    <row r="44" spans="1:6">
      <c r="A44" s="459" t="s">
        <v>669</v>
      </c>
      <c r="B44" s="457" t="s">
        <v>456</v>
      </c>
      <c r="C44" s="9">
        <v>816</v>
      </c>
      <c r="D44" s="9"/>
      <c r="E44" s="9">
        <f t="shared" si="0"/>
        <v>22261</v>
      </c>
      <c r="F44" s="9"/>
    </row>
    <row r="45" spans="1:6">
      <c r="A45" s="457" t="s">
        <v>669</v>
      </c>
      <c r="B45" s="457" t="s">
        <v>459</v>
      </c>
      <c r="C45" s="9"/>
      <c r="D45" s="9">
        <v>100</v>
      </c>
      <c r="E45" s="9">
        <f t="shared" si="0"/>
        <v>22161</v>
      </c>
      <c r="F45" s="457"/>
    </row>
    <row r="46" spans="1:6">
      <c r="A46" s="462" t="s">
        <v>677</v>
      </c>
      <c r="B46" s="462" t="s">
        <v>681</v>
      </c>
      <c r="C46" s="9">
        <v>35</v>
      </c>
      <c r="D46" s="9"/>
      <c r="E46" s="9">
        <f t="shared" si="0"/>
        <v>22196</v>
      </c>
      <c r="F46" s="462"/>
    </row>
    <row r="47" spans="1:6">
      <c r="A47" s="467" t="s">
        <v>687</v>
      </c>
      <c r="B47" s="467" t="s">
        <v>449</v>
      </c>
      <c r="C47" s="9">
        <v>300</v>
      </c>
      <c r="D47" s="9"/>
      <c r="E47" s="9">
        <f t="shared" si="0"/>
        <v>22496</v>
      </c>
      <c r="F47" s="467"/>
    </row>
    <row r="48" spans="1:6">
      <c r="A48" s="472" t="s">
        <v>694</v>
      </c>
      <c r="B48" s="472" t="s">
        <v>690</v>
      </c>
      <c r="C48" s="9"/>
      <c r="D48" s="9">
        <v>300</v>
      </c>
      <c r="E48" s="9">
        <f t="shared" si="0"/>
        <v>22196</v>
      </c>
      <c r="F48" s="9"/>
    </row>
    <row r="49" spans="1:6">
      <c r="A49" s="473" t="s">
        <v>694</v>
      </c>
      <c r="B49" s="472" t="s">
        <v>660</v>
      </c>
      <c r="C49" s="9">
        <v>150</v>
      </c>
      <c r="D49" s="9"/>
      <c r="E49" s="9">
        <f t="shared" si="0"/>
        <v>22346</v>
      </c>
      <c r="F49" s="9"/>
    </row>
    <row r="50" spans="1:6">
      <c r="A50" s="473" t="s">
        <v>694</v>
      </c>
      <c r="B50" s="472" t="s">
        <v>660</v>
      </c>
      <c r="C50" s="9">
        <v>250</v>
      </c>
      <c r="D50" s="9"/>
      <c r="E50" s="9">
        <f t="shared" si="0"/>
        <v>22596</v>
      </c>
      <c r="F50" s="472"/>
    </row>
    <row r="51" spans="1:6">
      <c r="A51" s="9" t="s">
        <v>703</v>
      </c>
      <c r="B51" s="9" t="s">
        <v>589</v>
      </c>
      <c r="C51" s="9"/>
      <c r="D51" s="9">
        <v>60</v>
      </c>
      <c r="E51" s="9">
        <f t="shared" si="0"/>
        <v>22536</v>
      </c>
      <c r="F51" s="479"/>
    </row>
    <row r="52" spans="1:6">
      <c r="A52" s="319">
        <v>43103</v>
      </c>
      <c r="B52" s="7" t="s">
        <v>15</v>
      </c>
      <c r="C52" s="9">
        <v>4</v>
      </c>
      <c r="D52" s="9"/>
      <c r="E52" s="9">
        <f t="shared" si="0"/>
        <v>22540</v>
      </c>
      <c r="F52" s="9"/>
    </row>
    <row r="53" spans="1:6">
      <c r="A53" s="21">
        <v>43103</v>
      </c>
      <c r="B53" s="9" t="s">
        <v>459</v>
      </c>
      <c r="C53" s="9"/>
      <c r="D53" s="9">
        <v>200</v>
      </c>
      <c r="E53" s="9">
        <f t="shared" si="0"/>
        <v>22340</v>
      </c>
      <c r="F53" s="9"/>
    </row>
    <row r="54" spans="1:6">
      <c r="A54" s="21">
        <v>43134</v>
      </c>
      <c r="B54" s="482" t="s">
        <v>668</v>
      </c>
      <c r="C54" s="9"/>
      <c r="D54" s="9">
        <v>700</v>
      </c>
      <c r="E54" s="9">
        <f t="shared" si="0"/>
        <v>21640</v>
      </c>
      <c r="F54" s="482"/>
    </row>
    <row r="55" spans="1:6">
      <c r="A55" s="21">
        <v>43134</v>
      </c>
      <c r="B55" s="487" t="s">
        <v>449</v>
      </c>
      <c r="C55" s="9">
        <v>450</v>
      </c>
      <c r="D55" s="9"/>
      <c r="E55" s="9">
        <f t="shared" si="0"/>
        <v>22090</v>
      </c>
      <c r="F55" s="9"/>
    </row>
    <row r="56" spans="1:6">
      <c r="A56" s="21">
        <v>43134</v>
      </c>
      <c r="B56" s="487" t="s">
        <v>449</v>
      </c>
      <c r="C56" s="9">
        <v>250</v>
      </c>
      <c r="D56" s="9"/>
      <c r="E56" s="9">
        <f t="shared" si="0"/>
        <v>22340</v>
      </c>
      <c r="F56" s="9"/>
    </row>
    <row r="57" spans="1:6">
      <c r="A57" s="21">
        <v>43162</v>
      </c>
      <c r="B57" s="487" t="s">
        <v>707</v>
      </c>
      <c r="C57" s="9"/>
      <c r="D57" s="9">
        <v>250</v>
      </c>
      <c r="E57" s="9">
        <f t="shared" si="0"/>
        <v>22090</v>
      </c>
      <c r="F57" s="487"/>
    </row>
    <row r="58" spans="1:6">
      <c r="A58" s="57">
        <v>43223</v>
      </c>
      <c r="B58" s="493" t="s">
        <v>510</v>
      </c>
      <c r="C58" s="9">
        <v>360</v>
      </c>
      <c r="D58" s="9"/>
      <c r="E58" s="9">
        <f t="shared" si="0"/>
        <v>22450</v>
      </c>
      <c r="F58" s="492"/>
    </row>
    <row r="59" spans="1:6">
      <c r="A59" s="42">
        <v>43284</v>
      </c>
      <c r="B59" s="9" t="s">
        <v>708</v>
      </c>
      <c r="C59" s="9">
        <v>50</v>
      </c>
      <c r="D59" s="9"/>
      <c r="E59" s="9">
        <f t="shared" si="0"/>
        <v>22500</v>
      </c>
      <c r="F59" s="9"/>
    </row>
    <row r="60" spans="1:6">
      <c r="A60" s="21">
        <v>43284</v>
      </c>
      <c r="B60" s="9" t="s">
        <v>717</v>
      </c>
      <c r="C60" s="9"/>
      <c r="D60" s="9">
        <v>50</v>
      </c>
      <c r="E60" s="9">
        <f t="shared" si="0"/>
        <v>22450</v>
      </c>
      <c r="F60" s="9"/>
    </row>
    <row r="61" spans="1:6">
      <c r="A61" s="42">
        <v>43315</v>
      </c>
      <c r="B61" s="497" t="s">
        <v>462</v>
      </c>
      <c r="C61" s="9">
        <v>40</v>
      </c>
      <c r="D61" s="9"/>
      <c r="E61" s="9">
        <f t="shared" si="0"/>
        <v>22490</v>
      </c>
      <c r="F61" s="9"/>
    </row>
    <row r="62" spans="1:6">
      <c r="A62" s="21">
        <v>43346</v>
      </c>
      <c r="B62" s="528" t="s">
        <v>24</v>
      </c>
      <c r="C62" s="9">
        <v>400</v>
      </c>
      <c r="D62" s="9"/>
      <c r="E62" s="9">
        <f t="shared" si="0"/>
        <v>22890</v>
      </c>
      <c r="F62" s="9"/>
    </row>
    <row r="63" spans="1:6">
      <c r="A63" s="21">
        <v>43376</v>
      </c>
      <c r="B63" s="498" t="s">
        <v>459</v>
      </c>
      <c r="C63" s="9"/>
      <c r="D63" s="9">
        <v>100</v>
      </c>
      <c r="E63" s="9">
        <f t="shared" si="0"/>
        <v>22790</v>
      </c>
      <c r="F63" s="498"/>
    </row>
    <row r="64" spans="1:6">
      <c r="A64" s="42">
        <v>43437</v>
      </c>
      <c r="B64" s="502" t="s">
        <v>8</v>
      </c>
      <c r="C64" s="9">
        <v>314</v>
      </c>
      <c r="D64" s="9"/>
      <c r="E64" s="9">
        <f t="shared" si="0"/>
        <v>23104</v>
      </c>
      <c r="F64" s="502"/>
    </row>
    <row r="65" spans="1:6">
      <c r="A65" s="9" t="s">
        <v>731</v>
      </c>
      <c r="B65" s="9" t="s">
        <v>510</v>
      </c>
      <c r="C65" s="9">
        <v>93</v>
      </c>
      <c r="D65" s="9"/>
      <c r="E65" s="9">
        <f t="shared" si="0"/>
        <v>23197</v>
      </c>
      <c r="F65" s="9"/>
    </row>
    <row r="66" spans="1:6">
      <c r="A66" s="9" t="s">
        <v>731</v>
      </c>
      <c r="B66" s="9" t="s">
        <v>459</v>
      </c>
      <c r="C66" s="9"/>
      <c r="D66" s="9">
        <v>300</v>
      </c>
      <c r="E66" s="9">
        <f t="shared" si="0"/>
        <v>22897</v>
      </c>
      <c r="F66" s="508"/>
    </row>
    <row r="67" spans="1:6">
      <c r="A67" s="521" t="s">
        <v>743</v>
      </c>
      <c r="B67" s="521" t="s">
        <v>8</v>
      </c>
      <c r="C67" s="9">
        <v>518</v>
      </c>
      <c r="D67" s="9"/>
      <c r="E67" s="9">
        <f t="shared" si="0"/>
        <v>23415</v>
      </c>
      <c r="F67" s="521" t="s">
        <v>46</v>
      </c>
    </row>
    <row r="68" spans="1:6">
      <c r="A68" s="528" t="s">
        <v>744</v>
      </c>
      <c r="B68" s="528" t="s">
        <v>668</v>
      </c>
      <c r="C68" s="9">
        <v>391</v>
      </c>
      <c r="D68" s="9"/>
      <c r="E68" s="9">
        <f t="shared" si="0"/>
        <v>23806</v>
      </c>
      <c r="F68" s="528" t="s">
        <v>46</v>
      </c>
    </row>
    <row r="69" spans="1:6">
      <c r="A69" s="527" t="s">
        <v>747</v>
      </c>
      <c r="B69" s="528" t="s">
        <v>604</v>
      </c>
      <c r="C69" s="9">
        <v>150</v>
      </c>
      <c r="D69" s="9"/>
      <c r="E69" s="9">
        <f t="shared" si="0"/>
        <v>23956</v>
      </c>
      <c r="F69" s="9"/>
    </row>
    <row r="70" spans="1:6">
      <c r="A70" s="528" t="s">
        <v>747</v>
      </c>
      <c r="B70" s="528" t="s">
        <v>748</v>
      </c>
      <c r="C70" s="9"/>
      <c r="D70" s="9">
        <v>450</v>
      </c>
      <c r="E70" s="9">
        <f t="shared" si="0"/>
        <v>23506</v>
      </c>
      <c r="F70" s="9"/>
    </row>
    <row r="71" spans="1:6">
      <c r="A71" s="528" t="s">
        <v>747</v>
      </c>
      <c r="B71" s="528" t="s">
        <v>748</v>
      </c>
      <c r="C71" s="9"/>
      <c r="D71" s="9">
        <v>350</v>
      </c>
      <c r="E71" s="9">
        <f t="shared" ref="E71:E119" si="1">E70+C71-D71</f>
        <v>23156</v>
      </c>
      <c r="F71" s="528"/>
    </row>
    <row r="72" spans="1:6">
      <c r="A72" s="533" t="s">
        <v>750</v>
      </c>
      <c r="B72" s="533" t="s">
        <v>752</v>
      </c>
      <c r="C72" s="9"/>
      <c r="D72" s="9">
        <v>263</v>
      </c>
      <c r="E72" s="9">
        <f t="shared" si="1"/>
        <v>22893</v>
      </c>
      <c r="F72" s="533"/>
    </row>
    <row r="73" spans="1:6">
      <c r="A73" s="538" t="s">
        <v>755</v>
      </c>
      <c r="B73" s="538" t="s">
        <v>24</v>
      </c>
      <c r="C73" s="9">
        <v>350</v>
      </c>
      <c r="D73" s="9"/>
      <c r="E73" s="9">
        <f t="shared" si="1"/>
        <v>23243</v>
      </c>
      <c r="F73" s="9"/>
    </row>
    <row r="74" spans="1:6">
      <c r="A74" s="539" t="s">
        <v>755</v>
      </c>
      <c r="B74" s="538" t="s">
        <v>641</v>
      </c>
      <c r="C74" s="9">
        <v>597</v>
      </c>
      <c r="D74" s="9"/>
      <c r="E74" s="9">
        <f t="shared" si="1"/>
        <v>23840</v>
      </c>
      <c r="F74" s="9"/>
    </row>
    <row r="75" spans="1:6">
      <c r="A75" s="538" t="s">
        <v>757</v>
      </c>
      <c r="B75" s="538" t="s">
        <v>459</v>
      </c>
      <c r="C75" s="9">
        <v>515</v>
      </c>
      <c r="D75" s="9"/>
      <c r="E75" s="9">
        <f t="shared" si="1"/>
        <v>24355</v>
      </c>
      <c r="F75" s="9"/>
    </row>
    <row r="76" spans="1:6">
      <c r="A76" s="538" t="s">
        <v>757</v>
      </c>
      <c r="B76" s="538" t="s">
        <v>759</v>
      </c>
      <c r="C76" s="9"/>
      <c r="D76" s="9">
        <v>2000</v>
      </c>
      <c r="E76" s="9">
        <f t="shared" si="1"/>
        <v>22355</v>
      </c>
      <c r="F76" s="538"/>
    </row>
    <row r="77" spans="1:6">
      <c r="A77" s="543" t="s">
        <v>761</v>
      </c>
      <c r="B77" s="542" t="s">
        <v>604</v>
      </c>
      <c r="C77" s="9">
        <v>297</v>
      </c>
      <c r="D77" s="9"/>
      <c r="E77" s="9">
        <f t="shared" si="1"/>
        <v>22652</v>
      </c>
      <c r="F77" s="9"/>
    </row>
    <row r="78" spans="1:6">
      <c r="A78" s="543" t="s">
        <v>761</v>
      </c>
      <c r="B78" s="542" t="s">
        <v>462</v>
      </c>
      <c r="C78" s="9">
        <v>3</v>
      </c>
      <c r="D78" s="9"/>
      <c r="E78" s="9">
        <f t="shared" si="1"/>
        <v>22655</v>
      </c>
      <c r="F78" s="9"/>
    </row>
    <row r="79" spans="1:6">
      <c r="A79" s="544" t="s">
        <v>761</v>
      </c>
      <c r="B79" s="544" t="s">
        <v>459</v>
      </c>
      <c r="C79" s="9">
        <v>500</v>
      </c>
      <c r="D79" s="9"/>
      <c r="E79" s="9">
        <f t="shared" si="1"/>
        <v>23155</v>
      </c>
      <c r="F79" s="547"/>
    </row>
    <row r="80" spans="1:6">
      <c r="A80" s="24" t="s">
        <v>767</v>
      </c>
      <c r="B80" s="24" t="s">
        <v>668</v>
      </c>
      <c r="C80" s="9">
        <v>9</v>
      </c>
      <c r="D80" s="9"/>
      <c r="E80" s="9">
        <f t="shared" si="1"/>
        <v>23164</v>
      </c>
      <c r="F80" s="9" t="s">
        <v>46</v>
      </c>
    </row>
    <row r="81" spans="1:6">
      <c r="A81" s="42">
        <v>43135</v>
      </c>
      <c r="B81" s="548" t="s">
        <v>8</v>
      </c>
      <c r="C81" s="9">
        <v>300</v>
      </c>
      <c r="D81" s="9"/>
      <c r="E81" s="9">
        <f t="shared" si="1"/>
        <v>23464</v>
      </c>
      <c r="F81" s="548" t="s">
        <v>46</v>
      </c>
    </row>
    <row r="82" spans="1:6">
      <c r="A82" s="21">
        <v>43224</v>
      </c>
      <c r="B82" s="554" t="s">
        <v>770</v>
      </c>
      <c r="C82" s="9"/>
      <c r="D82" s="9">
        <v>300</v>
      </c>
      <c r="E82" s="9">
        <f t="shared" si="1"/>
        <v>23164</v>
      </c>
      <c r="F82" s="9"/>
    </row>
    <row r="83" spans="1:6">
      <c r="A83" s="21">
        <v>43255</v>
      </c>
      <c r="B83" s="554" t="s">
        <v>776</v>
      </c>
      <c r="C83" s="9"/>
      <c r="D83" s="9">
        <v>500</v>
      </c>
      <c r="E83" s="9">
        <f t="shared" si="1"/>
        <v>22664</v>
      </c>
      <c r="F83" s="9"/>
    </row>
    <row r="84" spans="1:6" ht="15">
      <c r="A84" s="37">
        <v>43347</v>
      </c>
      <c r="B84" s="33" t="s">
        <v>780</v>
      </c>
      <c r="C84" s="9"/>
      <c r="D84" s="9">
        <v>1500</v>
      </c>
      <c r="E84" s="9">
        <f t="shared" si="1"/>
        <v>21164</v>
      </c>
      <c r="F84" s="9"/>
    </row>
    <row r="85" spans="1:6">
      <c r="A85" s="21">
        <v>43347</v>
      </c>
      <c r="B85" s="554" t="s">
        <v>781</v>
      </c>
      <c r="C85" s="9"/>
      <c r="D85" s="9">
        <v>500</v>
      </c>
      <c r="E85" s="9">
        <f t="shared" si="1"/>
        <v>20664</v>
      </c>
      <c r="F85" s="554"/>
    </row>
    <row r="86" spans="1:6">
      <c r="A86" s="42">
        <v>43408</v>
      </c>
      <c r="B86" s="9" t="s">
        <v>24</v>
      </c>
      <c r="C86" s="9">
        <v>410</v>
      </c>
      <c r="D86" s="9"/>
      <c r="E86" s="9">
        <f t="shared" si="1"/>
        <v>21074</v>
      </c>
      <c r="F86" s="559"/>
    </row>
    <row r="87" spans="1:6">
      <c r="A87" s="9" t="s">
        <v>789</v>
      </c>
      <c r="B87" s="9" t="s">
        <v>24</v>
      </c>
      <c r="C87" s="9">
        <v>300</v>
      </c>
      <c r="D87" s="9"/>
      <c r="E87" s="9">
        <f t="shared" si="1"/>
        <v>21374</v>
      </c>
      <c r="F87" s="9"/>
    </row>
    <row r="88" spans="1:6">
      <c r="A88" s="9" t="s">
        <v>789</v>
      </c>
      <c r="B88" s="9" t="s">
        <v>790</v>
      </c>
      <c r="C88" s="9"/>
      <c r="D88" s="9">
        <v>800</v>
      </c>
      <c r="E88" s="9">
        <f t="shared" si="1"/>
        <v>20574</v>
      </c>
      <c r="F88" s="9"/>
    </row>
    <row r="89" spans="1:6">
      <c r="A89" s="570" t="s">
        <v>793</v>
      </c>
      <c r="B89" s="570" t="s">
        <v>795</v>
      </c>
      <c r="C89" s="9">
        <v>486</v>
      </c>
      <c r="D89" s="9"/>
      <c r="E89" s="9">
        <f t="shared" si="1"/>
        <v>21060</v>
      </c>
      <c r="F89" s="9"/>
    </row>
    <row r="90" spans="1:6">
      <c r="A90" s="572" t="s">
        <v>793</v>
      </c>
      <c r="B90" s="572" t="s">
        <v>508</v>
      </c>
      <c r="C90" s="9"/>
      <c r="D90" s="9">
        <v>300</v>
      </c>
      <c r="E90" s="9">
        <f t="shared" si="1"/>
        <v>20760</v>
      </c>
      <c r="F90" s="570"/>
    </row>
    <row r="91" spans="1:6">
      <c r="A91" s="576" t="s">
        <v>808</v>
      </c>
      <c r="B91" s="576" t="s">
        <v>809</v>
      </c>
      <c r="C91" s="9"/>
      <c r="D91" s="9">
        <v>200</v>
      </c>
      <c r="E91" s="9">
        <f t="shared" si="1"/>
        <v>20560</v>
      </c>
      <c r="F91" s="576"/>
    </row>
    <row r="92" spans="1:6">
      <c r="A92" s="581" t="s">
        <v>811</v>
      </c>
      <c r="B92" s="576" t="s">
        <v>806</v>
      </c>
      <c r="C92" s="9"/>
      <c r="D92" s="9">
        <v>1016</v>
      </c>
      <c r="E92" s="9">
        <f t="shared" si="1"/>
        <v>19544</v>
      </c>
      <c r="F92" s="9"/>
    </row>
    <row r="93" spans="1:6">
      <c r="A93" s="581" t="s">
        <v>811</v>
      </c>
      <c r="B93" s="581" t="s">
        <v>809</v>
      </c>
      <c r="C93" s="9"/>
      <c r="D93" s="9">
        <v>1800</v>
      </c>
      <c r="E93" s="9">
        <f t="shared" si="1"/>
        <v>17744</v>
      </c>
      <c r="F93" s="581"/>
    </row>
    <row r="94" spans="1:6">
      <c r="A94" s="587" t="s">
        <v>815</v>
      </c>
      <c r="B94" s="587" t="s">
        <v>781</v>
      </c>
      <c r="C94" s="9"/>
      <c r="D94" s="9">
        <v>1000</v>
      </c>
      <c r="E94" s="9">
        <f t="shared" si="1"/>
        <v>16744</v>
      </c>
      <c r="F94" s="587"/>
    </row>
    <row r="95" spans="1:6">
      <c r="A95" s="606" t="s">
        <v>832</v>
      </c>
      <c r="B95" s="606" t="s">
        <v>627</v>
      </c>
      <c r="C95" s="9"/>
      <c r="D95" s="9">
        <v>1000</v>
      </c>
      <c r="E95" s="9">
        <f t="shared" si="1"/>
        <v>15744</v>
      </c>
      <c r="F95" s="606" t="s">
        <v>46</v>
      </c>
    </row>
    <row r="96" spans="1:6">
      <c r="A96" s="125" t="s">
        <v>837</v>
      </c>
      <c r="B96" s="9" t="s">
        <v>456</v>
      </c>
      <c r="C96" s="9">
        <v>169</v>
      </c>
      <c r="D96" s="9"/>
      <c r="E96" s="9">
        <f t="shared" si="1"/>
        <v>15913</v>
      </c>
      <c r="F96" s="9" t="s">
        <v>46</v>
      </c>
    </row>
    <row r="97" spans="1:6">
      <c r="A97" s="616" t="s">
        <v>837</v>
      </c>
      <c r="B97" s="616" t="s">
        <v>838</v>
      </c>
      <c r="C97" s="9"/>
      <c r="D97" s="9">
        <v>1350</v>
      </c>
      <c r="E97" s="9">
        <f t="shared" si="1"/>
        <v>14563</v>
      </c>
      <c r="F97" s="9"/>
    </row>
    <row r="98" spans="1:6">
      <c r="A98" s="616" t="s">
        <v>839</v>
      </c>
      <c r="B98" s="616" t="s">
        <v>806</v>
      </c>
      <c r="C98" s="9">
        <v>4</v>
      </c>
      <c r="D98" s="9"/>
      <c r="E98" s="9">
        <f t="shared" si="1"/>
        <v>14567</v>
      </c>
      <c r="F98" s="9"/>
    </row>
    <row r="99" spans="1:6">
      <c r="A99" s="615" t="s">
        <v>844</v>
      </c>
      <c r="B99" s="616" t="s">
        <v>846</v>
      </c>
      <c r="C99" s="9">
        <v>144</v>
      </c>
      <c r="D99" s="9"/>
      <c r="E99" s="9">
        <f t="shared" si="1"/>
        <v>14711</v>
      </c>
      <c r="F99" s="9"/>
    </row>
    <row r="100" spans="1:6">
      <c r="A100" s="616" t="s">
        <v>844</v>
      </c>
      <c r="B100" s="616" t="s">
        <v>817</v>
      </c>
      <c r="C100" s="9"/>
      <c r="D100" s="9">
        <v>650</v>
      </c>
      <c r="E100" s="9">
        <f t="shared" si="1"/>
        <v>14061</v>
      </c>
      <c r="F100" s="616" t="s">
        <v>46</v>
      </c>
    </row>
    <row r="101" spans="1:6">
      <c r="A101" s="57">
        <v>43164</v>
      </c>
      <c r="B101" s="24" t="s">
        <v>560</v>
      </c>
      <c r="C101" s="9"/>
      <c r="D101" s="9">
        <v>60</v>
      </c>
      <c r="E101" s="9">
        <f t="shared" si="1"/>
        <v>14001</v>
      </c>
      <c r="F101" s="623" t="s">
        <v>46</v>
      </c>
    </row>
    <row r="102" spans="1:6">
      <c r="A102" s="57">
        <v>43225</v>
      </c>
      <c r="B102" s="24" t="s">
        <v>852</v>
      </c>
      <c r="C102" s="9"/>
      <c r="D102" s="9">
        <v>300</v>
      </c>
      <c r="E102" s="9">
        <f t="shared" si="1"/>
        <v>13701</v>
      </c>
      <c r="F102" s="9" t="s">
        <v>46</v>
      </c>
    </row>
    <row r="103" spans="1:6">
      <c r="A103" s="57">
        <v>43286</v>
      </c>
      <c r="B103" s="24" t="s">
        <v>24</v>
      </c>
      <c r="C103" s="9">
        <v>500</v>
      </c>
      <c r="D103" s="9"/>
      <c r="E103" s="9">
        <f t="shared" si="1"/>
        <v>14201</v>
      </c>
      <c r="F103" s="9"/>
    </row>
    <row r="104" spans="1:6">
      <c r="A104" s="57">
        <v>43286</v>
      </c>
      <c r="B104" s="24" t="s">
        <v>24</v>
      </c>
      <c r="C104" s="9">
        <v>500</v>
      </c>
      <c r="D104" s="9"/>
      <c r="E104" s="9">
        <f t="shared" si="1"/>
        <v>14701</v>
      </c>
      <c r="F104" s="9"/>
    </row>
    <row r="105" spans="1:6">
      <c r="A105" s="21">
        <v>43286</v>
      </c>
      <c r="B105" s="24" t="s">
        <v>24</v>
      </c>
      <c r="C105" s="9">
        <v>250</v>
      </c>
      <c r="D105" s="9"/>
      <c r="E105" s="9">
        <f t="shared" si="1"/>
        <v>14951</v>
      </c>
      <c r="F105" s="9"/>
    </row>
    <row r="106" spans="1:6">
      <c r="A106" s="42">
        <v>43317</v>
      </c>
      <c r="B106" s="629" t="s">
        <v>24</v>
      </c>
      <c r="C106" s="9">
        <v>225</v>
      </c>
      <c r="D106" s="9"/>
      <c r="E106" s="9">
        <f t="shared" si="1"/>
        <v>15176</v>
      </c>
      <c r="F106" s="9"/>
    </row>
    <row r="107" spans="1:6">
      <c r="A107" s="21">
        <v>43409</v>
      </c>
      <c r="B107" s="631" t="s">
        <v>780</v>
      </c>
      <c r="C107" s="9"/>
      <c r="D107" s="9">
        <v>1000</v>
      </c>
      <c r="E107" s="9">
        <f t="shared" si="1"/>
        <v>14176</v>
      </c>
      <c r="F107" s="9"/>
    </row>
    <row r="108" spans="1:6">
      <c r="A108" s="42">
        <v>43439</v>
      </c>
      <c r="B108" s="631" t="s">
        <v>24</v>
      </c>
      <c r="C108" s="9">
        <v>300</v>
      </c>
      <c r="D108" s="9"/>
      <c r="E108" s="9">
        <f t="shared" si="1"/>
        <v>14476</v>
      </c>
      <c r="F108" s="9"/>
    </row>
    <row r="109" spans="1:6">
      <c r="A109" s="21">
        <v>43439</v>
      </c>
      <c r="B109" s="631" t="s">
        <v>809</v>
      </c>
      <c r="C109" s="9"/>
      <c r="D109" s="9">
        <v>600</v>
      </c>
      <c r="E109" s="9">
        <f t="shared" si="1"/>
        <v>13876</v>
      </c>
      <c r="F109" s="9"/>
    </row>
    <row r="110" spans="1:6">
      <c r="A110" s="633" t="s">
        <v>862</v>
      </c>
      <c r="B110" s="633" t="s">
        <v>24</v>
      </c>
      <c r="C110" s="9">
        <v>500</v>
      </c>
      <c r="D110" s="9"/>
      <c r="E110" s="9">
        <f t="shared" si="1"/>
        <v>14376</v>
      </c>
      <c r="F110" s="9"/>
    </row>
    <row r="111" spans="1:6">
      <c r="A111" s="125" t="s">
        <v>863</v>
      </c>
      <c r="B111" s="9" t="s">
        <v>24</v>
      </c>
      <c r="C111" s="9">
        <v>98</v>
      </c>
      <c r="D111" s="9"/>
      <c r="E111" s="9">
        <f t="shared" si="1"/>
        <v>14474</v>
      </c>
      <c r="F111" s="9"/>
    </row>
    <row r="112" spans="1:6">
      <c r="A112" s="659" t="s">
        <v>733</v>
      </c>
      <c r="B112" s="656" t="s">
        <v>762</v>
      </c>
      <c r="C112" s="9"/>
      <c r="D112" s="9">
        <v>50</v>
      </c>
      <c r="E112" s="9">
        <f t="shared" si="1"/>
        <v>14424</v>
      </c>
      <c r="F112" s="9"/>
    </row>
    <row r="113" spans="1:6">
      <c r="A113" s="656" t="s">
        <v>733</v>
      </c>
      <c r="B113" s="656" t="s">
        <v>852</v>
      </c>
      <c r="C113" s="9"/>
      <c r="D113" s="9">
        <v>400</v>
      </c>
      <c r="E113" s="9">
        <f t="shared" si="1"/>
        <v>14024</v>
      </c>
      <c r="F113" s="9"/>
    </row>
    <row r="114" spans="1:6">
      <c r="A114" s="664" t="s">
        <v>878</v>
      </c>
      <c r="B114" s="664" t="s">
        <v>24</v>
      </c>
      <c r="C114" s="9">
        <v>670</v>
      </c>
      <c r="D114" s="9"/>
      <c r="E114" s="9">
        <f t="shared" si="1"/>
        <v>14694</v>
      </c>
      <c r="F114" s="9"/>
    </row>
    <row r="115" spans="1:6">
      <c r="A115" s="665" t="s">
        <v>878</v>
      </c>
      <c r="B115" s="664" t="s">
        <v>876</v>
      </c>
      <c r="C115" s="9"/>
      <c r="D115" s="9">
        <v>1550</v>
      </c>
      <c r="E115" s="9">
        <f t="shared" si="1"/>
        <v>13144</v>
      </c>
      <c r="F115" s="664" t="s">
        <v>46</v>
      </c>
    </row>
    <row r="116" spans="1:6">
      <c r="A116" s="670" t="s">
        <v>884</v>
      </c>
      <c r="B116" s="671" t="s">
        <v>762</v>
      </c>
      <c r="C116" s="9"/>
      <c r="D116" s="9">
        <v>50</v>
      </c>
      <c r="E116" s="9">
        <f t="shared" si="1"/>
        <v>13094</v>
      </c>
      <c r="F116" s="671" t="s">
        <v>46</v>
      </c>
    </row>
    <row r="117" spans="1:6">
      <c r="A117" s="125" t="s">
        <v>886</v>
      </c>
      <c r="B117" s="9" t="s">
        <v>887</v>
      </c>
      <c r="C117" s="9">
        <v>10</v>
      </c>
      <c r="D117" s="9"/>
      <c r="E117" s="9">
        <f t="shared" si="1"/>
        <v>13104</v>
      </c>
      <c r="F117" s="9"/>
    </row>
    <row r="118" spans="1:6">
      <c r="A118" s="677" t="s">
        <v>889</v>
      </c>
      <c r="B118" s="677" t="s">
        <v>890</v>
      </c>
      <c r="C118" s="9">
        <v>95</v>
      </c>
      <c r="D118" s="9"/>
      <c r="E118" s="9">
        <f t="shared" si="1"/>
        <v>13199</v>
      </c>
      <c r="F118" s="9"/>
    </row>
    <row r="119" spans="1:6">
      <c r="A119" s="676" t="s">
        <v>893</v>
      </c>
      <c r="B119" s="677" t="s">
        <v>708</v>
      </c>
      <c r="C119" s="9">
        <v>800</v>
      </c>
      <c r="D119" s="9"/>
      <c r="E119" s="9">
        <f t="shared" si="1"/>
        <v>13999</v>
      </c>
      <c r="F119" s="9"/>
    </row>
    <row r="120" spans="1:6">
      <c r="A120" s="676" t="s">
        <v>896</v>
      </c>
      <c r="B120" s="677" t="s">
        <v>24</v>
      </c>
      <c r="C120" s="9">
        <v>300</v>
      </c>
      <c r="D120" s="9"/>
      <c r="E120" s="9">
        <f>E119+C120-D120</f>
        <v>14299</v>
      </c>
      <c r="F120" s="677" t="s">
        <v>46</v>
      </c>
    </row>
    <row r="121" spans="1:6">
      <c r="A121" s="683" t="s">
        <v>898</v>
      </c>
      <c r="B121" s="684" t="s">
        <v>646</v>
      </c>
      <c r="C121" s="9">
        <v>49</v>
      </c>
      <c r="D121" s="9"/>
      <c r="E121" s="9">
        <f>E120+C121-D121</f>
        <v>14348</v>
      </c>
      <c r="F121" s="684" t="s">
        <v>46</v>
      </c>
    </row>
    <row r="122" spans="1:6">
      <c r="A122" s="24" t="s">
        <v>907</v>
      </c>
      <c r="B122" s="24" t="s">
        <v>910</v>
      </c>
      <c r="C122" s="9"/>
      <c r="D122" s="9">
        <v>50</v>
      </c>
      <c r="E122" s="9">
        <f t="shared" ref="E122:E131" si="2">E121+C122-D122</f>
        <v>14298</v>
      </c>
      <c r="F122" s="9"/>
    </row>
    <row r="123" spans="1:6">
      <c r="A123" s="691" t="s">
        <v>912</v>
      </c>
      <c r="B123" s="691" t="s">
        <v>24</v>
      </c>
      <c r="C123" s="9">
        <v>522</v>
      </c>
      <c r="D123" s="9"/>
      <c r="E123" s="9">
        <f t="shared" si="2"/>
        <v>14820</v>
      </c>
      <c r="F123" s="9"/>
    </row>
    <row r="124" spans="1:6">
      <c r="A124" s="690" t="s">
        <v>912</v>
      </c>
      <c r="B124" s="9" t="s">
        <v>909</v>
      </c>
      <c r="C124" s="9">
        <v>419</v>
      </c>
      <c r="D124" s="9"/>
      <c r="E124" s="9">
        <f t="shared" si="2"/>
        <v>15239</v>
      </c>
      <c r="F124" s="9"/>
    </row>
    <row r="125" spans="1:6">
      <c r="A125" s="692" t="s">
        <v>914</v>
      </c>
      <c r="B125" s="690" t="s">
        <v>24</v>
      </c>
      <c r="C125" s="9">
        <v>325</v>
      </c>
      <c r="D125" s="9"/>
      <c r="E125" s="9">
        <f t="shared" si="2"/>
        <v>15564</v>
      </c>
      <c r="F125" s="690" t="s">
        <v>46</v>
      </c>
    </row>
    <row r="126" spans="1:6">
      <c r="A126" s="698" t="s">
        <v>915</v>
      </c>
      <c r="B126" s="698" t="s">
        <v>24</v>
      </c>
      <c r="C126" s="9">
        <v>61</v>
      </c>
      <c r="D126" s="9"/>
      <c r="E126" s="9">
        <f t="shared" si="2"/>
        <v>15625</v>
      </c>
      <c r="F126" s="698" t="s">
        <v>46</v>
      </c>
    </row>
    <row r="127" spans="1:6">
      <c r="A127" s="702" t="s">
        <v>918</v>
      </c>
      <c r="B127" s="703" t="s">
        <v>24</v>
      </c>
      <c r="C127" s="9">
        <v>162</v>
      </c>
      <c r="D127" s="9"/>
      <c r="E127" s="9">
        <f t="shared" si="2"/>
        <v>15787</v>
      </c>
      <c r="F127" s="9"/>
    </row>
    <row r="128" spans="1:6">
      <c r="A128" s="702" t="s">
        <v>918</v>
      </c>
      <c r="B128" s="703" t="s">
        <v>406</v>
      </c>
      <c r="C128" s="9">
        <v>2</v>
      </c>
      <c r="D128" s="9"/>
      <c r="E128" s="9">
        <f t="shared" si="2"/>
        <v>15789</v>
      </c>
      <c r="F128" s="9"/>
    </row>
    <row r="129" spans="1:6">
      <c r="A129" s="21">
        <v>43106</v>
      </c>
      <c r="B129" s="703" t="s">
        <v>809</v>
      </c>
      <c r="C129" s="9"/>
      <c r="D129" s="9">
        <v>2000</v>
      </c>
      <c r="E129" s="9">
        <f t="shared" si="2"/>
        <v>13789</v>
      </c>
      <c r="F129" s="703" t="s">
        <v>46</v>
      </c>
    </row>
    <row r="130" spans="1:6">
      <c r="A130" s="21">
        <v>43137</v>
      </c>
      <c r="B130" s="703" t="s">
        <v>24</v>
      </c>
      <c r="C130" s="9">
        <v>46</v>
      </c>
      <c r="D130" s="9"/>
      <c r="E130" s="9">
        <f t="shared" si="2"/>
        <v>13835</v>
      </c>
      <c r="F130" s="9"/>
    </row>
    <row r="131" spans="1:6">
      <c r="A131" s="22">
        <v>43226</v>
      </c>
      <c r="B131" s="13" t="s">
        <v>941</v>
      </c>
      <c r="C131" s="9"/>
      <c r="D131" s="13">
        <v>32</v>
      </c>
      <c r="E131" s="9">
        <f t="shared" si="2"/>
        <v>13803</v>
      </c>
      <c r="F131" s="715" t="s">
        <v>46</v>
      </c>
    </row>
    <row r="132" spans="1:6">
      <c r="A132" s="9"/>
      <c r="B132" s="9"/>
      <c r="C132" s="9"/>
      <c r="D132" s="9"/>
      <c r="E132" s="9"/>
      <c r="F132" s="9"/>
    </row>
    <row r="133" spans="1:6">
      <c r="A133" s="9"/>
      <c r="B133" s="9"/>
      <c r="C133" s="9"/>
      <c r="D133" s="9"/>
      <c r="E133" s="9"/>
      <c r="F133" s="9"/>
    </row>
    <row r="134" spans="1:6">
      <c r="A134" s="9"/>
      <c r="B134" s="9"/>
      <c r="C134" s="9"/>
      <c r="D134" s="9"/>
      <c r="E134" s="9"/>
      <c r="F134" s="9"/>
    </row>
    <row r="135" spans="1:6">
      <c r="A135" s="9"/>
      <c r="B135" s="9"/>
      <c r="C135" s="9"/>
      <c r="D135" s="9"/>
      <c r="E135" s="9"/>
      <c r="F135" s="9"/>
    </row>
    <row r="136" spans="1:6">
      <c r="A136" s="9"/>
      <c r="B136" s="9"/>
      <c r="C136" s="9"/>
      <c r="D136" s="9"/>
      <c r="E136" s="9"/>
      <c r="F136" s="9"/>
    </row>
    <row r="137" spans="1:6">
      <c r="A137" s="9"/>
      <c r="B137" s="9"/>
      <c r="C137" s="9"/>
      <c r="D137" s="9"/>
      <c r="E137" s="9"/>
      <c r="F137" s="9"/>
    </row>
    <row r="138" spans="1:6">
      <c r="A138" s="9"/>
      <c r="B138" s="9"/>
      <c r="C138" s="9"/>
      <c r="D138" s="9"/>
      <c r="E138" s="9"/>
      <c r="F138" s="9"/>
    </row>
    <row r="1048219" spans="5:5">
      <c r="E1048219" s="286"/>
    </row>
  </sheetData>
  <pageMargins left="0.69930555555555596" right="0.69930555555555596" top="0" bottom="0" header="0.3" footer="0.3"/>
  <pageSetup paperSize="9" scale="80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F16" sqref="F16"/>
    </sheetView>
  </sheetViews>
  <sheetFormatPr baseColWidth="10" defaultColWidth="9" defaultRowHeight="14" x14ac:dyDescent="0"/>
  <cols>
    <col min="1" max="1" width="11.5" style="264" customWidth="1"/>
    <col min="2" max="2" width="22.83203125" customWidth="1"/>
    <col min="3" max="3" width="9.1640625" customWidth="1"/>
    <col min="4" max="4" width="9" customWidth="1"/>
    <col min="5" max="5" width="7.33203125" customWidth="1"/>
    <col min="6" max="6" width="13.33203125" customWidth="1"/>
  </cols>
  <sheetData>
    <row r="1" spans="1:6">
      <c r="B1" s="50" t="s">
        <v>40</v>
      </c>
      <c r="C1" s="272"/>
      <c r="D1" s="50"/>
      <c r="E1" s="50"/>
    </row>
    <row r="2" spans="1:6">
      <c r="A2" s="279"/>
      <c r="B2" s="51"/>
      <c r="C2" s="50"/>
      <c r="D2" s="50"/>
      <c r="E2" s="50"/>
    </row>
    <row r="3" spans="1:6">
      <c r="A3" s="634" t="s">
        <v>1</v>
      </c>
      <c r="B3" s="52" t="s">
        <v>429</v>
      </c>
      <c r="C3" s="52" t="s">
        <v>3</v>
      </c>
      <c r="D3" s="52" t="s">
        <v>4</v>
      </c>
      <c r="E3" s="52" t="s">
        <v>5</v>
      </c>
      <c r="F3" s="25" t="s">
        <v>6</v>
      </c>
    </row>
    <row r="4" spans="1:6">
      <c r="A4" s="125"/>
      <c r="B4" s="9" t="s">
        <v>408</v>
      </c>
      <c r="C4" s="9"/>
      <c r="D4" s="9"/>
      <c r="E4" s="9">
        <v>406</v>
      </c>
    </row>
    <row r="5" spans="1:6">
      <c r="A5" s="368" t="s">
        <v>569</v>
      </c>
      <c r="B5" s="369" t="s">
        <v>571</v>
      </c>
      <c r="C5" s="9">
        <v>44</v>
      </c>
      <c r="D5" s="9"/>
      <c r="E5" s="9">
        <f t="shared" ref="E5:E16" si="0">E4+C5-D5</f>
        <v>450</v>
      </c>
      <c r="F5" s="372"/>
    </row>
    <row r="6" spans="1:6">
      <c r="A6" s="42">
        <v>43222</v>
      </c>
      <c r="B6" s="9" t="s">
        <v>24</v>
      </c>
      <c r="C6" s="9">
        <v>44</v>
      </c>
      <c r="D6" s="9"/>
      <c r="E6" s="9">
        <f t="shared" si="0"/>
        <v>494</v>
      </c>
    </row>
    <row r="7" spans="1:6">
      <c r="A7" s="454" t="s">
        <v>665</v>
      </c>
      <c r="B7" s="9" t="s">
        <v>24</v>
      </c>
      <c r="C7" s="9">
        <v>15</v>
      </c>
      <c r="D7" s="9"/>
      <c r="E7" s="9">
        <f t="shared" si="0"/>
        <v>509</v>
      </c>
      <c r="F7" s="453"/>
    </row>
    <row r="8" spans="1:6">
      <c r="A8" s="469" t="s">
        <v>687</v>
      </c>
      <c r="B8" s="467" t="s">
        <v>24</v>
      </c>
      <c r="C8" s="9">
        <v>24</v>
      </c>
      <c r="D8" s="9"/>
      <c r="E8" s="9">
        <f t="shared" si="0"/>
        <v>533</v>
      </c>
      <c r="F8" s="471"/>
    </row>
    <row r="9" spans="1:6">
      <c r="A9" s="512" t="s">
        <v>735</v>
      </c>
      <c r="B9" s="513" t="s">
        <v>24</v>
      </c>
      <c r="C9" s="9">
        <v>40</v>
      </c>
      <c r="D9" s="9"/>
      <c r="E9" s="9">
        <f t="shared" si="0"/>
        <v>573</v>
      </c>
      <c r="F9" s="516"/>
    </row>
    <row r="10" spans="1:6">
      <c r="A10" s="543" t="s">
        <v>761</v>
      </c>
      <c r="B10" s="542" t="s">
        <v>604</v>
      </c>
      <c r="C10" s="9">
        <v>100</v>
      </c>
      <c r="D10" s="9"/>
      <c r="E10" s="9">
        <f t="shared" si="0"/>
        <v>673</v>
      </c>
      <c r="F10" s="545"/>
    </row>
    <row r="11" spans="1:6">
      <c r="A11" s="42">
        <v>43408</v>
      </c>
      <c r="B11" s="9" t="s">
        <v>24</v>
      </c>
      <c r="C11" s="9">
        <v>75</v>
      </c>
      <c r="D11" s="9"/>
      <c r="E11" s="9">
        <f t="shared" si="0"/>
        <v>748</v>
      </c>
      <c r="F11" s="560" t="s">
        <v>46</v>
      </c>
    </row>
    <row r="12" spans="1:6">
      <c r="A12" s="125" t="s">
        <v>789</v>
      </c>
      <c r="B12" s="9" t="s">
        <v>24</v>
      </c>
      <c r="C12" s="9">
        <v>10</v>
      </c>
      <c r="D12" s="9"/>
      <c r="E12" s="9">
        <f t="shared" si="0"/>
        <v>758</v>
      </c>
      <c r="F12" s="574" t="s">
        <v>46</v>
      </c>
    </row>
    <row r="13" spans="1:6">
      <c r="A13" s="601" t="s">
        <v>826</v>
      </c>
      <c r="B13" s="9" t="s">
        <v>24</v>
      </c>
      <c r="C13" s="9">
        <v>90</v>
      </c>
      <c r="D13" s="9"/>
      <c r="E13" s="9">
        <f t="shared" si="0"/>
        <v>848</v>
      </c>
      <c r="F13" s="603" t="s">
        <v>46</v>
      </c>
    </row>
    <row r="14" spans="1:6">
      <c r="A14" s="125" t="s">
        <v>837</v>
      </c>
      <c r="B14" s="9" t="s">
        <v>24</v>
      </c>
      <c r="C14" s="9">
        <v>125</v>
      </c>
      <c r="D14" s="9"/>
      <c r="E14" s="9">
        <f t="shared" si="0"/>
        <v>973</v>
      </c>
      <c r="F14" s="614" t="s">
        <v>46</v>
      </c>
    </row>
    <row r="15" spans="1:6">
      <c r="A15" s="125" t="s">
        <v>863</v>
      </c>
      <c r="B15" s="9" t="s">
        <v>24</v>
      </c>
      <c r="C15" s="24">
        <v>15</v>
      </c>
      <c r="D15" s="9"/>
      <c r="E15" s="9">
        <f t="shared" si="0"/>
        <v>988</v>
      </c>
    </row>
    <row r="16" spans="1:6">
      <c r="A16" s="125" t="s">
        <v>886</v>
      </c>
      <c r="B16" s="9" t="s">
        <v>887</v>
      </c>
      <c r="C16" s="9">
        <v>30</v>
      </c>
      <c r="D16" s="9"/>
      <c r="E16" s="9">
        <f t="shared" si="0"/>
        <v>1018</v>
      </c>
      <c r="F16" s="682" t="s">
        <v>46</v>
      </c>
    </row>
    <row r="17" spans="1:5">
      <c r="A17" s="125"/>
      <c r="B17" s="9"/>
      <c r="C17" s="9"/>
      <c r="D17" s="9"/>
      <c r="E17" s="9"/>
    </row>
    <row r="18" spans="1:5">
      <c r="A18" s="125"/>
      <c r="B18" s="9"/>
      <c r="C18" s="9"/>
      <c r="D18" s="9"/>
      <c r="E18" s="9"/>
    </row>
    <row r="19" spans="1:5">
      <c r="A19" s="125"/>
      <c r="B19" s="9"/>
      <c r="C19" s="9"/>
      <c r="D19" s="9"/>
      <c r="E19" s="9"/>
    </row>
    <row r="20" spans="1:5">
      <c r="A20" s="125"/>
      <c r="B20" s="9"/>
      <c r="C20" s="9"/>
      <c r="D20" s="9"/>
      <c r="E20" s="9"/>
    </row>
  </sheetData>
  <pageMargins left="0.69930555555555596" right="0.69930555555555596" top="0.75" bottom="0.75" header="0.3" footer="0.3"/>
  <pageSetup paperSize="9" scale="95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zoomScale="110" zoomScaleNormal="110" zoomScalePageLayoutView="110" workbookViewId="0">
      <selection activeCell="F28" sqref="F28"/>
    </sheetView>
  </sheetViews>
  <sheetFormatPr baseColWidth="10" defaultColWidth="9" defaultRowHeight="14" x14ac:dyDescent="0"/>
  <cols>
    <col min="1" max="1" width="11.33203125" style="264" customWidth="1"/>
    <col min="2" max="2" width="30" customWidth="1"/>
    <col min="6" max="6" width="14" customWidth="1"/>
    <col min="7" max="7" width="15.83203125" customWidth="1"/>
  </cols>
  <sheetData>
    <row r="1" spans="1:6" ht="15">
      <c r="A1" s="278" t="s">
        <v>41</v>
      </c>
      <c r="B1" s="271"/>
      <c r="C1" s="50"/>
      <c r="D1" s="50"/>
      <c r="E1" s="50"/>
    </row>
    <row r="2" spans="1:6">
      <c r="A2" s="279"/>
      <c r="B2" s="51"/>
      <c r="C2" s="50"/>
      <c r="D2" s="50"/>
      <c r="E2" s="50"/>
    </row>
    <row r="3" spans="1:6">
      <c r="A3" s="634" t="s">
        <v>1</v>
      </c>
      <c r="B3" s="52" t="s">
        <v>429</v>
      </c>
      <c r="C3" s="52" t="s">
        <v>3</v>
      </c>
      <c r="D3" s="52" t="s">
        <v>4</v>
      </c>
      <c r="E3" s="52" t="s">
        <v>5</v>
      </c>
      <c r="F3" s="25" t="s">
        <v>6</v>
      </c>
    </row>
    <row r="4" spans="1:6">
      <c r="A4" s="125"/>
      <c r="B4" s="9" t="s">
        <v>408</v>
      </c>
      <c r="C4" s="9"/>
      <c r="D4" s="9"/>
      <c r="E4" s="9">
        <v>1850</v>
      </c>
    </row>
    <row r="5" spans="1:6">
      <c r="A5" s="42">
        <v>43221</v>
      </c>
      <c r="B5" s="313" t="s">
        <v>15</v>
      </c>
      <c r="C5" s="9">
        <v>100</v>
      </c>
      <c r="D5" s="9"/>
      <c r="E5" s="9">
        <f t="shared" ref="E5:E9" si="0">E4+C5-D5</f>
        <v>1950</v>
      </c>
    </row>
    <row r="6" spans="1:6">
      <c r="A6" s="42">
        <v>43313</v>
      </c>
      <c r="B6" s="320" t="s">
        <v>8</v>
      </c>
      <c r="C6" s="9">
        <v>36</v>
      </c>
      <c r="D6" s="9"/>
      <c r="E6" s="9">
        <f t="shared" si="0"/>
        <v>1986</v>
      </c>
      <c r="F6" s="324"/>
    </row>
    <row r="7" spans="1:6">
      <c r="A7" s="643" t="s">
        <v>488</v>
      </c>
      <c r="B7" s="25" t="s">
        <v>15</v>
      </c>
      <c r="C7" s="9">
        <v>131</v>
      </c>
      <c r="D7" s="9"/>
      <c r="E7" s="9">
        <f t="shared" si="0"/>
        <v>2117</v>
      </c>
      <c r="F7" s="345"/>
    </row>
    <row r="8" spans="1:6">
      <c r="A8" s="638" t="s">
        <v>557</v>
      </c>
      <c r="B8" s="364" t="s">
        <v>510</v>
      </c>
      <c r="C8" s="9">
        <v>28</v>
      </c>
      <c r="D8" s="9"/>
      <c r="E8" s="9">
        <f t="shared" si="0"/>
        <v>2145</v>
      </c>
      <c r="F8" s="367"/>
    </row>
    <row r="9" spans="1:6">
      <c r="A9" s="370" t="s">
        <v>569</v>
      </c>
      <c r="B9" s="371" t="s">
        <v>8</v>
      </c>
      <c r="C9" s="24">
        <v>160</v>
      </c>
      <c r="D9" s="9"/>
      <c r="E9" s="9">
        <f t="shared" si="0"/>
        <v>2305</v>
      </c>
      <c r="F9" s="372"/>
    </row>
    <row r="10" spans="1:6">
      <c r="A10" s="376" t="s">
        <v>585</v>
      </c>
      <c r="B10" s="377" t="s">
        <v>8</v>
      </c>
      <c r="C10" s="9">
        <v>34</v>
      </c>
      <c r="D10" s="9"/>
      <c r="E10" s="9">
        <f t="shared" ref="E10:E20" si="1">E9+C10-D10</f>
        <v>2339</v>
      </c>
      <c r="F10" s="379"/>
    </row>
    <row r="11" spans="1:6">
      <c r="A11" s="172">
        <v>43283</v>
      </c>
      <c r="B11" s="412" t="s">
        <v>510</v>
      </c>
      <c r="C11" s="9">
        <v>36</v>
      </c>
      <c r="D11" s="9"/>
      <c r="E11" s="9">
        <f t="shared" si="1"/>
        <v>2375</v>
      </c>
      <c r="F11" s="414"/>
    </row>
    <row r="12" spans="1:6">
      <c r="A12" s="640" t="s">
        <v>630</v>
      </c>
      <c r="B12" s="429" t="s">
        <v>510</v>
      </c>
      <c r="C12" s="9">
        <v>34</v>
      </c>
      <c r="D12" s="9"/>
      <c r="E12" s="9">
        <f t="shared" si="1"/>
        <v>2409</v>
      </c>
      <c r="F12" s="433"/>
    </row>
    <row r="13" spans="1:6">
      <c r="A13" s="459" t="s">
        <v>669</v>
      </c>
      <c r="B13" s="457" t="s">
        <v>456</v>
      </c>
      <c r="C13" s="9">
        <v>80</v>
      </c>
      <c r="D13" s="9"/>
      <c r="E13" s="9">
        <f t="shared" si="1"/>
        <v>2489</v>
      </c>
      <c r="F13" s="461"/>
    </row>
    <row r="14" spans="1:6">
      <c r="A14" s="172">
        <v>43223</v>
      </c>
      <c r="B14" s="493" t="s">
        <v>510</v>
      </c>
      <c r="C14" s="9">
        <v>33</v>
      </c>
      <c r="D14" s="9"/>
      <c r="E14" s="9">
        <f t="shared" si="1"/>
        <v>2522</v>
      </c>
      <c r="F14" s="495"/>
    </row>
    <row r="15" spans="1:6">
      <c r="A15" s="42">
        <v>43284</v>
      </c>
      <c r="B15" s="9" t="s">
        <v>708</v>
      </c>
      <c r="C15" s="9">
        <v>50</v>
      </c>
      <c r="D15" s="9"/>
      <c r="E15" s="9">
        <f t="shared" si="1"/>
        <v>2572</v>
      </c>
      <c r="F15" s="496"/>
    </row>
    <row r="16" spans="1:6">
      <c r="A16" s="42">
        <v>43315</v>
      </c>
      <c r="B16" s="497" t="s">
        <v>462</v>
      </c>
      <c r="C16" s="9">
        <v>7</v>
      </c>
      <c r="D16" s="9"/>
      <c r="E16" s="9">
        <f t="shared" si="1"/>
        <v>2579</v>
      </c>
      <c r="F16" s="501"/>
    </row>
    <row r="17" spans="1:6">
      <c r="A17" s="42">
        <v>43437</v>
      </c>
      <c r="B17" s="502" t="s">
        <v>8</v>
      </c>
      <c r="C17" s="9">
        <v>23</v>
      </c>
      <c r="D17" s="9"/>
      <c r="E17" s="9">
        <f t="shared" si="1"/>
        <v>2602</v>
      </c>
    </row>
    <row r="18" spans="1:6">
      <c r="A18" s="504" t="s">
        <v>728</v>
      </c>
      <c r="B18" s="502" t="s">
        <v>15</v>
      </c>
      <c r="C18" s="9">
        <v>90</v>
      </c>
      <c r="D18" s="9"/>
      <c r="E18" s="9">
        <f t="shared" si="1"/>
        <v>2692</v>
      </c>
      <c r="F18" s="506" t="s">
        <v>46</v>
      </c>
    </row>
    <row r="19" spans="1:6">
      <c r="A19" s="125" t="s">
        <v>731</v>
      </c>
      <c r="B19" s="9" t="s">
        <v>510</v>
      </c>
      <c r="C19" s="9">
        <v>9</v>
      </c>
      <c r="D19" s="9"/>
      <c r="E19" s="9">
        <f t="shared" si="1"/>
        <v>2701</v>
      </c>
      <c r="F19" s="510" t="s">
        <v>46</v>
      </c>
    </row>
    <row r="20" spans="1:6">
      <c r="A20" s="522" t="s">
        <v>743</v>
      </c>
      <c r="B20" s="521" t="s">
        <v>8</v>
      </c>
      <c r="C20" s="9">
        <v>100</v>
      </c>
      <c r="D20" s="9"/>
      <c r="E20" s="9">
        <f t="shared" si="1"/>
        <v>2801</v>
      </c>
      <c r="F20" s="526" t="s">
        <v>46</v>
      </c>
    </row>
    <row r="21" spans="1:6">
      <c r="A21" s="543" t="s">
        <v>761</v>
      </c>
      <c r="B21" s="542" t="s">
        <v>604</v>
      </c>
      <c r="C21" s="9">
        <v>13</v>
      </c>
      <c r="D21" s="9"/>
      <c r="E21" s="9">
        <f t="shared" ref="E21:E27" si="2">E20+C21-D21</f>
        <v>2814</v>
      </c>
      <c r="F21" s="545" t="s">
        <v>46</v>
      </c>
    </row>
    <row r="22" spans="1:6">
      <c r="A22" s="42">
        <v>43135</v>
      </c>
      <c r="B22" s="548" t="s">
        <v>8</v>
      </c>
      <c r="C22" s="9">
        <v>63</v>
      </c>
      <c r="D22" s="9"/>
      <c r="E22" s="9">
        <f t="shared" si="2"/>
        <v>2877</v>
      </c>
    </row>
    <row r="23" spans="1:6">
      <c r="A23" s="42">
        <v>43376</v>
      </c>
      <c r="B23" s="498" t="s">
        <v>708</v>
      </c>
      <c r="C23" s="9">
        <v>47</v>
      </c>
      <c r="D23" s="9"/>
      <c r="E23" s="9">
        <f t="shared" si="2"/>
        <v>2924</v>
      </c>
      <c r="F23" s="568" t="s">
        <v>46</v>
      </c>
    </row>
    <row r="24" spans="1:6">
      <c r="A24" s="599" t="s">
        <v>826</v>
      </c>
      <c r="B24" s="600" t="s">
        <v>817</v>
      </c>
      <c r="C24" s="9"/>
      <c r="D24" s="9">
        <v>200</v>
      </c>
      <c r="E24" s="9">
        <f t="shared" si="2"/>
        <v>2724</v>
      </c>
      <c r="F24" s="603" t="s">
        <v>46</v>
      </c>
    </row>
    <row r="25" spans="1:6">
      <c r="A25" s="659" t="s">
        <v>733</v>
      </c>
      <c r="B25" s="656" t="s">
        <v>762</v>
      </c>
      <c r="C25" s="9"/>
      <c r="D25" s="9">
        <v>20</v>
      </c>
      <c r="E25" s="9">
        <f t="shared" si="2"/>
        <v>2704</v>
      </c>
    </row>
    <row r="26" spans="1:6">
      <c r="A26" s="24" t="s">
        <v>907</v>
      </c>
      <c r="B26" s="24" t="s">
        <v>910</v>
      </c>
      <c r="C26" s="9"/>
      <c r="D26" s="9">
        <v>25</v>
      </c>
      <c r="E26" s="9">
        <f t="shared" si="2"/>
        <v>2679</v>
      </c>
      <c r="F26" s="693" t="s">
        <v>46</v>
      </c>
    </row>
    <row r="27" spans="1:6">
      <c r="A27" s="172">
        <v>43165</v>
      </c>
      <c r="B27" s="711" t="s">
        <v>932</v>
      </c>
      <c r="C27" s="9"/>
      <c r="D27" s="9">
        <v>5</v>
      </c>
      <c r="E27" s="9">
        <f t="shared" si="2"/>
        <v>2674</v>
      </c>
      <c r="F27" s="721" t="s">
        <v>46</v>
      </c>
    </row>
    <row r="28" spans="1:6">
      <c r="A28" s="125"/>
      <c r="B28" s="9"/>
      <c r="C28" s="9"/>
      <c r="D28" s="9"/>
      <c r="E28" s="9"/>
    </row>
    <row r="29" spans="1:6">
      <c r="A29" s="125"/>
      <c r="B29" s="9"/>
      <c r="C29" s="9"/>
      <c r="D29" s="9"/>
      <c r="E29" s="9"/>
    </row>
    <row r="30" spans="1:6">
      <c r="A30" s="125"/>
      <c r="B30" s="9"/>
      <c r="C30" s="9"/>
      <c r="D30" s="9"/>
      <c r="E30" s="9"/>
    </row>
    <row r="31" spans="1:6">
      <c r="A31" s="125"/>
      <c r="B31" s="9"/>
      <c r="C31" s="9"/>
      <c r="D31" s="9"/>
      <c r="E31" s="9"/>
    </row>
    <row r="32" spans="1:6">
      <c r="A32" s="125"/>
      <c r="B32" s="9"/>
      <c r="C32" s="9"/>
      <c r="D32" s="9"/>
      <c r="E32" s="9"/>
    </row>
    <row r="33" spans="1:5">
      <c r="A33" s="125"/>
      <c r="B33" s="9"/>
      <c r="C33" s="9"/>
      <c r="D33" s="9"/>
      <c r="E33" s="9"/>
    </row>
  </sheetData>
  <pageMargins left="0.69930555555555596" right="0.69930555555555596" top="0.75" bottom="0.75" header="0.3" footer="0.3"/>
  <pageSetup paperSize="9" scale="90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048361"/>
  <sheetViews>
    <sheetView topLeftCell="A68" zoomScale="110" zoomScaleNormal="110" zoomScalePageLayoutView="110" workbookViewId="0">
      <selection activeCell="G86" sqref="G86"/>
    </sheetView>
  </sheetViews>
  <sheetFormatPr baseColWidth="10" defaultColWidth="9" defaultRowHeight="14" x14ac:dyDescent="0.75"/>
  <cols>
    <col min="1" max="1" width="3.33203125" customWidth="1"/>
    <col min="2" max="2" width="12" customWidth="1"/>
    <col min="3" max="3" width="34.1640625" customWidth="1"/>
    <col min="4" max="6" width="9" customWidth="1"/>
    <col min="7" max="7" width="13.5" customWidth="1"/>
  </cols>
  <sheetData>
    <row r="2" spans="2:7" s="129" customFormat="1" ht="15">
      <c r="B2" s="217" t="s">
        <v>42</v>
      </c>
      <c r="C2" s="217"/>
      <c r="D2" s="217"/>
      <c r="E2" s="217"/>
      <c r="F2" s="217"/>
    </row>
    <row r="3" spans="2:7">
      <c r="B3" s="50"/>
      <c r="C3" s="51"/>
      <c r="D3" s="50"/>
      <c r="E3" s="50"/>
      <c r="F3" s="50"/>
    </row>
    <row r="4" spans="2:7">
      <c r="B4" s="52" t="s">
        <v>1</v>
      </c>
      <c r="C4" s="52" t="s">
        <v>429</v>
      </c>
      <c r="D4" s="52" t="s">
        <v>3</v>
      </c>
      <c r="E4" s="52" t="s">
        <v>4</v>
      </c>
      <c r="F4" s="52" t="s">
        <v>5</v>
      </c>
      <c r="G4" s="25" t="s">
        <v>6</v>
      </c>
    </row>
    <row r="5" spans="2:7">
      <c r="B5" s="9"/>
      <c r="C5" s="9" t="s">
        <v>408</v>
      </c>
      <c r="D5" s="9"/>
      <c r="E5" s="9"/>
      <c r="F5" s="9">
        <v>120</v>
      </c>
    </row>
    <row r="6" spans="2:7">
      <c r="B6" s="21">
        <v>43191</v>
      </c>
      <c r="C6" s="306" t="s">
        <v>15</v>
      </c>
      <c r="D6" s="9">
        <v>400</v>
      </c>
      <c r="E6" s="9"/>
      <c r="F6" s="9">
        <f>F5+D6-E6</f>
        <v>520</v>
      </c>
      <c r="G6" s="308" t="s">
        <v>46</v>
      </c>
    </row>
    <row r="7" spans="2:7">
      <c r="B7" s="42">
        <v>43221</v>
      </c>
      <c r="C7" s="313" t="s">
        <v>15</v>
      </c>
      <c r="D7" s="9">
        <v>175</v>
      </c>
      <c r="E7" s="9"/>
      <c r="F7" s="9">
        <f>F6+D7-E7</f>
        <v>695</v>
      </c>
    </row>
    <row r="8" spans="2:7">
      <c r="B8" s="21">
        <v>43313</v>
      </c>
      <c r="C8" s="320" t="s">
        <v>456</v>
      </c>
      <c r="D8" s="9">
        <v>1</v>
      </c>
      <c r="E8" s="9"/>
      <c r="F8" s="9">
        <f>F7+D8-E8</f>
        <v>696</v>
      </c>
      <c r="G8" s="324" t="s">
        <v>46</v>
      </c>
    </row>
    <row r="9" spans="2:7">
      <c r="B9" s="42">
        <v>43405</v>
      </c>
      <c r="C9" s="330" t="s">
        <v>444</v>
      </c>
      <c r="D9" s="9">
        <v>43</v>
      </c>
      <c r="E9" s="9"/>
      <c r="F9" s="9">
        <f t="shared" ref="F9:F18" si="0">F8+D9-E9</f>
        <v>739</v>
      </c>
    </row>
    <row r="10" spans="2:7">
      <c r="B10" s="57">
        <v>43435</v>
      </c>
      <c r="C10" s="331" t="s">
        <v>424</v>
      </c>
      <c r="D10" s="9">
        <v>429</v>
      </c>
      <c r="E10" s="9"/>
      <c r="F10" s="9">
        <f t="shared" si="0"/>
        <v>1168</v>
      </c>
      <c r="G10" s="333" t="s">
        <v>46</v>
      </c>
    </row>
    <row r="11" spans="2:7">
      <c r="B11" s="25" t="s">
        <v>488</v>
      </c>
      <c r="C11" s="25" t="s">
        <v>15</v>
      </c>
      <c r="D11" s="9">
        <v>21</v>
      </c>
      <c r="E11" s="9"/>
      <c r="F11" s="9">
        <f t="shared" si="0"/>
        <v>1189</v>
      </c>
    </row>
    <row r="12" spans="2:7">
      <c r="B12" s="334" t="s">
        <v>488</v>
      </c>
      <c r="C12" s="334" t="s">
        <v>24</v>
      </c>
      <c r="D12" s="9">
        <v>90</v>
      </c>
      <c r="E12" s="9"/>
      <c r="F12" s="9">
        <f t="shared" si="0"/>
        <v>1279</v>
      </c>
      <c r="G12" s="345" t="s">
        <v>46</v>
      </c>
    </row>
    <row r="13" spans="2:7">
      <c r="B13" s="347" t="s">
        <v>526</v>
      </c>
      <c r="C13" s="348" t="s">
        <v>462</v>
      </c>
      <c r="D13" s="9">
        <v>49</v>
      </c>
      <c r="E13" s="9"/>
      <c r="F13" s="9">
        <f t="shared" si="0"/>
        <v>1328</v>
      </c>
    </row>
    <row r="14" spans="2:7">
      <c r="B14" s="347" t="s">
        <v>531</v>
      </c>
      <c r="C14" s="348" t="s">
        <v>534</v>
      </c>
      <c r="D14" s="9">
        <v>21</v>
      </c>
      <c r="E14" s="9"/>
      <c r="F14" s="9">
        <f t="shared" si="0"/>
        <v>1349</v>
      </c>
      <c r="G14" s="352" t="s">
        <v>46</v>
      </c>
    </row>
    <row r="15" spans="2:7">
      <c r="B15" s="364" t="s">
        <v>557</v>
      </c>
      <c r="C15" s="364" t="s">
        <v>510</v>
      </c>
      <c r="D15" s="9">
        <v>6</v>
      </c>
      <c r="E15" s="9"/>
      <c r="F15" s="9">
        <f t="shared" si="0"/>
        <v>1355</v>
      </c>
      <c r="G15" s="367" t="s">
        <v>46</v>
      </c>
    </row>
    <row r="16" spans="2:7">
      <c r="B16" s="370" t="s">
        <v>569</v>
      </c>
      <c r="C16" s="371" t="s">
        <v>570</v>
      </c>
      <c r="D16" s="9">
        <v>109</v>
      </c>
      <c r="E16" s="9"/>
      <c r="F16" s="9">
        <f t="shared" si="0"/>
        <v>1464</v>
      </c>
    </row>
    <row r="17" spans="2:7">
      <c r="B17" s="369" t="s">
        <v>569</v>
      </c>
      <c r="C17" s="369" t="s">
        <v>578</v>
      </c>
      <c r="D17" s="9"/>
      <c r="E17" s="9">
        <v>144</v>
      </c>
      <c r="F17" s="9">
        <f t="shared" si="0"/>
        <v>1320</v>
      </c>
      <c r="G17" s="372" t="s">
        <v>46</v>
      </c>
    </row>
    <row r="18" spans="2:7">
      <c r="B18" s="377" t="s">
        <v>585</v>
      </c>
      <c r="C18" s="377" t="s">
        <v>8</v>
      </c>
      <c r="D18" s="9">
        <v>49</v>
      </c>
      <c r="E18" s="9"/>
      <c r="F18" s="9">
        <f t="shared" si="0"/>
        <v>1369</v>
      </c>
    </row>
    <row r="19" spans="2:7">
      <c r="B19" s="375" t="s">
        <v>586</v>
      </c>
      <c r="C19" s="375" t="s">
        <v>445</v>
      </c>
      <c r="D19" s="9">
        <v>6</v>
      </c>
      <c r="E19" s="9"/>
      <c r="F19" s="9">
        <f>F18+D19-E19</f>
        <v>1375</v>
      </c>
      <c r="G19" s="379" t="s">
        <v>46</v>
      </c>
    </row>
    <row r="20" spans="2:7">
      <c r="B20" s="125" t="s">
        <v>598</v>
      </c>
      <c r="C20" s="9" t="s">
        <v>524</v>
      </c>
      <c r="D20" s="9">
        <v>5</v>
      </c>
      <c r="E20" s="9"/>
      <c r="F20" s="9">
        <f>F19+D20-E20</f>
        <v>1380</v>
      </c>
      <c r="G20" s="388"/>
    </row>
    <row r="21" spans="2:7">
      <c r="B21" s="21">
        <v>43222</v>
      </c>
      <c r="C21" s="9" t="s">
        <v>24</v>
      </c>
      <c r="D21" s="9">
        <v>70</v>
      </c>
      <c r="E21" s="9"/>
      <c r="F21" s="9">
        <f t="shared" ref="F21:F79" si="1">F20+D21-E21</f>
        <v>1450</v>
      </c>
    </row>
    <row r="22" spans="2:7">
      <c r="B22" s="57">
        <v>43222</v>
      </c>
      <c r="C22" s="402" t="s">
        <v>463</v>
      </c>
      <c r="D22" s="9">
        <v>25</v>
      </c>
      <c r="E22" s="9"/>
      <c r="F22" s="9">
        <f t="shared" si="1"/>
        <v>1475</v>
      </c>
      <c r="G22" s="404"/>
    </row>
    <row r="23" spans="2:7">
      <c r="B23" s="42">
        <v>43283</v>
      </c>
      <c r="C23" s="411" t="s">
        <v>524</v>
      </c>
      <c r="D23" s="9">
        <v>8</v>
      </c>
      <c r="E23" s="9"/>
      <c r="F23" s="9">
        <f t="shared" si="1"/>
        <v>1483</v>
      </c>
    </row>
    <row r="24" spans="2:7">
      <c r="B24" s="57">
        <v>43283</v>
      </c>
      <c r="C24" s="412" t="s">
        <v>510</v>
      </c>
      <c r="D24" s="9">
        <v>22</v>
      </c>
      <c r="E24" s="9"/>
      <c r="F24" s="9">
        <f t="shared" si="1"/>
        <v>1505</v>
      </c>
    </row>
    <row r="25" spans="2:7">
      <c r="B25" s="21">
        <v>43314</v>
      </c>
      <c r="C25" s="411" t="s">
        <v>445</v>
      </c>
      <c r="D25" s="9">
        <v>3</v>
      </c>
      <c r="E25" s="9"/>
      <c r="F25" s="9">
        <f t="shared" si="1"/>
        <v>1508</v>
      </c>
      <c r="G25" s="414"/>
    </row>
    <row r="26" spans="2:7">
      <c r="B26" s="429" t="s">
        <v>630</v>
      </c>
      <c r="C26" s="429" t="s">
        <v>510</v>
      </c>
      <c r="D26" s="9">
        <v>17</v>
      </c>
      <c r="E26" s="9"/>
      <c r="F26" s="9">
        <f t="shared" si="1"/>
        <v>1525</v>
      </c>
    </row>
    <row r="27" spans="2:7">
      <c r="B27" s="430" t="s">
        <v>636</v>
      </c>
      <c r="C27" s="429" t="s">
        <v>24</v>
      </c>
      <c r="D27" s="9">
        <v>37</v>
      </c>
      <c r="E27" s="9"/>
      <c r="F27" s="9">
        <f t="shared" si="1"/>
        <v>1562</v>
      </c>
      <c r="G27" s="433"/>
    </row>
    <row r="28" spans="2:7">
      <c r="B28" s="434" t="s">
        <v>638</v>
      </c>
      <c r="C28" s="434" t="s">
        <v>642</v>
      </c>
      <c r="D28" s="9"/>
      <c r="E28" s="9">
        <v>20</v>
      </c>
      <c r="F28" s="9">
        <f t="shared" si="1"/>
        <v>1542</v>
      </c>
    </row>
    <row r="29" spans="2:7">
      <c r="B29" s="444" t="s">
        <v>656</v>
      </c>
      <c r="C29" s="444" t="s">
        <v>659</v>
      </c>
      <c r="D29" s="24">
        <v>92</v>
      </c>
      <c r="E29" s="9"/>
      <c r="F29" s="9">
        <f t="shared" si="1"/>
        <v>1634</v>
      </c>
      <c r="G29" s="447"/>
    </row>
    <row r="30" spans="2:7">
      <c r="B30" s="452" t="s">
        <v>665</v>
      </c>
      <c r="C30" s="452" t="s">
        <v>24</v>
      </c>
      <c r="D30" s="9">
        <v>11</v>
      </c>
      <c r="E30" s="9"/>
      <c r="F30" s="9">
        <f t="shared" si="1"/>
        <v>1645</v>
      </c>
      <c r="G30" s="453"/>
    </row>
    <row r="31" spans="2:7">
      <c r="B31" s="457" t="s">
        <v>669</v>
      </c>
      <c r="C31" s="457" t="s">
        <v>459</v>
      </c>
      <c r="D31" s="9"/>
      <c r="E31" s="9">
        <v>50</v>
      </c>
      <c r="F31" s="9">
        <f t="shared" si="1"/>
        <v>1595</v>
      </c>
    </row>
    <row r="32" spans="2:7">
      <c r="B32" s="457" t="s">
        <v>669</v>
      </c>
      <c r="C32" s="457" t="s">
        <v>676</v>
      </c>
      <c r="D32" s="9">
        <v>14</v>
      </c>
      <c r="E32" s="9"/>
      <c r="F32" s="9">
        <f t="shared" si="1"/>
        <v>1609</v>
      </c>
      <c r="G32" s="461"/>
    </row>
    <row r="33" spans="2:7">
      <c r="B33" s="462" t="s">
        <v>677</v>
      </c>
      <c r="C33" s="462" t="s">
        <v>678</v>
      </c>
      <c r="D33" s="9">
        <v>494</v>
      </c>
      <c r="E33" s="9"/>
      <c r="F33" s="9">
        <f t="shared" si="1"/>
        <v>2103</v>
      </c>
      <c r="G33" s="466"/>
    </row>
    <row r="34" spans="2:7">
      <c r="B34" s="21">
        <v>43134</v>
      </c>
      <c r="C34" s="482" t="s">
        <v>668</v>
      </c>
      <c r="D34" s="9"/>
      <c r="E34" s="9">
        <v>100</v>
      </c>
      <c r="F34" s="9">
        <f t="shared" si="1"/>
        <v>2003</v>
      </c>
      <c r="G34" s="484"/>
    </row>
    <row r="35" spans="2:7">
      <c r="B35" s="57">
        <v>43223</v>
      </c>
      <c r="C35" s="493" t="s">
        <v>510</v>
      </c>
      <c r="D35" s="9">
        <v>34</v>
      </c>
      <c r="E35" s="9"/>
      <c r="F35" s="9">
        <f t="shared" si="1"/>
        <v>2037</v>
      </c>
    </row>
    <row r="36" spans="2:7">
      <c r="B36" s="21">
        <v>43223</v>
      </c>
      <c r="C36" s="492" t="s">
        <v>524</v>
      </c>
      <c r="D36" s="9">
        <v>3</v>
      </c>
      <c r="E36" s="9"/>
      <c r="F36" s="9">
        <f t="shared" si="1"/>
        <v>2040</v>
      </c>
      <c r="G36" s="495"/>
    </row>
    <row r="37" spans="2:7">
      <c r="B37" s="42">
        <v>43284</v>
      </c>
      <c r="C37" s="9" t="s">
        <v>708</v>
      </c>
      <c r="D37" s="9">
        <v>50</v>
      </c>
      <c r="E37" s="9"/>
      <c r="F37" s="9">
        <f t="shared" si="1"/>
        <v>2090</v>
      </c>
      <c r="G37" s="496"/>
    </row>
    <row r="38" spans="2:7">
      <c r="B38" s="42">
        <v>43315</v>
      </c>
      <c r="C38" s="497" t="s">
        <v>462</v>
      </c>
      <c r="D38" s="9">
        <v>14</v>
      </c>
      <c r="E38" s="9"/>
      <c r="F38" s="9">
        <f t="shared" si="1"/>
        <v>2104</v>
      </c>
    </row>
    <row r="39" spans="2:7">
      <c r="B39" s="21">
        <v>43346</v>
      </c>
      <c r="C39" s="497" t="s">
        <v>678</v>
      </c>
      <c r="D39" s="9">
        <v>264</v>
      </c>
      <c r="E39" s="9"/>
      <c r="F39" s="9">
        <f t="shared" si="1"/>
        <v>2368</v>
      </c>
      <c r="G39" s="501"/>
    </row>
    <row r="40" spans="2:7">
      <c r="B40" s="42">
        <v>43437</v>
      </c>
      <c r="C40" s="502" t="s">
        <v>8</v>
      </c>
      <c r="D40" s="9">
        <v>42</v>
      </c>
      <c r="E40" s="9"/>
      <c r="F40" s="9">
        <f t="shared" si="1"/>
        <v>2410</v>
      </c>
    </row>
    <row r="41" spans="2:7">
      <c r="B41" s="502" t="s">
        <v>728</v>
      </c>
      <c r="C41" s="502" t="s">
        <v>524</v>
      </c>
      <c r="D41" s="9">
        <v>1</v>
      </c>
      <c r="E41" s="9"/>
      <c r="F41" s="9">
        <f t="shared" si="1"/>
        <v>2411</v>
      </c>
    </row>
    <row r="42" spans="2:7">
      <c r="B42" s="502" t="s">
        <v>728</v>
      </c>
      <c r="C42" s="502" t="s">
        <v>15</v>
      </c>
      <c r="D42" s="9">
        <v>119</v>
      </c>
      <c r="E42" s="9"/>
      <c r="F42" s="9">
        <f t="shared" si="1"/>
        <v>2530</v>
      </c>
      <c r="G42" s="506"/>
    </row>
    <row r="43" spans="2:7">
      <c r="B43" s="9" t="s">
        <v>731</v>
      </c>
      <c r="C43" s="9" t="s">
        <v>510</v>
      </c>
      <c r="D43" s="9">
        <v>7</v>
      </c>
      <c r="E43" s="9"/>
      <c r="F43" s="9">
        <f t="shared" si="1"/>
        <v>2537</v>
      </c>
    </row>
    <row r="44" spans="2:7">
      <c r="B44" s="9" t="s">
        <v>731</v>
      </c>
      <c r="C44" s="9" t="s">
        <v>459</v>
      </c>
      <c r="D44" s="9"/>
      <c r="E44" s="9">
        <v>20</v>
      </c>
      <c r="F44" s="9">
        <f t="shared" si="1"/>
        <v>2517</v>
      </c>
    </row>
    <row r="45" spans="2:7">
      <c r="B45" s="174" t="s">
        <v>732</v>
      </c>
      <c r="C45" s="24" t="s">
        <v>24</v>
      </c>
      <c r="D45" s="9">
        <v>32</v>
      </c>
      <c r="E45" s="9"/>
      <c r="F45" s="9">
        <f t="shared" si="1"/>
        <v>2549</v>
      </c>
      <c r="G45" s="510"/>
    </row>
    <row r="46" spans="2:7">
      <c r="B46" s="521" t="s">
        <v>743</v>
      </c>
      <c r="C46" s="521" t="s">
        <v>24</v>
      </c>
      <c r="D46" s="9">
        <v>23</v>
      </c>
      <c r="E46" s="9"/>
      <c r="F46" s="9">
        <f t="shared" si="1"/>
        <v>2572</v>
      </c>
    </row>
    <row r="47" spans="2:7">
      <c r="B47" s="521" t="s">
        <v>743</v>
      </c>
      <c r="C47" s="521" t="s">
        <v>8</v>
      </c>
      <c r="D47" s="9">
        <v>33</v>
      </c>
      <c r="E47" s="9"/>
      <c r="F47" s="9">
        <f t="shared" si="1"/>
        <v>2605</v>
      </c>
      <c r="G47" s="526"/>
    </row>
    <row r="48" spans="2:7">
      <c r="B48" s="24" t="s">
        <v>744</v>
      </c>
      <c r="C48" s="24" t="s">
        <v>24</v>
      </c>
      <c r="D48" s="9">
        <v>52</v>
      </c>
      <c r="E48" s="9"/>
      <c r="F48" s="9">
        <f t="shared" si="1"/>
        <v>2657</v>
      </c>
      <c r="G48" s="529"/>
    </row>
    <row r="49" spans="2:7">
      <c r="B49" s="527" t="s">
        <v>747</v>
      </c>
      <c r="C49" s="528" t="s">
        <v>524</v>
      </c>
      <c r="D49" s="9">
        <v>12</v>
      </c>
      <c r="E49" s="9"/>
      <c r="F49" s="9">
        <f t="shared" si="1"/>
        <v>2669</v>
      </c>
      <c r="G49" s="529" t="s">
        <v>46</v>
      </c>
    </row>
    <row r="50" spans="2:7">
      <c r="B50" s="533" t="s">
        <v>750</v>
      </c>
      <c r="C50" s="533" t="s">
        <v>752</v>
      </c>
      <c r="D50" s="9"/>
      <c r="E50" s="9">
        <v>155</v>
      </c>
      <c r="F50" s="9">
        <f t="shared" si="1"/>
        <v>2514</v>
      </c>
      <c r="G50" s="536"/>
    </row>
    <row r="51" spans="2:7">
      <c r="B51" s="538" t="s">
        <v>755</v>
      </c>
      <c r="C51" s="538" t="s">
        <v>24</v>
      </c>
      <c r="D51" s="9">
        <v>90</v>
      </c>
      <c r="E51" s="9"/>
      <c r="F51" s="9">
        <f t="shared" si="1"/>
        <v>2604</v>
      </c>
    </row>
    <row r="52" spans="2:7">
      <c r="B52" s="539" t="s">
        <v>755</v>
      </c>
      <c r="C52" s="538" t="s">
        <v>641</v>
      </c>
      <c r="D52" s="9">
        <v>61</v>
      </c>
      <c r="E52" s="9"/>
      <c r="F52" s="9">
        <f t="shared" si="1"/>
        <v>2665</v>
      </c>
      <c r="G52" s="541"/>
    </row>
    <row r="53" spans="2:7">
      <c r="B53" s="543" t="s">
        <v>761</v>
      </c>
      <c r="C53" s="542" t="s">
        <v>604</v>
      </c>
      <c r="D53" s="9">
        <v>52</v>
      </c>
      <c r="E53" s="9"/>
      <c r="F53" s="9">
        <f t="shared" si="1"/>
        <v>2717</v>
      </c>
    </row>
    <row r="54" spans="2:7">
      <c r="B54" s="544" t="s">
        <v>761</v>
      </c>
      <c r="C54" s="544" t="s">
        <v>459</v>
      </c>
      <c r="D54" s="9">
        <v>115</v>
      </c>
      <c r="E54" s="9"/>
      <c r="F54" s="9">
        <f t="shared" si="1"/>
        <v>2832</v>
      </c>
    </row>
    <row r="55" spans="2:7">
      <c r="B55" s="542" t="s">
        <v>764</v>
      </c>
      <c r="C55" s="542" t="s">
        <v>524</v>
      </c>
      <c r="D55" s="9">
        <v>5</v>
      </c>
      <c r="E55" s="9"/>
      <c r="F55" s="9">
        <f t="shared" si="1"/>
        <v>2837</v>
      </c>
      <c r="G55" s="545"/>
    </row>
    <row r="56" spans="2:7">
      <c r="B56" s="24" t="s">
        <v>767</v>
      </c>
      <c r="C56" s="24" t="s">
        <v>668</v>
      </c>
      <c r="D56" s="9">
        <v>58</v>
      </c>
      <c r="E56" s="9"/>
      <c r="F56" s="9">
        <f t="shared" si="1"/>
        <v>2895</v>
      </c>
      <c r="G56" t="s">
        <v>46</v>
      </c>
    </row>
    <row r="57" spans="2:7">
      <c r="B57" s="42">
        <v>43135</v>
      </c>
      <c r="C57" s="548" t="s">
        <v>8</v>
      </c>
      <c r="D57" s="9">
        <v>11</v>
      </c>
      <c r="E57" s="9"/>
      <c r="F57" s="9">
        <f t="shared" si="1"/>
        <v>2906</v>
      </c>
      <c r="G57" s="551" t="s">
        <v>46</v>
      </c>
    </row>
    <row r="58" spans="2:7">
      <c r="B58" s="42">
        <v>43347</v>
      </c>
      <c r="C58" s="554" t="s">
        <v>524</v>
      </c>
      <c r="D58" s="9">
        <v>3</v>
      </c>
      <c r="E58" s="9"/>
      <c r="F58" s="9">
        <f t="shared" si="1"/>
        <v>2909</v>
      </c>
      <c r="G58" s="556" t="s">
        <v>46</v>
      </c>
    </row>
    <row r="59" spans="2:7">
      <c r="B59" s="42">
        <v>43376</v>
      </c>
      <c r="C59" s="498" t="s">
        <v>708</v>
      </c>
      <c r="D59" s="9">
        <v>50</v>
      </c>
      <c r="E59" s="9"/>
      <c r="F59" s="9">
        <f t="shared" si="1"/>
        <v>2959</v>
      </c>
      <c r="G59" s="568" t="s">
        <v>46</v>
      </c>
    </row>
    <row r="60" spans="2:7">
      <c r="B60" s="9" t="s">
        <v>789</v>
      </c>
      <c r="C60" s="9" t="s">
        <v>24</v>
      </c>
      <c r="D60" s="9">
        <v>70</v>
      </c>
      <c r="E60" s="9"/>
      <c r="F60" s="9">
        <f t="shared" si="1"/>
        <v>3029</v>
      </c>
    </row>
    <row r="61" spans="2:7">
      <c r="B61" s="570" t="s">
        <v>793</v>
      </c>
      <c r="C61" s="570" t="s">
        <v>794</v>
      </c>
      <c r="D61" s="9">
        <v>170</v>
      </c>
      <c r="E61" s="9"/>
      <c r="F61" s="9">
        <f t="shared" si="1"/>
        <v>3199</v>
      </c>
    </row>
    <row r="62" spans="2:7">
      <c r="B62" s="571" t="s">
        <v>793</v>
      </c>
      <c r="C62" s="570" t="s">
        <v>508</v>
      </c>
      <c r="D62" s="9"/>
      <c r="E62" s="9">
        <v>50</v>
      </c>
      <c r="F62" s="9">
        <f t="shared" si="1"/>
        <v>3149</v>
      </c>
      <c r="G62" s="574" t="s">
        <v>46</v>
      </c>
    </row>
    <row r="63" spans="2:7">
      <c r="B63" s="581" t="s">
        <v>811</v>
      </c>
      <c r="C63" s="576" t="s">
        <v>806</v>
      </c>
      <c r="D63" s="9"/>
      <c r="E63" s="9">
        <v>254</v>
      </c>
      <c r="F63" s="9">
        <f t="shared" si="1"/>
        <v>2895</v>
      </c>
      <c r="G63" s="584" t="s">
        <v>46</v>
      </c>
    </row>
    <row r="64" spans="2:7">
      <c r="B64" s="601" t="s">
        <v>829</v>
      </c>
      <c r="C64" s="598" t="s">
        <v>524</v>
      </c>
      <c r="D64" s="9">
        <v>52</v>
      </c>
      <c r="E64" s="9"/>
      <c r="F64" s="9">
        <f t="shared" si="1"/>
        <v>2947</v>
      </c>
      <c r="G64" s="603" t="s">
        <v>46</v>
      </c>
    </row>
    <row r="65" spans="2:7">
      <c r="B65" s="9" t="s">
        <v>837</v>
      </c>
      <c r="C65" s="9" t="s">
        <v>24</v>
      </c>
      <c r="D65" s="9">
        <v>120</v>
      </c>
      <c r="E65" s="9"/>
      <c r="F65" s="9">
        <f t="shared" si="1"/>
        <v>3067</v>
      </c>
      <c r="G65" s="614" t="s">
        <v>46</v>
      </c>
    </row>
    <row r="66" spans="2:7">
      <c r="B66" s="616" t="s">
        <v>839</v>
      </c>
      <c r="C66" s="616" t="s">
        <v>840</v>
      </c>
      <c r="D66" s="9">
        <v>35</v>
      </c>
      <c r="E66" s="9"/>
      <c r="F66" s="9">
        <f t="shared" si="1"/>
        <v>3102</v>
      </c>
    </row>
    <row r="67" spans="2:7">
      <c r="B67" s="617" t="s">
        <v>844</v>
      </c>
      <c r="C67" s="617" t="s">
        <v>524</v>
      </c>
      <c r="D67" s="9">
        <v>1</v>
      </c>
      <c r="E67" s="9"/>
      <c r="F67" s="9">
        <f t="shared" si="1"/>
        <v>3103</v>
      </c>
      <c r="G67" s="618" t="s">
        <v>46</v>
      </c>
    </row>
    <row r="68" spans="2:7">
      <c r="B68" s="57">
        <v>43164</v>
      </c>
      <c r="C68" s="24" t="s">
        <v>560</v>
      </c>
      <c r="D68" s="9"/>
      <c r="E68" s="9">
        <v>30</v>
      </c>
      <c r="F68" s="9">
        <f t="shared" si="1"/>
        <v>3073</v>
      </c>
      <c r="G68" s="624" t="s">
        <v>46</v>
      </c>
    </row>
    <row r="69" spans="2:7">
      <c r="B69" s="57">
        <v>43225</v>
      </c>
      <c r="C69" s="24" t="s">
        <v>852</v>
      </c>
      <c r="D69" s="9"/>
      <c r="E69" s="9">
        <v>130</v>
      </c>
      <c r="F69" s="9">
        <f t="shared" si="1"/>
        <v>2943</v>
      </c>
      <c r="G69" s="626" t="s">
        <v>46</v>
      </c>
    </row>
    <row r="70" spans="2:7">
      <c r="B70" s="21">
        <v>43286</v>
      </c>
      <c r="C70" s="629" t="s">
        <v>24</v>
      </c>
      <c r="D70" s="9">
        <v>121</v>
      </c>
      <c r="E70" s="9"/>
      <c r="F70" s="9">
        <f t="shared" si="1"/>
        <v>3064</v>
      </c>
    </row>
    <row r="71" spans="2:7">
      <c r="B71" s="21">
        <v>43409</v>
      </c>
      <c r="C71" s="631" t="s">
        <v>794</v>
      </c>
      <c r="D71" s="9">
        <v>268</v>
      </c>
      <c r="E71" s="9"/>
      <c r="F71" s="9">
        <f t="shared" si="1"/>
        <v>3332</v>
      </c>
    </row>
    <row r="72" spans="2:7">
      <c r="B72" s="633" t="s">
        <v>862</v>
      </c>
      <c r="C72" s="633" t="s">
        <v>24</v>
      </c>
      <c r="D72" s="9">
        <v>39</v>
      </c>
      <c r="E72" s="9"/>
      <c r="F72" s="9">
        <f t="shared" si="1"/>
        <v>3371</v>
      </c>
    </row>
    <row r="73" spans="2:7">
      <c r="B73" s="631" t="s">
        <v>863</v>
      </c>
      <c r="C73" s="631" t="s">
        <v>794</v>
      </c>
      <c r="D73" s="24">
        <v>88</v>
      </c>
      <c r="E73" s="9"/>
      <c r="F73" s="9">
        <f t="shared" si="1"/>
        <v>3459</v>
      </c>
    </row>
    <row r="74" spans="2:7">
      <c r="B74" s="664" t="s">
        <v>878</v>
      </c>
      <c r="C74" s="664" t="s">
        <v>24</v>
      </c>
      <c r="D74" s="24">
        <v>36</v>
      </c>
      <c r="E74" s="9"/>
      <c r="F74" s="9">
        <f t="shared" si="1"/>
        <v>3495</v>
      </c>
      <c r="G74" s="669" t="s">
        <v>46</v>
      </c>
    </row>
    <row r="75" spans="2:7">
      <c r="B75" s="670" t="s">
        <v>884</v>
      </c>
      <c r="C75" s="671" t="s">
        <v>762</v>
      </c>
      <c r="D75" s="9"/>
      <c r="E75" s="9">
        <v>15</v>
      </c>
      <c r="F75" s="9">
        <f t="shared" si="1"/>
        <v>3480</v>
      </c>
      <c r="G75" s="675" t="s">
        <v>46</v>
      </c>
    </row>
    <row r="76" spans="2:7">
      <c r="B76" s="125" t="s">
        <v>886</v>
      </c>
      <c r="C76" s="9" t="s">
        <v>887</v>
      </c>
      <c r="D76" s="9">
        <v>108</v>
      </c>
      <c r="E76" s="9"/>
      <c r="F76" s="9">
        <f t="shared" si="1"/>
        <v>3588</v>
      </c>
    </row>
    <row r="77" spans="2:7">
      <c r="B77" s="677" t="s">
        <v>886</v>
      </c>
      <c r="C77" s="677" t="s">
        <v>459</v>
      </c>
      <c r="D77" s="9">
        <v>4</v>
      </c>
      <c r="E77" s="9"/>
      <c r="F77" s="9">
        <f t="shared" si="1"/>
        <v>3592</v>
      </c>
    </row>
    <row r="78" spans="2:7">
      <c r="B78" s="676" t="s">
        <v>896</v>
      </c>
      <c r="C78" s="677" t="s">
        <v>24</v>
      </c>
      <c r="D78" s="9">
        <v>24</v>
      </c>
      <c r="E78" s="9"/>
      <c r="F78" s="9">
        <f t="shared" si="1"/>
        <v>3616</v>
      </c>
      <c r="G78" s="682" t="s">
        <v>46</v>
      </c>
    </row>
    <row r="79" spans="2:7">
      <c r="B79" s="691" t="s">
        <v>912</v>
      </c>
      <c r="C79" s="691" t="s">
        <v>24</v>
      </c>
      <c r="D79" s="9">
        <v>15</v>
      </c>
      <c r="E79" s="9"/>
      <c r="F79" s="9">
        <f t="shared" si="1"/>
        <v>3631</v>
      </c>
    </row>
    <row r="80" spans="2:7">
      <c r="B80" s="692" t="s">
        <v>914</v>
      </c>
      <c r="C80" s="690" t="s">
        <v>24</v>
      </c>
      <c r="D80" s="9">
        <v>13</v>
      </c>
      <c r="E80" s="9"/>
      <c r="F80" s="9">
        <f>F79+D80-E80</f>
        <v>3644</v>
      </c>
      <c r="G80" s="693" t="s">
        <v>46</v>
      </c>
    </row>
    <row r="81" spans="2:7">
      <c r="B81" s="702" t="s">
        <v>918</v>
      </c>
      <c r="C81" s="703" t="s">
        <v>24</v>
      </c>
      <c r="D81" s="9">
        <v>7</v>
      </c>
      <c r="E81" s="9"/>
      <c r="F81" s="9">
        <f>F80+D81-E81</f>
        <v>3651</v>
      </c>
      <c r="G81" s="707" t="s">
        <v>46</v>
      </c>
    </row>
    <row r="82" spans="2:7">
      <c r="B82" s="172">
        <v>43165</v>
      </c>
      <c r="C82" s="711" t="s">
        <v>932</v>
      </c>
      <c r="D82" s="9"/>
      <c r="E82" s="9">
        <v>19</v>
      </c>
      <c r="F82" s="9">
        <f t="shared" ref="F82:F85" si="2">F81+D82-E82</f>
        <v>3632</v>
      </c>
    </row>
    <row r="83" spans="2:7">
      <c r="B83" s="57">
        <v>43137</v>
      </c>
      <c r="C83" s="716" t="s">
        <v>24</v>
      </c>
      <c r="D83" s="9">
        <v>15</v>
      </c>
      <c r="E83" s="9"/>
      <c r="F83" s="9">
        <f t="shared" si="2"/>
        <v>3647</v>
      </c>
    </row>
    <row r="84" spans="2:7">
      <c r="B84" s="57">
        <v>43137</v>
      </c>
      <c r="C84" s="715" t="s">
        <v>794</v>
      </c>
      <c r="D84" s="9">
        <v>45</v>
      </c>
      <c r="E84" s="9"/>
      <c r="F84" s="9">
        <f t="shared" si="2"/>
        <v>3692</v>
      </c>
    </row>
    <row r="85" spans="2:7">
      <c r="B85" s="21">
        <v>43226</v>
      </c>
      <c r="C85" s="715" t="s">
        <v>760</v>
      </c>
      <c r="D85" s="9">
        <v>16</v>
      </c>
      <c r="E85" s="9"/>
      <c r="F85" s="9">
        <f t="shared" si="2"/>
        <v>3708</v>
      </c>
      <c r="G85" s="721" t="s">
        <v>46</v>
      </c>
    </row>
    <row r="86" spans="2:7">
      <c r="B86" s="9"/>
      <c r="C86" s="9"/>
      <c r="D86" s="9"/>
      <c r="E86" s="9"/>
      <c r="F86" s="9"/>
    </row>
    <row r="87" spans="2:7">
      <c r="B87" s="9"/>
      <c r="C87" s="9"/>
      <c r="D87" s="9"/>
      <c r="E87" s="9"/>
      <c r="F87" s="9"/>
    </row>
    <row r="88" spans="2:7">
      <c r="B88" s="9"/>
      <c r="C88" s="9"/>
      <c r="D88" s="9"/>
      <c r="E88" s="9"/>
      <c r="F88" s="9"/>
    </row>
    <row r="89" spans="2:7">
      <c r="B89" s="9"/>
      <c r="C89" s="9"/>
      <c r="D89" s="9"/>
      <c r="E89" s="9"/>
      <c r="F89" s="9"/>
    </row>
    <row r="90" spans="2:7">
      <c r="B90" s="9"/>
      <c r="C90" s="9"/>
      <c r="D90" s="9"/>
      <c r="E90" s="9"/>
      <c r="F90" s="9"/>
    </row>
    <row r="91" spans="2:7">
      <c r="B91" s="9"/>
      <c r="C91" s="9"/>
      <c r="D91" s="9"/>
      <c r="E91" s="9"/>
      <c r="F91" s="9"/>
    </row>
    <row r="92" spans="2:7">
      <c r="B92" s="9"/>
      <c r="C92" s="9"/>
      <c r="D92" s="9"/>
      <c r="E92" s="9"/>
      <c r="F92" s="9"/>
    </row>
    <row r="93" spans="2:7">
      <c r="B93" s="9"/>
      <c r="C93" s="9"/>
      <c r="D93" s="9"/>
      <c r="E93" s="9"/>
      <c r="F93" s="9"/>
    </row>
    <row r="94" spans="2:7">
      <c r="B94" s="9"/>
      <c r="C94" s="9"/>
      <c r="D94" s="9"/>
      <c r="E94" s="9"/>
      <c r="F94" s="9"/>
    </row>
    <row r="1048361" spans="6:6">
      <c r="F1048361" s="9"/>
    </row>
  </sheetData>
  <pageMargins left="0.69930555555555596" right="0.69930555555555596" top="0" bottom="0" header="0.3" footer="0.3"/>
  <pageSetup paperSize="9" scale="75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topLeftCell="A16" workbookViewId="0">
      <selection activeCell="F37" sqref="F37"/>
    </sheetView>
  </sheetViews>
  <sheetFormatPr baseColWidth="10" defaultColWidth="9" defaultRowHeight="14" x14ac:dyDescent="0"/>
  <cols>
    <col min="1" max="1" width="11" style="264" customWidth="1"/>
    <col min="2" max="2" width="34.33203125" customWidth="1"/>
    <col min="6" max="6" width="15.6640625" customWidth="1"/>
  </cols>
  <sheetData>
    <row r="1" spans="1:6" ht="15">
      <c r="A1" s="278" t="s">
        <v>43</v>
      </c>
      <c r="B1" s="263"/>
      <c r="C1" s="263"/>
      <c r="D1" s="263"/>
      <c r="E1" s="263"/>
    </row>
    <row r="2" spans="1:6">
      <c r="A2" s="279"/>
      <c r="B2" s="51"/>
      <c r="C2" s="50"/>
      <c r="D2" s="50"/>
      <c r="E2" s="50"/>
    </row>
    <row r="3" spans="1:6">
      <c r="A3" s="634" t="s">
        <v>1</v>
      </c>
      <c r="B3" s="52" t="s">
        <v>429</v>
      </c>
      <c r="C3" s="52" t="s">
        <v>3</v>
      </c>
      <c r="D3" s="52" t="s">
        <v>4</v>
      </c>
      <c r="E3" s="52" t="s">
        <v>5</v>
      </c>
      <c r="F3" s="25" t="s">
        <v>6</v>
      </c>
    </row>
    <row r="4" spans="1:6">
      <c r="A4" s="125"/>
      <c r="B4" s="9" t="s">
        <v>28</v>
      </c>
      <c r="C4" s="9"/>
      <c r="D4" s="9"/>
      <c r="E4" s="9">
        <v>162</v>
      </c>
    </row>
    <row r="5" spans="1:6">
      <c r="A5" s="42">
        <v>43191</v>
      </c>
      <c r="B5" s="306" t="s">
        <v>15</v>
      </c>
      <c r="C5" s="9">
        <v>100</v>
      </c>
      <c r="D5" s="9"/>
      <c r="E5" s="9">
        <f>E4+C5-D5</f>
        <v>262</v>
      </c>
      <c r="F5" s="308"/>
    </row>
    <row r="6" spans="1:6">
      <c r="A6" s="42">
        <v>43221</v>
      </c>
      <c r="B6" s="313" t="s">
        <v>15</v>
      </c>
      <c r="C6" s="9">
        <v>81</v>
      </c>
      <c r="D6" s="9"/>
      <c r="E6" s="9">
        <f t="shared" ref="E6:E36" si="0">E5+C6-D6</f>
        <v>343</v>
      </c>
    </row>
    <row r="7" spans="1:6">
      <c r="A7" s="42">
        <v>43313</v>
      </c>
      <c r="B7" s="320" t="s">
        <v>8</v>
      </c>
      <c r="C7" s="9">
        <v>2</v>
      </c>
      <c r="D7" s="9"/>
      <c r="E7" s="9">
        <f t="shared" si="0"/>
        <v>345</v>
      </c>
      <c r="F7" s="324"/>
    </row>
    <row r="8" spans="1:6">
      <c r="A8" s="42">
        <v>43374</v>
      </c>
      <c r="B8" s="9" t="s">
        <v>459</v>
      </c>
      <c r="C8" s="9">
        <v>26</v>
      </c>
      <c r="D8" s="9"/>
      <c r="E8" s="9">
        <f t="shared" si="0"/>
        <v>371</v>
      </c>
    </row>
    <row r="9" spans="1:6">
      <c r="A9" s="172">
        <v>43435</v>
      </c>
      <c r="B9" s="331" t="s">
        <v>424</v>
      </c>
      <c r="C9" s="9">
        <v>99</v>
      </c>
      <c r="D9" s="9"/>
      <c r="E9" s="9">
        <f t="shared" si="0"/>
        <v>470</v>
      </c>
    </row>
    <row r="10" spans="1:6">
      <c r="A10" s="336" t="s">
        <v>488</v>
      </c>
      <c r="B10" s="334" t="s">
        <v>15</v>
      </c>
      <c r="C10" s="9">
        <v>12</v>
      </c>
      <c r="D10" s="9"/>
      <c r="E10" s="9">
        <f t="shared" si="0"/>
        <v>482</v>
      </c>
    </row>
    <row r="11" spans="1:6">
      <c r="A11" s="336" t="s">
        <v>488</v>
      </c>
      <c r="B11" s="334" t="s">
        <v>24</v>
      </c>
      <c r="C11" s="9">
        <v>13</v>
      </c>
      <c r="D11" s="9"/>
      <c r="E11" s="9">
        <f t="shared" si="0"/>
        <v>495</v>
      </c>
    </row>
    <row r="12" spans="1:6">
      <c r="A12" s="342" t="s">
        <v>500</v>
      </c>
      <c r="B12" s="341" t="s">
        <v>15</v>
      </c>
      <c r="C12" s="9">
        <v>2</v>
      </c>
      <c r="D12" s="9"/>
      <c r="E12" s="9">
        <f t="shared" si="0"/>
        <v>497</v>
      </c>
      <c r="F12" s="345"/>
    </row>
    <row r="13" spans="1:6">
      <c r="A13" s="638" t="s">
        <v>557</v>
      </c>
      <c r="B13" s="364" t="s">
        <v>510</v>
      </c>
      <c r="C13" s="9">
        <v>4</v>
      </c>
      <c r="D13" s="9"/>
      <c r="E13" s="9">
        <f t="shared" si="0"/>
        <v>501</v>
      </c>
      <c r="F13" s="367"/>
    </row>
    <row r="14" spans="1:6">
      <c r="A14" s="376" t="s">
        <v>585</v>
      </c>
      <c r="B14" s="377" t="s">
        <v>8</v>
      </c>
      <c r="C14" s="9">
        <v>19</v>
      </c>
      <c r="D14" s="9"/>
      <c r="E14" s="9">
        <f t="shared" si="0"/>
        <v>520</v>
      </c>
      <c r="F14" s="379"/>
    </row>
    <row r="15" spans="1:6">
      <c r="A15" s="172">
        <v>43283</v>
      </c>
      <c r="B15" s="412" t="s">
        <v>510</v>
      </c>
      <c r="C15" s="9">
        <v>26</v>
      </c>
      <c r="D15" s="9"/>
      <c r="E15" s="9">
        <f t="shared" si="0"/>
        <v>546</v>
      </c>
      <c r="F15" s="414"/>
    </row>
    <row r="16" spans="1:6">
      <c r="A16" s="640" t="s">
        <v>630</v>
      </c>
      <c r="B16" s="429" t="s">
        <v>510</v>
      </c>
      <c r="C16" s="9">
        <v>30</v>
      </c>
      <c r="D16" s="9"/>
      <c r="E16" s="9">
        <f t="shared" si="0"/>
        <v>576</v>
      </c>
      <c r="F16" s="433"/>
    </row>
    <row r="17" spans="1:6">
      <c r="A17" s="443" t="s">
        <v>656</v>
      </c>
      <c r="B17" s="444" t="s">
        <v>660</v>
      </c>
      <c r="C17" s="9">
        <v>1</v>
      </c>
      <c r="D17" s="9"/>
      <c r="E17" s="9">
        <f t="shared" si="0"/>
        <v>577</v>
      </c>
    </row>
    <row r="18" spans="1:6">
      <c r="A18" s="655" t="s">
        <v>669</v>
      </c>
      <c r="B18" s="458" t="s">
        <v>8</v>
      </c>
      <c r="C18" s="9">
        <v>27</v>
      </c>
      <c r="D18" s="9"/>
      <c r="E18" s="9">
        <f t="shared" si="0"/>
        <v>604</v>
      </c>
    </row>
    <row r="19" spans="1:6">
      <c r="A19" s="459" t="s">
        <v>669</v>
      </c>
      <c r="B19" s="457" t="s">
        <v>459</v>
      </c>
      <c r="C19" s="9"/>
      <c r="D19" s="9">
        <v>35</v>
      </c>
      <c r="E19" s="9">
        <f t="shared" si="0"/>
        <v>569</v>
      </c>
      <c r="F19" s="461"/>
    </row>
    <row r="20" spans="1:6">
      <c r="A20" s="172">
        <v>43223</v>
      </c>
      <c r="B20" s="493" t="s">
        <v>510</v>
      </c>
      <c r="C20" s="9">
        <v>7</v>
      </c>
      <c r="D20" s="9"/>
      <c r="E20" s="9">
        <f t="shared" si="0"/>
        <v>576</v>
      </c>
      <c r="F20" s="495"/>
    </row>
    <row r="21" spans="1:6">
      <c r="A21" s="42">
        <v>43284</v>
      </c>
      <c r="B21" s="9" t="s">
        <v>708</v>
      </c>
      <c r="C21" s="9">
        <v>50</v>
      </c>
      <c r="D21" s="9"/>
      <c r="E21" s="9">
        <f t="shared" si="0"/>
        <v>626</v>
      </c>
    </row>
    <row r="22" spans="1:6">
      <c r="A22" s="42">
        <v>43284</v>
      </c>
      <c r="B22" s="9" t="s">
        <v>717</v>
      </c>
      <c r="C22" s="9"/>
      <c r="D22" s="9">
        <v>100</v>
      </c>
      <c r="E22" s="9">
        <f t="shared" si="0"/>
        <v>526</v>
      </c>
    </row>
    <row r="23" spans="1:6">
      <c r="A23" s="42">
        <v>43437</v>
      </c>
      <c r="B23" s="502" t="s">
        <v>8</v>
      </c>
      <c r="C23" s="9">
        <v>32</v>
      </c>
      <c r="D23" s="9"/>
      <c r="E23" s="9">
        <f t="shared" si="0"/>
        <v>558</v>
      </c>
    </row>
    <row r="24" spans="1:6">
      <c r="A24" s="504" t="s">
        <v>728</v>
      </c>
      <c r="B24" s="502" t="s">
        <v>15</v>
      </c>
      <c r="C24" s="9">
        <v>198</v>
      </c>
      <c r="D24" s="9"/>
      <c r="E24" s="9">
        <f t="shared" si="0"/>
        <v>756</v>
      </c>
      <c r="F24" s="506" t="s">
        <v>46</v>
      </c>
    </row>
    <row r="25" spans="1:6">
      <c r="A25" s="125" t="s">
        <v>731</v>
      </c>
      <c r="B25" s="9" t="s">
        <v>510</v>
      </c>
      <c r="C25" s="9">
        <v>14</v>
      </c>
      <c r="D25" s="9"/>
      <c r="E25" s="9">
        <f t="shared" si="0"/>
        <v>770</v>
      </c>
    </row>
    <row r="26" spans="1:6">
      <c r="A26" s="125" t="s">
        <v>731</v>
      </c>
      <c r="B26" s="9" t="s">
        <v>459</v>
      </c>
      <c r="C26" s="9"/>
      <c r="D26" s="9">
        <v>20</v>
      </c>
      <c r="E26" s="9">
        <f t="shared" si="0"/>
        <v>750</v>
      </c>
      <c r="F26" s="510"/>
    </row>
    <row r="27" spans="1:6">
      <c r="A27" s="522" t="s">
        <v>743</v>
      </c>
      <c r="B27" s="521" t="s">
        <v>8</v>
      </c>
      <c r="C27" s="9">
        <v>21</v>
      </c>
      <c r="D27" s="9"/>
      <c r="E27" s="9">
        <f t="shared" si="0"/>
        <v>771</v>
      </c>
      <c r="F27" s="526"/>
    </row>
    <row r="28" spans="1:6">
      <c r="A28" s="645" t="s">
        <v>761</v>
      </c>
      <c r="B28" s="544" t="s">
        <v>459</v>
      </c>
      <c r="C28" s="9">
        <v>74</v>
      </c>
      <c r="D28" s="9"/>
      <c r="E28" s="9">
        <f t="shared" si="0"/>
        <v>845</v>
      </c>
      <c r="F28" s="545"/>
    </row>
    <row r="29" spans="1:6">
      <c r="A29" s="42">
        <v>43135</v>
      </c>
      <c r="B29" s="548" t="s">
        <v>8</v>
      </c>
      <c r="C29" s="9">
        <v>14</v>
      </c>
      <c r="D29" s="9"/>
      <c r="E29" s="9">
        <f t="shared" si="0"/>
        <v>859</v>
      </c>
      <c r="F29" s="551"/>
    </row>
    <row r="30" spans="1:6">
      <c r="A30" s="42">
        <v>43376</v>
      </c>
      <c r="B30" s="498" t="s">
        <v>708</v>
      </c>
      <c r="C30" s="9">
        <v>33</v>
      </c>
      <c r="D30" s="9"/>
      <c r="E30" s="9">
        <f t="shared" si="0"/>
        <v>892</v>
      </c>
      <c r="F30" s="568" t="s">
        <v>46</v>
      </c>
    </row>
    <row r="31" spans="1:6">
      <c r="A31" s="599" t="s">
        <v>826</v>
      </c>
      <c r="B31" s="600" t="s">
        <v>817</v>
      </c>
      <c r="C31" s="9"/>
      <c r="D31" s="9">
        <v>200</v>
      </c>
      <c r="E31" s="9">
        <f t="shared" si="0"/>
        <v>692</v>
      </c>
      <c r="F31" s="603" t="s">
        <v>46</v>
      </c>
    </row>
    <row r="32" spans="1:6">
      <c r="A32" s="125" t="s">
        <v>837</v>
      </c>
      <c r="B32" s="9" t="s">
        <v>456</v>
      </c>
      <c r="C32" s="9">
        <v>6</v>
      </c>
      <c r="D32" s="9"/>
      <c r="E32" s="9">
        <f t="shared" si="0"/>
        <v>698</v>
      </c>
      <c r="F32" t="s">
        <v>46</v>
      </c>
    </row>
    <row r="33" spans="1:6">
      <c r="A33" s="125" t="s">
        <v>886</v>
      </c>
      <c r="B33" s="9" t="s">
        <v>887</v>
      </c>
      <c r="C33" s="9">
        <v>20</v>
      </c>
      <c r="D33" s="9"/>
      <c r="E33" s="9">
        <f t="shared" si="0"/>
        <v>718</v>
      </c>
    </row>
    <row r="34" spans="1:6">
      <c r="A34" s="676" t="s">
        <v>896</v>
      </c>
      <c r="B34" s="677" t="s">
        <v>24</v>
      </c>
      <c r="C34" s="9">
        <v>2</v>
      </c>
      <c r="D34" s="9"/>
      <c r="E34" s="9">
        <f t="shared" si="0"/>
        <v>720</v>
      </c>
      <c r="F34" s="682" t="s">
        <v>46</v>
      </c>
    </row>
    <row r="35" spans="1:6">
      <c r="A35" s="691" t="s">
        <v>912</v>
      </c>
      <c r="B35" s="691" t="s">
        <v>24</v>
      </c>
      <c r="C35" s="9">
        <v>9</v>
      </c>
      <c r="D35" s="9"/>
      <c r="E35" s="9">
        <f t="shared" si="0"/>
        <v>729</v>
      </c>
      <c r="F35" s="693" t="s">
        <v>46</v>
      </c>
    </row>
    <row r="36" spans="1:6">
      <c r="A36" s="42">
        <v>43137</v>
      </c>
      <c r="B36" s="691" t="s">
        <v>24</v>
      </c>
      <c r="C36" s="9">
        <v>12</v>
      </c>
      <c r="D36" s="9"/>
      <c r="E36" s="9">
        <f t="shared" si="0"/>
        <v>741</v>
      </c>
      <c r="F36" s="721" t="s">
        <v>46</v>
      </c>
    </row>
    <row r="37" spans="1:6">
      <c r="A37" s="125"/>
      <c r="B37" s="9"/>
      <c r="C37" s="9"/>
      <c r="D37" s="9"/>
      <c r="E37" s="9"/>
    </row>
    <row r="38" spans="1:6">
      <c r="A38" s="125"/>
      <c r="B38" s="9"/>
      <c r="C38" s="9"/>
      <c r="D38" s="9"/>
      <c r="E38" s="9"/>
    </row>
    <row r="39" spans="1:6">
      <c r="A39" s="125"/>
      <c r="B39" s="9"/>
      <c r="C39" s="9"/>
      <c r="D39" s="9"/>
      <c r="E39" s="9"/>
    </row>
    <row r="40" spans="1:6">
      <c r="A40" s="125"/>
      <c r="B40" s="9"/>
      <c r="C40" s="9"/>
      <c r="D40" s="9"/>
      <c r="E40" s="9"/>
    </row>
    <row r="41" spans="1:6">
      <c r="A41" s="125"/>
      <c r="B41" s="9"/>
      <c r="C41" s="9"/>
      <c r="D41" s="9"/>
      <c r="E41" s="9"/>
    </row>
    <row r="42" spans="1:6">
      <c r="A42" s="125"/>
      <c r="B42" s="9"/>
      <c r="C42" s="9"/>
      <c r="D42" s="9"/>
      <c r="E42" s="9"/>
    </row>
    <row r="43" spans="1:6">
      <c r="A43" s="125"/>
      <c r="B43" s="9"/>
      <c r="C43" s="9"/>
      <c r="D43" s="9"/>
      <c r="E43" s="9"/>
    </row>
    <row r="44" spans="1:6">
      <c r="A44" s="125"/>
      <c r="B44" s="9"/>
      <c r="C44" s="9"/>
      <c r="D44" s="9"/>
      <c r="E44" s="9"/>
    </row>
    <row r="45" spans="1:6">
      <c r="A45" s="125"/>
      <c r="B45" s="9"/>
      <c r="C45" s="9"/>
      <c r="D45" s="9"/>
      <c r="E45" s="9"/>
    </row>
    <row r="46" spans="1:6">
      <c r="A46" s="125"/>
      <c r="B46" s="9"/>
      <c r="C46" s="9"/>
      <c r="D46" s="9"/>
      <c r="E46" s="9"/>
    </row>
    <row r="47" spans="1:6">
      <c r="A47" s="125"/>
      <c r="B47" s="9"/>
      <c r="C47" s="9"/>
      <c r="D47" s="9"/>
      <c r="E47" s="9"/>
    </row>
    <row r="48" spans="1:6">
      <c r="A48" s="125"/>
      <c r="B48" s="9"/>
      <c r="C48" s="9"/>
      <c r="D48" s="9"/>
      <c r="E48" s="9"/>
    </row>
    <row r="49" spans="1:5">
      <c r="A49" s="125"/>
      <c r="B49" s="9"/>
      <c r="C49" s="9"/>
      <c r="D49" s="9"/>
      <c r="E49" s="9"/>
    </row>
  </sheetData>
  <pageMargins left="0.69930555555555596" right="0.69930555555555596" top="0.75" bottom="0.75" header="0.3" footer="0.3"/>
  <pageSetup paperSize="9" scale="90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workbookViewId="0">
      <selection activeCell="A4" sqref="A4:F4"/>
    </sheetView>
  </sheetViews>
  <sheetFormatPr baseColWidth="10" defaultColWidth="9" defaultRowHeight="14" x14ac:dyDescent="0"/>
  <cols>
    <col min="1" max="1" width="12.6640625" customWidth="1"/>
    <col min="2" max="2" width="24.83203125" customWidth="1"/>
    <col min="6" max="6" width="5.83203125" customWidth="1"/>
    <col min="7" max="7" width="6.5" customWidth="1"/>
    <col min="8" max="8" width="10.5" customWidth="1"/>
  </cols>
  <sheetData>
    <row r="2" spans="1:6" s="129" customFormat="1" ht="15">
      <c r="A2" s="217" t="s">
        <v>45</v>
      </c>
      <c r="B2" s="217"/>
      <c r="C2" s="217"/>
      <c r="D2" s="217"/>
      <c r="E2" s="217"/>
    </row>
    <row r="3" spans="1:6">
      <c r="A3" s="50"/>
      <c r="B3" s="51"/>
      <c r="C3" s="50"/>
      <c r="D3" s="50"/>
      <c r="E3" s="50"/>
    </row>
    <row r="4" spans="1:6">
      <c r="A4" s="52" t="s">
        <v>1</v>
      </c>
      <c r="B4" s="52" t="s">
        <v>429</v>
      </c>
      <c r="C4" s="52" t="s">
        <v>3</v>
      </c>
      <c r="D4" s="52" t="s">
        <v>4</v>
      </c>
      <c r="E4" s="52" t="s">
        <v>5</v>
      </c>
      <c r="F4" s="25" t="s">
        <v>6</v>
      </c>
    </row>
    <row r="5" spans="1:6">
      <c r="A5" s="174"/>
      <c r="B5" s="24" t="s">
        <v>407</v>
      </c>
      <c r="C5" s="24"/>
      <c r="D5" s="24"/>
      <c r="E5" s="55">
        <v>0</v>
      </c>
    </row>
    <row r="6" spans="1:6">
      <c r="A6" s="288"/>
      <c r="B6" s="24"/>
      <c r="C6" s="24"/>
      <c r="D6" s="24"/>
      <c r="E6" s="55"/>
    </row>
    <row r="7" spans="1:6">
      <c r="A7" s="289"/>
      <c r="B7" s="55"/>
      <c r="C7" s="55"/>
      <c r="D7" s="24"/>
      <c r="E7" s="55"/>
    </row>
    <row r="8" spans="1:6">
      <c r="A8" s="174"/>
      <c r="B8" s="24"/>
      <c r="C8" s="24"/>
      <c r="D8" s="16"/>
      <c r="E8" s="55"/>
    </row>
    <row r="9" spans="1:6">
      <c r="A9" s="9"/>
      <c r="B9" s="9"/>
      <c r="C9" s="9"/>
      <c r="D9" s="9"/>
      <c r="E9" s="9"/>
    </row>
    <row r="10" spans="1:6">
      <c r="A10" s="9"/>
      <c r="B10" s="9"/>
      <c r="C10" s="9"/>
      <c r="D10" s="9"/>
      <c r="E10" s="9"/>
    </row>
    <row r="11" spans="1:6">
      <c r="A11" s="9"/>
      <c r="B11" s="9"/>
      <c r="C11" s="9"/>
      <c r="D11" s="9"/>
      <c r="E11" s="9"/>
    </row>
    <row r="12" spans="1:6">
      <c r="A12" s="9"/>
      <c r="B12" s="9"/>
      <c r="C12" s="9"/>
      <c r="D12" s="9"/>
      <c r="E12" s="9"/>
    </row>
    <row r="13" spans="1:6">
      <c r="A13" s="9"/>
      <c r="B13" s="9"/>
      <c r="C13" s="9"/>
      <c r="D13" s="9"/>
      <c r="E13" s="9"/>
    </row>
    <row r="14" spans="1:6">
      <c r="A14" s="9"/>
      <c r="B14" s="9"/>
      <c r="C14" s="9"/>
      <c r="D14" s="9"/>
      <c r="E14" s="9"/>
    </row>
    <row r="15" spans="1:6">
      <c r="A15" s="9"/>
      <c r="B15" s="9"/>
      <c r="C15" s="9"/>
      <c r="D15" s="9"/>
      <c r="E15" s="9"/>
    </row>
    <row r="16" spans="1:6">
      <c r="A16" s="9"/>
      <c r="B16" s="9"/>
      <c r="C16" s="9"/>
      <c r="D16" s="9"/>
      <c r="E16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048329"/>
  <sheetViews>
    <sheetView topLeftCell="A64" zoomScale="110" zoomScaleNormal="110" zoomScalePageLayoutView="110" workbookViewId="0">
      <selection activeCell="F76" sqref="F76"/>
    </sheetView>
  </sheetViews>
  <sheetFormatPr baseColWidth="10" defaultColWidth="9" defaultRowHeight="14" x14ac:dyDescent="0.75"/>
  <cols>
    <col min="1" max="1" width="13.33203125" style="156" customWidth="1"/>
    <col min="2" max="2" width="39.33203125" style="156" customWidth="1"/>
    <col min="3" max="4" width="7.5" style="156" customWidth="1"/>
    <col min="5" max="5" width="8.5" style="156" customWidth="1"/>
    <col min="6" max="6" width="12.1640625" customWidth="1"/>
    <col min="7" max="7" width="8.83203125" customWidth="1"/>
  </cols>
  <sheetData>
    <row r="2" spans="1:6" s="129" customFormat="1" ht="15">
      <c r="A2" s="217" t="s">
        <v>47</v>
      </c>
      <c r="B2" s="217"/>
      <c r="C2" s="217"/>
      <c r="D2" s="217"/>
      <c r="E2" s="217"/>
    </row>
    <row r="3" spans="1:6">
      <c r="A3" s="269"/>
      <c r="B3" s="270"/>
      <c r="C3" s="269"/>
      <c r="D3" s="269"/>
      <c r="E3" s="269"/>
    </row>
    <row r="4" spans="1:6">
      <c r="A4" s="52" t="s">
        <v>1</v>
      </c>
      <c r="B4" s="52" t="s">
        <v>429</v>
      </c>
      <c r="C4" s="52" t="s">
        <v>3</v>
      </c>
      <c r="D4" s="52" t="s">
        <v>4</v>
      </c>
      <c r="E4" s="52" t="s">
        <v>5</v>
      </c>
      <c r="F4" s="25" t="s">
        <v>6</v>
      </c>
    </row>
    <row r="5" spans="1:6">
      <c r="A5" s="24"/>
      <c r="B5" s="24" t="s">
        <v>408</v>
      </c>
      <c r="C5" s="24"/>
      <c r="D5" s="24"/>
      <c r="E5" s="24">
        <v>668</v>
      </c>
    </row>
    <row r="6" spans="1:6">
      <c r="A6" s="57">
        <v>43313</v>
      </c>
      <c r="B6" s="321" t="s">
        <v>8</v>
      </c>
      <c r="C6" s="24">
        <v>98</v>
      </c>
      <c r="D6" s="24"/>
      <c r="E6" s="24">
        <f t="shared" ref="E6:E15" si="0">E5+C6-D6</f>
        <v>766</v>
      </c>
      <c r="F6" s="324"/>
    </row>
    <row r="7" spans="1:6">
      <c r="A7" s="57">
        <v>43344</v>
      </c>
      <c r="B7" s="24" t="s">
        <v>460</v>
      </c>
      <c r="C7" s="24"/>
      <c r="D7" s="24">
        <v>70</v>
      </c>
      <c r="E7" s="24">
        <f t="shared" si="0"/>
        <v>696</v>
      </c>
    </row>
    <row r="8" spans="1:6">
      <c r="A8" s="21">
        <v>43374</v>
      </c>
      <c r="B8" s="9" t="s">
        <v>459</v>
      </c>
      <c r="C8" s="24">
        <v>77</v>
      </c>
      <c r="D8" s="24"/>
      <c r="E8" s="24">
        <f t="shared" si="0"/>
        <v>773</v>
      </c>
      <c r="F8" s="329"/>
    </row>
    <row r="9" spans="1:6">
      <c r="A9" s="57">
        <v>43405</v>
      </c>
      <c r="B9" s="331" t="s">
        <v>473</v>
      </c>
      <c r="C9" s="24"/>
      <c r="D9" s="24">
        <v>20</v>
      </c>
      <c r="E9" s="24">
        <f t="shared" si="0"/>
        <v>753</v>
      </c>
    </row>
    <row r="10" spans="1:6">
      <c r="A10" s="57">
        <v>43435</v>
      </c>
      <c r="B10" s="331" t="s">
        <v>424</v>
      </c>
      <c r="C10" s="24">
        <v>40</v>
      </c>
      <c r="D10" s="24"/>
      <c r="E10" s="24">
        <f t="shared" si="0"/>
        <v>793</v>
      </c>
      <c r="F10" s="333"/>
    </row>
    <row r="11" spans="1:6">
      <c r="A11" s="334" t="s">
        <v>488</v>
      </c>
      <c r="B11" s="334" t="s">
        <v>15</v>
      </c>
      <c r="C11" s="24">
        <v>16</v>
      </c>
      <c r="D11" s="24"/>
      <c r="E11" s="24">
        <f t="shared" si="0"/>
        <v>809</v>
      </c>
    </row>
    <row r="12" spans="1:6">
      <c r="A12" s="347" t="s">
        <v>526</v>
      </c>
      <c r="B12" s="348" t="s">
        <v>462</v>
      </c>
      <c r="C12" s="24">
        <v>76</v>
      </c>
      <c r="D12" s="24"/>
      <c r="E12" s="24">
        <f t="shared" si="0"/>
        <v>885</v>
      </c>
    </row>
    <row r="13" spans="1:6">
      <c r="A13" s="350" t="s">
        <v>531</v>
      </c>
      <c r="B13" s="350" t="s">
        <v>538</v>
      </c>
      <c r="C13" s="24">
        <v>120</v>
      </c>
      <c r="D13" s="24"/>
      <c r="E13" s="24">
        <f t="shared" si="0"/>
        <v>1005</v>
      </c>
      <c r="F13" s="352"/>
    </row>
    <row r="14" spans="1:6">
      <c r="A14" s="359" t="s">
        <v>546</v>
      </c>
      <c r="B14" s="359" t="s">
        <v>550</v>
      </c>
      <c r="C14" s="24"/>
      <c r="D14" s="24">
        <v>160</v>
      </c>
      <c r="E14" s="24">
        <f t="shared" si="0"/>
        <v>845</v>
      </c>
      <c r="F14" s="363"/>
    </row>
    <row r="15" spans="1:6">
      <c r="A15" s="364" t="s">
        <v>557</v>
      </c>
      <c r="B15" s="364" t="s">
        <v>510</v>
      </c>
      <c r="C15" s="24">
        <v>8</v>
      </c>
      <c r="D15" s="24"/>
      <c r="E15" s="24">
        <f t="shared" si="0"/>
        <v>853</v>
      </c>
    </row>
    <row r="16" spans="1:6">
      <c r="A16" s="365" t="s">
        <v>557</v>
      </c>
      <c r="B16" s="365" t="s">
        <v>433</v>
      </c>
      <c r="C16" s="24">
        <v>6</v>
      </c>
      <c r="D16" s="24"/>
      <c r="E16" s="24">
        <f>E15+C16-D16</f>
        <v>859</v>
      </c>
      <c r="F16" s="367"/>
    </row>
    <row r="17" spans="1:6">
      <c r="A17" s="377" t="s">
        <v>585</v>
      </c>
      <c r="B17" s="377" t="s">
        <v>8</v>
      </c>
      <c r="C17" s="24">
        <v>165</v>
      </c>
      <c r="D17" s="24"/>
      <c r="E17" s="24">
        <f t="shared" ref="E17:E22" si="1">E16+C17-D17</f>
        <v>1024</v>
      </c>
    </row>
    <row r="18" spans="1:6">
      <c r="A18" s="375" t="s">
        <v>586</v>
      </c>
      <c r="B18" s="375" t="s">
        <v>445</v>
      </c>
      <c r="C18" s="24">
        <v>17</v>
      </c>
      <c r="D18" s="24"/>
      <c r="E18" s="24">
        <f t="shared" si="1"/>
        <v>1041</v>
      </c>
      <c r="F18" s="379"/>
    </row>
    <row r="19" spans="1:6">
      <c r="A19" s="42">
        <v>43133</v>
      </c>
      <c r="B19" s="395" t="s">
        <v>462</v>
      </c>
      <c r="C19" s="24">
        <v>38</v>
      </c>
      <c r="D19" s="24"/>
      <c r="E19" s="24">
        <f t="shared" si="1"/>
        <v>1079</v>
      </c>
    </row>
    <row r="20" spans="1:6">
      <c r="A20" s="57">
        <v>43222</v>
      </c>
      <c r="B20" s="402" t="s">
        <v>463</v>
      </c>
      <c r="C20" s="24">
        <v>13</v>
      </c>
      <c r="D20" s="24"/>
      <c r="E20" s="24">
        <f t="shared" si="1"/>
        <v>1092</v>
      </c>
    </row>
    <row r="21" spans="1:6">
      <c r="A21" s="42">
        <v>43222</v>
      </c>
      <c r="B21" s="401" t="s">
        <v>604</v>
      </c>
      <c r="C21" s="24">
        <v>81</v>
      </c>
      <c r="D21" s="24"/>
      <c r="E21" s="24">
        <f t="shared" si="1"/>
        <v>1173</v>
      </c>
      <c r="F21" s="404"/>
    </row>
    <row r="22" spans="1:6">
      <c r="A22" s="57">
        <v>43283</v>
      </c>
      <c r="B22" s="412" t="s">
        <v>510</v>
      </c>
      <c r="C22" s="24">
        <v>78</v>
      </c>
      <c r="D22" s="24"/>
      <c r="E22" s="24">
        <f t="shared" si="1"/>
        <v>1251</v>
      </c>
      <c r="F22" s="414"/>
    </row>
    <row r="23" spans="1:6">
      <c r="A23" s="429" t="s">
        <v>630</v>
      </c>
      <c r="B23" s="429" t="s">
        <v>510</v>
      </c>
      <c r="C23" s="24">
        <v>116</v>
      </c>
      <c r="D23" s="24"/>
      <c r="E23" s="24">
        <f>E22+C23-D23</f>
        <v>1367</v>
      </c>
      <c r="F23" s="433"/>
    </row>
    <row r="24" spans="1:6">
      <c r="A24" s="434" t="s">
        <v>638</v>
      </c>
      <c r="B24" s="434" t="s">
        <v>642</v>
      </c>
      <c r="C24" s="24"/>
      <c r="D24" s="24">
        <v>80</v>
      </c>
      <c r="E24" s="24">
        <f>E23+C24-D24</f>
        <v>1287</v>
      </c>
    </row>
    <row r="25" spans="1:6">
      <c r="A25" s="436" t="s">
        <v>644</v>
      </c>
      <c r="B25" s="437" t="s">
        <v>646</v>
      </c>
      <c r="C25" s="24"/>
      <c r="D25" s="24">
        <v>15</v>
      </c>
      <c r="E25" s="24">
        <f t="shared" ref="E25:E75" si="2">E24+C25-D25</f>
        <v>1272</v>
      </c>
    </row>
    <row r="26" spans="1:6">
      <c r="A26" s="445" t="s">
        <v>656</v>
      </c>
      <c r="B26" s="445" t="s">
        <v>657</v>
      </c>
      <c r="C26" s="24">
        <v>50</v>
      </c>
      <c r="D26" s="24"/>
      <c r="E26" s="24">
        <f t="shared" si="2"/>
        <v>1322</v>
      </c>
    </row>
    <row r="27" spans="1:6">
      <c r="A27" s="444" t="s">
        <v>656</v>
      </c>
      <c r="B27" s="444" t="s">
        <v>659</v>
      </c>
      <c r="C27" s="24">
        <v>34</v>
      </c>
      <c r="D27" s="24"/>
      <c r="E27" s="24">
        <f t="shared" si="2"/>
        <v>1356</v>
      </c>
      <c r="F27" s="447"/>
    </row>
    <row r="28" spans="1:6">
      <c r="A28" s="453" t="s">
        <v>665</v>
      </c>
      <c r="B28" s="452" t="s">
        <v>666</v>
      </c>
      <c r="C28" s="24">
        <v>31</v>
      </c>
      <c r="D28" s="24"/>
      <c r="E28" s="24">
        <f t="shared" si="2"/>
        <v>1387</v>
      </c>
      <c r="F28" s="453"/>
    </row>
    <row r="29" spans="1:6">
      <c r="A29" s="458" t="s">
        <v>669</v>
      </c>
      <c r="B29" s="458" t="s">
        <v>8</v>
      </c>
      <c r="C29" s="24">
        <v>160</v>
      </c>
      <c r="D29" s="24"/>
      <c r="E29" s="24">
        <f t="shared" si="2"/>
        <v>1547</v>
      </c>
    </row>
    <row r="30" spans="1:6">
      <c r="A30" s="458" t="s">
        <v>669</v>
      </c>
      <c r="B30" s="458" t="s">
        <v>459</v>
      </c>
      <c r="C30" s="24"/>
      <c r="D30" s="24">
        <v>75</v>
      </c>
      <c r="E30" s="24">
        <f t="shared" si="2"/>
        <v>1472</v>
      </c>
      <c r="F30" s="461"/>
    </row>
    <row r="31" spans="1:6">
      <c r="A31" s="462" t="s">
        <v>677</v>
      </c>
      <c r="B31" s="462" t="s">
        <v>681</v>
      </c>
      <c r="C31" s="24">
        <v>10</v>
      </c>
      <c r="D31" s="24"/>
      <c r="E31" s="24">
        <f t="shared" si="2"/>
        <v>1482</v>
      </c>
      <c r="F31" s="466"/>
    </row>
    <row r="32" spans="1:6">
      <c r="A32" s="468" t="s">
        <v>687</v>
      </c>
      <c r="B32" s="468" t="s">
        <v>406</v>
      </c>
      <c r="C32" s="24">
        <v>240</v>
      </c>
      <c r="D32" s="24"/>
      <c r="E32" s="24">
        <f t="shared" si="2"/>
        <v>1722</v>
      </c>
      <c r="F32" s="471"/>
    </row>
    <row r="33" spans="1:6">
      <c r="A33" s="21">
        <v>43134</v>
      </c>
      <c r="B33" s="482" t="s">
        <v>668</v>
      </c>
      <c r="C33" s="24"/>
      <c r="D33" s="24">
        <v>135</v>
      </c>
      <c r="E33" s="24">
        <f t="shared" si="2"/>
        <v>1587</v>
      </c>
      <c r="F33" s="484"/>
    </row>
    <row r="34" spans="1:6">
      <c r="A34" s="57">
        <v>43223</v>
      </c>
      <c r="B34" s="493" t="s">
        <v>510</v>
      </c>
      <c r="C34" s="24">
        <v>45</v>
      </c>
      <c r="D34" s="24"/>
      <c r="E34" s="24">
        <f t="shared" si="2"/>
        <v>1632</v>
      </c>
      <c r="F34" s="495"/>
    </row>
    <row r="35" spans="1:6">
      <c r="A35" s="42">
        <v>43315</v>
      </c>
      <c r="B35" s="497" t="s">
        <v>462</v>
      </c>
      <c r="C35" s="24">
        <v>13</v>
      </c>
      <c r="D35" s="24"/>
      <c r="E35" s="24">
        <f t="shared" si="2"/>
        <v>1645</v>
      </c>
      <c r="F35" s="501"/>
    </row>
    <row r="36" spans="1:6">
      <c r="A36" s="42">
        <v>43437</v>
      </c>
      <c r="B36" s="502" t="s">
        <v>8</v>
      </c>
      <c r="C36" s="24">
        <v>41</v>
      </c>
      <c r="D36" s="24"/>
      <c r="E36" s="24">
        <f t="shared" si="2"/>
        <v>1686</v>
      </c>
    </row>
    <row r="37" spans="1:6">
      <c r="A37" s="502" t="s">
        <v>728</v>
      </c>
      <c r="B37" s="502" t="s">
        <v>15</v>
      </c>
      <c r="C37" s="24">
        <v>140</v>
      </c>
      <c r="D37" s="24"/>
      <c r="E37" s="24">
        <f t="shared" si="2"/>
        <v>1826</v>
      </c>
      <c r="F37" s="506" t="s">
        <v>46</v>
      </c>
    </row>
    <row r="38" spans="1:6">
      <c r="A38" s="9" t="s">
        <v>731</v>
      </c>
      <c r="B38" s="9" t="s">
        <v>510</v>
      </c>
      <c r="C38" s="24">
        <v>12</v>
      </c>
      <c r="D38" s="24"/>
      <c r="E38" s="24">
        <f t="shared" si="2"/>
        <v>1838</v>
      </c>
    </row>
    <row r="39" spans="1:6">
      <c r="A39" s="9" t="s">
        <v>731</v>
      </c>
      <c r="B39" s="9" t="s">
        <v>459</v>
      </c>
      <c r="C39" s="24"/>
      <c r="D39" s="24">
        <v>25</v>
      </c>
      <c r="E39" s="24">
        <f t="shared" si="2"/>
        <v>1813</v>
      </c>
      <c r="F39" s="510"/>
    </row>
    <row r="40" spans="1:6">
      <c r="A40" s="523" t="s">
        <v>743</v>
      </c>
      <c r="B40" s="524" t="s">
        <v>8</v>
      </c>
      <c r="C40" s="24">
        <v>47</v>
      </c>
      <c r="D40" s="24"/>
      <c r="E40" s="24">
        <f t="shared" si="2"/>
        <v>1860</v>
      </c>
      <c r="F40" s="526"/>
    </row>
    <row r="41" spans="1:6">
      <c r="A41" s="527" t="s">
        <v>747</v>
      </c>
      <c r="B41" s="528" t="s">
        <v>524</v>
      </c>
      <c r="C41" s="24">
        <v>8</v>
      </c>
      <c r="D41" s="24"/>
      <c r="E41" s="24">
        <f t="shared" si="2"/>
        <v>1868</v>
      </c>
      <c r="F41" s="529"/>
    </row>
    <row r="42" spans="1:6">
      <c r="A42" s="533" t="s">
        <v>750</v>
      </c>
      <c r="B42" s="533" t="s">
        <v>24</v>
      </c>
      <c r="C42" s="24">
        <v>50</v>
      </c>
      <c r="D42" s="24"/>
      <c r="E42" s="24">
        <f t="shared" si="2"/>
        <v>1918</v>
      </c>
      <c r="F42" s="536"/>
    </row>
    <row r="43" spans="1:6">
      <c r="A43" s="537" t="s">
        <v>755</v>
      </c>
      <c r="B43" s="537" t="s">
        <v>24</v>
      </c>
      <c r="C43" s="24">
        <v>50</v>
      </c>
      <c r="D43" s="24"/>
      <c r="E43" s="24">
        <f t="shared" si="2"/>
        <v>1968</v>
      </c>
      <c r="F43" s="541"/>
    </row>
    <row r="44" spans="1:6">
      <c r="A44" s="543" t="s">
        <v>761</v>
      </c>
      <c r="B44" s="542" t="s">
        <v>604</v>
      </c>
      <c r="C44" s="24">
        <v>67</v>
      </c>
      <c r="D44" s="24"/>
      <c r="E44" s="24">
        <f t="shared" si="2"/>
        <v>2035</v>
      </c>
    </row>
    <row r="45" spans="1:6">
      <c r="A45" s="544" t="s">
        <v>761</v>
      </c>
      <c r="B45" s="544" t="s">
        <v>459</v>
      </c>
      <c r="C45" s="24">
        <v>155</v>
      </c>
      <c r="D45" s="24"/>
      <c r="E45" s="24">
        <f t="shared" si="2"/>
        <v>2190</v>
      </c>
    </row>
    <row r="46" spans="1:6">
      <c r="A46" s="542" t="s">
        <v>761</v>
      </c>
      <c r="B46" s="542" t="s">
        <v>524</v>
      </c>
      <c r="C46" s="24">
        <v>9</v>
      </c>
      <c r="D46" s="24"/>
      <c r="E46" s="24">
        <f t="shared" si="2"/>
        <v>2199</v>
      </c>
    </row>
    <row r="47" spans="1:6">
      <c r="A47" s="543" t="s">
        <v>764</v>
      </c>
      <c r="B47" s="542" t="s">
        <v>766</v>
      </c>
      <c r="C47" s="24"/>
      <c r="D47" s="24">
        <v>100</v>
      </c>
      <c r="E47" s="24">
        <f t="shared" si="2"/>
        <v>2099</v>
      </c>
      <c r="F47" s="545"/>
    </row>
    <row r="48" spans="1:6">
      <c r="A48" s="24" t="s">
        <v>767</v>
      </c>
      <c r="B48" s="24" t="s">
        <v>668</v>
      </c>
      <c r="C48" s="24">
        <v>213</v>
      </c>
      <c r="D48" s="24"/>
      <c r="E48" s="24">
        <f t="shared" si="2"/>
        <v>2312</v>
      </c>
    </row>
    <row r="49" spans="1:6">
      <c r="A49" s="42">
        <v>43135</v>
      </c>
      <c r="B49" s="548" t="s">
        <v>771</v>
      </c>
      <c r="C49" s="24"/>
      <c r="D49" s="24">
        <v>200</v>
      </c>
      <c r="E49" s="24">
        <f t="shared" si="2"/>
        <v>2112</v>
      </c>
      <c r="F49" s="551"/>
    </row>
    <row r="50" spans="1:6">
      <c r="A50" s="42">
        <v>43347</v>
      </c>
      <c r="B50" s="554" t="s">
        <v>524</v>
      </c>
      <c r="C50" s="24">
        <v>10</v>
      </c>
      <c r="D50" s="24"/>
      <c r="E50" s="24">
        <f t="shared" si="2"/>
        <v>2122</v>
      </c>
      <c r="F50" s="556"/>
    </row>
    <row r="51" spans="1:6">
      <c r="A51" s="42">
        <v>43376</v>
      </c>
      <c r="B51" s="498" t="s">
        <v>708</v>
      </c>
      <c r="C51" s="24">
        <v>32</v>
      </c>
      <c r="D51" s="24"/>
      <c r="E51" s="24">
        <f t="shared" si="2"/>
        <v>2154</v>
      </c>
    </row>
    <row r="52" spans="1:6">
      <c r="A52" s="57">
        <v>43438</v>
      </c>
      <c r="B52" s="548" t="s">
        <v>771</v>
      </c>
      <c r="C52" s="24"/>
      <c r="D52" s="24">
        <v>146</v>
      </c>
      <c r="E52" s="24">
        <f t="shared" si="2"/>
        <v>2008</v>
      </c>
      <c r="F52" s="568" t="s">
        <v>46</v>
      </c>
    </row>
    <row r="53" spans="1:6">
      <c r="A53" s="570" t="s">
        <v>793</v>
      </c>
      <c r="B53" s="570" t="s">
        <v>794</v>
      </c>
      <c r="C53" s="24">
        <v>30</v>
      </c>
      <c r="D53" s="24"/>
      <c r="E53" s="24">
        <f t="shared" si="2"/>
        <v>2038</v>
      </c>
    </row>
    <row r="54" spans="1:6">
      <c r="A54" s="572" t="s">
        <v>793</v>
      </c>
      <c r="B54" s="572" t="s">
        <v>508</v>
      </c>
      <c r="C54" s="24"/>
      <c r="D54" s="24">
        <v>25</v>
      </c>
      <c r="E54" s="24">
        <f t="shared" si="2"/>
        <v>2013</v>
      </c>
    </row>
    <row r="55" spans="1:6">
      <c r="A55" s="571" t="s">
        <v>793</v>
      </c>
      <c r="B55" s="570" t="s">
        <v>508</v>
      </c>
      <c r="C55" s="24"/>
      <c r="D55" s="24">
        <v>25</v>
      </c>
      <c r="E55" s="24">
        <f t="shared" si="2"/>
        <v>1988</v>
      </c>
      <c r="F55" s="574" t="s">
        <v>46</v>
      </c>
    </row>
    <row r="56" spans="1:6">
      <c r="A56" s="601" t="s">
        <v>829</v>
      </c>
      <c r="B56" s="598" t="s">
        <v>524</v>
      </c>
      <c r="C56" s="24">
        <v>16</v>
      </c>
      <c r="D56" s="24"/>
      <c r="E56" s="24">
        <f t="shared" si="2"/>
        <v>2004</v>
      </c>
      <c r="F56" s="574"/>
    </row>
    <row r="57" spans="1:6">
      <c r="A57" s="600" t="s">
        <v>826</v>
      </c>
      <c r="B57" s="600" t="s">
        <v>817</v>
      </c>
      <c r="C57" s="24"/>
      <c r="D57" s="24">
        <v>400</v>
      </c>
      <c r="E57" s="24">
        <f t="shared" si="2"/>
        <v>1604</v>
      </c>
      <c r="F57" s="603" t="s">
        <v>46</v>
      </c>
    </row>
    <row r="58" spans="1:6">
      <c r="A58" s="617" t="s">
        <v>844</v>
      </c>
      <c r="B58" s="617" t="s">
        <v>524</v>
      </c>
      <c r="C58" s="24">
        <v>3</v>
      </c>
      <c r="D58" s="24"/>
      <c r="E58" s="24">
        <f t="shared" si="2"/>
        <v>1607</v>
      </c>
      <c r="F58" s="618" t="s">
        <v>46</v>
      </c>
    </row>
    <row r="59" spans="1:6">
      <c r="A59" s="21">
        <v>43136</v>
      </c>
      <c r="B59" s="9" t="s">
        <v>24</v>
      </c>
      <c r="C59" s="24">
        <v>40</v>
      </c>
      <c r="D59" s="24"/>
      <c r="E59" s="24">
        <f t="shared" si="2"/>
        <v>1647</v>
      </c>
      <c r="F59" s="620" t="s">
        <v>46</v>
      </c>
    </row>
    <row r="60" spans="1:6">
      <c r="A60" s="57">
        <v>43164</v>
      </c>
      <c r="B60" s="24" t="s">
        <v>560</v>
      </c>
      <c r="C60" s="24"/>
      <c r="D60" s="24">
        <v>30</v>
      </c>
      <c r="E60" s="24">
        <f t="shared" si="2"/>
        <v>1617</v>
      </c>
      <c r="F60" s="624" t="s">
        <v>46</v>
      </c>
    </row>
    <row r="61" spans="1:6">
      <c r="A61" s="21">
        <v>43225</v>
      </c>
      <c r="B61" s="9" t="s">
        <v>24</v>
      </c>
      <c r="C61" s="24">
        <v>50</v>
      </c>
      <c r="D61" s="24"/>
      <c r="E61" s="24">
        <f t="shared" si="2"/>
        <v>1667</v>
      </c>
    </row>
    <row r="62" spans="1:6">
      <c r="A62" s="57">
        <v>43225</v>
      </c>
      <c r="B62" s="24" t="s">
        <v>852</v>
      </c>
      <c r="C62" s="24"/>
      <c r="D62" s="24">
        <v>40</v>
      </c>
      <c r="E62" s="24">
        <f t="shared" si="2"/>
        <v>1627</v>
      </c>
      <c r="F62" s="626" t="s">
        <v>46</v>
      </c>
    </row>
    <row r="63" spans="1:6">
      <c r="A63" s="57">
        <v>43286</v>
      </c>
      <c r="B63" s="24" t="s">
        <v>24</v>
      </c>
      <c r="C63" s="24">
        <v>24</v>
      </c>
      <c r="D63" s="24"/>
      <c r="E63" s="24">
        <f t="shared" si="2"/>
        <v>1651</v>
      </c>
    </row>
    <row r="64" spans="1:6">
      <c r="A64" s="42">
        <v>43317</v>
      </c>
      <c r="B64" s="629" t="s">
        <v>24</v>
      </c>
      <c r="C64" s="24">
        <v>45</v>
      </c>
      <c r="D64" s="24"/>
      <c r="E64" s="24">
        <f t="shared" si="2"/>
        <v>1696</v>
      </c>
    </row>
    <row r="65" spans="1:6">
      <c r="A65" s="633" t="s">
        <v>862</v>
      </c>
      <c r="B65" s="633" t="s">
        <v>24</v>
      </c>
      <c r="C65" s="24">
        <v>50</v>
      </c>
      <c r="D65" s="24"/>
      <c r="E65" s="24">
        <f t="shared" si="2"/>
        <v>1746</v>
      </c>
    </row>
    <row r="66" spans="1:6">
      <c r="A66" s="631" t="s">
        <v>863</v>
      </c>
      <c r="B66" s="631" t="s">
        <v>794</v>
      </c>
      <c r="C66" s="24">
        <v>65</v>
      </c>
      <c r="D66" s="24"/>
      <c r="E66" s="24">
        <f t="shared" si="2"/>
        <v>1811</v>
      </c>
    </row>
    <row r="67" spans="1:6">
      <c r="A67" s="125" t="s">
        <v>863</v>
      </c>
      <c r="B67" s="9" t="s">
        <v>24</v>
      </c>
      <c r="C67" s="24">
        <v>27</v>
      </c>
      <c r="D67" s="24"/>
      <c r="E67" s="24">
        <f t="shared" si="2"/>
        <v>1838</v>
      </c>
    </row>
    <row r="68" spans="1:6">
      <c r="A68" s="659" t="s">
        <v>733</v>
      </c>
      <c r="B68" s="656" t="s">
        <v>762</v>
      </c>
      <c r="C68" s="24"/>
      <c r="D68" s="24">
        <v>30</v>
      </c>
      <c r="E68" s="24">
        <f t="shared" si="2"/>
        <v>1808</v>
      </c>
    </row>
    <row r="69" spans="1:6">
      <c r="A69" s="664" t="s">
        <v>878</v>
      </c>
      <c r="B69" s="664" t="s">
        <v>24</v>
      </c>
      <c r="C69" s="24">
        <v>14</v>
      </c>
      <c r="D69" s="24"/>
      <c r="E69" s="24">
        <f t="shared" si="2"/>
        <v>1822</v>
      </c>
      <c r="F69" s="669" t="s">
        <v>46</v>
      </c>
    </row>
    <row r="70" spans="1:6">
      <c r="A70" s="683" t="s">
        <v>898</v>
      </c>
      <c r="B70" s="684" t="s">
        <v>646</v>
      </c>
      <c r="C70" s="24">
        <v>15</v>
      </c>
      <c r="D70" s="24"/>
      <c r="E70" s="24">
        <f t="shared" si="2"/>
        <v>1837</v>
      </c>
    </row>
    <row r="71" spans="1:6">
      <c r="A71" s="125" t="s">
        <v>907</v>
      </c>
      <c r="B71" s="9" t="s">
        <v>909</v>
      </c>
      <c r="C71" s="24">
        <v>62</v>
      </c>
      <c r="D71" s="24"/>
      <c r="E71" s="24">
        <f t="shared" si="2"/>
        <v>1899</v>
      </c>
    </row>
    <row r="72" spans="1:6">
      <c r="A72" s="24" t="s">
        <v>907</v>
      </c>
      <c r="B72" s="24" t="s">
        <v>910</v>
      </c>
      <c r="C72" s="24"/>
      <c r="D72" s="24">
        <v>10</v>
      </c>
      <c r="E72" s="24">
        <f t="shared" si="2"/>
        <v>1889</v>
      </c>
    </row>
    <row r="73" spans="1:6">
      <c r="A73" s="691" t="s">
        <v>912</v>
      </c>
      <c r="B73" s="691" t="s">
        <v>24</v>
      </c>
      <c r="C73" s="24">
        <v>21</v>
      </c>
      <c r="D73" s="24"/>
      <c r="E73" s="24">
        <f t="shared" si="2"/>
        <v>1910</v>
      </c>
      <c r="F73" s="693" t="s">
        <v>46</v>
      </c>
    </row>
    <row r="74" spans="1:6">
      <c r="A74" s="57">
        <v>43137</v>
      </c>
      <c r="B74" s="716" t="s">
        <v>24</v>
      </c>
      <c r="C74" s="24">
        <v>13</v>
      </c>
      <c r="D74" s="24"/>
      <c r="E74" s="24">
        <f t="shared" si="2"/>
        <v>1923</v>
      </c>
    </row>
    <row r="75" spans="1:6">
      <c r="A75" s="57">
        <v>43137</v>
      </c>
      <c r="B75" s="631" t="s">
        <v>794</v>
      </c>
      <c r="C75" s="24">
        <v>19</v>
      </c>
      <c r="D75" s="24"/>
      <c r="E75" s="24">
        <f t="shared" si="2"/>
        <v>1942</v>
      </c>
      <c r="F75" s="721" t="s">
        <v>46</v>
      </c>
    </row>
    <row r="76" spans="1:6">
      <c r="A76" s="24"/>
      <c r="B76" s="24"/>
      <c r="C76" s="24"/>
      <c r="D76" s="24"/>
      <c r="E76" s="24"/>
    </row>
    <row r="77" spans="1:6">
      <c r="A77" s="24"/>
      <c r="B77" s="24"/>
      <c r="C77" s="24"/>
      <c r="D77" s="24"/>
      <c r="E77" s="24"/>
    </row>
    <row r="1048329" spans="5:5">
      <c r="E1048329" s="24"/>
    </row>
  </sheetData>
  <pageMargins left="0.69930555555555596" right="0.69930555555555596" top="0" bottom="0" header="0.3" footer="0.3"/>
  <pageSetup paperSize="9" scale="80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0000"/>
  </sheetPr>
  <dimension ref="A2:F27"/>
  <sheetViews>
    <sheetView workbookViewId="0">
      <selection activeCell="B12" sqref="B12"/>
    </sheetView>
  </sheetViews>
  <sheetFormatPr baseColWidth="10" defaultColWidth="9" defaultRowHeight="14" x14ac:dyDescent="0"/>
  <cols>
    <col min="1" max="1" width="11.83203125" customWidth="1"/>
    <col min="2" max="2" width="41.5" customWidth="1"/>
    <col min="10" max="10" width="18.33203125" customWidth="1"/>
  </cols>
  <sheetData>
    <row r="2" spans="1:6" ht="15">
      <c r="A2" s="217" t="s">
        <v>49</v>
      </c>
      <c r="B2" s="217"/>
      <c r="C2" s="50"/>
      <c r="D2" s="50"/>
      <c r="E2" s="50"/>
    </row>
    <row r="3" spans="1:6">
      <c r="A3" s="50"/>
      <c r="B3" s="51"/>
      <c r="C3" s="50"/>
      <c r="D3" s="50"/>
      <c r="E3" s="50"/>
    </row>
    <row r="4" spans="1:6">
      <c r="A4" s="52" t="s">
        <v>1</v>
      </c>
      <c r="B4" s="52" t="s">
        <v>429</v>
      </c>
      <c r="C4" s="52" t="s">
        <v>3</v>
      </c>
      <c r="D4" s="52" t="s">
        <v>4</v>
      </c>
      <c r="E4" s="52" t="s">
        <v>5</v>
      </c>
      <c r="F4" s="25" t="s">
        <v>6</v>
      </c>
    </row>
    <row r="5" spans="1:6">
      <c r="A5" s="9"/>
      <c r="B5" s="9" t="s">
        <v>418</v>
      </c>
      <c r="C5" s="9"/>
      <c r="D5" s="9"/>
      <c r="E5" s="9">
        <v>2088</v>
      </c>
    </row>
    <row r="6" spans="1:6">
      <c r="A6" s="576" t="s">
        <v>544</v>
      </c>
      <c r="B6" s="357" t="s">
        <v>402</v>
      </c>
      <c r="C6" s="9">
        <v>74</v>
      </c>
      <c r="D6" s="9"/>
      <c r="E6" s="9">
        <f>E5+C6-D6</f>
        <v>2162</v>
      </c>
      <c r="F6" s="363"/>
    </row>
    <row r="7" spans="1:6">
      <c r="A7" s="576" t="s">
        <v>757</v>
      </c>
      <c r="B7" s="538" t="s">
        <v>722</v>
      </c>
      <c r="C7" s="9"/>
      <c r="D7" s="9">
        <v>100</v>
      </c>
      <c r="E7" s="9">
        <f>E6+C7-D7</f>
        <v>2062</v>
      </c>
      <c r="F7" s="541" t="s">
        <v>46</v>
      </c>
    </row>
    <row r="8" spans="1:6">
      <c r="A8" s="576" t="s">
        <v>764</v>
      </c>
      <c r="B8" s="542" t="s">
        <v>739</v>
      </c>
      <c r="C8" s="9">
        <v>44</v>
      </c>
      <c r="D8" s="9"/>
      <c r="E8" s="9">
        <f>E7+C8-D8</f>
        <v>2106</v>
      </c>
      <c r="F8" s="545" t="s">
        <v>46</v>
      </c>
    </row>
    <row r="9" spans="1:6">
      <c r="A9" s="576" t="s">
        <v>798</v>
      </c>
      <c r="B9" s="576" t="s">
        <v>802</v>
      </c>
      <c r="C9" s="9">
        <v>57</v>
      </c>
      <c r="D9" s="9"/>
      <c r="E9" s="9">
        <f>E8+C9-D9</f>
        <v>2163</v>
      </c>
      <c r="F9" s="579" t="s">
        <v>46</v>
      </c>
    </row>
    <row r="10" spans="1:6">
      <c r="A10" s="598" t="s">
        <v>826</v>
      </c>
      <c r="B10" s="9" t="s">
        <v>24</v>
      </c>
      <c r="C10" s="9">
        <v>4</v>
      </c>
      <c r="D10" s="9"/>
      <c r="E10" s="9">
        <f>E9+C10-D10</f>
        <v>2167</v>
      </c>
      <c r="F10" s="603" t="s">
        <v>46</v>
      </c>
    </row>
    <row r="11" spans="1:6">
      <c r="A11" s="656" t="s">
        <v>733</v>
      </c>
      <c r="B11" s="656" t="s">
        <v>722</v>
      </c>
      <c r="C11" s="9">
        <v>84</v>
      </c>
      <c r="D11" s="9"/>
      <c r="E11" s="9">
        <f t="shared" ref="E11:E12" si="0">E10+C11-D11</f>
        <v>2251</v>
      </c>
    </row>
    <row r="12" spans="1:6">
      <c r="A12" s="656" t="s">
        <v>733</v>
      </c>
      <c r="B12" s="662" t="s">
        <v>870</v>
      </c>
      <c r="C12" s="9">
        <v>16</v>
      </c>
      <c r="D12" s="9"/>
      <c r="E12" s="9">
        <f t="shared" si="0"/>
        <v>2267</v>
      </c>
      <c r="F12" s="658" t="s">
        <v>46</v>
      </c>
    </row>
    <row r="13" spans="1:6">
      <c r="A13" s="9"/>
      <c r="B13" s="9"/>
      <c r="C13" s="9"/>
      <c r="D13" s="9"/>
      <c r="E13" s="9"/>
    </row>
    <row r="14" spans="1:6">
      <c r="A14" s="9"/>
      <c r="B14" s="9"/>
      <c r="C14" s="9"/>
      <c r="D14" s="9"/>
      <c r="E14" s="9"/>
    </row>
    <row r="15" spans="1:6">
      <c r="A15" s="9"/>
      <c r="B15" s="9"/>
      <c r="C15" s="9"/>
      <c r="D15" s="9"/>
      <c r="E15" s="9"/>
    </row>
    <row r="16" spans="1:6">
      <c r="A16" s="9"/>
      <c r="B16" s="9"/>
      <c r="C16" s="9"/>
      <c r="D16" s="9"/>
      <c r="E16" s="9"/>
    </row>
    <row r="17" spans="1:5">
      <c r="A17" s="9"/>
      <c r="B17" s="9"/>
      <c r="C17" s="9"/>
      <c r="D17" s="9"/>
      <c r="E17" s="9"/>
    </row>
    <row r="18" spans="1:5">
      <c r="A18" s="9"/>
      <c r="B18" s="9"/>
      <c r="C18" s="9"/>
      <c r="D18" s="9"/>
      <c r="E18" s="9"/>
    </row>
    <row r="19" spans="1:5">
      <c r="A19" s="9"/>
      <c r="B19" s="9"/>
      <c r="C19" s="9"/>
      <c r="D19" s="9"/>
      <c r="E19" s="9"/>
    </row>
    <row r="20" spans="1:5">
      <c r="A20" s="9"/>
      <c r="B20" s="9"/>
      <c r="C20" s="9"/>
      <c r="D20" s="9"/>
      <c r="E20" s="9"/>
    </row>
    <row r="21" spans="1:5">
      <c r="A21" s="9"/>
      <c r="B21" s="9"/>
      <c r="C21" s="9"/>
      <c r="D21" s="9"/>
      <c r="E21" s="9"/>
    </row>
    <row r="22" spans="1:5">
      <c r="A22" s="9"/>
      <c r="B22" s="9"/>
      <c r="C22" s="9"/>
      <c r="D22" s="9"/>
      <c r="E22" s="9"/>
    </row>
    <row r="23" spans="1:5">
      <c r="A23" s="9"/>
      <c r="B23" s="9"/>
      <c r="C23" s="9"/>
      <c r="D23" s="9"/>
      <c r="E23" s="9"/>
    </row>
    <row r="24" spans="1:5">
      <c r="A24" s="9"/>
      <c r="B24" s="9"/>
      <c r="C24" s="9"/>
      <c r="D24" s="9"/>
      <c r="E24" s="9"/>
    </row>
    <row r="25" spans="1:5">
      <c r="A25" s="9"/>
      <c r="B25" s="9"/>
      <c r="C25" s="9"/>
      <c r="D25" s="9"/>
      <c r="E25" s="9"/>
    </row>
    <row r="26" spans="1:5">
      <c r="A26" s="9"/>
      <c r="B26" s="9"/>
      <c r="C26" s="9"/>
      <c r="D26" s="9"/>
      <c r="E26" s="9"/>
    </row>
    <row r="27" spans="1:5">
      <c r="A27" s="9"/>
      <c r="B27" s="9"/>
      <c r="C27" s="9"/>
      <c r="D27" s="9"/>
      <c r="E27" s="9"/>
    </row>
  </sheetData>
  <pageMargins left="0.69930555555555596" right="0.69930555555555596" top="0.75" bottom="0.75" header="0.3" footer="0.3"/>
  <pageSetup paperSize="9" scale="90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7"/>
  <sheetViews>
    <sheetView workbookViewId="0">
      <selection activeCell="E6" sqref="E6:E7"/>
    </sheetView>
  </sheetViews>
  <sheetFormatPr baseColWidth="10" defaultColWidth="9" defaultRowHeight="14" x14ac:dyDescent="0"/>
  <cols>
    <col min="1" max="1" width="11.5" customWidth="1"/>
    <col min="2" max="2" width="29.33203125" customWidth="1"/>
  </cols>
  <sheetData>
    <row r="2" spans="1:6" ht="15">
      <c r="A2" s="267" t="s">
        <v>50</v>
      </c>
      <c r="B2" s="267"/>
      <c r="C2" s="267"/>
      <c r="D2" s="267"/>
      <c r="E2" s="267"/>
      <c r="F2" s="210"/>
    </row>
    <row r="3" spans="1:6" ht="15">
      <c r="A3" s="214"/>
      <c r="B3" s="268"/>
      <c r="C3" s="214"/>
      <c r="D3" s="214"/>
      <c r="E3" s="214"/>
      <c r="F3" s="211"/>
    </row>
    <row r="4" spans="1:6">
      <c r="A4" s="52" t="s">
        <v>1</v>
      </c>
      <c r="B4" s="52" t="s">
        <v>429</v>
      </c>
      <c r="C4" s="52" t="s">
        <v>3</v>
      </c>
      <c r="D4" s="52" t="s">
        <v>4</v>
      </c>
      <c r="E4" s="52" t="s">
        <v>5</v>
      </c>
      <c r="F4" s="25" t="s">
        <v>6</v>
      </c>
    </row>
    <row r="5" spans="1:6">
      <c r="A5" s="9"/>
      <c r="B5" s="9" t="s">
        <v>418</v>
      </c>
      <c r="C5" s="9"/>
      <c r="D5" s="9"/>
      <c r="E5" s="9">
        <v>123</v>
      </c>
    </row>
    <row r="6" spans="1:6">
      <c r="A6" s="172">
        <v>43135</v>
      </c>
      <c r="B6" s="549" t="s">
        <v>773</v>
      </c>
      <c r="C6" s="9"/>
      <c r="D6" s="9">
        <v>24</v>
      </c>
      <c r="E6" s="9">
        <f>E5+C6-D6</f>
        <v>99</v>
      </c>
    </row>
    <row r="7" spans="1:6">
      <c r="A7" s="659" t="s">
        <v>733</v>
      </c>
      <c r="B7" s="656" t="s">
        <v>762</v>
      </c>
      <c r="C7" s="9"/>
      <c r="D7" s="9">
        <v>20</v>
      </c>
      <c r="E7" s="9">
        <f>E6+C7-D7</f>
        <v>79</v>
      </c>
    </row>
    <row r="8" spans="1:6">
      <c r="A8" s="9"/>
      <c r="B8" s="9"/>
      <c r="C8" s="9"/>
      <c r="D8" s="9"/>
      <c r="E8" s="9"/>
    </row>
    <row r="9" spans="1:6">
      <c r="A9" s="9"/>
      <c r="B9" s="9"/>
      <c r="C9" s="9"/>
      <c r="D9" s="9"/>
      <c r="E9" s="9"/>
    </row>
    <row r="10" spans="1:6">
      <c r="A10" s="9"/>
      <c r="B10" s="9"/>
      <c r="C10" s="9"/>
      <c r="D10" s="9"/>
      <c r="E10" s="9"/>
    </row>
    <row r="11" spans="1:6">
      <c r="A11" s="9"/>
      <c r="B11" s="9"/>
      <c r="C11" s="9"/>
      <c r="D11" s="9"/>
      <c r="E11" s="9"/>
    </row>
    <row r="12" spans="1:6">
      <c r="A12" s="9"/>
      <c r="B12" s="9"/>
      <c r="C12" s="9"/>
      <c r="D12" s="9"/>
      <c r="E12" s="9"/>
    </row>
    <row r="13" spans="1:6">
      <c r="A13" s="9"/>
      <c r="B13" s="9"/>
      <c r="C13" s="9"/>
      <c r="D13" s="9"/>
      <c r="E13" s="9"/>
    </row>
    <row r="14" spans="1:6">
      <c r="A14" s="9"/>
      <c r="B14" s="9"/>
      <c r="C14" s="9"/>
      <c r="D14" s="9"/>
      <c r="E14" s="9"/>
    </row>
    <row r="15" spans="1:6">
      <c r="A15" s="9"/>
      <c r="B15" s="9"/>
      <c r="C15" s="9"/>
      <c r="D15" s="9"/>
      <c r="E15" s="9"/>
    </row>
    <row r="16" spans="1:6">
      <c r="A16" s="9"/>
      <c r="B16" s="9"/>
      <c r="C16" s="9"/>
      <c r="D16" s="9"/>
      <c r="E16" s="9"/>
    </row>
    <row r="17" spans="1:5">
      <c r="A17" s="9"/>
      <c r="B17" s="9"/>
      <c r="C17" s="9"/>
      <c r="D17" s="9"/>
      <c r="E17" s="9"/>
    </row>
  </sheetData>
  <pageMargins left="0.69930555555555596" right="0.69930555555555596" top="0.75" bottom="0.75" header="0.3" footer="0.3"/>
  <pageSetup paperSize="9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topLeftCell="A17" workbookViewId="0">
      <selection activeCell="F45" sqref="F45"/>
    </sheetView>
  </sheetViews>
  <sheetFormatPr baseColWidth="10" defaultColWidth="9" defaultRowHeight="14" x14ac:dyDescent="0"/>
  <cols>
    <col min="1" max="1" width="15.83203125" style="264" customWidth="1"/>
    <col min="2" max="2" width="41.83203125" customWidth="1"/>
  </cols>
  <sheetData>
    <row r="1" spans="1:7">
      <c r="A1" s="265" t="s">
        <v>52</v>
      </c>
      <c r="B1" s="149"/>
      <c r="C1" s="149"/>
      <c r="D1" s="149"/>
      <c r="E1" s="149"/>
      <c r="F1" s="149"/>
      <c r="G1" s="149"/>
    </row>
    <row r="2" spans="1:7">
      <c r="A2" s="265"/>
      <c r="B2" s="149"/>
      <c r="C2" s="149"/>
      <c r="D2" s="149"/>
      <c r="E2" s="149"/>
      <c r="F2" s="149"/>
      <c r="G2" s="149"/>
    </row>
    <row r="3" spans="1:7">
      <c r="A3" s="52" t="s">
        <v>1</v>
      </c>
      <c r="B3" s="52" t="s">
        <v>429</v>
      </c>
      <c r="C3" s="52" t="s">
        <v>3</v>
      </c>
      <c r="D3" s="52" t="s">
        <v>4</v>
      </c>
      <c r="E3" s="52" t="s">
        <v>5</v>
      </c>
      <c r="F3" s="25" t="s">
        <v>6</v>
      </c>
      <c r="G3" s="149"/>
    </row>
    <row r="4" spans="1:7" s="302" customFormat="1" ht="16">
      <c r="A4" s="300"/>
      <c r="B4" s="301" t="s">
        <v>418</v>
      </c>
      <c r="C4" s="301"/>
      <c r="D4" s="301"/>
      <c r="E4" s="301">
        <v>2974</v>
      </c>
    </row>
    <row r="5" spans="1:7">
      <c r="A5" s="341" t="s">
        <v>511</v>
      </c>
      <c r="B5" s="341" t="s">
        <v>513</v>
      </c>
      <c r="C5" s="9">
        <v>63</v>
      </c>
      <c r="D5" s="9"/>
      <c r="E5" s="9">
        <f>E4+C5-D5</f>
        <v>3037</v>
      </c>
      <c r="F5" s="345"/>
    </row>
    <row r="6" spans="1:7">
      <c r="A6" s="347" t="s">
        <v>536</v>
      </c>
      <c r="B6" s="348" t="s">
        <v>537</v>
      </c>
      <c r="C6" s="9">
        <v>82</v>
      </c>
      <c r="D6" s="9"/>
      <c r="E6" s="9">
        <f>E5+C6-D6</f>
        <v>3119</v>
      </c>
      <c r="F6" s="352"/>
    </row>
    <row r="7" spans="1:7" ht="15">
      <c r="A7" s="33" t="s">
        <v>569</v>
      </c>
      <c r="B7" s="33" t="s">
        <v>512</v>
      </c>
      <c r="C7" s="9">
        <v>10</v>
      </c>
      <c r="D7" s="9"/>
      <c r="E7" s="9">
        <f>E6+C7-D7</f>
        <v>3129</v>
      </c>
      <c r="F7" s="372"/>
    </row>
    <row r="8" spans="1:7" ht="15">
      <c r="A8" s="33" t="s">
        <v>639</v>
      </c>
      <c r="B8" s="33" t="s">
        <v>640</v>
      </c>
      <c r="C8" s="9"/>
      <c r="D8" s="9">
        <v>300</v>
      </c>
      <c r="E8" s="9">
        <f>E7+C8-D8</f>
        <v>2829</v>
      </c>
      <c r="F8" s="435"/>
    </row>
    <row r="9" spans="1:7" ht="15">
      <c r="A9" s="33" t="s">
        <v>644</v>
      </c>
      <c r="B9" s="33" t="s">
        <v>17</v>
      </c>
      <c r="C9" s="9"/>
      <c r="D9" s="9">
        <v>300</v>
      </c>
      <c r="E9" s="9">
        <f t="shared" ref="E9" si="0">E8+C9-D9</f>
        <v>2529</v>
      </c>
    </row>
    <row r="10" spans="1:7" ht="15">
      <c r="A10" s="33" t="s">
        <v>649</v>
      </c>
      <c r="B10" s="33" t="s">
        <v>17</v>
      </c>
      <c r="C10" s="9"/>
      <c r="D10" s="9">
        <v>200</v>
      </c>
      <c r="E10" s="9">
        <f>E9+C10-D10</f>
        <v>2329</v>
      </c>
      <c r="F10" s="440"/>
    </row>
    <row r="11" spans="1:7" ht="15">
      <c r="A11" s="33" t="s">
        <v>651</v>
      </c>
      <c r="B11" s="33" t="s">
        <v>17</v>
      </c>
      <c r="C11" s="9"/>
      <c r="D11" s="9">
        <v>250</v>
      </c>
      <c r="E11" s="9">
        <f t="shared" ref="E11:E17" si="1">E10+C11-D11</f>
        <v>2079</v>
      </c>
      <c r="F11" s="440"/>
    </row>
    <row r="12" spans="1:7" ht="15">
      <c r="A12" s="33" t="s">
        <v>656</v>
      </c>
      <c r="B12" s="33" t="s">
        <v>17</v>
      </c>
      <c r="C12" s="9"/>
      <c r="D12" s="9">
        <v>150</v>
      </c>
      <c r="E12" s="9">
        <f t="shared" si="1"/>
        <v>1929</v>
      </c>
      <c r="F12" s="447"/>
    </row>
    <row r="13" spans="1:7" ht="15">
      <c r="A13" s="33" t="s">
        <v>677</v>
      </c>
      <c r="B13" s="33" t="s">
        <v>679</v>
      </c>
      <c r="C13" s="9">
        <v>20</v>
      </c>
      <c r="D13" s="9"/>
      <c r="E13" s="9">
        <f t="shared" si="1"/>
        <v>1949</v>
      </c>
      <c r="F13" s="466"/>
    </row>
    <row r="14" spans="1:7">
      <c r="A14" s="488" t="s">
        <v>694</v>
      </c>
      <c r="B14" s="472" t="s">
        <v>17</v>
      </c>
      <c r="C14" s="9"/>
      <c r="D14" s="9">
        <v>350</v>
      </c>
      <c r="E14" s="9">
        <f t="shared" si="1"/>
        <v>1599</v>
      </c>
      <c r="F14" s="475"/>
    </row>
    <row r="15" spans="1:7">
      <c r="A15" s="42">
        <v>43162</v>
      </c>
      <c r="B15" s="487" t="s">
        <v>17</v>
      </c>
      <c r="C15" s="9"/>
      <c r="D15" s="9">
        <v>100</v>
      </c>
      <c r="E15" s="9">
        <f t="shared" si="1"/>
        <v>1499</v>
      </c>
      <c r="F15" s="491"/>
    </row>
    <row r="16" spans="1:7" ht="15">
      <c r="A16" s="37">
        <v>43223</v>
      </c>
      <c r="B16" s="487" t="s">
        <v>17</v>
      </c>
      <c r="C16" s="9"/>
      <c r="D16" s="9">
        <v>400</v>
      </c>
      <c r="E16" s="9">
        <f t="shared" si="1"/>
        <v>1099</v>
      </c>
      <c r="F16" s="495"/>
    </row>
    <row r="17" spans="1:6" ht="15">
      <c r="A17" s="37">
        <v>43284</v>
      </c>
      <c r="B17" s="33" t="s">
        <v>679</v>
      </c>
      <c r="C17" s="9">
        <v>12</v>
      </c>
      <c r="D17" s="9"/>
      <c r="E17" s="9">
        <f t="shared" si="1"/>
        <v>1111</v>
      </c>
      <c r="F17" s="496"/>
    </row>
    <row r="18" spans="1:6" ht="15">
      <c r="A18" s="512" t="s">
        <v>738</v>
      </c>
      <c r="B18" s="33" t="s">
        <v>679</v>
      </c>
      <c r="C18" s="9">
        <v>52</v>
      </c>
      <c r="D18" s="9"/>
      <c r="E18" s="9">
        <f>E17+C18-D18</f>
        <v>1163</v>
      </c>
      <c r="F18" s="516"/>
    </row>
    <row r="19" spans="1:6" ht="15">
      <c r="A19" s="33" t="s">
        <v>761</v>
      </c>
      <c r="B19" s="33" t="s">
        <v>679</v>
      </c>
      <c r="C19" s="9">
        <v>17</v>
      </c>
      <c r="D19" s="9"/>
      <c r="E19" s="9">
        <f>E18+C19-D19</f>
        <v>1180</v>
      </c>
      <c r="F19" s="545"/>
    </row>
    <row r="20" spans="1:6" ht="15">
      <c r="A20" s="37">
        <v>43285</v>
      </c>
      <c r="B20" s="33" t="s">
        <v>779</v>
      </c>
      <c r="C20" s="9"/>
      <c r="D20" s="9">
        <v>113</v>
      </c>
      <c r="E20" s="9">
        <f t="shared" ref="E20:E26" si="2">E19+C20-D20</f>
        <v>1067</v>
      </c>
      <c r="F20" s="556"/>
    </row>
    <row r="21" spans="1:6" ht="15">
      <c r="A21" s="37">
        <v>43377</v>
      </c>
      <c r="B21" s="33" t="s">
        <v>779</v>
      </c>
      <c r="C21" s="9"/>
      <c r="D21" s="9">
        <v>100</v>
      </c>
      <c r="E21" s="9">
        <f t="shared" si="2"/>
        <v>967</v>
      </c>
    </row>
    <row r="22" spans="1:6" ht="15">
      <c r="A22" s="37">
        <v>43408</v>
      </c>
      <c r="B22" s="33" t="s">
        <v>779</v>
      </c>
      <c r="C22" s="9"/>
      <c r="D22" s="9">
        <v>140</v>
      </c>
      <c r="E22" s="9">
        <f t="shared" si="2"/>
        <v>827</v>
      </c>
      <c r="F22" s="560"/>
    </row>
    <row r="23" spans="1:6" ht="15">
      <c r="A23" s="582" t="s">
        <v>808</v>
      </c>
      <c r="B23" s="33" t="s">
        <v>779</v>
      </c>
      <c r="C23" s="9"/>
      <c r="D23" s="9">
        <v>150</v>
      </c>
      <c r="E23" s="9">
        <f t="shared" si="2"/>
        <v>677</v>
      </c>
      <c r="F23" s="584"/>
    </row>
    <row r="24" spans="1:6">
      <c r="A24" s="586" t="s">
        <v>815</v>
      </c>
      <c r="B24" s="587" t="s">
        <v>779</v>
      </c>
      <c r="C24" s="9"/>
      <c r="D24" s="9">
        <v>100</v>
      </c>
      <c r="E24" s="9">
        <f t="shared" si="2"/>
        <v>577</v>
      </c>
      <c r="F24" s="591" t="s">
        <v>46</v>
      </c>
    </row>
    <row r="25" spans="1:6" ht="15">
      <c r="A25" s="33" t="s">
        <v>839</v>
      </c>
      <c r="B25" s="33" t="s">
        <v>679</v>
      </c>
      <c r="C25" s="9">
        <v>25</v>
      </c>
      <c r="D25" s="9"/>
      <c r="E25" s="9">
        <f t="shared" si="2"/>
        <v>602</v>
      </c>
      <c r="F25" s="591"/>
    </row>
    <row r="26" spans="1:6">
      <c r="A26" s="42">
        <v>43105</v>
      </c>
      <c r="B26" s="616" t="s">
        <v>779</v>
      </c>
      <c r="C26" s="9"/>
      <c r="D26" s="9">
        <v>200</v>
      </c>
      <c r="E26" s="9">
        <f t="shared" si="2"/>
        <v>402</v>
      </c>
    </row>
    <row r="27" spans="1:6">
      <c r="A27" s="319">
        <v>43136</v>
      </c>
      <c r="B27" s="7" t="s">
        <v>779</v>
      </c>
      <c r="C27" s="9"/>
      <c r="D27" s="9">
        <v>425</v>
      </c>
      <c r="E27" s="9">
        <v>0</v>
      </c>
      <c r="F27" t="s">
        <v>46</v>
      </c>
    </row>
    <row r="28" spans="1:6">
      <c r="A28" s="21">
        <v>43286</v>
      </c>
      <c r="B28" s="629" t="s">
        <v>856</v>
      </c>
      <c r="C28" s="9"/>
      <c r="D28" s="9">
        <v>150</v>
      </c>
      <c r="E28" s="9">
        <v>0</v>
      </c>
    </row>
    <row r="29" spans="1:6" ht="15">
      <c r="A29" s="33" t="s">
        <v>878</v>
      </c>
      <c r="B29" s="33" t="s">
        <v>679</v>
      </c>
      <c r="C29" s="9">
        <v>12</v>
      </c>
      <c r="D29" s="9"/>
      <c r="E29" s="9">
        <f>E28+C29-D29</f>
        <v>12</v>
      </c>
    </row>
    <row r="30" spans="1:6" ht="15">
      <c r="A30" s="33" t="s">
        <v>884</v>
      </c>
      <c r="B30" s="33" t="s">
        <v>779</v>
      </c>
      <c r="C30" s="9"/>
      <c r="D30" s="9">
        <v>12</v>
      </c>
      <c r="E30" s="9">
        <f>E29+C30-D30</f>
        <v>0</v>
      </c>
    </row>
    <row r="31" spans="1:6" ht="15">
      <c r="A31" s="33" t="s">
        <v>915</v>
      </c>
      <c r="B31" s="33" t="s">
        <v>679</v>
      </c>
      <c r="C31" s="9">
        <v>16</v>
      </c>
      <c r="D31" s="9"/>
      <c r="E31" s="9">
        <f>E30+C31-D31</f>
        <v>16</v>
      </c>
      <c r="F31" s="701" t="s">
        <v>46</v>
      </c>
    </row>
    <row r="32" spans="1:6">
      <c r="A32" s="125"/>
      <c r="B32" s="9"/>
      <c r="C32" s="9"/>
      <c r="D32" s="9"/>
      <c r="E32" s="9"/>
    </row>
    <row r="33" spans="1:5">
      <c r="A33" s="125"/>
      <c r="B33" s="9"/>
      <c r="C33" s="9"/>
      <c r="D33" s="9"/>
      <c r="E33" s="9"/>
    </row>
    <row r="34" spans="1:5">
      <c r="A34" s="125"/>
      <c r="B34" s="9"/>
      <c r="C34" s="9"/>
      <c r="D34" s="9"/>
      <c r="E34" s="9"/>
    </row>
    <row r="35" spans="1:5">
      <c r="A35" s="125"/>
      <c r="B35" s="9"/>
      <c r="C35" s="9"/>
      <c r="D35" s="9"/>
      <c r="E35" s="9"/>
    </row>
    <row r="36" spans="1:5">
      <c r="A36" s="125"/>
      <c r="B36" s="9"/>
      <c r="C36" s="9"/>
      <c r="D36" s="9"/>
      <c r="E36" s="9"/>
    </row>
    <row r="37" spans="1:5">
      <c r="A37" s="125"/>
      <c r="B37" s="9"/>
      <c r="C37" s="9"/>
      <c r="D37" s="9"/>
      <c r="E37" s="9"/>
    </row>
    <row r="38" spans="1:5">
      <c r="A38" s="125"/>
      <c r="B38" s="9"/>
      <c r="C38" s="9"/>
      <c r="D38" s="9"/>
      <c r="E38" s="9"/>
    </row>
    <row r="39" spans="1:5">
      <c r="A39" s="125"/>
      <c r="B39" s="9"/>
      <c r="C39" s="9"/>
      <c r="D39" s="9"/>
      <c r="E39" s="9"/>
    </row>
    <row r="40" spans="1:5">
      <c r="A40" s="125"/>
      <c r="B40" s="9"/>
      <c r="C40" s="9"/>
      <c r="D40" s="9"/>
      <c r="E40" s="9"/>
    </row>
    <row r="41" spans="1:5">
      <c r="A41" s="125"/>
      <c r="B41" s="9"/>
      <c r="C41" s="9"/>
      <c r="D41" s="9"/>
      <c r="E41" s="9"/>
    </row>
    <row r="42" spans="1:5">
      <c r="A42" s="125"/>
      <c r="B42" s="9"/>
      <c r="C42" s="9"/>
      <c r="D42" s="9"/>
      <c r="E42" s="9"/>
    </row>
    <row r="43" spans="1:5">
      <c r="A43" s="125"/>
      <c r="B43" s="9"/>
      <c r="C43" s="9"/>
      <c r="D43" s="9"/>
      <c r="E43" s="9"/>
    </row>
    <row r="44" spans="1:5">
      <c r="A44" s="125"/>
      <c r="B44" s="9"/>
      <c r="C44" s="9"/>
      <c r="D44" s="9"/>
      <c r="E44" s="9"/>
    </row>
    <row r="45" spans="1:5">
      <c r="A45" s="125"/>
      <c r="B45" s="9"/>
      <c r="C45" s="9"/>
      <c r="D45" s="9"/>
      <c r="E45" s="9"/>
    </row>
  </sheetData>
  <pageMargins left="0.69930555555555596" right="0.69930555555555596" top="0.25" bottom="0.75" header="0.3" footer="0.3"/>
  <pageSetup paperSize="9" scale="90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4"/>
  <sheetViews>
    <sheetView topLeftCell="A2" workbookViewId="0">
      <selection activeCell="F86" sqref="F86"/>
    </sheetView>
  </sheetViews>
  <sheetFormatPr baseColWidth="10" defaultColWidth="9" defaultRowHeight="14" x14ac:dyDescent="0"/>
  <cols>
    <col min="1" max="1" width="11.5" style="219" customWidth="1"/>
    <col min="2" max="2" width="35.1640625" style="1" bestFit="1" customWidth="1"/>
    <col min="3" max="6" width="11.5" style="1" customWidth="1"/>
    <col min="9" max="9" width="13.5" style="220" customWidth="1"/>
    <col min="10" max="10" width="27.5" style="220" customWidth="1"/>
    <col min="11" max="13" width="11" style="220" customWidth="1"/>
  </cols>
  <sheetData>
    <row r="1" spans="1:13">
      <c r="A1" s="221" t="s">
        <v>102</v>
      </c>
      <c r="B1" s="148"/>
      <c r="C1" s="148"/>
      <c r="D1" s="148"/>
      <c r="E1" s="148"/>
      <c r="F1" s="148"/>
      <c r="I1" s="247"/>
      <c r="J1" s="247"/>
      <c r="K1" s="247"/>
      <c r="L1" s="247"/>
      <c r="M1" s="247"/>
    </row>
    <row r="2" spans="1:13">
      <c r="A2" s="222"/>
      <c r="B2" s="149"/>
      <c r="C2" s="149"/>
      <c r="D2" s="149"/>
      <c r="E2" s="149"/>
      <c r="F2" s="149"/>
      <c r="I2" s="248"/>
      <c r="J2" s="248"/>
      <c r="K2" s="248"/>
      <c r="L2" s="248"/>
      <c r="M2" s="248"/>
    </row>
    <row r="3" spans="1:13">
      <c r="A3" s="52" t="s">
        <v>1</v>
      </c>
      <c r="B3" s="52" t="s">
        <v>429</v>
      </c>
      <c r="C3" s="52" t="s">
        <v>3</v>
      </c>
      <c r="D3" s="52" t="s">
        <v>4</v>
      </c>
      <c r="E3" s="52" t="s">
        <v>5</v>
      </c>
      <c r="F3" s="25" t="s">
        <v>6</v>
      </c>
      <c r="I3" s="249"/>
      <c r="J3" s="249"/>
      <c r="K3" s="249"/>
      <c r="L3" s="249"/>
      <c r="M3" s="249"/>
    </row>
    <row r="4" spans="1:13" hidden="1">
      <c r="A4" s="223">
        <v>42248</v>
      </c>
      <c r="B4" s="224" t="s">
        <v>9</v>
      </c>
      <c r="C4" s="225">
        <v>300</v>
      </c>
      <c r="D4" s="224"/>
      <c r="E4" s="224">
        <f>C4</f>
        <v>300</v>
      </c>
      <c r="F4" s="149" t="s">
        <v>54</v>
      </c>
      <c r="I4" s="250"/>
      <c r="J4" s="248"/>
      <c r="K4" s="248"/>
      <c r="L4" s="248"/>
      <c r="M4" s="248"/>
    </row>
    <row r="5" spans="1:13" hidden="1">
      <c r="A5" s="226">
        <v>42278</v>
      </c>
      <c r="B5" s="218" t="s">
        <v>9</v>
      </c>
      <c r="C5" s="227">
        <v>465</v>
      </c>
      <c r="D5" s="218"/>
      <c r="E5" s="141">
        <f>E4+C5-D5</f>
        <v>765</v>
      </c>
      <c r="F5" s="149"/>
      <c r="I5" s="251"/>
      <c r="J5" s="248"/>
      <c r="K5" s="248"/>
      <c r="L5" s="248"/>
      <c r="M5" s="252"/>
    </row>
    <row r="6" spans="1:13" hidden="1">
      <c r="A6" s="228">
        <v>42339</v>
      </c>
      <c r="B6" s="218" t="s">
        <v>9</v>
      </c>
      <c r="C6" s="227">
        <v>1000</v>
      </c>
      <c r="D6" s="218"/>
      <c r="E6" s="141">
        <f t="shared" ref="E6:E54" si="0">E5+C6-D6</f>
        <v>1765</v>
      </c>
      <c r="F6" s="149"/>
      <c r="I6" s="253"/>
      <c r="J6" s="248"/>
      <c r="K6" s="248"/>
      <c r="L6" s="248"/>
      <c r="M6" s="252"/>
    </row>
    <row r="7" spans="1:13" hidden="1">
      <c r="A7" s="228" t="s">
        <v>103</v>
      </c>
      <c r="B7" s="218" t="s">
        <v>9</v>
      </c>
      <c r="C7" s="227">
        <v>565</v>
      </c>
      <c r="D7" s="218"/>
      <c r="E7" s="141">
        <f t="shared" si="0"/>
        <v>2330</v>
      </c>
      <c r="F7" s="149"/>
      <c r="I7" s="253"/>
      <c r="J7" s="248"/>
      <c r="K7" s="248"/>
      <c r="L7" s="248"/>
      <c r="M7" s="252"/>
    </row>
    <row r="8" spans="1:13" hidden="1">
      <c r="A8" s="228" t="s">
        <v>103</v>
      </c>
      <c r="B8" s="218" t="s">
        <v>104</v>
      </c>
      <c r="C8" s="218"/>
      <c r="D8" s="227">
        <v>2100</v>
      </c>
      <c r="E8" s="141">
        <f t="shared" si="0"/>
        <v>230</v>
      </c>
      <c r="F8" s="149" t="s">
        <v>54</v>
      </c>
      <c r="I8" s="253"/>
      <c r="J8" s="248"/>
      <c r="K8" s="248"/>
      <c r="L8" s="248"/>
      <c r="M8" s="252"/>
    </row>
    <row r="9" spans="1:13" hidden="1">
      <c r="A9" s="228" t="s">
        <v>105</v>
      </c>
      <c r="B9" s="218" t="s">
        <v>9</v>
      </c>
      <c r="C9" s="227">
        <v>955</v>
      </c>
      <c r="D9" s="218"/>
      <c r="E9" s="141">
        <f t="shared" si="0"/>
        <v>1185</v>
      </c>
      <c r="F9" s="149"/>
      <c r="I9" s="253"/>
      <c r="J9" s="248"/>
      <c r="K9" s="248"/>
      <c r="L9" s="248"/>
      <c r="M9" s="252"/>
    </row>
    <row r="10" spans="1:13" hidden="1">
      <c r="A10" s="228" t="s">
        <v>105</v>
      </c>
      <c r="B10" s="218" t="s">
        <v>106</v>
      </c>
      <c r="C10" s="218"/>
      <c r="D10" s="227">
        <v>500</v>
      </c>
      <c r="E10" s="141">
        <f t="shared" si="0"/>
        <v>685</v>
      </c>
      <c r="F10" s="149" t="s">
        <v>54</v>
      </c>
      <c r="I10" s="253"/>
      <c r="J10" s="248"/>
      <c r="K10" s="248"/>
      <c r="L10" s="248"/>
      <c r="M10" s="252"/>
    </row>
    <row r="11" spans="1:13" hidden="1">
      <c r="A11" s="228" t="s">
        <v>107</v>
      </c>
      <c r="B11" s="218" t="s">
        <v>9</v>
      </c>
      <c r="C11" s="227">
        <v>855</v>
      </c>
      <c r="D11" s="227"/>
      <c r="E11" s="141">
        <f t="shared" si="0"/>
        <v>1540</v>
      </c>
      <c r="F11" s="149"/>
      <c r="I11" s="253"/>
      <c r="J11" s="248"/>
      <c r="K11" s="248"/>
      <c r="L11" s="248"/>
      <c r="M11" s="252"/>
    </row>
    <row r="12" spans="1:13" hidden="1">
      <c r="A12" s="228" t="s">
        <v>107</v>
      </c>
      <c r="B12" s="218" t="s">
        <v>108</v>
      </c>
      <c r="C12" s="229"/>
      <c r="D12" s="230">
        <v>400</v>
      </c>
      <c r="E12" s="141">
        <f t="shared" si="0"/>
        <v>1140</v>
      </c>
      <c r="F12" s="149"/>
      <c r="I12" s="253"/>
      <c r="J12" s="248"/>
      <c r="K12" s="254"/>
      <c r="L12" s="255"/>
      <c r="M12" s="252"/>
    </row>
    <row r="13" spans="1:13" hidden="1">
      <c r="A13" s="228" t="s">
        <v>109</v>
      </c>
      <c r="B13" s="218" t="s">
        <v>108</v>
      </c>
      <c r="C13" s="218"/>
      <c r="D13" s="227">
        <v>1000</v>
      </c>
      <c r="E13" s="141">
        <f t="shared" si="0"/>
        <v>140</v>
      </c>
      <c r="F13" s="149"/>
      <c r="I13" s="253"/>
      <c r="J13" s="248"/>
      <c r="K13" s="248"/>
      <c r="L13" s="248"/>
      <c r="M13" s="252"/>
    </row>
    <row r="14" spans="1:13" hidden="1">
      <c r="A14" s="228" t="s">
        <v>110</v>
      </c>
      <c r="B14" s="218" t="s">
        <v>108</v>
      </c>
      <c r="C14" s="218"/>
      <c r="D14" s="227">
        <v>139</v>
      </c>
      <c r="E14" s="141">
        <f t="shared" si="0"/>
        <v>1</v>
      </c>
      <c r="F14" s="149"/>
      <c r="I14" s="253"/>
      <c r="J14" s="248"/>
      <c r="K14" s="248"/>
      <c r="L14" s="248"/>
      <c r="M14" s="252"/>
    </row>
    <row r="15" spans="1:13" hidden="1">
      <c r="A15" s="231" t="s">
        <v>111</v>
      </c>
      <c r="B15" s="141" t="s">
        <v>108</v>
      </c>
      <c r="C15" s="232"/>
      <c r="D15" s="233">
        <v>1</v>
      </c>
      <c r="E15" s="141">
        <f t="shared" si="0"/>
        <v>0</v>
      </c>
      <c r="F15" s="234"/>
      <c r="I15" s="252"/>
      <c r="J15" s="252"/>
      <c r="K15" s="252"/>
      <c r="L15" s="252"/>
      <c r="M15" s="252"/>
    </row>
    <row r="16" spans="1:13" hidden="1">
      <c r="A16" s="228" t="s">
        <v>112</v>
      </c>
      <c r="B16" s="218" t="s">
        <v>9</v>
      </c>
      <c r="C16" s="227">
        <v>300</v>
      </c>
      <c r="D16" s="218"/>
      <c r="E16" s="141">
        <f t="shared" si="0"/>
        <v>300</v>
      </c>
      <c r="F16" s="149"/>
      <c r="I16" s="253"/>
      <c r="J16" s="248"/>
      <c r="K16" s="248"/>
      <c r="L16" s="248"/>
      <c r="M16" s="252"/>
    </row>
    <row r="17" spans="1:13" hidden="1">
      <c r="A17" s="228" t="s">
        <v>112</v>
      </c>
      <c r="B17" s="218" t="s">
        <v>113</v>
      </c>
      <c r="C17" s="218"/>
      <c r="D17" s="227">
        <v>300</v>
      </c>
      <c r="E17" s="141">
        <f t="shared" si="0"/>
        <v>0</v>
      </c>
      <c r="F17" s="149"/>
      <c r="I17" s="253"/>
      <c r="J17" s="248"/>
      <c r="K17" s="248"/>
      <c r="L17" s="248"/>
      <c r="M17" s="252"/>
    </row>
    <row r="18" spans="1:13" hidden="1">
      <c r="A18" s="228" t="s">
        <v>114</v>
      </c>
      <c r="B18" s="218" t="s">
        <v>115</v>
      </c>
      <c r="C18" s="227">
        <v>400</v>
      </c>
      <c r="D18" s="218"/>
      <c r="E18" s="141">
        <f t="shared" si="0"/>
        <v>400</v>
      </c>
      <c r="F18" s="149"/>
      <c r="I18" s="253"/>
      <c r="J18" s="248"/>
      <c r="K18" s="248"/>
      <c r="L18" s="248"/>
      <c r="M18" s="252"/>
    </row>
    <row r="19" spans="1:13" hidden="1">
      <c r="A19" s="228" t="s">
        <v>114</v>
      </c>
      <c r="B19" s="218" t="s">
        <v>63</v>
      </c>
      <c r="C19" s="218"/>
      <c r="D19" s="227">
        <v>400</v>
      </c>
      <c r="E19" s="141">
        <f t="shared" si="0"/>
        <v>0</v>
      </c>
      <c r="F19" s="149"/>
      <c r="I19" s="253"/>
      <c r="J19" s="248"/>
      <c r="K19" s="248"/>
      <c r="L19" s="248"/>
      <c r="M19" s="252"/>
    </row>
    <row r="20" spans="1:13" hidden="1">
      <c r="A20" s="228" t="s">
        <v>61</v>
      </c>
      <c r="B20" s="218" t="s">
        <v>62</v>
      </c>
      <c r="C20" s="227">
        <v>310</v>
      </c>
      <c r="D20" s="218"/>
      <c r="E20" s="141">
        <f t="shared" si="0"/>
        <v>310</v>
      </c>
      <c r="F20" s="149"/>
      <c r="I20" s="253"/>
      <c r="J20" s="248"/>
      <c r="K20" s="248"/>
      <c r="L20" s="248"/>
      <c r="M20" s="252"/>
    </row>
    <row r="21" spans="1:13" hidden="1">
      <c r="A21" s="228" t="s">
        <v>61</v>
      </c>
      <c r="B21" s="218" t="s">
        <v>63</v>
      </c>
      <c r="C21" s="218"/>
      <c r="D21" s="227">
        <v>310</v>
      </c>
      <c r="E21" s="141">
        <f t="shared" si="0"/>
        <v>0</v>
      </c>
      <c r="F21" s="149"/>
      <c r="I21" s="253"/>
      <c r="J21" s="248"/>
      <c r="K21" s="248"/>
      <c r="L21" s="248"/>
      <c r="M21" s="252"/>
    </row>
    <row r="22" spans="1:13" hidden="1">
      <c r="A22" s="228" t="s">
        <v>116</v>
      </c>
      <c r="B22" s="218" t="s">
        <v>9</v>
      </c>
      <c r="C22" s="227">
        <v>170</v>
      </c>
      <c r="D22" s="218"/>
      <c r="E22" s="141">
        <f t="shared" si="0"/>
        <v>170</v>
      </c>
      <c r="F22" s="149"/>
      <c r="I22" s="253"/>
      <c r="J22" s="248"/>
      <c r="K22" s="248"/>
      <c r="L22" s="248"/>
      <c r="M22" s="248"/>
    </row>
    <row r="23" spans="1:13" hidden="1">
      <c r="A23" s="228">
        <v>42272</v>
      </c>
      <c r="B23" s="235" t="s">
        <v>9</v>
      </c>
      <c r="C23" s="235">
        <v>281</v>
      </c>
      <c r="D23" s="235"/>
      <c r="E23" s="141">
        <f t="shared" si="0"/>
        <v>451</v>
      </c>
      <c r="F23" s="236"/>
      <c r="I23" s="253"/>
      <c r="J23" s="248"/>
      <c r="K23" s="248"/>
      <c r="L23" s="248"/>
      <c r="M23" s="248"/>
    </row>
    <row r="24" spans="1:13" hidden="1">
      <c r="A24" s="228" t="s">
        <v>65</v>
      </c>
      <c r="B24" s="218" t="s">
        <v>59</v>
      </c>
      <c r="C24" s="218"/>
      <c r="D24" s="227">
        <v>451</v>
      </c>
      <c r="E24" s="141">
        <f t="shared" si="0"/>
        <v>0</v>
      </c>
      <c r="F24" s="149"/>
      <c r="I24" s="253"/>
      <c r="J24" s="248"/>
      <c r="K24" s="248"/>
      <c r="L24" s="248"/>
      <c r="M24" s="248"/>
    </row>
    <row r="25" spans="1:13" hidden="1">
      <c r="A25" s="237" t="s">
        <v>117</v>
      </c>
      <c r="B25" s="218" t="s">
        <v>70</v>
      </c>
      <c r="C25" s="227">
        <v>839</v>
      </c>
      <c r="D25" s="218"/>
      <c r="E25" s="141">
        <f t="shared" si="0"/>
        <v>839</v>
      </c>
      <c r="F25" s="149"/>
      <c r="I25" s="248"/>
      <c r="J25" s="248"/>
      <c r="K25" s="248"/>
      <c r="L25" s="248"/>
      <c r="M25" s="248"/>
    </row>
    <row r="26" spans="1:13" hidden="1">
      <c r="A26" s="237" t="s">
        <v>117</v>
      </c>
      <c r="B26" s="218" t="s">
        <v>56</v>
      </c>
      <c r="C26" s="218"/>
      <c r="D26" s="227">
        <v>300</v>
      </c>
      <c r="E26" s="141">
        <f t="shared" si="0"/>
        <v>539</v>
      </c>
      <c r="F26" s="149"/>
      <c r="I26" s="248"/>
      <c r="J26" s="248"/>
      <c r="K26" s="248"/>
      <c r="L26" s="248"/>
      <c r="M26" s="248"/>
    </row>
    <row r="27" spans="1:13" hidden="1">
      <c r="A27" s="237" t="s">
        <v>66</v>
      </c>
      <c r="B27" s="218" t="s">
        <v>56</v>
      </c>
      <c r="C27" s="218"/>
      <c r="D27" s="227">
        <v>49</v>
      </c>
      <c r="E27" s="141">
        <f t="shared" si="0"/>
        <v>490</v>
      </c>
      <c r="F27" s="149"/>
      <c r="I27" s="248"/>
      <c r="J27" s="248"/>
      <c r="K27" s="248"/>
      <c r="L27" s="248"/>
      <c r="M27" s="248"/>
    </row>
    <row r="28" spans="1:13" hidden="1">
      <c r="A28" s="237" t="s">
        <v>66</v>
      </c>
      <c r="B28" s="218" t="s">
        <v>9</v>
      </c>
      <c r="C28" s="227">
        <v>49</v>
      </c>
      <c r="D28" s="218"/>
      <c r="E28" s="141">
        <f t="shared" si="0"/>
        <v>539</v>
      </c>
      <c r="F28" s="149"/>
      <c r="I28" s="248"/>
      <c r="J28" s="248"/>
      <c r="K28" s="248"/>
      <c r="L28" s="248"/>
      <c r="M28" s="248"/>
    </row>
    <row r="29" spans="1:13" hidden="1">
      <c r="A29" s="119">
        <v>43009</v>
      </c>
      <c r="B29" s="238" t="s">
        <v>118</v>
      </c>
      <c r="C29" s="239">
        <v>461</v>
      </c>
      <c r="D29" s="238"/>
      <c r="E29" s="141">
        <f t="shared" si="0"/>
        <v>1000</v>
      </c>
      <c r="F29" s="149"/>
      <c r="I29" s="256"/>
      <c r="J29" s="257"/>
      <c r="K29" s="257"/>
      <c r="L29" s="257"/>
      <c r="M29" s="248"/>
    </row>
    <row r="30" spans="1:13" hidden="1">
      <c r="A30" s="226">
        <v>42134</v>
      </c>
      <c r="B30" s="218" t="s">
        <v>56</v>
      </c>
      <c r="C30" s="218"/>
      <c r="D30" s="227">
        <v>150</v>
      </c>
      <c r="E30" s="141">
        <f t="shared" si="0"/>
        <v>850</v>
      </c>
      <c r="F30" s="149"/>
      <c r="I30" s="251"/>
      <c r="J30" s="248"/>
      <c r="K30" s="248"/>
      <c r="L30" s="248"/>
      <c r="M30" s="248"/>
    </row>
    <row r="31" spans="1:13" hidden="1">
      <c r="A31" s="226">
        <v>42165</v>
      </c>
      <c r="B31" s="218" t="s">
        <v>56</v>
      </c>
      <c r="C31" s="218"/>
      <c r="D31" s="227">
        <v>142</v>
      </c>
      <c r="E31" s="141">
        <f t="shared" si="0"/>
        <v>708</v>
      </c>
      <c r="F31" s="149"/>
      <c r="I31" s="251"/>
      <c r="J31" s="248"/>
      <c r="K31" s="248"/>
      <c r="L31" s="248"/>
      <c r="M31" s="248"/>
    </row>
    <row r="32" spans="1:13" hidden="1">
      <c r="A32" s="228" t="s">
        <v>71</v>
      </c>
      <c r="B32" s="218" t="s">
        <v>72</v>
      </c>
      <c r="C32" s="218"/>
      <c r="D32" s="227">
        <v>100</v>
      </c>
      <c r="E32" s="141">
        <f t="shared" si="0"/>
        <v>608</v>
      </c>
      <c r="F32" s="149"/>
      <c r="I32" s="253"/>
      <c r="J32" s="248"/>
      <c r="K32" s="248"/>
      <c r="L32" s="248"/>
      <c r="M32" s="248"/>
    </row>
    <row r="33" spans="1:13" hidden="1">
      <c r="A33" s="226">
        <v>42248</v>
      </c>
      <c r="B33" s="218" t="s">
        <v>56</v>
      </c>
      <c r="C33" s="227">
        <v>50</v>
      </c>
      <c r="D33" s="218"/>
      <c r="E33" s="141">
        <f t="shared" si="0"/>
        <v>658</v>
      </c>
      <c r="F33" s="149"/>
      <c r="I33" s="251"/>
      <c r="J33" s="248"/>
      <c r="K33" s="248"/>
      <c r="L33" s="248"/>
      <c r="M33" s="248"/>
    </row>
    <row r="34" spans="1:13" hidden="1">
      <c r="A34" s="237" t="s">
        <v>75</v>
      </c>
      <c r="B34" s="218" t="s">
        <v>56</v>
      </c>
      <c r="C34" s="227">
        <v>261</v>
      </c>
      <c r="D34" s="218"/>
      <c r="E34" s="141">
        <f t="shared" si="0"/>
        <v>919</v>
      </c>
      <c r="F34" s="149"/>
      <c r="I34" s="248"/>
      <c r="J34" s="248"/>
      <c r="K34" s="248"/>
      <c r="L34" s="248"/>
      <c r="M34" s="248"/>
    </row>
    <row r="35" spans="1:13" hidden="1">
      <c r="A35" s="240" t="s">
        <v>76</v>
      </c>
      <c r="B35" s="235" t="s">
        <v>56</v>
      </c>
      <c r="C35" s="227">
        <v>141</v>
      </c>
      <c r="D35" s="218"/>
      <c r="E35" s="141">
        <f t="shared" si="0"/>
        <v>1060</v>
      </c>
      <c r="F35" s="149"/>
      <c r="I35" s="253"/>
      <c r="J35" s="248"/>
      <c r="K35" s="248"/>
      <c r="L35" s="248"/>
      <c r="M35" s="248"/>
    </row>
    <row r="36" spans="1:13" hidden="1">
      <c r="A36" s="237" t="s">
        <v>77</v>
      </c>
      <c r="B36" s="235" t="s">
        <v>56</v>
      </c>
      <c r="C36" s="227">
        <v>352</v>
      </c>
      <c r="D36" s="218"/>
      <c r="E36" s="141">
        <f t="shared" si="0"/>
        <v>1412</v>
      </c>
      <c r="F36" s="149"/>
      <c r="I36" s="248"/>
      <c r="J36" s="248"/>
      <c r="K36" s="248"/>
      <c r="L36" s="248"/>
      <c r="M36" s="248"/>
    </row>
    <row r="37" spans="1:13" ht="16" hidden="1">
      <c r="A37" s="228" t="s">
        <v>78</v>
      </c>
      <c r="B37" s="241" t="s">
        <v>56</v>
      </c>
      <c r="C37" s="227">
        <v>74</v>
      </c>
      <c r="D37" s="218"/>
      <c r="E37" s="141">
        <f t="shared" si="0"/>
        <v>1486</v>
      </c>
      <c r="F37" s="149"/>
      <c r="I37" s="258"/>
      <c r="J37" s="259"/>
      <c r="K37" s="248"/>
      <c r="L37" s="248"/>
      <c r="M37" s="248"/>
    </row>
    <row r="38" spans="1:13" hidden="1">
      <c r="A38" s="237" t="s">
        <v>79</v>
      </c>
      <c r="B38" s="218" t="s">
        <v>56</v>
      </c>
      <c r="C38" s="227">
        <v>2</v>
      </c>
      <c r="D38" s="218"/>
      <c r="E38" s="141">
        <f t="shared" si="0"/>
        <v>1488</v>
      </c>
      <c r="F38" s="149"/>
      <c r="I38" s="248"/>
      <c r="J38" s="248"/>
      <c r="K38" s="248"/>
      <c r="L38" s="248"/>
      <c r="M38" s="248"/>
    </row>
    <row r="39" spans="1:13" hidden="1">
      <c r="A39" s="237" t="s">
        <v>81</v>
      </c>
      <c r="B39" s="218" t="s">
        <v>56</v>
      </c>
      <c r="C39" s="227">
        <v>143</v>
      </c>
      <c r="D39" s="218"/>
      <c r="E39" s="141">
        <f t="shared" si="0"/>
        <v>1631</v>
      </c>
      <c r="F39" s="149"/>
      <c r="I39" s="248"/>
      <c r="J39" s="248"/>
      <c r="K39" s="248"/>
      <c r="L39" s="248"/>
      <c r="M39" s="248"/>
    </row>
    <row r="40" spans="1:13" hidden="1">
      <c r="A40" s="240" t="s">
        <v>82</v>
      </c>
      <c r="B40" s="218" t="s">
        <v>56</v>
      </c>
      <c r="C40" s="227">
        <v>290</v>
      </c>
      <c r="D40" s="218"/>
      <c r="E40" s="141">
        <f t="shared" si="0"/>
        <v>1921</v>
      </c>
      <c r="F40" s="149"/>
      <c r="I40" s="253"/>
      <c r="J40" s="248"/>
      <c r="K40" s="248"/>
      <c r="L40" s="248"/>
      <c r="M40" s="248"/>
    </row>
    <row r="41" spans="1:13" hidden="1">
      <c r="A41" s="228">
        <v>43066</v>
      </c>
      <c r="B41" s="93" t="s">
        <v>119</v>
      </c>
      <c r="C41" s="235">
        <v>143</v>
      </c>
      <c r="D41" s="235"/>
      <c r="E41" s="141">
        <f t="shared" si="0"/>
        <v>2064</v>
      </c>
      <c r="F41" s="242"/>
      <c r="I41" s="253"/>
      <c r="K41" s="248"/>
      <c r="L41" s="248"/>
      <c r="M41" s="248"/>
    </row>
    <row r="42" spans="1:13" hidden="1">
      <c r="A42" s="228">
        <v>42338</v>
      </c>
      <c r="B42" s="93" t="s">
        <v>84</v>
      </c>
      <c r="C42" s="235">
        <v>109</v>
      </c>
      <c r="D42" s="235"/>
      <c r="E42" s="141">
        <f t="shared" si="0"/>
        <v>2173</v>
      </c>
      <c r="F42" s="236"/>
      <c r="I42" s="253"/>
      <c r="K42" s="248"/>
      <c r="L42" s="248"/>
      <c r="M42" s="248"/>
    </row>
    <row r="43" spans="1:13" hidden="1">
      <c r="A43" s="226">
        <v>42016</v>
      </c>
      <c r="B43" s="218" t="s">
        <v>56</v>
      </c>
      <c r="C43" s="227">
        <v>1</v>
      </c>
      <c r="D43" s="218"/>
      <c r="E43" s="141">
        <f t="shared" si="0"/>
        <v>2174</v>
      </c>
      <c r="F43" s="149"/>
      <c r="I43" s="251"/>
      <c r="J43" s="248"/>
      <c r="K43" s="248"/>
      <c r="L43" s="248"/>
      <c r="M43" s="248"/>
    </row>
    <row r="44" spans="1:13" hidden="1">
      <c r="A44" s="226">
        <v>42047</v>
      </c>
      <c r="B44" s="218" t="s">
        <v>56</v>
      </c>
      <c r="C44" s="227">
        <v>111</v>
      </c>
      <c r="D44" s="218"/>
      <c r="E44" s="141">
        <f t="shared" si="0"/>
        <v>2285</v>
      </c>
      <c r="F44" s="149"/>
      <c r="I44" s="251"/>
      <c r="J44" s="248"/>
      <c r="K44" s="248"/>
      <c r="L44" s="248"/>
      <c r="M44" s="248"/>
    </row>
    <row r="45" spans="1:13" hidden="1">
      <c r="A45" s="287" t="s">
        <v>120</v>
      </c>
      <c r="B45" s="218" t="s">
        <v>56</v>
      </c>
      <c r="C45" s="227">
        <v>11</v>
      </c>
      <c r="D45" s="218"/>
      <c r="E45" s="141">
        <f t="shared" si="0"/>
        <v>2296</v>
      </c>
      <c r="F45" s="149"/>
      <c r="I45" s="248"/>
      <c r="J45" s="248"/>
      <c r="K45" s="248"/>
      <c r="L45" s="248"/>
      <c r="M45" s="248"/>
    </row>
    <row r="46" spans="1:13" hidden="1">
      <c r="A46" s="237" t="s">
        <v>85</v>
      </c>
      <c r="B46" s="218" t="s">
        <v>56</v>
      </c>
      <c r="C46" s="227">
        <v>39</v>
      </c>
      <c r="D46" s="218"/>
      <c r="E46" s="141">
        <f t="shared" si="0"/>
        <v>2335</v>
      </c>
      <c r="F46" s="149"/>
      <c r="I46" s="248"/>
      <c r="J46" s="248"/>
      <c r="K46" s="248"/>
      <c r="L46" s="248"/>
      <c r="M46" s="248"/>
    </row>
    <row r="47" spans="1:13" hidden="1">
      <c r="A47" s="237" t="s">
        <v>87</v>
      </c>
      <c r="B47" s="218" t="s">
        <v>121</v>
      </c>
      <c r="C47" s="227">
        <v>326</v>
      </c>
      <c r="D47" s="218"/>
      <c r="E47" s="141">
        <f t="shared" si="0"/>
        <v>2661</v>
      </c>
      <c r="F47" s="149"/>
      <c r="I47" s="248"/>
      <c r="J47" s="248"/>
      <c r="K47" s="248"/>
      <c r="L47" s="248"/>
      <c r="M47" s="248"/>
    </row>
    <row r="48" spans="1:13" hidden="1">
      <c r="A48" s="243">
        <v>43088</v>
      </c>
      <c r="B48" s="93" t="s">
        <v>84</v>
      </c>
      <c r="C48" s="235">
        <v>37</v>
      </c>
      <c r="D48" s="235"/>
      <c r="E48" s="141">
        <f t="shared" si="0"/>
        <v>2698</v>
      </c>
      <c r="F48" s="242"/>
      <c r="I48" s="260"/>
      <c r="K48" s="248"/>
      <c r="L48" s="248"/>
      <c r="M48" s="248"/>
    </row>
    <row r="49" spans="1:13" ht="16" hidden="1">
      <c r="A49" s="228" t="s">
        <v>87</v>
      </c>
      <c r="B49" s="218" t="s">
        <v>56</v>
      </c>
      <c r="C49" s="227">
        <v>131</v>
      </c>
      <c r="D49" s="218"/>
      <c r="E49" s="141">
        <f t="shared" si="0"/>
        <v>2829</v>
      </c>
      <c r="F49" s="149"/>
      <c r="I49" s="258"/>
      <c r="J49" s="259"/>
      <c r="K49" s="248"/>
      <c r="L49" s="248"/>
      <c r="M49" s="248"/>
    </row>
    <row r="50" spans="1:13" ht="16" hidden="1">
      <c r="A50" s="228">
        <v>42361</v>
      </c>
      <c r="B50" s="235" t="s">
        <v>122</v>
      </c>
      <c r="C50" s="235">
        <v>260</v>
      </c>
      <c r="D50" s="235"/>
      <c r="E50" s="141">
        <f t="shared" si="0"/>
        <v>3089</v>
      </c>
      <c r="F50" s="242"/>
      <c r="I50" s="258"/>
      <c r="J50" s="259"/>
      <c r="K50" s="248"/>
      <c r="L50" s="248"/>
      <c r="M50" s="248"/>
    </row>
    <row r="51" spans="1:13" hidden="1">
      <c r="A51" s="244" t="s">
        <v>88</v>
      </c>
      <c r="B51" s="7" t="s">
        <v>56</v>
      </c>
      <c r="C51" s="227">
        <v>47</v>
      </c>
      <c r="D51" s="218"/>
      <c r="E51" s="141">
        <f t="shared" si="0"/>
        <v>3136</v>
      </c>
      <c r="F51" s="149"/>
      <c r="K51" s="248"/>
      <c r="L51" s="248"/>
      <c r="M51" s="248"/>
    </row>
    <row r="52" spans="1:13" hidden="1">
      <c r="A52" s="245">
        <v>42361</v>
      </c>
      <c r="B52" s="93" t="s">
        <v>84</v>
      </c>
      <c r="C52" s="235">
        <v>80</v>
      </c>
      <c r="D52" s="235"/>
      <c r="E52" s="141">
        <f t="shared" si="0"/>
        <v>3216</v>
      </c>
      <c r="F52" s="242"/>
      <c r="I52" s="261"/>
      <c r="K52" s="248"/>
      <c r="L52" s="248"/>
      <c r="M52" s="248"/>
    </row>
    <row r="53" spans="1:13" hidden="1">
      <c r="A53" s="237" t="s">
        <v>91</v>
      </c>
      <c r="B53" s="218" t="s">
        <v>84</v>
      </c>
      <c r="C53" s="227">
        <v>23</v>
      </c>
      <c r="D53" s="218"/>
      <c r="E53" s="141">
        <f t="shared" si="0"/>
        <v>3239</v>
      </c>
      <c r="F53" s="149"/>
      <c r="I53" s="248"/>
      <c r="J53" s="248"/>
      <c r="K53" s="248"/>
      <c r="L53" s="248"/>
      <c r="M53" s="248"/>
    </row>
    <row r="54" spans="1:13" hidden="1">
      <c r="A54" s="237" t="s">
        <v>91</v>
      </c>
      <c r="B54" s="218" t="s">
        <v>121</v>
      </c>
      <c r="C54" s="227">
        <v>248</v>
      </c>
      <c r="D54" s="218"/>
      <c r="E54" s="141">
        <f t="shared" si="0"/>
        <v>3487</v>
      </c>
      <c r="F54" s="149"/>
      <c r="I54" s="248"/>
      <c r="J54" s="248"/>
      <c r="K54" s="248"/>
      <c r="L54" s="248"/>
      <c r="M54" s="248"/>
    </row>
    <row r="55" spans="1:13">
      <c r="A55" s="244"/>
      <c r="B55" s="298" t="s">
        <v>408</v>
      </c>
      <c r="C55" s="7"/>
      <c r="D55" s="7"/>
      <c r="E55" s="7">
        <v>6161</v>
      </c>
    </row>
    <row r="56" spans="1:13">
      <c r="A56" s="21">
        <v>43132</v>
      </c>
      <c r="B56" s="298" t="s">
        <v>16</v>
      </c>
      <c r="C56" s="7">
        <v>5</v>
      </c>
      <c r="D56" s="7"/>
      <c r="E56" s="7">
        <f>E55+C56-D56</f>
        <v>6166</v>
      </c>
      <c r="F56" s="304"/>
    </row>
    <row r="57" spans="1:13">
      <c r="A57" s="319">
        <v>43252</v>
      </c>
      <c r="B57" s="317" t="s">
        <v>434</v>
      </c>
      <c r="C57" s="7">
        <v>4</v>
      </c>
      <c r="D57" s="7"/>
      <c r="E57" s="7">
        <f>E56+C57-D57</f>
        <v>6170</v>
      </c>
      <c r="F57" s="324"/>
    </row>
    <row r="58" spans="1:13">
      <c r="A58" s="347" t="s">
        <v>536</v>
      </c>
      <c r="B58" s="348" t="s">
        <v>537</v>
      </c>
      <c r="C58" s="7">
        <v>42</v>
      </c>
      <c r="D58" s="7"/>
      <c r="E58" s="7">
        <f>E57+C58-D58</f>
        <v>6212</v>
      </c>
      <c r="F58" s="352"/>
    </row>
    <row r="59" spans="1:13">
      <c r="A59" s="357" t="s">
        <v>546</v>
      </c>
      <c r="B59" s="357" t="s">
        <v>549</v>
      </c>
      <c r="C59" s="7"/>
      <c r="D59" s="7">
        <v>400</v>
      </c>
      <c r="E59" s="7">
        <f t="shared" ref="E59:E66" si="1">E58+C59-D59</f>
        <v>5812</v>
      </c>
    </row>
    <row r="60" spans="1:13">
      <c r="A60" s="358" t="s">
        <v>551</v>
      </c>
      <c r="B60" s="357" t="s">
        <v>549</v>
      </c>
      <c r="C60" s="7"/>
      <c r="D60" s="7">
        <v>400</v>
      </c>
      <c r="E60" s="7">
        <f t="shared" si="1"/>
        <v>5412</v>
      </c>
      <c r="F60" s="363"/>
    </row>
    <row r="61" spans="1:13">
      <c r="A61" s="368" t="s">
        <v>569</v>
      </c>
      <c r="B61" s="369" t="s">
        <v>549</v>
      </c>
      <c r="C61" s="7"/>
      <c r="D61" s="7">
        <v>200</v>
      </c>
      <c r="E61" s="7">
        <f t="shared" si="1"/>
        <v>5212</v>
      </c>
      <c r="F61" s="372"/>
    </row>
    <row r="62" spans="1:13" ht="15">
      <c r="A62" s="33" t="s">
        <v>638</v>
      </c>
      <c r="B62" s="33" t="s">
        <v>640</v>
      </c>
      <c r="C62" s="7"/>
      <c r="D62" s="7">
        <v>85</v>
      </c>
      <c r="E62" s="7">
        <f t="shared" si="1"/>
        <v>5127</v>
      </c>
    </row>
    <row r="63" spans="1:13" ht="15">
      <c r="A63" s="33" t="s">
        <v>644</v>
      </c>
      <c r="B63" s="33" t="s">
        <v>17</v>
      </c>
      <c r="C63" s="7"/>
      <c r="D63" s="7">
        <v>300</v>
      </c>
      <c r="E63" s="7">
        <f t="shared" si="1"/>
        <v>4827</v>
      </c>
    </row>
    <row r="64" spans="1:13" ht="15">
      <c r="A64" s="33" t="s">
        <v>649</v>
      </c>
      <c r="B64" s="33" t="s">
        <v>17</v>
      </c>
      <c r="C64" s="7"/>
      <c r="D64" s="7">
        <v>200</v>
      </c>
      <c r="E64" s="7">
        <f t="shared" si="1"/>
        <v>4627</v>
      </c>
      <c r="F64" s="440"/>
    </row>
    <row r="65" spans="1:6">
      <c r="A65" s="446" t="s">
        <v>651</v>
      </c>
      <c r="B65" s="445" t="s">
        <v>434</v>
      </c>
      <c r="C65" s="7">
        <v>3</v>
      </c>
      <c r="D65" s="7"/>
      <c r="E65" s="7">
        <f t="shared" si="1"/>
        <v>4630</v>
      </c>
    </row>
    <row r="66" spans="1:6" ht="15">
      <c r="A66" s="446" t="s">
        <v>651</v>
      </c>
      <c r="B66" s="33" t="s">
        <v>17</v>
      </c>
      <c r="C66" s="7"/>
      <c r="D66" s="7">
        <v>250</v>
      </c>
      <c r="E66" s="7">
        <f t="shared" si="1"/>
        <v>4380</v>
      </c>
    </row>
    <row r="67" spans="1:6" ht="15">
      <c r="A67" s="33" t="s">
        <v>656</v>
      </c>
      <c r="B67" s="33" t="s">
        <v>17</v>
      </c>
      <c r="C67" s="7"/>
      <c r="D67" s="7">
        <v>150</v>
      </c>
      <c r="E67" s="7">
        <f>E66+C67-D67</f>
        <v>4230</v>
      </c>
      <c r="F67" s="447"/>
    </row>
    <row r="68" spans="1:6" ht="15">
      <c r="A68" s="33" t="s">
        <v>694</v>
      </c>
      <c r="B68" s="33" t="s">
        <v>17</v>
      </c>
      <c r="C68" s="7"/>
      <c r="D68" s="7">
        <v>350</v>
      </c>
      <c r="E68" s="7">
        <f>E67+C68-D68</f>
        <v>3880</v>
      </c>
      <c r="F68" s="475"/>
    </row>
    <row r="69" spans="1:6">
      <c r="A69" s="319">
        <v>43103</v>
      </c>
      <c r="B69" s="7" t="s">
        <v>17</v>
      </c>
      <c r="C69" s="7">
        <v>300</v>
      </c>
      <c r="D69" s="7"/>
      <c r="E69" s="7">
        <f>E68+C69-D69</f>
        <v>4180</v>
      </c>
      <c r="F69" s="484"/>
    </row>
    <row r="70" spans="1:6">
      <c r="A70" s="319">
        <v>43162</v>
      </c>
      <c r="B70" s="487" t="s">
        <v>549</v>
      </c>
      <c r="C70" s="7">
        <v>300</v>
      </c>
      <c r="D70" s="7"/>
      <c r="E70" s="7">
        <f t="shared" ref="E70:E73" si="2">E69+C70-D70</f>
        <v>4480</v>
      </c>
    </row>
    <row r="71" spans="1:6">
      <c r="A71" s="319">
        <v>43162</v>
      </c>
      <c r="B71" s="7" t="s">
        <v>17</v>
      </c>
      <c r="C71" s="7"/>
      <c r="D71" s="7">
        <v>300</v>
      </c>
      <c r="E71" s="7">
        <f t="shared" si="2"/>
        <v>4180</v>
      </c>
      <c r="F71" s="491"/>
    </row>
    <row r="72" spans="1:6" ht="15">
      <c r="A72" s="37">
        <v>43223</v>
      </c>
      <c r="B72" s="487" t="s">
        <v>17</v>
      </c>
      <c r="C72" s="7"/>
      <c r="D72" s="7">
        <v>200</v>
      </c>
      <c r="E72" s="7">
        <f t="shared" si="2"/>
        <v>3980</v>
      </c>
      <c r="F72" s="495" t="s">
        <v>46</v>
      </c>
    </row>
    <row r="73" spans="1:6">
      <c r="A73" s="25" t="s">
        <v>744</v>
      </c>
      <c r="B73" s="25" t="s">
        <v>16</v>
      </c>
      <c r="C73" s="7">
        <v>1</v>
      </c>
      <c r="D73" s="7"/>
      <c r="E73" s="7">
        <f t="shared" si="2"/>
        <v>3981</v>
      </c>
      <c r="F73" s="529"/>
    </row>
    <row r="74" spans="1:6" ht="15">
      <c r="A74" s="37">
        <v>43285</v>
      </c>
      <c r="B74" s="33" t="s">
        <v>779</v>
      </c>
      <c r="C74" s="7"/>
      <c r="D74" s="7">
        <v>226</v>
      </c>
      <c r="E74" s="7">
        <f>E73+C74-D74</f>
        <v>3755</v>
      </c>
      <c r="F74" s="556"/>
    </row>
    <row r="75" spans="1:6" ht="15">
      <c r="A75" s="37">
        <v>43377</v>
      </c>
      <c r="B75" s="33" t="s">
        <v>779</v>
      </c>
      <c r="C75" s="7"/>
      <c r="D75" s="7">
        <v>200</v>
      </c>
      <c r="E75" s="7">
        <f t="shared" ref="E75:E86" si="3">E74+C75-D75</f>
        <v>3555</v>
      </c>
    </row>
    <row r="76" spans="1:6" ht="15">
      <c r="A76" s="37">
        <v>43408</v>
      </c>
      <c r="B76" s="33" t="s">
        <v>779</v>
      </c>
      <c r="C76" s="7"/>
      <c r="D76" s="7">
        <v>265</v>
      </c>
      <c r="E76" s="7">
        <f t="shared" si="3"/>
        <v>3290</v>
      </c>
      <c r="F76" s="560"/>
    </row>
    <row r="77" spans="1:6" ht="15">
      <c r="A77" s="582" t="s">
        <v>808</v>
      </c>
      <c r="B77" s="33" t="s">
        <v>779</v>
      </c>
      <c r="C77" s="7"/>
      <c r="D77" s="7">
        <v>150</v>
      </c>
      <c r="E77" s="7">
        <f t="shared" si="3"/>
        <v>3140</v>
      </c>
      <c r="F77" s="584"/>
    </row>
    <row r="78" spans="1:6">
      <c r="A78" s="586" t="s">
        <v>815</v>
      </c>
      <c r="B78" s="587" t="s">
        <v>779</v>
      </c>
      <c r="C78" s="7"/>
      <c r="D78" s="7">
        <v>250</v>
      </c>
      <c r="E78" s="7">
        <f t="shared" si="3"/>
        <v>2890</v>
      </c>
      <c r="F78" s="591" t="s">
        <v>46</v>
      </c>
    </row>
    <row r="79" spans="1:6">
      <c r="A79" s="607" t="s">
        <v>834</v>
      </c>
      <c r="B79" s="608" t="s">
        <v>835</v>
      </c>
      <c r="C79" s="7">
        <v>127</v>
      </c>
      <c r="D79" s="7"/>
      <c r="E79" s="7">
        <f t="shared" si="3"/>
        <v>3017</v>
      </c>
      <c r="F79" s="611" t="s">
        <v>46</v>
      </c>
    </row>
    <row r="80" spans="1:6">
      <c r="A80" s="42">
        <v>43105</v>
      </c>
      <c r="B80" s="616" t="s">
        <v>779</v>
      </c>
      <c r="C80" s="7"/>
      <c r="D80" s="7">
        <v>150</v>
      </c>
      <c r="E80" s="7">
        <f t="shared" si="3"/>
        <v>2867</v>
      </c>
      <c r="F80" s="618" t="s">
        <v>46</v>
      </c>
    </row>
    <row r="81" spans="1:6">
      <c r="A81" s="319">
        <v>43136</v>
      </c>
      <c r="B81" s="7" t="s">
        <v>779</v>
      </c>
      <c r="C81" s="7"/>
      <c r="D81" s="7">
        <v>700</v>
      </c>
      <c r="E81" s="7">
        <f t="shared" si="3"/>
        <v>2167</v>
      </c>
      <c r="F81" s="620" t="s">
        <v>46</v>
      </c>
    </row>
    <row r="82" spans="1:6">
      <c r="A82" s="21">
        <v>43286</v>
      </c>
      <c r="B82" s="629" t="s">
        <v>856</v>
      </c>
      <c r="C82" s="7"/>
      <c r="D82" s="7">
        <v>717</v>
      </c>
      <c r="E82" s="7">
        <f t="shared" si="3"/>
        <v>1450</v>
      </c>
    </row>
    <row r="83" spans="1:6" ht="15">
      <c r="A83" s="33" t="s">
        <v>884</v>
      </c>
      <c r="B83" s="33" t="s">
        <v>885</v>
      </c>
      <c r="C83" s="7">
        <v>286</v>
      </c>
      <c r="D83" s="7"/>
      <c r="E83" s="7">
        <f t="shared" si="3"/>
        <v>1736</v>
      </c>
      <c r="F83" s="675" t="s">
        <v>46</v>
      </c>
    </row>
    <row r="84" spans="1:6">
      <c r="A84" s="677" t="s">
        <v>889</v>
      </c>
      <c r="B84" s="677" t="s">
        <v>890</v>
      </c>
      <c r="C84" s="7">
        <v>27</v>
      </c>
      <c r="D84" s="7"/>
      <c r="E84" s="7">
        <f t="shared" si="3"/>
        <v>1763</v>
      </c>
      <c r="F84" s="682" t="s">
        <v>46</v>
      </c>
    </row>
    <row r="85" spans="1:6">
      <c r="A85" s="692" t="s">
        <v>912</v>
      </c>
      <c r="B85" s="690" t="s">
        <v>627</v>
      </c>
      <c r="C85" s="7">
        <v>122</v>
      </c>
      <c r="D85" s="7"/>
      <c r="E85" s="7">
        <f t="shared" si="3"/>
        <v>1885</v>
      </c>
      <c r="F85" s="693" t="s">
        <v>46</v>
      </c>
    </row>
    <row r="86" spans="1:6">
      <c r="A86" s="698" t="s">
        <v>915</v>
      </c>
      <c r="B86" s="698" t="s">
        <v>627</v>
      </c>
      <c r="C86" s="7">
        <v>158</v>
      </c>
      <c r="D86" s="7"/>
      <c r="E86" s="7">
        <f t="shared" si="3"/>
        <v>2043</v>
      </c>
      <c r="F86" s="701" t="s">
        <v>46</v>
      </c>
    </row>
    <row r="87" spans="1:6">
      <c r="A87" s="244"/>
      <c r="B87" s="7"/>
      <c r="C87" s="7"/>
      <c r="D87" s="7"/>
      <c r="E87" s="7"/>
    </row>
    <row r="88" spans="1:6">
      <c r="A88" s="244"/>
      <c r="B88" s="7"/>
      <c r="C88" s="7"/>
      <c r="D88" s="7"/>
      <c r="E88" s="7"/>
    </row>
    <row r="89" spans="1:6">
      <c r="A89" s="244"/>
      <c r="B89" s="7"/>
      <c r="C89" s="7"/>
      <c r="D89" s="7"/>
      <c r="E89" s="7"/>
    </row>
    <row r="90" spans="1:6">
      <c r="A90" s="244"/>
      <c r="B90" s="7"/>
      <c r="C90" s="7"/>
      <c r="D90" s="7"/>
      <c r="E90" s="7"/>
    </row>
    <row r="91" spans="1:6">
      <c r="A91" s="244"/>
      <c r="B91" s="7"/>
      <c r="C91" s="7"/>
      <c r="D91" s="7"/>
      <c r="E91" s="7"/>
    </row>
    <row r="92" spans="1:6">
      <c r="A92" s="244"/>
      <c r="B92" s="7"/>
      <c r="C92" s="7"/>
      <c r="D92" s="7"/>
      <c r="E92" s="7"/>
    </row>
    <row r="93" spans="1:6">
      <c r="A93" s="244"/>
      <c r="B93" s="7"/>
      <c r="C93" s="7"/>
      <c r="D93" s="7"/>
      <c r="E93" s="7"/>
    </row>
    <row r="94" spans="1:6">
      <c r="A94" s="244"/>
      <c r="B94" s="7"/>
      <c r="C94" s="7"/>
      <c r="D94" s="7"/>
      <c r="E94" s="7"/>
    </row>
  </sheetData>
  <pageMargins left="0.69930555555555596" right="0.69930555555555596" top="0.25" bottom="0.75" header="0.3" footer="0.3"/>
  <pageSetup paperSize="9" scale="90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2"/>
  <sheetViews>
    <sheetView workbookViewId="0">
      <selection activeCell="F12" sqref="F12"/>
    </sheetView>
  </sheetViews>
  <sheetFormatPr baseColWidth="10" defaultColWidth="9" defaultRowHeight="14" x14ac:dyDescent="0"/>
  <cols>
    <col min="1" max="1" width="13.33203125" customWidth="1"/>
    <col min="2" max="2" width="32.5" customWidth="1"/>
    <col min="6" max="6" width="14.5" customWidth="1"/>
  </cols>
  <sheetData>
    <row r="2" spans="1:6" ht="15">
      <c r="A2" s="18" t="s">
        <v>125</v>
      </c>
      <c r="B2" s="18"/>
      <c r="C2" s="18" t="s">
        <v>126</v>
      </c>
      <c r="D2" s="18"/>
      <c r="E2" s="18"/>
    </row>
    <row r="3" spans="1:6" ht="15">
      <c r="A3" s="19"/>
      <c r="B3" s="19"/>
      <c r="C3" s="19"/>
      <c r="D3" s="19"/>
      <c r="E3" s="19"/>
    </row>
    <row r="4" spans="1:6">
      <c r="A4" s="52" t="s">
        <v>1</v>
      </c>
      <c r="B4" s="52" t="s">
        <v>429</v>
      </c>
      <c r="C4" s="52" t="s">
        <v>3</v>
      </c>
      <c r="D4" s="52" t="s">
        <v>4</v>
      </c>
      <c r="E4" s="52" t="s">
        <v>5</v>
      </c>
      <c r="F4" s="25" t="s">
        <v>6</v>
      </c>
    </row>
    <row r="5" spans="1:6" s="302" customFormat="1" ht="16">
      <c r="A5" s="301"/>
      <c r="B5" s="301" t="s">
        <v>418</v>
      </c>
      <c r="C5" s="301"/>
      <c r="D5" s="301"/>
      <c r="E5" s="301">
        <v>1143</v>
      </c>
    </row>
    <row r="6" spans="1:6" ht="15">
      <c r="A6" s="33" t="s">
        <v>638</v>
      </c>
      <c r="B6" s="33" t="s">
        <v>640</v>
      </c>
      <c r="C6" s="9"/>
      <c r="D6" s="9">
        <v>215</v>
      </c>
      <c r="E6" s="9">
        <f t="shared" ref="E6:E11" si="0">E5+C6-D6</f>
        <v>928</v>
      </c>
      <c r="F6" s="435"/>
    </row>
    <row r="7" spans="1:6">
      <c r="A7" s="469" t="s">
        <v>687</v>
      </c>
      <c r="B7" s="553" t="s">
        <v>589</v>
      </c>
      <c r="C7" s="9"/>
      <c r="D7" s="9">
        <v>500</v>
      </c>
      <c r="E7" s="9">
        <f t="shared" si="0"/>
        <v>428</v>
      </c>
      <c r="F7" s="471" t="s">
        <v>46</v>
      </c>
    </row>
    <row r="8" spans="1:6">
      <c r="A8" s="21">
        <v>43347</v>
      </c>
      <c r="B8" s="554" t="s">
        <v>589</v>
      </c>
      <c r="C8" s="9"/>
      <c r="D8" s="9">
        <v>210</v>
      </c>
      <c r="E8" s="9">
        <f t="shared" si="0"/>
        <v>218</v>
      </c>
      <c r="F8" s="556" t="s">
        <v>46</v>
      </c>
    </row>
    <row r="9" spans="1:6" ht="15">
      <c r="A9" s="37">
        <v>43438</v>
      </c>
      <c r="B9" s="33" t="s">
        <v>780</v>
      </c>
      <c r="C9" s="9"/>
      <c r="D9" s="9">
        <v>100</v>
      </c>
      <c r="E9" s="9">
        <f t="shared" si="0"/>
        <v>118</v>
      </c>
      <c r="F9" s="574" t="s">
        <v>46</v>
      </c>
    </row>
    <row r="10" spans="1:6">
      <c r="A10" s="21">
        <v>43286</v>
      </c>
      <c r="B10" s="629" t="s">
        <v>856</v>
      </c>
      <c r="C10" s="9"/>
      <c r="D10" s="9">
        <v>90</v>
      </c>
      <c r="E10" s="9">
        <f t="shared" si="0"/>
        <v>28</v>
      </c>
      <c r="F10" s="658" t="s">
        <v>46</v>
      </c>
    </row>
    <row r="11" spans="1:6">
      <c r="A11" s="677" t="s">
        <v>889</v>
      </c>
      <c r="B11" s="677" t="s">
        <v>890</v>
      </c>
      <c r="C11" s="9">
        <v>254</v>
      </c>
      <c r="D11" s="9"/>
      <c r="E11" s="9">
        <f t="shared" si="0"/>
        <v>282</v>
      </c>
      <c r="F11" s="682" t="s">
        <v>46</v>
      </c>
    </row>
    <row r="12" spans="1:6">
      <c r="A12" s="9"/>
      <c r="B12" s="9"/>
      <c r="C12" s="9"/>
      <c r="D12" s="9"/>
      <c r="E12" s="9"/>
    </row>
  </sheetData>
  <pageMargins left="0.69930555555555596" right="0.69930555555555596" top="0.75" bottom="0.75" header="0.3" footer="0.3"/>
  <pageSetup paperSize="9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workbookViewId="0">
      <selection activeCell="A4" sqref="A4:F4"/>
    </sheetView>
  </sheetViews>
  <sheetFormatPr baseColWidth="10" defaultColWidth="9" defaultRowHeight="14" x14ac:dyDescent="0"/>
  <cols>
    <col min="1" max="1" width="15" customWidth="1"/>
    <col min="2" max="2" width="23.5" customWidth="1"/>
  </cols>
  <sheetData>
    <row r="2" spans="1:6" ht="15">
      <c r="A2" s="143" t="s">
        <v>128</v>
      </c>
      <c r="B2" s="143"/>
      <c r="C2" s="31"/>
      <c r="D2" s="31"/>
      <c r="E2" s="31"/>
    </row>
    <row r="3" spans="1:6" ht="15">
      <c r="A3" s="31"/>
      <c r="B3" s="84"/>
      <c r="C3" s="31"/>
      <c r="D3" s="31"/>
      <c r="E3" s="31"/>
    </row>
    <row r="4" spans="1:6">
      <c r="A4" s="52" t="s">
        <v>1</v>
      </c>
      <c r="B4" s="52" t="s">
        <v>429</v>
      </c>
      <c r="C4" s="52" t="s">
        <v>3</v>
      </c>
      <c r="D4" s="52" t="s">
        <v>4</v>
      </c>
      <c r="E4" s="52" t="s">
        <v>5</v>
      </c>
      <c r="F4" s="25" t="s">
        <v>6</v>
      </c>
    </row>
    <row r="5" spans="1:6">
      <c r="A5" s="9"/>
      <c r="B5" s="299" t="s">
        <v>418</v>
      </c>
      <c r="C5" s="9"/>
      <c r="D5" s="9"/>
      <c r="E5" s="9">
        <v>5</v>
      </c>
    </row>
    <row r="6" spans="1:6">
      <c r="A6" s="9"/>
      <c r="B6" s="9"/>
      <c r="C6" s="9"/>
      <c r="D6" s="9"/>
      <c r="E6" s="9"/>
    </row>
    <row r="7" spans="1:6">
      <c r="A7" s="9"/>
      <c r="B7" s="9"/>
      <c r="C7" s="9"/>
      <c r="D7" s="9"/>
      <c r="E7" s="9"/>
    </row>
    <row r="8" spans="1:6">
      <c r="A8" s="9"/>
      <c r="B8" s="9"/>
      <c r="C8" s="9"/>
      <c r="D8" s="9"/>
      <c r="E8" s="9"/>
    </row>
    <row r="9" spans="1:6">
      <c r="A9" s="9"/>
      <c r="B9" s="9"/>
      <c r="C9" s="9"/>
      <c r="D9" s="9"/>
      <c r="E9" s="9"/>
    </row>
    <row r="10" spans="1:6">
      <c r="A10" s="9"/>
      <c r="B10" s="9"/>
      <c r="C10" s="9"/>
      <c r="D10" s="9"/>
      <c r="E10" s="9"/>
    </row>
    <row r="11" spans="1:6">
      <c r="A11" s="9"/>
      <c r="B11" s="9"/>
      <c r="C11" s="9"/>
      <c r="D11" s="9"/>
      <c r="E11" s="9"/>
    </row>
    <row r="12" spans="1:6">
      <c r="A12" s="9"/>
      <c r="B12" s="9"/>
      <c r="C12" s="9"/>
      <c r="D12" s="9"/>
      <c r="E12" s="9"/>
    </row>
    <row r="13" spans="1:6">
      <c r="A13" s="9"/>
      <c r="B13" s="9"/>
      <c r="C13" s="9"/>
      <c r="D13" s="9"/>
      <c r="E13" s="9"/>
    </row>
    <row r="14" spans="1:6">
      <c r="A14" s="9"/>
      <c r="B14" s="9"/>
      <c r="C14" s="9"/>
      <c r="D14" s="9"/>
      <c r="E14" s="9"/>
    </row>
    <row r="15" spans="1:6">
      <c r="A15" s="9"/>
      <c r="B15" s="9"/>
      <c r="C15" s="9"/>
      <c r="D15" s="9"/>
      <c r="E15" s="9"/>
    </row>
    <row r="16" spans="1:6">
      <c r="A16" s="9"/>
      <c r="B16" s="9"/>
      <c r="C16" s="9"/>
      <c r="D16" s="9"/>
      <c r="E16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2"/>
  <sheetViews>
    <sheetView workbookViewId="0">
      <selection activeCell="G20" sqref="G20"/>
    </sheetView>
  </sheetViews>
  <sheetFormatPr baseColWidth="10" defaultColWidth="9" defaultRowHeight="14" x14ac:dyDescent="0"/>
  <cols>
    <col min="1" max="1" width="12.6640625" customWidth="1"/>
    <col min="2" max="2" width="29" customWidth="1"/>
    <col min="3" max="3" width="8" customWidth="1"/>
    <col min="4" max="4" width="8.1640625" customWidth="1"/>
    <col min="5" max="5" width="6.6640625" customWidth="1"/>
    <col min="6" max="6" width="18.1640625" customWidth="1"/>
  </cols>
  <sheetData>
    <row r="2" spans="1:6" ht="15">
      <c r="A2" s="217" t="s">
        <v>129</v>
      </c>
      <c r="B2" s="217"/>
      <c r="C2" s="50"/>
      <c r="D2" s="50"/>
      <c r="E2" s="50"/>
    </row>
    <row r="3" spans="1:6">
      <c r="A3" s="50"/>
      <c r="B3" s="51"/>
      <c r="C3" s="50"/>
      <c r="D3" s="50"/>
      <c r="E3" s="50"/>
    </row>
    <row r="4" spans="1:6">
      <c r="A4" s="52" t="s">
        <v>1</v>
      </c>
      <c r="B4" s="52" t="s">
        <v>429</v>
      </c>
      <c r="C4" s="52" t="s">
        <v>3</v>
      </c>
      <c r="D4" s="52" t="s">
        <v>4</v>
      </c>
      <c r="E4" s="52" t="s">
        <v>5</v>
      </c>
      <c r="F4" s="25" t="s">
        <v>6</v>
      </c>
    </row>
    <row r="5" spans="1:6" s="129" customFormat="1" ht="15">
      <c r="A5" s="128"/>
      <c r="B5" s="128" t="s">
        <v>418</v>
      </c>
      <c r="C5" s="128"/>
      <c r="D5" s="128"/>
      <c r="E5" s="128">
        <v>1058</v>
      </c>
      <c r="F5" s="128"/>
    </row>
    <row r="6" spans="1:6">
      <c r="A6" s="9"/>
      <c r="B6" s="9"/>
      <c r="C6" s="9"/>
      <c r="D6" s="9"/>
      <c r="E6" s="9"/>
      <c r="F6" s="9"/>
    </row>
    <row r="7" spans="1:6">
      <c r="A7" s="9"/>
      <c r="B7" s="9"/>
      <c r="C7" s="9"/>
      <c r="D7" s="9"/>
      <c r="E7" s="9"/>
      <c r="F7" s="9"/>
    </row>
    <row r="8" spans="1:6">
      <c r="A8" s="9"/>
      <c r="B8" s="9"/>
      <c r="C8" s="9"/>
      <c r="D8" s="9"/>
      <c r="E8" s="9"/>
      <c r="F8" s="9"/>
    </row>
    <row r="9" spans="1:6">
      <c r="A9" s="9"/>
      <c r="B9" s="9"/>
      <c r="C9" s="9"/>
      <c r="D9" s="9"/>
      <c r="E9" s="9"/>
      <c r="F9" s="9"/>
    </row>
    <row r="10" spans="1:6">
      <c r="A10" s="9"/>
      <c r="B10" s="9"/>
      <c r="C10" s="9"/>
      <c r="D10" s="9"/>
      <c r="E10" s="9"/>
      <c r="F10" s="9"/>
    </row>
    <row r="11" spans="1:6">
      <c r="A11" s="9"/>
      <c r="B11" s="9"/>
      <c r="C11" s="9"/>
      <c r="D11" s="9"/>
      <c r="E11" s="9"/>
      <c r="F11" s="9"/>
    </row>
    <row r="12" spans="1:6">
      <c r="A12" s="9"/>
      <c r="B12" s="9"/>
      <c r="C12" s="9"/>
      <c r="D12" s="9"/>
      <c r="E12" s="9"/>
      <c r="F12" s="9"/>
    </row>
  </sheetData>
  <pageMargins left="0.69930555555555596" right="0.69930555555555596" top="0.75" bottom="0.75" header="0.3" footer="0.3"/>
  <pageSetup paperSize="9" scale="90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0"/>
  <sheetViews>
    <sheetView workbookViewId="0">
      <selection activeCell="L20" sqref="L20"/>
    </sheetView>
  </sheetViews>
  <sheetFormatPr baseColWidth="10" defaultColWidth="9" defaultRowHeight="15" x14ac:dyDescent="0"/>
  <cols>
    <col min="1" max="1" width="16.33203125" customWidth="1"/>
    <col min="2" max="2" width="25.33203125" customWidth="1"/>
    <col min="6" max="6" width="15" style="40" customWidth="1"/>
  </cols>
  <sheetData>
    <row r="2" spans="1:6" s="97" customFormat="1">
      <c r="A2" s="143" t="s">
        <v>130</v>
      </c>
      <c r="B2" s="143"/>
      <c r="C2" s="143"/>
      <c r="D2" s="143"/>
      <c r="E2" s="143"/>
      <c r="F2" s="43"/>
    </row>
    <row r="3" spans="1:6">
      <c r="A3" s="31"/>
      <c r="B3" s="84"/>
      <c r="C3" s="31"/>
      <c r="D3" s="31"/>
      <c r="E3" s="31"/>
    </row>
    <row r="4" spans="1:6" ht="14">
      <c r="A4" s="52" t="s">
        <v>1</v>
      </c>
      <c r="B4" s="52" t="s">
        <v>429</v>
      </c>
      <c r="C4" s="52" t="s">
        <v>3</v>
      </c>
      <c r="D4" s="52" t="s">
        <v>4</v>
      </c>
      <c r="E4" s="52" t="s">
        <v>5</v>
      </c>
      <c r="F4" s="25" t="s">
        <v>6</v>
      </c>
    </row>
    <row r="5" spans="1:6">
      <c r="A5" s="9"/>
      <c r="B5" s="299" t="s">
        <v>418</v>
      </c>
      <c r="C5" s="9"/>
      <c r="D5" s="9"/>
      <c r="E5" s="9">
        <v>19</v>
      </c>
      <c r="F5" s="56"/>
    </row>
    <row r="6" spans="1:6">
      <c r="A6" s="9"/>
      <c r="B6" s="9"/>
      <c r="C6" s="9"/>
      <c r="D6" s="9"/>
      <c r="E6" s="9"/>
      <c r="F6" s="56"/>
    </row>
    <row r="7" spans="1:6">
      <c r="A7" s="9"/>
      <c r="B7" s="9"/>
      <c r="C7" s="9"/>
      <c r="D7" s="9"/>
      <c r="E7" s="9"/>
      <c r="F7" s="56"/>
    </row>
    <row r="8" spans="1:6">
      <c r="A8" s="9"/>
      <c r="B8" s="9"/>
      <c r="C8" s="9"/>
      <c r="D8" s="9"/>
      <c r="E8" s="9"/>
      <c r="F8" s="56"/>
    </row>
    <row r="9" spans="1:6">
      <c r="A9" s="9"/>
      <c r="B9" s="9"/>
      <c r="C9" s="9"/>
      <c r="D9" s="9"/>
      <c r="E9" s="9"/>
      <c r="F9" s="56"/>
    </row>
    <row r="10" spans="1:6">
      <c r="A10" s="9"/>
      <c r="B10" s="9"/>
      <c r="C10" s="9"/>
      <c r="D10" s="9"/>
      <c r="E10" s="9"/>
      <c r="F10" s="56"/>
    </row>
  </sheetData>
  <pageMargins left="0.69930555555555596" right="0.69930555555555596" top="0.75" bottom="0.75" header="0.3" footer="0.3"/>
  <pageSetup paperSize="9" scale="90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topLeftCell="A2" workbookViewId="0">
      <selection activeCell="F35" sqref="F35"/>
    </sheetView>
  </sheetViews>
  <sheetFormatPr baseColWidth="10" defaultColWidth="9" defaultRowHeight="15" x14ac:dyDescent="0"/>
  <cols>
    <col min="1" max="1" width="12.5" style="59" customWidth="1"/>
    <col min="2" max="2" width="42.1640625" style="59" customWidth="1"/>
    <col min="3" max="5" width="9" style="59"/>
    <col min="6" max="6" width="16.83203125" style="116" customWidth="1"/>
    <col min="8" max="8" width="9" style="40"/>
  </cols>
  <sheetData>
    <row r="1" spans="1:7">
      <c r="G1" s="60"/>
    </row>
    <row r="2" spans="1:7">
      <c r="A2" s="59" t="s">
        <v>133</v>
      </c>
      <c r="G2" s="60"/>
    </row>
    <row r="3" spans="1:7">
      <c r="G3" s="60"/>
    </row>
    <row r="4" spans="1:7">
      <c r="A4" s="52" t="s">
        <v>1</v>
      </c>
      <c r="B4" s="52" t="s">
        <v>429</v>
      </c>
      <c r="C4" s="52" t="s">
        <v>3</v>
      </c>
      <c r="D4" s="52" t="s">
        <v>4</v>
      </c>
      <c r="E4" s="52" t="s">
        <v>5</v>
      </c>
      <c r="F4" s="25" t="s">
        <v>6</v>
      </c>
      <c r="G4" s="60"/>
    </row>
    <row r="5" spans="1:7">
      <c r="A5" s="68"/>
      <c r="B5" s="68" t="s">
        <v>418</v>
      </c>
      <c r="C5" s="68"/>
      <c r="D5" s="68"/>
      <c r="E5" s="68">
        <v>2050</v>
      </c>
      <c r="F5" s="95"/>
    </row>
    <row r="6" spans="1:7">
      <c r="A6" s="68" t="s">
        <v>488</v>
      </c>
      <c r="B6" s="68" t="s">
        <v>434</v>
      </c>
      <c r="C6" s="68">
        <v>1</v>
      </c>
      <c r="D6" s="68"/>
      <c r="E6" s="68">
        <f>E5+C6-D6</f>
        <v>2051</v>
      </c>
      <c r="F6" s="95"/>
    </row>
    <row r="7" spans="1:7">
      <c r="A7" s="33" t="s">
        <v>511</v>
      </c>
      <c r="B7" s="33" t="s">
        <v>468</v>
      </c>
      <c r="C7" s="68">
        <v>27</v>
      </c>
      <c r="D7" s="68"/>
      <c r="E7" s="68">
        <f>E6+C7-D7</f>
        <v>2078</v>
      </c>
      <c r="F7" s="95"/>
    </row>
    <row r="8" spans="1:7">
      <c r="A8" s="36" t="s">
        <v>557</v>
      </c>
      <c r="B8" s="36" t="s">
        <v>560</v>
      </c>
      <c r="C8" s="68"/>
      <c r="D8" s="68">
        <v>700</v>
      </c>
      <c r="E8" s="68">
        <f>E7+C8-D8</f>
        <v>1378</v>
      </c>
      <c r="F8" s="95"/>
    </row>
    <row r="9" spans="1:7">
      <c r="A9" s="34" t="s">
        <v>586</v>
      </c>
      <c r="B9" s="348" t="s">
        <v>16</v>
      </c>
      <c r="C9" s="68">
        <v>350</v>
      </c>
      <c r="D9" s="68"/>
      <c r="E9" s="68">
        <f t="shared" ref="E9:E31" si="0">E8+C9-D9</f>
        <v>1728</v>
      </c>
      <c r="F9" s="95"/>
    </row>
    <row r="10" spans="1:7">
      <c r="A10" s="33" t="s">
        <v>598</v>
      </c>
      <c r="B10" s="33" t="s">
        <v>16</v>
      </c>
      <c r="C10" s="68">
        <v>200</v>
      </c>
      <c r="D10" s="68"/>
      <c r="E10" s="68">
        <f t="shared" si="0"/>
        <v>1928</v>
      </c>
      <c r="F10" s="95"/>
    </row>
    <row r="11" spans="1:7">
      <c r="A11" s="37">
        <v>43102</v>
      </c>
      <c r="B11" s="33" t="s">
        <v>601</v>
      </c>
      <c r="C11" s="68">
        <v>400</v>
      </c>
      <c r="D11" s="68"/>
      <c r="E11" s="68">
        <f t="shared" si="0"/>
        <v>2328</v>
      </c>
      <c r="F11" s="95"/>
    </row>
    <row r="12" spans="1:7">
      <c r="A12" s="403">
        <v>43222</v>
      </c>
      <c r="B12" s="404" t="s">
        <v>607</v>
      </c>
      <c r="C12" s="68">
        <v>129</v>
      </c>
      <c r="D12" s="68"/>
      <c r="E12" s="68">
        <f t="shared" si="0"/>
        <v>2457</v>
      </c>
      <c r="F12" s="95"/>
    </row>
    <row r="13" spans="1:7">
      <c r="A13" s="21">
        <v>43283</v>
      </c>
      <c r="B13" s="411" t="s">
        <v>614</v>
      </c>
      <c r="C13" s="68">
        <v>62</v>
      </c>
      <c r="D13" s="68"/>
      <c r="E13" s="68">
        <f t="shared" si="0"/>
        <v>2519</v>
      </c>
      <c r="F13" s="95"/>
    </row>
    <row r="14" spans="1:7">
      <c r="A14" s="161">
        <v>43375</v>
      </c>
      <c r="B14" s="36" t="s">
        <v>469</v>
      </c>
      <c r="C14" s="68">
        <v>62</v>
      </c>
      <c r="D14" s="68"/>
      <c r="E14" s="68">
        <f t="shared" si="0"/>
        <v>2581</v>
      </c>
      <c r="F14" s="95"/>
    </row>
    <row r="15" spans="1:7">
      <c r="A15" s="33" t="s">
        <v>630</v>
      </c>
      <c r="B15" s="34" t="s">
        <v>505</v>
      </c>
      <c r="C15" s="68">
        <v>182</v>
      </c>
      <c r="D15" s="68"/>
      <c r="E15" s="68">
        <f t="shared" si="0"/>
        <v>2763</v>
      </c>
      <c r="F15" s="95"/>
    </row>
    <row r="16" spans="1:7">
      <c r="A16" s="9" t="s">
        <v>693</v>
      </c>
      <c r="B16" s="34" t="s">
        <v>406</v>
      </c>
      <c r="C16" s="68">
        <v>32</v>
      </c>
      <c r="D16" s="68"/>
      <c r="E16" s="68">
        <f t="shared" si="0"/>
        <v>2795</v>
      </c>
      <c r="F16" s="95"/>
    </row>
    <row r="17" spans="1:6">
      <c r="A17" s="21">
        <v>43134</v>
      </c>
      <c r="B17" s="482" t="s">
        <v>402</v>
      </c>
      <c r="C17" s="68">
        <v>126</v>
      </c>
      <c r="D17" s="68"/>
      <c r="E17" s="68">
        <f t="shared" si="0"/>
        <v>2921</v>
      </c>
      <c r="F17" s="95"/>
    </row>
    <row r="18" spans="1:6">
      <c r="A18" s="33" t="s">
        <v>793</v>
      </c>
      <c r="B18" s="33" t="s">
        <v>560</v>
      </c>
      <c r="C18" s="68"/>
      <c r="D18" s="68">
        <v>460</v>
      </c>
      <c r="E18" s="68">
        <f t="shared" si="0"/>
        <v>2461</v>
      </c>
      <c r="F18" s="95"/>
    </row>
    <row r="19" spans="1:6">
      <c r="A19" s="576" t="s">
        <v>798</v>
      </c>
      <c r="B19" s="576" t="s">
        <v>802</v>
      </c>
      <c r="C19" s="68">
        <v>110</v>
      </c>
      <c r="D19" s="68"/>
      <c r="E19" s="68">
        <f t="shared" si="0"/>
        <v>2571</v>
      </c>
      <c r="F19" s="95"/>
    </row>
    <row r="20" spans="1:6">
      <c r="A20" s="68" t="s">
        <v>811</v>
      </c>
      <c r="B20" s="68" t="s">
        <v>548</v>
      </c>
      <c r="C20" s="68"/>
      <c r="D20" s="68">
        <v>400</v>
      </c>
      <c r="E20" s="68">
        <f t="shared" si="0"/>
        <v>2171</v>
      </c>
      <c r="F20" s="95"/>
    </row>
    <row r="21" spans="1:6">
      <c r="A21" s="598" t="s">
        <v>826</v>
      </c>
      <c r="B21" s="9" t="s">
        <v>24</v>
      </c>
      <c r="C21" s="68">
        <v>64</v>
      </c>
      <c r="D21" s="68"/>
      <c r="E21" s="68">
        <f t="shared" si="0"/>
        <v>2235</v>
      </c>
      <c r="F21" s="95" t="s">
        <v>46</v>
      </c>
    </row>
    <row r="22" spans="1:6">
      <c r="A22" s="21">
        <v>43286</v>
      </c>
      <c r="B22" s="629" t="s">
        <v>779</v>
      </c>
      <c r="C22" s="68"/>
      <c r="D22" s="68">
        <v>2</v>
      </c>
      <c r="E22" s="68">
        <f t="shared" si="0"/>
        <v>2233</v>
      </c>
      <c r="F22" s="95"/>
    </row>
    <row r="23" spans="1:6">
      <c r="A23" s="21">
        <v>43317</v>
      </c>
      <c r="B23" s="629" t="s">
        <v>817</v>
      </c>
      <c r="C23" s="68"/>
      <c r="D23" s="68">
        <v>2</v>
      </c>
      <c r="E23" s="68">
        <f t="shared" si="0"/>
        <v>2231</v>
      </c>
      <c r="F23" s="95"/>
    </row>
    <row r="24" spans="1:6">
      <c r="A24" s="21">
        <v>43378</v>
      </c>
      <c r="B24" s="631" t="s">
        <v>779</v>
      </c>
      <c r="C24" s="68"/>
      <c r="D24" s="68">
        <v>58</v>
      </c>
      <c r="E24" s="68">
        <f t="shared" si="0"/>
        <v>2173</v>
      </c>
      <c r="F24" s="95"/>
    </row>
    <row r="25" spans="1:6">
      <c r="A25" s="115">
        <v>43409</v>
      </c>
      <c r="B25" s="629" t="s">
        <v>817</v>
      </c>
      <c r="C25" s="68"/>
      <c r="D25" s="68">
        <v>200</v>
      </c>
      <c r="E25" s="68">
        <f t="shared" si="0"/>
        <v>1973</v>
      </c>
      <c r="F25" s="95"/>
    </row>
    <row r="26" spans="1:6">
      <c r="A26" s="115">
        <v>43439</v>
      </c>
      <c r="B26" s="68" t="s">
        <v>9</v>
      </c>
      <c r="C26" s="68">
        <v>90</v>
      </c>
      <c r="D26" s="68"/>
      <c r="E26" s="68">
        <f t="shared" si="0"/>
        <v>2063</v>
      </c>
      <c r="F26" s="95"/>
    </row>
    <row r="27" spans="1:6">
      <c r="A27" s="159">
        <v>43439</v>
      </c>
      <c r="B27" s="158" t="s">
        <v>809</v>
      </c>
      <c r="C27" s="68"/>
      <c r="D27" s="68">
        <v>40</v>
      </c>
      <c r="E27" s="68">
        <f t="shared" si="0"/>
        <v>2023</v>
      </c>
      <c r="F27" s="95"/>
    </row>
    <row r="28" spans="1:6">
      <c r="A28" s="35" t="s">
        <v>862</v>
      </c>
      <c r="B28" s="35" t="s">
        <v>779</v>
      </c>
      <c r="C28" s="68"/>
      <c r="D28" s="68">
        <v>65</v>
      </c>
      <c r="E28" s="68">
        <f t="shared" si="0"/>
        <v>1958</v>
      </c>
      <c r="F28" s="95"/>
    </row>
    <row r="29" spans="1:6">
      <c r="A29" s="68" t="s">
        <v>863</v>
      </c>
      <c r="B29" s="68" t="s">
        <v>779</v>
      </c>
      <c r="C29" s="68"/>
      <c r="D29" s="68">
        <v>136</v>
      </c>
      <c r="E29" s="68">
        <f t="shared" si="0"/>
        <v>1822</v>
      </c>
      <c r="F29" s="95"/>
    </row>
    <row r="30" spans="1:6">
      <c r="A30" s="68" t="s">
        <v>733</v>
      </c>
      <c r="B30" s="68" t="s">
        <v>867</v>
      </c>
      <c r="C30" s="68"/>
      <c r="D30" s="68">
        <v>90</v>
      </c>
      <c r="E30" s="68">
        <f t="shared" si="0"/>
        <v>1732</v>
      </c>
      <c r="F30" s="95" t="s">
        <v>46</v>
      </c>
    </row>
    <row r="31" spans="1:6">
      <c r="A31" s="35" t="s">
        <v>874</v>
      </c>
      <c r="B31" s="35" t="s">
        <v>779</v>
      </c>
      <c r="C31" s="68"/>
      <c r="D31" s="68">
        <v>30</v>
      </c>
      <c r="E31" s="68">
        <f t="shared" si="0"/>
        <v>1702</v>
      </c>
      <c r="F31" s="95" t="s">
        <v>46</v>
      </c>
    </row>
    <row r="32" spans="1:6">
      <c r="A32" s="68" t="s">
        <v>886</v>
      </c>
      <c r="B32" s="35" t="s">
        <v>779</v>
      </c>
      <c r="C32" s="68"/>
      <c r="D32" s="68">
        <v>53</v>
      </c>
      <c r="E32" s="68">
        <f>E31+C32-D32</f>
        <v>1649</v>
      </c>
      <c r="F32" s="95" t="s">
        <v>46</v>
      </c>
    </row>
    <row r="33" spans="1:6">
      <c r="A33" s="35" t="s">
        <v>898</v>
      </c>
      <c r="B33" s="35" t="s">
        <v>779</v>
      </c>
      <c r="C33" s="68"/>
      <c r="D33" s="68">
        <v>70</v>
      </c>
      <c r="E33" s="68">
        <f>E32+C33-D33</f>
        <v>1579</v>
      </c>
      <c r="F33" s="95" t="s">
        <v>46</v>
      </c>
    </row>
    <row r="34" spans="1:6">
      <c r="A34" s="690" t="s">
        <v>912</v>
      </c>
      <c r="B34" s="690" t="s">
        <v>779</v>
      </c>
      <c r="C34" s="68"/>
      <c r="D34" s="68">
        <v>130</v>
      </c>
      <c r="E34" s="68">
        <f>E33+C34-D34</f>
        <v>1449</v>
      </c>
      <c r="F34" s="95" t="s">
        <v>46</v>
      </c>
    </row>
  </sheetData>
  <pageMargins left="0.69930555555555596" right="0.69930555555555596" top="0.25" bottom="0.75" header="0.3" footer="0.3"/>
  <pageSetup paperSize="9" scale="90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58"/>
  <sheetViews>
    <sheetView workbookViewId="0">
      <selection activeCell="E6" sqref="E6"/>
    </sheetView>
  </sheetViews>
  <sheetFormatPr baseColWidth="10" defaultColWidth="9" defaultRowHeight="15" x14ac:dyDescent="0"/>
  <cols>
    <col min="1" max="1" width="12.5" style="31" customWidth="1"/>
    <col min="2" max="2" width="33" style="31" customWidth="1"/>
    <col min="3" max="5" width="9" style="31"/>
    <col min="6" max="6" width="16.33203125" style="153" customWidth="1"/>
  </cols>
  <sheetData>
    <row r="2" spans="1:6">
      <c r="A2" s="143" t="s">
        <v>156</v>
      </c>
      <c r="B2" s="143"/>
    </row>
    <row r="4" spans="1:6" ht="14">
      <c r="A4" s="52" t="s">
        <v>1</v>
      </c>
      <c r="B4" s="52" t="s">
        <v>429</v>
      </c>
      <c r="C4" s="52" t="s">
        <v>3</v>
      </c>
      <c r="D4" s="52" t="s">
        <v>4</v>
      </c>
      <c r="E4" s="52" t="s">
        <v>5</v>
      </c>
      <c r="F4" s="25" t="s">
        <v>6</v>
      </c>
    </row>
    <row r="5" spans="1:6">
      <c r="A5" s="33"/>
      <c r="B5" s="33" t="s">
        <v>418</v>
      </c>
      <c r="C5" s="33"/>
      <c r="D5" s="33"/>
      <c r="E5" s="33">
        <v>238</v>
      </c>
      <c r="F5" s="35"/>
    </row>
    <row r="6" spans="1:6">
      <c r="A6" s="33" t="s">
        <v>511</v>
      </c>
      <c r="B6" s="33" t="s">
        <v>468</v>
      </c>
      <c r="C6" s="33">
        <v>22</v>
      </c>
      <c r="D6" s="33"/>
      <c r="E6" s="33">
        <f>E5+C6-D6</f>
        <v>260</v>
      </c>
      <c r="F6" s="35"/>
    </row>
    <row r="7" spans="1:6">
      <c r="A7" s="33"/>
      <c r="B7" s="33"/>
      <c r="C7" s="33"/>
      <c r="D7" s="33"/>
      <c r="E7" s="33"/>
      <c r="F7" s="35"/>
    </row>
    <row r="8" spans="1:6">
      <c r="A8" s="33"/>
      <c r="B8" s="33"/>
      <c r="C8" s="33"/>
      <c r="D8" s="33"/>
      <c r="E8" s="33"/>
      <c r="F8" s="35"/>
    </row>
    <row r="9" spans="1:6">
      <c r="A9" s="33"/>
      <c r="B9" s="33"/>
      <c r="C9" s="33"/>
      <c r="D9" s="33"/>
      <c r="E9" s="33"/>
      <c r="F9" s="35"/>
    </row>
    <row r="10" spans="1:6">
      <c r="A10" s="33"/>
      <c r="B10" s="33"/>
      <c r="C10" s="33"/>
      <c r="D10" s="33"/>
      <c r="E10" s="33"/>
      <c r="F10" s="35"/>
    </row>
    <row r="11" spans="1:6">
      <c r="A11" s="33"/>
      <c r="B11" s="33"/>
      <c r="C11" s="33"/>
      <c r="D11" s="33"/>
      <c r="E11" s="33"/>
      <c r="F11" s="35"/>
    </row>
    <row r="12" spans="1:6">
      <c r="A12" s="33"/>
      <c r="B12" s="33"/>
      <c r="C12" s="33"/>
      <c r="D12" s="33"/>
      <c r="E12" s="33"/>
      <c r="F12" s="35"/>
    </row>
    <row r="13" spans="1:6">
      <c r="A13" s="33"/>
      <c r="B13" s="33"/>
      <c r="C13" s="33"/>
      <c r="D13" s="33"/>
      <c r="E13" s="33"/>
      <c r="F13" s="35"/>
    </row>
    <row r="14" spans="1:6">
      <c r="A14" s="33"/>
      <c r="B14" s="33"/>
      <c r="C14" s="33"/>
      <c r="D14" s="33"/>
      <c r="E14" s="33"/>
      <c r="F14" s="35"/>
    </row>
    <row r="15" spans="1:6">
      <c r="A15" s="33"/>
      <c r="B15" s="33"/>
      <c r="C15" s="33"/>
      <c r="D15" s="33"/>
      <c r="E15" s="33"/>
      <c r="F15" s="35"/>
    </row>
    <row r="16" spans="1:6">
      <c r="A16" s="33"/>
      <c r="B16" s="33"/>
      <c r="C16" s="33"/>
      <c r="D16" s="33"/>
      <c r="E16" s="33"/>
      <c r="F16" s="35"/>
    </row>
    <row r="17" spans="1:6">
      <c r="A17" s="33"/>
      <c r="B17" s="33"/>
      <c r="C17" s="33"/>
      <c r="D17" s="33"/>
      <c r="E17" s="33"/>
      <c r="F17" s="35"/>
    </row>
    <row r="18" spans="1:6">
      <c r="A18" s="33"/>
      <c r="B18" s="33"/>
      <c r="C18" s="33"/>
      <c r="D18" s="33"/>
      <c r="E18" s="33"/>
      <c r="F18" s="35"/>
    </row>
    <row r="19" spans="1:6">
      <c r="A19" s="33"/>
      <c r="B19" s="33"/>
      <c r="C19" s="33"/>
      <c r="D19" s="33"/>
      <c r="E19" s="33"/>
      <c r="F19" s="35"/>
    </row>
    <row r="20" spans="1:6">
      <c r="A20" s="33"/>
      <c r="B20" s="33"/>
      <c r="C20" s="33"/>
      <c r="D20" s="33"/>
      <c r="E20" s="33"/>
      <c r="F20" s="35"/>
    </row>
    <row r="21" spans="1:6">
      <c r="A21" s="33"/>
      <c r="B21" s="33"/>
      <c r="C21" s="33"/>
      <c r="D21" s="33"/>
      <c r="E21" s="33"/>
      <c r="F21" s="35"/>
    </row>
    <row r="22" spans="1:6">
      <c r="A22" s="33"/>
      <c r="B22" s="33"/>
      <c r="C22" s="33"/>
      <c r="D22" s="33"/>
      <c r="E22" s="33"/>
      <c r="F22" s="35"/>
    </row>
    <row r="23" spans="1:6">
      <c r="A23" s="33"/>
      <c r="B23" s="33"/>
      <c r="C23" s="33"/>
      <c r="D23" s="33"/>
      <c r="E23" s="33"/>
      <c r="F23" s="35"/>
    </row>
    <row r="24" spans="1:6">
      <c r="A24" s="33"/>
      <c r="B24" s="33"/>
      <c r="C24" s="33"/>
      <c r="D24" s="33"/>
      <c r="E24" s="33"/>
      <c r="F24" s="35"/>
    </row>
    <row r="25" spans="1:6">
      <c r="A25" s="33"/>
      <c r="B25" s="33"/>
      <c r="C25" s="33"/>
      <c r="D25" s="33"/>
      <c r="E25" s="33"/>
      <c r="F25" s="35"/>
    </row>
    <row r="26" spans="1:6">
      <c r="A26" s="33"/>
      <c r="B26" s="33"/>
      <c r="C26" s="33"/>
      <c r="D26" s="33"/>
      <c r="E26" s="33"/>
      <c r="F26" s="35"/>
    </row>
    <row r="27" spans="1:6">
      <c r="A27" s="33"/>
      <c r="B27" s="33"/>
      <c r="C27" s="33"/>
      <c r="D27" s="33"/>
      <c r="E27" s="33"/>
      <c r="F27" s="35"/>
    </row>
    <row r="28" spans="1:6">
      <c r="A28" s="33"/>
      <c r="B28" s="33"/>
      <c r="C28" s="33"/>
      <c r="D28" s="33"/>
      <c r="E28" s="33"/>
      <c r="F28" s="35"/>
    </row>
    <row r="29" spans="1:6">
      <c r="A29" s="33"/>
      <c r="B29" s="33"/>
      <c r="C29" s="33"/>
      <c r="D29" s="33"/>
      <c r="E29" s="33"/>
      <c r="F29" s="35"/>
    </row>
    <row r="30" spans="1:6">
      <c r="A30" s="33"/>
      <c r="B30" s="33"/>
      <c r="C30" s="33"/>
      <c r="D30" s="33"/>
      <c r="E30" s="33"/>
      <c r="F30" s="35"/>
    </row>
    <row r="31" spans="1:6">
      <c r="A31" s="33"/>
      <c r="B31" s="33"/>
      <c r="C31" s="33"/>
      <c r="D31" s="33"/>
      <c r="E31" s="33"/>
      <c r="F31" s="35"/>
    </row>
    <row r="32" spans="1:6">
      <c r="A32" s="33"/>
      <c r="B32" s="33"/>
      <c r="C32" s="33"/>
      <c r="D32" s="33"/>
      <c r="E32" s="33"/>
      <c r="F32" s="35"/>
    </row>
    <row r="33" spans="1:6">
      <c r="A33" s="33"/>
      <c r="B33" s="33"/>
      <c r="C33" s="33"/>
      <c r="D33" s="33"/>
      <c r="E33" s="33"/>
      <c r="F33" s="35"/>
    </row>
    <row r="34" spans="1:6">
      <c r="A34" s="33"/>
      <c r="B34" s="33"/>
      <c r="C34" s="33"/>
      <c r="D34" s="33"/>
      <c r="E34" s="33"/>
      <c r="F34" s="35"/>
    </row>
    <row r="35" spans="1:6">
      <c r="A35" s="33"/>
      <c r="B35" s="33"/>
      <c r="C35" s="33"/>
      <c r="D35" s="33"/>
      <c r="E35" s="33"/>
      <c r="F35" s="35"/>
    </row>
    <row r="36" spans="1:6">
      <c r="A36" s="33"/>
      <c r="B36" s="33"/>
      <c r="C36" s="33"/>
      <c r="D36" s="33"/>
      <c r="E36" s="33"/>
      <c r="F36" s="35"/>
    </row>
    <row r="37" spans="1:6">
      <c r="A37" s="33"/>
      <c r="B37" s="33"/>
      <c r="C37" s="33"/>
      <c r="D37" s="33"/>
      <c r="E37" s="33"/>
      <c r="F37" s="35"/>
    </row>
    <row r="38" spans="1:6">
      <c r="A38" s="33"/>
      <c r="B38" s="33"/>
      <c r="C38" s="33"/>
      <c r="D38" s="33"/>
      <c r="E38" s="33"/>
      <c r="F38" s="35"/>
    </row>
    <row r="39" spans="1:6">
      <c r="A39" s="33"/>
      <c r="B39" s="33"/>
      <c r="C39" s="33"/>
      <c r="D39" s="33"/>
      <c r="E39" s="33"/>
      <c r="F39" s="35"/>
    </row>
    <row r="40" spans="1:6">
      <c r="A40" s="33"/>
      <c r="B40" s="33"/>
      <c r="C40" s="33"/>
      <c r="D40" s="33"/>
      <c r="E40" s="33"/>
      <c r="F40" s="35"/>
    </row>
    <row r="41" spans="1:6">
      <c r="A41" s="33"/>
      <c r="B41" s="33"/>
      <c r="C41" s="33"/>
      <c r="D41" s="33"/>
      <c r="E41" s="33"/>
      <c r="F41" s="35"/>
    </row>
    <row r="42" spans="1:6">
      <c r="A42" s="33"/>
      <c r="B42" s="33"/>
      <c r="C42" s="33"/>
      <c r="D42" s="33"/>
      <c r="E42" s="33"/>
      <c r="F42" s="35"/>
    </row>
    <row r="43" spans="1:6">
      <c r="A43" s="33"/>
      <c r="B43" s="33"/>
      <c r="C43" s="33"/>
      <c r="D43" s="33"/>
      <c r="E43" s="33"/>
      <c r="F43" s="35"/>
    </row>
    <row r="44" spans="1:6">
      <c r="A44" s="33"/>
      <c r="B44" s="33"/>
      <c r="C44" s="33"/>
      <c r="D44" s="33"/>
      <c r="E44" s="33"/>
      <c r="F44" s="35"/>
    </row>
    <row r="45" spans="1:6">
      <c r="A45" s="33"/>
      <c r="B45" s="33"/>
      <c r="C45" s="33"/>
      <c r="D45" s="33"/>
      <c r="E45" s="33"/>
      <c r="F45" s="35"/>
    </row>
    <row r="46" spans="1:6">
      <c r="A46" s="33"/>
      <c r="B46" s="33"/>
      <c r="C46" s="33"/>
      <c r="D46" s="33"/>
      <c r="E46" s="33"/>
      <c r="F46" s="35"/>
    </row>
    <row r="47" spans="1:6">
      <c r="A47" s="33"/>
      <c r="B47" s="33"/>
      <c r="C47" s="33"/>
      <c r="D47" s="33"/>
      <c r="E47" s="33"/>
      <c r="F47" s="35"/>
    </row>
    <row r="48" spans="1:6">
      <c r="A48" s="33"/>
      <c r="B48" s="33"/>
      <c r="C48" s="33"/>
      <c r="D48" s="33"/>
      <c r="E48" s="33"/>
      <c r="F48" s="35"/>
    </row>
    <row r="49" spans="1:6">
      <c r="A49" s="33"/>
      <c r="B49" s="33"/>
      <c r="C49" s="33"/>
      <c r="D49" s="33"/>
      <c r="E49" s="33"/>
      <c r="F49" s="35"/>
    </row>
    <row r="50" spans="1:6">
      <c r="A50" s="33"/>
      <c r="B50" s="33"/>
      <c r="C50" s="33"/>
      <c r="D50" s="33"/>
      <c r="E50" s="33"/>
      <c r="F50" s="35"/>
    </row>
    <row r="51" spans="1:6">
      <c r="A51" s="33"/>
      <c r="B51" s="33"/>
      <c r="C51" s="33"/>
      <c r="D51" s="33"/>
      <c r="E51" s="33"/>
      <c r="F51" s="35"/>
    </row>
    <row r="52" spans="1:6">
      <c r="A52" s="33"/>
      <c r="B52" s="33"/>
      <c r="C52" s="33"/>
      <c r="D52" s="33"/>
      <c r="E52" s="33"/>
      <c r="F52" s="35"/>
    </row>
    <row r="53" spans="1:6">
      <c r="A53" s="33"/>
      <c r="B53" s="33"/>
      <c r="C53" s="33"/>
      <c r="D53" s="33"/>
      <c r="E53" s="33"/>
      <c r="F53" s="35"/>
    </row>
    <row r="54" spans="1:6">
      <c r="A54" s="33"/>
      <c r="B54" s="33"/>
      <c r="C54" s="33"/>
      <c r="D54" s="33"/>
      <c r="E54" s="33"/>
      <c r="F54" s="35"/>
    </row>
    <row r="55" spans="1:6">
      <c r="A55" s="33"/>
      <c r="B55" s="33"/>
      <c r="C55" s="33"/>
      <c r="D55" s="33"/>
      <c r="E55" s="33"/>
      <c r="F55" s="35"/>
    </row>
    <row r="56" spans="1:6">
      <c r="A56" s="33"/>
      <c r="B56" s="33"/>
      <c r="C56" s="33"/>
      <c r="D56" s="33"/>
      <c r="E56" s="33"/>
      <c r="F56" s="35"/>
    </row>
    <row r="57" spans="1:6">
      <c r="A57" s="33"/>
      <c r="B57" s="33"/>
      <c r="C57" s="33"/>
      <c r="D57" s="33"/>
      <c r="E57" s="33"/>
      <c r="F57" s="35"/>
    </row>
    <row r="58" spans="1:6">
      <c r="A58" s="33"/>
      <c r="B58" s="33"/>
      <c r="C58" s="33"/>
      <c r="D58" s="33"/>
      <c r="E58" s="33"/>
      <c r="F58" s="35"/>
    </row>
  </sheetData>
  <pageMargins left="0.69930555555555596" right="0.69930555555555596" top="0.5" bottom="0.75" header="0.3" footer="0.3"/>
  <pageSetup paperSize="9" scale="90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4"/>
  <sheetViews>
    <sheetView workbookViewId="0">
      <selection activeCell="F16" sqref="F16"/>
    </sheetView>
  </sheetViews>
  <sheetFormatPr baseColWidth="10" defaultColWidth="9" defaultRowHeight="14" x14ac:dyDescent="0"/>
  <cols>
    <col min="1" max="1" width="13.1640625" customWidth="1"/>
    <col min="2" max="2" width="47.5" customWidth="1"/>
    <col min="6" max="6" width="30.6640625" customWidth="1"/>
  </cols>
  <sheetData>
    <row r="2" spans="1:6" ht="15">
      <c r="A2" s="215" t="s">
        <v>157</v>
      </c>
      <c r="B2" s="215"/>
      <c r="C2" s="215"/>
      <c r="D2" s="215"/>
      <c r="E2" s="215"/>
    </row>
    <row r="3" spans="1:6" ht="15">
      <c r="A3" s="209"/>
      <c r="B3" s="216"/>
      <c r="C3" s="209"/>
      <c r="D3" s="209"/>
      <c r="E3" s="209"/>
    </row>
    <row r="4" spans="1:6">
      <c r="A4" s="52" t="s">
        <v>1</v>
      </c>
      <c r="B4" s="52" t="s">
        <v>429</v>
      </c>
      <c r="C4" s="52" t="s">
        <v>3</v>
      </c>
      <c r="D4" s="52" t="s">
        <v>4</v>
      </c>
      <c r="E4" s="52" t="s">
        <v>5</v>
      </c>
      <c r="F4" s="25" t="s">
        <v>6</v>
      </c>
    </row>
    <row r="5" spans="1:6">
      <c r="A5" s="9"/>
      <c r="B5" s="299" t="s">
        <v>418</v>
      </c>
      <c r="C5" s="9"/>
      <c r="D5" s="9"/>
      <c r="E5" s="9">
        <v>266</v>
      </c>
      <c r="F5" s="9"/>
    </row>
    <row r="6" spans="1:6" ht="15">
      <c r="A6" s="33" t="s">
        <v>511</v>
      </c>
      <c r="B6" s="33" t="s">
        <v>468</v>
      </c>
      <c r="C6" s="33">
        <v>22</v>
      </c>
      <c r="D6" s="9"/>
      <c r="E6" s="9">
        <f t="shared" ref="E6:E15" si="0">E5+C6-D6</f>
        <v>288</v>
      </c>
      <c r="F6" s="9"/>
    </row>
    <row r="7" spans="1:6" ht="15">
      <c r="A7" s="36" t="s">
        <v>557</v>
      </c>
      <c r="B7" s="36" t="s">
        <v>560</v>
      </c>
      <c r="C7" s="9"/>
      <c r="D7" s="9">
        <v>202</v>
      </c>
      <c r="E7" s="9">
        <f t="shared" si="0"/>
        <v>86</v>
      </c>
      <c r="F7" s="365"/>
    </row>
    <row r="8" spans="1:6" ht="15">
      <c r="A8" s="37">
        <v>43102</v>
      </c>
      <c r="B8" s="33" t="s">
        <v>601</v>
      </c>
      <c r="C8" s="9">
        <v>11</v>
      </c>
      <c r="D8" s="9"/>
      <c r="E8" s="9">
        <f t="shared" si="0"/>
        <v>97</v>
      </c>
      <c r="F8" s="9"/>
    </row>
    <row r="9" spans="1:6">
      <c r="A9" s="403">
        <v>43222</v>
      </c>
      <c r="B9" s="404" t="s">
        <v>607</v>
      </c>
      <c r="C9" s="9">
        <v>80</v>
      </c>
      <c r="D9" s="9"/>
      <c r="E9" s="9">
        <f t="shared" si="0"/>
        <v>177</v>
      </c>
      <c r="F9" s="401"/>
    </row>
    <row r="10" spans="1:6">
      <c r="A10" s="21">
        <v>43283</v>
      </c>
      <c r="B10" s="411" t="s">
        <v>614</v>
      </c>
      <c r="C10" s="9">
        <v>12</v>
      </c>
      <c r="D10" s="9"/>
      <c r="E10" s="9">
        <f t="shared" si="0"/>
        <v>189</v>
      </c>
      <c r="F10" s="411"/>
    </row>
    <row r="11" spans="1:6" ht="15">
      <c r="A11" s="161">
        <v>43375</v>
      </c>
      <c r="B11" s="36" t="s">
        <v>469</v>
      </c>
      <c r="C11" s="9">
        <v>23</v>
      </c>
      <c r="D11" s="9"/>
      <c r="E11" s="9">
        <f t="shared" si="0"/>
        <v>212</v>
      </c>
      <c r="F11" s="422" t="s">
        <v>46</v>
      </c>
    </row>
    <row r="12" spans="1:6">
      <c r="A12" s="42">
        <v>43254</v>
      </c>
      <c r="B12" s="492" t="s">
        <v>716</v>
      </c>
      <c r="C12" s="9"/>
      <c r="D12" s="9">
        <v>15</v>
      </c>
      <c r="E12" s="9">
        <f t="shared" si="0"/>
        <v>197</v>
      </c>
      <c r="F12" s="492" t="s">
        <v>46</v>
      </c>
    </row>
    <row r="13" spans="1:6" ht="15">
      <c r="A13" s="33" t="s">
        <v>793</v>
      </c>
      <c r="B13" s="33" t="s">
        <v>560</v>
      </c>
      <c r="C13" s="9"/>
      <c r="D13" s="9">
        <v>90</v>
      </c>
      <c r="E13" s="9">
        <f t="shared" si="0"/>
        <v>107</v>
      </c>
      <c r="F13" s="570" t="s">
        <v>46</v>
      </c>
    </row>
    <row r="14" spans="1:6" ht="15">
      <c r="A14" s="115">
        <v>43439</v>
      </c>
      <c r="B14" s="68" t="s">
        <v>9</v>
      </c>
      <c r="C14" s="9">
        <v>30</v>
      </c>
      <c r="D14" s="9"/>
      <c r="E14" s="9">
        <f t="shared" si="0"/>
        <v>137</v>
      </c>
      <c r="F14" s="136" t="s">
        <v>853</v>
      </c>
    </row>
    <row r="15" spans="1:6" ht="15">
      <c r="A15" s="68" t="s">
        <v>733</v>
      </c>
      <c r="B15" s="68" t="s">
        <v>867</v>
      </c>
      <c r="C15" s="9"/>
      <c r="D15" s="9">
        <v>30</v>
      </c>
      <c r="E15" s="9">
        <f t="shared" si="0"/>
        <v>107</v>
      </c>
      <c r="F15" s="656" t="s">
        <v>46</v>
      </c>
    </row>
    <row r="16" spans="1:6">
      <c r="A16" s="9"/>
      <c r="B16" s="9"/>
      <c r="C16" s="9"/>
      <c r="D16" s="9"/>
      <c r="E16" s="9"/>
      <c r="F16" s="9"/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>
      <c r="A19" s="9"/>
      <c r="B19" s="9"/>
      <c r="C19" s="9"/>
      <c r="D19" s="9"/>
      <c r="E19" s="9"/>
      <c r="F19" s="9"/>
    </row>
    <row r="20" spans="1:6">
      <c r="A20" s="9"/>
      <c r="B20" s="9"/>
      <c r="C20" s="9"/>
      <c r="D20" s="9"/>
      <c r="E20" s="9"/>
      <c r="F20" s="9"/>
    </row>
    <row r="21" spans="1:6">
      <c r="A21" s="9"/>
      <c r="B21" s="9"/>
      <c r="C21" s="9"/>
      <c r="D21" s="9"/>
      <c r="E21" s="9"/>
      <c r="F21" s="9"/>
    </row>
    <row r="22" spans="1:6">
      <c r="A22" s="9"/>
      <c r="B22" s="9"/>
      <c r="C22" s="9"/>
      <c r="D22" s="9"/>
      <c r="E22" s="9"/>
      <c r="F22" s="9"/>
    </row>
    <row r="23" spans="1:6">
      <c r="A23" s="9"/>
      <c r="B23" s="9"/>
      <c r="C23" s="9"/>
      <c r="D23" s="9"/>
      <c r="E23" s="9"/>
      <c r="F23" s="9"/>
    </row>
    <row r="24" spans="1:6">
      <c r="A24" s="9"/>
      <c r="B24" s="9"/>
      <c r="C24" s="9"/>
      <c r="D24" s="9"/>
      <c r="E24" s="9"/>
      <c r="F24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4"/>
  <sheetViews>
    <sheetView workbookViewId="0">
      <selection activeCell="G28" sqref="G28"/>
    </sheetView>
  </sheetViews>
  <sheetFormatPr baseColWidth="10" defaultColWidth="9" defaultRowHeight="15" x14ac:dyDescent="0"/>
  <cols>
    <col min="1" max="1" width="13.5" style="31" customWidth="1"/>
    <col min="2" max="2" width="31.5" style="31" customWidth="1"/>
    <col min="3" max="3" width="10" style="31" customWidth="1"/>
    <col min="4" max="5" width="9.33203125" style="31" customWidth="1"/>
    <col min="6" max="6" width="13.5" customWidth="1"/>
  </cols>
  <sheetData>
    <row r="2" spans="1:6">
      <c r="A2" s="143" t="s">
        <v>176</v>
      </c>
      <c r="B2" s="143"/>
    </row>
    <row r="4" spans="1:6" ht="14">
      <c r="A4" s="262" t="s">
        <v>1</v>
      </c>
      <c r="B4" s="262" t="s">
        <v>429</v>
      </c>
      <c r="C4" s="262" t="s">
        <v>3</v>
      </c>
      <c r="D4" s="262" t="s">
        <v>4</v>
      </c>
      <c r="E4" s="262" t="s">
        <v>5</v>
      </c>
      <c r="F4" s="25" t="s">
        <v>6</v>
      </c>
    </row>
    <row r="5" spans="1:6">
      <c r="A5" s="33"/>
      <c r="B5" s="33" t="s">
        <v>418</v>
      </c>
      <c r="C5" s="33"/>
      <c r="D5" s="33"/>
      <c r="E5" s="33">
        <v>182</v>
      </c>
      <c r="F5" s="9"/>
    </row>
    <row r="6" spans="1:6">
      <c r="A6" s="161">
        <v>43375</v>
      </c>
      <c r="B6" s="36" t="s">
        <v>469</v>
      </c>
      <c r="C6" s="33">
        <v>14</v>
      </c>
      <c r="D6" s="33"/>
      <c r="E6" s="33">
        <f>E5+C6-D6</f>
        <v>196</v>
      </c>
      <c r="F6" s="9"/>
    </row>
    <row r="7" spans="1:6">
      <c r="A7" s="68" t="s">
        <v>811</v>
      </c>
      <c r="B7" s="68" t="s">
        <v>548</v>
      </c>
      <c r="C7" s="33"/>
      <c r="D7" s="33">
        <v>198</v>
      </c>
      <c r="E7" s="33">
        <v>0</v>
      </c>
      <c r="F7" s="9"/>
    </row>
    <row r="8" spans="1:6">
      <c r="A8" s="33"/>
      <c r="B8" s="33"/>
      <c r="C8" s="33"/>
      <c r="D8" s="33"/>
      <c r="E8" s="33"/>
      <c r="F8" s="9"/>
    </row>
    <row r="9" spans="1:6">
      <c r="A9" s="33"/>
      <c r="B9" s="33"/>
      <c r="C9" s="33"/>
      <c r="D9" s="33"/>
      <c r="E9" s="33"/>
      <c r="F9" s="9"/>
    </row>
    <row r="10" spans="1:6">
      <c r="A10" s="33"/>
      <c r="B10" s="33"/>
      <c r="C10" s="33"/>
      <c r="D10" s="33"/>
      <c r="E10" s="33"/>
      <c r="F10" s="9"/>
    </row>
    <row r="11" spans="1:6">
      <c r="A11" s="33"/>
      <c r="B11" s="33"/>
      <c r="C11" s="33"/>
      <c r="D11" s="33"/>
      <c r="E11" s="33"/>
      <c r="F11" s="9"/>
    </row>
    <row r="12" spans="1:6">
      <c r="A12" s="33"/>
      <c r="B12" s="33"/>
      <c r="C12" s="33"/>
      <c r="D12" s="33"/>
      <c r="E12" s="33"/>
      <c r="F12" s="9"/>
    </row>
    <row r="13" spans="1:6">
      <c r="A13" s="33"/>
      <c r="B13" s="33"/>
      <c r="C13" s="33"/>
      <c r="D13" s="33"/>
      <c r="E13" s="33"/>
      <c r="F13" s="9"/>
    </row>
    <row r="14" spans="1:6">
      <c r="A14" s="33"/>
      <c r="B14" s="33"/>
      <c r="C14" s="33"/>
      <c r="D14" s="33"/>
      <c r="E14" s="33"/>
      <c r="F14" s="9"/>
    </row>
  </sheetData>
  <pageMargins left="0.69930555555555596" right="0.69930555555555596" top="0.75" bottom="0.75" header="0.3" footer="0.3"/>
  <pageSetup paperSize="9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3"/>
  <sheetViews>
    <sheetView workbookViewId="0">
      <selection activeCell="F5" sqref="F5:F13"/>
    </sheetView>
  </sheetViews>
  <sheetFormatPr baseColWidth="10" defaultColWidth="9" defaultRowHeight="15" x14ac:dyDescent="0"/>
  <cols>
    <col min="1" max="1" width="11.33203125" style="31" customWidth="1"/>
    <col min="2" max="2" width="25.5" style="31" customWidth="1"/>
    <col min="3" max="5" width="9" style="31"/>
    <col min="6" max="6" width="16" style="153" customWidth="1"/>
  </cols>
  <sheetData>
    <row r="2" spans="1:6">
      <c r="A2" s="143" t="s">
        <v>159</v>
      </c>
      <c r="B2" s="143"/>
    </row>
    <row r="4" spans="1:6" ht="14">
      <c r="A4" s="52" t="s">
        <v>1</v>
      </c>
      <c r="B4" s="52" t="s">
        <v>429</v>
      </c>
      <c r="C4" s="52" t="s">
        <v>3</v>
      </c>
      <c r="D4" s="52" t="s">
        <v>4</v>
      </c>
      <c r="E4" s="52" t="s">
        <v>5</v>
      </c>
      <c r="F4" s="25" t="s">
        <v>6</v>
      </c>
    </row>
    <row r="5" spans="1:6">
      <c r="A5" s="33"/>
      <c r="B5" s="33" t="s">
        <v>418</v>
      </c>
      <c r="C5" s="33"/>
      <c r="D5" s="33"/>
      <c r="E5" s="33">
        <v>348</v>
      </c>
      <c r="F5" s="35"/>
    </row>
    <row r="6" spans="1:6">
      <c r="A6" s="33"/>
      <c r="B6" s="33"/>
      <c r="C6" s="33"/>
      <c r="D6" s="33"/>
      <c r="E6" s="33"/>
      <c r="F6" s="35"/>
    </row>
    <row r="7" spans="1:6">
      <c r="A7" s="33"/>
      <c r="B7" s="33"/>
      <c r="C7" s="33"/>
      <c r="D7" s="33"/>
      <c r="E7" s="33"/>
      <c r="F7" s="35"/>
    </row>
    <row r="8" spans="1:6">
      <c r="A8" s="33"/>
      <c r="B8" s="33"/>
      <c r="C8" s="33"/>
      <c r="D8" s="33"/>
      <c r="E8" s="33"/>
      <c r="F8" s="35"/>
    </row>
    <row r="9" spans="1:6">
      <c r="A9" s="33"/>
      <c r="B9" s="33"/>
      <c r="C9" s="33"/>
      <c r="D9" s="33"/>
      <c r="E9" s="33"/>
      <c r="F9" s="35"/>
    </row>
    <row r="10" spans="1:6">
      <c r="A10" s="33"/>
      <c r="B10" s="33"/>
      <c r="C10" s="33"/>
      <c r="D10" s="33"/>
      <c r="E10" s="33"/>
      <c r="F10" s="35"/>
    </row>
    <row r="11" spans="1:6">
      <c r="A11" s="33"/>
      <c r="B11" s="33"/>
      <c r="C11" s="33"/>
      <c r="D11" s="33"/>
      <c r="E11" s="33"/>
      <c r="F11" s="35"/>
    </row>
    <row r="12" spans="1:6">
      <c r="A12" s="33"/>
      <c r="B12" s="33"/>
      <c r="C12" s="33"/>
      <c r="D12" s="33"/>
      <c r="E12" s="33"/>
      <c r="F12" s="35"/>
    </row>
    <row r="13" spans="1:6">
      <c r="A13" s="33"/>
      <c r="B13" s="33"/>
      <c r="C13" s="33"/>
      <c r="D13" s="33"/>
      <c r="E13" s="33"/>
      <c r="F13" s="35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3"/>
  <sheetViews>
    <sheetView workbookViewId="0">
      <selection activeCell="H16" sqref="H16"/>
    </sheetView>
  </sheetViews>
  <sheetFormatPr baseColWidth="10" defaultColWidth="9" defaultRowHeight="14" x14ac:dyDescent="0"/>
  <cols>
    <col min="1" max="1" width="13.1640625" customWidth="1"/>
    <col min="2" max="2" width="40.83203125" customWidth="1"/>
    <col min="6" max="6" width="13.33203125" customWidth="1"/>
  </cols>
  <sheetData>
    <row r="2" spans="1:6" ht="15">
      <c r="A2" s="215" t="s">
        <v>162</v>
      </c>
      <c r="B2" s="215"/>
      <c r="C2" s="215"/>
      <c r="D2" s="215"/>
      <c r="E2" s="215"/>
    </row>
    <row r="3" spans="1:6" ht="15">
      <c r="A3" s="209"/>
      <c r="B3" s="216"/>
      <c r="C3" s="209"/>
      <c r="D3" s="209"/>
      <c r="E3" s="209"/>
    </row>
    <row r="4" spans="1:6">
      <c r="A4" s="52" t="s">
        <v>1</v>
      </c>
      <c r="B4" s="52" t="s">
        <v>429</v>
      </c>
      <c r="C4" s="52" t="s">
        <v>3</v>
      </c>
      <c r="D4" s="52" t="s">
        <v>4</v>
      </c>
      <c r="E4" s="52" t="s">
        <v>5</v>
      </c>
      <c r="F4" s="25" t="s">
        <v>6</v>
      </c>
    </row>
    <row r="5" spans="1:6">
      <c r="A5" s="9"/>
      <c r="B5" s="310" t="s">
        <v>418</v>
      </c>
      <c r="C5" s="9"/>
      <c r="D5" s="9"/>
      <c r="E5" s="9">
        <v>462</v>
      </c>
      <c r="F5" s="9"/>
    </row>
    <row r="6" spans="1:6">
      <c r="A6" s="9"/>
      <c r="B6" s="9"/>
      <c r="C6" s="9"/>
      <c r="D6" s="9"/>
      <c r="E6" s="9"/>
      <c r="F6" s="9"/>
    </row>
    <row r="7" spans="1:6">
      <c r="A7" s="9"/>
      <c r="B7" s="9"/>
      <c r="C7" s="9"/>
      <c r="D7" s="9"/>
      <c r="E7" s="9"/>
      <c r="F7" s="9"/>
    </row>
    <row r="8" spans="1:6">
      <c r="A8" s="9"/>
      <c r="B8" s="9"/>
      <c r="C8" s="9"/>
      <c r="D8" s="9"/>
      <c r="E8" s="9"/>
      <c r="F8" s="9"/>
    </row>
    <row r="9" spans="1:6">
      <c r="A9" s="9"/>
      <c r="B9" s="9"/>
      <c r="C9" s="9"/>
      <c r="D9" s="9"/>
      <c r="E9" s="9"/>
      <c r="F9" s="9"/>
    </row>
    <row r="10" spans="1:6">
      <c r="A10" s="9"/>
      <c r="B10" s="9"/>
      <c r="C10" s="9"/>
      <c r="D10" s="9"/>
      <c r="E10" s="9"/>
      <c r="F10" s="9"/>
    </row>
    <row r="11" spans="1:6">
      <c r="A11" s="9"/>
      <c r="B11" s="9"/>
      <c r="C11" s="9"/>
      <c r="D11" s="9"/>
      <c r="E11" s="9"/>
      <c r="F11" s="9"/>
    </row>
    <row r="12" spans="1:6">
      <c r="A12" s="9"/>
      <c r="B12" s="9"/>
      <c r="C12" s="9"/>
      <c r="D12" s="9"/>
      <c r="E12" s="9"/>
      <c r="F12" s="9"/>
    </row>
    <row r="13" spans="1:6">
      <c r="A13" s="9"/>
      <c r="B13" s="9"/>
      <c r="C13" s="9"/>
      <c r="D13" s="9"/>
      <c r="E13" s="9"/>
      <c r="F13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1"/>
  <sheetViews>
    <sheetView workbookViewId="0">
      <selection activeCell="A4" sqref="A4:F4"/>
    </sheetView>
  </sheetViews>
  <sheetFormatPr baseColWidth="10" defaultColWidth="9" defaultRowHeight="15" x14ac:dyDescent="0"/>
  <cols>
    <col min="1" max="1" width="12" style="31" customWidth="1"/>
    <col min="2" max="2" width="30.6640625" style="31" customWidth="1"/>
    <col min="3" max="5" width="9.33203125" style="31" customWidth="1"/>
    <col min="6" max="6" width="13.1640625" bestFit="1" customWidth="1"/>
  </cols>
  <sheetData>
    <row r="2" spans="1:6">
      <c r="A2" s="31" t="s">
        <v>164</v>
      </c>
    </row>
    <row r="4" spans="1:6" ht="14">
      <c r="A4" s="52" t="s">
        <v>1</v>
      </c>
      <c r="B4" s="52" t="s">
        <v>429</v>
      </c>
      <c r="C4" s="52" t="s">
        <v>3</v>
      </c>
      <c r="D4" s="52" t="s">
        <v>4</v>
      </c>
      <c r="E4" s="52" t="s">
        <v>5</v>
      </c>
      <c r="F4" s="25" t="s">
        <v>6</v>
      </c>
    </row>
    <row r="5" spans="1:6">
      <c r="A5" s="33"/>
      <c r="B5" s="33" t="s">
        <v>418</v>
      </c>
      <c r="C5" s="33"/>
      <c r="D5" s="33"/>
      <c r="E5" s="33">
        <v>87</v>
      </c>
      <c r="F5" s="9"/>
    </row>
    <row r="6" spans="1:6">
      <c r="A6" s="33"/>
      <c r="B6" s="33"/>
      <c r="C6" s="33"/>
      <c r="D6" s="33"/>
      <c r="E6" s="33"/>
      <c r="F6" s="9"/>
    </row>
    <row r="7" spans="1:6">
      <c r="A7" s="33"/>
      <c r="B7" s="33"/>
      <c r="C7" s="33"/>
      <c r="D7" s="33"/>
      <c r="E7" s="33"/>
      <c r="F7" s="9"/>
    </row>
    <row r="8" spans="1:6">
      <c r="A8" s="33"/>
      <c r="B8" s="33"/>
      <c r="C8" s="33"/>
      <c r="D8" s="33"/>
      <c r="E8" s="33"/>
      <c r="F8" s="9"/>
    </row>
    <row r="9" spans="1:6">
      <c r="A9" s="33"/>
      <c r="B9" s="33"/>
      <c r="C9" s="33"/>
      <c r="D9" s="33"/>
      <c r="E9" s="33"/>
      <c r="F9" s="9"/>
    </row>
    <row r="10" spans="1:6">
      <c r="A10" s="33"/>
      <c r="B10" s="33"/>
      <c r="C10" s="33"/>
      <c r="D10" s="33"/>
      <c r="E10" s="33"/>
      <c r="F10" s="9"/>
    </row>
    <row r="11" spans="1:6">
      <c r="A11" s="33"/>
      <c r="B11" s="33"/>
      <c r="C11" s="33"/>
      <c r="D11" s="33"/>
      <c r="E11" s="33"/>
      <c r="F11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2"/>
  <sheetViews>
    <sheetView workbookViewId="0">
      <selection activeCell="A4" sqref="A4:F4"/>
    </sheetView>
  </sheetViews>
  <sheetFormatPr baseColWidth="10" defaultColWidth="9" defaultRowHeight="15" x14ac:dyDescent="0"/>
  <cols>
    <col min="1" max="1" width="12" style="31" customWidth="1"/>
    <col min="2" max="2" width="32.6640625" style="31" customWidth="1"/>
    <col min="3" max="5" width="9.33203125" style="31" customWidth="1"/>
    <col min="6" max="6" width="13.6640625" style="31" customWidth="1"/>
  </cols>
  <sheetData>
    <row r="2" spans="1:6">
      <c r="A2" s="143" t="s">
        <v>165</v>
      </c>
      <c r="B2" s="143"/>
    </row>
    <row r="4" spans="1:6" ht="14">
      <c r="A4" s="52" t="s">
        <v>1</v>
      </c>
      <c r="B4" s="52" t="s">
        <v>429</v>
      </c>
      <c r="C4" s="52" t="s">
        <v>3</v>
      </c>
      <c r="D4" s="52" t="s">
        <v>4</v>
      </c>
      <c r="E4" s="52" t="s">
        <v>5</v>
      </c>
      <c r="F4" s="25" t="s">
        <v>6</v>
      </c>
    </row>
    <row r="5" spans="1:6">
      <c r="A5" s="33"/>
      <c r="B5" s="33" t="s">
        <v>408</v>
      </c>
      <c r="C5" s="33"/>
      <c r="D5" s="33"/>
      <c r="E5" s="33">
        <v>53</v>
      </c>
      <c r="F5" s="33"/>
    </row>
    <row r="6" spans="1:6">
      <c r="A6" s="33"/>
      <c r="B6" s="33"/>
      <c r="C6" s="33"/>
      <c r="D6" s="33"/>
      <c r="E6" s="33"/>
      <c r="F6" s="33"/>
    </row>
    <row r="7" spans="1:6">
      <c r="A7" s="33"/>
      <c r="B7" s="33"/>
      <c r="C7" s="33"/>
      <c r="D7" s="33"/>
      <c r="E7" s="33"/>
      <c r="F7" s="33"/>
    </row>
    <row r="8" spans="1:6">
      <c r="A8" s="33"/>
      <c r="B8" s="33"/>
      <c r="C8" s="33"/>
      <c r="D8" s="33"/>
      <c r="E8" s="33"/>
      <c r="F8" s="33"/>
    </row>
    <row r="9" spans="1:6">
      <c r="A9" s="33"/>
      <c r="B9" s="33"/>
      <c r="C9" s="33"/>
      <c r="D9" s="33"/>
      <c r="E9" s="33"/>
      <c r="F9" s="33"/>
    </row>
    <row r="10" spans="1:6">
      <c r="A10" s="33"/>
      <c r="B10" s="33"/>
      <c r="C10" s="33"/>
      <c r="D10" s="33"/>
      <c r="E10" s="33"/>
      <c r="F10" s="33"/>
    </row>
    <row r="11" spans="1:6">
      <c r="A11" s="33"/>
      <c r="B11" s="33"/>
      <c r="C11" s="33"/>
      <c r="D11" s="33"/>
      <c r="E11" s="33"/>
      <c r="F11" s="33"/>
    </row>
    <row r="12" spans="1:6">
      <c r="A12" s="33"/>
      <c r="B12" s="33"/>
      <c r="C12" s="33"/>
      <c r="D12" s="33"/>
      <c r="E12" s="33"/>
      <c r="F12" s="33"/>
    </row>
  </sheetData>
  <pageMargins left="0.69930555555555596" right="0.69930555555555596" top="0.75" bottom="0.75" header="0.3" footer="0.3"/>
  <pageSetup paperSize="9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7"/>
  <sheetViews>
    <sheetView workbookViewId="0">
      <selection activeCell="A4" sqref="A4:F4"/>
    </sheetView>
  </sheetViews>
  <sheetFormatPr baseColWidth="10" defaultColWidth="9" defaultRowHeight="15" x14ac:dyDescent="0"/>
  <cols>
    <col min="1" max="1" width="11.33203125" style="40" customWidth="1"/>
    <col min="2" max="2" width="25.5" style="40" customWidth="1"/>
    <col min="3" max="5" width="9" style="40"/>
    <col min="6" max="6" width="14" customWidth="1"/>
  </cols>
  <sheetData>
    <row r="2" spans="1:6">
      <c r="A2" s="146" t="s">
        <v>166</v>
      </c>
      <c r="B2" s="146"/>
    </row>
    <row r="4" spans="1:6" ht="14">
      <c r="A4" s="262" t="s">
        <v>1</v>
      </c>
      <c r="B4" s="262" t="s">
        <v>429</v>
      </c>
      <c r="C4" s="262" t="s">
        <v>3</v>
      </c>
      <c r="D4" s="262" t="s">
        <v>4</v>
      </c>
      <c r="E4" s="262" t="s">
        <v>5</v>
      </c>
      <c r="F4" s="25" t="s">
        <v>6</v>
      </c>
    </row>
    <row r="5" spans="1:6">
      <c r="A5" s="311"/>
      <c r="B5" s="40" t="s">
        <v>408</v>
      </c>
      <c r="C5" s="311"/>
      <c r="D5" s="311"/>
      <c r="E5" s="311">
        <v>11</v>
      </c>
      <c r="F5" s="98"/>
    </row>
    <row r="6" spans="1:6">
      <c r="A6" s="56"/>
      <c r="B6" s="56"/>
      <c r="C6" s="56"/>
      <c r="D6" s="56"/>
      <c r="E6" s="56"/>
      <c r="F6" s="9"/>
    </row>
    <row r="7" spans="1:6">
      <c r="A7" s="56"/>
      <c r="B7" s="56"/>
      <c r="C7" s="56"/>
      <c r="D7" s="56"/>
      <c r="E7" s="56"/>
      <c r="F7" s="9"/>
    </row>
    <row r="8" spans="1:6">
      <c r="A8" s="56"/>
      <c r="B8" s="56"/>
      <c r="C8" s="56"/>
      <c r="D8" s="56"/>
      <c r="E8" s="56"/>
      <c r="F8" s="9"/>
    </row>
    <row r="9" spans="1:6">
      <c r="A9" s="56"/>
      <c r="B9" s="56"/>
      <c r="C9" s="56"/>
      <c r="D9" s="56"/>
      <c r="E9" s="56"/>
      <c r="F9" s="9"/>
    </row>
    <row r="10" spans="1:6">
      <c r="A10" s="56"/>
      <c r="B10" s="56"/>
      <c r="C10" s="56"/>
      <c r="D10" s="56"/>
      <c r="E10" s="56"/>
      <c r="F10" s="9"/>
    </row>
    <row r="11" spans="1:6">
      <c r="A11" s="56"/>
      <c r="B11" s="56"/>
      <c r="C11" s="56"/>
      <c r="D11" s="56"/>
      <c r="E11" s="56"/>
      <c r="F11" s="9"/>
    </row>
    <row r="12" spans="1:6">
      <c r="A12" s="56"/>
      <c r="B12" s="56"/>
      <c r="C12" s="56"/>
      <c r="D12" s="56"/>
      <c r="E12" s="56"/>
      <c r="F12" s="9"/>
    </row>
    <row r="13" spans="1:6">
      <c r="A13" s="56"/>
      <c r="B13" s="56"/>
      <c r="C13" s="56"/>
      <c r="D13" s="56"/>
      <c r="E13" s="56"/>
      <c r="F13" s="9"/>
    </row>
    <row r="14" spans="1:6">
      <c r="A14" s="56"/>
      <c r="B14" s="56"/>
      <c r="C14" s="56"/>
      <c r="D14" s="56"/>
      <c r="E14" s="56"/>
      <c r="F14" s="9"/>
    </row>
    <row r="15" spans="1:6">
      <c r="A15" s="56"/>
      <c r="B15" s="56"/>
      <c r="C15" s="56"/>
      <c r="D15" s="56"/>
      <c r="E15" s="56"/>
      <c r="F15" s="9"/>
    </row>
    <row r="16" spans="1:6">
      <c r="A16" s="56"/>
      <c r="B16" s="56"/>
      <c r="C16" s="56"/>
      <c r="D16" s="56"/>
      <c r="E16" s="56"/>
      <c r="F16" s="9"/>
    </row>
    <row r="17" spans="1:6">
      <c r="A17" s="56"/>
      <c r="B17" s="56"/>
      <c r="C17" s="56"/>
      <c r="D17" s="56"/>
      <c r="E17" s="56"/>
      <c r="F17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60"/>
  <sheetViews>
    <sheetView workbookViewId="0">
      <selection activeCell="E6" sqref="E6"/>
    </sheetView>
  </sheetViews>
  <sheetFormatPr baseColWidth="10" defaultColWidth="9" defaultRowHeight="15" x14ac:dyDescent="0"/>
  <cols>
    <col min="1" max="1" width="12" style="31" customWidth="1"/>
    <col min="2" max="2" width="27.83203125" style="31" customWidth="1"/>
    <col min="3" max="5" width="9.33203125" style="31" customWidth="1"/>
    <col min="6" max="6" width="13.5" customWidth="1"/>
  </cols>
  <sheetData>
    <row r="2" spans="1:6">
      <c r="A2" s="143" t="s">
        <v>167</v>
      </c>
      <c r="B2" s="143"/>
    </row>
    <row r="4" spans="1:6" ht="14">
      <c r="A4" s="262" t="s">
        <v>1</v>
      </c>
      <c r="B4" s="262" t="s">
        <v>429</v>
      </c>
      <c r="C4" s="262" t="s">
        <v>3</v>
      </c>
      <c r="D4" s="262" t="s">
        <v>4</v>
      </c>
      <c r="E4" s="262" t="s">
        <v>5</v>
      </c>
      <c r="F4" s="25" t="s">
        <v>6</v>
      </c>
    </row>
    <row r="5" spans="1:6">
      <c r="A5" s="33"/>
      <c r="B5" s="33" t="s">
        <v>408</v>
      </c>
      <c r="C5" s="33"/>
      <c r="D5" s="33"/>
      <c r="E5" s="33">
        <v>2437</v>
      </c>
      <c r="F5" s="9"/>
    </row>
    <row r="6" spans="1:6">
      <c r="A6" s="33"/>
      <c r="B6" s="33"/>
      <c r="C6" s="33"/>
      <c r="D6" s="33"/>
      <c r="E6" s="33"/>
      <c r="F6" s="9"/>
    </row>
    <row r="7" spans="1:6">
      <c r="A7" s="33"/>
      <c r="B7" s="33"/>
      <c r="C7" s="33"/>
      <c r="D7" s="33"/>
      <c r="E7" s="33"/>
      <c r="F7" s="9"/>
    </row>
    <row r="8" spans="1:6">
      <c r="A8" s="33"/>
      <c r="B8" s="33"/>
      <c r="C8" s="33"/>
      <c r="D8" s="33"/>
      <c r="E8" s="33"/>
      <c r="F8" s="9"/>
    </row>
    <row r="9" spans="1:6">
      <c r="A9" s="33"/>
      <c r="B9" s="33"/>
      <c r="C9" s="33"/>
      <c r="D9" s="33"/>
      <c r="E9" s="33"/>
      <c r="F9" s="9"/>
    </row>
    <row r="10" spans="1:6">
      <c r="A10" s="33"/>
      <c r="B10" s="33"/>
      <c r="C10" s="33"/>
      <c r="D10" s="33"/>
      <c r="E10" s="33"/>
      <c r="F10" s="9"/>
    </row>
    <row r="11" spans="1:6">
      <c r="A11" s="33"/>
      <c r="B11" s="33"/>
      <c r="C11" s="33"/>
      <c r="D11" s="33"/>
      <c r="E11" s="33"/>
      <c r="F11" s="9"/>
    </row>
    <row r="12" spans="1:6">
      <c r="A12" s="33"/>
      <c r="B12" s="33"/>
      <c r="C12" s="33"/>
      <c r="D12" s="33"/>
      <c r="E12" s="33"/>
      <c r="F12" s="9"/>
    </row>
    <row r="13" spans="1:6">
      <c r="A13" s="33"/>
      <c r="B13" s="33"/>
      <c r="C13" s="33"/>
      <c r="D13" s="33"/>
      <c r="E13" s="33"/>
      <c r="F13" s="9"/>
    </row>
    <row r="14" spans="1:6">
      <c r="A14" s="33"/>
      <c r="B14" s="33"/>
      <c r="C14" s="33"/>
      <c r="D14" s="33"/>
      <c r="E14" s="33"/>
      <c r="F14" s="9"/>
    </row>
    <row r="15" spans="1:6">
      <c r="A15" s="33"/>
      <c r="B15" s="33"/>
      <c r="C15" s="33"/>
      <c r="D15" s="33"/>
      <c r="E15" s="33"/>
      <c r="F15" s="9"/>
    </row>
    <row r="16" spans="1:6">
      <c r="A16" s="33"/>
      <c r="B16" s="33"/>
      <c r="C16" s="33"/>
      <c r="D16" s="33"/>
      <c r="E16" s="33"/>
      <c r="F16" s="9"/>
    </row>
    <row r="17" spans="1:6">
      <c r="A17" s="33"/>
      <c r="B17" s="33"/>
      <c r="C17" s="33"/>
      <c r="D17" s="33"/>
      <c r="E17" s="33"/>
      <c r="F17" s="9"/>
    </row>
    <row r="18" spans="1:6">
      <c r="A18" s="33"/>
      <c r="B18" s="33"/>
      <c r="C18" s="33"/>
      <c r="D18" s="33"/>
      <c r="E18" s="33"/>
      <c r="F18" s="9"/>
    </row>
    <row r="19" spans="1:6">
      <c r="A19" s="33"/>
      <c r="B19" s="33"/>
      <c r="C19" s="33"/>
      <c r="D19" s="33"/>
      <c r="E19" s="33"/>
      <c r="F19" s="9"/>
    </row>
    <row r="20" spans="1:6">
      <c r="A20" s="33"/>
      <c r="B20" s="33"/>
      <c r="C20" s="33"/>
      <c r="D20" s="33"/>
      <c r="E20" s="33"/>
      <c r="F20" s="9"/>
    </row>
    <row r="21" spans="1:6">
      <c r="A21" s="33"/>
      <c r="B21" s="33"/>
      <c r="C21" s="33"/>
      <c r="D21" s="33"/>
      <c r="E21" s="33"/>
      <c r="F21" s="9"/>
    </row>
    <row r="22" spans="1:6">
      <c r="A22" s="33"/>
      <c r="B22" s="33"/>
      <c r="C22" s="33"/>
      <c r="D22" s="33"/>
      <c r="E22" s="33"/>
      <c r="F22" s="9"/>
    </row>
    <row r="23" spans="1:6">
      <c r="A23" s="33"/>
      <c r="B23" s="33"/>
      <c r="C23" s="33"/>
      <c r="D23" s="33"/>
      <c r="E23" s="33"/>
      <c r="F23" s="9"/>
    </row>
    <row r="24" spans="1:6">
      <c r="A24" s="33"/>
      <c r="B24" s="33"/>
      <c r="C24" s="33"/>
      <c r="D24" s="33"/>
      <c r="E24" s="33"/>
      <c r="F24" s="9"/>
    </row>
    <row r="25" spans="1:6">
      <c r="A25" s="33"/>
      <c r="B25" s="33"/>
      <c r="C25" s="33"/>
      <c r="D25" s="33"/>
      <c r="E25" s="33"/>
      <c r="F25" s="9"/>
    </row>
    <row r="26" spans="1:6">
      <c r="A26" s="33"/>
      <c r="B26" s="33"/>
      <c r="C26" s="33"/>
      <c r="D26" s="33"/>
      <c r="E26" s="33"/>
      <c r="F26" s="9"/>
    </row>
    <row r="27" spans="1:6">
      <c r="A27" s="33"/>
      <c r="B27" s="33"/>
      <c r="C27" s="33"/>
      <c r="D27" s="33"/>
      <c r="E27" s="33"/>
      <c r="F27" s="9"/>
    </row>
    <row r="28" spans="1:6">
      <c r="A28" s="33"/>
      <c r="B28" s="33"/>
      <c r="C28" s="33"/>
      <c r="D28" s="33"/>
      <c r="E28" s="33"/>
      <c r="F28" s="9"/>
    </row>
    <row r="29" spans="1:6">
      <c r="A29" s="33"/>
      <c r="B29" s="33"/>
      <c r="C29" s="33"/>
      <c r="D29" s="33"/>
      <c r="E29" s="33"/>
      <c r="F29" s="9"/>
    </row>
    <row r="30" spans="1:6">
      <c r="A30" s="33"/>
      <c r="B30" s="33"/>
      <c r="C30" s="33"/>
      <c r="D30" s="33"/>
      <c r="E30" s="33"/>
      <c r="F30" s="9"/>
    </row>
    <row r="31" spans="1:6">
      <c r="A31" s="33"/>
      <c r="B31" s="33"/>
      <c r="C31" s="33"/>
      <c r="D31" s="33"/>
      <c r="E31" s="33"/>
      <c r="F31" s="9"/>
    </row>
    <row r="32" spans="1:6">
      <c r="A32" s="33"/>
      <c r="B32" s="33"/>
      <c r="C32" s="33"/>
      <c r="D32" s="33"/>
      <c r="E32" s="33"/>
      <c r="F32" s="9"/>
    </row>
    <row r="33" spans="1:6">
      <c r="A33" s="33"/>
      <c r="B33" s="33"/>
      <c r="C33" s="33"/>
      <c r="D33" s="33"/>
      <c r="E33" s="33"/>
      <c r="F33" s="9"/>
    </row>
    <row r="34" spans="1:6">
      <c r="A34" s="33"/>
      <c r="B34" s="33"/>
      <c r="C34" s="33"/>
      <c r="D34" s="33"/>
      <c r="E34" s="33"/>
      <c r="F34" s="9"/>
    </row>
    <row r="35" spans="1:6">
      <c r="A35" s="33"/>
      <c r="B35" s="33"/>
      <c r="C35" s="33"/>
      <c r="D35" s="33"/>
      <c r="E35" s="33"/>
      <c r="F35" s="9"/>
    </row>
    <row r="36" spans="1:6">
      <c r="A36" s="33"/>
      <c r="B36" s="33"/>
      <c r="C36" s="33"/>
      <c r="D36" s="33"/>
      <c r="E36" s="33"/>
      <c r="F36" s="9"/>
    </row>
    <row r="37" spans="1:6">
      <c r="A37" s="33"/>
      <c r="B37" s="33"/>
      <c r="C37" s="33"/>
      <c r="D37" s="33"/>
      <c r="E37" s="33"/>
      <c r="F37" s="9"/>
    </row>
    <row r="38" spans="1:6">
      <c r="A38" s="33"/>
      <c r="B38" s="33"/>
      <c r="C38" s="33"/>
      <c r="D38" s="33"/>
      <c r="E38" s="33"/>
      <c r="F38" s="9"/>
    </row>
    <row r="39" spans="1:6">
      <c r="A39" s="33"/>
      <c r="B39" s="33"/>
      <c r="C39" s="33"/>
      <c r="D39" s="33"/>
      <c r="E39" s="33"/>
      <c r="F39" s="9"/>
    </row>
    <row r="40" spans="1:6">
      <c r="A40" s="33"/>
      <c r="B40" s="33"/>
      <c r="C40" s="33"/>
      <c r="D40" s="33"/>
      <c r="E40" s="33"/>
      <c r="F40" s="9"/>
    </row>
    <row r="41" spans="1:6">
      <c r="A41" s="33"/>
      <c r="B41" s="33"/>
      <c r="C41" s="33"/>
      <c r="D41" s="33"/>
      <c r="E41" s="33"/>
      <c r="F41" s="9"/>
    </row>
    <row r="42" spans="1:6">
      <c r="A42" s="33"/>
      <c r="B42" s="33"/>
      <c r="C42" s="33"/>
      <c r="D42" s="33"/>
      <c r="E42" s="33"/>
      <c r="F42" s="9"/>
    </row>
    <row r="43" spans="1:6">
      <c r="A43" s="33"/>
      <c r="B43" s="33"/>
      <c r="C43" s="33"/>
      <c r="D43" s="33"/>
      <c r="E43" s="33"/>
      <c r="F43" s="9"/>
    </row>
    <row r="44" spans="1:6">
      <c r="A44" s="33"/>
      <c r="B44" s="33"/>
      <c r="C44" s="33"/>
      <c r="D44" s="33"/>
      <c r="E44" s="33"/>
      <c r="F44" s="9"/>
    </row>
    <row r="45" spans="1:6">
      <c r="A45" s="33"/>
      <c r="B45" s="33"/>
      <c r="C45" s="33"/>
      <c r="D45" s="33"/>
      <c r="E45" s="33"/>
      <c r="F45" s="9"/>
    </row>
    <row r="46" spans="1:6">
      <c r="A46" s="33"/>
      <c r="B46" s="33"/>
      <c r="C46" s="33"/>
      <c r="D46" s="33"/>
      <c r="E46" s="33"/>
      <c r="F46" s="9"/>
    </row>
    <row r="47" spans="1:6">
      <c r="A47" s="33"/>
      <c r="B47" s="33"/>
      <c r="C47" s="33"/>
      <c r="D47" s="33"/>
      <c r="E47" s="33"/>
      <c r="F47" s="9"/>
    </row>
    <row r="48" spans="1:6">
      <c r="A48" s="33"/>
      <c r="B48" s="33"/>
      <c r="C48" s="33"/>
      <c r="D48" s="33"/>
      <c r="E48" s="33"/>
      <c r="F48" s="9"/>
    </row>
    <row r="49" spans="1:6">
      <c r="A49" s="33"/>
      <c r="B49" s="33"/>
      <c r="C49" s="33"/>
      <c r="D49" s="33"/>
      <c r="E49" s="33"/>
      <c r="F49" s="9"/>
    </row>
    <row r="50" spans="1:6">
      <c r="A50" s="33"/>
      <c r="B50" s="33"/>
      <c r="C50" s="33"/>
      <c r="D50" s="33"/>
      <c r="E50" s="33"/>
      <c r="F50" s="9"/>
    </row>
    <row r="51" spans="1:6">
      <c r="A51" s="33"/>
      <c r="B51" s="33"/>
      <c r="C51" s="33"/>
      <c r="D51" s="33"/>
      <c r="E51" s="33"/>
      <c r="F51" s="9"/>
    </row>
    <row r="52" spans="1:6">
      <c r="A52" s="33"/>
      <c r="B52" s="33"/>
      <c r="C52" s="33"/>
      <c r="D52" s="33"/>
      <c r="E52" s="33"/>
      <c r="F52" s="9"/>
    </row>
    <row r="53" spans="1:6">
      <c r="A53" s="33"/>
      <c r="B53" s="33"/>
      <c r="C53" s="33"/>
      <c r="D53" s="33"/>
      <c r="E53" s="33"/>
      <c r="F53" s="9"/>
    </row>
    <row r="54" spans="1:6">
      <c r="A54" s="33"/>
      <c r="B54" s="33"/>
      <c r="C54" s="33"/>
      <c r="D54" s="33"/>
      <c r="E54" s="33"/>
      <c r="F54" s="9"/>
    </row>
    <row r="55" spans="1:6">
      <c r="A55" s="33"/>
      <c r="B55" s="33"/>
      <c r="C55" s="33"/>
      <c r="D55" s="33"/>
      <c r="E55" s="33"/>
      <c r="F55" s="9"/>
    </row>
    <row r="56" spans="1:6">
      <c r="A56" s="33"/>
      <c r="B56" s="33"/>
      <c r="C56" s="33"/>
      <c r="D56" s="33"/>
      <c r="E56" s="33"/>
      <c r="F56" s="9"/>
    </row>
    <row r="57" spans="1:6">
      <c r="A57" s="33"/>
      <c r="B57" s="33"/>
      <c r="C57" s="33"/>
      <c r="D57" s="33"/>
      <c r="E57" s="33"/>
      <c r="F57" s="9"/>
    </row>
    <row r="58" spans="1:6">
      <c r="A58" s="33"/>
      <c r="B58" s="33"/>
      <c r="C58" s="33"/>
      <c r="D58" s="33"/>
      <c r="E58" s="33"/>
      <c r="F58" s="9"/>
    </row>
    <row r="59" spans="1:6">
      <c r="A59" s="33"/>
      <c r="B59" s="33"/>
      <c r="C59" s="33"/>
      <c r="D59" s="33"/>
      <c r="E59" s="33"/>
      <c r="F59" s="9"/>
    </row>
    <row r="60" spans="1:6">
      <c r="A60" s="33"/>
      <c r="B60" s="33"/>
      <c r="C60" s="33"/>
      <c r="D60" s="33"/>
      <c r="E60" s="33"/>
      <c r="F60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4"/>
  <sheetViews>
    <sheetView workbookViewId="0">
      <selection activeCell="F12" sqref="F12"/>
    </sheetView>
  </sheetViews>
  <sheetFormatPr baseColWidth="10" defaultColWidth="9" defaultRowHeight="15" x14ac:dyDescent="0"/>
  <cols>
    <col min="1" max="1" width="13" style="31" customWidth="1"/>
    <col min="2" max="2" width="31.5" style="31" customWidth="1"/>
    <col min="3" max="5" width="9.33203125" style="31" customWidth="1"/>
    <col min="6" max="6" width="14" customWidth="1"/>
  </cols>
  <sheetData>
    <row r="2" spans="1:6">
      <c r="A2" s="143" t="s">
        <v>170</v>
      </c>
      <c r="B2" s="143"/>
    </row>
    <row r="4" spans="1:6" ht="14">
      <c r="A4" s="262" t="s">
        <v>1</v>
      </c>
      <c r="B4" s="262" t="s">
        <v>429</v>
      </c>
      <c r="C4" s="262" t="s">
        <v>3</v>
      </c>
      <c r="D4" s="262" t="s">
        <v>4</v>
      </c>
      <c r="E4" s="262" t="s">
        <v>5</v>
      </c>
      <c r="F4" s="25" t="s">
        <v>6</v>
      </c>
    </row>
    <row r="5" spans="1:6">
      <c r="A5" s="33"/>
      <c r="B5" s="39" t="s">
        <v>430</v>
      </c>
      <c r="C5" s="39"/>
      <c r="D5" s="39"/>
      <c r="E5" s="39">
        <v>453</v>
      </c>
      <c r="F5" s="9"/>
    </row>
    <row r="6" spans="1:6">
      <c r="A6" s="36" t="s">
        <v>557</v>
      </c>
      <c r="B6" s="36" t="s">
        <v>560</v>
      </c>
      <c r="C6" s="33"/>
      <c r="D6" s="33">
        <v>94</v>
      </c>
      <c r="E6" s="33">
        <f t="shared" ref="E6:E12" si="0">E5+C6-D6</f>
        <v>359</v>
      </c>
      <c r="F6" s="365"/>
    </row>
    <row r="7" spans="1:6">
      <c r="A7" s="37">
        <v>43102</v>
      </c>
      <c r="B7" s="33" t="s">
        <v>601</v>
      </c>
      <c r="C7" s="33">
        <v>98</v>
      </c>
      <c r="D7" s="33"/>
      <c r="E7" s="33">
        <f t="shared" si="0"/>
        <v>457</v>
      </c>
      <c r="F7" s="390"/>
    </row>
    <row r="8" spans="1:6">
      <c r="A8" s="161">
        <v>43375</v>
      </c>
      <c r="B8" s="36" t="s">
        <v>469</v>
      </c>
      <c r="C8" s="33">
        <v>8</v>
      </c>
      <c r="D8" s="33"/>
      <c r="E8" s="33">
        <f t="shared" si="0"/>
        <v>465</v>
      </c>
      <c r="F8" s="422"/>
    </row>
    <row r="9" spans="1:6">
      <c r="A9" s="21">
        <v>43134</v>
      </c>
      <c r="B9" s="482" t="s">
        <v>402</v>
      </c>
      <c r="C9" s="33">
        <v>6</v>
      </c>
      <c r="D9" s="33"/>
      <c r="E9" s="33">
        <f t="shared" si="0"/>
        <v>471</v>
      </c>
      <c r="F9" s="422"/>
    </row>
    <row r="10" spans="1:6">
      <c r="A10" s="33" t="s">
        <v>793</v>
      </c>
      <c r="B10" s="33" t="s">
        <v>560</v>
      </c>
      <c r="C10" s="33"/>
      <c r="D10" s="33">
        <v>104</v>
      </c>
      <c r="E10" s="33">
        <f t="shared" si="0"/>
        <v>367</v>
      </c>
      <c r="F10" s="570" t="s">
        <v>46</v>
      </c>
    </row>
    <row r="11" spans="1:6">
      <c r="A11" s="576" t="s">
        <v>798</v>
      </c>
      <c r="B11" s="576" t="s">
        <v>802</v>
      </c>
      <c r="C11" s="33">
        <v>67</v>
      </c>
      <c r="D11" s="33"/>
      <c r="E11" s="33">
        <f t="shared" si="0"/>
        <v>434</v>
      </c>
      <c r="F11" s="576" t="s">
        <v>46</v>
      </c>
    </row>
    <row r="12" spans="1:6">
      <c r="A12" s="33" t="s">
        <v>884</v>
      </c>
      <c r="B12" s="33" t="s">
        <v>560</v>
      </c>
      <c r="C12" s="33"/>
      <c r="D12" s="33">
        <v>40</v>
      </c>
      <c r="E12" s="33">
        <f t="shared" si="0"/>
        <v>394</v>
      </c>
      <c r="F12" s="671" t="s">
        <v>46</v>
      </c>
    </row>
    <row r="13" spans="1:6">
      <c r="A13" s="33"/>
      <c r="B13" s="33"/>
      <c r="C13" s="33"/>
      <c r="D13" s="33"/>
      <c r="E13" s="33"/>
      <c r="F13" s="9"/>
    </row>
    <row r="14" spans="1:6">
      <c r="A14" s="33"/>
      <c r="B14" s="33"/>
      <c r="C14" s="33"/>
      <c r="D14" s="33"/>
      <c r="E14" s="33"/>
      <c r="F14" s="9"/>
    </row>
    <row r="15" spans="1:6">
      <c r="A15" s="33"/>
      <c r="B15" s="33"/>
      <c r="C15" s="33"/>
      <c r="D15" s="33"/>
      <c r="E15" s="33"/>
      <c r="F15" s="9"/>
    </row>
    <row r="16" spans="1:6">
      <c r="A16" s="33"/>
      <c r="B16" s="33"/>
      <c r="C16" s="33"/>
      <c r="D16" s="33"/>
      <c r="E16" s="33"/>
      <c r="F16" s="9"/>
    </row>
    <row r="17" spans="1:6">
      <c r="A17" s="33"/>
      <c r="B17" s="33"/>
      <c r="C17" s="33"/>
      <c r="D17" s="33"/>
      <c r="E17" s="33"/>
      <c r="F17" s="9"/>
    </row>
    <row r="18" spans="1:6">
      <c r="A18" s="33"/>
      <c r="B18" s="33"/>
      <c r="C18" s="33"/>
      <c r="D18" s="33"/>
      <c r="E18" s="33"/>
      <c r="F18" s="9"/>
    </row>
    <row r="19" spans="1:6">
      <c r="A19" s="33"/>
      <c r="B19" s="33"/>
      <c r="C19" s="33"/>
      <c r="D19" s="33"/>
      <c r="E19" s="33"/>
      <c r="F19" s="9"/>
    </row>
    <row r="20" spans="1:6">
      <c r="A20" s="33"/>
      <c r="B20" s="33"/>
      <c r="C20" s="33"/>
      <c r="D20" s="33"/>
      <c r="E20" s="33"/>
      <c r="F20" s="9"/>
    </row>
    <row r="21" spans="1:6">
      <c r="A21" s="33"/>
      <c r="B21" s="33"/>
      <c r="C21" s="33"/>
      <c r="D21" s="33"/>
      <c r="E21" s="33"/>
      <c r="F21" s="9"/>
    </row>
    <row r="22" spans="1:6">
      <c r="A22" s="33"/>
      <c r="B22" s="33"/>
      <c r="C22" s="33"/>
      <c r="D22" s="33"/>
      <c r="E22" s="33"/>
      <c r="F22" s="9"/>
    </row>
    <row r="23" spans="1:6">
      <c r="A23" s="33"/>
      <c r="B23" s="33"/>
      <c r="C23" s="33"/>
      <c r="D23" s="33"/>
      <c r="E23" s="33"/>
      <c r="F23" s="9"/>
    </row>
    <row r="24" spans="1:6">
      <c r="A24" s="33"/>
      <c r="B24" s="33"/>
      <c r="C24" s="33"/>
      <c r="D24" s="33"/>
      <c r="E24" s="33"/>
      <c r="F24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9"/>
  <sheetViews>
    <sheetView workbookViewId="0">
      <selection activeCell="N11" sqref="N11"/>
    </sheetView>
  </sheetViews>
  <sheetFormatPr baseColWidth="10" defaultColWidth="9" defaultRowHeight="15" x14ac:dyDescent="0"/>
  <cols>
    <col min="1" max="1" width="13" style="31" customWidth="1"/>
    <col min="2" max="2" width="32.33203125" style="31" customWidth="1"/>
    <col min="3" max="5" width="9.33203125" style="31" customWidth="1"/>
  </cols>
  <sheetData>
    <row r="2" spans="1:6">
      <c r="A2" s="143" t="s">
        <v>171</v>
      </c>
      <c r="B2" s="143"/>
    </row>
    <row r="4" spans="1:6" ht="14">
      <c r="A4" s="262" t="s">
        <v>1</v>
      </c>
      <c r="B4" s="262" t="s">
        <v>429</v>
      </c>
      <c r="C4" s="262" t="s">
        <v>3</v>
      </c>
      <c r="D4" s="262" t="s">
        <v>4</v>
      </c>
      <c r="E4" s="262" t="s">
        <v>5</v>
      </c>
      <c r="F4" s="25" t="s">
        <v>6</v>
      </c>
    </row>
    <row r="5" spans="1:6">
      <c r="A5" s="33"/>
      <c r="B5" s="33" t="s">
        <v>408</v>
      </c>
      <c r="C5" s="33"/>
      <c r="D5" s="33"/>
      <c r="E5" s="167">
        <v>243</v>
      </c>
      <c r="F5" s="294"/>
    </row>
    <row r="6" spans="1:6">
      <c r="A6" s="37">
        <v>43191</v>
      </c>
      <c r="B6" s="33" t="s">
        <v>406</v>
      </c>
      <c r="C6" s="33"/>
      <c r="D6" s="33">
        <v>10</v>
      </c>
      <c r="E6" s="33">
        <f>E5+C6-D6</f>
        <v>233</v>
      </c>
      <c r="F6" s="308"/>
    </row>
    <row r="7" spans="1:6">
      <c r="A7" s="161">
        <v>43375</v>
      </c>
      <c r="B7" s="36" t="s">
        <v>469</v>
      </c>
      <c r="C7" s="33">
        <v>4</v>
      </c>
      <c r="D7" s="33"/>
      <c r="E7" s="33">
        <f>E6+C7-D7</f>
        <v>237</v>
      </c>
      <c r="F7" s="426"/>
    </row>
    <row r="8" spans="1:6">
      <c r="A8" s="21">
        <v>43134</v>
      </c>
      <c r="B8" s="482" t="s">
        <v>402</v>
      </c>
      <c r="C8" s="33">
        <v>24</v>
      </c>
      <c r="D8" s="33"/>
      <c r="E8" s="33">
        <f>E7+C8-D8</f>
        <v>261</v>
      </c>
      <c r="F8" s="484"/>
    </row>
    <row r="9" spans="1:6">
      <c r="A9" s="33" t="s">
        <v>793</v>
      </c>
      <c r="B9" s="33" t="s">
        <v>560</v>
      </c>
      <c r="C9" s="33"/>
      <c r="D9" s="33">
        <v>36</v>
      </c>
      <c r="E9" s="33">
        <f>E8+C9-D9</f>
        <v>225</v>
      </c>
      <c r="F9" s="574" t="s">
        <v>46</v>
      </c>
    </row>
    <row r="10" spans="1:6">
      <c r="A10" s="576" t="s">
        <v>798</v>
      </c>
      <c r="B10" s="576" t="s">
        <v>802</v>
      </c>
      <c r="C10" s="33">
        <v>26</v>
      </c>
      <c r="D10" s="33"/>
      <c r="E10" s="33">
        <f>E9+C10-D10</f>
        <v>251</v>
      </c>
      <c r="F10" s="579" t="s">
        <v>46</v>
      </c>
    </row>
    <row r="11" spans="1:6">
      <c r="A11" s="33"/>
      <c r="B11" s="33"/>
      <c r="C11" s="33"/>
      <c r="D11" s="33"/>
      <c r="E11" s="33"/>
    </row>
    <row r="12" spans="1:6">
      <c r="A12" s="33"/>
      <c r="B12" s="33"/>
      <c r="C12" s="33"/>
      <c r="D12" s="33"/>
      <c r="E12" s="33"/>
    </row>
    <row r="13" spans="1:6">
      <c r="A13" s="33"/>
      <c r="B13" s="33"/>
      <c r="C13" s="33"/>
      <c r="D13" s="33"/>
      <c r="E13" s="33"/>
    </row>
    <row r="14" spans="1:6">
      <c r="A14" s="33"/>
      <c r="B14" s="33"/>
      <c r="C14" s="33"/>
      <c r="D14" s="33"/>
      <c r="E14" s="33"/>
    </row>
    <row r="15" spans="1:6">
      <c r="A15" s="33"/>
      <c r="B15" s="33"/>
      <c r="C15" s="33"/>
      <c r="D15" s="33"/>
      <c r="E15" s="33"/>
    </row>
    <row r="16" spans="1:6">
      <c r="A16" s="33"/>
      <c r="B16" s="33"/>
      <c r="C16" s="33"/>
      <c r="D16" s="33"/>
      <c r="E16" s="33"/>
    </row>
    <row r="17" spans="1:5">
      <c r="A17" s="33"/>
      <c r="B17" s="33"/>
      <c r="C17" s="33"/>
      <c r="D17" s="33"/>
      <c r="E17" s="33"/>
    </row>
    <row r="18" spans="1:5">
      <c r="A18" s="33"/>
      <c r="B18" s="33"/>
      <c r="C18" s="33"/>
      <c r="D18" s="33"/>
      <c r="E18" s="33"/>
    </row>
    <row r="19" spans="1:5">
      <c r="A19" s="33"/>
      <c r="B19" s="33"/>
      <c r="C19" s="33"/>
      <c r="D19" s="33"/>
      <c r="E19" s="33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4"/>
  <sheetViews>
    <sheetView workbookViewId="0">
      <selection activeCell="K17" sqref="K17"/>
    </sheetView>
  </sheetViews>
  <sheetFormatPr baseColWidth="10" defaultColWidth="9" defaultRowHeight="15" x14ac:dyDescent="0"/>
  <cols>
    <col min="1" max="1" width="12" style="31" customWidth="1"/>
    <col min="2" max="2" width="25.5" style="31" customWidth="1"/>
    <col min="3" max="5" width="9.33203125" style="31" customWidth="1"/>
    <col min="6" max="6" width="14.5" customWidth="1"/>
  </cols>
  <sheetData>
    <row r="2" spans="1:6">
      <c r="A2" s="143" t="s">
        <v>175</v>
      </c>
      <c r="B2" s="143"/>
    </row>
    <row r="4" spans="1:6" ht="14">
      <c r="A4" s="262" t="s">
        <v>1</v>
      </c>
      <c r="B4" s="262" t="s">
        <v>429</v>
      </c>
      <c r="C4" s="262" t="s">
        <v>3</v>
      </c>
      <c r="D4" s="262" t="s">
        <v>4</v>
      </c>
      <c r="E4" s="262" t="s">
        <v>5</v>
      </c>
      <c r="F4" s="25" t="s">
        <v>6</v>
      </c>
    </row>
    <row r="5" spans="1:6">
      <c r="A5" s="33"/>
      <c r="B5" s="33" t="s">
        <v>418</v>
      </c>
      <c r="C5" s="33"/>
      <c r="D5" s="33"/>
      <c r="E5" s="33">
        <v>9</v>
      </c>
      <c r="F5" s="9"/>
    </row>
    <row r="6" spans="1:6">
      <c r="A6" s="33"/>
      <c r="B6" s="33"/>
      <c r="C6" s="33"/>
      <c r="D6" s="33"/>
      <c r="E6" s="33"/>
      <c r="F6" s="9"/>
    </row>
    <row r="7" spans="1:6">
      <c r="A7" s="33"/>
      <c r="B7" s="33"/>
      <c r="C7" s="33"/>
      <c r="D7" s="33"/>
      <c r="E7" s="33"/>
      <c r="F7" s="9"/>
    </row>
    <row r="8" spans="1:6">
      <c r="A8" s="33"/>
      <c r="B8" s="33"/>
      <c r="C8" s="33"/>
      <c r="D8" s="33"/>
      <c r="E8" s="33"/>
      <c r="F8" s="9"/>
    </row>
    <row r="9" spans="1:6">
      <c r="A9" s="33"/>
      <c r="B9" s="33"/>
      <c r="C9" s="33"/>
      <c r="D9" s="33"/>
      <c r="E9" s="33"/>
      <c r="F9" s="9"/>
    </row>
    <row r="10" spans="1:6">
      <c r="A10" s="33"/>
      <c r="B10" s="33"/>
      <c r="C10" s="33"/>
      <c r="D10" s="33"/>
      <c r="E10" s="33"/>
      <c r="F10" s="9"/>
    </row>
    <row r="11" spans="1:6">
      <c r="A11" s="33"/>
      <c r="B11" s="33"/>
      <c r="C11" s="33"/>
      <c r="D11" s="33"/>
      <c r="E11" s="33"/>
      <c r="F11" s="9"/>
    </row>
    <row r="12" spans="1:6">
      <c r="A12" s="33"/>
      <c r="B12" s="33"/>
      <c r="C12" s="33"/>
      <c r="D12" s="33"/>
      <c r="E12" s="33"/>
      <c r="F12" s="9"/>
    </row>
    <row r="13" spans="1:6">
      <c r="A13" s="33"/>
      <c r="B13" s="33"/>
      <c r="C13" s="33"/>
      <c r="D13" s="33"/>
      <c r="E13" s="33"/>
      <c r="F13" s="9"/>
    </row>
    <row r="14" spans="1:6">
      <c r="A14" s="33"/>
      <c r="B14" s="33"/>
      <c r="C14" s="33"/>
      <c r="D14" s="33"/>
      <c r="E14" s="33"/>
      <c r="F14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6"/>
  <sheetViews>
    <sheetView workbookViewId="0">
      <selection activeCell="D15" sqref="D15"/>
    </sheetView>
  </sheetViews>
  <sheetFormatPr baseColWidth="10" defaultColWidth="9" defaultRowHeight="15" x14ac:dyDescent="0"/>
  <cols>
    <col min="1" max="1" width="12" style="31" customWidth="1"/>
    <col min="2" max="2" width="27.83203125" style="31" customWidth="1"/>
    <col min="3" max="5" width="9.33203125" style="31" customWidth="1"/>
    <col min="6" max="6" width="13.6640625" style="31" customWidth="1"/>
  </cols>
  <sheetData>
    <row r="2" spans="1:6">
      <c r="A2" s="143" t="s">
        <v>177</v>
      </c>
      <c r="B2" s="143"/>
    </row>
    <row r="4" spans="1:6" ht="14">
      <c r="A4" s="262" t="s">
        <v>1</v>
      </c>
      <c r="B4" s="262" t="s">
        <v>429</v>
      </c>
      <c r="C4" s="262" t="s">
        <v>3</v>
      </c>
      <c r="D4" s="262" t="s">
        <v>4</v>
      </c>
      <c r="E4" s="262" t="s">
        <v>5</v>
      </c>
      <c r="F4" s="25" t="s">
        <v>6</v>
      </c>
    </row>
    <row r="5" spans="1:6">
      <c r="A5" s="37"/>
      <c r="B5" s="33" t="s">
        <v>418</v>
      </c>
      <c r="C5" s="33"/>
      <c r="D5" s="33"/>
      <c r="E5" s="33">
        <v>0</v>
      </c>
      <c r="F5" s="33"/>
    </row>
    <row r="6" spans="1:6">
      <c r="A6" s="33"/>
      <c r="B6" s="33"/>
      <c r="C6" s="33"/>
      <c r="D6" s="33"/>
      <c r="E6" s="33"/>
      <c r="F6" s="33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2"/>
  <sheetViews>
    <sheetView workbookViewId="0">
      <selection activeCell="A4" sqref="A4:F4"/>
    </sheetView>
  </sheetViews>
  <sheetFormatPr baseColWidth="10" defaultColWidth="9" defaultRowHeight="15" x14ac:dyDescent="0"/>
  <cols>
    <col min="1" max="1" width="12" style="31" customWidth="1"/>
    <col min="2" max="2" width="32.6640625" style="31" customWidth="1"/>
    <col min="3" max="5" width="9.33203125" style="31" customWidth="1"/>
    <col min="6" max="6" width="14.5" style="31" customWidth="1"/>
  </cols>
  <sheetData>
    <row r="2" spans="1:6">
      <c r="A2" s="143" t="s">
        <v>178</v>
      </c>
      <c r="B2" s="143"/>
    </row>
    <row r="4" spans="1:6" ht="14">
      <c r="A4" s="262" t="s">
        <v>1</v>
      </c>
      <c r="B4" s="262" t="s">
        <v>429</v>
      </c>
      <c r="C4" s="262" t="s">
        <v>3</v>
      </c>
      <c r="D4" s="262" t="s">
        <v>4</v>
      </c>
      <c r="E4" s="262" t="s">
        <v>5</v>
      </c>
      <c r="F4" s="25" t="s">
        <v>6</v>
      </c>
    </row>
    <row r="5" spans="1:6">
      <c r="A5" s="33"/>
      <c r="B5" s="33" t="s">
        <v>418</v>
      </c>
      <c r="C5" s="33"/>
      <c r="D5" s="33"/>
      <c r="E5" s="33">
        <v>53</v>
      </c>
      <c r="F5" s="33"/>
    </row>
    <row r="6" spans="1:6">
      <c r="A6" s="33"/>
      <c r="B6" s="33"/>
      <c r="C6" s="33"/>
      <c r="D6" s="33"/>
      <c r="E6" s="33"/>
      <c r="F6" s="33"/>
    </row>
    <row r="7" spans="1:6">
      <c r="A7" s="33"/>
      <c r="B7" s="33"/>
      <c r="C7" s="33"/>
      <c r="D7" s="33"/>
      <c r="E7" s="33"/>
      <c r="F7" s="33"/>
    </row>
    <row r="8" spans="1:6">
      <c r="A8" s="33"/>
      <c r="B8" s="33"/>
      <c r="C8" s="33"/>
      <c r="D8" s="33"/>
      <c r="E8" s="33"/>
      <c r="F8" s="33"/>
    </row>
    <row r="9" spans="1:6">
      <c r="A9" s="33"/>
      <c r="B9" s="33"/>
      <c r="C9" s="33"/>
      <c r="D9" s="33"/>
      <c r="E9" s="33"/>
      <c r="F9" s="33"/>
    </row>
    <row r="10" spans="1:6">
      <c r="A10" s="33"/>
      <c r="B10" s="33"/>
      <c r="C10" s="33"/>
      <c r="D10" s="33"/>
      <c r="E10" s="33"/>
      <c r="F10" s="33"/>
    </row>
    <row r="11" spans="1:6">
      <c r="A11" s="33"/>
      <c r="B11" s="33"/>
      <c r="C11" s="33"/>
      <c r="D11" s="33"/>
      <c r="E11" s="33"/>
      <c r="F11" s="33"/>
    </row>
    <row r="12" spans="1:6">
      <c r="A12" s="33"/>
      <c r="B12" s="33"/>
      <c r="C12" s="33"/>
      <c r="D12" s="33"/>
      <c r="E12" s="33"/>
      <c r="F12" s="33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workbookViewId="0">
      <selection activeCell="G34" sqref="G34"/>
    </sheetView>
  </sheetViews>
  <sheetFormatPr baseColWidth="10" defaultColWidth="9" defaultRowHeight="15" x14ac:dyDescent="0"/>
  <cols>
    <col min="1" max="1" width="12" style="31" customWidth="1"/>
    <col min="2" max="2" width="25.5" style="31" customWidth="1"/>
    <col min="3" max="5" width="9.33203125" style="31" customWidth="1"/>
    <col min="6" max="6" width="14.5" style="116" customWidth="1"/>
  </cols>
  <sheetData>
    <row r="2" spans="1:6">
      <c r="A2" s="143" t="s">
        <v>179</v>
      </c>
      <c r="B2" s="143"/>
      <c r="C2" s="143"/>
    </row>
    <row r="4" spans="1:6" ht="14">
      <c r="A4" s="262" t="s">
        <v>1</v>
      </c>
      <c r="B4" s="262" t="s">
        <v>429</v>
      </c>
      <c r="C4" s="262" t="s">
        <v>3</v>
      </c>
      <c r="D4" s="262" t="s">
        <v>4</v>
      </c>
      <c r="E4" s="262" t="s">
        <v>5</v>
      </c>
      <c r="F4" s="25" t="s">
        <v>6</v>
      </c>
    </row>
    <row r="5" spans="1:6">
      <c r="A5" s="33"/>
      <c r="B5" s="33" t="s">
        <v>418</v>
      </c>
      <c r="C5" s="33"/>
      <c r="D5" s="33"/>
      <c r="E5" s="33">
        <v>6</v>
      </c>
      <c r="F5" s="95"/>
    </row>
    <row r="6" spans="1:6">
      <c r="A6" s="33"/>
      <c r="B6" s="33"/>
      <c r="C6" s="33"/>
      <c r="D6" s="33"/>
      <c r="E6" s="33"/>
      <c r="F6" s="95"/>
    </row>
    <row r="7" spans="1:6">
      <c r="A7" s="33"/>
      <c r="B7" s="33"/>
      <c r="C7" s="33"/>
      <c r="D7" s="33"/>
      <c r="E7" s="33"/>
      <c r="F7" s="95"/>
    </row>
    <row r="8" spans="1:6">
      <c r="A8" s="33"/>
      <c r="B8" s="33"/>
      <c r="C8" s="33"/>
      <c r="D8" s="33"/>
      <c r="E8" s="33"/>
      <c r="F8" s="95"/>
    </row>
    <row r="9" spans="1:6">
      <c r="A9" s="33"/>
      <c r="B9" s="33"/>
      <c r="C9" s="33"/>
      <c r="D9" s="33"/>
      <c r="E9" s="33"/>
      <c r="F9" s="95"/>
    </row>
    <row r="10" spans="1:6">
      <c r="A10" s="33"/>
      <c r="B10" s="33"/>
      <c r="C10" s="33"/>
      <c r="D10" s="33"/>
      <c r="E10" s="33"/>
      <c r="F10" s="95"/>
    </row>
    <row r="11" spans="1:6">
      <c r="A11" s="33"/>
      <c r="B11" s="33"/>
      <c r="C11" s="33"/>
      <c r="D11" s="33"/>
      <c r="E11" s="33"/>
      <c r="F11" s="95"/>
    </row>
    <row r="12" spans="1:6">
      <c r="A12" s="33"/>
      <c r="B12" s="33"/>
      <c r="C12" s="33"/>
      <c r="D12" s="33"/>
      <c r="E12" s="33"/>
      <c r="F12" s="95"/>
    </row>
    <row r="13" spans="1:6">
      <c r="A13" s="33"/>
      <c r="B13" s="33"/>
      <c r="C13" s="33"/>
      <c r="D13" s="33"/>
      <c r="E13" s="33"/>
      <c r="F13" s="95"/>
    </row>
    <row r="14" spans="1:6">
      <c r="A14" s="33"/>
      <c r="B14" s="33"/>
      <c r="C14" s="33"/>
      <c r="D14" s="33"/>
      <c r="E14" s="33"/>
      <c r="F14" s="95"/>
    </row>
    <row r="15" spans="1:6">
      <c r="A15" s="33"/>
      <c r="B15" s="33"/>
      <c r="C15" s="33"/>
      <c r="D15" s="33"/>
      <c r="E15" s="33"/>
      <c r="F15" s="95"/>
    </row>
    <row r="16" spans="1:6">
      <c r="A16" s="33"/>
      <c r="B16" s="33"/>
      <c r="C16" s="33"/>
      <c r="D16" s="33"/>
      <c r="E16" s="33"/>
      <c r="F16" s="95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9"/>
  <sheetViews>
    <sheetView workbookViewId="0">
      <selection activeCell="A4" sqref="A4:F4"/>
    </sheetView>
  </sheetViews>
  <sheetFormatPr baseColWidth="10" defaultColWidth="9" defaultRowHeight="15" x14ac:dyDescent="0"/>
  <cols>
    <col min="1" max="1" width="12.5" style="59" customWidth="1"/>
    <col min="2" max="2" width="22.5" style="59" customWidth="1"/>
    <col min="3" max="5" width="9" style="59"/>
    <col min="6" max="6" width="15.5" style="59" customWidth="1"/>
  </cols>
  <sheetData>
    <row r="2" spans="1:6">
      <c r="A2" s="117" t="s">
        <v>180</v>
      </c>
      <c r="B2" s="117"/>
      <c r="C2" s="117"/>
    </row>
    <row r="4" spans="1:6" ht="14">
      <c r="A4" s="262" t="s">
        <v>1</v>
      </c>
      <c r="B4" s="262" t="s">
        <v>429</v>
      </c>
      <c r="C4" s="262" t="s">
        <v>3</v>
      </c>
      <c r="D4" s="262" t="s">
        <v>4</v>
      </c>
      <c r="E4" s="262" t="s">
        <v>5</v>
      </c>
      <c r="F4" s="25" t="s">
        <v>6</v>
      </c>
    </row>
    <row r="5" spans="1:6">
      <c r="A5" s="115"/>
      <c r="B5" s="68" t="s">
        <v>418</v>
      </c>
      <c r="C5" s="68"/>
      <c r="D5" s="69"/>
      <c r="E5" s="68">
        <v>46</v>
      </c>
      <c r="F5" s="68"/>
    </row>
    <row r="6" spans="1:6">
      <c r="A6" s="68"/>
      <c r="B6" s="68"/>
      <c r="C6" s="68"/>
      <c r="D6" s="69"/>
      <c r="E6" s="68"/>
      <c r="F6" s="68"/>
    </row>
    <row r="7" spans="1:6">
      <c r="A7" s="68"/>
      <c r="B7" s="68"/>
      <c r="C7" s="68"/>
      <c r="D7" s="69"/>
      <c r="E7" s="68"/>
      <c r="F7" s="68"/>
    </row>
    <row r="8" spans="1:6">
      <c r="A8" s="68"/>
      <c r="B8" s="68"/>
      <c r="C8" s="68"/>
      <c r="D8" s="69"/>
      <c r="E8" s="68"/>
      <c r="F8" s="68"/>
    </row>
    <row r="9" spans="1:6">
      <c r="A9" s="68"/>
      <c r="B9" s="68"/>
      <c r="C9" s="68"/>
      <c r="D9" s="69"/>
      <c r="E9" s="68"/>
      <c r="F9" s="68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1"/>
  <sheetViews>
    <sheetView workbookViewId="0">
      <selection activeCell="A4" sqref="A4:F4"/>
    </sheetView>
  </sheetViews>
  <sheetFormatPr baseColWidth="10" defaultColWidth="9" defaultRowHeight="15" x14ac:dyDescent="0"/>
  <cols>
    <col min="1" max="1" width="12.5" style="59" customWidth="1"/>
    <col min="2" max="2" width="25" style="59" customWidth="1"/>
    <col min="3" max="5" width="9" style="59"/>
    <col min="6" max="6" width="15.5" customWidth="1"/>
  </cols>
  <sheetData>
    <row r="2" spans="1:6">
      <c r="A2" s="117" t="s">
        <v>181</v>
      </c>
      <c r="B2" s="117"/>
      <c r="C2" s="117"/>
    </row>
    <row r="4" spans="1:6" ht="14">
      <c r="A4" s="262" t="s">
        <v>1</v>
      </c>
      <c r="B4" s="262" t="s">
        <v>429</v>
      </c>
      <c r="C4" s="262" t="s">
        <v>3</v>
      </c>
      <c r="D4" s="262" t="s">
        <v>4</v>
      </c>
      <c r="E4" s="262" t="s">
        <v>5</v>
      </c>
      <c r="F4" s="25" t="s">
        <v>6</v>
      </c>
    </row>
    <row r="5" spans="1:6">
      <c r="A5" s="68"/>
      <c r="B5" s="68" t="s">
        <v>418</v>
      </c>
      <c r="C5" s="68"/>
      <c r="D5" s="69"/>
      <c r="E5" s="68">
        <v>184</v>
      </c>
      <c r="F5" s="9"/>
    </row>
    <row r="6" spans="1:6">
      <c r="A6" s="115"/>
      <c r="B6" s="68"/>
      <c r="C6" s="68"/>
      <c r="D6" s="69"/>
      <c r="E6" s="68"/>
      <c r="F6" s="9"/>
    </row>
    <row r="7" spans="1:6">
      <c r="A7" s="68"/>
      <c r="B7" s="68"/>
      <c r="C7" s="68"/>
      <c r="D7" s="69"/>
      <c r="E7" s="68"/>
      <c r="F7" s="9"/>
    </row>
    <row r="8" spans="1:6">
      <c r="A8" s="68"/>
      <c r="B8" s="68"/>
      <c r="C8" s="68"/>
      <c r="D8" s="69"/>
      <c r="E8" s="68"/>
      <c r="F8" s="9"/>
    </row>
    <row r="9" spans="1:6">
      <c r="A9" s="68"/>
      <c r="B9" s="68"/>
      <c r="C9" s="68"/>
      <c r="D9" s="69"/>
      <c r="E9" s="68"/>
      <c r="F9" s="9"/>
    </row>
    <row r="10" spans="1:6">
      <c r="A10" s="68"/>
      <c r="B10" s="68"/>
      <c r="C10" s="68"/>
      <c r="D10" s="69"/>
      <c r="E10" s="68"/>
      <c r="F10" s="9"/>
    </row>
    <row r="11" spans="1:6">
      <c r="A11" s="68"/>
      <c r="B11" s="68"/>
      <c r="C11" s="68"/>
      <c r="D11" s="69"/>
      <c r="E11" s="68"/>
      <c r="F11" s="9"/>
    </row>
    <row r="12" spans="1:6">
      <c r="A12" s="68"/>
      <c r="B12" s="68"/>
      <c r="C12" s="68"/>
      <c r="D12" s="69"/>
      <c r="E12" s="68"/>
      <c r="F12" s="9"/>
    </row>
    <row r="13" spans="1:6">
      <c r="A13" s="68"/>
      <c r="B13" s="68"/>
      <c r="C13" s="68"/>
      <c r="D13" s="69"/>
      <c r="E13" s="68"/>
      <c r="F13" s="9"/>
    </row>
    <row r="14" spans="1:6">
      <c r="A14" s="68"/>
      <c r="B14" s="68"/>
      <c r="C14" s="68"/>
      <c r="D14" s="69"/>
      <c r="E14" s="68"/>
      <c r="F14" s="9"/>
    </row>
    <row r="15" spans="1:6">
      <c r="A15" s="68"/>
      <c r="B15" s="68"/>
      <c r="C15" s="68"/>
      <c r="D15" s="69"/>
      <c r="E15" s="68"/>
      <c r="F15" s="9"/>
    </row>
    <row r="16" spans="1:6">
      <c r="A16" s="68"/>
      <c r="B16" s="68"/>
      <c r="C16" s="68"/>
      <c r="D16" s="69"/>
      <c r="E16" s="68"/>
      <c r="F16" s="9"/>
    </row>
    <row r="17" spans="1:6">
      <c r="A17" s="68"/>
      <c r="B17" s="68"/>
      <c r="C17" s="68"/>
      <c r="D17" s="69"/>
      <c r="E17" s="68"/>
      <c r="F17" s="9"/>
    </row>
    <row r="18" spans="1:6">
      <c r="A18" s="68"/>
      <c r="B18" s="68"/>
      <c r="C18" s="68"/>
      <c r="D18" s="69"/>
      <c r="E18" s="68"/>
      <c r="F18" s="9"/>
    </row>
    <row r="19" spans="1:6">
      <c r="A19" s="68"/>
      <c r="B19" s="68"/>
      <c r="C19" s="68"/>
      <c r="D19" s="69"/>
      <c r="E19" s="68"/>
      <c r="F19" s="9"/>
    </row>
    <row r="20" spans="1:6">
      <c r="A20" s="68"/>
      <c r="B20" s="68"/>
      <c r="C20" s="68"/>
      <c r="D20" s="69"/>
      <c r="E20" s="68"/>
      <c r="F20" s="9"/>
    </row>
    <row r="21" spans="1:6">
      <c r="A21" s="68"/>
      <c r="B21" s="68"/>
      <c r="C21" s="68"/>
      <c r="D21" s="69"/>
      <c r="E21" s="68"/>
      <c r="F21" s="9"/>
    </row>
    <row r="22" spans="1:6">
      <c r="A22" s="68"/>
      <c r="B22" s="68"/>
      <c r="C22" s="68"/>
      <c r="D22" s="69"/>
      <c r="E22" s="68"/>
      <c r="F22" s="9"/>
    </row>
    <row r="23" spans="1:6">
      <c r="A23" s="68"/>
      <c r="B23" s="68"/>
      <c r="C23" s="68"/>
      <c r="D23" s="69"/>
      <c r="E23" s="68"/>
      <c r="F23" s="9"/>
    </row>
    <row r="24" spans="1:6">
      <c r="A24" s="68"/>
      <c r="B24" s="68"/>
      <c r="C24" s="68"/>
      <c r="D24" s="69"/>
      <c r="E24" s="68"/>
      <c r="F24" s="9"/>
    </row>
    <row r="25" spans="1:6">
      <c r="A25" s="68"/>
      <c r="B25" s="68"/>
      <c r="C25" s="68"/>
      <c r="D25" s="69"/>
      <c r="E25" s="68"/>
      <c r="F25" s="9"/>
    </row>
    <row r="26" spans="1:6">
      <c r="A26" s="68"/>
      <c r="B26" s="68"/>
      <c r="C26" s="68"/>
      <c r="D26" s="69"/>
      <c r="E26" s="68"/>
      <c r="F26" s="9"/>
    </row>
    <row r="27" spans="1:6">
      <c r="A27" s="68"/>
      <c r="B27" s="68"/>
      <c r="C27" s="68"/>
      <c r="D27" s="69"/>
      <c r="E27" s="68"/>
      <c r="F27" s="9"/>
    </row>
    <row r="28" spans="1:6">
      <c r="A28" s="68"/>
      <c r="B28" s="68"/>
      <c r="C28" s="68"/>
      <c r="D28" s="69"/>
      <c r="E28" s="68"/>
      <c r="F28" s="9"/>
    </row>
    <row r="29" spans="1:6">
      <c r="A29" s="68"/>
      <c r="B29" s="68"/>
      <c r="C29" s="68"/>
      <c r="D29" s="69"/>
      <c r="E29" s="68"/>
      <c r="F29" s="9"/>
    </row>
    <row r="30" spans="1:6">
      <c r="A30" s="68"/>
      <c r="B30" s="68"/>
      <c r="C30" s="68"/>
      <c r="D30" s="69"/>
      <c r="E30" s="68"/>
      <c r="F30" s="9"/>
    </row>
    <row r="31" spans="1:6">
      <c r="A31" s="68"/>
      <c r="B31" s="68"/>
      <c r="C31" s="68"/>
      <c r="D31" s="69"/>
      <c r="E31" s="68"/>
      <c r="F31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2"/>
  <sheetViews>
    <sheetView workbookViewId="0">
      <selection activeCell="A4" sqref="A4:F4"/>
    </sheetView>
  </sheetViews>
  <sheetFormatPr baseColWidth="10" defaultColWidth="9" defaultRowHeight="15" x14ac:dyDescent="0"/>
  <cols>
    <col min="1" max="1" width="12.5" style="59" customWidth="1"/>
    <col min="2" max="2" width="25.83203125" style="59" customWidth="1"/>
    <col min="3" max="5" width="9" style="59"/>
    <col min="6" max="6" width="15.33203125" customWidth="1"/>
  </cols>
  <sheetData>
    <row r="2" spans="1:6">
      <c r="A2" s="117" t="s">
        <v>182</v>
      </c>
      <c r="B2" s="117"/>
      <c r="C2" s="117"/>
    </row>
    <row r="4" spans="1:6" ht="14">
      <c r="A4" s="262" t="s">
        <v>1</v>
      </c>
      <c r="B4" s="262" t="s">
        <v>429</v>
      </c>
      <c r="C4" s="262" t="s">
        <v>3</v>
      </c>
      <c r="D4" s="262" t="s">
        <v>4</v>
      </c>
      <c r="E4" s="262" t="s">
        <v>5</v>
      </c>
      <c r="F4" s="25" t="s">
        <v>6</v>
      </c>
    </row>
    <row r="5" spans="1:6">
      <c r="A5" s="68"/>
      <c r="B5" s="68" t="s">
        <v>418</v>
      </c>
      <c r="C5" s="68"/>
      <c r="D5" s="69"/>
      <c r="E5" s="68">
        <v>107</v>
      </c>
      <c r="F5" s="9"/>
    </row>
    <row r="6" spans="1:6">
      <c r="A6" s="68"/>
      <c r="B6" s="68"/>
      <c r="C6" s="68"/>
      <c r="D6" s="69"/>
      <c r="E6" s="68"/>
      <c r="F6" s="9"/>
    </row>
    <row r="7" spans="1:6">
      <c r="A7" s="115"/>
      <c r="B7" s="68"/>
      <c r="C7" s="68"/>
      <c r="D7" s="69"/>
      <c r="E7" s="68"/>
      <c r="F7" s="9"/>
    </row>
    <row r="8" spans="1:6">
      <c r="A8" s="68"/>
      <c r="B8" s="68"/>
      <c r="C8" s="68"/>
      <c r="D8" s="69"/>
      <c r="E8" s="68"/>
      <c r="F8" s="9"/>
    </row>
    <row r="9" spans="1:6">
      <c r="A9" s="68"/>
      <c r="B9" s="68"/>
      <c r="C9" s="68"/>
      <c r="D9" s="69"/>
      <c r="E9" s="68"/>
      <c r="F9" s="9"/>
    </row>
    <row r="10" spans="1:6">
      <c r="A10" s="68"/>
      <c r="B10" s="68"/>
      <c r="C10" s="68"/>
      <c r="D10" s="69"/>
      <c r="E10" s="68"/>
      <c r="F10" s="9"/>
    </row>
    <row r="11" spans="1:6">
      <c r="A11" s="68"/>
      <c r="B11" s="68"/>
      <c r="C11" s="68"/>
      <c r="D11" s="69"/>
      <c r="E11" s="68"/>
      <c r="F11" s="9"/>
    </row>
    <row r="12" spans="1:6">
      <c r="A12" s="68"/>
      <c r="B12" s="68"/>
      <c r="C12" s="68"/>
      <c r="D12" s="69"/>
      <c r="E12" s="68"/>
      <c r="F12" s="9"/>
    </row>
    <row r="13" spans="1:6">
      <c r="A13" s="68"/>
      <c r="B13" s="68"/>
      <c r="C13" s="68"/>
      <c r="D13" s="69"/>
      <c r="E13" s="68"/>
      <c r="F13" s="9"/>
    </row>
    <row r="14" spans="1:6">
      <c r="A14" s="68"/>
      <c r="B14" s="68"/>
      <c r="C14" s="68"/>
      <c r="D14" s="69"/>
      <c r="E14" s="68"/>
      <c r="F14" s="9"/>
    </row>
    <row r="15" spans="1:6">
      <c r="A15" s="68"/>
      <c r="B15" s="68"/>
      <c r="C15" s="68"/>
      <c r="D15" s="69"/>
      <c r="E15" s="68"/>
      <c r="F15" s="9"/>
    </row>
    <row r="16" spans="1:6">
      <c r="A16" s="68"/>
      <c r="B16" s="68"/>
      <c r="C16" s="68"/>
      <c r="D16" s="69"/>
      <c r="E16" s="68"/>
      <c r="F16" s="9"/>
    </row>
    <row r="17" spans="1:6">
      <c r="A17" s="68"/>
      <c r="B17" s="68"/>
      <c r="C17" s="68"/>
      <c r="D17" s="69"/>
      <c r="E17" s="68"/>
      <c r="F17" s="9"/>
    </row>
    <row r="18" spans="1:6">
      <c r="A18" s="68"/>
      <c r="B18" s="68"/>
      <c r="C18" s="68"/>
      <c r="D18" s="69"/>
      <c r="E18" s="68"/>
      <c r="F18" s="9"/>
    </row>
    <row r="19" spans="1:6">
      <c r="A19" s="68"/>
      <c r="B19" s="68"/>
      <c r="C19" s="68"/>
      <c r="D19" s="69"/>
      <c r="E19" s="68"/>
      <c r="F19" s="9"/>
    </row>
    <row r="20" spans="1:6">
      <c r="A20" s="68"/>
      <c r="B20" s="68"/>
      <c r="C20" s="68"/>
      <c r="D20" s="69"/>
      <c r="E20" s="68"/>
      <c r="F20" s="9"/>
    </row>
    <row r="21" spans="1:6">
      <c r="A21" s="68"/>
      <c r="B21" s="68"/>
      <c r="C21" s="68"/>
      <c r="D21" s="69"/>
      <c r="E21" s="68"/>
      <c r="F21" s="9"/>
    </row>
    <row r="22" spans="1:6">
      <c r="A22" s="68"/>
      <c r="B22" s="68"/>
      <c r="C22" s="68"/>
      <c r="D22" s="69"/>
      <c r="E22" s="68"/>
      <c r="F22" s="9"/>
    </row>
    <row r="23" spans="1:6">
      <c r="A23" s="68"/>
      <c r="B23" s="68"/>
      <c r="C23" s="68"/>
      <c r="D23" s="69"/>
      <c r="E23" s="68"/>
      <c r="F23" s="9"/>
    </row>
    <row r="24" spans="1:6">
      <c r="A24" s="68"/>
      <c r="B24" s="68"/>
      <c r="C24" s="68"/>
      <c r="D24" s="69"/>
      <c r="E24" s="68"/>
      <c r="F24" s="9"/>
    </row>
    <row r="25" spans="1:6">
      <c r="A25" s="68"/>
      <c r="B25" s="68"/>
      <c r="C25" s="68"/>
      <c r="D25" s="69"/>
      <c r="E25" s="68"/>
      <c r="F25" s="9"/>
    </row>
    <row r="26" spans="1:6">
      <c r="A26" s="68"/>
      <c r="B26" s="68"/>
      <c r="C26" s="68"/>
      <c r="D26" s="69"/>
      <c r="E26" s="68"/>
      <c r="F26" s="9"/>
    </row>
    <row r="27" spans="1:6">
      <c r="A27" s="68"/>
      <c r="B27" s="68"/>
      <c r="C27" s="68"/>
      <c r="D27" s="69"/>
      <c r="E27" s="68"/>
      <c r="F27" s="9"/>
    </row>
    <row r="28" spans="1:6">
      <c r="A28" s="68"/>
      <c r="B28" s="68"/>
      <c r="C28" s="68"/>
      <c r="D28" s="69"/>
      <c r="E28" s="68"/>
      <c r="F28" s="9"/>
    </row>
    <row r="29" spans="1:6">
      <c r="A29" s="68"/>
      <c r="B29" s="68"/>
      <c r="C29" s="68"/>
      <c r="D29" s="69"/>
      <c r="E29" s="68"/>
      <c r="F29" s="9"/>
    </row>
    <row r="30" spans="1:6">
      <c r="A30" s="68"/>
      <c r="B30" s="68"/>
      <c r="C30" s="68"/>
      <c r="D30" s="69"/>
      <c r="E30" s="68"/>
      <c r="F30" s="9"/>
    </row>
    <row r="31" spans="1:6">
      <c r="A31" s="68"/>
      <c r="B31" s="68"/>
      <c r="C31" s="68"/>
      <c r="D31" s="69"/>
      <c r="E31" s="68"/>
      <c r="F31" s="9"/>
    </row>
    <row r="32" spans="1:6">
      <c r="A32" s="68"/>
      <c r="B32" s="68"/>
      <c r="C32" s="68"/>
      <c r="D32" s="69"/>
      <c r="E32" s="68"/>
      <c r="F32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84"/>
  <sheetViews>
    <sheetView workbookViewId="0">
      <selection activeCell="A4" sqref="A4:G4"/>
    </sheetView>
  </sheetViews>
  <sheetFormatPr baseColWidth="10" defaultColWidth="9" defaultRowHeight="15" x14ac:dyDescent="0"/>
  <cols>
    <col min="1" max="1" width="12.5" style="31" customWidth="1"/>
    <col min="2" max="2" width="25.5" style="31" customWidth="1"/>
    <col min="3" max="3" width="9.33203125" style="31" customWidth="1"/>
    <col min="4" max="4" width="9" style="31"/>
    <col min="5" max="5" width="9.33203125" style="31" customWidth="1"/>
    <col min="6" max="6" width="17.83203125" style="116" customWidth="1"/>
  </cols>
  <sheetData>
    <row r="2" spans="1:6">
      <c r="A2" s="143" t="s">
        <v>183</v>
      </c>
      <c r="B2" s="143"/>
    </row>
    <row r="4" spans="1:6" ht="14">
      <c r="A4" s="262" t="s">
        <v>1</v>
      </c>
      <c r="B4" s="262" t="s">
        <v>429</v>
      </c>
      <c r="C4" s="262" t="s">
        <v>3</v>
      </c>
      <c r="D4" s="262" t="s">
        <v>4</v>
      </c>
      <c r="E4" s="262" t="s">
        <v>5</v>
      </c>
      <c r="F4" s="25" t="s">
        <v>6</v>
      </c>
    </row>
    <row r="5" spans="1:6">
      <c r="A5" s="37"/>
      <c r="B5" s="33" t="s">
        <v>418</v>
      </c>
      <c r="C5" s="33"/>
      <c r="D5" s="33"/>
      <c r="E5" s="33">
        <v>13</v>
      </c>
      <c r="F5" s="95"/>
    </row>
    <row r="6" spans="1:6">
      <c r="A6" s="37"/>
      <c r="B6" s="33"/>
      <c r="C6" s="33"/>
      <c r="D6" s="33"/>
      <c r="E6" s="33"/>
      <c r="F6" s="95"/>
    </row>
    <row r="7" spans="1:6">
      <c r="A7" s="37"/>
      <c r="B7" s="33"/>
      <c r="C7" s="33"/>
      <c r="D7" s="33"/>
      <c r="E7" s="33"/>
      <c r="F7" s="95"/>
    </row>
    <row r="8" spans="1:6">
      <c r="A8" s="58"/>
      <c r="B8" s="171"/>
      <c r="C8" s="171"/>
      <c r="D8" s="171"/>
      <c r="E8" s="171"/>
      <c r="F8" s="95"/>
    </row>
    <row r="9" spans="1:6">
      <c r="A9" s="37"/>
      <c r="B9" s="33"/>
      <c r="C9" s="33"/>
      <c r="D9" s="33"/>
      <c r="E9" s="33"/>
      <c r="F9" s="95"/>
    </row>
    <row r="10" spans="1:6">
      <c r="A10" s="37"/>
      <c r="B10" s="33"/>
      <c r="C10" s="33"/>
      <c r="D10" s="33"/>
      <c r="E10" s="33"/>
      <c r="F10" s="95"/>
    </row>
    <row r="11" spans="1:6">
      <c r="A11" s="33"/>
      <c r="B11" s="33"/>
      <c r="C11" s="33"/>
      <c r="D11" s="33"/>
      <c r="E11" s="33"/>
      <c r="F11" s="95"/>
    </row>
    <row r="12" spans="1:6">
      <c r="A12" s="33"/>
      <c r="B12" s="33"/>
      <c r="C12" s="33"/>
      <c r="D12" s="33"/>
      <c r="E12" s="33"/>
      <c r="F12" s="95"/>
    </row>
    <row r="13" spans="1:6">
      <c r="A13" s="33"/>
      <c r="B13" s="33"/>
      <c r="C13" s="33"/>
      <c r="D13" s="33"/>
      <c r="E13" s="33"/>
      <c r="F13" s="95"/>
    </row>
    <row r="14" spans="1:6">
      <c r="A14" s="33"/>
      <c r="B14" s="33"/>
      <c r="C14" s="33"/>
      <c r="D14" s="33"/>
      <c r="E14" s="33"/>
      <c r="F14" s="95"/>
    </row>
    <row r="15" spans="1:6">
      <c r="A15" s="33"/>
      <c r="B15" s="33"/>
      <c r="C15" s="33"/>
      <c r="D15" s="33"/>
      <c r="E15" s="33"/>
      <c r="F15" s="95"/>
    </row>
    <row r="16" spans="1:6">
      <c r="A16" s="33"/>
      <c r="B16" s="33"/>
      <c r="C16" s="33"/>
      <c r="D16" s="33"/>
      <c r="E16" s="33"/>
      <c r="F16" s="95"/>
    </row>
    <row r="17" spans="1:6">
      <c r="A17" s="33"/>
      <c r="C17" s="33"/>
      <c r="D17" s="33"/>
      <c r="E17" s="33"/>
      <c r="F17" s="95"/>
    </row>
    <row r="18" spans="1:6">
      <c r="A18" s="33"/>
      <c r="B18" s="33"/>
      <c r="C18" s="33"/>
      <c r="D18" s="33"/>
      <c r="E18" s="33"/>
      <c r="F18" s="95"/>
    </row>
    <row r="19" spans="1:6">
      <c r="A19" s="33"/>
      <c r="B19" s="33"/>
      <c r="C19" s="33"/>
      <c r="D19" s="33"/>
      <c r="E19" s="33"/>
      <c r="F19" s="95"/>
    </row>
    <row r="20" spans="1:6">
      <c r="A20" s="33"/>
      <c r="B20" s="33"/>
      <c r="C20" s="33"/>
      <c r="D20" s="33"/>
      <c r="E20" s="33"/>
      <c r="F20" s="95"/>
    </row>
    <row r="21" spans="1:6">
      <c r="A21" s="33"/>
      <c r="B21" s="33"/>
      <c r="C21" s="33"/>
      <c r="D21" s="33"/>
      <c r="E21" s="33"/>
      <c r="F21" s="95"/>
    </row>
    <row r="22" spans="1:6">
      <c r="A22" s="33"/>
      <c r="B22" s="33"/>
      <c r="C22" s="33"/>
      <c r="D22" s="33"/>
      <c r="E22" s="33"/>
      <c r="F22" s="95"/>
    </row>
    <row r="23" spans="1:6">
      <c r="A23" s="33"/>
      <c r="B23" s="33"/>
      <c r="C23" s="33"/>
      <c r="D23" s="33"/>
      <c r="E23" s="33"/>
      <c r="F23" s="95"/>
    </row>
    <row r="24" spans="1:6">
      <c r="A24" s="33"/>
      <c r="B24" s="33"/>
      <c r="C24" s="33"/>
      <c r="D24" s="33"/>
      <c r="E24" s="33"/>
      <c r="F24" s="95"/>
    </row>
    <row r="25" spans="1:6">
      <c r="A25" s="33"/>
      <c r="B25" s="33"/>
      <c r="C25" s="33"/>
      <c r="D25" s="33"/>
      <c r="E25" s="33"/>
      <c r="F25" s="95"/>
    </row>
    <row r="26" spans="1:6">
      <c r="A26" s="33"/>
      <c r="B26" s="33"/>
      <c r="C26" s="33"/>
      <c r="D26" s="33"/>
      <c r="E26" s="33"/>
      <c r="F26" s="95"/>
    </row>
    <row r="27" spans="1:6">
      <c r="A27" s="33"/>
      <c r="B27" s="33"/>
      <c r="C27" s="33"/>
      <c r="D27" s="33"/>
      <c r="E27" s="33"/>
      <c r="F27" s="95"/>
    </row>
    <row r="28" spans="1:6">
      <c r="A28" s="33"/>
      <c r="B28" s="33"/>
      <c r="C28" s="33"/>
      <c r="D28" s="33"/>
      <c r="E28" s="33"/>
      <c r="F28" s="95"/>
    </row>
    <row r="29" spans="1:6">
      <c r="A29" s="33"/>
      <c r="B29" s="33"/>
      <c r="C29" s="33"/>
      <c r="D29" s="33"/>
      <c r="E29" s="33"/>
      <c r="F29" s="95"/>
    </row>
    <row r="30" spans="1:6">
      <c r="A30" s="33"/>
      <c r="B30" s="33"/>
      <c r="C30" s="33"/>
      <c r="D30" s="33"/>
      <c r="E30" s="33"/>
      <c r="F30" s="95"/>
    </row>
    <row r="31" spans="1:6">
      <c r="A31" s="33"/>
      <c r="B31" s="33"/>
      <c r="C31" s="33"/>
      <c r="D31" s="33"/>
      <c r="E31" s="33"/>
      <c r="F31" s="95"/>
    </row>
    <row r="32" spans="1:6">
      <c r="A32" s="33"/>
      <c r="B32" s="33"/>
      <c r="C32" s="33"/>
      <c r="D32" s="33"/>
      <c r="E32" s="33"/>
      <c r="F32" s="95"/>
    </row>
    <row r="33" spans="1:6">
      <c r="A33" s="33"/>
      <c r="B33" s="33"/>
      <c r="C33" s="33"/>
      <c r="D33" s="33"/>
      <c r="E33" s="33"/>
      <c r="F33" s="95"/>
    </row>
    <row r="34" spans="1:6">
      <c r="A34" s="33"/>
      <c r="B34" s="33"/>
      <c r="C34" s="33"/>
      <c r="D34" s="33"/>
      <c r="E34" s="33"/>
      <c r="F34" s="95"/>
    </row>
    <row r="35" spans="1:6">
      <c r="A35" s="33"/>
      <c r="B35" s="33"/>
      <c r="C35" s="33"/>
      <c r="D35" s="33"/>
      <c r="E35" s="33"/>
      <c r="F35" s="95"/>
    </row>
    <row r="36" spans="1:6">
      <c r="A36" s="33"/>
      <c r="B36" s="33"/>
      <c r="C36" s="33"/>
      <c r="D36" s="33"/>
      <c r="E36" s="33"/>
      <c r="F36" s="95"/>
    </row>
    <row r="37" spans="1:6">
      <c r="A37" s="33"/>
      <c r="B37" s="33"/>
      <c r="C37" s="33"/>
      <c r="D37" s="33"/>
      <c r="E37" s="33"/>
      <c r="F37" s="95"/>
    </row>
    <row r="38" spans="1:6">
      <c r="A38" s="33"/>
      <c r="B38" s="33"/>
      <c r="C38" s="33"/>
      <c r="D38" s="33"/>
      <c r="E38" s="33"/>
      <c r="F38" s="95"/>
    </row>
    <row r="39" spans="1:6">
      <c r="A39" s="33"/>
      <c r="B39" s="33"/>
      <c r="C39" s="33"/>
      <c r="D39" s="33"/>
      <c r="E39" s="33"/>
      <c r="F39" s="95"/>
    </row>
    <row r="40" spans="1:6">
      <c r="A40" s="33"/>
      <c r="B40" s="33"/>
      <c r="C40" s="33"/>
      <c r="D40" s="33"/>
      <c r="E40" s="33"/>
      <c r="F40" s="95"/>
    </row>
    <row r="41" spans="1:6">
      <c r="A41" s="33"/>
      <c r="B41" s="33"/>
      <c r="C41" s="33"/>
      <c r="D41" s="33"/>
      <c r="E41" s="33"/>
      <c r="F41" s="95"/>
    </row>
    <row r="42" spans="1:6">
      <c r="A42" s="33"/>
      <c r="B42" s="33"/>
      <c r="C42" s="33"/>
      <c r="D42" s="33"/>
      <c r="E42" s="33"/>
      <c r="F42" s="95"/>
    </row>
    <row r="43" spans="1:6">
      <c r="A43" s="33"/>
      <c r="B43" s="33"/>
      <c r="C43" s="33"/>
      <c r="D43" s="33"/>
      <c r="E43" s="33"/>
      <c r="F43" s="95"/>
    </row>
    <row r="44" spans="1:6">
      <c r="A44" s="33"/>
      <c r="B44" s="33"/>
      <c r="C44" s="33"/>
      <c r="D44" s="33"/>
      <c r="E44" s="33"/>
      <c r="F44" s="95"/>
    </row>
    <row r="45" spans="1:6">
      <c r="A45" s="33"/>
      <c r="B45" s="33"/>
      <c r="C45" s="33"/>
      <c r="D45" s="33"/>
      <c r="E45" s="33"/>
      <c r="F45" s="95"/>
    </row>
    <row r="46" spans="1:6">
      <c r="A46" s="33"/>
      <c r="B46" s="33"/>
      <c r="C46" s="33"/>
      <c r="D46" s="33"/>
      <c r="E46" s="33"/>
      <c r="F46" s="95"/>
    </row>
    <row r="47" spans="1:6">
      <c r="A47" s="33"/>
      <c r="B47" s="33"/>
      <c r="C47" s="33"/>
      <c r="D47" s="33"/>
      <c r="E47" s="33"/>
      <c r="F47" s="95"/>
    </row>
    <row r="48" spans="1:6">
      <c r="A48" s="33"/>
      <c r="B48" s="33"/>
      <c r="C48" s="33"/>
      <c r="D48" s="33"/>
      <c r="E48" s="33"/>
      <c r="F48" s="95"/>
    </row>
    <row r="49" spans="1:6">
      <c r="A49" s="33"/>
      <c r="B49" s="33"/>
      <c r="C49" s="33"/>
      <c r="D49" s="33"/>
      <c r="E49" s="33"/>
      <c r="F49" s="95"/>
    </row>
    <row r="50" spans="1:6">
      <c r="A50" s="33"/>
      <c r="B50" s="33"/>
      <c r="C50" s="33"/>
      <c r="D50" s="33"/>
      <c r="E50" s="33"/>
      <c r="F50" s="95"/>
    </row>
    <row r="51" spans="1:6">
      <c r="A51" s="33"/>
      <c r="B51" s="33"/>
      <c r="C51" s="33"/>
      <c r="D51" s="33"/>
      <c r="E51" s="33"/>
      <c r="F51" s="95"/>
    </row>
    <row r="52" spans="1:6">
      <c r="A52" s="33"/>
      <c r="B52" s="33"/>
      <c r="C52" s="33"/>
      <c r="D52" s="33"/>
      <c r="E52" s="33"/>
      <c r="F52" s="95"/>
    </row>
    <row r="53" spans="1:6">
      <c r="A53" s="33"/>
      <c r="B53" s="33"/>
      <c r="C53" s="33"/>
      <c r="D53" s="33"/>
      <c r="E53" s="33"/>
      <c r="F53" s="95"/>
    </row>
    <row r="54" spans="1:6">
      <c r="A54" s="33"/>
      <c r="B54" s="33"/>
      <c r="C54" s="33"/>
      <c r="D54" s="33"/>
      <c r="E54" s="33"/>
      <c r="F54" s="95"/>
    </row>
    <row r="55" spans="1:6">
      <c r="A55" s="33"/>
      <c r="B55" s="33"/>
      <c r="C55" s="33"/>
      <c r="D55" s="33"/>
      <c r="E55" s="33"/>
      <c r="F55" s="95"/>
    </row>
    <row r="56" spans="1:6">
      <c r="A56" s="33"/>
      <c r="B56" s="33"/>
      <c r="C56" s="33"/>
      <c r="D56" s="33"/>
      <c r="E56" s="33"/>
      <c r="F56" s="95"/>
    </row>
    <row r="57" spans="1:6">
      <c r="A57" s="33"/>
      <c r="B57" s="33"/>
      <c r="C57" s="33"/>
      <c r="D57" s="33"/>
      <c r="E57" s="33"/>
      <c r="F57" s="95"/>
    </row>
    <row r="58" spans="1:6">
      <c r="A58" s="33"/>
      <c r="B58" s="33"/>
      <c r="C58" s="33"/>
      <c r="D58" s="33"/>
      <c r="E58" s="33"/>
      <c r="F58" s="95"/>
    </row>
    <row r="59" spans="1:6">
      <c r="A59" s="33"/>
      <c r="B59" s="33"/>
      <c r="C59" s="33"/>
      <c r="D59" s="33"/>
      <c r="E59" s="33"/>
      <c r="F59" s="95"/>
    </row>
    <row r="60" spans="1:6">
      <c r="A60" s="33"/>
      <c r="B60" s="33"/>
      <c r="C60" s="33"/>
      <c r="D60" s="33"/>
      <c r="E60" s="33"/>
      <c r="F60" s="95"/>
    </row>
    <row r="61" spans="1:6">
      <c r="A61" s="33"/>
      <c r="B61" s="33"/>
      <c r="C61" s="33"/>
      <c r="D61" s="33"/>
      <c r="E61" s="33"/>
      <c r="F61" s="95"/>
    </row>
    <row r="62" spans="1:6">
      <c r="A62" s="33"/>
      <c r="B62" s="33"/>
      <c r="C62" s="33"/>
      <c r="D62" s="33"/>
      <c r="E62" s="33"/>
      <c r="F62" s="95"/>
    </row>
    <row r="63" spans="1:6">
      <c r="A63" s="33"/>
      <c r="B63" s="33"/>
      <c r="C63" s="33"/>
      <c r="D63" s="33"/>
      <c r="E63" s="33"/>
      <c r="F63" s="95"/>
    </row>
    <row r="64" spans="1:6">
      <c r="A64" s="33"/>
      <c r="B64" s="33"/>
      <c r="C64" s="33"/>
      <c r="D64" s="33"/>
      <c r="E64" s="33"/>
      <c r="F64" s="95"/>
    </row>
    <row r="65" spans="1:6">
      <c r="A65" s="33"/>
      <c r="B65" s="33"/>
      <c r="C65" s="33"/>
      <c r="D65" s="33"/>
      <c r="E65" s="33"/>
      <c r="F65" s="95"/>
    </row>
    <row r="66" spans="1:6">
      <c r="A66" s="33"/>
      <c r="B66" s="33"/>
      <c r="C66" s="33"/>
      <c r="D66" s="33"/>
      <c r="E66" s="33"/>
      <c r="F66" s="95"/>
    </row>
    <row r="67" spans="1:6">
      <c r="A67" s="33"/>
      <c r="B67" s="33"/>
      <c r="C67" s="33"/>
      <c r="D67" s="33"/>
      <c r="E67" s="33"/>
      <c r="F67" s="95"/>
    </row>
    <row r="68" spans="1:6">
      <c r="A68" s="33"/>
      <c r="B68" s="33"/>
      <c r="C68" s="33"/>
      <c r="D68" s="33"/>
      <c r="E68" s="33"/>
      <c r="F68" s="95"/>
    </row>
    <row r="69" spans="1:6">
      <c r="A69" s="33"/>
      <c r="B69" s="33"/>
      <c r="C69" s="33"/>
      <c r="D69" s="33"/>
      <c r="E69" s="33"/>
      <c r="F69" s="95"/>
    </row>
    <row r="70" spans="1:6">
      <c r="A70" s="33"/>
      <c r="B70" s="33"/>
      <c r="C70" s="33"/>
      <c r="D70" s="33"/>
      <c r="E70" s="33"/>
      <c r="F70" s="95"/>
    </row>
    <row r="71" spans="1:6">
      <c r="A71" s="33"/>
      <c r="B71" s="33"/>
      <c r="C71" s="33"/>
      <c r="D71" s="33"/>
      <c r="E71" s="33"/>
      <c r="F71" s="95"/>
    </row>
    <row r="72" spans="1:6">
      <c r="A72" s="33"/>
      <c r="B72" s="33"/>
      <c r="C72" s="33"/>
      <c r="D72" s="33"/>
      <c r="E72" s="33"/>
      <c r="F72" s="95"/>
    </row>
    <row r="73" spans="1:6">
      <c r="A73" s="33"/>
      <c r="B73" s="33"/>
      <c r="C73" s="33"/>
      <c r="D73" s="33"/>
      <c r="E73" s="33"/>
      <c r="F73" s="95"/>
    </row>
    <row r="74" spans="1:6">
      <c r="A74" s="33"/>
      <c r="B74" s="33"/>
      <c r="C74" s="33"/>
      <c r="D74" s="33"/>
      <c r="E74" s="33"/>
      <c r="F74" s="95"/>
    </row>
    <row r="75" spans="1:6">
      <c r="A75" s="33"/>
      <c r="B75" s="33"/>
      <c r="C75" s="33"/>
      <c r="D75" s="33"/>
      <c r="E75" s="33"/>
      <c r="F75" s="95"/>
    </row>
    <row r="76" spans="1:6">
      <c r="A76" s="33"/>
      <c r="B76" s="33"/>
      <c r="C76" s="33"/>
      <c r="D76" s="33"/>
      <c r="E76" s="33"/>
      <c r="F76" s="95"/>
    </row>
    <row r="77" spans="1:6">
      <c r="A77" s="33"/>
      <c r="B77" s="33"/>
      <c r="C77" s="33"/>
      <c r="D77" s="33"/>
      <c r="E77" s="33"/>
      <c r="F77" s="95"/>
    </row>
    <row r="78" spans="1:6">
      <c r="A78" s="33"/>
      <c r="B78" s="33"/>
      <c r="C78" s="33"/>
      <c r="D78" s="33"/>
      <c r="E78" s="33"/>
      <c r="F78" s="95"/>
    </row>
    <row r="79" spans="1:6">
      <c r="A79" s="33"/>
      <c r="B79" s="33"/>
      <c r="C79" s="33"/>
      <c r="D79" s="33"/>
      <c r="E79" s="33"/>
      <c r="F79" s="95"/>
    </row>
    <row r="80" spans="1:6">
      <c r="A80" s="33"/>
      <c r="B80" s="33"/>
      <c r="C80" s="33"/>
      <c r="D80" s="33"/>
      <c r="E80" s="33"/>
      <c r="F80" s="95"/>
    </row>
    <row r="81" spans="1:6">
      <c r="A81" s="33"/>
      <c r="B81" s="33"/>
      <c r="C81" s="33"/>
      <c r="D81" s="33"/>
      <c r="E81" s="33"/>
      <c r="F81" s="95"/>
    </row>
    <row r="82" spans="1:6">
      <c r="A82" s="33"/>
      <c r="B82" s="33"/>
      <c r="C82" s="33"/>
      <c r="D82" s="33"/>
      <c r="E82" s="33"/>
      <c r="F82" s="95"/>
    </row>
    <row r="83" spans="1:6">
      <c r="A83" s="33"/>
      <c r="B83" s="33"/>
      <c r="C83" s="33"/>
      <c r="D83" s="33"/>
      <c r="E83" s="33"/>
      <c r="F83" s="95"/>
    </row>
    <row r="84" spans="1:6">
      <c r="A84" s="33"/>
      <c r="B84" s="33"/>
      <c r="C84" s="33"/>
      <c r="D84" s="33"/>
      <c r="E84" s="33"/>
      <c r="F84" s="95"/>
    </row>
  </sheetData>
  <pageMargins left="0.69930555555555596" right="0.69930555555555596" top="0.75" bottom="0.75" header="0.3" footer="0.3"/>
  <pageSetup paperSize="9" scale="90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83"/>
  <sheetViews>
    <sheetView workbookViewId="0">
      <selection activeCell="A4" sqref="A4:F4"/>
    </sheetView>
  </sheetViews>
  <sheetFormatPr baseColWidth="10" defaultColWidth="9" defaultRowHeight="15" x14ac:dyDescent="0"/>
  <cols>
    <col min="1" max="1" width="10.6640625" style="31" customWidth="1"/>
    <col min="2" max="2" width="25.5" style="31" customWidth="1"/>
    <col min="3" max="5" width="9" style="31"/>
    <col min="6" max="6" width="14.33203125" style="31" customWidth="1"/>
  </cols>
  <sheetData>
    <row r="2" spans="1:6">
      <c r="A2" s="143" t="s">
        <v>184</v>
      </c>
      <c r="B2" s="143"/>
    </row>
    <row r="4" spans="1:6" ht="14">
      <c r="A4" s="262" t="s">
        <v>1</v>
      </c>
      <c r="B4" s="262" t="s">
        <v>429</v>
      </c>
      <c r="C4" s="262" t="s">
        <v>3</v>
      </c>
      <c r="D4" s="262" t="s">
        <v>4</v>
      </c>
      <c r="E4" s="262" t="s">
        <v>5</v>
      </c>
      <c r="F4" s="25" t="s">
        <v>6</v>
      </c>
    </row>
    <row r="5" spans="1:6">
      <c r="A5" s="37"/>
      <c r="B5" s="33" t="s">
        <v>418</v>
      </c>
      <c r="C5" s="33"/>
      <c r="D5" s="33"/>
      <c r="E5" s="33">
        <v>2</v>
      </c>
      <c r="F5" s="33"/>
    </row>
    <row r="6" spans="1:6">
      <c r="A6" s="37"/>
      <c r="B6" s="33"/>
      <c r="C6" s="33"/>
      <c r="D6" s="33"/>
      <c r="E6" s="33"/>
      <c r="F6" s="33"/>
    </row>
    <row r="7" spans="1:6">
      <c r="A7" s="58"/>
      <c r="B7" s="171"/>
      <c r="C7" s="171"/>
      <c r="D7" s="171"/>
      <c r="E7" s="171"/>
      <c r="F7" s="171"/>
    </row>
    <row r="8" spans="1:6">
      <c r="A8" s="37"/>
      <c r="B8" s="33"/>
      <c r="C8" s="33"/>
      <c r="D8" s="33"/>
      <c r="E8" s="33"/>
      <c r="F8" s="33"/>
    </row>
    <row r="9" spans="1:6">
      <c r="A9" s="37"/>
      <c r="B9" s="33"/>
      <c r="C9" s="33"/>
      <c r="D9" s="33"/>
      <c r="E9" s="33"/>
      <c r="F9" s="33"/>
    </row>
    <row r="10" spans="1:6">
      <c r="A10" s="33"/>
      <c r="B10" s="33"/>
      <c r="C10" s="33"/>
      <c r="D10" s="33"/>
      <c r="E10" s="33"/>
      <c r="F10" s="33"/>
    </row>
    <row r="11" spans="1:6">
      <c r="A11" s="33"/>
      <c r="B11" s="33"/>
      <c r="C11" s="33"/>
      <c r="D11" s="33"/>
      <c r="E11" s="33"/>
      <c r="F11" s="33"/>
    </row>
    <row r="12" spans="1:6">
      <c r="A12" s="33"/>
      <c r="B12" s="33"/>
      <c r="C12" s="33"/>
      <c r="D12" s="33"/>
      <c r="E12" s="33"/>
      <c r="F12" s="33"/>
    </row>
    <row r="13" spans="1:6">
      <c r="A13" s="33"/>
      <c r="B13" s="33"/>
      <c r="C13" s="33"/>
      <c r="D13" s="33"/>
      <c r="E13" s="33"/>
      <c r="F13" s="33"/>
    </row>
    <row r="14" spans="1:6">
      <c r="A14" s="33"/>
      <c r="B14" s="33"/>
      <c r="C14" s="33"/>
      <c r="D14" s="33"/>
      <c r="E14" s="33"/>
      <c r="F14" s="33"/>
    </row>
    <row r="15" spans="1:6">
      <c r="A15" s="33"/>
      <c r="B15" s="33"/>
      <c r="C15" s="33"/>
      <c r="D15" s="33"/>
      <c r="E15" s="33"/>
      <c r="F15" s="33"/>
    </row>
    <row r="16" spans="1:6">
      <c r="A16" s="33"/>
      <c r="C16" s="33"/>
      <c r="D16" s="33"/>
      <c r="E16" s="33"/>
      <c r="F16" s="33"/>
    </row>
    <row r="17" spans="1:6">
      <c r="A17" s="33"/>
      <c r="B17" s="33"/>
      <c r="C17" s="33"/>
      <c r="D17" s="33"/>
      <c r="E17" s="33"/>
      <c r="F17" s="33"/>
    </row>
    <row r="18" spans="1:6">
      <c r="A18" s="33"/>
      <c r="B18" s="33"/>
      <c r="C18" s="33"/>
      <c r="D18" s="33"/>
      <c r="E18" s="33"/>
      <c r="F18" s="33"/>
    </row>
    <row r="19" spans="1:6">
      <c r="A19" s="33"/>
      <c r="B19" s="33"/>
      <c r="C19" s="33"/>
      <c r="D19" s="33"/>
      <c r="E19" s="33"/>
      <c r="F19" s="33"/>
    </row>
    <row r="20" spans="1:6">
      <c r="A20" s="33"/>
      <c r="B20" s="33"/>
      <c r="C20" s="33"/>
      <c r="D20" s="33"/>
      <c r="E20" s="33"/>
      <c r="F20" s="33"/>
    </row>
    <row r="21" spans="1:6">
      <c r="A21" s="33"/>
      <c r="B21" s="33"/>
      <c r="C21" s="33"/>
      <c r="D21" s="33"/>
      <c r="E21" s="33"/>
      <c r="F21" s="33"/>
    </row>
    <row r="22" spans="1:6">
      <c r="A22" s="33"/>
      <c r="B22" s="33"/>
      <c r="C22" s="33"/>
      <c r="D22" s="33"/>
      <c r="E22" s="33"/>
      <c r="F22" s="33"/>
    </row>
    <row r="23" spans="1:6">
      <c r="A23" s="33"/>
      <c r="B23" s="33"/>
      <c r="C23" s="33"/>
      <c r="D23" s="33"/>
      <c r="E23" s="33"/>
      <c r="F23" s="33"/>
    </row>
    <row r="24" spans="1:6">
      <c r="A24" s="33"/>
      <c r="B24" s="33"/>
      <c r="C24" s="33"/>
      <c r="D24" s="33"/>
      <c r="E24" s="33"/>
      <c r="F24" s="33"/>
    </row>
    <row r="25" spans="1:6">
      <c r="A25" s="33"/>
      <c r="B25" s="33"/>
      <c r="C25" s="33"/>
      <c r="D25" s="33"/>
      <c r="E25" s="33"/>
      <c r="F25" s="33"/>
    </row>
    <row r="26" spans="1:6">
      <c r="A26" s="33"/>
      <c r="B26" s="33"/>
      <c r="C26" s="33"/>
      <c r="D26" s="33"/>
      <c r="E26" s="33"/>
      <c r="F26" s="33"/>
    </row>
    <row r="27" spans="1:6">
      <c r="A27" s="33"/>
      <c r="B27" s="33"/>
      <c r="C27" s="33"/>
      <c r="D27" s="33"/>
      <c r="E27" s="33"/>
      <c r="F27" s="33"/>
    </row>
    <row r="28" spans="1:6">
      <c r="A28" s="33"/>
      <c r="B28" s="33"/>
      <c r="C28" s="33"/>
      <c r="D28" s="33"/>
      <c r="E28" s="33"/>
      <c r="F28" s="33"/>
    </row>
    <row r="29" spans="1:6">
      <c r="A29" s="33"/>
      <c r="B29" s="33"/>
      <c r="C29" s="33"/>
      <c r="D29" s="33"/>
      <c r="E29" s="33"/>
      <c r="F29" s="33"/>
    </row>
    <row r="30" spans="1:6">
      <c r="A30" s="33"/>
      <c r="B30" s="33"/>
      <c r="C30" s="33"/>
      <c r="D30" s="33"/>
      <c r="E30" s="33"/>
      <c r="F30" s="33"/>
    </row>
    <row r="31" spans="1:6">
      <c r="A31" s="33"/>
      <c r="B31" s="33"/>
      <c r="C31" s="33"/>
      <c r="D31" s="33"/>
      <c r="E31" s="33"/>
      <c r="F31" s="33"/>
    </row>
    <row r="32" spans="1:6">
      <c r="A32" s="33"/>
      <c r="B32" s="33"/>
      <c r="C32" s="33"/>
      <c r="D32" s="33"/>
      <c r="E32" s="33"/>
      <c r="F32" s="33"/>
    </row>
    <row r="33" spans="1:6">
      <c r="A33" s="33"/>
      <c r="B33" s="33"/>
      <c r="C33" s="33"/>
      <c r="D33" s="33"/>
      <c r="E33" s="33"/>
      <c r="F33" s="33"/>
    </row>
    <row r="34" spans="1:6">
      <c r="A34" s="33"/>
      <c r="B34" s="33"/>
      <c r="C34" s="33"/>
      <c r="D34" s="33"/>
      <c r="E34" s="33"/>
      <c r="F34" s="33"/>
    </row>
    <row r="35" spans="1:6">
      <c r="A35" s="33"/>
      <c r="B35" s="33"/>
      <c r="C35" s="33"/>
      <c r="D35" s="33"/>
      <c r="E35" s="33"/>
      <c r="F35" s="33"/>
    </row>
    <row r="36" spans="1:6">
      <c r="A36" s="33"/>
      <c r="B36" s="33"/>
      <c r="C36" s="33"/>
      <c r="D36" s="33"/>
      <c r="E36" s="33"/>
      <c r="F36" s="33"/>
    </row>
    <row r="37" spans="1:6">
      <c r="A37" s="33"/>
      <c r="B37" s="33"/>
      <c r="C37" s="33"/>
      <c r="D37" s="33"/>
      <c r="E37" s="33"/>
      <c r="F37" s="33"/>
    </row>
    <row r="38" spans="1:6">
      <c r="A38" s="33"/>
      <c r="B38" s="33"/>
      <c r="C38" s="33"/>
      <c r="D38" s="33"/>
      <c r="E38" s="33"/>
      <c r="F38" s="33"/>
    </row>
    <row r="39" spans="1:6">
      <c r="A39" s="33"/>
      <c r="B39" s="33"/>
      <c r="C39" s="33"/>
      <c r="D39" s="33"/>
      <c r="E39" s="33"/>
      <c r="F39" s="33"/>
    </row>
    <row r="40" spans="1:6">
      <c r="A40" s="33"/>
      <c r="B40" s="33"/>
      <c r="C40" s="33"/>
      <c r="D40" s="33"/>
      <c r="E40" s="33"/>
      <c r="F40" s="33"/>
    </row>
    <row r="41" spans="1:6">
      <c r="A41" s="33"/>
      <c r="B41" s="33"/>
      <c r="C41" s="33"/>
      <c r="D41" s="33"/>
      <c r="E41" s="33"/>
      <c r="F41" s="33"/>
    </row>
    <row r="42" spans="1:6">
      <c r="A42" s="33"/>
      <c r="B42" s="33"/>
      <c r="C42" s="33"/>
      <c r="D42" s="33"/>
      <c r="E42" s="33"/>
      <c r="F42" s="33"/>
    </row>
    <row r="43" spans="1:6">
      <c r="A43" s="33"/>
      <c r="B43" s="33"/>
      <c r="C43" s="33"/>
      <c r="D43" s="33"/>
      <c r="E43" s="33"/>
      <c r="F43" s="33"/>
    </row>
    <row r="44" spans="1:6">
      <c r="A44" s="33"/>
      <c r="B44" s="33"/>
      <c r="C44" s="33"/>
      <c r="D44" s="33"/>
      <c r="E44" s="33"/>
      <c r="F44" s="33"/>
    </row>
    <row r="45" spans="1:6">
      <c r="A45" s="33"/>
      <c r="B45" s="33"/>
      <c r="C45" s="33"/>
      <c r="D45" s="33"/>
      <c r="E45" s="33"/>
      <c r="F45" s="33"/>
    </row>
    <row r="46" spans="1:6">
      <c r="A46" s="33"/>
      <c r="B46" s="33"/>
      <c r="C46" s="33"/>
      <c r="D46" s="33"/>
      <c r="E46" s="33"/>
      <c r="F46" s="33"/>
    </row>
    <row r="47" spans="1:6">
      <c r="A47" s="33"/>
      <c r="B47" s="33"/>
      <c r="C47" s="33"/>
      <c r="D47" s="33"/>
      <c r="E47" s="33"/>
      <c r="F47" s="33"/>
    </row>
    <row r="48" spans="1:6">
      <c r="A48" s="33"/>
      <c r="B48" s="33"/>
      <c r="C48" s="33"/>
      <c r="D48" s="33"/>
      <c r="E48" s="33"/>
      <c r="F48" s="33"/>
    </row>
    <row r="49" spans="1:6">
      <c r="A49" s="33"/>
      <c r="B49" s="33"/>
      <c r="C49" s="33"/>
      <c r="D49" s="33"/>
      <c r="E49" s="33"/>
      <c r="F49" s="33"/>
    </row>
    <row r="50" spans="1:6">
      <c r="A50" s="33"/>
      <c r="B50" s="33"/>
      <c r="C50" s="33"/>
      <c r="D50" s="33"/>
      <c r="E50" s="33"/>
      <c r="F50" s="33"/>
    </row>
    <row r="51" spans="1:6">
      <c r="A51" s="33"/>
      <c r="B51" s="33"/>
      <c r="C51" s="33"/>
      <c r="D51" s="33"/>
      <c r="E51" s="33"/>
      <c r="F51" s="33"/>
    </row>
    <row r="52" spans="1:6">
      <c r="A52" s="33"/>
      <c r="B52" s="33"/>
      <c r="C52" s="33"/>
      <c r="D52" s="33"/>
      <c r="E52" s="33"/>
      <c r="F52" s="33"/>
    </row>
    <row r="53" spans="1:6">
      <c r="A53" s="33"/>
      <c r="B53" s="33"/>
      <c r="C53" s="33"/>
      <c r="D53" s="33"/>
      <c r="E53" s="33"/>
      <c r="F53" s="33"/>
    </row>
    <row r="54" spans="1:6">
      <c r="A54" s="33"/>
      <c r="B54" s="33"/>
      <c r="C54" s="33"/>
      <c r="D54" s="33"/>
      <c r="E54" s="33"/>
      <c r="F54" s="33"/>
    </row>
    <row r="55" spans="1:6">
      <c r="A55" s="33"/>
      <c r="B55" s="33"/>
      <c r="C55" s="33"/>
      <c r="D55" s="33"/>
      <c r="E55" s="33"/>
      <c r="F55" s="33"/>
    </row>
    <row r="56" spans="1:6">
      <c r="A56" s="33"/>
      <c r="B56" s="33"/>
      <c r="C56" s="33"/>
      <c r="D56" s="33"/>
      <c r="E56" s="33"/>
      <c r="F56" s="33"/>
    </row>
    <row r="57" spans="1:6">
      <c r="A57" s="33"/>
      <c r="B57" s="33"/>
      <c r="C57" s="33"/>
      <c r="D57" s="33"/>
      <c r="E57" s="33"/>
      <c r="F57" s="33"/>
    </row>
    <row r="58" spans="1:6">
      <c r="A58" s="33"/>
      <c r="B58" s="33"/>
      <c r="C58" s="33"/>
      <c r="D58" s="33"/>
      <c r="E58" s="33"/>
      <c r="F58" s="33"/>
    </row>
    <row r="59" spans="1:6">
      <c r="A59" s="33"/>
      <c r="B59" s="33"/>
      <c r="C59" s="33"/>
      <c r="D59" s="33"/>
      <c r="E59" s="33"/>
      <c r="F59" s="33"/>
    </row>
    <row r="60" spans="1:6">
      <c r="A60" s="33"/>
      <c r="B60" s="33"/>
      <c r="C60" s="33"/>
      <c r="D60" s="33"/>
      <c r="E60" s="33"/>
      <c r="F60" s="33"/>
    </row>
    <row r="61" spans="1:6">
      <c r="A61" s="33"/>
      <c r="B61" s="33"/>
      <c r="C61" s="33"/>
      <c r="D61" s="33"/>
      <c r="E61" s="33"/>
      <c r="F61" s="33"/>
    </row>
    <row r="62" spans="1:6">
      <c r="A62" s="33"/>
      <c r="B62" s="33"/>
      <c r="C62" s="33"/>
      <c r="D62" s="33"/>
      <c r="E62" s="33"/>
      <c r="F62" s="33"/>
    </row>
    <row r="63" spans="1:6">
      <c r="A63" s="33"/>
      <c r="B63" s="33"/>
      <c r="C63" s="33"/>
      <c r="D63" s="33"/>
      <c r="E63" s="33"/>
      <c r="F63" s="33"/>
    </row>
    <row r="64" spans="1:6">
      <c r="A64" s="33"/>
      <c r="B64" s="33"/>
      <c r="C64" s="33"/>
      <c r="D64" s="33"/>
      <c r="E64" s="33"/>
      <c r="F64" s="33"/>
    </row>
    <row r="65" spans="1:6">
      <c r="A65" s="33"/>
      <c r="B65" s="33"/>
      <c r="C65" s="33"/>
      <c r="D65" s="33"/>
      <c r="E65" s="33"/>
      <c r="F65" s="33"/>
    </row>
    <row r="66" spans="1:6">
      <c r="A66" s="33"/>
      <c r="B66" s="33"/>
      <c r="C66" s="33"/>
      <c r="D66" s="33"/>
      <c r="E66" s="33"/>
      <c r="F66" s="33"/>
    </row>
    <row r="67" spans="1:6">
      <c r="A67" s="33"/>
      <c r="B67" s="33"/>
      <c r="C67" s="33"/>
      <c r="D67" s="33"/>
      <c r="E67" s="33"/>
      <c r="F67" s="33"/>
    </row>
    <row r="68" spans="1:6">
      <c r="A68" s="33"/>
      <c r="B68" s="33"/>
      <c r="C68" s="33"/>
      <c r="D68" s="33"/>
      <c r="E68" s="33"/>
      <c r="F68" s="33"/>
    </row>
    <row r="69" spans="1:6">
      <c r="A69" s="33"/>
      <c r="B69" s="33"/>
      <c r="C69" s="33"/>
      <c r="D69" s="33"/>
      <c r="E69" s="33"/>
      <c r="F69" s="33"/>
    </row>
    <row r="70" spans="1:6">
      <c r="A70" s="33"/>
      <c r="B70" s="33"/>
      <c r="C70" s="33"/>
      <c r="D70" s="33"/>
      <c r="E70" s="33"/>
      <c r="F70" s="33"/>
    </row>
    <row r="71" spans="1:6">
      <c r="A71" s="33"/>
      <c r="B71" s="33"/>
      <c r="C71" s="33"/>
      <c r="D71" s="33"/>
      <c r="E71" s="33"/>
      <c r="F71" s="33"/>
    </row>
    <row r="72" spans="1:6">
      <c r="A72" s="33"/>
      <c r="B72" s="33"/>
      <c r="C72" s="33"/>
      <c r="D72" s="33"/>
      <c r="E72" s="33"/>
      <c r="F72" s="33"/>
    </row>
    <row r="73" spans="1:6">
      <c r="A73" s="33"/>
      <c r="B73" s="33"/>
      <c r="C73" s="33"/>
      <c r="D73" s="33"/>
      <c r="E73" s="33"/>
      <c r="F73" s="33"/>
    </row>
    <row r="74" spans="1:6">
      <c r="A74" s="33"/>
      <c r="B74" s="33"/>
      <c r="C74" s="33"/>
      <c r="D74" s="33"/>
      <c r="E74" s="33"/>
      <c r="F74" s="33"/>
    </row>
    <row r="75" spans="1:6">
      <c r="A75" s="33"/>
      <c r="B75" s="33"/>
      <c r="C75" s="33"/>
      <c r="D75" s="33"/>
      <c r="E75" s="33"/>
      <c r="F75" s="33"/>
    </row>
    <row r="76" spans="1:6">
      <c r="A76" s="33"/>
      <c r="B76" s="33"/>
      <c r="C76" s="33"/>
      <c r="D76" s="33"/>
      <c r="E76" s="33"/>
      <c r="F76" s="33"/>
    </row>
    <row r="77" spans="1:6">
      <c r="A77" s="33"/>
      <c r="B77" s="33"/>
      <c r="C77" s="33"/>
      <c r="D77" s="33"/>
      <c r="E77" s="33"/>
      <c r="F77" s="33"/>
    </row>
    <row r="78" spans="1:6">
      <c r="A78" s="33"/>
      <c r="B78" s="33"/>
      <c r="C78" s="33"/>
      <c r="D78" s="33"/>
      <c r="E78" s="33"/>
      <c r="F78" s="33"/>
    </row>
    <row r="79" spans="1:6">
      <c r="A79" s="33"/>
      <c r="B79" s="33"/>
      <c r="C79" s="33"/>
      <c r="D79" s="33"/>
      <c r="E79" s="33"/>
      <c r="F79" s="33"/>
    </row>
    <row r="80" spans="1:6">
      <c r="A80" s="33"/>
      <c r="B80" s="33"/>
      <c r="C80" s="33"/>
      <c r="D80" s="33"/>
      <c r="E80" s="33"/>
      <c r="F80" s="33"/>
    </row>
    <row r="81" spans="1:6">
      <c r="A81" s="33"/>
      <c r="B81" s="33"/>
      <c r="C81" s="33"/>
      <c r="D81" s="33"/>
      <c r="E81" s="33"/>
      <c r="F81" s="33"/>
    </row>
    <row r="82" spans="1:6">
      <c r="A82" s="33"/>
      <c r="B82" s="33"/>
      <c r="C82" s="33"/>
      <c r="D82" s="33"/>
      <c r="E82" s="33"/>
      <c r="F82" s="33"/>
    </row>
    <row r="83" spans="1:6">
      <c r="A83" s="33"/>
      <c r="B83" s="33"/>
      <c r="C83" s="33"/>
      <c r="D83" s="33"/>
      <c r="E83" s="33"/>
      <c r="F83" s="33"/>
    </row>
  </sheetData>
  <pageMargins left="0.69930555555555596" right="0.69930555555555596" top="0.75" bottom="0.75" header="0.3" footer="0.3"/>
  <pageSetup paperSize="9" scale="90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84"/>
  <sheetViews>
    <sheetView workbookViewId="0">
      <selection activeCell="A4" sqref="A4:F4"/>
    </sheetView>
  </sheetViews>
  <sheetFormatPr baseColWidth="10" defaultColWidth="9" defaultRowHeight="15" x14ac:dyDescent="0"/>
  <cols>
    <col min="1" max="1" width="10.6640625" style="31" customWidth="1"/>
    <col min="2" max="2" width="25.5" style="31" customWidth="1"/>
    <col min="3" max="5" width="9" style="31"/>
    <col min="6" max="6" width="14.1640625" style="31" customWidth="1"/>
  </cols>
  <sheetData>
    <row r="2" spans="1:6">
      <c r="A2" s="143" t="s">
        <v>185</v>
      </c>
      <c r="B2" s="143"/>
      <c r="C2" s="143"/>
    </row>
    <row r="4" spans="1:6" ht="14">
      <c r="A4" s="262" t="s">
        <v>1</v>
      </c>
      <c r="B4" s="262" t="s">
        <v>429</v>
      </c>
      <c r="C4" s="262" t="s">
        <v>3</v>
      </c>
      <c r="D4" s="262" t="s">
        <v>4</v>
      </c>
      <c r="E4" s="262" t="s">
        <v>5</v>
      </c>
      <c r="F4" s="25" t="s">
        <v>6</v>
      </c>
    </row>
    <row r="5" spans="1:6">
      <c r="A5" s="37"/>
      <c r="B5" s="33" t="s">
        <v>418</v>
      </c>
      <c r="C5" s="33"/>
      <c r="D5" s="33"/>
      <c r="E5" s="33">
        <v>14</v>
      </c>
      <c r="F5" s="33"/>
    </row>
    <row r="6" spans="1:6">
      <c r="A6" s="37"/>
      <c r="B6" s="33"/>
      <c r="C6" s="33"/>
      <c r="D6" s="33"/>
      <c r="E6" s="33"/>
      <c r="F6" s="33"/>
    </row>
    <row r="7" spans="1:6">
      <c r="A7" s="37"/>
      <c r="B7" s="33"/>
      <c r="C7" s="33"/>
      <c r="D7" s="33"/>
      <c r="E7" s="33"/>
      <c r="F7" s="33"/>
    </row>
    <row r="8" spans="1:6">
      <c r="A8" s="58"/>
      <c r="B8" s="171"/>
      <c r="C8" s="171"/>
      <c r="D8" s="171"/>
      <c r="E8" s="171"/>
      <c r="F8" s="171"/>
    </row>
    <row r="9" spans="1:6">
      <c r="A9" s="37"/>
      <c r="B9" s="33"/>
      <c r="C9" s="33"/>
      <c r="D9" s="33"/>
      <c r="E9" s="33"/>
      <c r="F9" s="33"/>
    </row>
    <row r="10" spans="1:6">
      <c r="A10" s="37"/>
      <c r="B10" s="33"/>
      <c r="C10" s="33"/>
      <c r="D10" s="33"/>
      <c r="E10" s="33"/>
      <c r="F10" s="33"/>
    </row>
    <row r="11" spans="1:6">
      <c r="A11" s="33"/>
      <c r="B11" s="33"/>
      <c r="C11" s="33"/>
      <c r="D11" s="33"/>
      <c r="E11" s="33"/>
      <c r="F11" s="33"/>
    </row>
    <row r="12" spans="1:6">
      <c r="A12" s="33"/>
      <c r="B12" s="33"/>
      <c r="C12" s="33"/>
      <c r="D12" s="33"/>
      <c r="E12" s="33"/>
      <c r="F12" s="33"/>
    </row>
    <row r="13" spans="1:6">
      <c r="A13" s="33"/>
      <c r="B13" s="33"/>
      <c r="C13" s="33"/>
      <c r="D13" s="33"/>
      <c r="E13" s="33"/>
      <c r="F13" s="33"/>
    </row>
    <row r="14" spans="1:6">
      <c r="A14" s="33"/>
      <c r="B14" s="33"/>
      <c r="C14" s="33"/>
      <c r="D14" s="33"/>
      <c r="E14" s="33"/>
      <c r="F14" s="33"/>
    </row>
    <row r="15" spans="1:6">
      <c r="A15" s="33"/>
      <c r="B15" s="33"/>
      <c r="C15" s="33"/>
      <c r="D15" s="33"/>
      <c r="E15" s="33"/>
      <c r="F15" s="33"/>
    </row>
    <row r="16" spans="1:6">
      <c r="A16" s="33"/>
      <c r="B16" s="33"/>
      <c r="C16" s="33"/>
      <c r="D16" s="33"/>
      <c r="E16" s="33"/>
      <c r="F16" s="33"/>
    </row>
    <row r="17" spans="1:6">
      <c r="A17" s="33"/>
      <c r="C17" s="33"/>
      <c r="D17" s="33"/>
      <c r="E17" s="33"/>
      <c r="F17" s="33"/>
    </row>
    <row r="18" spans="1:6">
      <c r="A18" s="33"/>
      <c r="B18" s="33"/>
      <c r="C18" s="33"/>
      <c r="D18" s="33"/>
      <c r="E18" s="33"/>
      <c r="F18" s="33"/>
    </row>
    <row r="19" spans="1:6">
      <c r="A19" s="33"/>
      <c r="B19" s="33"/>
      <c r="C19" s="33"/>
      <c r="D19" s="33"/>
      <c r="E19" s="33"/>
      <c r="F19" s="33"/>
    </row>
    <row r="20" spans="1:6">
      <c r="A20" s="33"/>
      <c r="B20" s="33"/>
      <c r="C20" s="33"/>
      <c r="D20" s="33"/>
      <c r="E20" s="33"/>
      <c r="F20" s="33"/>
    </row>
    <row r="21" spans="1:6">
      <c r="A21" s="33"/>
      <c r="B21" s="33"/>
      <c r="C21" s="33"/>
      <c r="D21" s="33"/>
      <c r="E21" s="33"/>
      <c r="F21" s="33"/>
    </row>
    <row r="22" spans="1:6">
      <c r="A22" s="33"/>
      <c r="B22" s="33"/>
      <c r="C22" s="33"/>
      <c r="D22" s="33"/>
      <c r="E22" s="33"/>
      <c r="F22" s="33"/>
    </row>
    <row r="23" spans="1:6">
      <c r="A23" s="33"/>
      <c r="B23" s="33"/>
      <c r="C23" s="33"/>
      <c r="D23" s="33"/>
      <c r="E23" s="33"/>
      <c r="F23" s="33"/>
    </row>
    <row r="24" spans="1:6">
      <c r="A24" s="33"/>
      <c r="B24" s="33"/>
      <c r="C24" s="33"/>
      <c r="D24" s="33"/>
      <c r="E24" s="33"/>
      <c r="F24" s="33"/>
    </row>
    <row r="25" spans="1:6">
      <c r="A25" s="33"/>
      <c r="B25" s="33"/>
      <c r="C25" s="33"/>
      <c r="D25" s="33"/>
      <c r="E25" s="33"/>
      <c r="F25" s="33"/>
    </row>
    <row r="26" spans="1:6">
      <c r="A26" s="33"/>
      <c r="B26" s="33"/>
      <c r="C26" s="33"/>
      <c r="D26" s="33"/>
      <c r="E26" s="33"/>
      <c r="F26" s="33"/>
    </row>
    <row r="27" spans="1:6">
      <c r="A27" s="33"/>
      <c r="B27" s="33"/>
      <c r="C27" s="33"/>
      <c r="D27" s="33"/>
      <c r="E27" s="33"/>
      <c r="F27" s="33"/>
    </row>
    <row r="28" spans="1:6">
      <c r="A28" s="33"/>
      <c r="B28" s="33"/>
      <c r="C28" s="33"/>
      <c r="D28" s="33"/>
      <c r="E28" s="33"/>
      <c r="F28" s="33"/>
    </row>
    <row r="29" spans="1:6">
      <c r="A29" s="33"/>
      <c r="B29" s="33"/>
      <c r="C29" s="33"/>
      <c r="D29" s="33"/>
      <c r="E29" s="33"/>
      <c r="F29" s="33"/>
    </row>
    <row r="30" spans="1:6">
      <c r="A30" s="33"/>
      <c r="B30" s="33"/>
      <c r="C30" s="33"/>
      <c r="D30" s="33"/>
      <c r="E30" s="33"/>
      <c r="F30" s="33"/>
    </row>
    <row r="31" spans="1:6">
      <c r="A31" s="33"/>
      <c r="B31" s="33"/>
      <c r="C31" s="33"/>
      <c r="D31" s="33"/>
      <c r="E31" s="33"/>
      <c r="F31" s="33"/>
    </row>
    <row r="32" spans="1:6">
      <c r="A32" s="33"/>
      <c r="B32" s="33"/>
      <c r="C32" s="33"/>
      <c r="D32" s="33"/>
      <c r="E32" s="33"/>
      <c r="F32" s="33"/>
    </row>
    <row r="33" spans="1:6">
      <c r="A33" s="33"/>
      <c r="B33" s="33"/>
      <c r="C33" s="33"/>
      <c r="D33" s="33"/>
      <c r="E33" s="33"/>
      <c r="F33" s="33"/>
    </row>
    <row r="34" spans="1:6">
      <c r="A34" s="33"/>
      <c r="B34" s="33"/>
      <c r="C34" s="33"/>
      <c r="D34" s="33"/>
      <c r="E34" s="33"/>
      <c r="F34" s="33"/>
    </row>
    <row r="35" spans="1:6">
      <c r="A35" s="33"/>
      <c r="B35" s="33"/>
      <c r="C35" s="33"/>
      <c r="D35" s="33"/>
      <c r="E35" s="33"/>
      <c r="F35" s="33"/>
    </row>
    <row r="36" spans="1:6">
      <c r="A36" s="33"/>
      <c r="B36" s="33"/>
      <c r="C36" s="33"/>
      <c r="D36" s="33"/>
      <c r="E36" s="33"/>
      <c r="F36" s="33"/>
    </row>
    <row r="37" spans="1:6">
      <c r="A37" s="33"/>
      <c r="B37" s="33"/>
      <c r="C37" s="33"/>
      <c r="D37" s="33"/>
      <c r="E37" s="33"/>
      <c r="F37" s="33"/>
    </row>
    <row r="38" spans="1:6">
      <c r="A38" s="33"/>
      <c r="B38" s="33"/>
      <c r="C38" s="33"/>
      <c r="D38" s="33"/>
      <c r="E38" s="33"/>
      <c r="F38" s="33"/>
    </row>
    <row r="39" spans="1:6">
      <c r="A39" s="33"/>
      <c r="B39" s="33"/>
      <c r="C39" s="33"/>
      <c r="D39" s="33"/>
      <c r="E39" s="33"/>
      <c r="F39" s="33"/>
    </row>
    <row r="40" spans="1:6">
      <c r="A40" s="33"/>
      <c r="B40" s="33"/>
      <c r="C40" s="33"/>
      <c r="D40" s="33"/>
      <c r="E40" s="33"/>
      <c r="F40" s="33"/>
    </row>
    <row r="41" spans="1:6">
      <c r="A41" s="33"/>
      <c r="B41" s="33"/>
      <c r="C41" s="33"/>
      <c r="D41" s="33"/>
      <c r="E41" s="33"/>
      <c r="F41" s="33"/>
    </row>
    <row r="42" spans="1:6">
      <c r="A42" s="33"/>
      <c r="B42" s="33"/>
      <c r="C42" s="33"/>
      <c r="D42" s="33"/>
      <c r="E42" s="33"/>
      <c r="F42" s="33"/>
    </row>
    <row r="43" spans="1:6">
      <c r="A43" s="33"/>
      <c r="B43" s="33"/>
      <c r="C43" s="33"/>
      <c r="D43" s="33"/>
      <c r="E43" s="33"/>
      <c r="F43" s="33"/>
    </row>
    <row r="44" spans="1:6">
      <c r="A44" s="33"/>
      <c r="B44" s="33"/>
      <c r="C44" s="33"/>
      <c r="D44" s="33"/>
      <c r="E44" s="33"/>
      <c r="F44" s="33"/>
    </row>
    <row r="45" spans="1:6">
      <c r="A45" s="33"/>
      <c r="B45" s="33"/>
      <c r="C45" s="33"/>
      <c r="D45" s="33"/>
      <c r="E45" s="33"/>
      <c r="F45" s="33"/>
    </row>
    <row r="46" spans="1:6">
      <c r="A46" s="33"/>
      <c r="B46" s="33"/>
      <c r="C46" s="33"/>
      <c r="D46" s="33"/>
      <c r="E46" s="33"/>
      <c r="F46" s="33"/>
    </row>
    <row r="47" spans="1:6">
      <c r="A47" s="33"/>
      <c r="B47" s="33"/>
      <c r="C47" s="33"/>
      <c r="D47" s="33"/>
      <c r="E47" s="33"/>
      <c r="F47" s="33"/>
    </row>
    <row r="48" spans="1:6">
      <c r="A48" s="33"/>
      <c r="B48" s="33"/>
      <c r="C48" s="33"/>
      <c r="D48" s="33"/>
      <c r="E48" s="33"/>
      <c r="F48" s="33"/>
    </row>
    <row r="49" spans="1:6">
      <c r="A49" s="33"/>
      <c r="B49" s="33"/>
      <c r="C49" s="33"/>
      <c r="D49" s="33"/>
      <c r="E49" s="33"/>
      <c r="F49" s="33"/>
    </row>
    <row r="50" spans="1:6">
      <c r="A50" s="33"/>
      <c r="B50" s="33"/>
      <c r="C50" s="33"/>
      <c r="D50" s="33"/>
      <c r="E50" s="33"/>
      <c r="F50" s="33"/>
    </row>
    <row r="51" spans="1:6">
      <c r="A51" s="33"/>
      <c r="B51" s="33"/>
      <c r="C51" s="33"/>
      <c r="D51" s="33"/>
      <c r="E51" s="33"/>
      <c r="F51" s="33"/>
    </row>
    <row r="52" spans="1:6">
      <c r="A52" s="33"/>
      <c r="B52" s="33"/>
      <c r="C52" s="33"/>
      <c r="D52" s="33"/>
      <c r="E52" s="33"/>
      <c r="F52" s="33"/>
    </row>
    <row r="53" spans="1:6">
      <c r="A53" s="33"/>
      <c r="B53" s="33"/>
      <c r="C53" s="33"/>
      <c r="D53" s="33"/>
      <c r="E53" s="33"/>
      <c r="F53" s="33"/>
    </row>
    <row r="54" spans="1:6">
      <c r="A54" s="33"/>
      <c r="B54" s="33"/>
      <c r="C54" s="33"/>
      <c r="D54" s="33"/>
      <c r="E54" s="33"/>
      <c r="F54" s="33"/>
    </row>
    <row r="55" spans="1:6">
      <c r="A55" s="33"/>
      <c r="B55" s="33"/>
      <c r="C55" s="33"/>
      <c r="D55" s="33"/>
      <c r="E55" s="33"/>
      <c r="F55" s="33"/>
    </row>
    <row r="56" spans="1:6">
      <c r="A56" s="33"/>
      <c r="B56" s="33"/>
      <c r="C56" s="33"/>
      <c r="D56" s="33"/>
      <c r="E56" s="33"/>
      <c r="F56" s="33"/>
    </row>
    <row r="57" spans="1:6">
      <c r="A57" s="33"/>
      <c r="B57" s="33"/>
      <c r="C57" s="33"/>
      <c r="D57" s="33"/>
      <c r="E57" s="33"/>
      <c r="F57" s="33"/>
    </row>
    <row r="58" spans="1:6">
      <c r="A58" s="33"/>
      <c r="B58" s="33"/>
      <c r="C58" s="33"/>
      <c r="D58" s="33"/>
      <c r="E58" s="33"/>
      <c r="F58" s="33"/>
    </row>
    <row r="59" spans="1:6">
      <c r="A59" s="33"/>
      <c r="B59" s="33"/>
      <c r="C59" s="33"/>
      <c r="D59" s="33"/>
      <c r="E59" s="33"/>
      <c r="F59" s="33"/>
    </row>
    <row r="60" spans="1:6">
      <c r="A60" s="33"/>
      <c r="B60" s="33"/>
      <c r="C60" s="33"/>
      <c r="D60" s="33"/>
      <c r="E60" s="33"/>
      <c r="F60" s="33"/>
    </row>
    <row r="61" spans="1:6">
      <c r="A61" s="33"/>
      <c r="B61" s="33"/>
      <c r="C61" s="33"/>
      <c r="D61" s="33"/>
      <c r="E61" s="33"/>
      <c r="F61" s="33"/>
    </row>
    <row r="62" spans="1:6">
      <c r="A62" s="33"/>
      <c r="B62" s="33"/>
      <c r="C62" s="33"/>
      <c r="D62" s="33"/>
      <c r="E62" s="33"/>
      <c r="F62" s="33"/>
    </row>
    <row r="63" spans="1:6">
      <c r="A63" s="33"/>
      <c r="B63" s="33"/>
      <c r="C63" s="33"/>
      <c r="D63" s="33"/>
      <c r="E63" s="33"/>
      <c r="F63" s="33"/>
    </row>
    <row r="64" spans="1:6">
      <c r="A64" s="33"/>
      <c r="B64" s="33"/>
      <c r="C64" s="33"/>
      <c r="D64" s="33"/>
      <c r="E64" s="33"/>
      <c r="F64" s="33"/>
    </row>
    <row r="65" spans="1:6">
      <c r="A65" s="33"/>
      <c r="B65" s="33"/>
      <c r="C65" s="33"/>
      <c r="D65" s="33"/>
      <c r="E65" s="33"/>
      <c r="F65" s="33"/>
    </row>
    <row r="66" spans="1:6">
      <c r="A66" s="33"/>
      <c r="B66" s="33"/>
      <c r="C66" s="33"/>
      <c r="D66" s="33"/>
      <c r="E66" s="33"/>
      <c r="F66" s="33"/>
    </row>
    <row r="67" spans="1:6">
      <c r="A67" s="33"/>
      <c r="B67" s="33"/>
      <c r="C67" s="33"/>
      <c r="D67" s="33"/>
      <c r="E67" s="33"/>
      <c r="F67" s="33"/>
    </row>
    <row r="68" spans="1:6">
      <c r="A68" s="33"/>
      <c r="B68" s="33"/>
      <c r="C68" s="33"/>
      <c r="D68" s="33"/>
      <c r="E68" s="33"/>
      <c r="F68" s="33"/>
    </row>
    <row r="69" spans="1:6">
      <c r="A69" s="33"/>
      <c r="B69" s="33"/>
      <c r="C69" s="33"/>
      <c r="D69" s="33"/>
      <c r="E69" s="33"/>
      <c r="F69" s="33"/>
    </row>
    <row r="70" spans="1:6">
      <c r="A70" s="33"/>
      <c r="B70" s="33"/>
      <c r="C70" s="33"/>
      <c r="D70" s="33"/>
      <c r="E70" s="33"/>
      <c r="F70" s="33"/>
    </row>
    <row r="71" spans="1:6">
      <c r="A71" s="33"/>
      <c r="B71" s="33"/>
      <c r="C71" s="33"/>
      <c r="D71" s="33"/>
      <c r="E71" s="33"/>
      <c r="F71" s="33"/>
    </row>
    <row r="72" spans="1:6">
      <c r="A72" s="33"/>
      <c r="B72" s="33"/>
      <c r="C72" s="33"/>
      <c r="D72" s="33"/>
      <c r="E72" s="33"/>
      <c r="F72" s="33"/>
    </row>
    <row r="73" spans="1:6">
      <c r="A73" s="33"/>
      <c r="B73" s="33"/>
      <c r="C73" s="33"/>
      <c r="D73" s="33"/>
      <c r="E73" s="33"/>
      <c r="F73" s="33"/>
    </row>
    <row r="74" spans="1:6">
      <c r="A74" s="33"/>
      <c r="B74" s="33"/>
      <c r="C74" s="33"/>
      <c r="D74" s="33"/>
      <c r="E74" s="33"/>
      <c r="F74" s="33"/>
    </row>
    <row r="75" spans="1:6">
      <c r="A75" s="33"/>
      <c r="B75" s="33"/>
      <c r="C75" s="33"/>
      <c r="D75" s="33"/>
      <c r="E75" s="33"/>
      <c r="F75" s="33"/>
    </row>
    <row r="76" spans="1:6">
      <c r="A76" s="33"/>
      <c r="B76" s="33"/>
      <c r="C76" s="33"/>
      <c r="D76" s="33"/>
      <c r="E76" s="33"/>
      <c r="F76" s="33"/>
    </row>
    <row r="77" spans="1:6">
      <c r="A77" s="33"/>
      <c r="B77" s="33"/>
      <c r="C77" s="33"/>
      <c r="D77" s="33"/>
      <c r="E77" s="33"/>
      <c r="F77" s="33"/>
    </row>
    <row r="78" spans="1:6">
      <c r="A78" s="33"/>
      <c r="B78" s="33"/>
      <c r="C78" s="33"/>
      <c r="D78" s="33"/>
      <c r="E78" s="33"/>
      <c r="F78" s="33"/>
    </row>
    <row r="79" spans="1:6">
      <c r="A79" s="33"/>
      <c r="B79" s="33"/>
      <c r="C79" s="33"/>
      <c r="D79" s="33"/>
      <c r="E79" s="33"/>
      <c r="F79" s="33"/>
    </row>
    <row r="80" spans="1:6">
      <c r="A80" s="33"/>
      <c r="B80" s="33"/>
      <c r="C80" s="33"/>
      <c r="D80" s="33"/>
      <c r="E80" s="33"/>
      <c r="F80" s="33"/>
    </row>
    <row r="81" spans="1:6">
      <c r="A81" s="33"/>
      <c r="B81" s="33"/>
      <c r="C81" s="33"/>
      <c r="D81" s="33"/>
      <c r="E81" s="33"/>
      <c r="F81" s="33"/>
    </row>
    <row r="82" spans="1:6">
      <c r="A82" s="33"/>
      <c r="B82" s="33"/>
      <c r="C82" s="33"/>
      <c r="D82" s="33"/>
      <c r="E82" s="33"/>
      <c r="F82" s="33"/>
    </row>
    <row r="83" spans="1:6">
      <c r="A83" s="33"/>
      <c r="B83" s="33"/>
      <c r="C83" s="33"/>
      <c r="D83" s="33"/>
      <c r="E83" s="33"/>
      <c r="F83" s="33"/>
    </row>
    <row r="84" spans="1:6">
      <c r="A84" s="33"/>
      <c r="B84" s="33"/>
      <c r="C84" s="33"/>
      <c r="D84" s="33"/>
      <c r="E84" s="33"/>
      <c r="F84" s="33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9"/>
  <sheetViews>
    <sheetView workbookViewId="0">
      <selection activeCell="A4" sqref="A4:F4"/>
    </sheetView>
  </sheetViews>
  <sheetFormatPr baseColWidth="10" defaultColWidth="9" defaultRowHeight="15" x14ac:dyDescent="0"/>
  <cols>
    <col min="1" max="1" width="15.5" style="116" customWidth="1"/>
    <col min="2" max="2" width="30.1640625" style="116" customWidth="1"/>
    <col min="3" max="5" width="9" style="116"/>
    <col min="6" max="6" width="14" customWidth="1"/>
  </cols>
  <sheetData>
    <row r="2" spans="1:6">
      <c r="A2" s="210" t="s">
        <v>186</v>
      </c>
      <c r="B2" s="210"/>
      <c r="C2" s="211"/>
      <c r="D2" s="211"/>
      <c r="E2" s="210"/>
    </row>
    <row r="3" spans="1:6">
      <c r="A3" s="211"/>
      <c r="B3" s="211"/>
      <c r="C3" s="211"/>
      <c r="D3" s="211"/>
      <c r="E3" s="211"/>
    </row>
    <row r="4" spans="1:6" ht="14">
      <c r="A4" s="262" t="s">
        <v>1</v>
      </c>
      <c r="B4" s="262" t="s">
        <v>429</v>
      </c>
      <c r="C4" s="262" t="s">
        <v>3</v>
      </c>
      <c r="D4" s="262" t="s">
        <v>4</v>
      </c>
      <c r="E4" s="262" t="s">
        <v>5</v>
      </c>
      <c r="F4" s="25" t="s">
        <v>6</v>
      </c>
    </row>
    <row r="5" spans="1:6">
      <c r="A5" s="95"/>
      <c r="B5" s="95" t="s">
        <v>418</v>
      </c>
      <c r="C5" s="95"/>
      <c r="D5" s="95"/>
      <c r="E5" s="95">
        <v>1</v>
      </c>
      <c r="F5" s="9"/>
    </row>
    <row r="6" spans="1:6">
      <c r="A6" s="95"/>
      <c r="B6" s="95"/>
      <c r="C6" s="95"/>
      <c r="D6" s="95"/>
      <c r="E6" s="95"/>
      <c r="F6" s="9"/>
    </row>
    <row r="7" spans="1:6">
      <c r="A7" s="95"/>
      <c r="B7" s="95"/>
      <c r="C7" s="95"/>
      <c r="D7" s="95"/>
      <c r="E7" s="95"/>
      <c r="F7" s="9"/>
    </row>
    <row r="8" spans="1:6">
      <c r="A8" s="95"/>
      <c r="B8" s="95"/>
      <c r="C8" s="95"/>
      <c r="D8" s="95"/>
      <c r="E8" s="95"/>
      <c r="F8" s="9"/>
    </row>
    <row r="9" spans="1:6">
      <c r="A9" s="95"/>
      <c r="B9" s="95"/>
      <c r="C9" s="95"/>
      <c r="D9" s="95"/>
      <c r="E9" s="95"/>
      <c r="F9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62"/>
  <sheetViews>
    <sheetView workbookViewId="0">
      <selection activeCell="E6" sqref="E6"/>
    </sheetView>
  </sheetViews>
  <sheetFormatPr baseColWidth="10" defaultColWidth="9" defaultRowHeight="15" x14ac:dyDescent="0"/>
  <cols>
    <col min="1" max="1" width="13" style="31" customWidth="1"/>
    <col min="2" max="2" width="25.5" style="31" customWidth="1"/>
    <col min="3" max="3" width="9.33203125" style="31" customWidth="1"/>
    <col min="4" max="4" width="9" style="31"/>
    <col min="5" max="5" width="9.33203125" style="31" customWidth="1"/>
    <col min="6" max="6" width="15.33203125" customWidth="1"/>
  </cols>
  <sheetData>
    <row r="2" spans="1:6">
      <c r="A2" s="143" t="s">
        <v>187</v>
      </c>
      <c r="B2" s="143"/>
    </row>
    <row r="4" spans="1:6" ht="14">
      <c r="A4" s="262" t="s">
        <v>1</v>
      </c>
      <c r="B4" s="262" t="s">
        <v>429</v>
      </c>
      <c r="C4" s="262" t="s">
        <v>3</v>
      </c>
      <c r="D4" s="262" t="s">
        <v>4</v>
      </c>
      <c r="E4" s="262" t="s">
        <v>5</v>
      </c>
      <c r="F4" s="25" t="s">
        <v>6</v>
      </c>
    </row>
    <row r="5" spans="1:6">
      <c r="A5" s="30"/>
      <c r="B5" s="87" t="s">
        <v>408</v>
      </c>
      <c r="C5" s="87"/>
      <c r="D5" s="103"/>
      <c r="E5" s="68">
        <v>369</v>
      </c>
      <c r="F5" s="9"/>
    </row>
    <row r="6" spans="1:6">
      <c r="A6" s="30"/>
      <c r="B6" s="87"/>
      <c r="C6" s="87"/>
      <c r="D6" s="103"/>
      <c r="E6" s="68"/>
      <c r="F6" s="9"/>
    </row>
    <row r="7" spans="1:6">
      <c r="A7" s="87"/>
      <c r="B7" s="87"/>
      <c r="C7" s="87"/>
      <c r="D7" s="103"/>
      <c r="E7" s="68"/>
      <c r="F7" s="9"/>
    </row>
    <row r="8" spans="1:6">
      <c r="A8" s="87"/>
      <c r="B8" s="87"/>
      <c r="C8" s="87"/>
      <c r="D8" s="103"/>
      <c r="E8" s="68"/>
      <c r="F8" s="9"/>
    </row>
    <row r="9" spans="1:6">
      <c r="A9" s="87"/>
      <c r="B9" s="87"/>
      <c r="C9" s="87"/>
      <c r="D9" s="103"/>
      <c r="E9" s="68"/>
      <c r="F9" s="9"/>
    </row>
    <row r="10" spans="1:6">
      <c r="A10" s="87"/>
      <c r="B10" s="87"/>
      <c r="C10" s="87"/>
      <c r="D10" s="103"/>
      <c r="E10" s="68"/>
      <c r="F10" s="9"/>
    </row>
    <row r="11" spans="1:6">
      <c r="A11" s="30"/>
      <c r="B11" s="87"/>
      <c r="C11" s="87"/>
      <c r="D11" s="33"/>
      <c r="E11" s="68"/>
      <c r="F11" s="9"/>
    </row>
    <row r="12" spans="1:6">
      <c r="A12" s="30"/>
      <c r="B12" s="87"/>
      <c r="C12" s="87"/>
      <c r="D12" s="33"/>
      <c r="E12" s="68"/>
      <c r="F12" s="9"/>
    </row>
    <row r="13" spans="1:6">
      <c r="A13" s="30"/>
      <c r="B13" s="87"/>
      <c r="C13" s="87"/>
      <c r="D13" s="33"/>
      <c r="E13" s="68"/>
      <c r="F13" s="9"/>
    </row>
    <row r="14" spans="1:6">
      <c r="A14" s="30"/>
      <c r="B14" s="87"/>
      <c r="C14" s="87"/>
      <c r="D14" s="33"/>
      <c r="E14" s="68"/>
      <c r="F14" s="9"/>
    </row>
    <row r="15" spans="1:6">
      <c r="A15" s="30"/>
      <c r="B15" s="87"/>
      <c r="C15" s="87"/>
      <c r="D15" s="33"/>
      <c r="E15" s="68"/>
      <c r="F15" s="9"/>
    </row>
    <row r="16" spans="1:6">
      <c r="A16" s="87"/>
      <c r="B16" s="87"/>
      <c r="C16" s="87"/>
      <c r="D16" s="33"/>
      <c r="E16" s="68"/>
      <c r="F16" s="9"/>
    </row>
    <row r="17" spans="1:6">
      <c r="A17" s="87"/>
      <c r="B17" s="87"/>
      <c r="C17" s="87"/>
      <c r="D17" s="33"/>
      <c r="E17" s="68"/>
      <c r="F17" s="9"/>
    </row>
    <row r="18" spans="1:6">
      <c r="A18" s="68"/>
      <c r="B18" s="68"/>
      <c r="C18" s="68"/>
      <c r="D18" s="33"/>
      <c r="E18" s="68"/>
      <c r="F18" s="9"/>
    </row>
    <row r="19" spans="1:6">
      <c r="A19" s="30"/>
      <c r="B19" s="87"/>
      <c r="C19" s="87"/>
      <c r="D19" s="33"/>
      <c r="E19" s="68"/>
      <c r="F19" s="9"/>
    </row>
    <row r="20" spans="1:6">
      <c r="A20" s="30"/>
      <c r="B20" s="87"/>
      <c r="C20" s="87"/>
      <c r="D20" s="33"/>
      <c r="E20" s="68"/>
      <c r="F20" s="9"/>
    </row>
    <row r="21" spans="1:6">
      <c r="A21" s="30"/>
      <c r="B21" s="87"/>
      <c r="C21" s="87"/>
      <c r="D21" s="33"/>
      <c r="E21" s="68"/>
      <c r="F21" s="9"/>
    </row>
    <row r="22" spans="1:6">
      <c r="A22" s="30"/>
      <c r="B22" s="87"/>
      <c r="C22" s="87"/>
      <c r="D22" s="103"/>
      <c r="E22" s="68"/>
      <c r="F22" s="9"/>
    </row>
    <row r="23" spans="1:6">
      <c r="A23" s="30"/>
      <c r="B23" s="87"/>
      <c r="C23" s="87"/>
      <c r="D23" s="103"/>
      <c r="E23" s="68"/>
      <c r="F23" s="9"/>
    </row>
    <row r="24" spans="1:6">
      <c r="A24" s="30"/>
      <c r="B24" s="87"/>
      <c r="C24" s="87"/>
      <c r="D24" s="103"/>
      <c r="E24" s="68"/>
      <c r="F24" s="9"/>
    </row>
    <row r="25" spans="1:6">
      <c r="A25" s="30"/>
      <c r="B25" s="87"/>
      <c r="C25" s="87"/>
      <c r="D25" s="103"/>
      <c r="E25" s="68"/>
      <c r="F25" s="9"/>
    </row>
    <row r="26" spans="1:6">
      <c r="A26" s="87"/>
      <c r="B26" s="87"/>
      <c r="C26" s="87"/>
      <c r="D26" s="103"/>
      <c r="E26" s="68"/>
      <c r="F26" s="9"/>
    </row>
    <row r="27" spans="1:6">
      <c r="A27" s="87"/>
      <c r="B27" s="87"/>
      <c r="C27" s="87"/>
      <c r="D27" s="103"/>
      <c r="E27" s="68"/>
      <c r="F27" s="9"/>
    </row>
    <row r="28" spans="1:6">
      <c r="A28" s="30"/>
      <c r="B28" s="87"/>
      <c r="C28" s="87"/>
      <c r="D28" s="103"/>
      <c r="E28" s="68"/>
      <c r="F28" s="9"/>
    </row>
    <row r="29" spans="1:6">
      <c r="A29" s="30"/>
      <c r="B29" s="87"/>
      <c r="C29" s="87"/>
      <c r="D29" s="103"/>
      <c r="E29" s="68"/>
      <c r="F29" s="9"/>
    </row>
    <row r="30" spans="1:6">
      <c r="A30" s="87"/>
      <c r="B30" s="87"/>
      <c r="C30" s="87"/>
      <c r="D30" s="103"/>
      <c r="E30" s="68"/>
      <c r="F30" s="9"/>
    </row>
    <row r="31" spans="1:6">
      <c r="A31" s="30"/>
      <c r="B31" s="87"/>
      <c r="C31" s="87"/>
      <c r="D31" s="103"/>
      <c r="E31" s="68"/>
      <c r="F31" s="9"/>
    </row>
    <row r="32" spans="1:6">
      <c r="A32" s="33"/>
      <c r="B32" s="33"/>
      <c r="C32" s="33"/>
      <c r="D32" s="33"/>
      <c r="E32" s="33"/>
      <c r="F32" s="9"/>
    </row>
    <row r="33" spans="1:6">
      <c r="A33" s="33"/>
      <c r="B33" s="33"/>
      <c r="C33" s="33"/>
      <c r="D33" s="33"/>
      <c r="E33" s="33"/>
      <c r="F33" s="9"/>
    </row>
    <row r="34" spans="1:6">
      <c r="A34" s="33"/>
      <c r="B34" s="33"/>
      <c r="C34" s="33"/>
      <c r="D34" s="33"/>
      <c r="E34" s="33"/>
      <c r="F34" s="9"/>
    </row>
    <row r="35" spans="1:6">
      <c r="A35" s="33"/>
      <c r="B35" s="33"/>
      <c r="C35" s="33"/>
      <c r="D35" s="33"/>
      <c r="E35" s="33"/>
      <c r="F35" s="9"/>
    </row>
    <row r="36" spans="1:6">
      <c r="A36" s="33"/>
      <c r="B36" s="33"/>
      <c r="C36" s="33"/>
      <c r="D36" s="33"/>
      <c r="E36" s="33"/>
      <c r="F36" s="9"/>
    </row>
    <row r="37" spans="1:6">
      <c r="A37" s="33"/>
      <c r="B37" s="33"/>
      <c r="C37" s="33"/>
      <c r="D37" s="33"/>
      <c r="E37" s="33"/>
      <c r="F37" s="9"/>
    </row>
    <row r="38" spans="1:6">
      <c r="A38" s="33"/>
      <c r="B38" s="33"/>
      <c r="C38" s="33"/>
      <c r="D38" s="33"/>
      <c r="E38" s="33"/>
      <c r="F38" s="9"/>
    </row>
    <row r="39" spans="1:6">
      <c r="A39" s="33"/>
      <c r="B39" s="33"/>
      <c r="C39" s="33"/>
      <c r="D39" s="33"/>
      <c r="E39" s="33"/>
      <c r="F39" s="9"/>
    </row>
    <row r="40" spans="1:6">
      <c r="A40" s="33"/>
      <c r="B40" s="33"/>
      <c r="C40" s="33"/>
      <c r="D40" s="33"/>
      <c r="E40" s="33"/>
      <c r="F40" s="9"/>
    </row>
    <row r="41" spans="1:6">
      <c r="A41" s="33"/>
      <c r="B41" s="33"/>
      <c r="C41" s="33"/>
      <c r="D41" s="33"/>
      <c r="E41" s="33"/>
      <c r="F41" s="9"/>
    </row>
    <row r="42" spans="1:6">
      <c r="A42" s="33"/>
      <c r="B42" s="33"/>
      <c r="C42" s="33"/>
      <c r="D42" s="33"/>
      <c r="E42" s="33"/>
      <c r="F42" s="9"/>
    </row>
    <row r="43" spans="1:6">
      <c r="A43" s="33"/>
      <c r="B43" s="33"/>
      <c r="C43" s="33"/>
      <c r="D43" s="33"/>
      <c r="E43" s="33"/>
      <c r="F43" s="9"/>
    </row>
    <row r="44" spans="1:6">
      <c r="A44" s="33"/>
      <c r="B44" s="33"/>
      <c r="C44" s="33"/>
      <c r="D44" s="33"/>
      <c r="E44" s="33"/>
      <c r="F44" s="9"/>
    </row>
    <row r="45" spans="1:6">
      <c r="A45" s="33"/>
      <c r="B45" s="33"/>
      <c r="C45" s="33"/>
      <c r="D45" s="33"/>
      <c r="E45" s="33"/>
      <c r="F45" s="9"/>
    </row>
    <row r="46" spans="1:6">
      <c r="A46" s="33"/>
      <c r="B46" s="33"/>
      <c r="C46" s="33"/>
      <c r="D46" s="33"/>
      <c r="E46" s="33"/>
      <c r="F46" s="9"/>
    </row>
    <row r="47" spans="1:6">
      <c r="A47" s="33"/>
      <c r="B47" s="33"/>
      <c r="C47" s="33"/>
      <c r="D47" s="33"/>
      <c r="E47" s="33"/>
      <c r="F47" s="9"/>
    </row>
    <row r="48" spans="1:6">
      <c r="A48" s="33"/>
      <c r="B48" s="33"/>
      <c r="C48" s="33"/>
      <c r="D48" s="33"/>
      <c r="E48" s="33"/>
      <c r="F48" s="9"/>
    </row>
    <row r="49" spans="1:6">
      <c r="A49" s="33"/>
      <c r="B49" s="33"/>
      <c r="C49" s="33"/>
      <c r="D49" s="33"/>
      <c r="E49" s="33"/>
      <c r="F49" s="9"/>
    </row>
    <row r="50" spans="1:6">
      <c r="A50" s="33"/>
      <c r="B50" s="33"/>
      <c r="C50" s="33"/>
      <c r="D50" s="33"/>
      <c r="E50" s="33"/>
      <c r="F50" s="9"/>
    </row>
    <row r="51" spans="1:6">
      <c r="A51" s="33"/>
      <c r="B51" s="33"/>
      <c r="C51" s="33"/>
      <c r="D51" s="33"/>
      <c r="E51" s="33"/>
      <c r="F51" s="9"/>
    </row>
    <row r="52" spans="1:6">
      <c r="A52" s="33"/>
      <c r="B52" s="33"/>
      <c r="C52" s="33"/>
      <c r="D52" s="33"/>
      <c r="E52" s="33"/>
      <c r="F52" s="9"/>
    </row>
    <row r="53" spans="1:6">
      <c r="A53" s="33"/>
      <c r="B53" s="33"/>
      <c r="C53" s="33"/>
      <c r="D53" s="33"/>
      <c r="E53" s="33"/>
      <c r="F53" s="9"/>
    </row>
    <row r="54" spans="1:6">
      <c r="A54" s="33"/>
      <c r="B54" s="33"/>
      <c r="C54" s="33"/>
      <c r="D54" s="33"/>
      <c r="E54" s="33"/>
      <c r="F54" s="9"/>
    </row>
    <row r="55" spans="1:6">
      <c r="A55" s="33"/>
      <c r="B55" s="33"/>
      <c r="C55" s="33"/>
      <c r="D55" s="33"/>
      <c r="E55" s="33"/>
      <c r="F55" s="9"/>
    </row>
    <row r="56" spans="1:6">
      <c r="A56" s="33"/>
      <c r="B56" s="33"/>
      <c r="C56" s="33"/>
      <c r="D56" s="33"/>
      <c r="E56" s="33"/>
      <c r="F56" s="9"/>
    </row>
    <row r="57" spans="1:6">
      <c r="A57" s="33"/>
      <c r="B57" s="33"/>
      <c r="C57" s="33"/>
      <c r="D57" s="33"/>
      <c r="E57" s="33"/>
      <c r="F57" s="9"/>
    </row>
    <row r="58" spans="1:6">
      <c r="A58" s="33"/>
      <c r="B58" s="33"/>
      <c r="C58" s="33"/>
      <c r="D58" s="33"/>
      <c r="E58" s="33"/>
      <c r="F58" s="9"/>
    </row>
    <row r="59" spans="1:6">
      <c r="A59" s="33"/>
      <c r="B59" s="33"/>
      <c r="C59" s="33"/>
      <c r="D59" s="33"/>
      <c r="E59" s="33"/>
      <c r="F59" s="9"/>
    </row>
    <row r="60" spans="1:6">
      <c r="A60" s="33"/>
      <c r="B60" s="33"/>
      <c r="C60" s="33"/>
      <c r="D60" s="33"/>
      <c r="E60" s="33"/>
      <c r="F60" s="9"/>
    </row>
    <row r="61" spans="1:6">
      <c r="A61" s="33"/>
      <c r="B61" s="33"/>
      <c r="C61" s="33"/>
      <c r="D61" s="33"/>
      <c r="E61" s="33"/>
      <c r="F61" s="9"/>
    </row>
    <row r="62" spans="1:6">
      <c r="A62" s="33"/>
      <c r="B62" s="33"/>
      <c r="C62" s="33"/>
      <c r="D62" s="33"/>
      <c r="E62" s="33"/>
      <c r="F62" s="9"/>
    </row>
  </sheetData>
  <pageMargins left="0.69930555555555596" right="0.69930555555555596" top="0.75" bottom="0.75" header="0.3" footer="0.3"/>
  <pageSetup paperSize="9" scale="90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1"/>
  <sheetViews>
    <sheetView workbookViewId="0">
      <selection activeCell="E13" sqref="E13:E14"/>
    </sheetView>
  </sheetViews>
  <sheetFormatPr baseColWidth="10" defaultColWidth="9" defaultRowHeight="15" x14ac:dyDescent="0"/>
  <cols>
    <col min="1" max="1" width="13" style="116" customWidth="1"/>
    <col min="2" max="2" width="43.33203125" style="116" customWidth="1"/>
    <col min="3" max="5" width="9" style="116"/>
    <col min="6" max="6" width="19" customWidth="1"/>
  </cols>
  <sheetData>
    <row r="2" spans="1:6">
      <c r="A2" s="210" t="s">
        <v>189</v>
      </c>
      <c r="B2" s="210"/>
      <c r="C2" s="210"/>
      <c r="D2" s="210"/>
      <c r="E2" s="210"/>
    </row>
    <row r="3" spans="1:6">
      <c r="A3" s="211"/>
      <c r="B3" s="211"/>
      <c r="C3" s="211"/>
      <c r="D3" s="211"/>
      <c r="E3" s="211"/>
    </row>
    <row r="4" spans="1:6" ht="14">
      <c r="A4" s="262" t="s">
        <v>1</v>
      </c>
      <c r="B4" s="262" t="s">
        <v>429</v>
      </c>
      <c r="C4" s="262" t="s">
        <v>3</v>
      </c>
      <c r="D4" s="262" t="s">
        <v>4</v>
      </c>
      <c r="E4" s="262" t="s">
        <v>5</v>
      </c>
      <c r="F4" s="25" t="s">
        <v>6</v>
      </c>
    </row>
    <row r="5" spans="1:6">
      <c r="A5" s="95"/>
      <c r="B5" s="95" t="s">
        <v>418</v>
      </c>
      <c r="C5" s="95"/>
      <c r="D5" s="95"/>
      <c r="E5" s="95">
        <v>668</v>
      </c>
      <c r="F5" s="9"/>
    </row>
    <row r="6" spans="1:6">
      <c r="A6" s="161">
        <v>43191</v>
      </c>
      <c r="B6" s="36" t="s">
        <v>406</v>
      </c>
      <c r="C6" s="95"/>
      <c r="D6" s="95">
        <v>223</v>
      </c>
      <c r="E6" s="95">
        <f t="shared" ref="E6:E11" si="0">E5+C6-D6</f>
        <v>445</v>
      </c>
      <c r="F6" s="306"/>
    </row>
    <row r="7" spans="1:6">
      <c r="A7" s="95" t="s">
        <v>516</v>
      </c>
      <c r="B7" s="95" t="s">
        <v>522</v>
      </c>
      <c r="C7" s="95">
        <v>44</v>
      </c>
      <c r="D7" s="95"/>
      <c r="E7" s="95">
        <f t="shared" si="0"/>
        <v>489</v>
      </c>
      <c r="F7" s="348"/>
    </row>
    <row r="8" spans="1:6">
      <c r="A8" s="34" t="s">
        <v>586</v>
      </c>
      <c r="B8" s="34" t="s">
        <v>16</v>
      </c>
      <c r="C8" s="393">
        <v>36</v>
      </c>
      <c r="D8" s="95"/>
      <c r="E8" s="95">
        <f t="shared" si="0"/>
        <v>525</v>
      </c>
      <c r="F8" s="375"/>
    </row>
    <row r="9" spans="1:6">
      <c r="A9" s="95" t="s">
        <v>598</v>
      </c>
      <c r="B9" s="34" t="s">
        <v>16</v>
      </c>
      <c r="C9" s="393">
        <v>91</v>
      </c>
      <c r="D9" s="95"/>
      <c r="E9" s="95">
        <f t="shared" si="0"/>
        <v>616</v>
      </c>
      <c r="F9" s="386"/>
    </row>
    <row r="10" spans="1:6">
      <c r="A10" s="37">
        <v>43253</v>
      </c>
      <c r="B10" s="33" t="s">
        <v>16</v>
      </c>
      <c r="C10" s="95">
        <v>78</v>
      </c>
      <c r="D10" s="95"/>
      <c r="E10" s="95">
        <f t="shared" si="0"/>
        <v>694</v>
      </c>
      <c r="F10" s="407"/>
    </row>
    <row r="11" spans="1:6">
      <c r="A11" s="33" t="s">
        <v>630</v>
      </c>
      <c r="B11" s="34" t="s">
        <v>16</v>
      </c>
      <c r="C11" s="95">
        <v>53</v>
      </c>
      <c r="D11" s="95"/>
      <c r="E11" s="95">
        <f t="shared" si="0"/>
        <v>747</v>
      </c>
      <c r="F11" s="429"/>
    </row>
    <row r="12" spans="1:6">
      <c r="A12" s="95" t="s">
        <v>733</v>
      </c>
      <c r="B12" s="95" t="s">
        <v>406</v>
      </c>
      <c r="C12" s="95">
        <v>204</v>
      </c>
      <c r="D12" s="95"/>
      <c r="E12" s="95">
        <f>E11+C12-D12</f>
        <v>951</v>
      </c>
      <c r="F12" s="508" t="s">
        <v>46</v>
      </c>
    </row>
    <row r="13" spans="1:6">
      <c r="A13" s="95" t="s">
        <v>755</v>
      </c>
      <c r="B13" s="95" t="s">
        <v>522</v>
      </c>
      <c r="C13" s="95">
        <v>1</v>
      </c>
      <c r="D13" s="95"/>
      <c r="E13" s="95">
        <f>E12+C13-D13</f>
        <v>952</v>
      </c>
      <c r="F13" s="9"/>
    </row>
    <row r="14" spans="1:6">
      <c r="A14" s="95" t="s">
        <v>898</v>
      </c>
      <c r="B14" s="95" t="s">
        <v>899</v>
      </c>
      <c r="C14" s="95"/>
      <c r="D14" s="95">
        <v>200</v>
      </c>
      <c r="E14" s="95">
        <f>E13+C14-D14</f>
        <v>752</v>
      </c>
      <c r="F14" s="9"/>
    </row>
    <row r="15" spans="1:6">
      <c r="A15" s="95"/>
      <c r="B15" s="95"/>
      <c r="C15" s="95"/>
      <c r="D15" s="95"/>
      <c r="E15" s="95"/>
      <c r="F15" s="9"/>
    </row>
    <row r="16" spans="1:6">
      <c r="A16" s="95"/>
      <c r="B16" s="95"/>
      <c r="C16" s="95"/>
      <c r="D16" s="95"/>
      <c r="E16" s="95"/>
      <c r="F16" s="9"/>
    </row>
    <row r="17" spans="1:6">
      <c r="A17" s="95"/>
      <c r="B17" s="95"/>
      <c r="C17" s="95"/>
      <c r="D17" s="95"/>
      <c r="E17" s="95"/>
      <c r="F17" s="9"/>
    </row>
    <row r="18" spans="1:6">
      <c r="A18" s="95"/>
      <c r="B18" s="95"/>
      <c r="C18" s="95"/>
      <c r="D18" s="95"/>
      <c r="E18" s="95"/>
      <c r="F18" s="9"/>
    </row>
    <row r="19" spans="1:6">
      <c r="A19" s="95"/>
      <c r="B19" s="95"/>
      <c r="C19" s="95"/>
      <c r="D19" s="95"/>
      <c r="E19" s="95"/>
      <c r="F19" s="9"/>
    </row>
    <row r="20" spans="1:6">
      <c r="A20" s="95"/>
      <c r="B20" s="95"/>
      <c r="C20" s="95"/>
      <c r="D20" s="95"/>
      <c r="E20" s="95"/>
      <c r="F20" s="9"/>
    </row>
    <row r="21" spans="1:6">
      <c r="A21" s="95"/>
      <c r="B21" s="95"/>
      <c r="C21" s="95"/>
      <c r="D21" s="95"/>
      <c r="E21" s="95"/>
      <c r="F21" s="9"/>
    </row>
  </sheetData>
  <pageMargins left="0.69930555555555596" right="0.69930555555555596" top="0.75" bottom="0.75" header="0.3" footer="0.3"/>
  <pageSetup paperSize="9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4"/>
  <sheetViews>
    <sheetView workbookViewId="0">
      <selection activeCell="F9" sqref="F9"/>
    </sheetView>
  </sheetViews>
  <sheetFormatPr baseColWidth="10" defaultColWidth="8.83203125" defaultRowHeight="14" x14ac:dyDescent="0"/>
  <cols>
    <col min="1" max="1" width="13.33203125" customWidth="1"/>
    <col min="2" max="2" width="25.5" customWidth="1"/>
    <col min="3" max="3" width="9.6640625" customWidth="1"/>
    <col min="6" max="6" width="16.5" customWidth="1"/>
  </cols>
  <sheetData>
    <row r="2" spans="1:6" ht="15">
      <c r="A2" s="210" t="s">
        <v>189</v>
      </c>
      <c r="B2" s="210"/>
      <c r="C2" s="210"/>
      <c r="D2" s="210"/>
      <c r="E2" s="210"/>
    </row>
    <row r="3" spans="1:6" ht="15">
      <c r="A3" s="211"/>
      <c r="B3" s="211"/>
      <c r="C3" s="211"/>
      <c r="D3" s="211"/>
      <c r="E3" s="211"/>
    </row>
    <row r="4" spans="1:6">
      <c r="A4" s="262" t="s">
        <v>1</v>
      </c>
      <c r="B4" s="262" t="s">
        <v>429</v>
      </c>
      <c r="C4" s="262" t="s">
        <v>3</v>
      </c>
      <c r="D4" s="262" t="s">
        <v>4</v>
      </c>
      <c r="E4" s="262" t="s">
        <v>5</v>
      </c>
      <c r="F4" s="25" t="s">
        <v>6</v>
      </c>
    </row>
    <row r="5" spans="1:6">
      <c r="A5" s="9"/>
      <c r="B5" s="9"/>
      <c r="C5" s="9"/>
      <c r="D5" s="9"/>
      <c r="E5" s="9"/>
      <c r="F5" s="9"/>
    </row>
    <row r="6" spans="1:6" ht="15">
      <c r="A6" s="33" t="s">
        <v>586</v>
      </c>
      <c r="B6" s="33" t="s">
        <v>588</v>
      </c>
      <c r="C6" s="95">
        <v>4</v>
      </c>
      <c r="D6" s="9"/>
      <c r="E6" s="9">
        <v>4</v>
      </c>
      <c r="F6" s="375" t="s">
        <v>46</v>
      </c>
    </row>
    <row r="7" spans="1:6" ht="15">
      <c r="A7" s="95" t="s">
        <v>598</v>
      </c>
      <c r="B7" s="34" t="s">
        <v>16</v>
      </c>
      <c r="C7" s="9">
        <v>5</v>
      </c>
      <c r="D7" s="9"/>
      <c r="E7" s="9">
        <f>E6+C7-D7</f>
        <v>9</v>
      </c>
      <c r="F7" s="9"/>
    </row>
    <row r="8" spans="1:6" ht="15">
      <c r="A8" s="37">
        <v>43253</v>
      </c>
      <c r="B8" s="33" t="s">
        <v>16</v>
      </c>
      <c r="C8" s="9">
        <v>8</v>
      </c>
      <c r="D8" s="9"/>
      <c r="E8" s="9">
        <f>E7+C8-D8</f>
        <v>17</v>
      </c>
      <c r="F8" s="407" t="s">
        <v>46</v>
      </c>
    </row>
    <row r="9" spans="1:6" ht="15">
      <c r="A9" s="33" t="s">
        <v>630</v>
      </c>
      <c r="B9" s="34" t="s">
        <v>16</v>
      </c>
      <c r="C9" s="9">
        <v>55</v>
      </c>
      <c r="D9" s="9"/>
      <c r="E9" s="9">
        <f>E8+C9-D9</f>
        <v>72</v>
      </c>
      <c r="F9" s="9"/>
    </row>
    <row r="10" spans="1:6">
      <c r="A10" s="9"/>
      <c r="B10" s="9"/>
      <c r="C10" s="9"/>
      <c r="D10" s="9"/>
      <c r="E10" s="9"/>
      <c r="F10" s="9"/>
    </row>
    <row r="11" spans="1:6">
      <c r="A11" s="9"/>
      <c r="B11" s="9"/>
      <c r="C11" s="9"/>
      <c r="D11" s="9"/>
      <c r="E11" s="9"/>
      <c r="F11" s="9"/>
    </row>
    <row r="12" spans="1:6">
      <c r="A12" s="9"/>
      <c r="B12" s="9"/>
      <c r="C12" s="9"/>
      <c r="D12" s="9"/>
      <c r="E12" s="9"/>
      <c r="F12" s="9"/>
    </row>
    <row r="13" spans="1:6">
      <c r="A13" s="9"/>
      <c r="B13" s="9"/>
      <c r="C13" s="9"/>
      <c r="D13" s="9"/>
      <c r="E13" s="9"/>
      <c r="F13" s="9"/>
    </row>
    <row r="14" spans="1:6">
      <c r="A14" s="9"/>
      <c r="B14" s="9"/>
      <c r="C14" s="9"/>
      <c r="D14" s="9"/>
      <c r="E14" s="9"/>
      <c r="F14" s="9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4"/>
  <sheetViews>
    <sheetView workbookViewId="0">
      <selection activeCell="F31" sqref="F31"/>
    </sheetView>
  </sheetViews>
  <sheetFormatPr baseColWidth="10" defaultColWidth="9" defaultRowHeight="15" x14ac:dyDescent="0"/>
  <cols>
    <col min="1" max="1" width="11.83203125" style="212" customWidth="1"/>
    <col min="2" max="2" width="35.33203125" style="212" bestFit="1" customWidth="1"/>
    <col min="3" max="5" width="9" style="212"/>
    <col min="6" max="6" width="21.33203125" style="116" customWidth="1"/>
    <col min="7" max="7" width="10.6640625" style="40" customWidth="1"/>
    <col min="8" max="8" width="25.5" style="40" customWidth="1"/>
    <col min="9" max="12" width="9" style="40"/>
  </cols>
  <sheetData>
    <row r="2" spans="1:7">
      <c r="A2" s="213" t="s">
        <v>191</v>
      </c>
      <c r="B2" s="213"/>
    </row>
    <row r="4" spans="1:7">
      <c r="A4" s="262" t="s">
        <v>1</v>
      </c>
      <c r="B4" s="262" t="s">
        <v>429</v>
      </c>
      <c r="C4" s="262" t="s">
        <v>3</v>
      </c>
      <c r="D4" s="262" t="s">
        <v>4</v>
      </c>
      <c r="E4" s="262" t="s">
        <v>5</v>
      </c>
      <c r="F4" s="25" t="s">
        <v>6</v>
      </c>
      <c r="G4"/>
    </row>
    <row r="5" spans="1:7">
      <c r="A5" s="296"/>
      <c r="B5" s="307" t="s">
        <v>426</v>
      </c>
      <c r="C5" s="36"/>
      <c r="D5" s="36"/>
      <c r="E5" s="207">
        <v>405</v>
      </c>
      <c r="F5" s="95"/>
    </row>
    <row r="6" spans="1:7">
      <c r="A6" s="57">
        <v>43191</v>
      </c>
      <c r="B6" s="307" t="s">
        <v>13</v>
      </c>
      <c r="C6" s="36">
        <v>2</v>
      </c>
      <c r="D6" s="36"/>
      <c r="E6" s="36">
        <f>E5+C6-D6</f>
        <v>407</v>
      </c>
      <c r="F6" s="95"/>
    </row>
    <row r="7" spans="1:7">
      <c r="A7" s="161">
        <v>43191</v>
      </c>
      <c r="B7" s="36" t="s">
        <v>406</v>
      </c>
      <c r="C7" s="36"/>
      <c r="D7" s="36">
        <v>151</v>
      </c>
      <c r="E7" s="36">
        <f>E6+C7-D7</f>
        <v>256</v>
      </c>
      <c r="F7" s="95"/>
    </row>
    <row r="8" spans="1:7">
      <c r="A8" s="161">
        <v>43221</v>
      </c>
      <c r="B8" s="36" t="s">
        <v>434</v>
      </c>
      <c r="C8" s="36">
        <v>241</v>
      </c>
      <c r="D8" s="36"/>
      <c r="E8" s="36">
        <f t="shared" ref="E8:E11" si="0">E7+C8-D8</f>
        <v>497</v>
      </c>
      <c r="F8" s="95"/>
    </row>
    <row r="9" spans="1:7">
      <c r="A9" s="161">
        <v>43221</v>
      </c>
      <c r="B9" s="36" t="s">
        <v>406</v>
      </c>
      <c r="C9" s="36"/>
      <c r="D9" s="36">
        <v>241</v>
      </c>
      <c r="E9" s="36">
        <f t="shared" si="0"/>
        <v>256</v>
      </c>
      <c r="F9" s="95"/>
    </row>
    <row r="10" spans="1:7">
      <c r="A10" s="161">
        <v>43405</v>
      </c>
      <c r="B10" s="36" t="s">
        <v>471</v>
      </c>
      <c r="C10" s="36">
        <v>200</v>
      </c>
      <c r="D10" s="36"/>
      <c r="E10" s="36">
        <f t="shared" si="0"/>
        <v>456</v>
      </c>
      <c r="F10" s="95"/>
    </row>
    <row r="11" spans="1:7">
      <c r="A11" s="35" t="s">
        <v>509</v>
      </c>
      <c r="B11" s="35" t="s">
        <v>514</v>
      </c>
      <c r="C11" s="36">
        <v>80</v>
      </c>
      <c r="D11" s="36"/>
      <c r="E11" s="36">
        <f t="shared" si="0"/>
        <v>536</v>
      </c>
      <c r="F11" s="95"/>
    </row>
    <row r="12" spans="1:7">
      <c r="A12" s="36" t="s">
        <v>526</v>
      </c>
      <c r="B12" s="36" t="s">
        <v>16</v>
      </c>
      <c r="C12" s="36">
        <v>223</v>
      </c>
      <c r="D12" s="36"/>
      <c r="E12" s="36">
        <f>E11+C12-D12</f>
        <v>759</v>
      </c>
      <c r="F12" s="95"/>
    </row>
    <row r="13" spans="1:7">
      <c r="A13" s="36" t="s">
        <v>557</v>
      </c>
      <c r="B13" s="36" t="s">
        <v>560</v>
      </c>
      <c r="C13" s="36"/>
      <c r="D13" s="36">
        <v>200</v>
      </c>
      <c r="E13" s="36">
        <f>E12+C13-D13</f>
        <v>559</v>
      </c>
      <c r="F13" s="95"/>
    </row>
    <row r="14" spans="1:7">
      <c r="A14" s="34" t="s">
        <v>586</v>
      </c>
      <c r="B14" s="34" t="s">
        <v>16</v>
      </c>
      <c r="C14" s="36">
        <v>53</v>
      </c>
      <c r="D14" s="36"/>
      <c r="E14" s="36">
        <f>E13+C14-D14</f>
        <v>612</v>
      </c>
      <c r="F14" s="95"/>
    </row>
    <row r="15" spans="1:7">
      <c r="A15" s="95" t="s">
        <v>598</v>
      </c>
      <c r="B15" s="34" t="s">
        <v>16</v>
      </c>
      <c r="C15" s="36">
        <v>24</v>
      </c>
      <c r="D15" s="36"/>
      <c r="E15" s="36">
        <f t="shared" ref="E15:E31" si="1">E14+C15-D15</f>
        <v>636</v>
      </c>
      <c r="F15" s="95"/>
    </row>
    <row r="16" spans="1:7">
      <c r="A16" s="36" t="s">
        <v>598</v>
      </c>
      <c r="B16" s="36" t="s">
        <v>599</v>
      </c>
      <c r="C16" s="36"/>
      <c r="D16" s="36">
        <v>250</v>
      </c>
      <c r="E16" s="36">
        <f t="shared" si="1"/>
        <v>386</v>
      </c>
      <c r="F16" s="95"/>
    </row>
    <row r="17" spans="1:6">
      <c r="A17" s="57">
        <v>43102</v>
      </c>
      <c r="B17" s="389" t="s">
        <v>560</v>
      </c>
      <c r="C17" s="36"/>
      <c r="D17" s="36">
        <v>177</v>
      </c>
      <c r="E17" s="36">
        <f t="shared" si="1"/>
        <v>209</v>
      </c>
      <c r="F17" s="95"/>
    </row>
    <row r="18" spans="1:6">
      <c r="A18" s="172">
        <v>43161</v>
      </c>
      <c r="B18" s="399" t="s">
        <v>602</v>
      </c>
      <c r="C18" s="36">
        <v>69</v>
      </c>
      <c r="D18" s="36"/>
      <c r="E18" s="36">
        <f t="shared" si="1"/>
        <v>278</v>
      </c>
      <c r="F18" s="95"/>
    </row>
    <row r="19" spans="1:6">
      <c r="A19" s="37">
        <v>43253</v>
      </c>
      <c r="B19" s="33" t="s">
        <v>16</v>
      </c>
      <c r="C19" s="36">
        <v>99</v>
      </c>
      <c r="D19" s="36"/>
      <c r="E19" s="36">
        <f t="shared" si="1"/>
        <v>377</v>
      </c>
      <c r="F19" s="95"/>
    </row>
    <row r="20" spans="1:6">
      <c r="A20" s="161">
        <v>43375</v>
      </c>
      <c r="B20" s="36" t="s">
        <v>469</v>
      </c>
      <c r="C20" s="36">
        <v>65</v>
      </c>
      <c r="D20" s="36"/>
      <c r="E20" s="36">
        <f t="shared" si="1"/>
        <v>442</v>
      </c>
      <c r="F20" s="95"/>
    </row>
    <row r="21" spans="1:6">
      <c r="A21" s="33" t="s">
        <v>630</v>
      </c>
      <c r="B21" s="34" t="s">
        <v>16</v>
      </c>
      <c r="C21" s="36">
        <v>90</v>
      </c>
      <c r="D21" s="36"/>
      <c r="E21" s="36">
        <f t="shared" si="1"/>
        <v>532</v>
      </c>
      <c r="F21" s="95"/>
    </row>
    <row r="22" spans="1:6">
      <c r="A22" s="445" t="s">
        <v>651</v>
      </c>
      <c r="B22" s="445" t="s">
        <v>587</v>
      </c>
      <c r="C22" s="36">
        <v>3</v>
      </c>
      <c r="D22" s="36"/>
      <c r="E22" s="36">
        <f t="shared" si="1"/>
        <v>535</v>
      </c>
      <c r="F22" s="95"/>
    </row>
    <row r="23" spans="1:6">
      <c r="A23" s="446" t="s">
        <v>651</v>
      </c>
      <c r="B23" s="445" t="s">
        <v>434</v>
      </c>
      <c r="C23" s="36">
        <v>11</v>
      </c>
      <c r="D23" s="36"/>
      <c r="E23" s="36">
        <f t="shared" si="1"/>
        <v>546</v>
      </c>
      <c r="F23" s="95"/>
    </row>
    <row r="24" spans="1:6">
      <c r="A24" s="95" t="s">
        <v>733</v>
      </c>
      <c r="B24" s="95" t="s">
        <v>406</v>
      </c>
      <c r="C24" s="36">
        <v>166</v>
      </c>
      <c r="D24" s="36"/>
      <c r="E24" s="36">
        <f t="shared" si="1"/>
        <v>712</v>
      </c>
      <c r="F24" s="95"/>
    </row>
    <row r="25" spans="1:6">
      <c r="A25" s="542" t="s">
        <v>763</v>
      </c>
      <c r="B25" s="542" t="s">
        <v>739</v>
      </c>
      <c r="C25" s="36">
        <v>90</v>
      </c>
      <c r="D25" s="36"/>
      <c r="E25" s="36">
        <f t="shared" si="1"/>
        <v>802</v>
      </c>
      <c r="F25" s="95"/>
    </row>
    <row r="26" spans="1:6">
      <c r="A26" s="36" t="s">
        <v>801</v>
      </c>
      <c r="B26" s="36" t="s">
        <v>804</v>
      </c>
      <c r="C26" s="36">
        <v>49</v>
      </c>
      <c r="D26" s="36"/>
      <c r="E26" s="36">
        <f t="shared" si="1"/>
        <v>851</v>
      </c>
      <c r="F26" s="95"/>
    </row>
    <row r="27" spans="1:6">
      <c r="A27" s="598" t="s">
        <v>826</v>
      </c>
      <c r="B27" s="9" t="s">
        <v>24</v>
      </c>
      <c r="C27" s="36">
        <v>143</v>
      </c>
      <c r="D27" s="36"/>
      <c r="E27" s="36">
        <f t="shared" si="1"/>
        <v>994</v>
      </c>
      <c r="F27" s="95" t="s">
        <v>46</v>
      </c>
    </row>
    <row r="28" spans="1:6">
      <c r="A28" s="161">
        <v>43136</v>
      </c>
      <c r="B28" s="36" t="s">
        <v>804</v>
      </c>
      <c r="C28" s="36">
        <v>49</v>
      </c>
      <c r="D28" s="36"/>
      <c r="E28" s="36">
        <f t="shared" si="1"/>
        <v>1043</v>
      </c>
      <c r="F28" s="95" t="s">
        <v>46</v>
      </c>
    </row>
    <row r="29" spans="1:6">
      <c r="A29" s="161">
        <v>43348</v>
      </c>
      <c r="B29" s="36" t="s">
        <v>858</v>
      </c>
      <c r="C29" s="36"/>
      <c r="D29" s="36">
        <v>250</v>
      </c>
      <c r="E29" s="36">
        <f t="shared" si="1"/>
        <v>793</v>
      </c>
      <c r="F29" s="95"/>
    </row>
    <row r="30" spans="1:6">
      <c r="A30" s="161">
        <v>43409</v>
      </c>
      <c r="B30" s="36" t="s">
        <v>858</v>
      </c>
      <c r="C30" s="36"/>
      <c r="D30" s="36">
        <v>191</v>
      </c>
      <c r="E30" s="36">
        <f t="shared" si="1"/>
        <v>602</v>
      </c>
      <c r="F30" s="95" t="s">
        <v>46</v>
      </c>
    </row>
    <row r="31" spans="1:6">
      <c r="A31" s="33" t="s">
        <v>884</v>
      </c>
      <c r="B31" s="33" t="s">
        <v>861</v>
      </c>
      <c r="C31" s="36"/>
      <c r="D31" s="36">
        <v>289</v>
      </c>
      <c r="E31" s="36">
        <f t="shared" si="1"/>
        <v>313</v>
      </c>
      <c r="F31" s="95" t="s">
        <v>46</v>
      </c>
    </row>
    <row r="32" spans="1:6">
      <c r="A32" s="36"/>
      <c r="B32" s="36"/>
      <c r="C32" s="36"/>
      <c r="D32" s="36"/>
      <c r="E32" s="36"/>
      <c r="F32" s="95"/>
    </row>
    <row r="33" spans="1:6">
      <c r="A33" s="36"/>
      <c r="B33" s="36"/>
      <c r="C33" s="36"/>
      <c r="D33" s="36"/>
      <c r="E33" s="36"/>
      <c r="F33" s="95"/>
    </row>
    <row r="34" spans="1:6">
      <c r="A34" s="36"/>
      <c r="B34" s="36"/>
      <c r="C34" s="36"/>
      <c r="D34" s="36"/>
      <c r="E34" s="36"/>
      <c r="F34" s="95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4"/>
  <sheetViews>
    <sheetView workbookViewId="0">
      <selection activeCell="A4" sqref="A4:F4"/>
    </sheetView>
  </sheetViews>
  <sheetFormatPr baseColWidth="10" defaultColWidth="9" defaultRowHeight="14" x14ac:dyDescent="0"/>
  <cols>
    <col min="1" max="1" width="11.33203125" customWidth="1"/>
    <col min="2" max="2" width="24.1640625" customWidth="1"/>
    <col min="6" max="6" width="16.5" customWidth="1"/>
  </cols>
  <sheetData>
    <row r="2" spans="1:6" ht="15">
      <c r="A2" s="143" t="s">
        <v>192</v>
      </c>
      <c r="B2" s="143"/>
      <c r="C2" s="31"/>
      <c r="D2" s="31"/>
      <c r="E2" s="31"/>
    </row>
    <row r="3" spans="1:6" ht="15">
      <c r="A3" s="31"/>
      <c r="B3" s="31"/>
      <c r="C3" s="31"/>
      <c r="D3" s="31"/>
      <c r="E3" s="31"/>
    </row>
    <row r="4" spans="1:6">
      <c r="A4" s="262" t="s">
        <v>1</v>
      </c>
      <c r="B4" s="262" t="s">
        <v>429</v>
      </c>
      <c r="C4" s="262" t="s">
        <v>3</v>
      </c>
      <c r="D4" s="262" t="s">
        <v>4</v>
      </c>
      <c r="E4" s="262" t="s">
        <v>5</v>
      </c>
      <c r="F4" s="25" t="s">
        <v>6</v>
      </c>
    </row>
    <row r="5" spans="1:6">
      <c r="A5" s="9"/>
      <c r="B5" s="310" t="s">
        <v>418</v>
      </c>
      <c r="C5" s="9"/>
      <c r="D5" s="9"/>
      <c r="E5" s="9">
        <v>2</v>
      </c>
      <c r="F5" s="9"/>
    </row>
    <row r="6" spans="1:6">
      <c r="A6" s="9"/>
      <c r="B6" s="9"/>
      <c r="C6" s="9"/>
      <c r="D6" s="9"/>
      <c r="E6" s="9"/>
      <c r="F6" s="9"/>
    </row>
    <row r="7" spans="1:6">
      <c r="A7" s="9"/>
      <c r="B7" s="9"/>
      <c r="C7" s="9"/>
      <c r="D7" s="9"/>
      <c r="E7" s="9"/>
      <c r="F7" s="9"/>
    </row>
    <row r="8" spans="1:6">
      <c r="A8" s="9"/>
      <c r="B8" s="9"/>
      <c r="C8" s="9"/>
      <c r="D8" s="9"/>
      <c r="E8" s="9"/>
      <c r="F8" s="9"/>
    </row>
    <row r="9" spans="1:6">
      <c r="A9" s="9"/>
      <c r="B9" s="9"/>
      <c r="C9" s="9"/>
      <c r="D9" s="9"/>
      <c r="E9" s="9"/>
      <c r="F9" s="9"/>
    </row>
    <row r="10" spans="1:6">
      <c r="A10" s="9"/>
      <c r="B10" s="9"/>
      <c r="C10" s="9"/>
      <c r="D10" s="9"/>
      <c r="E10" s="9"/>
      <c r="F10" s="9"/>
    </row>
    <row r="11" spans="1:6">
      <c r="A11" s="9"/>
      <c r="B11" s="9"/>
      <c r="C11" s="9"/>
      <c r="D11" s="9"/>
      <c r="E11" s="9"/>
      <c r="F11" s="9"/>
    </row>
    <row r="12" spans="1:6">
      <c r="A12" s="9"/>
      <c r="B12" s="9"/>
      <c r="C12" s="9"/>
      <c r="D12" s="9"/>
      <c r="E12" s="9"/>
      <c r="F12" s="9"/>
    </row>
    <row r="13" spans="1:6">
      <c r="A13" s="9"/>
      <c r="B13" s="9"/>
      <c r="C13" s="9"/>
      <c r="D13" s="9"/>
      <c r="E13" s="9"/>
      <c r="F13" s="9"/>
    </row>
    <row r="14" spans="1:6">
      <c r="A14" s="9"/>
      <c r="B14" s="9"/>
      <c r="C14" s="9"/>
      <c r="D14" s="9"/>
      <c r="E14" s="9"/>
      <c r="F14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8"/>
  <sheetViews>
    <sheetView workbookViewId="0">
      <selection activeCell="H31" sqref="H31"/>
    </sheetView>
  </sheetViews>
  <sheetFormatPr baseColWidth="10" defaultColWidth="9" defaultRowHeight="14" x14ac:dyDescent="0"/>
  <cols>
    <col min="1" max="1" width="11.1640625" customWidth="1"/>
    <col min="2" max="2" width="18.5" customWidth="1"/>
    <col min="3" max="3" width="11.83203125" customWidth="1"/>
    <col min="5" max="5" width="11.33203125" customWidth="1"/>
    <col min="6" max="6" width="14.5" customWidth="1"/>
  </cols>
  <sheetData>
    <row r="2" spans="1:6" ht="15">
      <c r="A2" s="143" t="s">
        <v>193</v>
      </c>
      <c r="B2" s="143"/>
      <c r="C2" s="31"/>
      <c r="D2" s="31"/>
      <c r="E2" s="31"/>
    </row>
    <row r="3" spans="1:6" ht="15">
      <c r="A3" s="31"/>
      <c r="B3" s="31"/>
      <c r="C3" s="31"/>
      <c r="D3" s="31"/>
      <c r="E3" s="31"/>
    </row>
    <row r="4" spans="1:6">
      <c r="A4" s="262" t="s">
        <v>1</v>
      </c>
      <c r="B4" s="262" t="s">
        <v>429</v>
      </c>
      <c r="C4" s="262" t="s">
        <v>3</v>
      </c>
      <c r="D4" s="262" t="s">
        <v>4</v>
      </c>
      <c r="E4" s="262" t="s">
        <v>5</v>
      </c>
      <c r="F4" s="25" t="s">
        <v>6</v>
      </c>
    </row>
    <row r="5" spans="1:6">
      <c r="A5" s="9"/>
      <c r="B5" s="310" t="s">
        <v>418</v>
      </c>
      <c r="C5" s="9"/>
      <c r="D5" s="9"/>
      <c r="E5" s="9">
        <v>1</v>
      </c>
      <c r="F5" s="9"/>
    </row>
    <row r="6" spans="1:6">
      <c r="A6" s="9"/>
      <c r="B6" s="9"/>
      <c r="C6" s="9"/>
      <c r="D6" s="9"/>
      <c r="E6" s="9"/>
      <c r="F6" s="9"/>
    </row>
    <row r="7" spans="1:6">
      <c r="A7" s="9"/>
      <c r="B7" s="9"/>
      <c r="C7" s="9"/>
      <c r="D7" s="9"/>
      <c r="E7" s="9"/>
      <c r="F7" s="9"/>
    </row>
    <row r="8" spans="1:6">
      <c r="A8" s="9"/>
      <c r="B8" s="9"/>
      <c r="C8" s="9"/>
      <c r="D8" s="9"/>
      <c r="E8" s="9"/>
      <c r="F8" s="9"/>
    </row>
    <row r="9" spans="1:6">
      <c r="A9" s="9"/>
      <c r="B9" s="9"/>
      <c r="C9" s="9"/>
      <c r="D9" s="9"/>
      <c r="E9" s="9"/>
      <c r="F9" s="9"/>
    </row>
    <row r="10" spans="1:6">
      <c r="A10" s="9"/>
      <c r="B10" s="9"/>
      <c r="C10" s="9"/>
      <c r="D10" s="9"/>
      <c r="E10" s="9"/>
      <c r="F10" s="9"/>
    </row>
    <row r="11" spans="1:6">
      <c r="A11" s="9"/>
      <c r="B11" s="9"/>
      <c r="C11" s="9"/>
      <c r="D11" s="9"/>
      <c r="E11" s="9"/>
      <c r="F11" s="9"/>
    </row>
    <row r="12" spans="1:6">
      <c r="A12" s="9"/>
      <c r="B12" s="9"/>
      <c r="C12" s="9"/>
      <c r="D12" s="9"/>
      <c r="E12" s="9"/>
      <c r="F12" s="9"/>
    </row>
    <row r="13" spans="1:6">
      <c r="A13" s="9"/>
      <c r="B13" s="9"/>
      <c r="C13" s="9"/>
      <c r="D13" s="9"/>
      <c r="E13" s="9"/>
      <c r="F13" s="9"/>
    </row>
    <row r="14" spans="1:6">
      <c r="A14" s="9"/>
      <c r="B14" s="9"/>
      <c r="C14" s="9"/>
      <c r="D14" s="9"/>
      <c r="E14" s="9"/>
      <c r="F14" s="9"/>
    </row>
    <row r="15" spans="1:6">
      <c r="A15" s="9"/>
      <c r="B15" s="9"/>
      <c r="C15" s="9"/>
      <c r="D15" s="9"/>
      <c r="E15" s="9"/>
      <c r="F15" s="9"/>
    </row>
    <row r="16" spans="1:6">
      <c r="A16" s="9"/>
      <c r="B16" s="9"/>
      <c r="C16" s="9"/>
      <c r="D16" s="9"/>
      <c r="E16" s="9"/>
      <c r="F16" s="9"/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>
      <c r="A19" s="9"/>
      <c r="B19" s="9"/>
      <c r="C19" s="9"/>
      <c r="D19" s="9"/>
      <c r="E19" s="9"/>
      <c r="F19" s="9"/>
    </row>
    <row r="20" spans="1:6">
      <c r="A20" s="9"/>
      <c r="B20" s="9"/>
      <c r="C20" s="9"/>
      <c r="D20" s="9"/>
      <c r="E20" s="9"/>
      <c r="F20" s="9"/>
    </row>
    <row r="21" spans="1:6">
      <c r="A21" s="9"/>
      <c r="B21" s="9"/>
      <c r="C21" s="9"/>
      <c r="D21" s="9"/>
      <c r="E21" s="9"/>
      <c r="F21" s="9"/>
    </row>
    <row r="22" spans="1:6">
      <c r="A22" s="9"/>
      <c r="B22" s="9"/>
      <c r="C22" s="9"/>
      <c r="D22" s="9"/>
      <c r="E22" s="9"/>
      <c r="F22" s="9"/>
    </row>
    <row r="23" spans="1:6">
      <c r="A23" s="9"/>
      <c r="B23" s="9"/>
      <c r="C23" s="9"/>
      <c r="D23" s="9"/>
      <c r="E23" s="9"/>
      <c r="F23" s="9"/>
    </row>
    <row r="24" spans="1:6">
      <c r="A24" s="9"/>
      <c r="B24" s="9"/>
      <c r="C24" s="9"/>
      <c r="D24" s="9"/>
      <c r="E24" s="9"/>
      <c r="F24" s="9"/>
    </row>
    <row r="25" spans="1:6">
      <c r="A25" s="9"/>
      <c r="B25" s="9"/>
      <c r="C25" s="9"/>
      <c r="D25" s="9"/>
      <c r="E25" s="9"/>
      <c r="F25" s="9"/>
    </row>
    <row r="26" spans="1:6">
      <c r="A26" s="9"/>
      <c r="B26" s="9"/>
      <c r="C26" s="9"/>
      <c r="D26" s="9"/>
      <c r="E26" s="9"/>
      <c r="F26" s="9"/>
    </row>
    <row r="27" spans="1:6">
      <c r="A27" s="9"/>
      <c r="B27" s="9"/>
      <c r="C27" s="9"/>
      <c r="D27" s="9"/>
      <c r="E27" s="9"/>
      <c r="F27" s="9"/>
    </row>
    <row r="28" spans="1:6">
      <c r="A28" s="9"/>
      <c r="B28" s="9"/>
      <c r="C28" s="9"/>
      <c r="D28" s="9"/>
      <c r="E28" s="9"/>
      <c r="F28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8"/>
  <sheetViews>
    <sheetView workbookViewId="0">
      <selection activeCell="F9" sqref="F9"/>
    </sheetView>
  </sheetViews>
  <sheetFormatPr baseColWidth="10" defaultColWidth="9" defaultRowHeight="15" x14ac:dyDescent="0"/>
  <cols>
    <col min="1" max="1" width="13" style="116" customWidth="1"/>
    <col min="2" max="2" width="29.5" style="116" customWidth="1"/>
    <col min="3" max="5" width="9" style="116"/>
    <col min="6" max="6" width="18.33203125" customWidth="1"/>
  </cols>
  <sheetData>
    <row r="2" spans="1:6">
      <c r="A2" s="210" t="s">
        <v>194</v>
      </c>
      <c r="B2" s="210"/>
      <c r="C2" s="210"/>
      <c r="D2" s="210"/>
      <c r="E2" s="210"/>
    </row>
    <row r="3" spans="1:6">
      <c r="A3" s="211"/>
      <c r="B3" s="211"/>
      <c r="C3" s="211"/>
      <c r="D3" s="211"/>
      <c r="E3" s="211"/>
    </row>
    <row r="4" spans="1:6" ht="14">
      <c r="A4" s="262" t="s">
        <v>1</v>
      </c>
      <c r="B4" s="262" t="s">
        <v>429</v>
      </c>
      <c r="C4" s="262" t="s">
        <v>3</v>
      </c>
      <c r="D4" s="262" t="s">
        <v>4</v>
      </c>
      <c r="E4" s="262" t="s">
        <v>5</v>
      </c>
      <c r="F4" s="25" t="s">
        <v>6</v>
      </c>
    </row>
    <row r="5" spans="1:6">
      <c r="A5" s="95"/>
      <c r="B5" s="95" t="s">
        <v>418</v>
      </c>
      <c r="C5" s="95"/>
      <c r="D5" s="95"/>
      <c r="E5" s="95">
        <v>44</v>
      </c>
      <c r="F5" s="9"/>
    </row>
    <row r="6" spans="1:6">
      <c r="A6" s="37">
        <v>43253</v>
      </c>
      <c r="B6" s="33" t="s">
        <v>16</v>
      </c>
      <c r="C6" s="95">
        <v>5</v>
      </c>
      <c r="D6" s="95"/>
      <c r="E6" s="95">
        <f>E5+C6-D6</f>
        <v>49</v>
      </c>
      <c r="F6" s="407" t="s">
        <v>46</v>
      </c>
    </row>
    <row r="7" spans="1:6">
      <c r="A7" s="33" t="s">
        <v>630</v>
      </c>
      <c r="B7" s="34" t="s">
        <v>16</v>
      </c>
      <c r="C7" s="95">
        <v>7</v>
      </c>
      <c r="D7" s="95"/>
      <c r="E7" s="95">
        <f>E6+C7-D7</f>
        <v>56</v>
      </c>
      <c r="F7" s="9"/>
    </row>
    <row r="8" spans="1:6">
      <c r="A8" s="33" t="s">
        <v>755</v>
      </c>
      <c r="B8" s="33" t="s">
        <v>16</v>
      </c>
      <c r="C8" s="95">
        <v>1</v>
      </c>
      <c r="D8" s="95"/>
      <c r="E8" s="95">
        <f>E7+C8-D8</f>
        <v>57</v>
      </c>
      <c r="F8" s="538" t="s">
        <v>46</v>
      </c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7"/>
  <sheetViews>
    <sheetView workbookViewId="0">
      <selection activeCell="A4" sqref="A4:F4"/>
    </sheetView>
  </sheetViews>
  <sheetFormatPr baseColWidth="10" defaultColWidth="9" defaultRowHeight="15" x14ac:dyDescent="0"/>
  <cols>
    <col min="1" max="1" width="10.6640625" style="31" customWidth="1"/>
    <col min="2" max="2" width="25.5" style="31" customWidth="1"/>
    <col min="3" max="5" width="9" style="31"/>
    <col min="6" max="6" width="14.5" style="153" customWidth="1"/>
  </cols>
  <sheetData>
    <row r="2" spans="1:6">
      <c r="A2" s="143" t="s">
        <v>195</v>
      </c>
      <c r="B2" s="143"/>
    </row>
    <row r="4" spans="1:6" ht="14">
      <c r="A4" s="262" t="s">
        <v>1</v>
      </c>
      <c r="B4" s="262" t="s">
        <v>429</v>
      </c>
      <c r="C4" s="262" t="s">
        <v>3</v>
      </c>
      <c r="D4" s="262" t="s">
        <v>4</v>
      </c>
      <c r="E4" s="262" t="s">
        <v>5</v>
      </c>
      <c r="F4" s="25" t="s">
        <v>6</v>
      </c>
    </row>
    <row r="5" spans="1:6">
      <c r="A5" s="37"/>
      <c r="B5" s="33" t="s">
        <v>408</v>
      </c>
      <c r="C5" s="33"/>
      <c r="D5" s="33"/>
      <c r="E5" s="33">
        <v>5</v>
      </c>
      <c r="F5" s="35"/>
    </row>
    <row r="6" spans="1:6">
      <c r="A6" s="33"/>
      <c r="B6" s="33"/>
      <c r="C6" s="33"/>
      <c r="D6" s="33"/>
      <c r="E6" s="33"/>
      <c r="F6" s="35"/>
    </row>
    <row r="7" spans="1:6">
      <c r="A7" s="33"/>
      <c r="B7" s="33"/>
      <c r="C7" s="33"/>
      <c r="D7" s="33"/>
      <c r="E7" s="33"/>
      <c r="F7" s="35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6"/>
  <sheetViews>
    <sheetView workbookViewId="0">
      <selection activeCell="A4" sqref="A4:F4"/>
    </sheetView>
  </sheetViews>
  <sheetFormatPr baseColWidth="10" defaultColWidth="9" defaultRowHeight="15" x14ac:dyDescent="0"/>
  <cols>
    <col min="1" max="1" width="13" style="116" customWidth="1"/>
    <col min="2" max="2" width="28.1640625" style="116" customWidth="1"/>
    <col min="3" max="5" width="9" style="116"/>
    <col min="6" max="6" width="16" customWidth="1"/>
  </cols>
  <sheetData>
    <row r="2" spans="1:6">
      <c r="A2" s="210" t="s">
        <v>196</v>
      </c>
      <c r="B2" s="210"/>
      <c r="C2" s="210"/>
      <c r="D2" s="210"/>
      <c r="E2" s="210"/>
    </row>
    <row r="3" spans="1:6">
      <c r="A3" s="211"/>
      <c r="B3" s="211"/>
      <c r="C3" s="211"/>
      <c r="D3" s="211"/>
      <c r="E3" s="211"/>
    </row>
    <row r="4" spans="1:6" ht="14">
      <c r="A4" s="262" t="s">
        <v>1</v>
      </c>
      <c r="B4" s="262" t="s">
        <v>429</v>
      </c>
      <c r="C4" s="262" t="s">
        <v>3</v>
      </c>
      <c r="D4" s="262" t="s">
        <v>4</v>
      </c>
      <c r="E4" s="262" t="s">
        <v>5</v>
      </c>
      <c r="F4" s="25" t="s">
        <v>6</v>
      </c>
    </row>
    <row r="5" spans="1:6">
      <c r="A5" s="95"/>
      <c r="B5" s="95" t="s">
        <v>408</v>
      </c>
      <c r="C5" s="95"/>
      <c r="D5" s="95"/>
      <c r="E5" s="95">
        <v>45</v>
      </c>
      <c r="F5" s="9"/>
    </row>
    <row r="6" spans="1:6">
      <c r="A6" s="95"/>
      <c r="B6" s="95"/>
      <c r="C6" s="95"/>
      <c r="D6" s="95"/>
      <c r="E6" s="95"/>
      <c r="F6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3"/>
  <sheetViews>
    <sheetView workbookViewId="0">
      <selection activeCell="A5" sqref="A5:F5"/>
    </sheetView>
  </sheetViews>
  <sheetFormatPr baseColWidth="10" defaultColWidth="9" defaultRowHeight="15" x14ac:dyDescent="0"/>
  <cols>
    <col min="1" max="1" width="13" style="116" customWidth="1"/>
    <col min="2" max="2" width="28.1640625" style="116" customWidth="1"/>
    <col min="3" max="5" width="9" style="116"/>
    <col min="6" max="6" width="13.1640625" bestFit="1" customWidth="1"/>
  </cols>
  <sheetData>
    <row r="3" spans="1:6">
      <c r="A3" s="210" t="s">
        <v>197</v>
      </c>
      <c r="B3" s="210"/>
      <c r="C3" s="210"/>
      <c r="D3" s="210"/>
      <c r="E3" s="210"/>
    </row>
    <row r="4" spans="1:6">
      <c r="A4" s="211"/>
      <c r="B4" s="211"/>
      <c r="C4" s="211"/>
      <c r="D4" s="211"/>
      <c r="E4" s="211"/>
    </row>
    <row r="5" spans="1:6" ht="14">
      <c r="A5" s="262" t="s">
        <v>1</v>
      </c>
      <c r="B5" s="262" t="s">
        <v>429</v>
      </c>
      <c r="C5" s="262" t="s">
        <v>3</v>
      </c>
      <c r="D5" s="262" t="s">
        <v>4</v>
      </c>
      <c r="E5" s="262" t="s">
        <v>5</v>
      </c>
      <c r="F5" s="25" t="s">
        <v>6</v>
      </c>
    </row>
    <row r="6" spans="1:6">
      <c r="A6" s="95"/>
      <c r="B6" s="95" t="s">
        <v>408</v>
      </c>
      <c r="C6" s="95"/>
      <c r="D6" s="95"/>
      <c r="E6" s="95">
        <v>44</v>
      </c>
      <c r="F6" s="9"/>
    </row>
    <row r="7" spans="1:6">
      <c r="A7" s="95"/>
      <c r="B7" s="95"/>
      <c r="C7" s="95"/>
      <c r="D7" s="95"/>
      <c r="E7" s="95"/>
      <c r="F7" s="9"/>
    </row>
    <row r="8" spans="1:6">
      <c r="A8" s="95"/>
      <c r="B8" s="95"/>
      <c r="C8" s="95"/>
      <c r="D8" s="95"/>
      <c r="E8" s="95"/>
      <c r="F8" s="9"/>
    </row>
    <row r="9" spans="1:6">
      <c r="A9" s="95"/>
      <c r="B9" s="95"/>
      <c r="C9" s="95"/>
      <c r="D9" s="95"/>
      <c r="E9" s="95"/>
      <c r="F9" s="9"/>
    </row>
    <row r="10" spans="1:6">
      <c r="A10" s="95"/>
      <c r="B10" s="95"/>
      <c r="C10" s="95"/>
      <c r="D10" s="95"/>
      <c r="E10" s="95"/>
      <c r="F10" s="9"/>
    </row>
    <row r="11" spans="1:6">
      <c r="A11" s="95"/>
      <c r="B11" s="95"/>
      <c r="C11" s="95"/>
      <c r="D11" s="95"/>
      <c r="E11" s="95"/>
      <c r="F11" s="9"/>
    </row>
    <row r="12" spans="1:6">
      <c r="A12" s="95"/>
      <c r="B12" s="95"/>
      <c r="C12" s="95"/>
      <c r="D12" s="95"/>
      <c r="E12" s="95"/>
      <c r="F12" s="9"/>
    </row>
    <row r="13" spans="1:6">
      <c r="A13" s="95"/>
      <c r="B13" s="95"/>
      <c r="C13" s="95"/>
      <c r="D13" s="95"/>
      <c r="E13" s="95"/>
      <c r="F13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4"/>
  <sheetViews>
    <sheetView workbookViewId="0">
      <selection activeCell="A5" sqref="A5:F5"/>
    </sheetView>
  </sheetViews>
  <sheetFormatPr baseColWidth="10" defaultColWidth="9" defaultRowHeight="15" x14ac:dyDescent="0"/>
  <cols>
    <col min="1" max="1" width="13" style="116" customWidth="1"/>
    <col min="2" max="2" width="28.1640625" style="116" customWidth="1"/>
    <col min="3" max="5" width="9" style="116"/>
    <col min="6" max="6" width="14.6640625" customWidth="1"/>
  </cols>
  <sheetData>
    <row r="3" spans="1:6">
      <c r="A3" s="210" t="s">
        <v>198</v>
      </c>
      <c r="B3" s="210"/>
      <c r="C3" s="210"/>
      <c r="D3" s="210"/>
      <c r="E3" s="210"/>
    </row>
    <row r="4" spans="1:6">
      <c r="A4" s="211"/>
      <c r="B4" s="211"/>
      <c r="C4" s="211"/>
      <c r="D4" s="211"/>
      <c r="E4" s="211"/>
    </row>
    <row r="5" spans="1:6" ht="14">
      <c r="A5" s="262" t="s">
        <v>1</v>
      </c>
      <c r="B5" s="262" t="s">
        <v>429</v>
      </c>
      <c r="C5" s="262" t="s">
        <v>3</v>
      </c>
      <c r="D5" s="262" t="s">
        <v>4</v>
      </c>
      <c r="E5" s="262" t="s">
        <v>5</v>
      </c>
      <c r="F5" s="25" t="s">
        <v>6</v>
      </c>
    </row>
    <row r="6" spans="1:6">
      <c r="A6" s="95"/>
      <c r="B6" s="95" t="s">
        <v>408</v>
      </c>
      <c r="C6" s="95"/>
      <c r="D6" s="95"/>
      <c r="E6" s="95">
        <v>60</v>
      </c>
      <c r="F6" s="9"/>
    </row>
    <row r="7" spans="1:6">
      <c r="A7" s="95"/>
      <c r="B7" s="95"/>
      <c r="C7" s="95"/>
      <c r="D7" s="95"/>
      <c r="E7" s="95"/>
      <c r="F7" s="9"/>
    </row>
    <row r="8" spans="1:6">
      <c r="A8" s="95"/>
      <c r="B8" s="95"/>
      <c r="C8" s="95"/>
      <c r="D8" s="95"/>
      <c r="E8" s="95"/>
      <c r="F8" s="9"/>
    </row>
    <row r="9" spans="1:6">
      <c r="A9" s="95"/>
      <c r="B9" s="95"/>
      <c r="C9" s="95"/>
      <c r="D9" s="95"/>
      <c r="E9" s="95"/>
      <c r="F9" s="9"/>
    </row>
    <row r="10" spans="1:6">
      <c r="A10" s="95"/>
      <c r="B10" s="95"/>
      <c r="C10" s="95"/>
      <c r="D10" s="95"/>
      <c r="E10" s="95"/>
      <c r="F10" s="9"/>
    </row>
    <row r="11" spans="1:6">
      <c r="A11" s="95"/>
      <c r="B11" s="95"/>
      <c r="C11" s="95"/>
      <c r="D11" s="95"/>
      <c r="E11" s="95"/>
      <c r="F11" s="9"/>
    </row>
    <row r="12" spans="1:6">
      <c r="A12" s="95"/>
      <c r="B12" s="95"/>
      <c r="C12" s="95"/>
      <c r="D12" s="95"/>
      <c r="E12" s="95"/>
      <c r="F12" s="9"/>
    </row>
    <row r="13" spans="1:6">
      <c r="A13" s="95"/>
      <c r="B13" s="95"/>
      <c r="C13" s="95"/>
      <c r="D13" s="95"/>
      <c r="E13" s="95"/>
      <c r="F13" s="9"/>
    </row>
    <row r="14" spans="1:6">
      <c r="A14" s="95"/>
      <c r="B14" s="95"/>
      <c r="C14" s="95"/>
      <c r="D14" s="95"/>
      <c r="E14" s="95"/>
      <c r="F14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1"/>
  <sheetViews>
    <sheetView workbookViewId="0">
      <selection activeCell="E6" sqref="E6"/>
    </sheetView>
  </sheetViews>
  <sheetFormatPr baseColWidth="10" defaultColWidth="9" defaultRowHeight="15" x14ac:dyDescent="0"/>
  <cols>
    <col min="1" max="1" width="11" style="31" customWidth="1"/>
    <col min="2" max="2" width="25.5" style="31" customWidth="1"/>
    <col min="3" max="3" width="9.33203125" style="31" customWidth="1"/>
    <col min="4" max="5" width="9" style="31"/>
    <col min="6" max="6" width="15.5" customWidth="1"/>
  </cols>
  <sheetData>
    <row r="2" spans="1:6">
      <c r="A2" s="143" t="s">
        <v>199</v>
      </c>
      <c r="B2" s="143"/>
      <c r="C2" s="143"/>
      <c r="D2" s="143"/>
      <c r="E2" s="143"/>
    </row>
    <row r="4" spans="1:6" ht="14">
      <c r="A4" s="262" t="s">
        <v>1</v>
      </c>
      <c r="B4" s="262" t="s">
        <v>429</v>
      </c>
      <c r="C4" s="262" t="s">
        <v>3</v>
      </c>
      <c r="D4" s="262" t="s">
        <v>4</v>
      </c>
      <c r="E4" s="262" t="s">
        <v>5</v>
      </c>
      <c r="F4" s="25" t="s">
        <v>6</v>
      </c>
    </row>
    <row r="5" spans="1:6">
      <c r="A5" s="37"/>
      <c r="B5" s="310" t="s">
        <v>418</v>
      </c>
      <c r="C5" s="171"/>
      <c r="D5" s="171"/>
      <c r="E5" s="171">
        <v>6</v>
      </c>
      <c r="F5" s="9"/>
    </row>
    <row r="6" spans="1:6">
      <c r="A6" s="37"/>
      <c r="B6" s="9"/>
      <c r="C6" s="171"/>
      <c r="D6" s="171"/>
      <c r="E6" s="171"/>
      <c r="F6" s="9"/>
    </row>
    <row r="7" spans="1:6">
      <c r="A7" s="37"/>
      <c r="B7" s="9"/>
      <c r="C7" s="171"/>
      <c r="D7" s="171"/>
      <c r="E7" s="171"/>
      <c r="F7" s="9"/>
    </row>
    <row r="8" spans="1:6">
      <c r="A8" s="37"/>
      <c r="B8" s="9"/>
      <c r="C8" s="171"/>
      <c r="D8" s="171"/>
      <c r="E8" s="171"/>
      <c r="F8" s="9"/>
    </row>
    <row r="9" spans="1:6">
      <c r="A9" s="37"/>
      <c r="B9" s="9"/>
      <c r="C9" s="171"/>
      <c r="D9" s="171"/>
      <c r="E9" s="171"/>
      <c r="F9" s="9"/>
    </row>
    <row r="10" spans="1:6">
      <c r="A10" s="37"/>
      <c r="B10" s="9"/>
      <c r="C10" s="171"/>
      <c r="D10" s="171"/>
      <c r="E10" s="171"/>
      <c r="F10" s="9"/>
    </row>
    <row r="11" spans="1:6">
      <c r="A11" s="37"/>
      <c r="B11" s="9"/>
      <c r="C11" s="171"/>
      <c r="D11" s="171"/>
      <c r="E11" s="171"/>
      <c r="F11" s="9"/>
    </row>
    <row r="12" spans="1:6">
      <c r="A12" s="37"/>
      <c r="B12" s="9"/>
      <c r="C12" s="171"/>
      <c r="D12" s="171"/>
      <c r="E12" s="171"/>
      <c r="F12" s="9"/>
    </row>
    <row r="13" spans="1:6">
      <c r="A13" s="37"/>
      <c r="B13" s="9"/>
      <c r="C13" s="171"/>
      <c r="D13" s="171"/>
      <c r="E13" s="171"/>
      <c r="F13" s="9"/>
    </row>
    <row r="14" spans="1:6">
      <c r="A14" s="37"/>
      <c r="B14" s="9"/>
      <c r="C14" s="171"/>
      <c r="D14" s="171"/>
      <c r="E14" s="171"/>
      <c r="F14" s="9"/>
    </row>
    <row r="15" spans="1:6">
      <c r="A15" s="37"/>
      <c r="B15" s="9"/>
      <c r="C15" s="171"/>
      <c r="D15" s="171"/>
      <c r="E15" s="171"/>
      <c r="F15" s="9"/>
    </row>
    <row r="16" spans="1:6">
      <c r="A16" s="37"/>
      <c r="B16" s="9"/>
      <c r="C16" s="171"/>
      <c r="D16" s="171"/>
      <c r="E16" s="171"/>
      <c r="F16" s="9"/>
    </row>
    <row r="17" spans="1:6">
      <c r="A17" s="37"/>
      <c r="B17" s="9"/>
      <c r="C17" s="171"/>
      <c r="D17" s="171"/>
      <c r="E17" s="171"/>
      <c r="F17" s="9"/>
    </row>
    <row r="18" spans="1:6">
      <c r="A18" s="37"/>
      <c r="B18" s="9"/>
      <c r="C18" s="171"/>
      <c r="D18" s="171"/>
      <c r="E18" s="171"/>
      <c r="F18" s="9"/>
    </row>
    <row r="19" spans="1:6">
      <c r="A19" s="37"/>
      <c r="B19" s="9"/>
      <c r="C19" s="171"/>
      <c r="D19" s="171"/>
      <c r="E19" s="171"/>
      <c r="F19" s="9"/>
    </row>
    <row r="20" spans="1:6">
      <c r="A20" s="115"/>
      <c r="B20" s="38"/>
      <c r="C20" s="171"/>
      <c r="D20" s="171"/>
      <c r="E20" s="171"/>
      <c r="F20" s="9"/>
    </row>
    <row r="21" spans="1:6">
      <c r="A21" s="37"/>
      <c r="B21" s="33"/>
      <c r="C21" s="33"/>
      <c r="D21" s="33"/>
      <c r="E21" s="33"/>
      <c r="F21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7"/>
  <sheetViews>
    <sheetView workbookViewId="0">
      <selection activeCell="A4" sqref="A4:F4"/>
    </sheetView>
  </sheetViews>
  <sheetFormatPr baseColWidth="10" defaultColWidth="9" defaultRowHeight="15" x14ac:dyDescent="0"/>
  <cols>
    <col min="1" max="1" width="10.6640625" style="31" customWidth="1"/>
    <col min="2" max="2" width="25.5" style="31" customWidth="1"/>
    <col min="3" max="5" width="9" style="31"/>
    <col min="6" max="6" width="13.1640625" bestFit="1" customWidth="1"/>
  </cols>
  <sheetData>
    <row r="2" spans="1:6">
      <c r="A2" s="143" t="s">
        <v>199</v>
      </c>
      <c r="B2" s="143"/>
      <c r="C2" s="143"/>
      <c r="D2" s="143"/>
      <c r="E2" s="143"/>
    </row>
    <row r="4" spans="1:6" ht="14">
      <c r="A4" s="262" t="s">
        <v>1</v>
      </c>
      <c r="B4" s="262" t="s">
        <v>429</v>
      </c>
      <c r="C4" s="262" t="s">
        <v>3</v>
      </c>
      <c r="D4" s="262" t="s">
        <v>4</v>
      </c>
      <c r="E4" s="262" t="s">
        <v>5</v>
      </c>
      <c r="F4" s="25" t="s">
        <v>6</v>
      </c>
    </row>
    <row r="5" spans="1:6">
      <c r="A5" s="58"/>
      <c r="B5" s="171" t="s">
        <v>418</v>
      </c>
      <c r="C5" s="171"/>
      <c r="D5" s="171"/>
      <c r="E5" s="171">
        <v>3</v>
      </c>
      <c r="F5" s="9"/>
    </row>
    <row r="6" spans="1:6">
      <c r="A6" s="115"/>
      <c r="B6" s="38"/>
      <c r="C6" s="171"/>
      <c r="D6" s="171"/>
      <c r="E6" s="171"/>
      <c r="F6" s="9"/>
    </row>
    <row r="7" spans="1:6">
      <c r="A7" s="37"/>
      <c r="B7" s="33"/>
      <c r="C7" s="33"/>
      <c r="D7" s="33"/>
      <c r="E7" s="33"/>
      <c r="F7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7"/>
  <sheetViews>
    <sheetView workbookViewId="0">
      <selection activeCell="E6" sqref="E6"/>
    </sheetView>
  </sheetViews>
  <sheetFormatPr baseColWidth="10" defaultColWidth="9" defaultRowHeight="15" x14ac:dyDescent="0"/>
  <cols>
    <col min="1" max="1" width="10.6640625" style="31" customWidth="1"/>
    <col min="2" max="2" width="33.6640625" style="31" customWidth="1"/>
    <col min="3" max="5" width="9" style="31"/>
    <col min="6" max="6" width="15" customWidth="1"/>
  </cols>
  <sheetData>
    <row r="2" spans="1:6">
      <c r="A2" s="143" t="s">
        <v>200</v>
      </c>
      <c r="B2" s="143"/>
      <c r="C2" s="143"/>
      <c r="D2" s="143"/>
      <c r="E2" s="143"/>
    </row>
    <row r="4" spans="1:6" ht="14">
      <c r="A4" s="262" t="s">
        <v>1</v>
      </c>
      <c r="B4" s="262" t="s">
        <v>429</v>
      </c>
      <c r="C4" s="262" t="s">
        <v>3</v>
      </c>
      <c r="D4" s="262" t="s">
        <v>4</v>
      </c>
      <c r="E4" s="262" t="s">
        <v>5</v>
      </c>
      <c r="F4" s="25" t="s">
        <v>6</v>
      </c>
    </row>
    <row r="5" spans="1:6">
      <c r="A5" s="58"/>
      <c r="B5" s="171" t="s">
        <v>418</v>
      </c>
      <c r="C5" s="171"/>
      <c r="D5" s="171"/>
      <c r="E5" s="171">
        <v>7</v>
      </c>
      <c r="F5" s="9"/>
    </row>
    <row r="6" spans="1:6">
      <c r="A6" s="115"/>
      <c r="B6" s="38"/>
      <c r="C6" s="171"/>
      <c r="D6" s="171"/>
      <c r="E6" s="171"/>
      <c r="F6" s="9"/>
    </row>
    <row r="7" spans="1:6">
      <c r="A7" s="37"/>
      <c r="B7" s="33"/>
      <c r="C7" s="33"/>
      <c r="D7" s="33"/>
      <c r="E7" s="33"/>
      <c r="F7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F3" sqref="F3"/>
    </sheetView>
  </sheetViews>
  <sheetFormatPr baseColWidth="10" defaultColWidth="9" defaultRowHeight="14" x14ac:dyDescent="0"/>
  <cols>
    <col min="1" max="1" width="13.6640625" customWidth="1"/>
    <col min="2" max="2" width="26.6640625" customWidth="1"/>
    <col min="6" max="6" width="15.5" customWidth="1"/>
  </cols>
  <sheetData>
    <row r="1" spans="1:6" ht="15">
      <c r="A1" s="143" t="s">
        <v>201</v>
      </c>
      <c r="B1" s="143"/>
      <c r="C1" s="143"/>
      <c r="D1" s="143"/>
      <c r="E1" s="143"/>
    </row>
    <row r="2" spans="1:6" ht="15">
      <c r="A2" s="31"/>
      <c r="B2" s="31"/>
      <c r="C2" s="31"/>
      <c r="D2" s="31"/>
      <c r="E2" s="31"/>
    </row>
    <row r="3" spans="1:6">
      <c r="A3" s="262" t="s">
        <v>1</v>
      </c>
      <c r="B3" s="262" t="s">
        <v>429</v>
      </c>
      <c r="C3" s="262" t="s">
        <v>3</v>
      </c>
      <c r="D3" s="262" t="s">
        <v>4</v>
      </c>
      <c r="E3" s="262" t="s">
        <v>5</v>
      </c>
      <c r="F3" s="25" t="s">
        <v>6</v>
      </c>
    </row>
    <row r="4" spans="1:6" ht="15">
      <c r="A4" s="10" t="s">
        <v>11</v>
      </c>
      <c r="B4" s="155" t="s">
        <v>202</v>
      </c>
      <c r="C4" s="168">
        <v>8</v>
      </c>
      <c r="D4" s="9"/>
      <c r="E4" s="9">
        <v>8</v>
      </c>
      <c r="F4" s="9"/>
    </row>
    <row r="5" spans="1:6">
      <c r="A5" s="9"/>
      <c r="B5" s="9"/>
      <c r="C5" s="9"/>
      <c r="D5" s="9"/>
      <c r="E5" s="9"/>
      <c r="F5" s="9"/>
    </row>
    <row r="6" spans="1:6">
      <c r="A6" s="9"/>
      <c r="B6" s="9"/>
      <c r="C6" s="9"/>
      <c r="D6" s="9"/>
      <c r="E6" s="9"/>
      <c r="F6" s="9"/>
    </row>
    <row r="7" spans="1:6">
      <c r="A7" s="9"/>
      <c r="B7" s="9"/>
      <c r="C7" s="9"/>
      <c r="D7" s="9"/>
      <c r="E7" s="9"/>
      <c r="F7" s="9"/>
    </row>
    <row r="8" spans="1:6">
      <c r="A8" s="9"/>
      <c r="B8" s="9"/>
      <c r="C8" s="9"/>
      <c r="D8" s="9"/>
      <c r="E8" s="9"/>
      <c r="F8" s="9"/>
    </row>
    <row r="9" spans="1:6">
      <c r="A9" s="9"/>
      <c r="B9" s="9"/>
      <c r="C9" s="9"/>
      <c r="D9" s="9"/>
      <c r="E9" s="9"/>
      <c r="F9" s="9"/>
    </row>
    <row r="10" spans="1:6">
      <c r="A10" s="9"/>
      <c r="B10" s="9"/>
      <c r="C10" s="9"/>
      <c r="D10" s="9"/>
      <c r="E10" s="9"/>
      <c r="F10" s="9"/>
    </row>
    <row r="11" spans="1:6">
      <c r="A11" s="9"/>
      <c r="B11" s="9"/>
      <c r="C11" s="9"/>
      <c r="D11" s="9"/>
      <c r="E11" s="9"/>
      <c r="F11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8"/>
  <sheetViews>
    <sheetView workbookViewId="0">
      <selection activeCell="F6" sqref="F6"/>
    </sheetView>
  </sheetViews>
  <sheetFormatPr baseColWidth="10" defaultColWidth="9" defaultRowHeight="15" x14ac:dyDescent="0"/>
  <cols>
    <col min="1" max="1" width="12" style="31" customWidth="1"/>
    <col min="2" max="2" width="37.5" style="31" customWidth="1"/>
    <col min="3" max="5" width="9.33203125" style="31" customWidth="1"/>
    <col min="6" max="6" width="15" customWidth="1"/>
  </cols>
  <sheetData>
    <row r="2" spans="1:6">
      <c r="A2" s="143" t="s">
        <v>203</v>
      </c>
      <c r="B2" s="143"/>
    </row>
    <row r="4" spans="1:6" ht="14">
      <c r="A4" s="262" t="s">
        <v>1</v>
      </c>
      <c r="B4" s="262" t="s">
        <v>429</v>
      </c>
      <c r="C4" s="262" t="s">
        <v>3</v>
      </c>
      <c r="D4" s="262" t="s">
        <v>4</v>
      </c>
      <c r="E4" s="262" t="s">
        <v>5</v>
      </c>
      <c r="F4" s="25" t="s">
        <v>6</v>
      </c>
    </row>
    <row r="5" spans="1:6">
      <c r="A5" s="33"/>
      <c r="B5" s="33" t="s">
        <v>408</v>
      </c>
      <c r="C5" s="33"/>
      <c r="D5" s="33"/>
      <c r="E5" s="33">
        <v>2014</v>
      </c>
      <c r="F5" s="9"/>
    </row>
    <row r="6" spans="1:6">
      <c r="A6" s="33" t="s">
        <v>878</v>
      </c>
      <c r="B6" s="33" t="s">
        <v>861</v>
      </c>
      <c r="C6" s="33"/>
      <c r="D6" s="33">
        <v>85</v>
      </c>
      <c r="E6" s="33">
        <f>E5+C6-D6</f>
        <v>1929</v>
      </c>
      <c r="F6" s="9"/>
    </row>
    <row r="7" spans="1:6">
      <c r="A7" s="33"/>
      <c r="B7" s="33"/>
      <c r="C7" s="33"/>
      <c r="D7" s="33"/>
      <c r="E7" s="33"/>
      <c r="F7" s="9"/>
    </row>
    <row r="8" spans="1:6">
      <c r="A8" s="33"/>
      <c r="B8" s="33"/>
      <c r="C8" s="33"/>
      <c r="D8" s="33"/>
      <c r="E8" s="33"/>
      <c r="F8" s="9"/>
    </row>
  </sheetData>
  <pageMargins left="0.69930555555555596" right="0.69930555555555596" top="0.5" bottom="0.75" header="0.3" footer="0.3"/>
  <pageSetup paperSize="9" scale="90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9"/>
  <sheetViews>
    <sheetView workbookViewId="0">
      <selection activeCell="A4" sqref="A4:F4"/>
    </sheetView>
  </sheetViews>
  <sheetFormatPr baseColWidth="10" defaultColWidth="9" defaultRowHeight="15" x14ac:dyDescent="0"/>
  <cols>
    <col min="1" max="1" width="10.6640625" style="31" customWidth="1"/>
    <col min="2" max="2" width="25.5" style="31" customWidth="1"/>
    <col min="3" max="5" width="9" style="31"/>
    <col min="6" max="6" width="17.6640625" customWidth="1"/>
  </cols>
  <sheetData>
    <row r="2" spans="1:6" s="97" customFormat="1">
      <c r="A2" s="143" t="s">
        <v>204</v>
      </c>
      <c r="B2" s="143"/>
      <c r="C2" s="143"/>
      <c r="D2" s="143"/>
      <c r="E2" s="143"/>
    </row>
    <row r="4" spans="1:6" ht="14">
      <c r="A4" s="262" t="s">
        <v>1</v>
      </c>
      <c r="B4" s="262" t="s">
        <v>429</v>
      </c>
      <c r="C4" s="262" t="s">
        <v>3</v>
      </c>
      <c r="D4" s="262" t="s">
        <v>4</v>
      </c>
      <c r="E4" s="262" t="s">
        <v>5</v>
      </c>
      <c r="F4" s="25" t="s">
        <v>6</v>
      </c>
    </row>
    <row r="5" spans="1:6">
      <c r="A5" s="33"/>
      <c r="B5" s="33" t="s">
        <v>426</v>
      </c>
      <c r="C5" s="33"/>
      <c r="D5" s="33"/>
      <c r="E5" s="33">
        <v>226</v>
      </c>
      <c r="F5" s="9"/>
    </row>
    <row r="6" spans="1:6">
      <c r="A6" s="33"/>
      <c r="B6" s="33"/>
      <c r="C6" s="33"/>
      <c r="D6" s="33"/>
      <c r="E6" s="33"/>
      <c r="F6" s="9"/>
    </row>
    <row r="7" spans="1:6">
      <c r="A7" s="33"/>
      <c r="B7" s="33"/>
      <c r="C7" s="33"/>
      <c r="D7" s="33"/>
      <c r="E7" s="33"/>
      <c r="F7" s="9"/>
    </row>
    <row r="8" spans="1:6">
      <c r="A8" s="33"/>
      <c r="B8" s="33"/>
      <c r="C8" s="33"/>
      <c r="D8" s="33"/>
      <c r="E8" s="33"/>
      <c r="F8" s="9"/>
    </row>
    <row r="9" spans="1:6">
      <c r="A9" s="33"/>
      <c r="B9" s="33"/>
      <c r="C9" s="33"/>
      <c r="D9" s="33"/>
      <c r="E9" s="33"/>
      <c r="F9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2"/>
  <sheetViews>
    <sheetView workbookViewId="0">
      <selection activeCell="G15" sqref="G15"/>
    </sheetView>
  </sheetViews>
  <sheetFormatPr baseColWidth="10" defaultColWidth="9" defaultRowHeight="15" x14ac:dyDescent="0"/>
  <cols>
    <col min="1" max="1" width="13" style="31" customWidth="1"/>
    <col min="2" max="2" width="33" style="31" customWidth="1"/>
    <col min="3" max="5" width="9.33203125" style="31" customWidth="1"/>
    <col min="6" max="6" width="13.1640625" bestFit="1" customWidth="1"/>
    <col min="7" max="7" width="20" bestFit="1" customWidth="1"/>
    <col min="8" max="8" width="12.33203125" customWidth="1"/>
  </cols>
  <sheetData>
    <row r="2" spans="1:7">
      <c r="A2" s="31" t="s">
        <v>205</v>
      </c>
    </row>
    <row r="4" spans="1:7" ht="14">
      <c r="A4" s="262" t="s">
        <v>1</v>
      </c>
      <c r="B4" s="262" t="s">
        <v>429</v>
      </c>
      <c r="C4" s="262" t="s">
        <v>3</v>
      </c>
      <c r="D4" s="262" t="s">
        <v>4</v>
      </c>
      <c r="E4" s="262" t="s">
        <v>5</v>
      </c>
      <c r="F4" s="25" t="s">
        <v>6</v>
      </c>
      <c r="G4" s="262" t="s">
        <v>902</v>
      </c>
    </row>
    <row r="5" spans="1:7">
      <c r="A5" s="33"/>
      <c r="B5" s="33" t="s">
        <v>418</v>
      </c>
      <c r="C5" s="33"/>
      <c r="D5" s="33"/>
      <c r="E5" s="33">
        <v>366</v>
      </c>
      <c r="F5" s="9"/>
      <c r="G5" s="9"/>
    </row>
    <row r="6" spans="1:7">
      <c r="A6" s="33" t="s">
        <v>506</v>
      </c>
      <c r="B6" s="33" t="s">
        <v>507</v>
      </c>
      <c r="C6" s="33">
        <v>61</v>
      </c>
      <c r="D6" s="33"/>
      <c r="E6" s="33">
        <f t="shared" ref="E6:E15" si="0">E5+C6-D6</f>
        <v>427</v>
      </c>
      <c r="F6" s="341"/>
      <c r="G6" s="9"/>
    </row>
    <row r="7" spans="1:7">
      <c r="A7" s="347" t="s">
        <v>516</v>
      </c>
      <c r="B7" s="348" t="s">
        <v>433</v>
      </c>
      <c r="C7" s="33">
        <v>118</v>
      </c>
      <c r="D7" s="33"/>
      <c r="E7" s="33">
        <f t="shared" si="0"/>
        <v>545</v>
      </c>
      <c r="F7" s="348"/>
      <c r="G7" s="9"/>
    </row>
    <row r="8" spans="1:7">
      <c r="A8" s="33" t="s">
        <v>586</v>
      </c>
      <c r="B8" s="33" t="s">
        <v>587</v>
      </c>
      <c r="C8" s="33">
        <v>54</v>
      </c>
      <c r="D8" s="33"/>
      <c r="E8" s="33">
        <f t="shared" si="0"/>
        <v>599</v>
      </c>
      <c r="F8" s="375"/>
      <c r="G8" s="9"/>
    </row>
    <row r="9" spans="1:7">
      <c r="A9" s="21">
        <v>43161</v>
      </c>
      <c r="B9" s="398" t="s">
        <v>587</v>
      </c>
      <c r="C9" s="33">
        <v>109</v>
      </c>
      <c r="D9" s="33"/>
      <c r="E9" s="33">
        <f t="shared" si="0"/>
        <v>708</v>
      </c>
      <c r="F9" s="398"/>
      <c r="G9" s="9"/>
    </row>
    <row r="10" spans="1:7">
      <c r="A10" s="322">
        <v>43324</v>
      </c>
      <c r="B10" s="25" t="s">
        <v>587</v>
      </c>
      <c r="C10" s="33">
        <v>70</v>
      </c>
      <c r="D10" s="33"/>
      <c r="E10" s="33">
        <f t="shared" si="0"/>
        <v>778</v>
      </c>
      <c r="F10" s="411"/>
      <c r="G10" s="9"/>
    </row>
    <row r="11" spans="1:7">
      <c r="A11" s="33" t="s">
        <v>656</v>
      </c>
      <c r="B11" s="33" t="s">
        <v>587</v>
      </c>
      <c r="C11" s="33">
        <v>25</v>
      </c>
      <c r="D11" s="33"/>
      <c r="E11" s="33">
        <f t="shared" si="0"/>
        <v>803</v>
      </c>
      <c r="F11" s="444"/>
      <c r="G11" s="9"/>
    </row>
    <row r="12" spans="1:7">
      <c r="A12" s="33" t="s">
        <v>792</v>
      </c>
      <c r="B12" s="33" t="s">
        <v>779</v>
      </c>
      <c r="C12" s="33"/>
      <c r="D12" s="33">
        <v>76</v>
      </c>
      <c r="E12" s="33">
        <f t="shared" si="0"/>
        <v>727</v>
      </c>
      <c r="F12" s="570" t="s">
        <v>46</v>
      </c>
      <c r="G12" s="9"/>
    </row>
    <row r="13" spans="1:7">
      <c r="A13" s="37">
        <v>43439</v>
      </c>
      <c r="B13" s="33" t="s">
        <v>861</v>
      </c>
      <c r="C13" s="33"/>
      <c r="D13" s="33">
        <v>580</v>
      </c>
      <c r="E13" s="33">
        <f t="shared" si="0"/>
        <v>147</v>
      </c>
      <c r="F13" s="656" t="s">
        <v>46</v>
      </c>
      <c r="G13" s="9"/>
    </row>
    <row r="14" spans="1:7">
      <c r="A14" s="33" t="s">
        <v>878</v>
      </c>
      <c r="B14" s="33" t="s">
        <v>861</v>
      </c>
      <c r="C14" s="33"/>
      <c r="D14" s="33">
        <v>19</v>
      </c>
      <c r="E14" s="33">
        <f t="shared" si="0"/>
        <v>128</v>
      </c>
      <c r="F14" s="664" t="s">
        <v>46</v>
      </c>
      <c r="G14" s="664" t="s">
        <v>883</v>
      </c>
    </row>
    <row r="15" spans="1:7">
      <c r="A15" s="33" t="s">
        <v>884</v>
      </c>
      <c r="B15" s="33" t="s">
        <v>861</v>
      </c>
      <c r="C15" s="33"/>
      <c r="D15" s="33">
        <v>75</v>
      </c>
      <c r="E15" s="33">
        <f t="shared" si="0"/>
        <v>53</v>
      </c>
      <c r="F15" s="671" t="s">
        <v>46</v>
      </c>
      <c r="G15" s="689" t="s">
        <v>905</v>
      </c>
    </row>
    <row r="16" spans="1:7">
      <c r="A16" s="33"/>
      <c r="B16" s="33"/>
      <c r="C16" s="33"/>
      <c r="D16" s="33"/>
      <c r="E16" s="33"/>
      <c r="F16" s="9"/>
      <c r="G16" s="9"/>
    </row>
    <row r="17" spans="1:7">
      <c r="A17" s="33"/>
      <c r="B17" s="33"/>
      <c r="C17" s="33"/>
      <c r="D17" s="33"/>
      <c r="E17" s="33"/>
      <c r="F17" s="9"/>
      <c r="G17" s="9"/>
    </row>
    <row r="18" spans="1:7">
      <c r="A18" s="33"/>
      <c r="B18" s="33"/>
      <c r="C18" s="33"/>
      <c r="D18" s="33"/>
      <c r="E18" s="33"/>
      <c r="F18" s="9"/>
      <c r="G18" s="9"/>
    </row>
    <row r="19" spans="1:7">
      <c r="A19" s="33"/>
      <c r="B19" s="33"/>
      <c r="C19" s="33"/>
      <c r="D19" s="33"/>
      <c r="E19" s="33"/>
      <c r="F19" s="9"/>
      <c r="G19" s="9"/>
    </row>
    <row r="20" spans="1:7">
      <c r="A20" s="33"/>
      <c r="B20" s="33"/>
      <c r="C20" s="33"/>
      <c r="D20" s="33"/>
      <c r="E20" s="33"/>
      <c r="F20" s="9"/>
      <c r="G20" s="9"/>
    </row>
    <row r="21" spans="1:7">
      <c r="A21" s="33"/>
      <c r="B21" s="33"/>
      <c r="C21" s="33"/>
      <c r="D21" s="33"/>
      <c r="E21" s="33"/>
      <c r="F21" s="9"/>
      <c r="G21" s="9"/>
    </row>
    <row r="22" spans="1:7">
      <c r="A22" s="33"/>
      <c r="B22" s="33"/>
      <c r="C22" s="33"/>
      <c r="D22" s="33"/>
      <c r="E22" s="33"/>
      <c r="F22" s="9"/>
      <c r="G22" s="9"/>
    </row>
  </sheetData>
  <pageMargins left="0.69930555555555596" right="0.69930555555555596" top="0.5" bottom="0.75" header="0.3" footer="0.3"/>
  <pageSetup paperSize="9" scale="90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6"/>
  <sheetViews>
    <sheetView workbookViewId="0">
      <selection activeCell="E24" sqref="E24"/>
    </sheetView>
  </sheetViews>
  <sheetFormatPr baseColWidth="10" defaultColWidth="9" defaultRowHeight="15" x14ac:dyDescent="0"/>
  <cols>
    <col min="1" max="1" width="13" style="31" customWidth="1"/>
    <col min="2" max="2" width="31" style="31" customWidth="1"/>
    <col min="3" max="5" width="9.33203125" style="31" customWidth="1"/>
    <col min="6" max="6" width="12.83203125" customWidth="1"/>
    <col min="7" max="7" width="14" bestFit="1" customWidth="1"/>
  </cols>
  <sheetData>
    <row r="2" spans="1:7">
      <c r="A2" s="31" t="s">
        <v>208</v>
      </c>
    </row>
    <row r="4" spans="1:7" ht="14">
      <c r="A4" s="262" t="s">
        <v>1</v>
      </c>
      <c r="B4" s="262" t="s">
        <v>429</v>
      </c>
      <c r="C4" s="262" t="s">
        <v>3</v>
      </c>
      <c r="D4" s="262" t="s">
        <v>4</v>
      </c>
      <c r="E4" s="262" t="s">
        <v>5</v>
      </c>
      <c r="F4" s="25" t="s">
        <v>6</v>
      </c>
      <c r="G4" s="262" t="s">
        <v>902</v>
      </c>
    </row>
    <row r="5" spans="1:7">
      <c r="A5" s="33"/>
      <c r="B5" s="33" t="s">
        <v>418</v>
      </c>
      <c r="C5" s="33"/>
      <c r="D5" s="33"/>
      <c r="E5" s="33">
        <v>982</v>
      </c>
      <c r="F5" s="9"/>
      <c r="G5" s="9"/>
    </row>
    <row r="6" spans="1:7">
      <c r="A6" s="419">
        <v>43374</v>
      </c>
      <c r="B6" s="33" t="s">
        <v>467</v>
      </c>
      <c r="C6" s="33">
        <v>3</v>
      </c>
      <c r="D6" s="33"/>
      <c r="E6" s="33">
        <f t="shared" ref="E6:E17" si="0">E5+C6-D6</f>
        <v>985</v>
      </c>
      <c r="F6" s="326" t="s">
        <v>46</v>
      </c>
      <c r="G6" s="9"/>
    </row>
    <row r="7" spans="1:7">
      <c r="A7" s="420">
        <v>43405</v>
      </c>
      <c r="B7" s="36" t="s">
        <v>471</v>
      </c>
      <c r="C7" s="33">
        <v>45</v>
      </c>
      <c r="D7" s="33"/>
      <c r="E7" s="33">
        <f t="shared" si="0"/>
        <v>1030</v>
      </c>
      <c r="F7" s="330"/>
      <c r="G7" s="9"/>
    </row>
    <row r="8" spans="1:7">
      <c r="A8" s="32" t="s">
        <v>586</v>
      </c>
      <c r="B8" s="33" t="s">
        <v>16</v>
      </c>
      <c r="C8" s="33">
        <v>4</v>
      </c>
      <c r="D8" s="33"/>
      <c r="E8" s="33">
        <f t="shared" si="0"/>
        <v>1034</v>
      </c>
      <c r="F8" s="375"/>
      <c r="G8" s="9"/>
    </row>
    <row r="9" spans="1:7">
      <c r="A9" s="421" t="s">
        <v>598</v>
      </c>
      <c r="B9" s="34" t="s">
        <v>16</v>
      </c>
      <c r="C9" s="33">
        <v>7</v>
      </c>
      <c r="D9" s="33"/>
      <c r="E9" s="33">
        <f t="shared" si="0"/>
        <v>1041</v>
      </c>
      <c r="F9" s="386"/>
      <c r="G9" s="9"/>
    </row>
    <row r="10" spans="1:7">
      <c r="A10" s="419">
        <v>43253</v>
      </c>
      <c r="B10" s="33" t="s">
        <v>16</v>
      </c>
      <c r="C10" s="33">
        <v>4</v>
      </c>
      <c r="D10" s="33"/>
      <c r="E10" s="33">
        <f t="shared" si="0"/>
        <v>1045</v>
      </c>
      <c r="F10" s="407"/>
      <c r="G10" s="9"/>
    </row>
    <row r="11" spans="1:7">
      <c r="A11" s="33" t="s">
        <v>630</v>
      </c>
      <c r="B11" s="34" t="s">
        <v>16</v>
      </c>
      <c r="C11" s="33">
        <v>1</v>
      </c>
      <c r="D11" s="33"/>
      <c r="E11" s="33">
        <f t="shared" si="0"/>
        <v>1046</v>
      </c>
      <c r="F11" s="9"/>
      <c r="G11" s="9"/>
    </row>
    <row r="12" spans="1:7">
      <c r="A12" s="33" t="s">
        <v>755</v>
      </c>
      <c r="B12" s="33" t="s">
        <v>16</v>
      </c>
      <c r="C12" s="33">
        <v>2</v>
      </c>
      <c r="D12" s="33"/>
      <c r="E12" s="33">
        <f t="shared" si="0"/>
        <v>1048</v>
      </c>
      <c r="F12" s="538"/>
      <c r="G12" s="9"/>
    </row>
    <row r="13" spans="1:7">
      <c r="A13" s="37">
        <v>43285</v>
      </c>
      <c r="B13" s="33" t="s">
        <v>779</v>
      </c>
      <c r="C13" s="33"/>
      <c r="D13" s="33">
        <v>103</v>
      </c>
      <c r="E13" s="33">
        <f t="shared" si="0"/>
        <v>945</v>
      </c>
      <c r="F13" s="554"/>
      <c r="G13" s="9"/>
    </row>
    <row r="14" spans="1:7">
      <c r="A14" s="33" t="s">
        <v>792</v>
      </c>
      <c r="B14" s="33" t="s">
        <v>779</v>
      </c>
      <c r="C14" s="33"/>
      <c r="D14" s="33">
        <v>133</v>
      </c>
      <c r="E14" s="33">
        <f t="shared" si="0"/>
        <v>812</v>
      </c>
      <c r="F14" s="570" t="s">
        <v>46</v>
      </c>
      <c r="G14" s="9"/>
    </row>
    <row r="15" spans="1:7">
      <c r="A15" s="35" t="s">
        <v>811</v>
      </c>
      <c r="B15" s="33" t="s">
        <v>779</v>
      </c>
      <c r="C15" s="33"/>
      <c r="D15" s="33">
        <v>86</v>
      </c>
      <c r="E15" s="33">
        <f t="shared" si="0"/>
        <v>726</v>
      </c>
      <c r="F15" s="581" t="s">
        <v>46</v>
      </c>
      <c r="G15" s="9"/>
    </row>
    <row r="16" spans="1:7">
      <c r="A16" s="33" t="s">
        <v>832</v>
      </c>
      <c r="B16" s="33" t="s">
        <v>779</v>
      </c>
      <c r="C16" s="33"/>
      <c r="D16" s="33">
        <v>300</v>
      </c>
      <c r="E16" s="33">
        <f t="shared" si="0"/>
        <v>426</v>
      </c>
      <c r="F16" s="606" t="s">
        <v>46</v>
      </c>
      <c r="G16" s="689" t="s">
        <v>906</v>
      </c>
    </row>
    <row r="17" spans="1:7">
      <c r="A17" s="49">
        <v>43105</v>
      </c>
      <c r="B17" s="35" t="s">
        <v>779</v>
      </c>
      <c r="C17" s="33"/>
      <c r="D17" s="33">
        <v>350</v>
      </c>
      <c r="E17" s="33">
        <f t="shared" si="0"/>
        <v>76</v>
      </c>
      <c r="F17" s="616" t="s">
        <v>46</v>
      </c>
      <c r="G17" s="9">
        <v>224</v>
      </c>
    </row>
    <row r="18" spans="1:7">
      <c r="A18" s="33"/>
      <c r="B18" s="33"/>
      <c r="C18" s="33"/>
      <c r="D18" s="33"/>
      <c r="E18" s="33"/>
      <c r="F18" s="9"/>
      <c r="G18" s="9"/>
    </row>
    <row r="19" spans="1:7">
      <c r="A19" s="33"/>
      <c r="B19" s="33"/>
      <c r="C19" s="33"/>
      <c r="D19" s="33"/>
      <c r="E19" s="33"/>
      <c r="F19" s="9"/>
      <c r="G19" s="9"/>
    </row>
    <row r="20" spans="1:7">
      <c r="A20" s="33"/>
      <c r="B20" s="33"/>
      <c r="C20" s="33"/>
      <c r="D20" s="33"/>
      <c r="E20" s="33"/>
      <c r="F20" s="9"/>
      <c r="G20" s="9"/>
    </row>
    <row r="21" spans="1:7">
      <c r="A21" s="33"/>
      <c r="B21" s="33"/>
      <c r="C21" s="33"/>
      <c r="D21" s="33"/>
      <c r="E21" s="33"/>
      <c r="F21" s="9"/>
      <c r="G21" s="9"/>
    </row>
    <row r="22" spans="1:7">
      <c r="A22" s="33"/>
      <c r="B22" s="33"/>
      <c r="C22" s="33"/>
      <c r="D22" s="33"/>
      <c r="E22" s="33"/>
      <c r="F22" s="9"/>
      <c r="G22" s="9"/>
    </row>
    <row r="23" spans="1:7">
      <c r="A23" s="33"/>
      <c r="B23" s="33"/>
      <c r="C23" s="33"/>
      <c r="D23" s="33"/>
      <c r="E23" s="33"/>
      <c r="F23" s="9"/>
      <c r="G23" s="9"/>
    </row>
    <row r="24" spans="1:7">
      <c r="A24" s="33"/>
      <c r="B24" s="33"/>
      <c r="C24" s="33"/>
      <c r="D24" s="33"/>
      <c r="E24" s="33"/>
      <c r="F24" s="9"/>
      <c r="G24" s="9"/>
    </row>
    <row r="25" spans="1:7">
      <c r="A25" s="33"/>
      <c r="B25" s="33"/>
      <c r="C25" s="33"/>
      <c r="D25" s="33"/>
      <c r="E25" s="33"/>
      <c r="F25" s="9"/>
      <c r="G25" s="9"/>
    </row>
    <row r="26" spans="1:7">
      <c r="A26" s="33"/>
      <c r="B26" s="33"/>
      <c r="C26" s="33"/>
      <c r="D26" s="33"/>
      <c r="E26" s="33"/>
      <c r="F26" s="9"/>
      <c r="G26" s="9"/>
    </row>
  </sheetData>
  <pageMargins left="0.69930555555555596" right="0.69930555555555596" top="0.5" bottom="0.75" header="0.3" footer="0.3"/>
  <pageSetup paperSize="9" scale="90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3"/>
  <sheetViews>
    <sheetView workbookViewId="0">
      <selection activeCell="F14" sqref="F14"/>
    </sheetView>
  </sheetViews>
  <sheetFormatPr baseColWidth="10" defaultColWidth="9" defaultRowHeight="15" x14ac:dyDescent="0"/>
  <cols>
    <col min="1" max="1" width="13" style="31" customWidth="1"/>
    <col min="2" max="2" width="30.33203125" style="31" customWidth="1"/>
    <col min="3" max="5" width="9.33203125" style="31" customWidth="1"/>
  </cols>
  <sheetData>
    <row r="2" spans="1:6">
      <c r="A2" s="31" t="s">
        <v>209</v>
      </c>
    </row>
    <row r="4" spans="1:6" ht="14">
      <c r="A4" s="262" t="s">
        <v>1</v>
      </c>
      <c r="B4" s="262" t="s">
        <v>429</v>
      </c>
      <c r="C4" s="262" t="s">
        <v>3</v>
      </c>
      <c r="D4" s="262" t="s">
        <v>4</v>
      </c>
      <c r="E4" s="262" t="s">
        <v>5</v>
      </c>
      <c r="F4" s="25" t="s">
        <v>6</v>
      </c>
    </row>
    <row r="5" spans="1:6">
      <c r="A5" s="33"/>
      <c r="B5" s="33" t="s">
        <v>418</v>
      </c>
      <c r="C5" s="33"/>
      <c r="D5" s="33"/>
      <c r="E5" s="33">
        <v>1082</v>
      </c>
    </row>
    <row r="6" spans="1:6">
      <c r="A6" s="37">
        <v>43374</v>
      </c>
      <c r="B6" s="33" t="s">
        <v>467</v>
      </c>
      <c r="C6" s="33">
        <v>5</v>
      </c>
      <c r="D6" s="33"/>
      <c r="E6" s="33">
        <f t="shared" ref="E6:E11" si="0">E5+C6-D6</f>
        <v>1087</v>
      </c>
      <c r="F6" s="329" t="s">
        <v>46</v>
      </c>
    </row>
    <row r="7" spans="1:6">
      <c r="A7" s="34" t="s">
        <v>586</v>
      </c>
      <c r="B7" s="34" t="s">
        <v>16</v>
      </c>
      <c r="C7" s="33">
        <v>8</v>
      </c>
      <c r="D7" s="33"/>
      <c r="E7" s="33">
        <f t="shared" si="0"/>
        <v>1095</v>
      </c>
    </row>
    <row r="8" spans="1:6">
      <c r="A8" s="95" t="s">
        <v>598</v>
      </c>
      <c r="B8" s="34" t="s">
        <v>16</v>
      </c>
      <c r="C8" s="33">
        <v>3</v>
      </c>
      <c r="D8" s="33"/>
      <c r="E8" s="33">
        <f t="shared" si="0"/>
        <v>1098</v>
      </c>
      <c r="F8" s="388"/>
    </row>
    <row r="9" spans="1:6">
      <c r="A9" s="33" t="s">
        <v>630</v>
      </c>
      <c r="B9" s="34" t="s">
        <v>16</v>
      </c>
      <c r="C9" s="33">
        <v>1</v>
      </c>
      <c r="D9" s="33"/>
      <c r="E9" s="33">
        <f t="shared" si="0"/>
        <v>1099</v>
      </c>
    </row>
    <row r="10" spans="1:6">
      <c r="A10" s="33" t="s">
        <v>755</v>
      </c>
      <c r="B10" s="33" t="s">
        <v>16</v>
      </c>
      <c r="C10" s="33">
        <v>3</v>
      </c>
      <c r="D10" s="33"/>
      <c r="E10" s="33">
        <f t="shared" si="0"/>
        <v>1102</v>
      </c>
      <c r="F10" s="541"/>
    </row>
    <row r="11" spans="1:6">
      <c r="A11" s="37">
        <v>43285</v>
      </c>
      <c r="B11" s="33" t="s">
        <v>779</v>
      </c>
      <c r="C11" s="33"/>
      <c r="D11" s="33">
        <v>76</v>
      </c>
      <c r="E11" s="33">
        <f t="shared" si="0"/>
        <v>1026</v>
      </c>
      <c r="F11" s="556"/>
    </row>
    <row r="12" spans="1:6">
      <c r="A12" s="37">
        <v>43438</v>
      </c>
      <c r="B12" s="39" t="s">
        <v>779</v>
      </c>
      <c r="C12" s="33"/>
      <c r="D12" s="33">
        <v>330</v>
      </c>
      <c r="E12" s="33">
        <f>E11+C12-D12</f>
        <v>696</v>
      </c>
      <c r="F12" s="568" t="s">
        <v>46</v>
      </c>
    </row>
    <row r="13" spans="1:6">
      <c r="A13" s="33" t="s">
        <v>792</v>
      </c>
      <c r="B13" s="33" t="s">
        <v>779</v>
      </c>
      <c r="C13" s="33"/>
      <c r="D13" s="33">
        <v>211</v>
      </c>
      <c r="E13" s="33">
        <f>E12+C13-D13</f>
        <v>485</v>
      </c>
      <c r="F13" s="574" t="s">
        <v>46</v>
      </c>
    </row>
  </sheetData>
  <pageMargins left="0.69930555555555596" right="0.69930555555555596" top="0.25" bottom="0.75" header="0.3" footer="0.3"/>
  <pageSetup paperSize="9" scale="90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E5" sqref="E5"/>
    </sheetView>
  </sheetViews>
  <sheetFormatPr baseColWidth="10" defaultColWidth="9" defaultRowHeight="14" x14ac:dyDescent="0"/>
  <cols>
    <col min="1" max="1" width="14" customWidth="1"/>
    <col min="2" max="2" width="27.1640625" customWidth="1"/>
    <col min="6" max="6" width="16.5" customWidth="1"/>
  </cols>
  <sheetData>
    <row r="1" spans="1:6" ht="15">
      <c r="A1" s="31" t="s">
        <v>214</v>
      </c>
      <c r="B1" s="31"/>
      <c r="C1" s="31"/>
      <c r="D1" s="31"/>
      <c r="E1" s="31"/>
    </row>
    <row r="2" spans="1:6" ht="15">
      <c r="A2" s="31"/>
      <c r="B2" s="31"/>
      <c r="C2" s="31"/>
      <c r="D2" s="31"/>
      <c r="E2" s="31"/>
    </row>
    <row r="3" spans="1:6">
      <c r="A3" s="262" t="s">
        <v>1</v>
      </c>
      <c r="B3" s="262" t="s">
        <v>429</v>
      </c>
      <c r="C3" s="262" t="s">
        <v>3</v>
      </c>
      <c r="D3" s="262" t="s">
        <v>4</v>
      </c>
      <c r="E3" s="262" t="s">
        <v>5</v>
      </c>
      <c r="F3" s="25" t="s">
        <v>6</v>
      </c>
    </row>
    <row r="4" spans="1:6">
      <c r="A4" s="9"/>
      <c r="B4" s="310" t="s">
        <v>418</v>
      </c>
      <c r="C4" s="9"/>
      <c r="D4" s="9"/>
      <c r="E4" s="9">
        <v>0</v>
      </c>
      <c r="F4" s="9"/>
    </row>
    <row r="5" spans="1:6">
      <c r="A5" s="9"/>
      <c r="B5" s="9"/>
      <c r="C5" s="9"/>
      <c r="D5" s="9"/>
      <c r="E5" s="9"/>
      <c r="F5" s="9"/>
    </row>
    <row r="6" spans="1:6">
      <c r="A6" s="9"/>
      <c r="B6" s="9"/>
      <c r="C6" s="9"/>
      <c r="D6" s="9"/>
      <c r="E6" s="9"/>
      <c r="F6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5"/>
  <sheetViews>
    <sheetView topLeftCell="A7" workbookViewId="0">
      <selection activeCell="G25" sqref="G25"/>
    </sheetView>
  </sheetViews>
  <sheetFormatPr baseColWidth="10" defaultColWidth="9" defaultRowHeight="15" x14ac:dyDescent="0"/>
  <cols>
    <col min="1" max="1" width="12.5" style="153" customWidth="1"/>
    <col min="2" max="2" width="37.33203125" style="153" customWidth="1"/>
    <col min="3" max="5" width="9" style="153"/>
    <col min="6" max="6" width="14.5" customWidth="1"/>
    <col min="7" max="7" width="14" bestFit="1" customWidth="1"/>
  </cols>
  <sheetData>
    <row r="2" spans="1:7">
      <c r="A2" s="153" t="s">
        <v>215</v>
      </c>
    </row>
    <row r="4" spans="1:7" ht="14">
      <c r="A4" s="262" t="s">
        <v>1</v>
      </c>
      <c r="B4" s="262" t="s">
        <v>429</v>
      </c>
      <c r="C4" s="262" t="s">
        <v>3</v>
      </c>
      <c r="D4" s="262" t="s">
        <v>4</v>
      </c>
      <c r="E4" s="262" t="s">
        <v>5</v>
      </c>
      <c r="F4" s="25" t="s">
        <v>6</v>
      </c>
      <c r="G4" s="262" t="s">
        <v>902</v>
      </c>
    </row>
    <row r="5" spans="1:7">
      <c r="A5" s="35"/>
      <c r="B5" s="35" t="s">
        <v>418</v>
      </c>
      <c r="C5" s="35"/>
      <c r="D5" s="35"/>
      <c r="E5" s="35">
        <v>3565</v>
      </c>
      <c r="F5" s="9"/>
      <c r="G5" s="9"/>
    </row>
    <row r="6" spans="1:7">
      <c r="A6" s="42">
        <v>43374</v>
      </c>
      <c r="B6" s="326" t="s">
        <v>468</v>
      </c>
      <c r="C6" s="35">
        <v>81</v>
      </c>
      <c r="D6" s="35"/>
      <c r="E6" s="35">
        <f t="shared" ref="E6:E24" si="0">E5+C6-D6</f>
        <v>3646</v>
      </c>
      <c r="F6" s="326"/>
      <c r="G6" s="9"/>
    </row>
    <row r="7" spans="1:7">
      <c r="A7" s="49">
        <v>43405</v>
      </c>
      <c r="B7" s="35" t="s">
        <v>472</v>
      </c>
      <c r="C7" s="35">
        <v>51</v>
      </c>
      <c r="D7" s="35"/>
      <c r="E7" s="35">
        <f t="shared" si="0"/>
        <v>3697</v>
      </c>
      <c r="F7" s="330"/>
      <c r="G7" s="9"/>
    </row>
    <row r="8" spans="1:7">
      <c r="A8" s="35" t="s">
        <v>509</v>
      </c>
      <c r="B8" s="35" t="s">
        <v>514</v>
      </c>
      <c r="C8" s="35">
        <v>18</v>
      </c>
      <c r="D8" s="35"/>
      <c r="E8" s="35">
        <f t="shared" si="0"/>
        <v>3715</v>
      </c>
      <c r="F8" s="341"/>
      <c r="G8" s="9"/>
    </row>
    <row r="9" spans="1:7">
      <c r="A9" s="347" t="s">
        <v>516</v>
      </c>
      <c r="B9" s="348" t="s">
        <v>433</v>
      </c>
      <c r="C9" s="35">
        <v>10</v>
      </c>
      <c r="D9" s="35"/>
      <c r="E9" s="35">
        <f t="shared" si="0"/>
        <v>3725</v>
      </c>
      <c r="F9" s="348"/>
      <c r="G9" s="9"/>
    </row>
    <row r="10" spans="1:7">
      <c r="A10" s="365" t="s">
        <v>557</v>
      </c>
      <c r="B10" s="365" t="s">
        <v>433</v>
      </c>
      <c r="C10" s="35">
        <v>4</v>
      </c>
      <c r="D10" s="35"/>
      <c r="E10" s="35">
        <f t="shared" si="0"/>
        <v>3729</v>
      </c>
      <c r="F10" s="365"/>
      <c r="G10" s="9"/>
    </row>
    <row r="11" spans="1:7">
      <c r="A11" s="33" t="s">
        <v>586</v>
      </c>
      <c r="B11" s="33" t="s">
        <v>587</v>
      </c>
      <c r="C11" s="35">
        <v>3</v>
      </c>
      <c r="D11" s="35"/>
      <c r="E11" s="35">
        <f t="shared" si="0"/>
        <v>3732</v>
      </c>
      <c r="F11" s="375"/>
      <c r="G11" s="9"/>
    </row>
    <row r="12" spans="1:7">
      <c r="A12" s="172">
        <v>43161</v>
      </c>
      <c r="B12" s="399" t="s">
        <v>602</v>
      </c>
      <c r="C12" s="35">
        <v>12</v>
      </c>
      <c r="D12" s="35"/>
      <c r="E12" s="35">
        <f t="shared" si="0"/>
        <v>3744</v>
      </c>
      <c r="F12" s="398"/>
      <c r="G12" s="9"/>
    </row>
    <row r="13" spans="1:7">
      <c r="A13" s="161">
        <v>43375</v>
      </c>
      <c r="B13" s="36" t="s">
        <v>469</v>
      </c>
      <c r="C13" s="35">
        <v>11</v>
      </c>
      <c r="D13" s="35"/>
      <c r="E13" s="35">
        <f t="shared" si="0"/>
        <v>3755</v>
      </c>
      <c r="F13" s="422"/>
      <c r="G13" s="9"/>
    </row>
    <row r="14" spans="1:7">
      <c r="A14" s="33" t="s">
        <v>656</v>
      </c>
      <c r="B14" s="33" t="s">
        <v>587</v>
      </c>
      <c r="C14" s="35">
        <v>13</v>
      </c>
      <c r="D14" s="35"/>
      <c r="E14" s="35">
        <f t="shared" si="0"/>
        <v>3768</v>
      </c>
      <c r="F14" s="444"/>
      <c r="G14" s="9"/>
    </row>
    <row r="15" spans="1:7">
      <c r="A15" s="9" t="s">
        <v>731</v>
      </c>
      <c r="B15" s="9" t="s">
        <v>510</v>
      </c>
      <c r="C15" s="35">
        <v>5</v>
      </c>
      <c r="D15" s="35"/>
      <c r="E15" s="35">
        <f t="shared" si="0"/>
        <v>3773</v>
      </c>
      <c r="F15" s="538"/>
      <c r="G15" s="9"/>
    </row>
    <row r="16" spans="1:7">
      <c r="A16" s="37">
        <v>43285</v>
      </c>
      <c r="B16" s="33" t="s">
        <v>779</v>
      </c>
      <c r="C16" s="35"/>
      <c r="D16" s="35">
        <v>155</v>
      </c>
      <c r="E16" s="35">
        <f t="shared" si="0"/>
        <v>3618</v>
      </c>
      <c r="F16" s="554"/>
      <c r="G16" s="689"/>
    </row>
    <row r="17" spans="1:7">
      <c r="A17" s="37">
        <v>43377</v>
      </c>
      <c r="B17" s="33" t="s">
        <v>779</v>
      </c>
      <c r="C17" s="35"/>
      <c r="D17" s="35">
        <v>150</v>
      </c>
      <c r="E17" s="35">
        <f t="shared" si="0"/>
        <v>3468</v>
      </c>
      <c r="F17" s="559"/>
      <c r="G17" s="9"/>
    </row>
    <row r="18" spans="1:7">
      <c r="A18" s="37">
        <v>43438</v>
      </c>
      <c r="B18" s="39" t="s">
        <v>779</v>
      </c>
      <c r="C18" s="35"/>
      <c r="D18" s="35">
        <v>220</v>
      </c>
      <c r="E18" s="41">
        <f t="shared" si="0"/>
        <v>3248</v>
      </c>
      <c r="F18" s="9" t="s">
        <v>46</v>
      </c>
      <c r="G18" s="9"/>
    </row>
    <row r="19" spans="1:7">
      <c r="A19" s="33" t="s">
        <v>792</v>
      </c>
      <c r="B19" s="33" t="s">
        <v>779</v>
      </c>
      <c r="C19" s="35"/>
      <c r="D19" s="35">
        <v>78</v>
      </c>
      <c r="E19" s="41">
        <f t="shared" si="0"/>
        <v>3170</v>
      </c>
      <c r="F19" s="570" t="s">
        <v>46</v>
      </c>
      <c r="G19" s="9"/>
    </row>
    <row r="20" spans="1:7">
      <c r="A20" s="33" t="s">
        <v>832</v>
      </c>
      <c r="B20" s="33" t="s">
        <v>779</v>
      </c>
      <c r="C20" s="35"/>
      <c r="D20" s="35">
        <v>500</v>
      </c>
      <c r="E20" s="41">
        <f t="shared" si="0"/>
        <v>2670</v>
      </c>
      <c r="F20" s="606" t="s">
        <v>46</v>
      </c>
      <c r="G20" s="9"/>
    </row>
    <row r="21" spans="1:7">
      <c r="A21" s="49">
        <v>43105</v>
      </c>
      <c r="B21" s="35" t="s">
        <v>779</v>
      </c>
      <c r="C21" s="35"/>
      <c r="D21" s="35">
        <v>150</v>
      </c>
      <c r="E21" s="41">
        <f t="shared" si="0"/>
        <v>2520</v>
      </c>
      <c r="F21" s="616" t="s">
        <v>46</v>
      </c>
      <c r="G21" s="9"/>
    </row>
    <row r="22" spans="1:7">
      <c r="A22" s="49">
        <v>43409</v>
      </c>
      <c r="B22" s="35" t="s">
        <v>779</v>
      </c>
      <c r="C22" s="35"/>
      <c r="D22" s="35">
        <v>300</v>
      </c>
      <c r="E22" s="41">
        <f t="shared" si="0"/>
        <v>2220</v>
      </c>
      <c r="F22" s="656" t="s">
        <v>46</v>
      </c>
      <c r="G22" s="9"/>
    </row>
    <row r="23" spans="1:7">
      <c r="A23" s="33" t="s">
        <v>884</v>
      </c>
      <c r="B23" s="33" t="s">
        <v>861</v>
      </c>
      <c r="C23" s="35"/>
      <c r="D23" s="35">
        <v>1406</v>
      </c>
      <c r="E23" s="41">
        <f t="shared" si="0"/>
        <v>814</v>
      </c>
      <c r="F23" s="671" t="s">
        <v>46</v>
      </c>
      <c r="G23" s="9"/>
    </row>
    <row r="24" spans="1:7">
      <c r="A24" s="35" t="s">
        <v>898</v>
      </c>
      <c r="B24" s="35" t="s">
        <v>779</v>
      </c>
      <c r="C24" s="35"/>
      <c r="D24" s="35">
        <v>104</v>
      </c>
      <c r="E24" s="41">
        <f t="shared" si="0"/>
        <v>710</v>
      </c>
      <c r="F24" s="684" t="s">
        <v>46</v>
      </c>
      <c r="G24" s="689" t="s">
        <v>903</v>
      </c>
    </row>
    <row r="25" spans="1:7">
      <c r="A25" s="35"/>
      <c r="B25" s="35"/>
      <c r="C25" s="35"/>
      <c r="D25" s="35"/>
      <c r="E25" s="35"/>
      <c r="F25" s="9"/>
      <c r="G25" s="9">
        <v>57</v>
      </c>
    </row>
    <row r="26" spans="1:7">
      <c r="A26" s="35"/>
      <c r="B26" s="35"/>
      <c r="C26" s="35"/>
      <c r="D26" s="35"/>
      <c r="E26" s="35"/>
      <c r="F26" s="9"/>
      <c r="G26" s="9"/>
    </row>
    <row r="27" spans="1:7">
      <c r="A27" s="35"/>
      <c r="B27" s="35"/>
      <c r="C27" s="35"/>
      <c r="D27" s="35"/>
      <c r="E27" s="35"/>
      <c r="F27" s="9"/>
      <c r="G27" s="9"/>
    </row>
    <row r="28" spans="1:7">
      <c r="A28" s="35"/>
      <c r="B28" s="35"/>
      <c r="C28" s="35"/>
      <c r="D28" s="35"/>
      <c r="E28" s="35"/>
      <c r="F28" s="9"/>
      <c r="G28" s="9"/>
    </row>
    <row r="29" spans="1:7">
      <c r="A29" s="35"/>
      <c r="B29" s="35"/>
      <c r="C29" s="35"/>
      <c r="D29" s="35"/>
      <c r="E29" s="35"/>
      <c r="F29" s="9"/>
      <c r="G29" s="9"/>
    </row>
    <row r="30" spans="1:7">
      <c r="A30" s="35"/>
      <c r="B30" s="35"/>
      <c r="C30" s="35"/>
      <c r="D30" s="35"/>
      <c r="E30" s="35"/>
      <c r="F30" s="9"/>
      <c r="G30" s="9"/>
    </row>
    <row r="31" spans="1:7">
      <c r="A31" s="35"/>
      <c r="B31" s="35"/>
      <c r="C31" s="35"/>
      <c r="D31" s="35"/>
      <c r="E31" s="35"/>
      <c r="F31" s="9"/>
      <c r="G31" s="9"/>
    </row>
    <row r="32" spans="1:7">
      <c r="A32" s="35"/>
      <c r="B32" s="35"/>
      <c r="C32" s="35"/>
      <c r="D32" s="35"/>
      <c r="E32" s="35"/>
      <c r="F32" s="9"/>
      <c r="G32" s="9"/>
    </row>
    <row r="33" spans="1:7">
      <c r="A33" s="35"/>
      <c r="B33" s="35"/>
      <c r="C33" s="35"/>
      <c r="D33" s="35"/>
      <c r="E33" s="35"/>
      <c r="F33" s="9"/>
      <c r="G33" s="9"/>
    </row>
    <row r="34" spans="1:7">
      <c r="A34" s="35"/>
      <c r="B34" s="35"/>
      <c r="C34" s="35"/>
      <c r="D34" s="35"/>
      <c r="E34" s="35"/>
      <c r="F34" s="9"/>
      <c r="G34" s="9"/>
    </row>
    <row r="35" spans="1:7">
      <c r="A35" s="35"/>
      <c r="B35" s="35"/>
      <c r="C35" s="35"/>
      <c r="D35" s="35"/>
      <c r="E35" s="35"/>
      <c r="F35" s="9"/>
      <c r="G35" s="9"/>
    </row>
  </sheetData>
  <pageMargins left="0.69930555555555596" right="0.69930555555555596" top="0.75" bottom="0.75" header="0.3" footer="0.3"/>
  <pageSetup paperSize="9" scale="90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7"/>
  <sheetViews>
    <sheetView topLeftCell="A4" workbookViewId="0">
      <selection activeCell="G14" sqref="G14"/>
    </sheetView>
  </sheetViews>
  <sheetFormatPr baseColWidth="10" defaultColWidth="9" defaultRowHeight="15" x14ac:dyDescent="0"/>
  <cols>
    <col min="1" max="1" width="12.5" style="153" customWidth="1"/>
    <col min="2" max="2" width="41.1640625" style="153" customWidth="1"/>
    <col min="3" max="5" width="9" style="153"/>
    <col min="6" max="6" width="16.5" style="153" customWidth="1"/>
    <col min="7" max="7" width="14" bestFit="1" customWidth="1"/>
  </cols>
  <sheetData>
    <row r="2" spans="1:7">
      <c r="A2" s="206" t="s">
        <v>218</v>
      </c>
      <c r="B2" s="206"/>
    </row>
    <row r="4" spans="1:7" ht="14">
      <c r="A4" s="262" t="s">
        <v>1</v>
      </c>
      <c r="B4" s="262" t="s">
        <v>429</v>
      </c>
      <c r="C4" s="262" t="s">
        <v>3</v>
      </c>
      <c r="D4" s="262" t="s">
        <v>4</v>
      </c>
      <c r="E4" s="262" t="s">
        <v>5</v>
      </c>
      <c r="F4" s="25" t="s">
        <v>6</v>
      </c>
      <c r="G4" s="262" t="s">
        <v>902</v>
      </c>
    </row>
    <row r="5" spans="1:7">
      <c r="A5" s="35"/>
      <c r="B5" s="35" t="s">
        <v>418</v>
      </c>
      <c r="C5" s="35"/>
      <c r="D5" s="35"/>
      <c r="E5" s="35">
        <v>1168</v>
      </c>
      <c r="F5" s="35"/>
      <c r="G5" s="9"/>
    </row>
    <row r="6" spans="1:7">
      <c r="A6" s="37">
        <v>43374</v>
      </c>
      <c r="B6" s="33" t="s">
        <v>467</v>
      </c>
      <c r="C6" s="35">
        <v>10</v>
      </c>
      <c r="D6" s="35"/>
      <c r="E6" s="35">
        <f t="shared" ref="E6:E13" si="0">E5+C6-D6</f>
        <v>1178</v>
      </c>
      <c r="F6" s="35"/>
      <c r="G6" s="9"/>
    </row>
    <row r="7" spans="1:7">
      <c r="A7" s="33" t="s">
        <v>630</v>
      </c>
      <c r="B7" s="34" t="s">
        <v>16</v>
      </c>
      <c r="C7" s="35">
        <v>4</v>
      </c>
      <c r="D7" s="35"/>
      <c r="E7" s="35">
        <f t="shared" si="0"/>
        <v>1182</v>
      </c>
      <c r="F7" s="35"/>
      <c r="G7" s="9"/>
    </row>
    <row r="8" spans="1:7">
      <c r="A8" s="33" t="s">
        <v>656</v>
      </c>
      <c r="B8" s="33" t="s">
        <v>587</v>
      </c>
      <c r="C8" s="35">
        <v>3</v>
      </c>
      <c r="D8" s="35"/>
      <c r="E8" s="35">
        <f t="shared" si="0"/>
        <v>1185</v>
      </c>
      <c r="F8" s="35"/>
      <c r="G8" s="9"/>
    </row>
    <row r="9" spans="1:7">
      <c r="A9" s="33" t="s">
        <v>755</v>
      </c>
      <c r="B9" s="33" t="s">
        <v>16</v>
      </c>
      <c r="C9" s="35">
        <v>1</v>
      </c>
      <c r="D9" s="35"/>
      <c r="E9" s="35">
        <f t="shared" si="0"/>
        <v>1186</v>
      </c>
      <c r="F9" s="35"/>
      <c r="G9" s="9"/>
    </row>
    <row r="10" spans="1:7">
      <c r="A10" s="37">
        <v>43377</v>
      </c>
      <c r="B10" s="33" t="s">
        <v>779</v>
      </c>
      <c r="C10" s="35"/>
      <c r="D10" s="35">
        <v>60</v>
      </c>
      <c r="E10" s="35">
        <f t="shared" si="0"/>
        <v>1126</v>
      </c>
      <c r="F10" s="35"/>
      <c r="G10" s="9"/>
    </row>
    <row r="11" spans="1:7">
      <c r="A11" s="33" t="s">
        <v>792</v>
      </c>
      <c r="B11" s="33" t="s">
        <v>779</v>
      </c>
      <c r="C11" s="35"/>
      <c r="D11" s="35">
        <v>84</v>
      </c>
      <c r="E11" s="35">
        <f t="shared" si="0"/>
        <v>1042</v>
      </c>
      <c r="F11" s="35" t="s">
        <v>46</v>
      </c>
      <c r="G11" s="9"/>
    </row>
    <row r="12" spans="1:7">
      <c r="A12" s="35" t="s">
        <v>811</v>
      </c>
      <c r="B12" s="33" t="s">
        <v>779</v>
      </c>
      <c r="C12" s="35"/>
      <c r="D12" s="35">
        <v>315</v>
      </c>
      <c r="E12" s="35">
        <f t="shared" si="0"/>
        <v>727</v>
      </c>
      <c r="F12" s="35" t="s">
        <v>46</v>
      </c>
      <c r="G12" s="9"/>
    </row>
    <row r="13" spans="1:7">
      <c r="A13" s="33" t="s">
        <v>878</v>
      </c>
      <c r="B13" s="33" t="s">
        <v>861</v>
      </c>
      <c r="C13" s="35"/>
      <c r="D13" s="35">
        <v>476</v>
      </c>
      <c r="E13" s="35">
        <f t="shared" si="0"/>
        <v>251</v>
      </c>
      <c r="F13" s="35" t="s">
        <v>46</v>
      </c>
      <c r="G13" s="9"/>
    </row>
    <row r="14" spans="1:7">
      <c r="A14" s="33" t="s">
        <v>884</v>
      </c>
      <c r="B14" s="33" t="s">
        <v>861</v>
      </c>
      <c r="C14" s="35"/>
      <c r="D14" s="35">
        <v>265</v>
      </c>
      <c r="E14" s="35">
        <v>0</v>
      </c>
      <c r="F14" s="35" t="s">
        <v>46</v>
      </c>
      <c r="G14" s="689" t="s">
        <v>904</v>
      </c>
    </row>
    <row r="15" spans="1:7">
      <c r="A15" s="35"/>
      <c r="B15" s="35"/>
      <c r="C15" s="35"/>
      <c r="D15" s="35"/>
      <c r="E15" s="35"/>
      <c r="F15" s="35"/>
      <c r="G15" s="9"/>
    </row>
    <row r="16" spans="1:7">
      <c r="A16" s="35"/>
      <c r="B16" s="35"/>
      <c r="C16" s="35"/>
      <c r="D16" s="35"/>
      <c r="E16" s="35"/>
      <c r="F16" s="35"/>
      <c r="G16" s="689"/>
    </row>
    <row r="17" spans="1:7">
      <c r="A17" s="35"/>
      <c r="B17" s="35"/>
      <c r="C17" s="35"/>
      <c r="D17" s="35"/>
      <c r="E17" s="35"/>
      <c r="F17" s="35"/>
      <c r="G17" s="9"/>
    </row>
  </sheetData>
  <pageMargins left="0.69930555555555596" right="0.69930555555555596" top="0.5" bottom="0.75" header="0.3" footer="0.3"/>
  <pageSetup paperSize="9" scale="90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3"/>
  <sheetViews>
    <sheetView workbookViewId="0">
      <selection activeCell="K20" sqref="K20"/>
    </sheetView>
  </sheetViews>
  <sheetFormatPr baseColWidth="10" defaultColWidth="9" defaultRowHeight="15" x14ac:dyDescent="0"/>
  <cols>
    <col min="1" max="1" width="11.33203125" style="153" customWidth="1"/>
    <col min="2" max="2" width="27.5" style="153" customWidth="1"/>
    <col min="3" max="5" width="9" style="153"/>
    <col min="6" max="6" width="15" customWidth="1"/>
  </cols>
  <sheetData>
    <row r="2" spans="1:6">
      <c r="A2" s="153" t="s">
        <v>219</v>
      </c>
    </row>
    <row r="4" spans="1:6" ht="14">
      <c r="A4" s="262" t="s">
        <v>1</v>
      </c>
      <c r="B4" s="262" t="s">
        <v>429</v>
      </c>
      <c r="C4" s="262" t="s">
        <v>3</v>
      </c>
      <c r="D4" s="262" t="s">
        <v>4</v>
      </c>
      <c r="E4" s="262" t="s">
        <v>5</v>
      </c>
      <c r="F4" s="25" t="s">
        <v>6</v>
      </c>
    </row>
    <row r="5" spans="1:6">
      <c r="A5" s="35"/>
      <c r="B5" s="35" t="s">
        <v>418</v>
      </c>
      <c r="C5" s="35"/>
      <c r="D5" s="35"/>
      <c r="E5" s="35">
        <v>195</v>
      </c>
      <c r="F5" s="9"/>
    </row>
    <row r="6" spans="1:6">
      <c r="A6" s="35"/>
      <c r="B6" s="35"/>
      <c r="C6" s="35"/>
      <c r="D6" s="35"/>
      <c r="E6" s="35"/>
      <c r="F6" s="9"/>
    </row>
    <row r="7" spans="1:6">
      <c r="A7" s="35"/>
      <c r="B7" s="35"/>
      <c r="C7" s="35"/>
      <c r="D7" s="35"/>
      <c r="E7" s="35"/>
      <c r="F7" s="9"/>
    </row>
    <row r="8" spans="1:6">
      <c r="A8" s="35"/>
      <c r="B8" s="35"/>
      <c r="C8" s="35"/>
      <c r="D8" s="35"/>
      <c r="E8" s="35"/>
      <c r="F8" s="9"/>
    </row>
    <row r="9" spans="1:6">
      <c r="A9" s="35"/>
      <c r="B9" s="35"/>
      <c r="C9" s="35"/>
      <c r="D9" s="35"/>
      <c r="E9" s="35"/>
      <c r="F9" s="9"/>
    </row>
    <row r="10" spans="1:6">
      <c r="A10" s="35"/>
      <c r="B10" s="35"/>
      <c r="C10" s="35"/>
      <c r="D10" s="35"/>
      <c r="E10" s="35"/>
      <c r="F10" s="9"/>
    </row>
    <row r="11" spans="1:6">
      <c r="A11" s="35"/>
      <c r="B11" s="35"/>
      <c r="C11" s="35"/>
      <c r="D11" s="35"/>
      <c r="E11" s="35"/>
      <c r="F11" s="9"/>
    </row>
    <row r="12" spans="1:6">
      <c r="A12" s="35"/>
      <c r="B12" s="35"/>
      <c r="C12" s="35"/>
      <c r="D12" s="35"/>
      <c r="E12" s="35"/>
      <c r="F12" s="9"/>
    </row>
    <row r="13" spans="1:6">
      <c r="A13" s="35"/>
      <c r="B13" s="35"/>
      <c r="C13" s="35"/>
      <c r="D13" s="35"/>
      <c r="E13" s="35"/>
      <c r="F13" s="9"/>
    </row>
  </sheetData>
  <pageMargins left="0.69930555555555596" right="0.69930555555555596" top="0.75" bottom="0.75" header="0.3" footer="0.3"/>
  <pageSetup paperSize="9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9"/>
  <sheetViews>
    <sheetView workbookViewId="0">
      <selection activeCell="I12" sqref="I12"/>
    </sheetView>
  </sheetViews>
  <sheetFormatPr baseColWidth="10" defaultColWidth="9" defaultRowHeight="14" x14ac:dyDescent="0"/>
  <cols>
    <col min="1" max="1" width="14.5" customWidth="1"/>
    <col min="2" max="2" width="21.33203125" customWidth="1"/>
    <col min="3" max="3" width="11.5" customWidth="1"/>
    <col min="6" max="6" width="13" customWidth="1"/>
  </cols>
  <sheetData>
    <row r="2" spans="1:6" ht="15">
      <c r="A2" s="153" t="s">
        <v>220</v>
      </c>
      <c r="B2" s="153"/>
    </row>
    <row r="4" spans="1:6">
      <c r="A4" s="262" t="s">
        <v>1</v>
      </c>
      <c r="B4" s="262" t="s">
        <v>429</v>
      </c>
      <c r="C4" s="262" t="s">
        <v>3</v>
      </c>
      <c r="D4" s="262" t="s">
        <v>4</v>
      </c>
      <c r="E4" s="262" t="s">
        <v>5</v>
      </c>
      <c r="F4" s="25" t="s">
        <v>6</v>
      </c>
    </row>
    <row r="5" spans="1:6">
      <c r="A5" s="9"/>
      <c r="B5" s="310" t="s">
        <v>418</v>
      </c>
      <c r="C5" s="9"/>
      <c r="D5" s="9"/>
      <c r="E5" s="9">
        <v>7</v>
      </c>
      <c r="F5" s="9"/>
    </row>
    <row r="6" spans="1:6">
      <c r="A6" s="9"/>
      <c r="B6" s="9"/>
      <c r="C6" s="9"/>
      <c r="D6" s="9"/>
      <c r="E6" s="9"/>
      <c r="F6" s="9"/>
    </row>
    <row r="7" spans="1:6">
      <c r="A7" s="9"/>
      <c r="B7" s="9"/>
      <c r="C7" s="9"/>
      <c r="D7" s="9"/>
      <c r="E7" s="9"/>
      <c r="F7" s="9"/>
    </row>
    <row r="8" spans="1:6">
      <c r="A8" s="9"/>
      <c r="B8" s="9"/>
      <c r="C8" s="9"/>
      <c r="D8" s="9"/>
      <c r="E8" s="9"/>
      <c r="F8" s="9"/>
    </row>
    <row r="9" spans="1:6">
      <c r="A9" s="9"/>
      <c r="B9" s="9"/>
      <c r="C9" s="9"/>
      <c r="D9" s="9"/>
      <c r="E9" s="9"/>
      <c r="F9" s="9"/>
    </row>
    <row r="10" spans="1:6">
      <c r="A10" s="9"/>
      <c r="B10" s="9"/>
      <c r="C10" s="9"/>
      <c r="D10" s="9"/>
      <c r="E10" s="9"/>
      <c r="F10" s="9"/>
    </row>
    <row r="11" spans="1:6">
      <c r="A11" s="9"/>
      <c r="B11" s="9"/>
      <c r="C11" s="9"/>
      <c r="D11" s="9"/>
      <c r="E11" s="9"/>
      <c r="F11" s="9"/>
    </row>
    <row r="12" spans="1:6">
      <c r="A12" s="9"/>
      <c r="B12" s="9"/>
      <c r="C12" s="9"/>
      <c r="D12" s="9"/>
      <c r="E12" s="9"/>
      <c r="F12" s="9"/>
    </row>
    <row r="13" spans="1:6">
      <c r="A13" s="9"/>
      <c r="B13" s="9"/>
      <c r="C13" s="9"/>
      <c r="D13" s="9"/>
      <c r="E13" s="9"/>
      <c r="F13" s="9"/>
    </row>
    <row r="14" spans="1:6">
      <c r="A14" s="9"/>
      <c r="B14" s="9"/>
      <c r="C14" s="9"/>
      <c r="D14" s="9"/>
      <c r="E14" s="9"/>
      <c r="F14" s="9"/>
    </row>
    <row r="15" spans="1:6">
      <c r="A15" s="9"/>
      <c r="B15" s="9"/>
      <c r="C15" s="9"/>
      <c r="D15" s="9"/>
      <c r="E15" s="9"/>
      <c r="F15" s="9"/>
    </row>
    <row r="16" spans="1:6">
      <c r="A16" s="9"/>
      <c r="B16" s="9"/>
      <c r="C16" s="9"/>
      <c r="D16" s="9"/>
      <c r="E16" s="9"/>
      <c r="F16" s="9"/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>
      <c r="A19" s="9"/>
      <c r="B19" s="9"/>
      <c r="C19" s="9"/>
      <c r="D19" s="9"/>
      <c r="E19" s="9"/>
      <c r="F19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0"/>
  <sheetViews>
    <sheetView workbookViewId="0">
      <selection activeCell="I13" sqref="I13"/>
    </sheetView>
  </sheetViews>
  <sheetFormatPr baseColWidth="10" defaultColWidth="9" defaultRowHeight="14" x14ac:dyDescent="0"/>
  <cols>
    <col min="1" max="1" width="11" customWidth="1"/>
    <col min="2" max="2" width="21.33203125" customWidth="1"/>
    <col min="3" max="3" width="11.5" customWidth="1"/>
    <col min="6" max="6" width="15.6640625" customWidth="1"/>
  </cols>
  <sheetData>
    <row r="2" spans="1:6" ht="15">
      <c r="A2" s="153" t="s">
        <v>221</v>
      </c>
      <c r="B2" s="153"/>
    </row>
    <row r="4" spans="1:6">
      <c r="A4" s="262" t="s">
        <v>1</v>
      </c>
      <c r="B4" s="262" t="s">
        <v>429</v>
      </c>
      <c r="C4" s="262" t="s">
        <v>3</v>
      </c>
      <c r="D4" s="262" t="s">
        <v>4</v>
      </c>
      <c r="E4" s="262" t="s">
        <v>5</v>
      </c>
      <c r="F4" s="25" t="s">
        <v>6</v>
      </c>
    </row>
    <row r="5" spans="1:6">
      <c r="A5" s="9"/>
      <c r="B5" s="310" t="s">
        <v>418</v>
      </c>
      <c r="C5" s="9"/>
      <c r="D5" s="9"/>
      <c r="E5" s="9">
        <v>2</v>
      </c>
      <c r="F5" s="9"/>
    </row>
    <row r="6" spans="1:6">
      <c r="A6" s="9"/>
      <c r="B6" s="9"/>
      <c r="C6" s="9"/>
      <c r="D6" s="9"/>
      <c r="E6" s="9"/>
      <c r="F6" s="9"/>
    </row>
    <row r="7" spans="1:6">
      <c r="A7" s="9"/>
      <c r="B7" s="9"/>
      <c r="C7" s="9"/>
      <c r="D7" s="9"/>
      <c r="E7" s="9"/>
      <c r="F7" s="9"/>
    </row>
    <row r="8" spans="1:6">
      <c r="A8" s="9"/>
      <c r="B8" s="9"/>
      <c r="C8" s="9"/>
      <c r="D8" s="9"/>
      <c r="E8" s="9"/>
      <c r="F8" s="9"/>
    </row>
    <row r="9" spans="1:6">
      <c r="A9" s="9"/>
      <c r="B9" s="9"/>
      <c r="C9" s="9"/>
      <c r="D9" s="9"/>
      <c r="E9" s="9"/>
      <c r="F9" s="9"/>
    </row>
    <row r="10" spans="1:6">
      <c r="A10" s="9"/>
      <c r="B10" s="9"/>
      <c r="C10" s="9"/>
      <c r="D10" s="9"/>
      <c r="E10" s="9"/>
      <c r="F10" s="9"/>
    </row>
    <row r="11" spans="1:6">
      <c r="A11" s="9"/>
      <c r="B11" s="9"/>
      <c r="C11" s="9"/>
      <c r="D11" s="9"/>
      <c r="E11" s="9"/>
      <c r="F11" s="9"/>
    </row>
    <row r="12" spans="1:6">
      <c r="A12" s="9"/>
      <c r="B12" s="9"/>
      <c r="C12" s="9"/>
      <c r="D12" s="9"/>
      <c r="E12" s="9"/>
      <c r="F12" s="9"/>
    </row>
    <row r="13" spans="1:6">
      <c r="A13" s="9"/>
      <c r="B13" s="9"/>
      <c r="C13" s="9"/>
      <c r="D13" s="9"/>
      <c r="E13" s="9"/>
      <c r="F13" s="9"/>
    </row>
    <row r="14" spans="1:6">
      <c r="A14" s="9"/>
      <c r="B14" s="9"/>
      <c r="C14" s="9"/>
      <c r="D14" s="9"/>
      <c r="E14" s="9"/>
      <c r="F14" s="9"/>
    </row>
    <row r="15" spans="1:6">
      <c r="A15" s="9"/>
      <c r="B15" s="9"/>
      <c r="C15" s="9"/>
      <c r="D15" s="9"/>
      <c r="E15" s="9"/>
      <c r="F15" s="9"/>
    </row>
    <row r="16" spans="1:6">
      <c r="A16" s="9"/>
      <c r="B16" s="9"/>
      <c r="C16" s="9"/>
      <c r="D16" s="9"/>
      <c r="E16" s="9"/>
      <c r="F16" s="9"/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>
      <c r="A19" s="9"/>
      <c r="B19" s="9"/>
      <c r="C19" s="9"/>
      <c r="D19" s="9"/>
      <c r="E19" s="9"/>
      <c r="F19" s="9"/>
    </row>
    <row r="20" spans="1:6">
      <c r="A20" s="9"/>
      <c r="B20" s="9"/>
      <c r="C20" s="9"/>
      <c r="D20" s="9"/>
      <c r="E20" s="9"/>
      <c r="F20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0"/>
  <sheetViews>
    <sheetView workbookViewId="0">
      <selection activeCell="D14" sqref="D14"/>
    </sheetView>
  </sheetViews>
  <sheetFormatPr baseColWidth="10" defaultColWidth="9" defaultRowHeight="14" x14ac:dyDescent="0"/>
  <cols>
    <col min="1" max="1" width="11.5" customWidth="1"/>
    <col min="2" max="2" width="30.6640625" customWidth="1"/>
    <col min="3" max="3" width="11.5" customWidth="1"/>
    <col min="6" max="6" width="17.5" customWidth="1"/>
  </cols>
  <sheetData>
    <row r="2" spans="1:6" ht="15">
      <c r="A2" s="153" t="s">
        <v>222</v>
      </c>
      <c r="B2" s="153"/>
    </row>
    <row r="4" spans="1:6">
      <c r="A4" s="262" t="s">
        <v>1</v>
      </c>
      <c r="B4" s="262" t="s">
        <v>429</v>
      </c>
      <c r="C4" s="262" t="s">
        <v>3</v>
      </c>
      <c r="D4" s="262" t="s">
        <v>4</v>
      </c>
      <c r="E4" s="262" t="s">
        <v>5</v>
      </c>
      <c r="F4" s="25" t="s">
        <v>6</v>
      </c>
    </row>
    <row r="5" spans="1:6">
      <c r="A5" s="9"/>
      <c r="B5" s="310" t="s">
        <v>418</v>
      </c>
      <c r="C5" s="9"/>
      <c r="D5" s="9"/>
      <c r="E5" s="9">
        <v>1</v>
      </c>
      <c r="F5" s="9"/>
    </row>
    <row r="6" spans="1:6">
      <c r="A6" s="9"/>
      <c r="B6" s="9"/>
      <c r="C6" s="9"/>
      <c r="D6" s="9"/>
      <c r="E6" s="9"/>
      <c r="F6" s="9"/>
    </row>
    <row r="7" spans="1:6">
      <c r="A7" s="9"/>
      <c r="B7" s="9"/>
      <c r="C7" s="9"/>
      <c r="D7" s="9"/>
      <c r="E7" s="9"/>
      <c r="F7" s="9"/>
    </row>
    <row r="8" spans="1:6">
      <c r="A8" s="9"/>
      <c r="B8" s="9"/>
      <c r="C8" s="9"/>
      <c r="D8" s="9"/>
      <c r="E8" s="9"/>
      <c r="F8" s="9"/>
    </row>
    <row r="9" spans="1:6">
      <c r="A9" s="9"/>
      <c r="B9" s="9"/>
      <c r="C9" s="9"/>
      <c r="D9" s="9"/>
      <c r="E9" s="9"/>
      <c r="F9" s="9"/>
    </row>
    <row r="10" spans="1:6">
      <c r="A10" s="9"/>
      <c r="B10" s="9"/>
      <c r="C10" s="9"/>
      <c r="D10" s="9"/>
      <c r="E10" s="9"/>
      <c r="F10" s="9"/>
    </row>
    <row r="11" spans="1:6">
      <c r="A11" s="9"/>
      <c r="B11" s="9"/>
      <c r="C11" s="9"/>
      <c r="D11" s="9"/>
      <c r="E11" s="9"/>
      <c r="F11" s="9"/>
    </row>
    <row r="12" spans="1:6">
      <c r="A12" s="9"/>
      <c r="B12" s="9"/>
      <c r="C12" s="9"/>
      <c r="D12" s="9"/>
      <c r="E12" s="9"/>
      <c r="F12" s="9"/>
    </row>
    <row r="13" spans="1:6">
      <c r="A13" s="9"/>
      <c r="B13" s="9"/>
      <c r="C13" s="9"/>
      <c r="D13" s="9"/>
      <c r="E13" s="9"/>
      <c r="F13" s="9"/>
    </row>
    <row r="14" spans="1:6">
      <c r="A14" s="9"/>
      <c r="B14" s="9"/>
      <c r="C14" s="9"/>
      <c r="D14" s="9"/>
      <c r="E14" s="9"/>
      <c r="F14" s="9"/>
    </row>
    <row r="15" spans="1:6">
      <c r="A15" s="9"/>
      <c r="B15" s="9"/>
      <c r="C15" s="9"/>
      <c r="D15" s="9"/>
      <c r="E15" s="9"/>
      <c r="F15" s="9"/>
    </row>
    <row r="16" spans="1:6">
      <c r="A16" s="9"/>
      <c r="B16" s="9"/>
      <c r="C16" s="9"/>
      <c r="D16" s="9"/>
      <c r="E16" s="9"/>
      <c r="F16" s="9"/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>
      <c r="A19" s="9"/>
      <c r="B19" s="9"/>
      <c r="C19" s="9"/>
      <c r="D19" s="9"/>
      <c r="E19" s="9"/>
      <c r="F19" s="9"/>
    </row>
    <row r="20" spans="1:6">
      <c r="A20" s="9"/>
      <c r="B20" s="9"/>
      <c r="C20" s="9"/>
      <c r="D20" s="9"/>
      <c r="E20" s="9"/>
      <c r="F20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0"/>
  <sheetViews>
    <sheetView workbookViewId="0">
      <selection activeCell="F16" sqref="F16"/>
    </sheetView>
  </sheetViews>
  <sheetFormatPr baseColWidth="10" defaultColWidth="9" defaultRowHeight="14" x14ac:dyDescent="0"/>
  <cols>
    <col min="1" max="1" width="11.5" customWidth="1"/>
    <col min="2" max="2" width="30.6640625" customWidth="1"/>
    <col min="3" max="3" width="11.5" customWidth="1"/>
    <col min="6" max="6" width="12.5" customWidth="1"/>
  </cols>
  <sheetData>
    <row r="2" spans="1:6" ht="15">
      <c r="A2" s="153" t="s">
        <v>223</v>
      </c>
      <c r="B2" s="153"/>
    </row>
    <row r="4" spans="1:6">
      <c r="A4" s="262" t="s">
        <v>1</v>
      </c>
      <c r="B4" s="262" t="s">
        <v>429</v>
      </c>
      <c r="C4" s="262" t="s">
        <v>3</v>
      </c>
      <c r="D4" s="262" t="s">
        <v>4</v>
      </c>
      <c r="E4" s="262" t="s">
        <v>5</v>
      </c>
      <c r="F4" s="25" t="s">
        <v>6</v>
      </c>
    </row>
    <row r="5" spans="1:6">
      <c r="A5" s="9"/>
      <c r="B5" s="310" t="s">
        <v>418</v>
      </c>
      <c r="C5" s="9"/>
      <c r="D5" s="9"/>
      <c r="E5" s="9">
        <v>3</v>
      </c>
      <c r="F5" s="9"/>
    </row>
    <row r="6" spans="1:6">
      <c r="A6" s="9"/>
      <c r="B6" s="9"/>
      <c r="C6" s="9"/>
      <c r="D6" s="9"/>
      <c r="E6" s="9"/>
      <c r="F6" s="9"/>
    </row>
    <row r="7" spans="1:6">
      <c r="A7" s="9"/>
      <c r="B7" s="9"/>
      <c r="C7" s="9"/>
      <c r="D7" s="9"/>
      <c r="E7" s="9"/>
      <c r="F7" s="9"/>
    </row>
    <row r="8" spans="1:6">
      <c r="A8" s="9"/>
      <c r="B8" s="9"/>
      <c r="C8" s="9"/>
      <c r="D8" s="9"/>
      <c r="E8" s="9"/>
      <c r="F8" s="9"/>
    </row>
    <row r="9" spans="1:6">
      <c r="A9" s="9"/>
      <c r="B9" s="9"/>
      <c r="C9" s="9"/>
      <c r="D9" s="9"/>
      <c r="E9" s="9"/>
      <c r="F9" s="9"/>
    </row>
    <row r="10" spans="1:6">
      <c r="A10" s="9"/>
      <c r="B10" s="9"/>
      <c r="C10" s="9"/>
      <c r="D10" s="9"/>
      <c r="E10" s="9"/>
      <c r="F10" s="9"/>
    </row>
    <row r="11" spans="1:6">
      <c r="A11" s="9"/>
      <c r="B11" s="9"/>
      <c r="C11" s="9"/>
      <c r="D11" s="9"/>
      <c r="E11" s="9"/>
      <c r="F11" s="9"/>
    </row>
    <row r="12" spans="1:6">
      <c r="A12" s="9"/>
      <c r="B12" s="9"/>
      <c r="C12" s="9"/>
      <c r="D12" s="9"/>
      <c r="E12" s="9"/>
      <c r="F12" s="9"/>
    </row>
    <row r="13" spans="1:6">
      <c r="A13" s="9"/>
      <c r="B13" s="9"/>
      <c r="C13" s="9"/>
      <c r="D13" s="9"/>
      <c r="E13" s="9"/>
      <c r="F13" s="9"/>
    </row>
    <row r="14" spans="1:6">
      <c r="A14" s="9"/>
      <c r="B14" s="9"/>
      <c r="C14" s="9"/>
      <c r="D14" s="9"/>
      <c r="E14" s="9"/>
      <c r="F14" s="9"/>
    </row>
    <row r="15" spans="1:6">
      <c r="A15" s="9"/>
      <c r="B15" s="9"/>
      <c r="C15" s="9"/>
      <c r="D15" s="9"/>
      <c r="E15" s="9"/>
      <c r="F15" s="9"/>
    </row>
    <row r="16" spans="1:6">
      <c r="A16" s="9"/>
      <c r="B16" s="9"/>
      <c r="C16" s="9"/>
      <c r="D16" s="9"/>
      <c r="E16" s="9"/>
      <c r="F16" s="9"/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>
      <c r="A19" s="9"/>
      <c r="B19" s="9"/>
      <c r="C19" s="9"/>
      <c r="D19" s="9"/>
      <c r="E19" s="9"/>
      <c r="F19" s="9"/>
    </row>
    <row r="20" spans="1:6">
      <c r="A20" s="9"/>
      <c r="B20" s="9"/>
      <c r="C20" s="9"/>
      <c r="D20" s="9"/>
      <c r="E20" s="9"/>
      <c r="F20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3"/>
  <sheetViews>
    <sheetView workbookViewId="0">
      <selection activeCell="A6" sqref="A6:C6"/>
    </sheetView>
  </sheetViews>
  <sheetFormatPr baseColWidth="10" defaultColWidth="9" defaultRowHeight="15" x14ac:dyDescent="0"/>
  <cols>
    <col min="1" max="1" width="14.6640625" style="31" customWidth="1"/>
    <col min="2" max="2" width="25.5" style="31" customWidth="1"/>
    <col min="3" max="5" width="9" style="31"/>
    <col min="6" max="6" width="15.5" style="153" customWidth="1"/>
  </cols>
  <sheetData>
    <row r="2" spans="1:6">
      <c r="A2" s="31" t="s">
        <v>224</v>
      </c>
    </row>
    <row r="4" spans="1:6" ht="14">
      <c r="A4" s="262" t="s">
        <v>1</v>
      </c>
      <c r="B4" s="262" t="s">
        <v>429</v>
      </c>
      <c r="C4" s="262" t="s">
        <v>3</v>
      </c>
      <c r="D4" s="262" t="s">
        <v>4</v>
      </c>
      <c r="E4" s="262" t="s">
        <v>5</v>
      </c>
      <c r="F4" s="25" t="s">
        <v>6</v>
      </c>
    </row>
    <row r="5" spans="1:6">
      <c r="A5" s="33"/>
      <c r="B5" s="33" t="s">
        <v>418</v>
      </c>
      <c r="C5" s="33"/>
      <c r="D5" s="33"/>
      <c r="E5" s="33">
        <v>75</v>
      </c>
      <c r="F5" s="35"/>
    </row>
    <row r="6" spans="1:6">
      <c r="D6" s="33"/>
      <c r="E6" s="33">
        <f>E5+'SURI-SURI 40.60.1.5'!C14-D6</f>
        <v>78</v>
      </c>
      <c r="F6" s="35"/>
    </row>
    <row r="7" spans="1:6">
      <c r="A7" s="33"/>
      <c r="B7" s="33"/>
      <c r="C7" s="33"/>
      <c r="D7" s="33"/>
      <c r="E7" s="33"/>
      <c r="F7" s="35"/>
    </row>
    <row r="8" spans="1:6">
      <c r="A8" s="33"/>
      <c r="B8" s="33"/>
      <c r="C8" s="33"/>
      <c r="D8" s="33"/>
      <c r="E8" s="33"/>
      <c r="F8" s="35"/>
    </row>
    <row r="9" spans="1:6">
      <c r="A9" s="33"/>
      <c r="B9" s="33"/>
      <c r="C9" s="33"/>
      <c r="D9" s="33"/>
      <c r="E9" s="33"/>
      <c r="F9" s="35"/>
    </row>
    <row r="10" spans="1:6">
      <c r="A10" s="33"/>
      <c r="B10" s="33"/>
      <c r="C10" s="33"/>
      <c r="D10" s="33"/>
      <c r="E10" s="33"/>
      <c r="F10" s="35"/>
    </row>
    <row r="11" spans="1:6">
      <c r="A11" s="33"/>
      <c r="B11" s="33"/>
      <c r="C11" s="33"/>
      <c r="D11" s="33"/>
      <c r="E11" s="33"/>
      <c r="F11" s="35"/>
    </row>
    <row r="12" spans="1:6">
      <c r="A12" s="33"/>
      <c r="B12" s="33"/>
      <c r="C12" s="33"/>
      <c r="D12" s="33"/>
      <c r="E12" s="33"/>
      <c r="F12" s="35"/>
    </row>
    <row r="13" spans="1:6">
      <c r="A13" s="33"/>
      <c r="B13" s="33"/>
      <c r="C13" s="33"/>
      <c r="D13" s="33"/>
      <c r="E13" s="33"/>
      <c r="F13" s="35"/>
    </row>
    <row r="14" spans="1:6">
      <c r="A14" s="33"/>
      <c r="B14" s="33"/>
      <c r="C14" s="33"/>
      <c r="D14" s="33"/>
      <c r="E14" s="33"/>
      <c r="F14" s="35"/>
    </row>
    <row r="15" spans="1:6">
      <c r="A15" s="33"/>
      <c r="B15" s="33"/>
      <c r="C15" s="33"/>
      <c r="D15" s="33"/>
      <c r="E15" s="33"/>
      <c r="F15" s="35"/>
    </row>
    <row r="16" spans="1:6">
      <c r="A16" s="33"/>
      <c r="B16" s="33"/>
      <c r="C16" s="33"/>
      <c r="D16" s="33"/>
      <c r="E16" s="33"/>
      <c r="F16" s="35"/>
    </row>
    <row r="17" spans="1:6">
      <c r="A17" s="33"/>
      <c r="B17" s="33"/>
      <c r="C17" s="33"/>
      <c r="D17" s="33"/>
      <c r="E17" s="33"/>
      <c r="F17" s="35"/>
    </row>
    <row r="18" spans="1:6">
      <c r="A18" s="33"/>
      <c r="B18" s="33"/>
      <c r="C18" s="33"/>
      <c r="D18" s="33"/>
      <c r="E18" s="33"/>
      <c r="F18" s="35"/>
    </row>
    <row r="19" spans="1:6">
      <c r="A19" s="33"/>
      <c r="B19" s="33"/>
      <c r="C19" s="33"/>
      <c r="D19" s="33"/>
      <c r="E19" s="33"/>
      <c r="F19" s="35"/>
    </row>
    <row r="20" spans="1:6">
      <c r="A20" s="33"/>
      <c r="B20" s="33"/>
      <c r="C20" s="33"/>
      <c r="D20" s="33"/>
      <c r="E20" s="33"/>
      <c r="F20" s="35"/>
    </row>
    <row r="21" spans="1:6">
      <c r="A21" s="33"/>
      <c r="B21" s="33"/>
      <c r="C21" s="33"/>
      <c r="D21" s="33"/>
      <c r="E21" s="33"/>
      <c r="F21" s="35"/>
    </row>
    <row r="22" spans="1:6">
      <c r="A22" s="33"/>
      <c r="B22" s="33"/>
      <c r="C22" s="33"/>
      <c r="D22" s="33"/>
      <c r="E22" s="33"/>
      <c r="F22" s="35"/>
    </row>
    <row r="23" spans="1:6">
      <c r="A23" s="33"/>
      <c r="B23" s="33"/>
      <c r="C23" s="33"/>
      <c r="D23" s="33"/>
      <c r="E23" s="33"/>
      <c r="F23" s="35"/>
    </row>
    <row r="24" spans="1:6">
      <c r="A24" s="33"/>
      <c r="B24" s="33"/>
      <c r="C24" s="33"/>
      <c r="D24" s="33"/>
      <c r="E24" s="33"/>
      <c r="F24" s="35"/>
    </row>
    <row r="25" spans="1:6">
      <c r="A25" s="33"/>
      <c r="B25" s="33"/>
      <c r="C25" s="33"/>
      <c r="D25" s="33"/>
      <c r="E25" s="33"/>
      <c r="F25" s="35"/>
    </row>
    <row r="26" spans="1:6">
      <c r="A26" s="33"/>
      <c r="B26" s="33"/>
      <c r="C26" s="33"/>
      <c r="D26" s="33"/>
      <c r="E26" s="33"/>
      <c r="F26" s="35"/>
    </row>
    <row r="27" spans="1:6">
      <c r="A27" s="33"/>
      <c r="B27" s="33"/>
      <c r="C27" s="33"/>
      <c r="D27" s="33"/>
      <c r="E27" s="33"/>
      <c r="F27" s="35"/>
    </row>
    <row r="28" spans="1:6">
      <c r="A28" s="33"/>
      <c r="B28" s="33"/>
      <c r="C28" s="33"/>
      <c r="D28" s="33"/>
      <c r="E28" s="33"/>
      <c r="F28" s="35"/>
    </row>
    <row r="29" spans="1:6">
      <c r="A29" s="33"/>
      <c r="B29" s="33"/>
      <c r="C29" s="33"/>
      <c r="D29" s="33"/>
      <c r="E29" s="33"/>
      <c r="F29" s="35"/>
    </row>
    <row r="30" spans="1:6">
      <c r="A30" s="33"/>
      <c r="B30" s="33"/>
      <c r="C30" s="33"/>
      <c r="D30" s="33"/>
      <c r="E30" s="33"/>
      <c r="F30" s="35"/>
    </row>
    <row r="31" spans="1:6">
      <c r="A31" s="33"/>
      <c r="B31" s="33"/>
      <c r="C31" s="33"/>
      <c r="D31" s="33"/>
      <c r="E31" s="33"/>
      <c r="F31" s="35"/>
    </row>
    <row r="32" spans="1:6">
      <c r="A32" s="33"/>
      <c r="B32" s="33"/>
      <c r="C32" s="33"/>
      <c r="D32" s="33"/>
      <c r="E32" s="33"/>
      <c r="F32" s="35"/>
    </row>
    <row r="33" spans="1:6">
      <c r="A33" s="33"/>
      <c r="B33" s="33"/>
      <c r="C33" s="33"/>
      <c r="D33" s="33"/>
      <c r="E33" s="33"/>
      <c r="F33" s="35"/>
    </row>
  </sheetData>
  <pageMargins left="0.69930555555555596" right="0.69930555555555596" top="0.75" bottom="0.75" header="0.3" footer="0.3"/>
  <pageSetup paperSize="9" scale="95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1"/>
  <sheetViews>
    <sheetView workbookViewId="0">
      <selection activeCell="A4" sqref="A4:F4"/>
    </sheetView>
  </sheetViews>
  <sheetFormatPr baseColWidth="10" defaultColWidth="9" defaultRowHeight="14" x14ac:dyDescent="0"/>
  <cols>
    <col min="1" max="1" width="13.5" customWidth="1"/>
    <col min="2" max="2" width="21.33203125" customWidth="1"/>
    <col min="3" max="3" width="11.5" customWidth="1"/>
    <col min="6" max="6" width="14.5" customWidth="1"/>
  </cols>
  <sheetData>
    <row r="2" spans="1:6" ht="15">
      <c r="A2" s="153" t="s">
        <v>225</v>
      </c>
      <c r="B2" s="153"/>
    </row>
    <row r="4" spans="1:6">
      <c r="A4" s="262" t="s">
        <v>1</v>
      </c>
      <c r="B4" s="262" t="s">
        <v>429</v>
      </c>
      <c r="C4" s="262" t="s">
        <v>3</v>
      </c>
      <c r="D4" s="262" t="s">
        <v>4</v>
      </c>
      <c r="E4" s="262" t="s">
        <v>5</v>
      </c>
      <c r="F4" s="25" t="s">
        <v>6</v>
      </c>
    </row>
    <row r="5" spans="1:6">
      <c r="A5" s="9"/>
      <c r="B5" s="310" t="s">
        <v>418</v>
      </c>
      <c r="C5" s="9"/>
      <c r="D5" s="9"/>
      <c r="E5" s="9">
        <v>70</v>
      </c>
      <c r="F5" s="9"/>
    </row>
    <row r="6" spans="1:6">
      <c r="A6" s="9"/>
      <c r="B6" s="9"/>
      <c r="C6" s="9"/>
      <c r="D6" s="9"/>
      <c r="E6" s="9"/>
      <c r="F6" s="9"/>
    </row>
    <row r="7" spans="1:6">
      <c r="A7" s="9"/>
      <c r="B7" s="9"/>
      <c r="C7" s="9"/>
      <c r="D7" s="9"/>
      <c r="E7" s="9"/>
      <c r="F7" s="9"/>
    </row>
    <row r="8" spans="1:6">
      <c r="A8" s="9"/>
      <c r="B8" s="9"/>
      <c r="C8" s="9"/>
      <c r="D8" s="9"/>
      <c r="E8" s="9"/>
      <c r="F8" s="9"/>
    </row>
    <row r="9" spans="1:6">
      <c r="A9" s="9"/>
      <c r="B9" s="9"/>
      <c r="C9" s="9"/>
      <c r="D9" s="9"/>
      <c r="E9" s="9"/>
      <c r="F9" s="9"/>
    </row>
    <row r="10" spans="1:6">
      <c r="A10" s="9"/>
      <c r="B10" s="9"/>
      <c r="C10" s="9"/>
      <c r="D10" s="9"/>
      <c r="E10" s="9"/>
      <c r="F10" s="9"/>
    </row>
    <row r="11" spans="1:6">
      <c r="A11" s="9"/>
      <c r="B11" s="9"/>
      <c r="C11" s="9"/>
      <c r="D11" s="9"/>
      <c r="E11" s="9"/>
      <c r="F11" s="9"/>
    </row>
    <row r="12" spans="1:6">
      <c r="A12" s="9"/>
      <c r="B12" s="9"/>
      <c r="C12" s="9"/>
      <c r="D12" s="9"/>
      <c r="E12" s="9"/>
      <c r="F12" s="9"/>
    </row>
    <row r="13" spans="1:6">
      <c r="A13" s="9"/>
      <c r="B13" s="9"/>
      <c r="C13" s="9"/>
      <c r="D13" s="9"/>
      <c r="E13" s="9"/>
      <c r="F13" s="9"/>
    </row>
    <row r="14" spans="1:6">
      <c r="A14" s="9"/>
      <c r="B14" s="9"/>
      <c r="C14" s="9"/>
      <c r="D14" s="9"/>
      <c r="E14" s="9"/>
      <c r="F14" s="9"/>
    </row>
    <row r="15" spans="1:6">
      <c r="A15" s="9"/>
      <c r="B15" s="9"/>
      <c r="C15" s="9"/>
      <c r="D15" s="9"/>
      <c r="E15" s="9"/>
      <c r="F15" s="9"/>
    </row>
    <row r="16" spans="1:6">
      <c r="A16" s="9"/>
      <c r="B16" s="9"/>
      <c r="C16" s="9"/>
      <c r="D16" s="9"/>
      <c r="E16" s="9"/>
      <c r="F16" s="9"/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>
      <c r="A19" s="9"/>
      <c r="B19" s="9"/>
      <c r="C19" s="9"/>
      <c r="D19" s="9"/>
      <c r="E19" s="9"/>
      <c r="F19" s="9"/>
    </row>
    <row r="20" spans="1:6">
      <c r="A20" s="9"/>
      <c r="B20" s="9"/>
      <c r="C20" s="9"/>
      <c r="D20" s="9"/>
      <c r="E20" s="9"/>
      <c r="F20" s="9"/>
    </row>
    <row r="21" spans="1:6">
      <c r="A21" s="9"/>
      <c r="B21" s="9"/>
      <c r="C21" s="9"/>
      <c r="D21" s="9"/>
      <c r="E21" s="9"/>
      <c r="F21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FF00"/>
  </sheetPr>
  <dimension ref="A2:F28"/>
  <sheetViews>
    <sheetView workbookViewId="0">
      <selection activeCell="F22" sqref="F22"/>
    </sheetView>
  </sheetViews>
  <sheetFormatPr baseColWidth="10" defaultColWidth="9" defaultRowHeight="15" x14ac:dyDescent="0"/>
  <cols>
    <col min="1" max="1" width="13" style="31" customWidth="1"/>
    <col min="2" max="2" width="31.83203125" style="31" customWidth="1"/>
    <col min="3" max="5" width="9.33203125" style="31" customWidth="1"/>
    <col min="6" max="6" width="25.5" customWidth="1"/>
  </cols>
  <sheetData>
    <row r="2" spans="1:6">
      <c r="A2" s="31" t="s">
        <v>226</v>
      </c>
    </row>
    <row r="4" spans="1:6" ht="14">
      <c r="A4" s="262" t="s">
        <v>1</v>
      </c>
      <c r="B4" s="262" t="s">
        <v>429</v>
      </c>
      <c r="C4" s="262" t="s">
        <v>3</v>
      </c>
      <c r="D4" s="262" t="s">
        <v>4</v>
      </c>
      <c r="E4" s="262" t="s">
        <v>5</v>
      </c>
      <c r="F4" s="25" t="s">
        <v>6</v>
      </c>
    </row>
    <row r="5" spans="1:6">
      <c r="A5" s="33"/>
      <c r="B5" s="33" t="s">
        <v>418</v>
      </c>
      <c r="C5" s="33"/>
      <c r="D5" s="33"/>
      <c r="E5" s="33">
        <v>2406</v>
      </c>
      <c r="F5" s="9"/>
    </row>
    <row r="6" spans="1:6">
      <c r="A6" s="21">
        <v>43252</v>
      </c>
      <c r="B6" s="317" t="s">
        <v>434</v>
      </c>
      <c r="C6" s="33">
        <v>8</v>
      </c>
      <c r="D6" s="33"/>
      <c r="E6" s="33">
        <f t="shared" ref="E6:E21" si="0">E5+C6-D6</f>
        <v>2414</v>
      </c>
      <c r="F6" s="320"/>
    </row>
    <row r="7" spans="1:6">
      <c r="A7" s="42">
        <v>43374</v>
      </c>
      <c r="B7" s="326" t="s">
        <v>16</v>
      </c>
      <c r="C7" s="33">
        <v>13</v>
      </c>
      <c r="D7" s="33"/>
      <c r="E7" s="33">
        <f t="shared" si="0"/>
        <v>2427</v>
      </c>
      <c r="F7" s="326"/>
    </row>
    <row r="8" spans="1:6">
      <c r="A8" s="34" t="s">
        <v>509</v>
      </c>
      <c r="B8" s="34" t="s">
        <v>16</v>
      </c>
      <c r="C8" s="33">
        <v>9</v>
      </c>
      <c r="D8" s="33"/>
      <c r="E8" s="33">
        <f t="shared" si="0"/>
        <v>2436</v>
      </c>
      <c r="F8" s="341"/>
    </row>
    <row r="9" spans="1:6">
      <c r="A9" s="33" t="s">
        <v>526</v>
      </c>
      <c r="B9" s="34" t="s">
        <v>16</v>
      </c>
      <c r="C9" s="33">
        <v>3</v>
      </c>
      <c r="D9" s="33"/>
      <c r="E9" s="33">
        <f t="shared" si="0"/>
        <v>2439</v>
      </c>
      <c r="F9" s="348"/>
    </row>
    <row r="10" spans="1:6">
      <c r="A10" s="125" t="s">
        <v>541</v>
      </c>
      <c r="B10" s="9" t="s">
        <v>542</v>
      </c>
      <c r="C10" s="33">
        <v>14</v>
      </c>
      <c r="D10" s="33"/>
      <c r="E10" s="33">
        <f t="shared" si="0"/>
        <v>2453</v>
      </c>
      <c r="F10" s="353"/>
    </row>
    <row r="11" spans="1:6">
      <c r="A11" s="34" t="s">
        <v>586</v>
      </c>
      <c r="B11" s="34" t="s">
        <v>16</v>
      </c>
      <c r="C11" s="33">
        <v>4</v>
      </c>
      <c r="D11" s="33"/>
      <c r="E11" s="33">
        <f t="shared" si="0"/>
        <v>2457</v>
      </c>
      <c r="F11" s="375"/>
    </row>
    <row r="12" spans="1:6">
      <c r="A12" s="34" t="s">
        <v>598</v>
      </c>
      <c r="B12" s="34" t="s">
        <v>16</v>
      </c>
      <c r="C12" s="33">
        <v>1</v>
      </c>
      <c r="D12" s="33"/>
      <c r="E12" s="33">
        <f t="shared" si="0"/>
        <v>2458</v>
      </c>
      <c r="F12" s="386"/>
    </row>
    <row r="13" spans="1:6">
      <c r="A13" s="37">
        <v>43253</v>
      </c>
      <c r="B13" s="33" t="s">
        <v>16</v>
      </c>
      <c r="C13" s="33">
        <v>1</v>
      </c>
      <c r="D13" s="33"/>
      <c r="E13" s="33">
        <f t="shared" si="0"/>
        <v>2459</v>
      </c>
      <c r="F13" s="407"/>
    </row>
    <row r="14" spans="1:6">
      <c r="A14" s="33" t="s">
        <v>630</v>
      </c>
      <c r="B14" s="34" t="s">
        <v>16</v>
      </c>
      <c r="C14" s="33">
        <v>1</v>
      </c>
      <c r="D14" s="33"/>
      <c r="E14" s="33">
        <f t="shared" si="0"/>
        <v>2460</v>
      </c>
      <c r="F14" s="429"/>
    </row>
    <row r="15" spans="1:6">
      <c r="A15" s="37">
        <v>43315</v>
      </c>
      <c r="B15" s="33" t="s">
        <v>434</v>
      </c>
      <c r="C15" s="33">
        <v>7</v>
      </c>
      <c r="D15" s="33"/>
      <c r="E15" s="33">
        <f t="shared" si="0"/>
        <v>2467</v>
      </c>
      <c r="F15" s="508"/>
    </row>
    <row r="16" spans="1:6">
      <c r="A16" s="538" t="s">
        <v>755</v>
      </c>
      <c r="B16" s="538" t="s">
        <v>523</v>
      </c>
      <c r="C16" s="33">
        <v>8</v>
      </c>
      <c r="D16" s="33"/>
      <c r="E16" s="33">
        <f t="shared" si="0"/>
        <v>2475</v>
      </c>
      <c r="F16" s="538"/>
    </row>
    <row r="17" spans="1:6">
      <c r="A17" s="37">
        <v>43285</v>
      </c>
      <c r="B17" s="33" t="s">
        <v>779</v>
      </c>
      <c r="C17" s="33"/>
      <c r="D17" s="33">
        <v>37</v>
      </c>
      <c r="E17" s="33">
        <f t="shared" si="0"/>
        <v>2438</v>
      </c>
      <c r="F17" s="554"/>
    </row>
    <row r="18" spans="1:6">
      <c r="A18" s="37">
        <v>43377</v>
      </c>
      <c r="B18" s="33" t="s">
        <v>779</v>
      </c>
      <c r="C18" s="33"/>
      <c r="D18" s="33">
        <v>30</v>
      </c>
      <c r="E18" s="33">
        <f t="shared" si="0"/>
        <v>2408</v>
      </c>
      <c r="F18" s="559"/>
    </row>
    <row r="19" spans="1:6">
      <c r="A19" s="37">
        <v>43438</v>
      </c>
      <c r="B19" s="39" t="s">
        <v>779</v>
      </c>
      <c r="C19" s="33"/>
      <c r="D19" s="33">
        <v>155</v>
      </c>
      <c r="E19" s="33">
        <f t="shared" si="0"/>
        <v>2253</v>
      </c>
      <c r="F19" s="9"/>
    </row>
    <row r="20" spans="1:6">
      <c r="A20" s="33" t="s">
        <v>792</v>
      </c>
      <c r="B20" s="33" t="s">
        <v>779</v>
      </c>
      <c r="C20" s="33"/>
      <c r="D20" s="33">
        <v>95</v>
      </c>
      <c r="E20" s="33">
        <f t="shared" si="0"/>
        <v>2158</v>
      </c>
      <c r="F20" s="570" t="s">
        <v>46</v>
      </c>
    </row>
    <row r="21" spans="1:6">
      <c r="A21" s="161">
        <v>43348</v>
      </c>
      <c r="B21" s="36" t="s">
        <v>858</v>
      </c>
      <c r="C21" s="33"/>
      <c r="D21" s="33">
        <v>168</v>
      </c>
      <c r="E21" s="33">
        <f t="shared" si="0"/>
        <v>1990</v>
      </c>
      <c r="F21" s="9" t="s">
        <v>851</v>
      </c>
    </row>
    <row r="22" spans="1:6">
      <c r="A22" s="33"/>
      <c r="B22" s="33"/>
      <c r="C22" s="33"/>
      <c r="D22" s="33"/>
      <c r="E22" s="33"/>
      <c r="F22" s="656" t="s">
        <v>850</v>
      </c>
    </row>
    <row r="23" spans="1:6">
      <c r="A23" s="33"/>
      <c r="B23" s="33"/>
      <c r="C23" s="33"/>
      <c r="D23" s="33"/>
      <c r="E23" s="33"/>
      <c r="F23" s="623"/>
    </row>
    <row r="24" spans="1:6">
      <c r="A24" s="33"/>
      <c r="B24" s="33"/>
      <c r="C24" s="33"/>
      <c r="D24" s="33"/>
      <c r="E24" s="33"/>
      <c r="F24" s="9"/>
    </row>
    <row r="25" spans="1:6">
      <c r="A25" s="33"/>
      <c r="B25" s="33"/>
      <c r="C25" s="33"/>
      <c r="D25" s="33"/>
      <c r="E25" s="33"/>
      <c r="F25" s="9"/>
    </row>
    <row r="26" spans="1:6">
      <c r="A26" s="33"/>
      <c r="B26" s="33"/>
      <c r="C26" s="33"/>
      <c r="D26" s="33"/>
      <c r="E26" s="33"/>
      <c r="F26" s="9"/>
    </row>
    <row r="27" spans="1:6">
      <c r="A27" s="33"/>
      <c r="B27" s="33"/>
      <c r="C27" s="33"/>
      <c r="D27" s="33"/>
      <c r="E27" s="33"/>
      <c r="F27" s="9"/>
    </row>
    <row r="28" spans="1:6">
      <c r="A28" s="33"/>
      <c r="B28" s="33"/>
      <c r="C28" s="33"/>
      <c r="D28" s="33"/>
      <c r="E28" s="33"/>
      <c r="F28" s="9"/>
    </row>
  </sheetData>
  <pageMargins left="0.69930555555555596" right="0.69930555555555596" top="0.5" bottom="0.75" header="0.3" footer="0.3"/>
  <pageSetup paperSize="9" scale="90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0"/>
  <sheetViews>
    <sheetView workbookViewId="0">
      <selection activeCell="A4" sqref="A4:F4"/>
    </sheetView>
  </sheetViews>
  <sheetFormatPr baseColWidth="10" defaultColWidth="9" defaultRowHeight="14" x14ac:dyDescent="0"/>
  <cols>
    <col min="1" max="1" width="11.33203125" style="152" customWidth="1"/>
    <col min="2" max="2" width="25.5" style="152" customWidth="1"/>
    <col min="3" max="5" width="9" style="152"/>
    <col min="6" max="6" width="12.83203125" customWidth="1"/>
  </cols>
  <sheetData>
    <row r="2" spans="1:6">
      <c r="A2" s="152" t="s">
        <v>227</v>
      </c>
    </row>
    <row r="4" spans="1:6">
      <c r="A4" s="262" t="s">
        <v>1</v>
      </c>
      <c r="B4" s="262" t="s">
        <v>429</v>
      </c>
      <c r="C4" s="262" t="s">
        <v>3</v>
      </c>
      <c r="D4" s="262" t="s">
        <v>4</v>
      </c>
      <c r="E4" s="262" t="s">
        <v>5</v>
      </c>
      <c r="F4" s="25" t="s">
        <v>6</v>
      </c>
    </row>
    <row r="5" spans="1:6">
      <c r="A5" s="34"/>
      <c r="B5" s="34" t="s">
        <v>418</v>
      </c>
      <c r="C5" s="208"/>
      <c r="D5" s="208"/>
      <c r="E5" s="34">
        <v>504</v>
      </c>
      <c r="F5" s="9"/>
    </row>
    <row r="6" spans="1:6">
      <c r="A6" s="34"/>
      <c r="B6" s="34"/>
      <c r="C6" s="208"/>
      <c r="D6" s="208"/>
      <c r="E6" s="34"/>
      <c r="F6" s="9"/>
    </row>
    <row r="7" spans="1:6">
      <c r="A7" s="34"/>
      <c r="B7" s="34"/>
      <c r="C7" s="34"/>
      <c r="D7" s="34"/>
      <c r="E7" s="34"/>
      <c r="F7" s="9"/>
    </row>
    <row r="8" spans="1:6">
      <c r="A8" s="34"/>
      <c r="B8" s="34"/>
      <c r="C8" s="34"/>
      <c r="D8" s="34"/>
      <c r="E8" s="34"/>
      <c r="F8" s="9"/>
    </row>
    <row r="9" spans="1:6">
      <c r="A9" s="9"/>
      <c r="B9" s="34"/>
      <c r="C9" s="34"/>
      <c r="D9" s="34"/>
      <c r="E9" s="34"/>
      <c r="F9" s="9"/>
    </row>
    <row r="10" spans="1:6">
      <c r="A10" s="21"/>
      <c r="B10" s="9"/>
      <c r="C10" s="34"/>
      <c r="D10" s="34"/>
      <c r="E10" s="34"/>
      <c r="F10" s="9"/>
    </row>
    <row r="11" spans="1:6">
      <c r="A11" s="142"/>
      <c r="B11" s="34"/>
      <c r="C11" s="34"/>
      <c r="D11" s="34"/>
      <c r="E11" s="34"/>
      <c r="F11" s="9"/>
    </row>
    <row r="12" spans="1:6">
      <c r="A12" s="34"/>
      <c r="B12" s="34"/>
      <c r="C12" s="34"/>
      <c r="D12" s="34"/>
      <c r="E12" s="34"/>
      <c r="F12" s="9"/>
    </row>
    <row r="13" spans="1:6">
      <c r="A13" s="34"/>
      <c r="B13" s="34"/>
      <c r="C13" s="34"/>
      <c r="D13" s="34"/>
      <c r="E13" s="34"/>
      <c r="F13" s="9"/>
    </row>
    <row r="14" spans="1:6">
      <c r="A14" s="34"/>
      <c r="B14" s="34"/>
      <c r="C14" s="34"/>
      <c r="D14" s="34"/>
      <c r="E14" s="34"/>
      <c r="F14" s="9"/>
    </row>
    <row r="15" spans="1:6">
      <c r="A15" s="34"/>
      <c r="B15" s="34"/>
      <c r="C15" s="34"/>
      <c r="D15" s="34"/>
      <c r="E15" s="34"/>
      <c r="F15" s="9"/>
    </row>
    <row r="16" spans="1:6">
      <c r="A16" s="34"/>
      <c r="B16" s="34"/>
      <c r="C16" s="34"/>
      <c r="D16" s="34"/>
      <c r="E16" s="34"/>
      <c r="F16" s="9"/>
    </row>
    <row r="17" spans="1:6">
      <c r="A17" s="34"/>
      <c r="B17" s="34"/>
      <c r="C17" s="34"/>
      <c r="D17" s="34"/>
      <c r="E17" s="34"/>
      <c r="F17" s="9"/>
    </row>
    <row r="18" spans="1:6">
      <c r="A18" s="34"/>
      <c r="B18" s="34"/>
      <c r="C18" s="34"/>
      <c r="D18" s="34"/>
      <c r="E18" s="34"/>
      <c r="F18" s="9"/>
    </row>
    <row r="19" spans="1:6">
      <c r="A19" s="34"/>
      <c r="B19" s="34"/>
      <c r="C19" s="34"/>
      <c r="D19" s="34"/>
      <c r="E19" s="34"/>
      <c r="F19" s="9"/>
    </row>
    <row r="20" spans="1:6">
      <c r="A20" s="34"/>
      <c r="B20" s="34"/>
      <c r="C20" s="34"/>
      <c r="D20" s="34"/>
      <c r="E20" s="34"/>
      <c r="F20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1"/>
  <sheetViews>
    <sheetView zoomScale="110" zoomScaleNormal="110" zoomScalePageLayoutView="110" workbookViewId="0">
      <selection activeCell="J20" sqref="J20"/>
    </sheetView>
  </sheetViews>
  <sheetFormatPr baseColWidth="10" defaultColWidth="9" defaultRowHeight="14" x14ac:dyDescent="0"/>
  <cols>
    <col min="1" max="1" width="12" style="152" customWidth="1"/>
    <col min="2" max="2" width="25.6640625" style="152" customWidth="1"/>
    <col min="3" max="5" width="9" style="152"/>
    <col min="6" max="6" width="13.5" customWidth="1"/>
  </cols>
  <sheetData>
    <row r="2" spans="1:6" ht="15">
      <c r="A2" s="143" t="s">
        <v>228</v>
      </c>
      <c r="B2" s="143"/>
    </row>
    <row r="4" spans="1:6">
      <c r="A4" s="262" t="s">
        <v>1</v>
      </c>
      <c r="B4" s="262" t="s">
        <v>429</v>
      </c>
      <c r="C4" s="262" t="s">
        <v>3</v>
      </c>
      <c r="D4" s="262" t="s">
        <v>4</v>
      </c>
      <c r="E4" s="262" t="s">
        <v>5</v>
      </c>
      <c r="F4" s="25" t="s">
        <v>6</v>
      </c>
    </row>
    <row r="5" spans="1:6">
      <c r="A5" s="34"/>
      <c r="B5" s="34" t="s">
        <v>408</v>
      </c>
      <c r="C5" s="34"/>
      <c r="D5" s="34"/>
      <c r="E5" s="34">
        <v>1006</v>
      </c>
      <c r="F5" s="9"/>
    </row>
    <row r="6" spans="1:6">
      <c r="A6" s="142">
        <v>43132</v>
      </c>
      <c r="B6" s="9" t="s">
        <v>16</v>
      </c>
      <c r="C6" s="34">
        <v>17</v>
      </c>
      <c r="D6" s="34"/>
      <c r="E6" s="34">
        <f>E5+C6-D6</f>
        <v>1023</v>
      </c>
      <c r="F6" s="299"/>
    </row>
    <row r="7" spans="1:6">
      <c r="A7" s="34" t="s">
        <v>509</v>
      </c>
      <c r="B7" s="34" t="s">
        <v>16</v>
      </c>
      <c r="C7" s="34">
        <v>54</v>
      </c>
      <c r="D7" s="34"/>
      <c r="E7" s="34">
        <f>E6+C7-D7</f>
        <v>1077</v>
      </c>
      <c r="F7" s="341"/>
    </row>
    <row r="8" spans="1:6" ht="15">
      <c r="A8" s="95" t="s">
        <v>516</v>
      </c>
      <c r="B8" s="95" t="s">
        <v>523</v>
      </c>
      <c r="C8" s="34">
        <v>122</v>
      </c>
      <c r="D8" s="34"/>
      <c r="E8" s="34">
        <f t="shared" ref="E8:E17" si="0">E7+C8-D8</f>
        <v>1199</v>
      </c>
      <c r="F8" s="9"/>
    </row>
    <row r="9" spans="1:6" ht="15">
      <c r="A9" s="36" t="s">
        <v>526</v>
      </c>
      <c r="B9" s="36" t="s">
        <v>16</v>
      </c>
      <c r="C9" s="34">
        <v>17</v>
      </c>
      <c r="D9" s="34"/>
      <c r="E9" s="34">
        <f t="shared" si="0"/>
        <v>1216</v>
      </c>
      <c r="F9" s="9"/>
    </row>
    <row r="10" spans="1:6">
      <c r="A10" s="347" t="s">
        <v>531</v>
      </c>
      <c r="B10" s="348" t="s">
        <v>16</v>
      </c>
      <c r="C10" s="34">
        <v>4</v>
      </c>
      <c r="D10" s="34"/>
      <c r="E10" s="34">
        <f t="shared" si="0"/>
        <v>1220</v>
      </c>
      <c r="F10" s="348"/>
    </row>
    <row r="11" spans="1:6">
      <c r="A11" s="34" t="s">
        <v>586</v>
      </c>
      <c r="B11" s="34" t="s">
        <v>16</v>
      </c>
      <c r="C11" s="34">
        <v>44</v>
      </c>
      <c r="D11" s="34"/>
      <c r="E11" s="34">
        <f t="shared" si="0"/>
        <v>1264</v>
      </c>
      <c r="F11" s="375"/>
    </row>
    <row r="12" spans="1:6">
      <c r="A12" s="34" t="s">
        <v>598</v>
      </c>
      <c r="B12" s="34" t="s">
        <v>16</v>
      </c>
      <c r="C12" s="34">
        <v>27</v>
      </c>
      <c r="D12" s="34"/>
      <c r="E12" s="34">
        <f t="shared" si="0"/>
        <v>1291</v>
      </c>
      <c r="F12" s="9"/>
    </row>
    <row r="13" spans="1:6" ht="15">
      <c r="A13" s="37">
        <v>43253</v>
      </c>
      <c r="B13" s="33" t="s">
        <v>16</v>
      </c>
      <c r="C13" s="34">
        <v>10</v>
      </c>
      <c r="D13" s="34"/>
      <c r="E13" s="34">
        <f t="shared" si="0"/>
        <v>1301</v>
      </c>
      <c r="F13" s="407"/>
    </row>
    <row r="14" spans="1:6" ht="15">
      <c r="A14" s="33" t="s">
        <v>630</v>
      </c>
      <c r="B14" s="34" t="s">
        <v>16</v>
      </c>
      <c r="C14" s="34">
        <v>4</v>
      </c>
      <c r="D14" s="34"/>
      <c r="E14" s="34">
        <f t="shared" si="0"/>
        <v>1305</v>
      </c>
      <c r="F14" s="429"/>
    </row>
    <row r="15" spans="1:6">
      <c r="A15" s="446" t="s">
        <v>651</v>
      </c>
      <c r="B15" s="445" t="s">
        <v>434</v>
      </c>
      <c r="C15" s="34">
        <v>5</v>
      </c>
      <c r="D15" s="34"/>
      <c r="E15" s="34">
        <f t="shared" si="0"/>
        <v>1310</v>
      </c>
      <c r="F15" s="444"/>
    </row>
    <row r="16" spans="1:6">
      <c r="A16" s="34" t="s">
        <v>744</v>
      </c>
      <c r="B16" s="34" t="s">
        <v>16</v>
      </c>
      <c r="C16" s="34">
        <v>4</v>
      </c>
      <c r="D16" s="34"/>
      <c r="E16" s="34">
        <f t="shared" si="0"/>
        <v>1314</v>
      </c>
      <c r="F16" s="528" t="s">
        <v>46</v>
      </c>
    </row>
    <row r="17" spans="1:6" ht="15">
      <c r="A17" s="37">
        <v>43285</v>
      </c>
      <c r="B17" s="33" t="s">
        <v>779</v>
      </c>
      <c r="C17" s="34"/>
      <c r="D17" s="34">
        <v>24</v>
      </c>
      <c r="E17" s="34">
        <f t="shared" si="0"/>
        <v>1290</v>
      </c>
      <c r="F17" s="554" t="s">
        <v>46</v>
      </c>
    </row>
    <row r="18" spans="1:6">
      <c r="A18" s="34"/>
      <c r="B18" s="34"/>
      <c r="C18" s="34"/>
      <c r="D18" s="34"/>
      <c r="E18" s="34"/>
      <c r="F18" s="9"/>
    </row>
    <row r="19" spans="1:6">
      <c r="A19" s="34"/>
      <c r="B19" s="34"/>
      <c r="C19" s="34"/>
      <c r="D19" s="34"/>
      <c r="E19" s="34"/>
      <c r="F19" s="9"/>
    </row>
    <row r="20" spans="1:6">
      <c r="A20" s="34"/>
      <c r="B20" s="34"/>
      <c r="C20" s="34"/>
      <c r="D20" s="34"/>
      <c r="E20" s="34"/>
      <c r="F20" s="9"/>
    </row>
    <row r="21" spans="1:6">
      <c r="A21" s="34"/>
      <c r="B21" s="34"/>
      <c r="C21" s="34"/>
      <c r="D21" s="34"/>
      <c r="E21" s="34"/>
      <c r="F21" s="9"/>
    </row>
  </sheetData>
  <pageMargins left="0.69930555555555596" right="0.69930555555555596" top="0.75" bottom="0.75" header="0.3" footer="0.3"/>
  <pageSetup paperSize="9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4"/>
  <sheetViews>
    <sheetView zoomScale="120" zoomScaleNormal="120" zoomScalePageLayoutView="120" workbookViewId="0">
      <selection activeCell="E7" sqref="E7"/>
    </sheetView>
  </sheetViews>
  <sheetFormatPr baseColWidth="10" defaultColWidth="9" defaultRowHeight="15" x14ac:dyDescent="0"/>
  <cols>
    <col min="1" max="1" width="13" style="31" customWidth="1"/>
    <col min="2" max="2" width="27.5" style="31" customWidth="1"/>
    <col min="3" max="5" width="9.33203125" style="31" customWidth="1"/>
    <col min="6" max="6" width="13.33203125" customWidth="1"/>
  </cols>
  <sheetData>
    <row r="2" spans="1:6">
      <c r="A2" s="31" t="s">
        <v>229</v>
      </c>
    </row>
    <row r="4" spans="1:6" ht="14">
      <c r="A4" s="262" t="s">
        <v>1</v>
      </c>
      <c r="B4" s="262" t="s">
        <v>429</v>
      </c>
      <c r="C4" s="262" t="s">
        <v>3</v>
      </c>
      <c r="D4" s="262" t="s">
        <v>4</v>
      </c>
      <c r="E4" s="262" t="s">
        <v>5</v>
      </c>
      <c r="F4" s="25" t="s">
        <v>6</v>
      </c>
    </row>
    <row r="5" spans="1:6">
      <c r="A5" s="33"/>
      <c r="B5" s="33" t="s">
        <v>418</v>
      </c>
      <c r="C5" s="33"/>
      <c r="D5" s="33"/>
      <c r="E5" s="33">
        <v>93</v>
      </c>
      <c r="F5" s="9"/>
    </row>
    <row r="6" spans="1:6">
      <c r="A6" s="539" t="s">
        <v>755</v>
      </c>
      <c r="B6" s="538" t="s">
        <v>522</v>
      </c>
      <c r="C6" s="33">
        <v>8</v>
      </c>
      <c r="D6" s="33"/>
      <c r="E6" s="33">
        <f>E5+C6-D6</f>
        <v>101</v>
      </c>
      <c r="F6" s="9"/>
    </row>
    <row r="7" spans="1:6">
      <c r="A7" s="33"/>
      <c r="B7" s="33"/>
      <c r="C7" s="33"/>
      <c r="D7" s="33"/>
      <c r="E7" s="33"/>
      <c r="F7" s="9"/>
    </row>
    <row r="8" spans="1:6">
      <c r="A8" s="33"/>
      <c r="B8" s="33"/>
      <c r="C8" s="33"/>
      <c r="D8" s="33"/>
      <c r="E8" s="33"/>
      <c r="F8" s="9"/>
    </row>
    <row r="9" spans="1:6">
      <c r="A9" s="33"/>
      <c r="B9" s="33"/>
      <c r="C9" s="33"/>
      <c r="D9" s="33"/>
      <c r="E9" s="33"/>
      <c r="F9" s="9"/>
    </row>
    <row r="10" spans="1:6">
      <c r="A10" s="33"/>
      <c r="B10" s="33"/>
      <c r="C10" s="33"/>
      <c r="D10" s="33"/>
      <c r="E10" s="33"/>
      <c r="F10" s="9"/>
    </row>
    <row r="11" spans="1:6">
      <c r="A11" s="33"/>
      <c r="B11" s="33"/>
      <c r="C11" s="33"/>
      <c r="D11" s="33"/>
      <c r="E11" s="33"/>
      <c r="F11" s="9"/>
    </row>
    <row r="12" spans="1:6">
      <c r="A12" s="33"/>
      <c r="B12" s="33"/>
      <c r="C12" s="33"/>
      <c r="D12" s="33"/>
      <c r="E12" s="33"/>
      <c r="F12" s="9"/>
    </row>
    <row r="13" spans="1:6">
      <c r="A13" s="33"/>
      <c r="B13" s="33"/>
      <c r="C13" s="33"/>
      <c r="D13" s="33"/>
      <c r="E13" s="33"/>
      <c r="F13" s="9"/>
    </row>
    <row r="14" spans="1:6">
      <c r="A14" s="33"/>
      <c r="B14" s="33"/>
      <c r="C14" s="33"/>
      <c r="D14" s="33"/>
      <c r="E14" s="33"/>
      <c r="F14" s="9"/>
    </row>
  </sheetData>
  <pageMargins left="0.69930555555555596" right="0.69930555555555596" top="0.25" bottom="0.75" header="0.3" footer="0.3"/>
  <pageSetup paperSize="9" scale="90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1"/>
  <sheetViews>
    <sheetView workbookViewId="0">
      <selection activeCell="F7" sqref="F7"/>
    </sheetView>
  </sheetViews>
  <sheetFormatPr baseColWidth="10" defaultColWidth="9" defaultRowHeight="14" x14ac:dyDescent="0"/>
  <cols>
    <col min="1" max="1" width="13.83203125" customWidth="1"/>
    <col min="2" max="2" width="23.5" customWidth="1"/>
    <col min="6" max="6" width="15.5" customWidth="1"/>
  </cols>
  <sheetData>
    <row r="2" spans="1:6" ht="15">
      <c r="A2" s="31" t="s">
        <v>431</v>
      </c>
      <c r="B2" s="31"/>
      <c r="C2" s="31"/>
      <c r="D2" s="31"/>
      <c r="E2" s="31"/>
    </row>
    <row r="3" spans="1:6" ht="15">
      <c r="A3" s="31"/>
      <c r="B3" s="31"/>
      <c r="C3" s="31"/>
      <c r="D3" s="31"/>
      <c r="E3" s="31"/>
    </row>
    <row r="4" spans="1:6">
      <c r="A4" s="262" t="s">
        <v>1</v>
      </c>
      <c r="B4" s="262" t="s">
        <v>429</v>
      </c>
      <c r="C4" s="262" t="s">
        <v>3</v>
      </c>
      <c r="D4" s="262" t="s">
        <v>4</v>
      </c>
      <c r="E4" s="262" t="s">
        <v>5</v>
      </c>
      <c r="F4" s="25" t="s">
        <v>6</v>
      </c>
    </row>
    <row r="5" spans="1:6">
      <c r="A5" s="9"/>
      <c r="B5" s="310" t="s">
        <v>418</v>
      </c>
      <c r="C5" s="9"/>
      <c r="D5" s="9"/>
      <c r="E5" s="9">
        <v>2</v>
      </c>
      <c r="F5" s="9"/>
    </row>
    <row r="6" spans="1:6">
      <c r="A6" s="538" t="s">
        <v>755</v>
      </c>
      <c r="B6" s="538" t="s">
        <v>535</v>
      </c>
      <c r="C6" s="9">
        <v>5</v>
      </c>
      <c r="D6" s="9"/>
      <c r="E6" s="9">
        <f>E5+C6-D6</f>
        <v>7</v>
      </c>
      <c r="F6" s="538" t="s">
        <v>46</v>
      </c>
    </row>
    <row r="7" spans="1:6">
      <c r="A7" s="9"/>
      <c r="B7" s="9"/>
      <c r="C7" s="9"/>
      <c r="D7" s="9"/>
      <c r="E7" s="9"/>
      <c r="F7" s="9"/>
    </row>
    <row r="8" spans="1:6">
      <c r="A8" s="9"/>
      <c r="B8" s="9"/>
      <c r="C8" s="9"/>
      <c r="D8" s="9"/>
      <c r="E8" s="9"/>
      <c r="F8" s="9"/>
    </row>
    <row r="9" spans="1:6">
      <c r="A9" s="9"/>
      <c r="B9" s="9"/>
      <c r="C9" s="9"/>
      <c r="D9" s="9"/>
      <c r="E9" s="9"/>
      <c r="F9" s="9"/>
    </row>
    <row r="10" spans="1:6">
      <c r="A10" s="9"/>
      <c r="B10" s="9"/>
      <c r="C10" s="9"/>
      <c r="D10" s="9"/>
      <c r="E10" s="9"/>
      <c r="F10" s="9"/>
    </row>
    <row r="11" spans="1:6">
      <c r="A11" s="9"/>
      <c r="B11" s="9"/>
      <c r="C11" s="9"/>
      <c r="D11" s="9"/>
      <c r="E11" s="9"/>
      <c r="F11" s="9"/>
    </row>
    <row r="12" spans="1:6">
      <c r="A12" s="9"/>
      <c r="B12" s="9"/>
      <c r="C12" s="9"/>
      <c r="D12" s="9"/>
      <c r="E12" s="9"/>
      <c r="F12" s="9"/>
    </row>
    <row r="13" spans="1:6">
      <c r="A13" s="9"/>
      <c r="B13" s="9"/>
      <c r="C13" s="9"/>
      <c r="D13" s="9"/>
      <c r="E13" s="9"/>
      <c r="F13" s="9"/>
    </row>
    <row r="14" spans="1:6">
      <c r="A14" s="9"/>
      <c r="B14" s="9"/>
      <c r="C14" s="9"/>
      <c r="D14" s="9"/>
      <c r="E14" s="9"/>
      <c r="F14" s="9"/>
    </row>
    <row r="15" spans="1:6">
      <c r="A15" s="9"/>
      <c r="B15" s="9"/>
      <c r="C15" s="9"/>
      <c r="D15" s="9"/>
      <c r="E15" s="9"/>
      <c r="F15" s="9"/>
    </row>
    <row r="16" spans="1:6">
      <c r="A16" s="9"/>
      <c r="B16" s="9"/>
      <c r="C16" s="9"/>
      <c r="D16" s="9"/>
      <c r="E16" s="9"/>
      <c r="F16" s="9"/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>
      <c r="A19" s="9"/>
      <c r="B19" s="9"/>
      <c r="C19" s="9"/>
      <c r="D19" s="9"/>
      <c r="E19" s="9"/>
      <c r="F19" s="9"/>
    </row>
    <row r="20" spans="1:6">
      <c r="A20" s="9"/>
      <c r="B20" s="9"/>
      <c r="C20" s="9"/>
      <c r="D20" s="9"/>
      <c r="E20" s="9"/>
      <c r="F20" s="9"/>
    </row>
    <row r="21" spans="1:6">
      <c r="A21" s="9"/>
      <c r="B21" s="9"/>
      <c r="C21" s="9"/>
      <c r="D21" s="9"/>
      <c r="E21" s="9"/>
      <c r="F21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30"/>
  <sheetViews>
    <sheetView tabSelected="1" workbookViewId="0">
      <selection sqref="A1:E1048576"/>
    </sheetView>
  </sheetViews>
  <sheetFormatPr baseColWidth="10" defaultColWidth="8.83203125" defaultRowHeight="15" x14ac:dyDescent="0"/>
  <cols>
    <col min="1" max="1" width="13" style="31" bestFit="1" customWidth="1"/>
    <col min="2" max="2" width="25.5" style="31" customWidth="1"/>
    <col min="3" max="5" width="9.33203125" style="31" bestFit="1" customWidth="1"/>
  </cols>
  <sheetData>
    <row r="2" spans="1:5">
      <c r="A2" s="31" t="s">
        <v>943</v>
      </c>
    </row>
    <row r="4" spans="1:5">
      <c r="A4" s="33" t="s">
        <v>1</v>
      </c>
      <c r="B4" s="33" t="s">
        <v>6</v>
      </c>
      <c r="C4" s="33" t="s">
        <v>3</v>
      </c>
      <c r="D4" s="33" t="s">
        <v>4</v>
      </c>
      <c r="E4" s="33" t="s">
        <v>5</v>
      </c>
    </row>
    <row r="5" spans="1:5">
      <c r="A5" s="563">
        <v>42622</v>
      </c>
      <c r="B5" s="39" t="s">
        <v>14</v>
      </c>
      <c r="C5" s="723">
        <v>84</v>
      </c>
      <c r="D5" s="39"/>
      <c r="E5" s="39">
        <f>C5-D5</f>
        <v>84</v>
      </c>
    </row>
    <row r="6" spans="1:5">
      <c r="A6" s="37">
        <v>42622</v>
      </c>
      <c r="B6" s="33" t="s">
        <v>14</v>
      </c>
      <c r="C6" s="724">
        <v>38</v>
      </c>
      <c r="D6" s="33"/>
      <c r="E6" s="33">
        <f>E5+C6-D6</f>
        <v>122</v>
      </c>
    </row>
    <row r="7" spans="1:5">
      <c r="A7" s="33" t="s">
        <v>944</v>
      </c>
      <c r="B7" s="33" t="s">
        <v>253</v>
      </c>
      <c r="C7" s="724">
        <v>86</v>
      </c>
      <c r="D7" s="33"/>
      <c r="E7" s="33">
        <f t="shared" ref="E7:E30" si="0">E6+C7-D7</f>
        <v>208</v>
      </c>
    </row>
    <row r="8" spans="1:5">
      <c r="A8" s="9" t="s">
        <v>172</v>
      </c>
      <c r="B8" s="9" t="s">
        <v>14</v>
      </c>
      <c r="C8" s="724">
        <v>32</v>
      </c>
      <c r="D8" s="33"/>
      <c r="E8" s="33">
        <f t="shared" si="0"/>
        <v>240</v>
      </c>
    </row>
    <row r="9" spans="1:5">
      <c r="A9" s="33" t="s">
        <v>100</v>
      </c>
      <c r="B9" s="33" t="s">
        <v>253</v>
      </c>
      <c r="C9" s="724">
        <v>1</v>
      </c>
      <c r="D9" s="33"/>
      <c r="E9" s="33">
        <f t="shared" si="0"/>
        <v>241</v>
      </c>
    </row>
    <row r="10" spans="1:5">
      <c r="A10" s="33" t="s">
        <v>945</v>
      </c>
      <c r="B10" s="33" t="s">
        <v>14</v>
      </c>
      <c r="C10" s="724">
        <v>1</v>
      </c>
      <c r="D10" s="33"/>
      <c r="E10" s="33">
        <f t="shared" si="0"/>
        <v>242</v>
      </c>
    </row>
    <row r="11" spans="1:5">
      <c r="A11" s="33" t="s">
        <v>946</v>
      </c>
      <c r="B11" s="9" t="s">
        <v>14</v>
      </c>
      <c r="C11" s="724">
        <v>37</v>
      </c>
      <c r="D11" s="33"/>
      <c r="E11" s="33">
        <f t="shared" si="0"/>
        <v>279</v>
      </c>
    </row>
    <row r="12" spans="1:5">
      <c r="A12" s="37" t="s">
        <v>947</v>
      </c>
      <c r="B12" s="9" t="s">
        <v>14</v>
      </c>
      <c r="C12" s="724">
        <v>44</v>
      </c>
      <c r="D12" s="33"/>
      <c r="E12" s="33">
        <f t="shared" si="0"/>
        <v>323</v>
      </c>
    </row>
    <row r="13" spans="1:5">
      <c r="A13" s="37" t="s">
        <v>948</v>
      </c>
      <c r="B13" s="9" t="s">
        <v>14</v>
      </c>
      <c r="C13" s="724">
        <v>16</v>
      </c>
      <c r="D13" s="33"/>
      <c r="E13" s="33">
        <f t="shared" si="0"/>
        <v>339</v>
      </c>
    </row>
    <row r="14" spans="1:5">
      <c r="A14" s="33" t="s">
        <v>124</v>
      </c>
      <c r="B14" s="9" t="s">
        <v>14</v>
      </c>
      <c r="C14" s="724">
        <v>10</v>
      </c>
      <c r="D14" s="33"/>
      <c r="E14" s="33">
        <f t="shared" si="0"/>
        <v>349</v>
      </c>
    </row>
    <row r="15" spans="1:5">
      <c r="A15" s="9" t="s">
        <v>949</v>
      </c>
      <c r="B15" s="33" t="s">
        <v>253</v>
      </c>
      <c r="C15" s="724">
        <v>28</v>
      </c>
      <c r="D15" s="33"/>
      <c r="E15" s="33">
        <f t="shared" si="0"/>
        <v>377</v>
      </c>
    </row>
    <row r="16" spans="1:5">
      <c r="A16" s="725">
        <v>42439</v>
      </c>
      <c r="B16" s="726" t="s">
        <v>9</v>
      </c>
      <c r="C16" s="727"/>
      <c r="D16" s="727">
        <v>17</v>
      </c>
      <c r="E16" s="33">
        <f t="shared" si="0"/>
        <v>360</v>
      </c>
    </row>
    <row r="17" spans="1:5">
      <c r="A17" s="49">
        <v>42439</v>
      </c>
      <c r="B17" s="33" t="s">
        <v>253</v>
      </c>
      <c r="C17" s="724">
        <v>17</v>
      </c>
      <c r="D17" s="33"/>
      <c r="E17" s="33">
        <f t="shared" si="0"/>
        <v>377</v>
      </c>
    </row>
    <row r="18" spans="1:5">
      <c r="A18" s="37">
        <v>42561</v>
      </c>
      <c r="B18" s="9" t="s">
        <v>14</v>
      </c>
      <c r="C18" s="728">
        <v>43</v>
      </c>
      <c r="D18" s="729"/>
      <c r="E18" s="33">
        <f t="shared" si="0"/>
        <v>420</v>
      </c>
    </row>
    <row r="19" spans="1:5">
      <c r="A19" s="730">
        <v>42714</v>
      </c>
      <c r="B19" s="731" t="s">
        <v>950</v>
      </c>
      <c r="C19" s="732">
        <v>4</v>
      </c>
      <c r="D19" s="729"/>
      <c r="E19" s="33">
        <f t="shared" si="0"/>
        <v>424</v>
      </c>
    </row>
    <row r="20" spans="1:5">
      <c r="A20" s="21" t="s">
        <v>951</v>
      </c>
      <c r="B20" s="9" t="s">
        <v>32</v>
      </c>
      <c r="C20" s="724">
        <v>40</v>
      </c>
      <c r="D20" s="33"/>
      <c r="E20" s="33">
        <f t="shared" si="0"/>
        <v>464</v>
      </c>
    </row>
    <row r="21" spans="1:5">
      <c r="A21" s="48" t="s">
        <v>952</v>
      </c>
      <c r="B21" s="9" t="s">
        <v>32</v>
      </c>
      <c r="C21" s="724">
        <v>17</v>
      </c>
      <c r="D21" s="33"/>
      <c r="E21" s="33">
        <f t="shared" si="0"/>
        <v>481</v>
      </c>
    </row>
    <row r="22" spans="1:5">
      <c r="A22" s="9" t="s">
        <v>953</v>
      </c>
      <c r="B22" s="9" t="s">
        <v>32</v>
      </c>
      <c r="C22" s="724">
        <v>12</v>
      </c>
      <c r="D22" s="33"/>
      <c r="E22" s="33">
        <f t="shared" si="0"/>
        <v>493</v>
      </c>
    </row>
    <row r="23" spans="1:5">
      <c r="A23" s="735" t="s">
        <v>959</v>
      </c>
      <c r="B23" s="735" t="s">
        <v>960</v>
      </c>
      <c r="C23" s="724">
        <v>1</v>
      </c>
      <c r="D23" s="33"/>
      <c r="E23" s="33">
        <f t="shared" si="0"/>
        <v>494</v>
      </c>
    </row>
    <row r="24" spans="1:5">
      <c r="A24" s="58" t="s">
        <v>101</v>
      </c>
      <c r="B24" s="9" t="s">
        <v>32</v>
      </c>
      <c r="C24" s="733">
        <v>3</v>
      </c>
      <c r="D24" s="171"/>
      <c r="E24" s="33">
        <f t="shared" si="0"/>
        <v>497</v>
      </c>
    </row>
    <row r="25" spans="1:5">
      <c r="A25" s="9" t="s">
        <v>954</v>
      </c>
      <c r="B25" s="9" t="s">
        <v>32</v>
      </c>
      <c r="C25" s="724">
        <v>1</v>
      </c>
      <c r="D25" s="33"/>
      <c r="E25" s="33">
        <f t="shared" si="0"/>
        <v>498</v>
      </c>
    </row>
    <row r="26" spans="1:5">
      <c r="A26" s="37">
        <v>42471</v>
      </c>
      <c r="B26" s="70" t="s">
        <v>950</v>
      </c>
      <c r="C26" s="723">
        <v>1</v>
      </c>
      <c r="D26" s="33"/>
      <c r="E26" s="33">
        <f t="shared" si="0"/>
        <v>499</v>
      </c>
    </row>
    <row r="27" spans="1:5">
      <c r="A27" s="33" t="s">
        <v>955</v>
      </c>
      <c r="B27" s="33" t="s">
        <v>7</v>
      </c>
      <c r="C27" s="33"/>
      <c r="D27" s="724">
        <v>34</v>
      </c>
      <c r="E27" s="736">
        <f t="shared" si="0"/>
        <v>465</v>
      </c>
    </row>
    <row r="28" spans="1:5">
      <c r="A28" s="36" t="s">
        <v>956</v>
      </c>
      <c r="B28" s="36" t="s">
        <v>957</v>
      </c>
      <c r="C28" s="36">
        <v>19</v>
      </c>
      <c r="D28" s="33"/>
      <c r="E28" s="33">
        <f t="shared" si="0"/>
        <v>484</v>
      </c>
    </row>
    <row r="29" spans="1:5">
      <c r="A29" s="36" t="s">
        <v>958</v>
      </c>
      <c r="B29" s="36" t="s">
        <v>957</v>
      </c>
      <c r="C29" s="36">
        <v>14</v>
      </c>
      <c r="D29" s="33"/>
      <c r="E29" s="33">
        <f t="shared" si="0"/>
        <v>498</v>
      </c>
    </row>
    <row r="30" spans="1:5">
      <c r="A30" s="734"/>
      <c r="B30" s="734" t="s">
        <v>408</v>
      </c>
      <c r="C30" s="734"/>
      <c r="D30" s="734"/>
      <c r="E30" s="736">
        <f t="shared" si="0"/>
        <v>498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0"/>
  <sheetViews>
    <sheetView zoomScale="110" zoomScaleNormal="110" zoomScalePageLayoutView="110" workbookViewId="0">
      <selection activeCell="E5" sqref="E5"/>
    </sheetView>
  </sheetViews>
  <sheetFormatPr baseColWidth="10" defaultColWidth="9" defaultRowHeight="15" x14ac:dyDescent="0"/>
  <cols>
    <col min="1" max="1" width="15.1640625" style="31" customWidth="1"/>
    <col min="2" max="2" width="34.83203125" style="31" customWidth="1"/>
    <col min="3" max="5" width="9" style="31"/>
    <col min="6" max="6" width="14.6640625" customWidth="1"/>
  </cols>
  <sheetData>
    <row r="2" spans="1:6">
      <c r="A2" s="31" t="s">
        <v>231</v>
      </c>
    </row>
    <row r="4" spans="1:6" ht="14">
      <c r="A4" s="262" t="s">
        <v>1</v>
      </c>
      <c r="B4" s="262" t="s">
        <v>429</v>
      </c>
      <c r="C4" s="262" t="s">
        <v>3</v>
      </c>
      <c r="D4" s="262" t="s">
        <v>4</v>
      </c>
      <c r="E4" s="262" t="s">
        <v>5</v>
      </c>
      <c r="F4" s="25" t="s">
        <v>6</v>
      </c>
    </row>
    <row r="5" spans="1:6">
      <c r="A5" s="33"/>
      <c r="B5" s="33" t="s">
        <v>418</v>
      </c>
      <c r="C5" s="33"/>
      <c r="D5" s="33"/>
      <c r="E5" s="39">
        <v>4413</v>
      </c>
      <c r="F5" s="9"/>
    </row>
    <row r="6" spans="1:6">
      <c r="A6" s="42">
        <v>43374</v>
      </c>
      <c r="B6" s="326" t="s">
        <v>16</v>
      </c>
      <c r="C6" s="33">
        <v>53</v>
      </c>
      <c r="D6" s="33"/>
      <c r="E6" s="33">
        <f>E5+C6-D6</f>
        <v>4466</v>
      </c>
      <c r="F6" s="326"/>
    </row>
    <row r="7" spans="1:6">
      <c r="A7" s="34" t="s">
        <v>509</v>
      </c>
      <c r="B7" s="34" t="s">
        <v>16</v>
      </c>
      <c r="C7" s="33">
        <v>11</v>
      </c>
      <c r="D7" s="33"/>
      <c r="E7" s="33">
        <f>E6+C7-D7</f>
        <v>4477</v>
      </c>
      <c r="F7" s="341"/>
    </row>
    <row r="8" spans="1:6">
      <c r="A8" s="33" t="s">
        <v>526</v>
      </c>
      <c r="B8" s="34" t="s">
        <v>16</v>
      </c>
      <c r="C8" s="33">
        <v>6</v>
      </c>
      <c r="D8" s="33"/>
      <c r="E8" s="33">
        <f t="shared" ref="E8:E11" si="0">E7+C8-D8</f>
        <v>4483</v>
      </c>
      <c r="F8" s="9"/>
    </row>
    <row r="9" spans="1:6">
      <c r="A9" s="347" t="s">
        <v>531</v>
      </c>
      <c r="B9" s="348" t="s">
        <v>16</v>
      </c>
      <c r="C9" s="33">
        <v>14</v>
      </c>
      <c r="D9" s="33"/>
      <c r="E9" s="33">
        <f t="shared" si="0"/>
        <v>4497</v>
      </c>
      <c r="F9" s="348"/>
    </row>
    <row r="10" spans="1:6">
      <c r="A10" s="375" t="s">
        <v>581</v>
      </c>
      <c r="B10" s="375" t="s">
        <v>523</v>
      </c>
      <c r="C10" s="33">
        <v>13</v>
      </c>
      <c r="D10" s="33"/>
      <c r="E10" s="33">
        <f t="shared" si="0"/>
        <v>4510</v>
      </c>
      <c r="F10" s="9"/>
    </row>
    <row r="11" spans="1:6">
      <c r="A11" s="33" t="s">
        <v>581</v>
      </c>
      <c r="B11" s="33" t="s">
        <v>434</v>
      </c>
      <c r="C11" s="33">
        <v>6</v>
      </c>
      <c r="D11" s="33"/>
      <c r="E11" s="33">
        <f t="shared" si="0"/>
        <v>4516</v>
      </c>
      <c r="F11" s="9"/>
    </row>
    <row r="12" spans="1:6">
      <c r="A12" s="34" t="s">
        <v>586</v>
      </c>
      <c r="B12" s="34" t="s">
        <v>16</v>
      </c>
      <c r="C12" s="33">
        <v>14</v>
      </c>
      <c r="D12" s="33"/>
      <c r="E12" s="33">
        <f>E11+C12-D12</f>
        <v>4530</v>
      </c>
      <c r="F12" s="375"/>
    </row>
    <row r="13" spans="1:6">
      <c r="A13" s="34" t="s">
        <v>598</v>
      </c>
      <c r="B13" s="34" t="s">
        <v>16</v>
      </c>
      <c r="C13" s="33">
        <v>1</v>
      </c>
      <c r="D13" s="33"/>
      <c r="E13" s="33">
        <f>E12+C13-D13</f>
        <v>4531</v>
      </c>
      <c r="F13" s="386"/>
    </row>
    <row r="14" spans="1:6">
      <c r="A14" s="33" t="s">
        <v>630</v>
      </c>
      <c r="B14" s="34" t="s">
        <v>16</v>
      </c>
      <c r="C14" s="33">
        <v>3</v>
      </c>
      <c r="D14" s="33"/>
      <c r="E14" s="33">
        <f t="shared" ref="E14:E15" si="1">E13+C14-D14</f>
        <v>4534</v>
      </c>
      <c r="F14" s="9"/>
    </row>
    <row r="15" spans="1:6">
      <c r="A15" s="430" t="s">
        <v>636</v>
      </c>
      <c r="B15" s="429" t="s">
        <v>16</v>
      </c>
      <c r="C15" s="33">
        <v>2</v>
      </c>
      <c r="D15" s="33"/>
      <c r="E15" s="33">
        <f t="shared" si="1"/>
        <v>4536</v>
      </c>
      <c r="F15" s="429"/>
    </row>
    <row r="16" spans="1:6">
      <c r="A16" s="33" t="s">
        <v>669</v>
      </c>
      <c r="B16" s="33" t="s">
        <v>672</v>
      </c>
      <c r="C16" s="33"/>
      <c r="D16" s="33">
        <v>70</v>
      </c>
      <c r="E16" s="33">
        <f>E15+C16-D16</f>
        <v>4466</v>
      </c>
      <c r="F16" s="457" t="s">
        <v>46</v>
      </c>
    </row>
    <row r="17" spans="1:6">
      <c r="A17" s="37">
        <v>43134</v>
      </c>
      <c r="B17" s="33" t="s">
        <v>672</v>
      </c>
      <c r="C17" s="33"/>
      <c r="D17" s="33">
        <v>15</v>
      </c>
      <c r="E17" s="33">
        <f>E16+C17-D17</f>
        <v>4451</v>
      </c>
      <c r="F17" s="482"/>
    </row>
    <row r="18" spans="1:6">
      <c r="A18" s="33" t="s">
        <v>755</v>
      </c>
      <c r="B18" s="33" t="s">
        <v>16</v>
      </c>
      <c r="C18" s="33">
        <v>3</v>
      </c>
      <c r="D18" s="33"/>
      <c r="E18" s="33">
        <f t="shared" ref="E18" si="2">E17+C18-D18</f>
        <v>4454</v>
      </c>
      <c r="F18" s="9"/>
    </row>
    <row r="19" spans="1:6">
      <c r="A19" s="539" t="s">
        <v>755</v>
      </c>
      <c r="B19" s="538" t="s">
        <v>641</v>
      </c>
      <c r="C19" s="33">
        <v>52</v>
      </c>
      <c r="D19" s="33"/>
      <c r="E19" s="33">
        <f>E18+C19-D19</f>
        <v>4506</v>
      </c>
      <c r="F19" s="538"/>
    </row>
    <row r="20" spans="1:6">
      <c r="A20" s="562" t="s">
        <v>768</v>
      </c>
      <c r="B20" s="24" t="s">
        <v>668</v>
      </c>
      <c r="C20" s="33">
        <v>31</v>
      </c>
      <c r="D20" s="33"/>
      <c r="E20" s="33">
        <f>E19+C20-D20</f>
        <v>4537</v>
      </c>
      <c r="F20" s="9"/>
    </row>
    <row r="21" spans="1:6">
      <c r="A21" s="563">
        <v>43377</v>
      </c>
      <c r="B21" s="39" t="s">
        <v>779</v>
      </c>
      <c r="C21" s="39"/>
      <c r="D21" s="39">
        <v>50</v>
      </c>
      <c r="E21" s="39">
        <f>E20+C21-D21</f>
        <v>4487</v>
      </c>
      <c r="F21" s="26"/>
    </row>
    <row r="22" spans="1:6">
      <c r="A22" s="37">
        <v>43438</v>
      </c>
      <c r="B22" s="39" t="s">
        <v>779</v>
      </c>
      <c r="C22" s="33"/>
      <c r="D22" s="33">
        <v>165</v>
      </c>
      <c r="E22" s="39">
        <f>E21+C22-D22</f>
        <v>4322</v>
      </c>
      <c r="F22" s="9" t="s">
        <v>46</v>
      </c>
    </row>
    <row r="23" spans="1:6">
      <c r="A23" s="33"/>
      <c r="B23" s="33"/>
      <c r="C23" s="33"/>
      <c r="D23" s="33"/>
      <c r="E23" s="33"/>
      <c r="F23" s="9"/>
    </row>
    <row r="24" spans="1:6">
      <c r="A24" s="33"/>
      <c r="B24" s="33"/>
      <c r="C24" s="33"/>
      <c r="D24" s="33"/>
      <c r="E24" s="33"/>
      <c r="F24" s="9"/>
    </row>
    <row r="25" spans="1:6">
      <c r="A25" s="33"/>
      <c r="B25" s="33"/>
      <c r="C25" s="33"/>
      <c r="D25" s="33"/>
      <c r="E25" s="33"/>
      <c r="F25" s="9"/>
    </row>
    <row r="26" spans="1:6">
      <c r="A26" s="33"/>
      <c r="B26" s="33"/>
      <c r="C26" s="33"/>
      <c r="D26" s="33"/>
      <c r="E26" s="33"/>
      <c r="F26" s="9"/>
    </row>
    <row r="27" spans="1:6">
      <c r="A27" s="33"/>
      <c r="B27" s="33"/>
      <c r="C27" s="33"/>
      <c r="D27" s="33"/>
      <c r="E27" s="33"/>
      <c r="F27" s="9"/>
    </row>
    <row r="28" spans="1:6">
      <c r="A28" s="33"/>
      <c r="B28" s="33"/>
      <c r="C28" s="33"/>
      <c r="D28" s="33"/>
      <c r="E28" s="33"/>
      <c r="F28" s="9"/>
    </row>
    <row r="29" spans="1:6">
      <c r="A29" s="33"/>
      <c r="B29" s="33"/>
      <c r="C29" s="33"/>
      <c r="D29" s="33"/>
      <c r="E29" s="33"/>
      <c r="F29" s="9"/>
    </row>
    <row r="30" spans="1:6">
      <c r="A30" s="33"/>
      <c r="B30" s="33"/>
      <c r="C30" s="33"/>
      <c r="D30" s="33"/>
      <c r="E30" s="33"/>
      <c r="F30" s="9"/>
    </row>
  </sheetData>
  <pageMargins left="0.69930555555555596" right="0.69930555555555596" top="0.75" bottom="0.75" header="0.3" footer="0.3"/>
  <pageSetup paperSize="9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6"/>
  <sheetViews>
    <sheetView workbookViewId="0">
      <selection activeCell="F8" sqref="F8"/>
    </sheetView>
  </sheetViews>
  <sheetFormatPr baseColWidth="10" defaultColWidth="9" defaultRowHeight="15" x14ac:dyDescent="0"/>
  <cols>
    <col min="1" max="1" width="13" style="31" customWidth="1"/>
    <col min="2" max="2" width="25.5" style="31" customWidth="1"/>
    <col min="3" max="5" width="9.33203125" style="31" customWidth="1"/>
    <col min="6" max="6" width="15.5" style="116" customWidth="1"/>
  </cols>
  <sheetData>
    <row r="2" spans="1:6">
      <c r="A2" s="31" t="s">
        <v>232</v>
      </c>
    </row>
    <row r="4" spans="1:6" ht="14">
      <c r="A4" s="262" t="s">
        <v>1</v>
      </c>
      <c r="B4" s="262" t="s">
        <v>429</v>
      </c>
      <c r="C4" s="262" t="s">
        <v>3</v>
      </c>
      <c r="D4" s="262" t="s">
        <v>4</v>
      </c>
      <c r="E4" s="262" t="s">
        <v>5</v>
      </c>
      <c r="F4" s="25" t="s">
        <v>6</v>
      </c>
    </row>
    <row r="5" spans="1:6">
      <c r="A5" s="33"/>
      <c r="B5" s="33" t="s">
        <v>418</v>
      </c>
      <c r="C5" s="33"/>
      <c r="D5" s="33"/>
      <c r="E5" s="33">
        <v>891</v>
      </c>
      <c r="F5" s="95"/>
    </row>
    <row r="6" spans="1:6">
      <c r="A6" s="57">
        <v>43223</v>
      </c>
      <c r="B6" s="493" t="s">
        <v>510</v>
      </c>
      <c r="C6" s="33">
        <v>40</v>
      </c>
      <c r="D6" s="33"/>
      <c r="E6" s="33">
        <f>E5+C6-D6</f>
        <v>931</v>
      </c>
      <c r="F6" s="95"/>
    </row>
    <row r="7" spans="1:6">
      <c r="A7" s="33" t="s">
        <v>898</v>
      </c>
      <c r="B7" s="33" t="s">
        <v>900</v>
      </c>
      <c r="C7" s="33"/>
      <c r="D7" s="33">
        <v>100</v>
      </c>
      <c r="E7" s="33">
        <f>E6+C7-D7</f>
        <v>831</v>
      </c>
      <c r="F7" s="95" t="s">
        <v>46</v>
      </c>
    </row>
    <row r="8" spans="1:6">
      <c r="A8" s="33"/>
      <c r="B8" s="33"/>
      <c r="C8" s="33"/>
      <c r="D8" s="33"/>
      <c r="E8" s="33"/>
      <c r="F8" s="95"/>
    </row>
    <row r="9" spans="1:6">
      <c r="A9" s="33"/>
      <c r="B9" s="33"/>
      <c r="C9" s="33"/>
      <c r="D9" s="33"/>
      <c r="E9" s="33"/>
      <c r="F9" s="95"/>
    </row>
    <row r="10" spans="1:6">
      <c r="A10" s="33"/>
      <c r="B10" s="33"/>
      <c r="C10" s="33"/>
      <c r="D10" s="33"/>
      <c r="E10" s="33"/>
      <c r="F10" s="95"/>
    </row>
    <row r="11" spans="1:6">
      <c r="A11" s="33"/>
      <c r="B11" s="33"/>
      <c r="C11" s="33"/>
      <c r="D11" s="33"/>
      <c r="E11" s="33"/>
      <c r="F11" s="95"/>
    </row>
    <row r="12" spans="1:6">
      <c r="A12" s="33"/>
      <c r="B12" s="33"/>
      <c r="C12" s="33"/>
      <c r="D12" s="33"/>
      <c r="E12" s="33"/>
      <c r="F12" s="95"/>
    </row>
    <row r="13" spans="1:6">
      <c r="A13" s="33"/>
      <c r="B13" s="33"/>
      <c r="C13" s="33"/>
      <c r="D13" s="33"/>
      <c r="E13" s="33"/>
      <c r="F13" s="95"/>
    </row>
    <row r="14" spans="1:6">
      <c r="A14" s="33"/>
      <c r="B14" s="33"/>
      <c r="C14" s="33"/>
      <c r="D14" s="33"/>
      <c r="E14" s="33"/>
      <c r="F14" s="95"/>
    </row>
    <row r="15" spans="1:6">
      <c r="A15" s="33"/>
      <c r="B15" s="33"/>
      <c r="C15" s="33"/>
      <c r="D15" s="33"/>
      <c r="E15" s="33"/>
      <c r="F15" s="95"/>
    </row>
    <row r="16" spans="1:6">
      <c r="A16" s="33"/>
      <c r="B16" s="33"/>
      <c r="C16" s="33"/>
      <c r="D16" s="33"/>
      <c r="E16" s="33"/>
      <c r="F16" s="95"/>
    </row>
    <row r="17" spans="1:6">
      <c r="A17" s="33"/>
      <c r="B17" s="33"/>
      <c r="C17" s="33"/>
      <c r="D17" s="33"/>
      <c r="E17" s="33"/>
      <c r="F17" s="95"/>
    </row>
    <row r="18" spans="1:6">
      <c r="A18" s="33"/>
      <c r="B18" s="33"/>
      <c r="C18" s="33"/>
      <c r="D18" s="33"/>
      <c r="E18" s="33"/>
      <c r="F18" s="95"/>
    </row>
    <row r="19" spans="1:6">
      <c r="A19" s="33"/>
      <c r="B19" s="33"/>
      <c r="C19" s="33"/>
      <c r="D19" s="33"/>
      <c r="E19" s="33"/>
      <c r="F19" s="95"/>
    </row>
    <row r="20" spans="1:6">
      <c r="A20" s="33"/>
      <c r="B20" s="33"/>
      <c r="C20" s="33"/>
      <c r="D20" s="33"/>
      <c r="E20" s="33"/>
      <c r="F20" s="95"/>
    </row>
    <row r="21" spans="1:6">
      <c r="A21" s="33"/>
      <c r="B21" s="33"/>
      <c r="C21" s="33"/>
      <c r="D21" s="33"/>
      <c r="E21" s="33"/>
      <c r="F21" s="95"/>
    </row>
    <row r="22" spans="1:6">
      <c r="A22" s="33"/>
      <c r="B22" s="33"/>
      <c r="C22" s="33"/>
      <c r="D22" s="33"/>
      <c r="E22" s="33"/>
      <c r="F22" s="95"/>
    </row>
    <row r="23" spans="1:6">
      <c r="A23" s="33"/>
      <c r="B23" s="33"/>
      <c r="C23" s="33"/>
      <c r="D23" s="33"/>
      <c r="E23" s="33"/>
      <c r="F23" s="95"/>
    </row>
    <row r="24" spans="1:6">
      <c r="A24" s="33"/>
      <c r="B24" s="33"/>
      <c r="C24" s="33"/>
      <c r="D24" s="33"/>
      <c r="E24" s="33"/>
      <c r="F24" s="95"/>
    </row>
    <row r="25" spans="1:6">
      <c r="A25" s="33"/>
      <c r="B25" s="33"/>
      <c r="C25" s="33"/>
      <c r="D25" s="33"/>
      <c r="E25" s="33"/>
      <c r="F25" s="95"/>
    </row>
    <row r="26" spans="1:6">
      <c r="A26" s="33"/>
      <c r="B26" s="33"/>
      <c r="C26" s="33"/>
      <c r="D26" s="33"/>
      <c r="E26" s="33"/>
      <c r="F26" s="95"/>
    </row>
  </sheetData>
  <pageMargins left="0.69930555555555596" right="0.69930555555555596" top="0.5" bottom="0.75" header="0.3" footer="0.3"/>
  <pageSetup paperSize="9" scale="90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E6" sqref="E6"/>
    </sheetView>
  </sheetViews>
  <sheetFormatPr baseColWidth="10" defaultColWidth="9" defaultRowHeight="14" x14ac:dyDescent="0"/>
  <cols>
    <col min="1" max="1" width="13.5" customWidth="1"/>
    <col min="2" max="2" width="26.5" customWidth="1"/>
    <col min="3" max="5" width="9.6640625" customWidth="1"/>
    <col min="6" max="6" width="19" customWidth="1"/>
  </cols>
  <sheetData>
    <row r="1" spans="1:6" ht="15">
      <c r="A1" s="31"/>
      <c r="B1" s="31"/>
      <c r="C1" s="31"/>
      <c r="D1" s="31"/>
      <c r="E1" s="31"/>
    </row>
    <row r="2" spans="1:6" ht="15">
      <c r="A2" s="31" t="s">
        <v>233</v>
      </c>
      <c r="B2" s="31"/>
      <c r="C2" s="31"/>
      <c r="D2" s="31"/>
      <c r="E2" s="31"/>
    </row>
    <row r="3" spans="1:6" ht="15">
      <c r="A3" s="31"/>
      <c r="B3" s="31"/>
      <c r="C3" s="31"/>
      <c r="D3" s="31"/>
      <c r="E3" s="31"/>
    </row>
    <row r="4" spans="1:6">
      <c r="A4" s="262" t="s">
        <v>1</v>
      </c>
      <c r="B4" s="262" t="s">
        <v>429</v>
      </c>
      <c r="C4" s="262" t="s">
        <v>3</v>
      </c>
      <c r="D4" s="262" t="s">
        <v>4</v>
      </c>
      <c r="E4" s="262" t="s">
        <v>5</v>
      </c>
      <c r="F4" s="25" t="s">
        <v>6</v>
      </c>
    </row>
    <row r="5" spans="1:6">
      <c r="A5" s="9"/>
      <c r="B5" s="310" t="s">
        <v>418</v>
      </c>
      <c r="C5" s="9"/>
      <c r="D5" s="9"/>
      <c r="E5" s="9">
        <v>120</v>
      </c>
      <c r="F5" s="9"/>
    </row>
    <row r="6" spans="1:6">
      <c r="A6" s="9"/>
      <c r="B6" s="9"/>
      <c r="C6" s="9"/>
      <c r="D6" s="9"/>
      <c r="E6" s="9"/>
      <c r="F6" s="9"/>
    </row>
    <row r="7" spans="1:6">
      <c r="A7" s="9"/>
      <c r="B7" s="9"/>
      <c r="C7" s="9"/>
      <c r="D7" s="9"/>
      <c r="E7" s="9"/>
      <c r="F7" s="9"/>
    </row>
    <row r="8" spans="1:6">
      <c r="A8" s="9"/>
      <c r="B8" s="9"/>
      <c r="C8" s="9"/>
      <c r="D8" s="9"/>
      <c r="E8" s="9"/>
      <c r="F8" s="9"/>
    </row>
    <row r="9" spans="1:6">
      <c r="A9" s="9"/>
      <c r="B9" s="9"/>
      <c r="C9" s="9"/>
      <c r="D9" s="9"/>
      <c r="E9" s="9"/>
      <c r="F9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47"/>
  <sheetViews>
    <sheetView topLeftCell="A14" workbookViewId="0">
      <selection activeCell="F38" sqref="F38"/>
    </sheetView>
  </sheetViews>
  <sheetFormatPr baseColWidth="10" defaultColWidth="9" defaultRowHeight="15" x14ac:dyDescent="0"/>
  <cols>
    <col min="1" max="1" width="13" style="31" customWidth="1"/>
    <col min="2" max="2" width="40.5" style="31" customWidth="1"/>
    <col min="3" max="4" width="9.33203125" style="31" customWidth="1"/>
    <col min="5" max="5" width="10.33203125" style="31" customWidth="1"/>
    <col min="6" max="6" width="12.83203125" customWidth="1"/>
  </cols>
  <sheetData>
    <row r="2" spans="1:6">
      <c r="A2" s="31" t="s">
        <v>234</v>
      </c>
    </row>
    <row r="4" spans="1:6" ht="14">
      <c r="A4" s="262" t="s">
        <v>1</v>
      </c>
      <c r="B4" s="262" t="s">
        <v>429</v>
      </c>
      <c r="C4" s="262" t="s">
        <v>3</v>
      </c>
      <c r="D4" s="262" t="s">
        <v>4</v>
      </c>
      <c r="E4" s="262" t="s">
        <v>5</v>
      </c>
      <c r="F4" s="25" t="s">
        <v>6</v>
      </c>
    </row>
    <row r="5" spans="1:6">
      <c r="A5" s="33"/>
      <c r="B5" s="33" t="s">
        <v>643</v>
      </c>
      <c r="C5" s="33"/>
      <c r="D5" s="33"/>
      <c r="E5" s="33">
        <v>4010</v>
      </c>
      <c r="F5" s="9"/>
    </row>
    <row r="6" spans="1:6">
      <c r="A6" s="369" t="s">
        <v>569</v>
      </c>
      <c r="B6" s="369" t="s">
        <v>434</v>
      </c>
      <c r="C6" s="33">
        <v>9</v>
      </c>
      <c r="D6" s="33"/>
      <c r="E6" s="33">
        <f>E5+C6-D6</f>
        <v>4019</v>
      </c>
      <c r="F6" s="9"/>
    </row>
    <row r="7" spans="1:6">
      <c r="A7" s="33" t="s">
        <v>585</v>
      </c>
      <c r="B7" s="33" t="s">
        <v>532</v>
      </c>
      <c r="C7" s="33"/>
      <c r="D7" s="33">
        <v>250</v>
      </c>
      <c r="E7" s="33">
        <f t="shared" ref="E7:E37" si="0">E6+C7-D7</f>
        <v>3769</v>
      </c>
      <c r="F7" s="9"/>
    </row>
    <row r="8" spans="1:6">
      <c r="A8" s="33" t="s">
        <v>586</v>
      </c>
      <c r="B8" s="33" t="s">
        <v>589</v>
      </c>
      <c r="C8" s="33"/>
      <c r="D8" s="33">
        <v>250</v>
      </c>
      <c r="E8" s="33">
        <f t="shared" si="0"/>
        <v>3519</v>
      </c>
      <c r="F8" s="375"/>
    </row>
    <row r="9" spans="1:6">
      <c r="A9" s="385" t="s">
        <v>598</v>
      </c>
      <c r="B9" s="386" t="s">
        <v>16</v>
      </c>
      <c r="C9" s="33">
        <v>1</v>
      </c>
      <c r="D9" s="33"/>
      <c r="E9" s="33">
        <f t="shared" si="0"/>
        <v>3520</v>
      </c>
      <c r="F9" s="386"/>
    </row>
    <row r="10" spans="1:6">
      <c r="A10" s="37">
        <v>43375</v>
      </c>
      <c r="B10" s="33" t="s">
        <v>589</v>
      </c>
      <c r="C10" s="33"/>
      <c r="D10" s="33">
        <v>227</v>
      </c>
      <c r="E10" s="33">
        <f t="shared" si="0"/>
        <v>3293</v>
      </c>
      <c r="F10" s="9"/>
    </row>
    <row r="11" spans="1:6">
      <c r="A11" s="37">
        <v>43436</v>
      </c>
      <c r="B11" s="33" t="s">
        <v>589</v>
      </c>
      <c r="C11" s="33"/>
      <c r="D11" s="33">
        <v>273</v>
      </c>
      <c r="E11" s="33">
        <f t="shared" si="0"/>
        <v>3020</v>
      </c>
      <c r="F11" s="429"/>
    </row>
    <row r="12" spans="1:6">
      <c r="A12" s="33" t="s">
        <v>638</v>
      </c>
      <c r="B12" s="33" t="s">
        <v>17</v>
      </c>
      <c r="C12" s="33"/>
      <c r="D12" s="33">
        <v>300</v>
      </c>
      <c r="E12" s="33">
        <f t="shared" si="0"/>
        <v>2720</v>
      </c>
      <c r="F12" s="434"/>
    </row>
    <row r="13" spans="1:6">
      <c r="A13" s="33" t="s">
        <v>644</v>
      </c>
      <c r="B13" s="33" t="s">
        <v>17</v>
      </c>
      <c r="C13" s="33"/>
      <c r="D13" s="33">
        <v>300</v>
      </c>
      <c r="E13" s="33">
        <f t="shared" si="0"/>
        <v>2420</v>
      </c>
      <c r="F13" s="9"/>
    </row>
    <row r="14" spans="1:6">
      <c r="A14" s="33" t="s">
        <v>649</v>
      </c>
      <c r="B14" s="33" t="s">
        <v>17</v>
      </c>
      <c r="C14" s="33"/>
      <c r="D14" s="33">
        <v>100</v>
      </c>
      <c r="E14" s="33">
        <f t="shared" si="0"/>
        <v>2320</v>
      </c>
      <c r="F14" s="9"/>
    </row>
    <row r="15" spans="1:6">
      <c r="A15" s="33" t="s">
        <v>649</v>
      </c>
      <c r="B15" s="33" t="s">
        <v>17</v>
      </c>
      <c r="C15" s="33"/>
      <c r="D15" s="33">
        <v>200</v>
      </c>
      <c r="E15" s="33">
        <f t="shared" si="0"/>
        <v>2120</v>
      </c>
      <c r="F15" s="437"/>
    </row>
    <row r="16" spans="1:6">
      <c r="A16" s="33" t="s">
        <v>651</v>
      </c>
      <c r="B16" s="33" t="s">
        <v>17</v>
      </c>
      <c r="C16" s="33"/>
      <c r="D16" s="33">
        <v>250</v>
      </c>
      <c r="E16" s="33">
        <f t="shared" si="0"/>
        <v>1870</v>
      </c>
      <c r="F16" s="9"/>
    </row>
    <row r="17" spans="1:6">
      <c r="A17" s="33" t="s">
        <v>656</v>
      </c>
      <c r="B17" s="33" t="s">
        <v>17</v>
      </c>
      <c r="C17" s="33"/>
      <c r="D17" s="33">
        <v>370</v>
      </c>
      <c r="E17" s="33">
        <f t="shared" si="0"/>
        <v>1500</v>
      </c>
      <c r="F17" s="444"/>
    </row>
    <row r="18" spans="1:6">
      <c r="A18" s="33" t="s">
        <v>694</v>
      </c>
      <c r="B18" s="33" t="s">
        <v>17</v>
      </c>
      <c r="C18" s="33"/>
      <c r="D18" s="33">
        <v>350</v>
      </c>
      <c r="E18" s="33">
        <f t="shared" si="0"/>
        <v>1150</v>
      </c>
      <c r="F18" s="472"/>
    </row>
    <row r="19" spans="1:6">
      <c r="A19" s="42">
        <v>43162</v>
      </c>
      <c r="B19" s="487" t="s">
        <v>17</v>
      </c>
      <c r="C19" s="33"/>
      <c r="D19" s="33">
        <v>100</v>
      </c>
      <c r="E19" s="33">
        <f t="shared" si="0"/>
        <v>1050</v>
      </c>
      <c r="F19" s="487"/>
    </row>
    <row r="20" spans="1:6">
      <c r="A20" s="37">
        <v>43223</v>
      </c>
      <c r="B20" s="487" t="s">
        <v>17</v>
      </c>
      <c r="C20" s="33"/>
      <c r="D20" s="33">
        <v>200</v>
      </c>
      <c r="E20" s="33">
        <f t="shared" si="0"/>
        <v>850</v>
      </c>
      <c r="F20" s="492"/>
    </row>
    <row r="21" spans="1:6">
      <c r="A21" s="37">
        <v>43284</v>
      </c>
      <c r="B21" s="33" t="s">
        <v>679</v>
      </c>
      <c r="C21" s="33">
        <v>23</v>
      </c>
      <c r="D21" s="33"/>
      <c r="E21" s="33">
        <f t="shared" si="0"/>
        <v>873</v>
      </c>
      <c r="F21" s="9"/>
    </row>
    <row r="22" spans="1:6">
      <c r="A22" s="33" t="s">
        <v>732</v>
      </c>
      <c r="B22" s="33" t="s">
        <v>679</v>
      </c>
      <c r="C22" s="33"/>
      <c r="D22" s="33">
        <v>23</v>
      </c>
      <c r="E22" s="33">
        <f t="shared" si="0"/>
        <v>850</v>
      </c>
      <c r="F22" s="508"/>
    </row>
    <row r="23" spans="1:6">
      <c r="A23" s="33" t="s">
        <v>744</v>
      </c>
      <c r="B23" s="33" t="s">
        <v>16</v>
      </c>
      <c r="C23" s="33">
        <v>1</v>
      </c>
      <c r="D23" s="33"/>
      <c r="E23" s="33">
        <f t="shared" si="0"/>
        <v>851</v>
      </c>
      <c r="F23" s="528"/>
    </row>
    <row r="24" spans="1:6">
      <c r="A24" s="37">
        <v>43285</v>
      </c>
      <c r="B24" s="33" t="s">
        <v>779</v>
      </c>
      <c r="C24" s="33"/>
      <c r="D24" s="33">
        <v>113</v>
      </c>
      <c r="E24" s="33">
        <f t="shared" si="0"/>
        <v>738</v>
      </c>
      <c r="F24" s="554"/>
    </row>
    <row r="25" spans="1:6">
      <c r="A25" s="37">
        <v>43377</v>
      </c>
      <c r="B25" s="33" t="s">
        <v>779</v>
      </c>
      <c r="C25" s="33"/>
      <c r="D25" s="33">
        <v>200</v>
      </c>
      <c r="E25" s="33">
        <f t="shared" si="0"/>
        <v>538</v>
      </c>
      <c r="F25" s="9"/>
    </row>
    <row r="26" spans="1:6">
      <c r="A26" s="37">
        <v>43408</v>
      </c>
      <c r="B26" s="33" t="s">
        <v>779</v>
      </c>
      <c r="C26" s="33"/>
      <c r="D26" s="33">
        <v>270</v>
      </c>
      <c r="E26" s="33">
        <f t="shared" si="0"/>
        <v>268</v>
      </c>
      <c r="F26" s="559"/>
    </row>
    <row r="27" spans="1:6">
      <c r="A27" s="37">
        <v>43438</v>
      </c>
      <c r="B27" s="39" t="s">
        <v>779</v>
      </c>
      <c r="C27" s="33"/>
      <c r="D27" s="33">
        <v>20</v>
      </c>
      <c r="E27" s="33">
        <f t="shared" si="0"/>
        <v>248</v>
      </c>
      <c r="F27" s="569"/>
    </row>
    <row r="28" spans="1:6">
      <c r="A28" s="33" t="s">
        <v>789</v>
      </c>
      <c r="B28" s="33" t="s">
        <v>9</v>
      </c>
      <c r="C28" s="33">
        <v>200</v>
      </c>
      <c r="D28" s="33"/>
      <c r="E28" s="33">
        <f t="shared" si="0"/>
        <v>448</v>
      </c>
      <c r="F28" s="9"/>
    </row>
    <row r="29" spans="1:6">
      <c r="A29" s="33" t="s">
        <v>792</v>
      </c>
      <c r="B29" s="33" t="s">
        <v>779</v>
      </c>
      <c r="C29" s="33"/>
      <c r="D29" s="33">
        <v>208</v>
      </c>
      <c r="E29" s="33">
        <f t="shared" si="0"/>
        <v>240</v>
      </c>
      <c r="F29" s="570" t="s">
        <v>46</v>
      </c>
    </row>
    <row r="30" spans="1:6">
      <c r="A30" s="582" t="s">
        <v>808</v>
      </c>
      <c r="B30" s="33" t="s">
        <v>779</v>
      </c>
      <c r="C30" s="33"/>
      <c r="D30" s="33">
        <v>6</v>
      </c>
      <c r="E30" s="33">
        <f t="shared" si="0"/>
        <v>234</v>
      </c>
      <c r="F30" s="581" t="s">
        <v>46</v>
      </c>
    </row>
    <row r="31" spans="1:6">
      <c r="A31" s="33" t="s">
        <v>839</v>
      </c>
      <c r="B31" s="33" t="s">
        <v>841</v>
      </c>
      <c r="C31" s="33">
        <v>220</v>
      </c>
      <c r="D31" s="33"/>
      <c r="E31" s="33">
        <f t="shared" si="0"/>
        <v>454</v>
      </c>
      <c r="F31" s="9"/>
    </row>
    <row r="32" spans="1:6">
      <c r="A32" s="49">
        <v>43105</v>
      </c>
      <c r="B32" s="35" t="s">
        <v>779</v>
      </c>
      <c r="C32" s="33"/>
      <c r="D32" s="33">
        <v>244</v>
      </c>
      <c r="E32" s="33">
        <f t="shared" si="0"/>
        <v>210</v>
      </c>
      <c r="F32" s="616" t="s">
        <v>46</v>
      </c>
    </row>
    <row r="33" spans="1:6">
      <c r="A33" s="33" t="s">
        <v>884</v>
      </c>
      <c r="B33" s="33" t="s">
        <v>885</v>
      </c>
      <c r="C33" s="33">
        <v>110</v>
      </c>
      <c r="D33" s="33"/>
      <c r="E33" s="33">
        <f t="shared" si="0"/>
        <v>320</v>
      </c>
      <c r="F33" s="9"/>
    </row>
    <row r="34" spans="1:6">
      <c r="A34" s="33" t="s">
        <v>884</v>
      </c>
      <c r="B34" s="33" t="s">
        <v>9</v>
      </c>
      <c r="C34" s="33">
        <v>250</v>
      </c>
      <c r="D34" s="33"/>
      <c r="E34" s="33">
        <f t="shared" si="0"/>
        <v>570</v>
      </c>
      <c r="F34" s="9"/>
    </row>
    <row r="35" spans="1:6">
      <c r="A35" s="33" t="s">
        <v>884</v>
      </c>
      <c r="B35" s="33" t="s">
        <v>779</v>
      </c>
      <c r="C35" s="33"/>
      <c r="D35" s="33">
        <v>110</v>
      </c>
      <c r="E35" s="33">
        <f t="shared" si="0"/>
        <v>460</v>
      </c>
      <c r="F35" s="671" t="s">
        <v>46</v>
      </c>
    </row>
    <row r="36" spans="1:6">
      <c r="A36" s="33" t="s">
        <v>886</v>
      </c>
      <c r="B36" s="33" t="s">
        <v>779</v>
      </c>
      <c r="C36" s="33"/>
      <c r="D36" s="33">
        <v>250</v>
      </c>
      <c r="E36" s="33">
        <f t="shared" si="0"/>
        <v>210</v>
      </c>
      <c r="F36" s="9"/>
    </row>
    <row r="37" spans="1:6">
      <c r="A37" s="33" t="s">
        <v>893</v>
      </c>
      <c r="B37" s="33" t="s">
        <v>779</v>
      </c>
      <c r="C37" s="33"/>
      <c r="D37" s="33">
        <v>43</v>
      </c>
      <c r="E37" s="33">
        <f t="shared" si="0"/>
        <v>167</v>
      </c>
      <c r="F37" s="677" t="s">
        <v>46</v>
      </c>
    </row>
    <row r="38" spans="1:6">
      <c r="A38" s="33"/>
      <c r="B38" s="33"/>
      <c r="C38" s="33"/>
      <c r="D38" s="33"/>
      <c r="E38" s="33"/>
      <c r="F38" s="9"/>
    </row>
    <row r="39" spans="1:6">
      <c r="A39" s="33"/>
      <c r="B39" s="33"/>
      <c r="C39" s="33"/>
      <c r="D39" s="33"/>
      <c r="E39" s="33"/>
      <c r="F39" s="9"/>
    </row>
    <row r="40" spans="1:6">
      <c r="A40" s="33"/>
      <c r="B40" s="33"/>
      <c r="C40" s="33"/>
      <c r="D40" s="33"/>
      <c r="E40" s="33"/>
      <c r="F40" s="9"/>
    </row>
    <row r="41" spans="1:6">
      <c r="A41" s="33"/>
      <c r="B41" s="33"/>
      <c r="C41" s="33"/>
      <c r="D41" s="33"/>
      <c r="E41" s="33"/>
      <c r="F41" s="9"/>
    </row>
    <row r="42" spans="1:6">
      <c r="A42" s="33"/>
      <c r="B42" s="33"/>
      <c r="C42" s="33"/>
      <c r="D42" s="33"/>
      <c r="E42" s="33"/>
      <c r="F42" s="9"/>
    </row>
    <row r="43" spans="1:6">
      <c r="A43" s="33"/>
      <c r="B43" s="33"/>
      <c r="C43" s="33"/>
      <c r="D43" s="33"/>
      <c r="E43" s="33"/>
      <c r="F43" s="9"/>
    </row>
    <row r="44" spans="1:6">
      <c r="A44" s="33"/>
      <c r="B44" s="33"/>
      <c r="C44" s="33"/>
      <c r="D44" s="33"/>
      <c r="E44" s="33"/>
      <c r="F44" s="9"/>
    </row>
    <row r="45" spans="1:6">
      <c r="A45" s="33"/>
      <c r="B45" s="33"/>
      <c r="C45" s="33"/>
      <c r="D45" s="33"/>
      <c r="E45" s="33"/>
      <c r="F45" s="9"/>
    </row>
    <row r="46" spans="1:6">
      <c r="A46" s="33"/>
      <c r="B46" s="33"/>
      <c r="C46" s="33"/>
      <c r="D46" s="33"/>
      <c r="E46" s="33"/>
      <c r="F46" s="9"/>
    </row>
    <row r="47" spans="1:6">
      <c r="A47" s="33"/>
      <c r="B47" s="33"/>
      <c r="C47" s="33"/>
      <c r="D47" s="33"/>
      <c r="E47" s="33"/>
      <c r="F47" s="9"/>
    </row>
  </sheetData>
  <pageMargins left="0.69930555555555596" right="0.69930555555555596" top="0.5" bottom="0.75" header="0.3" footer="0.3"/>
  <pageSetup paperSize="9" scale="90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0"/>
  <sheetViews>
    <sheetView workbookViewId="0">
      <selection activeCell="F14" sqref="F14"/>
    </sheetView>
  </sheetViews>
  <sheetFormatPr baseColWidth="10" defaultColWidth="9" defaultRowHeight="15" x14ac:dyDescent="0"/>
  <cols>
    <col min="1" max="1" width="13" style="31" customWidth="1"/>
    <col min="2" max="2" width="31.33203125" style="31" customWidth="1"/>
    <col min="3" max="5" width="9.33203125" style="31" customWidth="1"/>
    <col min="6" max="6" width="15.83203125" style="153" customWidth="1"/>
  </cols>
  <sheetData>
    <row r="2" spans="1:6">
      <c r="A2" s="31" t="s">
        <v>235</v>
      </c>
    </row>
    <row r="4" spans="1:6" ht="14">
      <c r="A4" s="262" t="s">
        <v>1</v>
      </c>
      <c r="B4" s="262" t="s">
        <v>429</v>
      </c>
      <c r="C4" s="262" t="s">
        <v>3</v>
      </c>
      <c r="D4" s="262" t="s">
        <v>4</v>
      </c>
      <c r="E4" s="262" t="s">
        <v>5</v>
      </c>
      <c r="F4" s="25" t="s">
        <v>6</v>
      </c>
    </row>
    <row r="5" spans="1:6">
      <c r="A5" s="33"/>
      <c r="B5" s="33" t="s">
        <v>418</v>
      </c>
      <c r="C5" s="33"/>
      <c r="D5" s="33"/>
      <c r="E5" s="33">
        <v>3188</v>
      </c>
      <c r="F5" s="35"/>
    </row>
    <row r="6" spans="1:6">
      <c r="A6" s="369" t="s">
        <v>569</v>
      </c>
      <c r="B6" s="369" t="s">
        <v>434</v>
      </c>
      <c r="C6" s="33">
        <v>2</v>
      </c>
      <c r="D6" s="33"/>
      <c r="E6" s="33">
        <f>E5+C6-D6</f>
        <v>3190</v>
      </c>
      <c r="F6" s="35" t="s">
        <v>46</v>
      </c>
    </row>
    <row r="7" spans="1:6">
      <c r="A7" s="33" t="s">
        <v>656</v>
      </c>
      <c r="B7" s="33" t="s">
        <v>17</v>
      </c>
      <c r="C7" s="33"/>
      <c r="D7" s="33">
        <v>1000</v>
      </c>
      <c r="E7" s="33">
        <f>E6+C7-D7</f>
        <v>2190</v>
      </c>
      <c r="F7" s="35"/>
    </row>
    <row r="8" spans="1:6">
      <c r="A8" s="33" t="s">
        <v>811</v>
      </c>
      <c r="B8" s="33" t="s">
        <v>17</v>
      </c>
      <c r="C8" s="33"/>
      <c r="D8" s="33">
        <v>200</v>
      </c>
      <c r="E8" s="33">
        <f t="shared" ref="E8:E13" si="0">E7+C8-D8</f>
        <v>1990</v>
      </c>
      <c r="F8" s="35"/>
    </row>
    <row r="9" spans="1:6">
      <c r="A9" s="582" t="s">
        <v>808</v>
      </c>
      <c r="B9" s="33" t="s">
        <v>779</v>
      </c>
      <c r="C9" s="33"/>
      <c r="D9" s="33">
        <v>300</v>
      </c>
      <c r="E9" s="33">
        <f t="shared" si="0"/>
        <v>1690</v>
      </c>
      <c r="F9" s="35"/>
    </row>
    <row r="10" spans="1:6">
      <c r="A10" s="33" t="s">
        <v>815</v>
      </c>
      <c r="B10" s="33" t="s">
        <v>779</v>
      </c>
      <c r="C10" s="33"/>
      <c r="D10" s="33">
        <v>517</v>
      </c>
      <c r="E10" s="33">
        <f t="shared" si="0"/>
        <v>1173</v>
      </c>
      <c r="F10" s="35" t="s">
        <v>46</v>
      </c>
    </row>
    <row r="11" spans="1:6">
      <c r="A11" s="33" t="s">
        <v>826</v>
      </c>
      <c r="B11" s="33" t="s">
        <v>817</v>
      </c>
      <c r="C11" s="33"/>
      <c r="D11" s="33">
        <v>400</v>
      </c>
      <c r="E11" s="33">
        <f t="shared" si="0"/>
        <v>773</v>
      </c>
      <c r="F11" s="35" t="s">
        <v>46</v>
      </c>
    </row>
    <row r="12" spans="1:6">
      <c r="A12" s="33" t="s">
        <v>834</v>
      </c>
      <c r="B12" s="33" t="s">
        <v>817</v>
      </c>
      <c r="C12" s="33"/>
      <c r="D12" s="33">
        <v>100</v>
      </c>
      <c r="E12" s="33">
        <f t="shared" si="0"/>
        <v>673</v>
      </c>
      <c r="F12" s="35" t="s">
        <v>46</v>
      </c>
    </row>
    <row r="13" spans="1:6">
      <c r="A13" s="49">
        <v>43105</v>
      </c>
      <c r="B13" s="35" t="s">
        <v>779</v>
      </c>
      <c r="C13" s="33"/>
      <c r="D13" s="33">
        <v>244</v>
      </c>
      <c r="E13" s="33">
        <f t="shared" si="0"/>
        <v>429</v>
      </c>
      <c r="F13" s="35" t="s">
        <v>46</v>
      </c>
    </row>
    <row r="14" spans="1:6">
      <c r="A14" s="33"/>
      <c r="B14" s="33"/>
      <c r="C14" s="33"/>
      <c r="D14" s="33"/>
      <c r="E14" s="33"/>
      <c r="F14" s="35"/>
    </row>
    <row r="15" spans="1:6">
      <c r="A15" s="33"/>
      <c r="B15" s="33"/>
      <c r="C15" s="33"/>
      <c r="D15" s="33"/>
      <c r="E15" s="33"/>
      <c r="F15" s="35"/>
    </row>
    <row r="16" spans="1:6">
      <c r="A16" s="33"/>
      <c r="B16" s="33"/>
      <c r="C16" s="33"/>
      <c r="D16" s="33"/>
      <c r="E16" s="33"/>
      <c r="F16" s="35"/>
    </row>
    <row r="17" spans="1:6">
      <c r="A17" s="33"/>
      <c r="B17" s="33"/>
      <c r="C17" s="33"/>
      <c r="D17" s="33"/>
      <c r="E17" s="33"/>
      <c r="F17" s="35"/>
    </row>
    <row r="18" spans="1:6">
      <c r="A18" s="33"/>
      <c r="B18" s="33"/>
      <c r="C18" s="33"/>
      <c r="D18" s="33"/>
      <c r="E18" s="33"/>
      <c r="F18" s="35"/>
    </row>
    <row r="19" spans="1:6">
      <c r="A19" s="33"/>
      <c r="B19" s="33"/>
      <c r="C19" s="33"/>
      <c r="D19" s="33"/>
      <c r="E19" s="33"/>
      <c r="F19" s="35"/>
    </row>
    <row r="20" spans="1:6">
      <c r="A20" s="33"/>
      <c r="B20" s="33"/>
      <c r="C20" s="33"/>
      <c r="D20" s="33"/>
      <c r="E20" s="33"/>
      <c r="F20" s="35"/>
    </row>
  </sheetData>
  <pageMargins left="0.69930555555555596" right="0.69930555555555596" top="0.25" bottom="0.75" header="0.3" footer="0.3"/>
  <pageSetup paperSize="9" scale="90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2"/>
  <sheetViews>
    <sheetView workbookViewId="0">
      <selection activeCell="F19" sqref="F19"/>
    </sheetView>
  </sheetViews>
  <sheetFormatPr baseColWidth="10" defaultColWidth="9" defaultRowHeight="15" x14ac:dyDescent="0"/>
  <cols>
    <col min="1" max="1" width="13" style="31" customWidth="1"/>
    <col min="2" max="2" width="30.83203125" style="31" customWidth="1"/>
    <col min="3" max="5" width="9.33203125" style="31" customWidth="1"/>
    <col min="6" max="6" width="13.5" style="116" customWidth="1"/>
  </cols>
  <sheetData>
    <row r="2" spans="1:6">
      <c r="A2" s="31" t="s">
        <v>236</v>
      </c>
    </row>
    <row r="4" spans="1:6" ht="14">
      <c r="A4" s="262" t="s">
        <v>1</v>
      </c>
      <c r="B4" s="262" t="s">
        <v>429</v>
      </c>
      <c r="C4" s="262" t="s">
        <v>3</v>
      </c>
      <c r="D4" s="262" t="s">
        <v>4</v>
      </c>
      <c r="E4" s="262" t="s">
        <v>5</v>
      </c>
      <c r="F4" s="25" t="s">
        <v>6</v>
      </c>
    </row>
    <row r="5" spans="1:6">
      <c r="A5" s="33"/>
      <c r="B5" s="33" t="s">
        <v>418</v>
      </c>
      <c r="C5" s="33"/>
      <c r="D5" s="33"/>
      <c r="E5" s="33">
        <v>287</v>
      </c>
      <c r="F5" s="95"/>
    </row>
    <row r="6" spans="1:6">
      <c r="A6" s="57">
        <v>43345</v>
      </c>
      <c r="B6" s="416" t="s">
        <v>17</v>
      </c>
      <c r="C6" s="33"/>
      <c r="D6" s="33">
        <v>75</v>
      </c>
      <c r="E6" s="33">
        <f>E5+C6-D6</f>
        <v>212</v>
      </c>
      <c r="F6" s="95"/>
    </row>
    <row r="7" spans="1:6">
      <c r="A7" s="37">
        <v>43375</v>
      </c>
      <c r="B7" s="33" t="s">
        <v>589</v>
      </c>
      <c r="C7" s="33"/>
      <c r="D7" s="33">
        <v>46</v>
      </c>
      <c r="E7" s="33">
        <f>E6+C7-D7</f>
        <v>166</v>
      </c>
      <c r="F7" s="95"/>
    </row>
    <row r="8" spans="1:6">
      <c r="A8" s="33" t="s">
        <v>651</v>
      </c>
      <c r="B8" s="416" t="s">
        <v>17</v>
      </c>
      <c r="C8" s="33"/>
      <c r="D8" s="33">
        <v>55</v>
      </c>
      <c r="E8" s="33">
        <f t="shared" ref="E8:E19" si="0">E7+C8-D8</f>
        <v>111</v>
      </c>
      <c r="F8" s="95"/>
    </row>
    <row r="9" spans="1:6">
      <c r="A9" s="128" t="s">
        <v>656</v>
      </c>
      <c r="B9" s="128" t="s">
        <v>406</v>
      </c>
      <c r="C9" s="33"/>
      <c r="D9" s="33">
        <v>25</v>
      </c>
      <c r="E9" s="33">
        <f t="shared" si="0"/>
        <v>86</v>
      </c>
      <c r="F9" s="95"/>
    </row>
    <row r="10" spans="1:6">
      <c r="A10" s="33" t="s">
        <v>677</v>
      </c>
      <c r="B10" s="33" t="s">
        <v>679</v>
      </c>
      <c r="C10" s="33">
        <v>34</v>
      </c>
      <c r="D10" s="33"/>
      <c r="E10" s="33">
        <f t="shared" si="0"/>
        <v>120</v>
      </c>
      <c r="F10" s="95"/>
    </row>
    <row r="11" spans="1:6">
      <c r="A11" s="33" t="s">
        <v>694</v>
      </c>
      <c r="B11" s="33" t="s">
        <v>17</v>
      </c>
      <c r="C11" s="33"/>
      <c r="D11" s="33">
        <v>40</v>
      </c>
      <c r="E11" s="33">
        <f t="shared" si="0"/>
        <v>80</v>
      </c>
      <c r="F11" s="95"/>
    </row>
    <row r="12" spans="1:6">
      <c r="A12" s="37">
        <v>43134</v>
      </c>
      <c r="B12" s="33" t="s">
        <v>17</v>
      </c>
      <c r="C12" s="33"/>
      <c r="D12" s="33">
        <v>7</v>
      </c>
      <c r="E12" s="33">
        <f t="shared" si="0"/>
        <v>73</v>
      </c>
      <c r="F12" s="95"/>
    </row>
    <row r="13" spans="1:6">
      <c r="A13" s="21">
        <v>43223</v>
      </c>
      <c r="B13" s="33" t="s">
        <v>17</v>
      </c>
      <c r="C13" s="33"/>
      <c r="D13" s="33">
        <v>10</v>
      </c>
      <c r="E13" s="39">
        <f t="shared" si="0"/>
        <v>63</v>
      </c>
      <c r="F13" s="95"/>
    </row>
    <row r="14" spans="1:6">
      <c r="A14" s="37">
        <v>43284</v>
      </c>
      <c r="B14" s="33" t="s">
        <v>679</v>
      </c>
      <c r="C14" s="33">
        <v>30</v>
      </c>
      <c r="D14" s="33"/>
      <c r="E14" s="39">
        <f t="shared" si="0"/>
        <v>93</v>
      </c>
      <c r="F14" s="95"/>
    </row>
    <row r="15" spans="1:6">
      <c r="A15" s="512" t="s">
        <v>738</v>
      </c>
      <c r="B15" s="33" t="s">
        <v>679</v>
      </c>
      <c r="C15" s="33">
        <v>26</v>
      </c>
      <c r="D15" s="33"/>
      <c r="E15" s="39">
        <f t="shared" si="0"/>
        <v>119</v>
      </c>
      <c r="F15" s="95"/>
    </row>
    <row r="16" spans="1:6">
      <c r="A16" s="33" t="s">
        <v>761</v>
      </c>
      <c r="B16" s="33" t="s">
        <v>679</v>
      </c>
      <c r="C16" s="33">
        <v>11</v>
      </c>
      <c r="D16" s="33"/>
      <c r="E16" s="39">
        <f t="shared" si="0"/>
        <v>130</v>
      </c>
      <c r="F16" s="95"/>
    </row>
    <row r="17" spans="1:6">
      <c r="A17" s="37">
        <v>43285</v>
      </c>
      <c r="B17" s="33" t="s">
        <v>17</v>
      </c>
      <c r="C17" s="33"/>
      <c r="D17" s="33">
        <v>100</v>
      </c>
      <c r="E17" s="39">
        <f t="shared" si="0"/>
        <v>30</v>
      </c>
      <c r="F17" s="95" t="s">
        <v>46</v>
      </c>
    </row>
    <row r="18" spans="1:6">
      <c r="A18" s="33" t="s">
        <v>839</v>
      </c>
      <c r="B18" s="33" t="s">
        <v>679</v>
      </c>
      <c r="C18" s="33">
        <v>3</v>
      </c>
      <c r="D18" s="33"/>
      <c r="E18" s="39">
        <f t="shared" si="0"/>
        <v>33</v>
      </c>
      <c r="F18" s="95" t="s">
        <v>46</v>
      </c>
    </row>
    <row r="19" spans="1:6">
      <c r="A19" s="33" t="s">
        <v>915</v>
      </c>
      <c r="B19" s="33" t="s">
        <v>679</v>
      </c>
      <c r="C19" s="33">
        <v>23</v>
      </c>
      <c r="D19" s="33"/>
      <c r="E19" s="39">
        <f t="shared" si="0"/>
        <v>56</v>
      </c>
      <c r="F19" s="95" t="s">
        <v>46</v>
      </c>
    </row>
    <row r="20" spans="1:6">
      <c r="A20" s="33"/>
      <c r="B20" s="33"/>
      <c r="C20" s="33"/>
      <c r="D20" s="33"/>
      <c r="E20" s="33"/>
      <c r="F20" s="95"/>
    </row>
    <row r="21" spans="1:6">
      <c r="A21" s="33"/>
      <c r="B21" s="33"/>
      <c r="C21" s="33"/>
      <c r="D21" s="33"/>
      <c r="E21" s="33"/>
      <c r="F21" s="95"/>
    </row>
    <row r="22" spans="1:6">
      <c r="A22" s="33"/>
      <c r="B22" s="33"/>
      <c r="C22" s="33"/>
      <c r="D22" s="33"/>
      <c r="E22" s="33"/>
      <c r="F22" s="95"/>
    </row>
    <row r="23" spans="1:6">
      <c r="A23" s="33"/>
      <c r="B23" s="33"/>
      <c r="C23" s="33"/>
      <c r="D23" s="33"/>
      <c r="E23" s="33"/>
      <c r="F23" s="95"/>
    </row>
    <row r="24" spans="1:6">
      <c r="A24" s="33"/>
      <c r="B24" s="33"/>
      <c r="C24" s="33"/>
      <c r="D24" s="33"/>
      <c r="E24" s="33"/>
      <c r="F24" s="95"/>
    </row>
    <row r="25" spans="1:6">
      <c r="A25" s="33"/>
      <c r="B25" s="33"/>
      <c r="C25" s="33"/>
      <c r="D25" s="33"/>
      <c r="E25" s="33"/>
      <c r="F25" s="95"/>
    </row>
    <row r="26" spans="1:6">
      <c r="A26" s="33"/>
      <c r="B26" s="33"/>
      <c r="C26" s="33"/>
      <c r="D26" s="33"/>
      <c r="E26" s="33"/>
      <c r="F26" s="95"/>
    </row>
    <row r="27" spans="1:6">
      <c r="A27" s="33"/>
      <c r="B27" s="33"/>
      <c r="C27" s="33"/>
      <c r="D27" s="33"/>
      <c r="E27" s="33"/>
      <c r="F27" s="95"/>
    </row>
    <row r="28" spans="1:6">
      <c r="A28" s="33"/>
      <c r="B28" s="33"/>
      <c r="C28" s="33"/>
      <c r="D28" s="33"/>
      <c r="E28" s="33"/>
      <c r="F28" s="95"/>
    </row>
    <row r="29" spans="1:6">
      <c r="A29" s="33"/>
      <c r="B29" s="33"/>
      <c r="C29" s="33"/>
      <c r="D29" s="33"/>
      <c r="E29" s="33"/>
      <c r="F29" s="95"/>
    </row>
    <row r="30" spans="1:6">
      <c r="A30" s="33"/>
      <c r="B30" s="33"/>
      <c r="C30" s="33"/>
      <c r="D30" s="33"/>
      <c r="E30" s="33"/>
      <c r="F30" s="95"/>
    </row>
    <row r="31" spans="1:6">
      <c r="A31" s="33"/>
      <c r="B31" s="33"/>
      <c r="C31" s="33"/>
      <c r="D31" s="33"/>
      <c r="E31" s="33"/>
      <c r="F31" s="95"/>
    </row>
    <row r="32" spans="1:6">
      <c r="A32" s="33"/>
      <c r="B32" s="33"/>
      <c r="C32" s="33"/>
      <c r="D32" s="33"/>
      <c r="E32" s="33"/>
      <c r="F32" s="95"/>
    </row>
  </sheetData>
  <pageMargins left="0.69930555555555596" right="0.69930555555555596" top="0.25" bottom="0.75" header="0.3" footer="0.3"/>
  <pageSetup paperSize="9" scale="90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topLeftCell="A8" workbookViewId="0">
      <selection activeCell="G29" sqref="G29"/>
    </sheetView>
  </sheetViews>
  <sheetFormatPr baseColWidth="10" defaultColWidth="9" defaultRowHeight="15" x14ac:dyDescent="0"/>
  <cols>
    <col min="1" max="1" width="13" style="31" customWidth="1"/>
    <col min="2" max="2" width="29.83203125" style="31" customWidth="1"/>
    <col min="3" max="5" width="9.33203125" style="31" customWidth="1"/>
    <col min="6" max="6" width="12.5" style="116" customWidth="1"/>
  </cols>
  <sheetData>
    <row r="1" spans="1:8">
      <c r="H1" s="116"/>
    </row>
    <row r="2" spans="1:8">
      <c r="A2" s="31" t="s">
        <v>237</v>
      </c>
      <c r="H2" s="116"/>
    </row>
    <row r="3" spans="1:8">
      <c r="H3" s="116"/>
    </row>
    <row r="4" spans="1:8">
      <c r="A4" s="262" t="s">
        <v>1</v>
      </c>
      <c r="B4" s="262" t="s">
        <v>429</v>
      </c>
      <c r="C4" s="262" t="s">
        <v>3</v>
      </c>
      <c r="D4" s="262" t="s">
        <v>4</v>
      </c>
      <c r="E4" s="262" t="s">
        <v>5</v>
      </c>
      <c r="F4" s="25" t="s">
        <v>6</v>
      </c>
      <c r="H4" s="116"/>
    </row>
    <row r="5" spans="1:8" s="116" customFormat="1">
      <c r="A5" s="33"/>
      <c r="B5" s="33" t="s">
        <v>418</v>
      </c>
      <c r="C5" s="33"/>
      <c r="D5" s="33"/>
      <c r="E5" s="33">
        <v>2296</v>
      </c>
      <c r="F5" s="95"/>
    </row>
    <row r="6" spans="1:8" s="116" customFormat="1">
      <c r="A6" s="95" t="s">
        <v>509</v>
      </c>
      <c r="B6" s="95" t="s">
        <v>512</v>
      </c>
      <c r="C6" s="95">
        <v>153</v>
      </c>
      <c r="D6" s="33"/>
      <c r="E6" s="33">
        <f>E5+C6-D6</f>
        <v>2449</v>
      </c>
      <c r="F6" s="95"/>
    </row>
    <row r="7" spans="1:8">
      <c r="A7" s="33" t="s">
        <v>569</v>
      </c>
      <c r="B7" s="33" t="s">
        <v>512</v>
      </c>
      <c r="C7" s="33">
        <v>55</v>
      </c>
      <c r="D7" s="33"/>
      <c r="E7" s="33">
        <f t="shared" ref="E7:E25" si="0">E6+C7-D7</f>
        <v>2504</v>
      </c>
      <c r="F7" s="95"/>
    </row>
    <row r="8" spans="1:8">
      <c r="A8" s="33" t="s">
        <v>677</v>
      </c>
      <c r="B8" s="33" t="s">
        <v>679</v>
      </c>
      <c r="C8" s="33">
        <v>28</v>
      </c>
      <c r="D8" s="33"/>
      <c r="E8" s="33">
        <f t="shared" si="0"/>
        <v>2532</v>
      </c>
      <c r="F8" s="95"/>
    </row>
    <row r="9" spans="1:8">
      <c r="A9" s="37">
        <v>43284</v>
      </c>
      <c r="B9" s="33" t="s">
        <v>679</v>
      </c>
      <c r="C9" s="33">
        <v>93</v>
      </c>
      <c r="D9" s="33"/>
      <c r="E9" s="33">
        <f t="shared" si="0"/>
        <v>2625</v>
      </c>
      <c r="F9" s="95"/>
    </row>
    <row r="10" spans="1:8">
      <c r="A10" s="512" t="s">
        <v>738</v>
      </c>
      <c r="B10" s="33" t="s">
        <v>679</v>
      </c>
      <c r="C10" s="33">
        <v>63</v>
      </c>
      <c r="D10" s="33"/>
      <c r="E10" s="33">
        <f t="shared" si="0"/>
        <v>2688</v>
      </c>
      <c r="F10" s="95"/>
    </row>
    <row r="11" spans="1:8">
      <c r="A11" s="33" t="s">
        <v>761</v>
      </c>
      <c r="B11" s="33" t="s">
        <v>679</v>
      </c>
      <c r="C11" s="33">
        <v>86</v>
      </c>
      <c r="D11" s="33"/>
      <c r="E11" s="33">
        <f t="shared" si="0"/>
        <v>2774</v>
      </c>
      <c r="F11" s="95"/>
    </row>
    <row r="12" spans="1:8">
      <c r="A12" s="37">
        <v>43316</v>
      </c>
      <c r="B12" s="33" t="s">
        <v>817</v>
      </c>
      <c r="C12" s="33"/>
      <c r="D12" s="33">
        <v>250</v>
      </c>
      <c r="E12" s="33">
        <f t="shared" si="0"/>
        <v>2524</v>
      </c>
      <c r="F12" s="95"/>
    </row>
    <row r="13" spans="1:8">
      <c r="A13" s="37">
        <v>43347</v>
      </c>
      <c r="B13" s="33" t="s">
        <v>817</v>
      </c>
      <c r="C13" s="33"/>
      <c r="D13" s="33">
        <v>100</v>
      </c>
      <c r="E13" s="33">
        <f t="shared" si="0"/>
        <v>2424</v>
      </c>
      <c r="F13" s="95"/>
    </row>
    <row r="14" spans="1:8">
      <c r="A14" s="37">
        <v>43377</v>
      </c>
      <c r="B14" s="33" t="s">
        <v>817</v>
      </c>
      <c r="C14" s="33"/>
      <c r="D14" s="33">
        <v>220</v>
      </c>
      <c r="E14" s="33">
        <f t="shared" si="0"/>
        <v>2204</v>
      </c>
      <c r="F14" s="95"/>
    </row>
    <row r="15" spans="1:8">
      <c r="A15" s="37">
        <v>43408</v>
      </c>
      <c r="B15" s="33" t="s">
        <v>817</v>
      </c>
      <c r="C15" s="33"/>
      <c r="D15" s="33">
        <v>220</v>
      </c>
      <c r="E15" s="33">
        <f t="shared" si="0"/>
        <v>1984</v>
      </c>
      <c r="F15" s="95"/>
    </row>
    <row r="16" spans="1:8">
      <c r="A16" s="37">
        <v>43438</v>
      </c>
      <c r="B16" s="33" t="s">
        <v>817</v>
      </c>
      <c r="C16" s="33"/>
      <c r="D16" s="33">
        <v>200</v>
      </c>
      <c r="E16" s="33">
        <f t="shared" si="0"/>
        <v>1784</v>
      </c>
      <c r="F16" s="95"/>
    </row>
    <row r="17" spans="1:6">
      <c r="A17" s="576" t="s">
        <v>808</v>
      </c>
      <c r="B17" s="576" t="s">
        <v>809</v>
      </c>
      <c r="C17" s="33"/>
      <c r="D17" s="33">
        <v>250</v>
      </c>
      <c r="E17" s="33">
        <f t="shared" si="0"/>
        <v>1534</v>
      </c>
      <c r="F17" s="95"/>
    </row>
    <row r="18" spans="1:6">
      <c r="A18" s="33" t="s">
        <v>826</v>
      </c>
      <c r="B18" s="576" t="s">
        <v>809</v>
      </c>
      <c r="C18" s="33"/>
      <c r="D18" s="33">
        <v>500</v>
      </c>
      <c r="E18" s="33">
        <f t="shared" si="0"/>
        <v>1034</v>
      </c>
      <c r="F18" s="95"/>
    </row>
    <row r="19" spans="1:6">
      <c r="A19" s="33" t="s">
        <v>839</v>
      </c>
      <c r="B19" s="33" t="s">
        <v>679</v>
      </c>
      <c r="C19" s="33">
        <v>37</v>
      </c>
      <c r="D19" s="33"/>
      <c r="E19" s="33">
        <f t="shared" si="0"/>
        <v>1071</v>
      </c>
      <c r="F19" s="95"/>
    </row>
    <row r="20" spans="1:6">
      <c r="A20" s="33" t="s">
        <v>839</v>
      </c>
      <c r="B20" s="33" t="s">
        <v>817</v>
      </c>
      <c r="C20" s="33"/>
      <c r="D20" s="33">
        <v>800</v>
      </c>
      <c r="E20" s="33">
        <f t="shared" si="0"/>
        <v>271</v>
      </c>
      <c r="F20" s="95"/>
    </row>
    <row r="21" spans="1:6">
      <c r="A21" s="37">
        <v>43164</v>
      </c>
      <c r="B21" s="33" t="s">
        <v>817</v>
      </c>
      <c r="C21" s="33"/>
      <c r="D21" s="33">
        <v>90</v>
      </c>
      <c r="E21" s="33">
        <f t="shared" si="0"/>
        <v>181</v>
      </c>
      <c r="F21" s="95"/>
    </row>
    <row r="22" spans="1:6">
      <c r="A22" s="33" t="s">
        <v>878</v>
      </c>
      <c r="B22" s="33" t="s">
        <v>679</v>
      </c>
      <c r="C22" s="33">
        <v>125</v>
      </c>
      <c r="D22" s="33"/>
      <c r="E22" s="33">
        <f t="shared" si="0"/>
        <v>306</v>
      </c>
      <c r="F22" s="95"/>
    </row>
    <row r="23" spans="1:6">
      <c r="A23" s="33" t="s">
        <v>884</v>
      </c>
      <c r="B23" s="33" t="s">
        <v>779</v>
      </c>
      <c r="C23" s="33"/>
      <c r="D23" s="33">
        <v>125</v>
      </c>
      <c r="E23" s="33">
        <f t="shared" si="0"/>
        <v>181</v>
      </c>
      <c r="F23" s="95"/>
    </row>
    <row r="24" spans="1:6">
      <c r="A24" s="33" t="s">
        <v>893</v>
      </c>
      <c r="B24" s="33" t="s">
        <v>779</v>
      </c>
      <c r="C24" s="33"/>
      <c r="D24" s="33">
        <v>37</v>
      </c>
      <c r="E24" s="33">
        <f t="shared" si="0"/>
        <v>144</v>
      </c>
      <c r="F24" s="95"/>
    </row>
    <row r="25" spans="1:6">
      <c r="A25" s="33" t="s">
        <v>915</v>
      </c>
      <c r="B25" s="33" t="s">
        <v>679</v>
      </c>
      <c r="C25" s="33">
        <v>98</v>
      </c>
      <c r="D25" s="33"/>
      <c r="E25" s="33">
        <f t="shared" si="0"/>
        <v>242</v>
      </c>
      <c r="F25" s="95" t="s">
        <v>46</v>
      </c>
    </row>
    <row r="26" spans="1:6">
      <c r="A26" s="33"/>
      <c r="B26" s="33"/>
      <c r="C26" s="33"/>
      <c r="D26" s="33"/>
      <c r="E26" s="33"/>
      <c r="F26" s="95"/>
    </row>
    <row r="27" spans="1:6">
      <c r="A27" s="33"/>
      <c r="B27" s="33"/>
      <c r="C27" s="33"/>
      <c r="D27" s="33"/>
      <c r="E27" s="33"/>
      <c r="F27" s="95"/>
    </row>
    <row r="28" spans="1:6">
      <c r="A28" s="33"/>
      <c r="B28" s="33"/>
      <c r="C28" s="33"/>
      <c r="D28" s="33"/>
      <c r="E28" s="33"/>
      <c r="F28" s="95"/>
    </row>
    <row r="29" spans="1:6">
      <c r="A29" s="33"/>
      <c r="B29" s="33"/>
      <c r="C29" s="33"/>
      <c r="D29" s="33"/>
      <c r="E29" s="33"/>
      <c r="F29" s="95"/>
    </row>
    <row r="30" spans="1:6">
      <c r="A30" s="33"/>
      <c r="B30" s="33"/>
      <c r="C30" s="33"/>
      <c r="D30" s="33"/>
      <c r="E30" s="33"/>
      <c r="F30" s="95"/>
    </row>
    <row r="31" spans="1:6">
      <c r="A31" s="33"/>
      <c r="B31" s="33"/>
      <c r="C31" s="33"/>
      <c r="D31" s="33"/>
      <c r="E31" s="33"/>
      <c r="F31" s="95"/>
    </row>
    <row r="32" spans="1:6">
      <c r="A32" s="33"/>
      <c r="B32" s="33"/>
      <c r="C32" s="33"/>
      <c r="D32" s="33"/>
      <c r="E32" s="33"/>
      <c r="F32" s="95"/>
    </row>
    <row r="33" spans="1:6">
      <c r="A33" s="33"/>
      <c r="B33" s="33"/>
      <c r="C33" s="33"/>
      <c r="D33" s="33"/>
      <c r="E33" s="33"/>
      <c r="F33" s="95"/>
    </row>
    <row r="34" spans="1:6">
      <c r="A34" s="33"/>
      <c r="B34" s="33"/>
      <c r="C34" s="33"/>
      <c r="D34" s="33"/>
      <c r="E34" s="33"/>
      <c r="F34" s="95"/>
    </row>
    <row r="35" spans="1:6">
      <c r="A35" s="33"/>
      <c r="B35" s="33"/>
      <c r="C35" s="33"/>
      <c r="D35" s="33"/>
      <c r="E35" s="33"/>
      <c r="F35" s="95"/>
    </row>
    <row r="36" spans="1:6">
      <c r="A36" s="33"/>
      <c r="B36" s="33"/>
      <c r="C36" s="33"/>
      <c r="D36" s="33"/>
      <c r="E36" s="33"/>
      <c r="F36" s="95"/>
    </row>
    <row r="37" spans="1:6">
      <c r="A37" s="33"/>
      <c r="B37" s="33"/>
      <c r="C37" s="33"/>
      <c r="D37" s="33"/>
      <c r="E37" s="33"/>
      <c r="F37" s="95"/>
    </row>
    <row r="38" spans="1:6">
      <c r="A38" s="33"/>
      <c r="B38" s="33"/>
      <c r="C38" s="33"/>
      <c r="D38" s="33"/>
      <c r="E38" s="33"/>
      <c r="F38" s="95"/>
    </row>
    <row r="39" spans="1:6">
      <c r="A39" s="33"/>
      <c r="B39" s="33"/>
      <c r="C39" s="33"/>
      <c r="D39" s="33"/>
      <c r="E39" s="33"/>
      <c r="F39" s="95"/>
    </row>
    <row r="40" spans="1:6">
      <c r="A40" s="33"/>
      <c r="B40" s="33"/>
      <c r="C40" s="33"/>
      <c r="D40" s="33"/>
      <c r="E40" s="33"/>
      <c r="F40" s="95"/>
    </row>
    <row r="41" spans="1:6">
      <c r="A41" s="33"/>
      <c r="B41" s="33"/>
      <c r="C41" s="33"/>
      <c r="D41" s="33"/>
      <c r="E41" s="33"/>
      <c r="F41" s="95"/>
    </row>
  </sheetData>
  <pageMargins left="0.69930555555555596" right="0.69930555555555596" top="0.25" bottom="0.75" header="0.3" footer="0.3"/>
  <pageSetup paperSize="9" scale="90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4"/>
  <sheetViews>
    <sheetView workbookViewId="0">
      <selection activeCell="D12" sqref="D12"/>
    </sheetView>
  </sheetViews>
  <sheetFormatPr baseColWidth="10" defaultColWidth="9" defaultRowHeight="14" x14ac:dyDescent="0"/>
  <cols>
    <col min="1" max="1" width="12.83203125" customWidth="1"/>
    <col min="2" max="2" width="24.33203125" customWidth="1"/>
    <col min="6" max="6" width="29.5" customWidth="1"/>
  </cols>
  <sheetData>
    <row r="2" spans="1:6" ht="15">
      <c r="A2" s="31" t="s">
        <v>239</v>
      </c>
      <c r="B2" s="31"/>
    </row>
    <row r="4" spans="1:6">
      <c r="A4" s="262" t="s">
        <v>1</v>
      </c>
      <c r="B4" s="262" t="s">
        <v>429</v>
      </c>
      <c r="C4" s="262" t="s">
        <v>3</v>
      </c>
      <c r="D4" s="262" t="s">
        <v>4</v>
      </c>
      <c r="E4" s="262" t="s">
        <v>5</v>
      </c>
      <c r="F4" s="25" t="s">
        <v>6</v>
      </c>
    </row>
    <row r="5" spans="1:6" ht="15">
      <c r="A5" s="33"/>
      <c r="B5" s="33" t="s">
        <v>418</v>
      </c>
      <c r="C5" s="33"/>
      <c r="D5" s="33"/>
      <c r="E5" s="33">
        <v>138</v>
      </c>
    </row>
    <row r="6" spans="1:6" ht="15">
      <c r="A6" s="33"/>
      <c r="B6" s="33"/>
      <c r="C6" s="33"/>
      <c r="D6" s="33"/>
      <c r="E6" s="33"/>
    </row>
    <row r="7" spans="1:6" ht="15">
      <c r="A7" s="33"/>
      <c r="B7" s="33"/>
      <c r="C7" s="33"/>
      <c r="D7" s="33"/>
      <c r="E7" s="33"/>
    </row>
    <row r="8" spans="1:6" ht="15">
      <c r="A8" s="33"/>
      <c r="B8" s="33"/>
      <c r="C8" s="33"/>
      <c r="D8" s="33"/>
      <c r="E8" s="33"/>
    </row>
    <row r="9" spans="1:6" ht="15">
      <c r="A9" s="33"/>
      <c r="B9" s="33"/>
      <c r="C9" s="33"/>
      <c r="D9" s="33"/>
      <c r="E9" s="33"/>
    </row>
    <row r="10" spans="1:6" ht="15">
      <c r="A10" s="33"/>
      <c r="B10" s="33"/>
      <c r="C10" s="33"/>
      <c r="D10" s="33"/>
      <c r="E10" s="33"/>
    </row>
    <row r="11" spans="1:6" ht="15">
      <c r="A11" s="33"/>
      <c r="B11" s="33"/>
      <c r="C11" s="33"/>
      <c r="D11" s="33"/>
      <c r="E11" s="33"/>
    </row>
    <row r="12" spans="1:6" ht="15">
      <c r="A12" s="33"/>
      <c r="B12" s="33"/>
      <c r="C12" s="33"/>
      <c r="D12" s="33"/>
      <c r="E12" s="33"/>
    </row>
    <row r="13" spans="1:6" ht="15">
      <c r="A13" s="33"/>
      <c r="B13" s="33"/>
      <c r="C13" s="33"/>
      <c r="D13" s="33"/>
      <c r="E13" s="33"/>
    </row>
    <row r="14" spans="1:6" ht="15">
      <c r="A14" s="33"/>
      <c r="B14" s="33"/>
      <c r="C14" s="33"/>
      <c r="D14" s="33"/>
      <c r="E14" s="33"/>
    </row>
    <row r="15" spans="1:6" ht="15">
      <c r="A15" s="33"/>
      <c r="B15" s="33"/>
      <c r="C15" s="33"/>
      <c r="D15" s="33"/>
      <c r="E15" s="33"/>
    </row>
    <row r="16" spans="1:6" ht="15">
      <c r="A16" s="33"/>
      <c r="B16" s="33"/>
      <c r="C16" s="33"/>
      <c r="D16" s="33"/>
      <c r="E16" s="33"/>
    </row>
    <row r="17" spans="1:5" ht="15">
      <c r="A17" s="33"/>
      <c r="B17" s="33"/>
      <c r="C17" s="33"/>
      <c r="D17" s="33"/>
      <c r="E17" s="33"/>
    </row>
    <row r="18" spans="1:5" ht="15">
      <c r="A18" s="33"/>
      <c r="B18" s="33"/>
      <c r="C18" s="33"/>
      <c r="D18" s="33"/>
      <c r="E18" s="33"/>
    </row>
    <row r="19" spans="1:5" ht="15">
      <c r="A19" s="33"/>
      <c r="B19" s="33"/>
      <c r="C19" s="33"/>
      <c r="D19" s="33"/>
      <c r="E19" s="33"/>
    </row>
    <row r="20" spans="1:5" ht="15">
      <c r="A20" s="33"/>
      <c r="B20" s="33"/>
      <c r="C20" s="33"/>
      <c r="D20" s="33"/>
      <c r="E20" s="33"/>
    </row>
    <row r="21" spans="1:5" ht="15">
      <c r="A21" s="33"/>
      <c r="B21" s="33"/>
      <c r="C21" s="33"/>
      <c r="D21" s="33"/>
      <c r="E21" s="33"/>
    </row>
    <row r="22" spans="1:5" ht="15">
      <c r="A22" s="33"/>
      <c r="B22" s="33"/>
      <c r="C22" s="33"/>
      <c r="D22" s="33"/>
      <c r="E22" s="33"/>
    </row>
    <row r="23" spans="1:5" ht="15">
      <c r="A23" s="33"/>
      <c r="B23" s="33"/>
      <c r="C23" s="33"/>
      <c r="D23" s="33"/>
      <c r="E23" s="33"/>
    </row>
    <row r="24" spans="1:5" ht="15">
      <c r="A24" s="33"/>
      <c r="B24" s="33"/>
      <c r="C24" s="33"/>
      <c r="D24" s="33"/>
      <c r="E24" s="33"/>
    </row>
    <row r="25" spans="1:5" ht="15">
      <c r="A25" s="33"/>
      <c r="B25" s="33"/>
      <c r="C25" s="33"/>
      <c r="D25" s="33"/>
      <c r="E25" s="33"/>
    </row>
    <row r="26" spans="1:5" ht="15">
      <c r="A26" s="33"/>
      <c r="B26" s="33"/>
      <c r="C26" s="33"/>
      <c r="D26" s="33"/>
      <c r="E26" s="33"/>
    </row>
    <row r="27" spans="1:5" ht="15">
      <c r="A27" s="33"/>
      <c r="B27" s="33"/>
      <c r="C27" s="33"/>
      <c r="D27" s="33"/>
      <c r="E27" s="33"/>
    </row>
    <row r="28" spans="1:5" ht="15">
      <c r="A28" s="33"/>
      <c r="B28" s="33"/>
      <c r="C28" s="33"/>
      <c r="D28" s="33"/>
      <c r="E28" s="33"/>
    </row>
    <row r="29" spans="1:5" ht="15">
      <c r="A29" s="33"/>
      <c r="B29" s="33"/>
      <c r="C29" s="33"/>
      <c r="D29" s="33"/>
      <c r="E29" s="33"/>
    </row>
    <row r="30" spans="1:5" ht="15">
      <c r="A30" s="33"/>
      <c r="B30" s="33"/>
      <c r="C30" s="33"/>
      <c r="D30" s="33"/>
      <c r="E30" s="33"/>
    </row>
    <row r="31" spans="1:5" ht="15">
      <c r="A31" s="33"/>
      <c r="B31" s="33"/>
      <c r="C31" s="33"/>
      <c r="D31" s="33"/>
      <c r="E31" s="33"/>
    </row>
    <row r="32" spans="1:5" ht="15">
      <c r="A32" s="33"/>
      <c r="B32" s="33"/>
      <c r="C32" s="33"/>
      <c r="D32" s="33"/>
      <c r="E32" s="33"/>
    </row>
    <row r="33" spans="1:5" ht="15">
      <c r="A33" s="33"/>
      <c r="B33" s="33"/>
      <c r="C33" s="33"/>
      <c r="D33" s="33"/>
      <c r="E33" s="33"/>
    </row>
    <row r="34" spans="1:5" ht="15">
      <c r="A34" s="33"/>
      <c r="B34" s="33"/>
      <c r="C34" s="33"/>
      <c r="D34" s="33"/>
      <c r="E34" s="33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53"/>
  <sheetViews>
    <sheetView workbookViewId="0">
      <selection activeCell="F15" sqref="F15"/>
    </sheetView>
  </sheetViews>
  <sheetFormatPr baseColWidth="10" defaultColWidth="9" defaultRowHeight="15" x14ac:dyDescent="0"/>
  <cols>
    <col min="1" max="1" width="13" style="31" customWidth="1"/>
    <col min="2" max="2" width="32.6640625" style="31" customWidth="1"/>
    <col min="3" max="5" width="9.33203125" style="31" customWidth="1"/>
    <col min="6" max="6" width="19.6640625" style="116" customWidth="1"/>
  </cols>
  <sheetData>
    <row r="2" spans="1:6">
      <c r="A2" s="31" t="s">
        <v>240</v>
      </c>
    </row>
    <row r="4" spans="1:6" ht="14">
      <c r="A4" s="262" t="s">
        <v>1</v>
      </c>
      <c r="B4" s="262" t="s">
        <v>429</v>
      </c>
      <c r="C4" s="262" t="s">
        <v>3</v>
      </c>
      <c r="D4" s="262" t="s">
        <v>4</v>
      </c>
      <c r="E4" s="262" t="s">
        <v>5</v>
      </c>
      <c r="F4" s="25" t="s">
        <v>6</v>
      </c>
    </row>
    <row r="5" spans="1:6">
      <c r="A5" s="33"/>
      <c r="B5" s="33" t="s">
        <v>418</v>
      </c>
      <c r="C5" s="33"/>
      <c r="D5" s="33"/>
      <c r="E5" s="33">
        <v>1919</v>
      </c>
    </row>
    <row r="6" spans="1:6">
      <c r="A6" s="33" t="s">
        <v>638</v>
      </c>
      <c r="B6" s="33" t="s">
        <v>640</v>
      </c>
      <c r="C6" s="33"/>
      <c r="D6" s="33">
        <v>300</v>
      </c>
      <c r="E6" s="33">
        <f>E5+C6-D6</f>
        <v>1619</v>
      </c>
    </row>
    <row r="7" spans="1:6">
      <c r="A7" s="33" t="s">
        <v>644</v>
      </c>
      <c r="B7" s="33" t="s">
        <v>17</v>
      </c>
      <c r="C7" s="33"/>
      <c r="D7" s="33">
        <v>400</v>
      </c>
      <c r="E7" s="33">
        <f t="shared" ref="E7:E14" si="0">E6+C7-D7</f>
        <v>1219</v>
      </c>
    </row>
    <row r="8" spans="1:6">
      <c r="A8" s="33" t="s">
        <v>649</v>
      </c>
      <c r="B8" s="33" t="s">
        <v>17</v>
      </c>
      <c r="C8" s="33"/>
      <c r="D8" s="33">
        <v>300</v>
      </c>
      <c r="E8" s="33">
        <f t="shared" si="0"/>
        <v>919</v>
      </c>
    </row>
    <row r="9" spans="1:6">
      <c r="A9" s="33" t="s">
        <v>651</v>
      </c>
      <c r="B9" s="33" t="s">
        <v>17</v>
      </c>
      <c r="C9" s="33"/>
      <c r="D9" s="33">
        <v>385</v>
      </c>
      <c r="E9" s="33">
        <f t="shared" si="0"/>
        <v>534</v>
      </c>
    </row>
    <row r="10" spans="1:6">
      <c r="A10" s="33" t="s">
        <v>656</v>
      </c>
      <c r="B10" s="33" t="s">
        <v>17</v>
      </c>
      <c r="C10" s="33"/>
      <c r="D10" s="33">
        <v>135</v>
      </c>
      <c r="E10" s="33">
        <f t="shared" si="0"/>
        <v>399</v>
      </c>
    </row>
    <row r="11" spans="1:6">
      <c r="A11" s="42">
        <v>43162</v>
      </c>
      <c r="B11" s="487" t="s">
        <v>17</v>
      </c>
      <c r="C11" s="33"/>
      <c r="D11" s="33">
        <v>43</v>
      </c>
      <c r="E11" s="33">
        <f t="shared" si="0"/>
        <v>356</v>
      </c>
    </row>
    <row r="12" spans="1:6">
      <c r="A12" s="37">
        <v>43223</v>
      </c>
      <c r="B12" s="487" t="s">
        <v>17</v>
      </c>
      <c r="C12" s="33"/>
      <c r="D12" s="33">
        <v>30</v>
      </c>
      <c r="E12" s="33">
        <f t="shared" si="0"/>
        <v>326</v>
      </c>
    </row>
    <row r="13" spans="1:6">
      <c r="A13" s="37">
        <v>43285</v>
      </c>
      <c r="B13" s="33" t="s">
        <v>779</v>
      </c>
      <c r="C13" s="33"/>
      <c r="D13" s="33">
        <v>126</v>
      </c>
      <c r="E13" s="33">
        <f t="shared" si="0"/>
        <v>200</v>
      </c>
      <c r="F13" s="116" t="s">
        <v>46</v>
      </c>
    </row>
    <row r="14" spans="1:6">
      <c r="A14" s="33" t="s">
        <v>893</v>
      </c>
      <c r="B14" s="33" t="s">
        <v>779</v>
      </c>
      <c r="C14" s="33"/>
      <c r="D14" s="33">
        <v>38</v>
      </c>
      <c r="E14" s="33">
        <f t="shared" si="0"/>
        <v>162</v>
      </c>
      <c r="F14" s="116" t="s">
        <v>46</v>
      </c>
    </row>
    <row r="15" spans="1:6">
      <c r="A15" s="33"/>
      <c r="B15" s="33"/>
      <c r="C15" s="33"/>
      <c r="D15" s="33"/>
      <c r="E15" s="33"/>
    </row>
    <row r="16" spans="1:6">
      <c r="A16" s="33"/>
      <c r="B16" s="33"/>
      <c r="C16" s="33"/>
      <c r="D16" s="33"/>
      <c r="E16" s="33"/>
    </row>
    <row r="17" spans="1:5">
      <c r="A17" s="33"/>
      <c r="B17" s="33"/>
      <c r="C17" s="33"/>
      <c r="D17" s="33"/>
      <c r="E17" s="33"/>
    </row>
    <row r="18" spans="1:5">
      <c r="A18" s="33"/>
      <c r="B18" s="33"/>
      <c r="C18" s="33"/>
      <c r="D18" s="33"/>
      <c r="E18" s="33"/>
    </row>
    <row r="19" spans="1:5">
      <c r="A19" s="33"/>
      <c r="B19" s="33"/>
      <c r="C19" s="33"/>
      <c r="D19" s="33"/>
      <c r="E19" s="33"/>
    </row>
    <row r="20" spans="1:5">
      <c r="A20" s="33"/>
      <c r="B20" s="33"/>
      <c r="C20" s="33"/>
      <c r="D20" s="33"/>
      <c r="E20" s="33"/>
    </row>
    <row r="21" spans="1:5">
      <c r="A21" s="33"/>
      <c r="B21" s="33"/>
      <c r="C21" s="33"/>
      <c r="D21" s="33"/>
      <c r="E21" s="33"/>
    </row>
    <row r="22" spans="1:5">
      <c r="A22" s="33"/>
      <c r="B22" s="33"/>
      <c r="C22" s="33"/>
      <c r="D22" s="33"/>
      <c r="E22" s="33"/>
    </row>
    <row r="23" spans="1:5">
      <c r="A23" s="33"/>
      <c r="B23" s="33"/>
      <c r="C23" s="33"/>
      <c r="D23" s="33"/>
      <c r="E23" s="33"/>
    </row>
    <row r="24" spans="1:5">
      <c r="A24" s="33"/>
      <c r="B24" s="33"/>
      <c r="C24" s="33"/>
      <c r="D24" s="33"/>
      <c r="E24" s="33"/>
    </row>
    <row r="25" spans="1:5">
      <c r="A25" s="33"/>
      <c r="B25" s="33"/>
      <c r="C25" s="33"/>
      <c r="D25" s="33"/>
      <c r="E25" s="33"/>
    </row>
    <row r="26" spans="1:5">
      <c r="A26" s="33"/>
      <c r="B26" s="33"/>
      <c r="C26" s="33"/>
      <c r="D26" s="33"/>
      <c r="E26" s="33"/>
    </row>
    <row r="27" spans="1:5">
      <c r="A27" s="33"/>
      <c r="B27" s="33"/>
      <c r="C27" s="33"/>
      <c r="D27" s="33"/>
      <c r="E27" s="33"/>
    </row>
    <row r="28" spans="1:5">
      <c r="A28" s="33"/>
      <c r="B28" s="33"/>
      <c r="C28" s="33"/>
      <c r="D28" s="33"/>
      <c r="E28" s="33"/>
    </row>
    <row r="29" spans="1:5">
      <c r="A29" s="33"/>
      <c r="B29" s="33"/>
      <c r="C29" s="33"/>
      <c r="D29" s="33"/>
      <c r="E29" s="33"/>
    </row>
    <row r="30" spans="1:5">
      <c r="A30" s="33"/>
      <c r="B30" s="33"/>
      <c r="C30" s="33"/>
      <c r="D30" s="33"/>
      <c r="E30" s="33"/>
    </row>
    <row r="31" spans="1:5">
      <c r="A31" s="33"/>
      <c r="B31" s="33"/>
      <c r="C31" s="33"/>
      <c r="D31" s="33"/>
      <c r="E31" s="33"/>
    </row>
    <row r="32" spans="1:5">
      <c r="A32" s="33"/>
      <c r="B32" s="33"/>
      <c r="C32" s="33"/>
      <c r="D32" s="33"/>
      <c r="E32" s="33"/>
    </row>
    <row r="33" spans="1:5">
      <c r="A33" s="33"/>
      <c r="B33" s="33"/>
      <c r="C33" s="33"/>
      <c r="D33" s="33"/>
      <c r="E33" s="33"/>
    </row>
    <row r="34" spans="1:5">
      <c r="A34" s="33"/>
      <c r="B34" s="33"/>
      <c r="C34" s="33"/>
      <c r="D34" s="33"/>
      <c r="E34" s="33"/>
    </row>
    <row r="35" spans="1:5">
      <c r="A35" s="33"/>
      <c r="B35" s="33"/>
      <c r="C35" s="33"/>
      <c r="D35" s="33"/>
      <c r="E35" s="33"/>
    </row>
    <row r="36" spans="1:5">
      <c r="A36" s="33"/>
      <c r="B36" s="33"/>
      <c r="C36" s="33"/>
      <c r="D36" s="33"/>
      <c r="E36" s="33"/>
    </row>
    <row r="37" spans="1:5">
      <c r="A37" s="33"/>
      <c r="B37" s="33"/>
      <c r="C37" s="33"/>
      <c r="D37" s="33"/>
      <c r="E37" s="33"/>
    </row>
    <row r="38" spans="1:5">
      <c r="A38" s="33"/>
      <c r="B38" s="33"/>
      <c r="C38" s="33"/>
      <c r="D38" s="33"/>
      <c r="E38" s="33"/>
    </row>
    <row r="39" spans="1:5">
      <c r="A39" s="33"/>
      <c r="B39" s="33"/>
      <c r="C39" s="33"/>
      <c r="D39" s="33"/>
      <c r="E39" s="33"/>
    </row>
    <row r="40" spans="1:5">
      <c r="A40" s="33"/>
      <c r="B40" s="33"/>
      <c r="C40" s="33"/>
      <c r="D40" s="33"/>
      <c r="E40" s="33"/>
    </row>
    <row r="41" spans="1:5">
      <c r="A41" s="33"/>
      <c r="B41" s="33"/>
      <c r="C41" s="33"/>
      <c r="D41" s="33"/>
      <c r="E41" s="33"/>
    </row>
    <row r="42" spans="1:5">
      <c r="A42" s="33"/>
      <c r="B42" s="33"/>
      <c r="C42" s="33"/>
      <c r="D42" s="33"/>
      <c r="E42" s="33"/>
    </row>
    <row r="43" spans="1:5">
      <c r="A43" s="33"/>
      <c r="B43" s="33"/>
      <c r="C43" s="33"/>
      <c r="D43" s="33"/>
      <c r="E43" s="33"/>
    </row>
    <row r="44" spans="1:5">
      <c r="A44" s="33"/>
      <c r="B44" s="33"/>
      <c r="C44" s="33"/>
      <c r="D44" s="33"/>
      <c r="E44" s="33"/>
    </row>
    <row r="45" spans="1:5">
      <c r="A45" s="33"/>
      <c r="B45" s="33"/>
      <c r="C45" s="33"/>
      <c r="D45" s="33"/>
      <c r="E45" s="33"/>
    </row>
    <row r="46" spans="1:5">
      <c r="A46" s="33"/>
      <c r="B46" s="33"/>
      <c r="C46" s="33"/>
      <c r="D46" s="33"/>
      <c r="E46" s="33"/>
    </row>
    <row r="47" spans="1:5">
      <c r="A47" s="33"/>
      <c r="B47" s="33"/>
      <c r="C47" s="33"/>
      <c r="D47" s="33"/>
      <c r="E47" s="33"/>
    </row>
    <row r="48" spans="1:5">
      <c r="A48" s="33"/>
      <c r="B48" s="33"/>
      <c r="C48" s="33"/>
      <c r="D48" s="33"/>
      <c r="E48" s="33"/>
    </row>
    <row r="49" spans="1:5">
      <c r="A49" s="33"/>
      <c r="B49" s="33"/>
      <c r="C49" s="33"/>
      <c r="D49" s="33"/>
      <c r="E49" s="33"/>
    </row>
    <row r="50" spans="1:5">
      <c r="A50" s="33"/>
      <c r="B50" s="33"/>
      <c r="C50" s="33"/>
      <c r="D50" s="33"/>
      <c r="E50" s="33"/>
    </row>
    <row r="51" spans="1:5">
      <c r="A51" s="33"/>
      <c r="B51" s="33"/>
      <c r="C51" s="33"/>
      <c r="D51" s="33"/>
      <c r="E51" s="33"/>
    </row>
    <row r="52" spans="1:5">
      <c r="A52" s="33"/>
      <c r="B52" s="33"/>
      <c r="C52" s="33"/>
      <c r="D52" s="33"/>
      <c r="E52" s="33"/>
    </row>
    <row r="53" spans="1:5">
      <c r="A53" s="33"/>
      <c r="B53" s="33"/>
      <c r="C53" s="33"/>
      <c r="D53" s="33"/>
      <c r="E53" s="33"/>
    </row>
  </sheetData>
  <pageMargins left="0.69930555555555596" right="0.69930555555555596" top="0.25" bottom="0.75" header="0.3" footer="0.3"/>
  <pageSetup paperSize="9" scale="90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0000"/>
  </sheetPr>
  <dimension ref="A2:F53"/>
  <sheetViews>
    <sheetView topLeftCell="A20" workbookViewId="0">
      <selection activeCell="F50" sqref="F50"/>
    </sheetView>
  </sheetViews>
  <sheetFormatPr baseColWidth="10" defaultColWidth="9" defaultRowHeight="15" x14ac:dyDescent="0"/>
  <cols>
    <col min="1" max="1" width="12.5" style="31" customWidth="1"/>
    <col min="2" max="2" width="34.33203125" style="31" customWidth="1"/>
    <col min="3" max="5" width="9" style="31"/>
    <col min="6" max="6" width="14.5" customWidth="1"/>
    <col min="7" max="8" width="52.5" customWidth="1"/>
  </cols>
  <sheetData>
    <row r="2" spans="1:6" ht="14.25" customHeight="1">
      <c r="A2" s="31" t="s">
        <v>241</v>
      </c>
    </row>
    <row r="4" spans="1:6" ht="14">
      <c r="A4" s="262" t="s">
        <v>1</v>
      </c>
      <c r="B4" s="262" t="s">
        <v>429</v>
      </c>
      <c r="C4" s="262" t="s">
        <v>3</v>
      </c>
      <c r="D4" s="262" t="s">
        <v>4</v>
      </c>
      <c r="E4" s="262" t="s">
        <v>5</v>
      </c>
      <c r="F4" s="25" t="s">
        <v>6</v>
      </c>
    </row>
    <row r="5" spans="1:6">
      <c r="A5" s="33"/>
      <c r="B5" s="33" t="s">
        <v>418</v>
      </c>
      <c r="C5" s="33"/>
      <c r="D5" s="33"/>
      <c r="E5" s="33">
        <v>6801</v>
      </c>
      <c r="F5" s="9"/>
    </row>
    <row r="6" spans="1:6">
      <c r="A6" s="341" t="s">
        <v>511</v>
      </c>
      <c r="B6" s="341" t="s">
        <v>512</v>
      </c>
      <c r="C6" s="9">
        <v>617</v>
      </c>
      <c r="D6" s="33"/>
      <c r="E6" s="33">
        <f t="shared" ref="E6:E10" si="0">E5+C6-D6</f>
        <v>7418</v>
      </c>
      <c r="F6" s="341"/>
    </row>
    <row r="7" spans="1:6">
      <c r="A7" s="125" t="s">
        <v>541</v>
      </c>
      <c r="B7" s="9" t="s">
        <v>542</v>
      </c>
      <c r="C7" s="33">
        <v>21</v>
      </c>
      <c r="D7" s="33"/>
      <c r="E7" s="33">
        <f t="shared" si="0"/>
        <v>7439</v>
      </c>
      <c r="F7" s="353"/>
    </row>
    <row r="8" spans="1:6">
      <c r="A8" s="33" t="s">
        <v>569</v>
      </c>
      <c r="B8" s="33" t="s">
        <v>512</v>
      </c>
      <c r="C8" s="33">
        <v>201</v>
      </c>
      <c r="D8" s="33"/>
      <c r="E8" s="33">
        <f t="shared" si="0"/>
        <v>7640</v>
      </c>
      <c r="F8" s="369"/>
    </row>
    <row r="9" spans="1:6">
      <c r="A9" s="33" t="s">
        <v>598</v>
      </c>
      <c r="B9" s="33" t="s">
        <v>16</v>
      </c>
      <c r="C9" s="33">
        <v>1</v>
      </c>
      <c r="D9" s="33"/>
      <c r="E9" s="33">
        <f t="shared" si="0"/>
        <v>7641</v>
      </c>
      <c r="F9" s="386"/>
    </row>
    <row r="10" spans="1:6">
      <c r="A10" s="33" t="s">
        <v>677</v>
      </c>
      <c r="B10" s="33" t="s">
        <v>679</v>
      </c>
      <c r="C10" s="33">
        <v>440</v>
      </c>
      <c r="D10" s="33"/>
      <c r="E10" s="33">
        <f t="shared" si="0"/>
        <v>8081</v>
      </c>
      <c r="F10" s="462"/>
    </row>
    <row r="11" spans="1:6">
      <c r="A11" s="33" t="s">
        <v>694</v>
      </c>
      <c r="B11" s="33" t="s">
        <v>17</v>
      </c>
      <c r="C11" s="33"/>
      <c r="D11" s="33">
        <v>350</v>
      </c>
      <c r="E11" s="33">
        <f t="shared" ref="E11:E16" si="1">E10+C11-D11</f>
        <v>7731</v>
      </c>
      <c r="F11" s="482"/>
    </row>
    <row r="12" spans="1:6">
      <c r="A12" s="319">
        <v>43103</v>
      </c>
      <c r="B12" s="7" t="s">
        <v>589</v>
      </c>
      <c r="C12" s="33"/>
      <c r="D12" s="33">
        <v>250</v>
      </c>
      <c r="E12" s="33">
        <f t="shared" si="1"/>
        <v>7481</v>
      </c>
      <c r="F12" s="482"/>
    </row>
    <row r="13" spans="1:6">
      <c r="A13" s="42">
        <v>43162</v>
      </c>
      <c r="B13" s="487" t="s">
        <v>17</v>
      </c>
      <c r="C13" s="33"/>
      <c r="D13" s="33">
        <v>200</v>
      </c>
      <c r="E13" s="33">
        <f t="shared" si="1"/>
        <v>7281</v>
      </c>
      <c r="F13" s="487"/>
    </row>
    <row r="14" spans="1:6">
      <c r="A14" s="37">
        <v>43223</v>
      </c>
      <c r="B14" s="487" t="s">
        <v>17</v>
      </c>
      <c r="C14" s="33"/>
      <c r="D14" s="33">
        <v>400</v>
      </c>
      <c r="E14" s="33">
        <f t="shared" si="1"/>
        <v>6881</v>
      </c>
      <c r="F14" s="492"/>
    </row>
    <row r="15" spans="1:6">
      <c r="A15" s="37">
        <v>43284</v>
      </c>
      <c r="B15" s="33" t="s">
        <v>679</v>
      </c>
      <c r="C15" s="33">
        <v>152</v>
      </c>
      <c r="D15" s="33"/>
      <c r="E15" s="33">
        <f t="shared" si="1"/>
        <v>7033</v>
      </c>
      <c r="F15" s="9"/>
    </row>
    <row r="16" spans="1:6">
      <c r="A16" s="512" t="s">
        <v>738</v>
      </c>
      <c r="B16" s="33" t="s">
        <v>679</v>
      </c>
      <c r="C16" s="33">
        <v>105</v>
      </c>
      <c r="D16" s="33"/>
      <c r="E16" s="33">
        <f t="shared" si="1"/>
        <v>7138</v>
      </c>
      <c r="F16" s="513"/>
    </row>
    <row r="17" spans="1:6">
      <c r="A17" s="33" t="s">
        <v>744</v>
      </c>
      <c r="B17" s="33" t="s">
        <v>749</v>
      </c>
      <c r="C17" s="33">
        <v>2</v>
      </c>
      <c r="D17" s="33"/>
      <c r="E17" s="33">
        <f>E16+'LEDGER 1219'!C17-D17</f>
        <v>7140</v>
      </c>
      <c r="F17" s="528" t="s">
        <v>46</v>
      </c>
    </row>
    <row r="18" spans="1:6">
      <c r="A18" s="33" t="s">
        <v>761</v>
      </c>
      <c r="B18" s="33" t="s">
        <v>679</v>
      </c>
      <c r="C18" s="33">
        <v>78</v>
      </c>
      <c r="D18" s="33"/>
      <c r="E18" s="33">
        <f>E17+'LEDGER 1219'!C18-D18</f>
        <v>7218</v>
      </c>
      <c r="F18" s="542"/>
    </row>
    <row r="19" spans="1:6">
      <c r="A19" s="37">
        <v>43316</v>
      </c>
      <c r="B19" s="33" t="s">
        <v>780</v>
      </c>
      <c r="C19" s="33"/>
      <c r="D19" s="33">
        <v>300</v>
      </c>
      <c r="E19" s="33">
        <f>E18+'LEDGER 1219'!C19-D19</f>
        <v>6918</v>
      </c>
      <c r="F19" s="9"/>
    </row>
    <row r="20" spans="1:6">
      <c r="A20" s="37">
        <v>43347</v>
      </c>
      <c r="B20" s="33" t="s">
        <v>780</v>
      </c>
      <c r="C20" s="33"/>
      <c r="D20" s="33">
        <v>100</v>
      </c>
      <c r="E20" s="33">
        <f>E19+'LEDGER 1219'!C20-D20</f>
        <v>6818</v>
      </c>
      <c r="F20" s="554"/>
    </row>
    <row r="21" spans="1:6">
      <c r="A21" s="37">
        <v>43377</v>
      </c>
      <c r="B21" s="33" t="s">
        <v>780</v>
      </c>
      <c r="C21" s="33"/>
      <c r="D21" s="33">
        <v>220</v>
      </c>
      <c r="E21" s="33">
        <f>E20+'LEDGER 1219'!C21-D21</f>
        <v>6598</v>
      </c>
      <c r="F21" s="9"/>
    </row>
    <row r="22" spans="1:6">
      <c r="A22" s="37">
        <v>43377</v>
      </c>
      <c r="B22" s="33" t="s">
        <v>779</v>
      </c>
      <c r="C22" s="33"/>
      <c r="D22" s="33">
        <v>300</v>
      </c>
      <c r="E22" s="33">
        <f>E21+'LEDGER 1219'!C22-D22</f>
        <v>6298</v>
      </c>
      <c r="F22" s="9"/>
    </row>
    <row r="23" spans="1:6">
      <c r="A23" s="37">
        <v>43408</v>
      </c>
      <c r="B23" s="33" t="s">
        <v>779</v>
      </c>
      <c r="C23" s="33"/>
      <c r="D23" s="33">
        <v>800</v>
      </c>
      <c r="E23" s="33">
        <f>E22+'LEDGER 1219'!C23-D23</f>
        <v>5498</v>
      </c>
      <c r="F23" s="9"/>
    </row>
    <row r="24" spans="1:6">
      <c r="A24" s="37">
        <v>43408</v>
      </c>
      <c r="B24" s="33" t="s">
        <v>780</v>
      </c>
      <c r="C24" s="33"/>
      <c r="D24" s="33">
        <v>220</v>
      </c>
      <c r="E24" s="33">
        <f>E23+'LEDGER 1219'!C24-D24</f>
        <v>5278</v>
      </c>
      <c r="F24" s="559"/>
    </row>
    <row r="25" spans="1:6">
      <c r="A25" s="37">
        <v>43438</v>
      </c>
      <c r="B25" s="33" t="s">
        <v>780</v>
      </c>
      <c r="C25" s="33"/>
      <c r="D25" s="33">
        <v>200</v>
      </c>
      <c r="E25" s="33">
        <f>E24+'LEDGER 1219'!C25-D25</f>
        <v>5078</v>
      </c>
      <c r="F25" s="9"/>
    </row>
    <row r="26" spans="1:6">
      <c r="A26" s="37">
        <v>43438</v>
      </c>
      <c r="B26" s="39" t="s">
        <v>779</v>
      </c>
      <c r="C26" s="33"/>
      <c r="D26" s="33">
        <v>20</v>
      </c>
      <c r="E26" s="33">
        <f>E25+'LEDGER 1219'!C26-D26</f>
        <v>5058</v>
      </c>
      <c r="F26" s="569"/>
    </row>
    <row r="27" spans="1:6">
      <c r="A27" s="33" t="s">
        <v>792</v>
      </c>
      <c r="B27" s="33" t="s">
        <v>779</v>
      </c>
      <c r="C27" s="33"/>
      <c r="D27" s="33">
        <v>387</v>
      </c>
      <c r="E27" s="33">
        <f>E26+'LEDGER 1219'!C27-D27</f>
        <v>4671</v>
      </c>
      <c r="F27" s="9"/>
    </row>
    <row r="28" spans="1:6">
      <c r="A28" s="33" t="s">
        <v>792</v>
      </c>
      <c r="B28" s="33" t="s">
        <v>780</v>
      </c>
      <c r="C28" s="33"/>
      <c r="D28" s="33">
        <v>700</v>
      </c>
      <c r="E28" s="33">
        <f>E27+'LEDGER 1219'!C28-D28</f>
        <v>3971</v>
      </c>
      <c r="F28" s="570"/>
    </row>
    <row r="29" spans="1:6">
      <c r="A29" s="576" t="s">
        <v>808</v>
      </c>
      <c r="B29" s="576" t="s">
        <v>809</v>
      </c>
      <c r="C29" s="9"/>
      <c r="D29" s="9">
        <v>500</v>
      </c>
      <c r="E29" s="33">
        <f>E28+'LEDGER 1219'!C29-D29</f>
        <v>3471</v>
      </c>
      <c r="F29" s="576"/>
    </row>
    <row r="30" spans="1:6">
      <c r="A30" s="35" t="s">
        <v>811</v>
      </c>
      <c r="B30" s="33" t="s">
        <v>779</v>
      </c>
      <c r="C30" s="33"/>
      <c r="D30" s="33">
        <v>450</v>
      </c>
      <c r="E30" s="33">
        <f>E29+'LEDGER 1219'!C30-D30</f>
        <v>3021</v>
      </c>
      <c r="F30" s="581"/>
    </row>
    <row r="31" spans="1:6">
      <c r="A31" s="33" t="s">
        <v>826</v>
      </c>
      <c r="B31" s="576" t="s">
        <v>809</v>
      </c>
      <c r="C31" s="33"/>
      <c r="D31" s="33">
        <v>500</v>
      </c>
      <c r="E31" s="33">
        <f>E30+'LEDGER 1219'!C31-D31</f>
        <v>2521</v>
      </c>
      <c r="F31" s="598" t="s">
        <v>46</v>
      </c>
    </row>
    <row r="32" spans="1:6">
      <c r="A32" s="33" t="s">
        <v>832</v>
      </c>
      <c r="B32" s="33" t="s">
        <v>779</v>
      </c>
      <c r="C32" s="33"/>
      <c r="D32" s="33">
        <v>350</v>
      </c>
      <c r="E32" s="33">
        <f>E31+'LEDGER 1219'!C32-D32</f>
        <v>2171</v>
      </c>
      <c r="F32" s="606" t="s">
        <v>46</v>
      </c>
    </row>
    <row r="33" spans="1:6">
      <c r="A33" s="33" t="s">
        <v>839</v>
      </c>
      <c r="B33" s="33" t="s">
        <v>679</v>
      </c>
      <c r="C33" s="33">
        <v>169</v>
      </c>
      <c r="D33" s="33"/>
      <c r="E33" s="33">
        <f>E32+'LEDGER 1219'!C33-D33</f>
        <v>2340</v>
      </c>
      <c r="F33" s="9"/>
    </row>
    <row r="34" spans="1:6">
      <c r="A34" s="33" t="s">
        <v>839</v>
      </c>
      <c r="B34" s="33" t="s">
        <v>817</v>
      </c>
      <c r="C34" s="33"/>
      <c r="D34" s="33">
        <v>800</v>
      </c>
      <c r="E34" s="33">
        <f>E33+'LEDGER 1219'!C34-D34</f>
        <v>1540</v>
      </c>
      <c r="F34" s="9"/>
    </row>
    <row r="35" spans="1:6">
      <c r="A35" s="49">
        <v>43105</v>
      </c>
      <c r="B35" s="35" t="s">
        <v>779</v>
      </c>
      <c r="C35" s="33"/>
      <c r="D35" s="33">
        <v>350</v>
      </c>
      <c r="E35" s="33">
        <f>E34+'LEDGER 1219'!C35-D35</f>
        <v>1190</v>
      </c>
      <c r="F35" s="616" t="s">
        <v>46</v>
      </c>
    </row>
    <row r="36" spans="1:6">
      <c r="A36" s="37">
        <v>43136</v>
      </c>
      <c r="B36" s="35" t="s">
        <v>779</v>
      </c>
      <c r="C36" s="33"/>
      <c r="D36" s="33">
        <v>165</v>
      </c>
      <c r="E36" s="33">
        <f>E35+'LEDGER 1219'!C36-D36</f>
        <v>1025</v>
      </c>
      <c r="F36" s="621" t="s">
        <v>46</v>
      </c>
    </row>
    <row r="37" spans="1:6">
      <c r="A37" s="37">
        <v>43164</v>
      </c>
      <c r="B37" s="33" t="s">
        <v>9</v>
      </c>
      <c r="C37" s="33">
        <v>300</v>
      </c>
      <c r="D37" s="33"/>
      <c r="E37" s="33">
        <f>E36+'LEDGER 1219'!C37-D37</f>
        <v>1325</v>
      </c>
      <c r="F37" s="9"/>
    </row>
    <row r="38" spans="1:6">
      <c r="A38" s="37">
        <v>43164</v>
      </c>
      <c r="B38" s="33" t="s">
        <v>817</v>
      </c>
      <c r="C38" s="33"/>
      <c r="D38" s="33">
        <v>600</v>
      </c>
      <c r="E38" s="33">
        <f>E37+'LEDGER 1219'!C38-D38</f>
        <v>725</v>
      </c>
      <c r="F38" s="9"/>
    </row>
    <row r="39" spans="1:6">
      <c r="A39" s="37">
        <v>43164</v>
      </c>
      <c r="B39" s="33" t="s">
        <v>849</v>
      </c>
      <c r="C39" s="33"/>
      <c r="D39" s="33">
        <v>86</v>
      </c>
      <c r="E39" s="33">
        <f>E38+'LEDGER 1219'!C39-D39</f>
        <v>639</v>
      </c>
      <c r="F39" s="9"/>
    </row>
    <row r="40" spans="1:6">
      <c r="A40" s="37">
        <v>43195</v>
      </c>
      <c r="B40" s="33" t="s">
        <v>9</v>
      </c>
      <c r="C40" s="33">
        <v>300</v>
      </c>
      <c r="D40" s="33"/>
      <c r="E40" s="33">
        <f>E39+'LEDGER 1219'!C40-D40</f>
        <v>939</v>
      </c>
      <c r="F40" s="623" t="s">
        <v>46</v>
      </c>
    </row>
    <row r="41" spans="1:6">
      <c r="A41" s="37">
        <v>43225</v>
      </c>
      <c r="B41" s="33" t="s">
        <v>817</v>
      </c>
      <c r="C41" s="33"/>
      <c r="D41" s="33">
        <v>300</v>
      </c>
      <c r="E41" s="33">
        <f>E40+'LEDGER 1219'!C41-D41</f>
        <v>639</v>
      </c>
      <c r="F41" s="9"/>
    </row>
    <row r="42" spans="1:6">
      <c r="A42" s="37">
        <v>43225</v>
      </c>
      <c r="B42" s="33" t="s">
        <v>817</v>
      </c>
      <c r="C42" s="33"/>
      <c r="D42" s="33">
        <v>115</v>
      </c>
      <c r="E42" s="33">
        <f>E41+'LEDGER 1219'!C42-D42</f>
        <v>524</v>
      </c>
      <c r="F42" s="9" t="s">
        <v>46</v>
      </c>
    </row>
    <row r="43" spans="1:6">
      <c r="A43" s="37">
        <v>43286</v>
      </c>
      <c r="B43" s="33" t="s">
        <v>854</v>
      </c>
      <c r="C43" s="33">
        <v>86</v>
      </c>
      <c r="D43" s="33"/>
      <c r="E43" s="33">
        <f>E42+'LEDGER 1219'!C43-D43</f>
        <v>610</v>
      </c>
      <c r="F43" s="656" t="s">
        <v>46</v>
      </c>
    </row>
    <row r="44" spans="1:6">
      <c r="A44" s="33" t="s">
        <v>878</v>
      </c>
      <c r="B44" s="33" t="s">
        <v>679</v>
      </c>
      <c r="C44" s="33">
        <v>289</v>
      </c>
      <c r="D44" s="33"/>
      <c r="E44" s="33">
        <f>E43+'LEDGER 1219'!C44-D44</f>
        <v>899</v>
      </c>
      <c r="F44" s="664" t="s">
        <v>46</v>
      </c>
    </row>
    <row r="45" spans="1:6">
      <c r="A45" s="33" t="s">
        <v>884</v>
      </c>
      <c r="B45" s="33" t="s">
        <v>9</v>
      </c>
      <c r="C45" s="33">
        <v>200</v>
      </c>
      <c r="D45" s="33"/>
      <c r="E45" s="33">
        <f>E44+'LEDGER 1219'!C45-D45</f>
        <v>1099</v>
      </c>
      <c r="F45" s="9"/>
    </row>
    <row r="46" spans="1:6">
      <c r="A46" s="33" t="s">
        <v>884</v>
      </c>
      <c r="B46" s="33" t="s">
        <v>779</v>
      </c>
      <c r="C46" s="33"/>
      <c r="D46" s="33">
        <v>300</v>
      </c>
      <c r="E46" s="33">
        <f>E45+'LEDGER 1219'!C46-D46</f>
        <v>799</v>
      </c>
      <c r="F46" s="671" t="s">
        <v>46</v>
      </c>
    </row>
    <row r="47" spans="1:6">
      <c r="A47" s="33" t="s">
        <v>886</v>
      </c>
      <c r="B47" s="33" t="s">
        <v>779</v>
      </c>
      <c r="C47" s="33"/>
      <c r="D47" s="33">
        <v>200</v>
      </c>
      <c r="E47" s="33">
        <f>E46+'LEDGER 1219'!C47-D47</f>
        <v>599</v>
      </c>
      <c r="F47" s="9"/>
    </row>
    <row r="48" spans="1:6">
      <c r="A48" s="33" t="s">
        <v>886</v>
      </c>
      <c r="B48" s="33" t="s">
        <v>779</v>
      </c>
      <c r="C48" s="33"/>
      <c r="D48" s="33">
        <v>140</v>
      </c>
      <c r="E48" s="33">
        <f>E47+'LEDGER 1219'!C48-D48</f>
        <v>459</v>
      </c>
      <c r="F48" s="9"/>
    </row>
    <row r="49" spans="1:6">
      <c r="A49" s="33" t="s">
        <v>893</v>
      </c>
      <c r="B49" s="33" t="s">
        <v>779</v>
      </c>
      <c r="C49" s="33"/>
      <c r="D49" s="33">
        <v>31</v>
      </c>
      <c r="E49" s="33">
        <f>E48+'LEDGER 1219'!C49-D49</f>
        <v>428</v>
      </c>
      <c r="F49" s="677" t="s">
        <v>46</v>
      </c>
    </row>
    <row r="50" spans="1:6">
      <c r="A50" s="33" t="s">
        <v>915</v>
      </c>
      <c r="B50" s="33" t="s">
        <v>679</v>
      </c>
      <c r="C50" s="33">
        <v>60</v>
      </c>
      <c r="D50" s="33"/>
      <c r="E50" s="33">
        <f>E49+'LEDGER 1219'!C50-D50</f>
        <v>488</v>
      </c>
      <c r="F50" s="698" t="s">
        <v>46</v>
      </c>
    </row>
    <row r="51" spans="1:6">
      <c r="A51" s="33"/>
      <c r="B51" s="33"/>
      <c r="C51" s="33"/>
      <c r="D51" s="33"/>
      <c r="E51" s="33"/>
      <c r="F51" s="9"/>
    </row>
    <row r="52" spans="1:6">
      <c r="A52" s="33"/>
      <c r="B52" s="33"/>
      <c r="C52" s="33"/>
      <c r="D52" s="33"/>
      <c r="E52" s="33"/>
      <c r="F52" s="9"/>
    </row>
    <row r="53" spans="1:6">
      <c r="A53" s="33"/>
      <c r="B53" s="33"/>
      <c r="C53" s="33"/>
      <c r="D53" s="33"/>
      <c r="E53" s="33"/>
      <c r="F53" s="9"/>
    </row>
  </sheetData>
  <pageMargins left="0.69930555555555596" right="0.69930555555555596" top="0.75" bottom="0.75" header="0.3" footer="0.3"/>
  <pageSetup paperSize="9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0"/>
  <sheetViews>
    <sheetView workbookViewId="0">
      <selection activeCell="G21" sqref="G21"/>
    </sheetView>
  </sheetViews>
  <sheetFormatPr baseColWidth="10" defaultColWidth="9" defaultRowHeight="15" x14ac:dyDescent="0"/>
  <cols>
    <col min="1" max="1" width="13" style="31" customWidth="1"/>
    <col min="2" max="2" width="29.1640625" style="31" customWidth="1"/>
    <col min="3" max="5" width="9.33203125" style="31" customWidth="1"/>
    <col min="6" max="6" width="14.1640625" style="31" customWidth="1"/>
  </cols>
  <sheetData>
    <row r="2" spans="1:6">
      <c r="A2" s="31" t="s">
        <v>242</v>
      </c>
    </row>
    <row r="4" spans="1:6" ht="14">
      <c r="A4" s="262" t="s">
        <v>1</v>
      </c>
      <c r="B4" s="262" t="s">
        <v>429</v>
      </c>
      <c r="C4" s="262" t="s">
        <v>3</v>
      </c>
      <c r="D4" s="262" t="s">
        <v>4</v>
      </c>
      <c r="E4" s="262" t="s">
        <v>5</v>
      </c>
      <c r="F4" s="25" t="s">
        <v>6</v>
      </c>
    </row>
    <row r="5" spans="1:6">
      <c r="A5" s="33"/>
      <c r="B5" s="33" t="s">
        <v>418</v>
      </c>
      <c r="C5" s="33"/>
      <c r="D5" s="33"/>
      <c r="E5" s="33">
        <v>440</v>
      </c>
    </row>
    <row r="6" spans="1:6">
      <c r="A6" s="125" t="s">
        <v>541</v>
      </c>
      <c r="B6" s="9" t="s">
        <v>542</v>
      </c>
      <c r="C6" s="33">
        <v>16</v>
      </c>
      <c r="D6" s="33"/>
      <c r="E6" s="33">
        <f>E5+C6-D6</f>
        <v>456</v>
      </c>
    </row>
    <row r="7" spans="1:6">
      <c r="A7" s="33" t="s">
        <v>598</v>
      </c>
      <c r="B7" s="33" t="s">
        <v>16</v>
      </c>
      <c r="C7" s="33">
        <v>2</v>
      </c>
      <c r="D7" s="33"/>
      <c r="E7" s="33">
        <f>E6+C7-D7</f>
        <v>458</v>
      </c>
    </row>
    <row r="8" spans="1:6">
      <c r="A8" s="33" t="s">
        <v>677</v>
      </c>
      <c r="B8" s="33" t="s">
        <v>679</v>
      </c>
      <c r="C8" s="33">
        <v>2</v>
      </c>
      <c r="D8" s="33"/>
      <c r="E8" s="33">
        <f>E7+C8-D8</f>
        <v>460</v>
      </c>
    </row>
    <row r="9" spans="1:6">
      <c r="A9" s="319">
        <v>43103</v>
      </c>
      <c r="B9" s="7" t="s">
        <v>589</v>
      </c>
      <c r="C9" s="33"/>
      <c r="D9" s="33">
        <v>140</v>
      </c>
      <c r="E9" s="33">
        <f t="shared" ref="E9:E12" si="0">E8+C9-D9</f>
        <v>320</v>
      </c>
    </row>
    <row r="10" spans="1:6">
      <c r="A10" s="159">
        <v>43134</v>
      </c>
      <c r="B10" s="158" t="s">
        <v>17</v>
      </c>
      <c r="C10" s="33"/>
      <c r="D10" s="33">
        <v>110</v>
      </c>
      <c r="E10" s="33">
        <f t="shared" si="0"/>
        <v>210</v>
      </c>
    </row>
    <row r="11" spans="1:6">
      <c r="A11" s="37">
        <v>43284</v>
      </c>
      <c r="B11" s="33" t="s">
        <v>679</v>
      </c>
      <c r="C11" s="33">
        <v>37</v>
      </c>
      <c r="D11" s="33"/>
      <c r="E11" s="33">
        <f t="shared" si="0"/>
        <v>247</v>
      </c>
    </row>
    <row r="12" spans="1:6">
      <c r="A12" s="512" t="s">
        <v>738</v>
      </c>
      <c r="B12" s="33" t="s">
        <v>679</v>
      </c>
      <c r="C12" s="33">
        <v>17</v>
      </c>
      <c r="D12" s="33"/>
      <c r="E12" s="33">
        <f t="shared" si="0"/>
        <v>264</v>
      </c>
    </row>
    <row r="13" spans="1:6">
      <c r="A13" s="33" t="s">
        <v>744</v>
      </c>
      <c r="B13" s="33" t="s">
        <v>16</v>
      </c>
      <c r="C13" s="33">
        <v>1</v>
      </c>
      <c r="D13" s="33"/>
      <c r="E13" s="33">
        <f t="shared" ref="E13:E19" si="1">E12+C13-D13</f>
        <v>265</v>
      </c>
    </row>
    <row r="14" spans="1:6">
      <c r="A14" s="33" t="s">
        <v>761</v>
      </c>
      <c r="B14" s="33" t="s">
        <v>679</v>
      </c>
      <c r="C14" s="33">
        <v>13</v>
      </c>
      <c r="D14" s="33"/>
      <c r="E14" s="33">
        <f t="shared" si="1"/>
        <v>278</v>
      </c>
    </row>
    <row r="15" spans="1:6">
      <c r="A15" s="37">
        <v>43347</v>
      </c>
      <c r="B15" s="33" t="s">
        <v>589</v>
      </c>
      <c r="C15" s="33">
        <v>250</v>
      </c>
      <c r="D15" s="33"/>
      <c r="E15" s="33">
        <f t="shared" si="1"/>
        <v>528</v>
      </c>
    </row>
    <row r="16" spans="1:6">
      <c r="A16" s="576" t="s">
        <v>808</v>
      </c>
      <c r="B16" s="576" t="s">
        <v>809</v>
      </c>
      <c r="C16" s="33"/>
      <c r="D16" s="33">
        <v>400</v>
      </c>
      <c r="E16" s="33">
        <f t="shared" si="1"/>
        <v>128</v>
      </c>
      <c r="F16" s="31" t="s">
        <v>46</v>
      </c>
    </row>
    <row r="17" spans="1:6">
      <c r="A17" s="33" t="s">
        <v>839</v>
      </c>
      <c r="B17" s="33" t="s">
        <v>679</v>
      </c>
      <c r="C17" s="33">
        <v>32</v>
      </c>
      <c r="D17" s="33"/>
      <c r="E17" s="33">
        <f t="shared" si="1"/>
        <v>160</v>
      </c>
      <c r="F17" s="31" t="s">
        <v>46</v>
      </c>
    </row>
    <row r="18" spans="1:6">
      <c r="A18" s="33" t="s">
        <v>878</v>
      </c>
      <c r="B18" s="33" t="s">
        <v>679</v>
      </c>
      <c r="C18" s="33">
        <v>7</v>
      </c>
      <c r="D18" s="33"/>
      <c r="E18" s="33">
        <f t="shared" si="1"/>
        <v>167</v>
      </c>
      <c r="F18" s="31" t="s">
        <v>46</v>
      </c>
    </row>
    <row r="19" spans="1:6">
      <c r="A19" s="33" t="s">
        <v>915</v>
      </c>
      <c r="B19" s="33" t="s">
        <v>679</v>
      </c>
      <c r="C19" s="33">
        <v>6</v>
      </c>
      <c r="D19" s="33"/>
      <c r="E19" s="33">
        <f t="shared" si="1"/>
        <v>173</v>
      </c>
      <c r="F19" s="31" t="s">
        <v>46</v>
      </c>
    </row>
    <row r="20" spans="1:6">
      <c r="A20" s="33"/>
      <c r="B20" s="33"/>
      <c r="C20" s="33"/>
      <c r="D20" s="33"/>
      <c r="E20" s="33"/>
    </row>
  </sheetData>
  <pageMargins left="0.69930555555555596" right="0.69930555555555596" top="0.25" bottom="0.75" header="0.3" footer="0.3"/>
  <pageSetup paperSize="9" scale="90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I12" sqref="I12"/>
    </sheetView>
  </sheetViews>
  <sheetFormatPr baseColWidth="10" defaultColWidth="9" defaultRowHeight="14" x14ac:dyDescent="0"/>
  <cols>
    <col min="2" max="2" width="17" customWidth="1"/>
  </cols>
  <sheetData>
    <row r="1" spans="1:5">
      <c r="A1" s="2" t="s">
        <v>243</v>
      </c>
      <c r="B1" s="2"/>
      <c r="C1" s="2"/>
      <c r="D1" s="2"/>
      <c r="E1" s="2"/>
    </row>
    <row r="2" spans="1:5">
      <c r="A2" s="2"/>
      <c r="B2" s="3"/>
      <c r="C2" s="2"/>
      <c r="D2" s="2"/>
      <c r="E2" s="2"/>
    </row>
    <row r="3" spans="1:5">
      <c r="A3" s="4" t="s">
        <v>1</v>
      </c>
      <c r="B3" s="4" t="s">
        <v>6</v>
      </c>
      <c r="C3" s="4" t="s">
        <v>3</v>
      </c>
      <c r="D3" s="4" t="s">
        <v>4</v>
      </c>
      <c r="E3" s="4" t="s">
        <v>5</v>
      </c>
    </row>
    <row r="4" spans="1:5">
      <c r="A4" s="9"/>
      <c r="B4" s="310" t="s">
        <v>418</v>
      </c>
      <c r="C4" s="9"/>
      <c r="D4" s="9"/>
      <c r="E4" s="9">
        <v>200</v>
      </c>
    </row>
    <row r="5" spans="1:5">
      <c r="A5" s="9"/>
      <c r="B5" s="9"/>
      <c r="C5" s="9"/>
      <c r="D5" s="9"/>
      <c r="E5" s="9"/>
    </row>
    <row r="6" spans="1:5">
      <c r="A6" s="9"/>
      <c r="B6" s="9"/>
      <c r="C6" s="9"/>
      <c r="D6" s="9"/>
      <c r="E6" s="9"/>
    </row>
    <row r="7" spans="1:5">
      <c r="A7" s="9"/>
      <c r="B7" s="9"/>
      <c r="C7" s="9"/>
      <c r="D7" s="9"/>
      <c r="E7" s="9"/>
    </row>
    <row r="8" spans="1:5">
      <c r="A8" s="9"/>
      <c r="B8" s="9"/>
      <c r="C8" s="9"/>
      <c r="D8" s="9"/>
      <c r="E8" s="9"/>
    </row>
    <row r="9" spans="1:5">
      <c r="A9" s="9"/>
      <c r="B9" s="9"/>
      <c r="C9" s="9"/>
      <c r="D9" s="9"/>
      <c r="E9" s="9"/>
    </row>
    <row r="10" spans="1:5">
      <c r="A10" s="9"/>
      <c r="B10" s="9"/>
      <c r="C10" s="9"/>
      <c r="D10" s="9"/>
      <c r="E10" s="9"/>
    </row>
    <row r="11" spans="1:5">
      <c r="A11" s="9"/>
      <c r="B11" s="9"/>
      <c r="C11" s="9"/>
      <c r="D11" s="9"/>
      <c r="E11" s="9"/>
    </row>
  </sheetData>
  <pageMargins left="0.69930555555555596" right="0.69930555555555596" top="0.75" bottom="0.75" header="0.3" footer="0.3"/>
  <pageSetup paperSize="9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FF00"/>
  </sheetPr>
  <dimension ref="A1:F7"/>
  <sheetViews>
    <sheetView workbookViewId="0">
      <selection activeCell="L28" sqref="L28"/>
    </sheetView>
  </sheetViews>
  <sheetFormatPr baseColWidth="10" defaultColWidth="9" defaultRowHeight="14" x14ac:dyDescent="0"/>
  <cols>
    <col min="1" max="1" width="12.5" style="1" customWidth="1"/>
    <col min="2" max="2" width="24.5" style="1" customWidth="1"/>
    <col min="3" max="5" width="9" style="1"/>
    <col min="6" max="6" width="13.83203125" style="1" customWidth="1"/>
  </cols>
  <sheetData>
    <row r="1" spans="1:6">
      <c r="A1" s="2" t="s">
        <v>244</v>
      </c>
      <c r="B1" s="2"/>
      <c r="C1" s="2"/>
      <c r="D1" s="2"/>
      <c r="E1" s="2"/>
    </row>
    <row r="2" spans="1:6">
      <c r="A2" s="2"/>
      <c r="B2" s="3"/>
      <c r="C2" s="2"/>
      <c r="D2" s="2"/>
      <c r="E2" s="2"/>
    </row>
    <row r="3" spans="1:6">
      <c r="A3" s="4" t="s">
        <v>1</v>
      </c>
      <c r="B3" s="4" t="s">
        <v>6</v>
      </c>
      <c r="C3" s="4" t="s">
        <v>3</v>
      </c>
      <c r="D3" s="4" t="s">
        <v>4</v>
      </c>
      <c r="E3" s="4" t="s">
        <v>5</v>
      </c>
      <c r="F3" s="202" t="s">
        <v>6</v>
      </c>
    </row>
    <row r="4" spans="1:6">
      <c r="A4" s="7"/>
      <c r="B4" s="310" t="s">
        <v>418</v>
      </c>
      <c r="C4" s="7"/>
      <c r="D4" s="7"/>
      <c r="E4" s="26">
        <v>2426</v>
      </c>
      <c r="F4" s="7"/>
    </row>
    <row r="5" spans="1:6">
      <c r="A5" s="7"/>
      <c r="B5" s="7"/>
      <c r="C5" s="7"/>
      <c r="D5" s="7"/>
      <c r="E5" s="7"/>
      <c r="F5" s="7"/>
    </row>
    <row r="6" spans="1:6">
      <c r="A6" s="7"/>
      <c r="B6" s="7"/>
      <c r="C6" s="7"/>
      <c r="D6" s="7"/>
      <c r="E6" s="7"/>
      <c r="F6" s="7"/>
    </row>
    <row r="7" spans="1:6">
      <c r="A7" s="7"/>
      <c r="B7" s="7"/>
      <c r="C7" s="7"/>
      <c r="D7" s="7"/>
      <c r="E7" s="7"/>
      <c r="F7" s="7"/>
    </row>
  </sheetData>
  <pageMargins left="0.69930555555555596" right="0.69930555555555596" top="0.75" bottom="0.75" header="0.3" footer="0.3"/>
  <pageSetup paperSize="9" scale="90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FF00"/>
  </sheetPr>
  <dimension ref="A2:F14"/>
  <sheetViews>
    <sheetView workbookViewId="0">
      <selection activeCell="F8" sqref="F8"/>
    </sheetView>
  </sheetViews>
  <sheetFormatPr baseColWidth="10" defaultColWidth="9" defaultRowHeight="14" x14ac:dyDescent="0"/>
  <cols>
    <col min="1" max="1" width="13" customWidth="1"/>
    <col min="2" max="2" width="40.5" customWidth="1"/>
    <col min="6" max="6" width="15" customWidth="1"/>
  </cols>
  <sheetData>
    <row r="2" spans="1:6">
      <c r="A2" s="2" t="s">
        <v>245</v>
      </c>
      <c r="B2" s="2"/>
      <c r="C2" s="2"/>
      <c r="D2" s="2"/>
      <c r="E2" s="2"/>
    </row>
    <row r="3" spans="1:6">
      <c r="A3" s="2"/>
      <c r="B3" s="3"/>
      <c r="C3" s="2"/>
      <c r="D3" s="2"/>
      <c r="E3" s="2"/>
    </row>
    <row r="4" spans="1:6">
      <c r="A4" s="4" t="s">
        <v>1</v>
      </c>
      <c r="B4" s="4" t="s">
        <v>6</v>
      </c>
      <c r="C4" s="4" t="s">
        <v>3</v>
      </c>
      <c r="D4" s="4" t="s">
        <v>4</v>
      </c>
      <c r="E4" s="4" t="s">
        <v>5</v>
      </c>
      <c r="F4" s="202" t="s">
        <v>6</v>
      </c>
    </row>
    <row r="5" spans="1:6">
      <c r="A5" s="9"/>
      <c r="B5" s="298" t="s">
        <v>408</v>
      </c>
      <c r="C5" s="9"/>
      <c r="D5" s="9"/>
      <c r="E5" s="9">
        <v>249</v>
      </c>
    </row>
    <row r="6" spans="1:6">
      <c r="A6" s="21">
        <v>43132</v>
      </c>
      <c r="B6" s="298" t="s">
        <v>16</v>
      </c>
      <c r="C6" s="9">
        <v>3</v>
      </c>
      <c r="D6" s="9"/>
      <c r="E6" s="9">
        <f>E5+C6-D6</f>
        <v>252</v>
      </c>
      <c r="F6" s="304" t="s">
        <v>46</v>
      </c>
    </row>
    <row r="7" spans="1:6">
      <c r="A7" s="375" t="s">
        <v>586</v>
      </c>
      <c r="B7" s="375" t="s">
        <v>16</v>
      </c>
      <c r="C7" s="9">
        <v>6</v>
      </c>
      <c r="D7" s="9"/>
      <c r="E7" s="9">
        <f>E6+C7-D7</f>
        <v>258</v>
      </c>
      <c r="F7" s="379" t="s">
        <v>46</v>
      </c>
    </row>
    <row r="8" spans="1:6">
      <c r="A8" s="9"/>
      <c r="B8" s="9"/>
      <c r="C8" s="9"/>
      <c r="D8" s="9"/>
      <c r="E8" s="9"/>
    </row>
    <row r="9" spans="1:6">
      <c r="A9" s="9"/>
      <c r="B9" s="9"/>
      <c r="C9" s="9"/>
      <c r="D9" s="9"/>
      <c r="E9" s="9"/>
    </row>
    <row r="10" spans="1:6">
      <c r="A10" s="9"/>
      <c r="B10" s="9"/>
      <c r="C10" s="9"/>
      <c r="D10" s="9"/>
      <c r="E10" s="9"/>
    </row>
    <row r="11" spans="1:6">
      <c r="A11" s="9"/>
      <c r="B11" s="9"/>
      <c r="C11" s="9"/>
      <c r="D11" s="9"/>
      <c r="E11" s="9"/>
    </row>
    <row r="12" spans="1:6">
      <c r="A12" s="9"/>
      <c r="B12" s="9"/>
      <c r="C12" s="9"/>
      <c r="D12" s="9"/>
      <c r="E12" s="9"/>
    </row>
    <row r="13" spans="1:6">
      <c r="A13" s="9"/>
      <c r="B13" s="9"/>
      <c r="C13" s="9"/>
      <c r="D13" s="9"/>
      <c r="E13" s="9"/>
    </row>
    <row r="14" spans="1:6">
      <c r="A14" s="9"/>
      <c r="B14" s="9"/>
      <c r="C14" s="9"/>
      <c r="D14" s="9"/>
      <c r="E14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FF00"/>
  </sheetPr>
  <dimension ref="A1:E9"/>
  <sheetViews>
    <sheetView workbookViewId="0">
      <selection activeCell="H30" sqref="H30"/>
    </sheetView>
  </sheetViews>
  <sheetFormatPr baseColWidth="10" defaultColWidth="8.83203125" defaultRowHeight="14" x14ac:dyDescent="0"/>
  <cols>
    <col min="2" max="2" width="22" customWidth="1"/>
  </cols>
  <sheetData>
    <row r="1" spans="1:5">
      <c r="A1" s="2" t="s">
        <v>457</v>
      </c>
      <c r="B1" s="2"/>
      <c r="C1" s="2"/>
      <c r="D1" s="2"/>
      <c r="E1" s="2"/>
    </row>
    <row r="2" spans="1:5">
      <c r="A2" s="2"/>
      <c r="B2" s="3"/>
      <c r="C2" s="2"/>
      <c r="D2" s="2"/>
      <c r="E2" s="2"/>
    </row>
    <row r="3" spans="1:5">
      <c r="A3" s="4" t="s">
        <v>1</v>
      </c>
      <c r="B3" s="4" t="s">
        <v>6</v>
      </c>
      <c r="C3" s="4" t="s">
        <v>3</v>
      </c>
      <c r="D3" s="4" t="s">
        <v>4</v>
      </c>
      <c r="E3" s="4" t="s">
        <v>5</v>
      </c>
    </row>
    <row r="4" spans="1:5">
      <c r="A4" s="21"/>
      <c r="B4" s="9" t="s">
        <v>410</v>
      </c>
      <c r="C4" s="9"/>
      <c r="D4" s="6"/>
      <c r="E4" s="9">
        <v>0</v>
      </c>
    </row>
    <row r="5" spans="1:5">
      <c r="A5" s="690" t="s">
        <v>912</v>
      </c>
      <c r="B5" s="684" t="s">
        <v>779</v>
      </c>
      <c r="C5" s="9"/>
      <c r="D5" s="9">
        <v>8</v>
      </c>
      <c r="E5" s="9">
        <v>0</v>
      </c>
    </row>
    <row r="6" spans="1:5">
      <c r="A6" s="9"/>
      <c r="B6" s="9"/>
      <c r="C6" s="9"/>
      <c r="D6" s="9"/>
      <c r="E6" s="9"/>
    </row>
    <row r="7" spans="1:5">
      <c r="A7" s="9"/>
      <c r="B7" s="9"/>
      <c r="C7" s="9"/>
      <c r="D7" s="9"/>
      <c r="E7" s="9"/>
    </row>
    <row r="8" spans="1:5">
      <c r="A8" s="9"/>
      <c r="B8" s="9"/>
      <c r="C8" s="9"/>
      <c r="D8" s="9"/>
      <c r="E8" s="9"/>
    </row>
    <row r="9" spans="1:5">
      <c r="A9" s="9"/>
      <c r="B9" s="9"/>
      <c r="C9" s="9"/>
      <c r="D9" s="9"/>
      <c r="E9" s="9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FF00"/>
  </sheetPr>
  <dimension ref="A1:F32"/>
  <sheetViews>
    <sheetView workbookViewId="0">
      <selection activeCell="F27" sqref="F24:F27"/>
    </sheetView>
  </sheetViews>
  <sheetFormatPr baseColWidth="10" defaultColWidth="9" defaultRowHeight="14" x14ac:dyDescent="0"/>
  <cols>
    <col min="1" max="1" width="12.5" style="1" customWidth="1"/>
    <col min="2" max="2" width="25.6640625" style="1" customWidth="1"/>
    <col min="3" max="5" width="9" style="1"/>
  </cols>
  <sheetData>
    <row r="1" spans="1:6">
      <c r="A1" s="2" t="s">
        <v>246</v>
      </c>
      <c r="B1" s="2"/>
      <c r="C1" s="2"/>
      <c r="D1" s="2"/>
      <c r="E1" s="2"/>
    </row>
    <row r="2" spans="1:6">
      <c r="A2" s="2"/>
      <c r="B2" s="3"/>
      <c r="C2" s="2"/>
      <c r="D2" s="2"/>
      <c r="E2" s="2"/>
    </row>
    <row r="3" spans="1:6">
      <c r="A3" s="4" t="s">
        <v>1</v>
      </c>
      <c r="B3" s="4" t="s">
        <v>6</v>
      </c>
      <c r="C3" s="4" t="s">
        <v>3</v>
      </c>
      <c r="D3" s="4" t="s">
        <v>4</v>
      </c>
      <c r="E3" s="4" t="s">
        <v>5</v>
      </c>
      <c r="F3" s="202" t="s">
        <v>6</v>
      </c>
    </row>
    <row r="4" spans="1:6" ht="15" hidden="1">
      <c r="A4" s="30">
        <v>42619</v>
      </c>
      <c r="B4" s="87" t="s">
        <v>144</v>
      </c>
      <c r="C4" s="87">
        <v>3</v>
      </c>
      <c r="D4" s="103"/>
      <c r="E4" s="87">
        <v>3</v>
      </c>
    </row>
    <row r="5" spans="1:6" ht="15" hidden="1">
      <c r="A5" s="87" t="s">
        <v>212</v>
      </c>
      <c r="B5" s="87" t="s">
        <v>144</v>
      </c>
      <c r="C5" s="87">
        <v>1</v>
      </c>
      <c r="D5" s="103"/>
      <c r="E5" s="87">
        <f>E4+C5-D5</f>
        <v>4</v>
      </c>
    </row>
    <row r="6" spans="1:6" hidden="1">
      <c r="A6" s="10" t="s">
        <v>148</v>
      </c>
      <c r="B6" s="10" t="s">
        <v>7</v>
      </c>
      <c r="C6" s="10"/>
      <c r="D6" s="10">
        <v>100</v>
      </c>
      <c r="E6" s="7">
        <v>0</v>
      </c>
    </row>
    <row r="7" spans="1:6" hidden="1">
      <c r="A7" s="204">
        <v>42625</v>
      </c>
      <c r="B7" s="196" t="s">
        <v>7</v>
      </c>
      <c r="C7" s="196"/>
      <c r="D7" s="10">
        <v>32</v>
      </c>
      <c r="E7" s="7">
        <v>0</v>
      </c>
    </row>
    <row r="8" spans="1:6" hidden="1">
      <c r="A8" s="205" t="s">
        <v>149</v>
      </c>
      <c r="B8" s="136" t="s">
        <v>7</v>
      </c>
      <c r="C8" s="196"/>
      <c r="D8" s="10">
        <v>50</v>
      </c>
      <c r="E8" s="7">
        <v>0</v>
      </c>
    </row>
    <row r="9" spans="1:6" hidden="1">
      <c r="A9" s="9" t="s">
        <v>149</v>
      </c>
      <c r="B9" s="9" t="s">
        <v>168</v>
      </c>
      <c r="C9" s="7"/>
      <c r="D9" s="6">
        <v>30</v>
      </c>
      <c r="E9" s="7">
        <v>0</v>
      </c>
    </row>
    <row r="10" spans="1:6" ht="15" hidden="1">
      <c r="A10" s="87" t="s">
        <v>150</v>
      </c>
      <c r="B10" s="87" t="s">
        <v>151</v>
      </c>
      <c r="C10" s="7"/>
      <c r="D10" s="6">
        <v>150</v>
      </c>
      <c r="E10" s="7">
        <v>0</v>
      </c>
    </row>
    <row r="11" spans="1:6" hidden="1">
      <c r="A11" s="136" t="s">
        <v>152</v>
      </c>
      <c r="B11" s="136" t="s">
        <v>7</v>
      </c>
      <c r="C11" s="196"/>
      <c r="D11" s="10">
        <v>110</v>
      </c>
      <c r="E11" s="7">
        <v>0</v>
      </c>
    </row>
    <row r="12" spans="1:6" hidden="1">
      <c r="A12" s="13" t="s">
        <v>238</v>
      </c>
      <c r="B12" s="13" t="s">
        <v>9</v>
      </c>
      <c r="C12" s="11">
        <v>42</v>
      </c>
      <c r="D12" s="7"/>
      <c r="E12" s="7">
        <f t="shared" ref="E12:E21" si="0">E11+C12-D12</f>
        <v>42</v>
      </c>
    </row>
    <row r="13" spans="1:6" hidden="1">
      <c r="A13" s="7" t="s">
        <v>174</v>
      </c>
      <c r="B13" s="7" t="s">
        <v>9</v>
      </c>
      <c r="C13" s="11">
        <v>118</v>
      </c>
      <c r="D13" s="7"/>
      <c r="E13" s="7">
        <f t="shared" si="0"/>
        <v>160</v>
      </c>
    </row>
    <row r="14" spans="1:6" hidden="1">
      <c r="A14" s="196" t="s">
        <v>174</v>
      </c>
      <c r="B14" s="196" t="s">
        <v>7</v>
      </c>
      <c r="C14" s="196"/>
      <c r="D14" s="10">
        <v>40</v>
      </c>
      <c r="E14" s="7">
        <f t="shared" si="0"/>
        <v>120</v>
      </c>
    </row>
    <row r="15" spans="1:6" hidden="1">
      <c r="A15" s="7" t="s">
        <v>153</v>
      </c>
      <c r="B15" s="7" t="s">
        <v>9</v>
      </c>
      <c r="C15" s="11">
        <v>120</v>
      </c>
      <c r="D15" s="7"/>
      <c r="E15" s="7">
        <f t="shared" si="0"/>
        <v>240</v>
      </c>
    </row>
    <row r="16" spans="1:6" hidden="1">
      <c r="A16" s="7" t="s">
        <v>153</v>
      </c>
      <c r="B16" s="7" t="s">
        <v>7</v>
      </c>
      <c r="C16" s="7"/>
      <c r="D16" s="6">
        <v>230</v>
      </c>
      <c r="E16" s="7">
        <f t="shared" si="0"/>
        <v>10</v>
      </c>
    </row>
    <row r="17" spans="1:6" hidden="1">
      <c r="A17" s="12" t="s">
        <v>247</v>
      </c>
      <c r="B17" s="7" t="s">
        <v>9</v>
      </c>
      <c r="C17" s="11">
        <v>170</v>
      </c>
      <c r="D17" s="7"/>
      <c r="E17" s="7">
        <f t="shared" si="0"/>
        <v>180</v>
      </c>
    </row>
    <row r="18" spans="1:6" hidden="1">
      <c r="A18" s="7" t="s">
        <v>217</v>
      </c>
      <c r="B18" s="7" t="s">
        <v>9</v>
      </c>
      <c r="C18" s="11">
        <v>50</v>
      </c>
      <c r="D18" s="7"/>
      <c r="E18" s="7">
        <f t="shared" si="0"/>
        <v>230</v>
      </c>
    </row>
    <row r="19" spans="1:6" hidden="1">
      <c r="A19" s="196" t="s">
        <v>217</v>
      </c>
      <c r="B19" s="196" t="s">
        <v>7</v>
      </c>
      <c r="C19" s="196"/>
      <c r="D19" s="124">
        <v>40</v>
      </c>
      <c r="E19" s="7">
        <f t="shared" si="0"/>
        <v>190</v>
      </c>
    </row>
    <row r="20" spans="1:6" hidden="1">
      <c r="A20" s="157" t="s">
        <v>169</v>
      </c>
      <c r="B20" s="157" t="s">
        <v>248</v>
      </c>
      <c r="C20" s="93"/>
      <c r="D20" s="16">
        <v>90</v>
      </c>
      <c r="E20" s="7">
        <f t="shared" si="0"/>
        <v>100</v>
      </c>
    </row>
    <row r="21" spans="1:6" hidden="1">
      <c r="A21" s="10" t="s">
        <v>169</v>
      </c>
      <c r="B21" s="10" t="s">
        <v>7</v>
      </c>
      <c r="C21" s="10"/>
      <c r="D21" s="10">
        <v>50</v>
      </c>
      <c r="E21" s="7">
        <f t="shared" si="0"/>
        <v>50</v>
      </c>
    </row>
    <row r="22" spans="1:6" hidden="1">
      <c r="A22" s="34" t="s">
        <v>154</v>
      </c>
      <c r="B22" s="34" t="s">
        <v>248</v>
      </c>
      <c r="C22" s="7"/>
      <c r="D22" s="6">
        <v>72</v>
      </c>
      <c r="E22" s="7">
        <v>0</v>
      </c>
    </row>
    <row r="23" spans="1:6">
      <c r="A23" s="7"/>
      <c r="B23" s="299" t="s">
        <v>408</v>
      </c>
      <c r="C23" s="7"/>
      <c r="D23" s="7"/>
      <c r="E23" s="7">
        <v>811</v>
      </c>
    </row>
    <row r="24" spans="1:6">
      <c r="A24" s="12">
        <v>43284</v>
      </c>
      <c r="B24" s="7" t="s">
        <v>17</v>
      </c>
      <c r="C24" s="7"/>
      <c r="D24" s="7">
        <v>483</v>
      </c>
      <c r="E24" s="7">
        <f>E23+C24-D24</f>
        <v>328</v>
      </c>
    </row>
    <row r="25" spans="1:6" ht="15">
      <c r="A25" s="37">
        <v>43315</v>
      </c>
      <c r="B25" s="33" t="s">
        <v>434</v>
      </c>
      <c r="C25" s="7">
        <v>6</v>
      </c>
      <c r="D25" s="7"/>
      <c r="E25" s="7">
        <f>E24+C25-D25</f>
        <v>334</v>
      </c>
      <c r="F25" s="501"/>
    </row>
    <row r="26" spans="1:6">
      <c r="A26" s="656" t="s">
        <v>863</v>
      </c>
      <c r="B26" s="656" t="s">
        <v>865</v>
      </c>
      <c r="C26" s="7"/>
      <c r="D26" s="7">
        <v>27</v>
      </c>
      <c r="E26" s="7">
        <f>E25+C26-D26</f>
        <v>307</v>
      </c>
      <c r="F26" s="658"/>
    </row>
    <row r="27" spans="1:6">
      <c r="A27" s="677" t="s">
        <v>889</v>
      </c>
      <c r="B27" s="677" t="s">
        <v>891</v>
      </c>
      <c r="C27" s="7"/>
      <c r="D27" s="7">
        <v>6</v>
      </c>
      <c r="E27" s="7">
        <f>E26+C27-D27</f>
        <v>301</v>
      </c>
      <c r="F27" s="682"/>
    </row>
    <row r="28" spans="1:6">
      <c r="A28" s="690" t="s">
        <v>912</v>
      </c>
      <c r="B28" s="684" t="s">
        <v>779</v>
      </c>
      <c r="C28" s="7"/>
      <c r="D28" s="7">
        <v>7</v>
      </c>
      <c r="E28" s="7">
        <f>E27+C28-D28</f>
        <v>294</v>
      </c>
      <c r="F28" s="693" t="s">
        <v>718</v>
      </c>
    </row>
    <row r="29" spans="1:6">
      <c r="A29" s="7"/>
      <c r="B29" s="7"/>
      <c r="C29" s="7"/>
      <c r="D29" s="7"/>
      <c r="E29" s="7"/>
    </row>
    <row r="30" spans="1:6">
      <c r="A30" s="7"/>
      <c r="B30" s="7"/>
      <c r="C30" s="7"/>
      <c r="D30" s="7"/>
      <c r="E30" s="7"/>
    </row>
    <row r="31" spans="1:6">
      <c r="A31" s="7"/>
      <c r="B31" s="7"/>
      <c r="C31" s="7"/>
      <c r="D31" s="7"/>
      <c r="E31" s="7"/>
    </row>
    <row r="32" spans="1:6">
      <c r="A32" s="7"/>
      <c r="B32" s="7"/>
      <c r="C32" s="7"/>
      <c r="D32" s="7"/>
      <c r="E32" s="7"/>
    </row>
  </sheetData>
  <pageMargins left="0.69930555555555596" right="0.69930555555555596" top="0.75" bottom="0.75" header="0.3" footer="0.3"/>
  <pageSetup paperSize="9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D4" sqref="D4"/>
    </sheetView>
  </sheetViews>
  <sheetFormatPr baseColWidth="10" defaultColWidth="9" defaultRowHeight="14" x14ac:dyDescent="0"/>
  <cols>
    <col min="1" max="1" width="12.5" customWidth="1"/>
    <col min="2" max="2" width="17.6640625" customWidth="1"/>
    <col min="6" max="6" width="16.1640625" customWidth="1"/>
  </cols>
  <sheetData>
    <row r="1" spans="1:6">
      <c r="A1" s="201" t="s">
        <v>458</v>
      </c>
      <c r="B1" s="201"/>
      <c r="C1" s="201"/>
      <c r="D1" s="201"/>
      <c r="E1" s="201"/>
    </row>
    <row r="2" spans="1:6">
      <c r="A2" s="201"/>
      <c r="B2" s="201"/>
      <c r="C2" s="201"/>
      <c r="D2" s="201"/>
      <c r="E2" s="201"/>
    </row>
    <row r="3" spans="1:6">
      <c r="A3" s="4" t="s">
        <v>1</v>
      </c>
      <c r="B3" s="4" t="s">
        <v>6</v>
      </c>
      <c r="C3" s="4" t="s">
        <v>3</v>
      </c>
      <c r="D3" s="4" t="s">
        <v>4</v>
      </c>
      <c r="E3" s="4" t="s">
        <v>5</v>
      </c>
      <c r="F3" s="202" t="s">
        <v>6</v>
      </c>
    </row>
    <row r="4" spans="1:6">
      <c r="A4" s="28"/>
      <c r="B4" s="29" t="s">
        <v>408</v>
      </c>
      <c r="C4" s="29"/>
      <c r="D4" s="203"/>
      <c r="E4" s="9">
        <v>0</v>
      </c>
    </row>
    <row r="5" spans="1:6">
      <c r="A5" s="9"/>
      <c r="B5" s="9"/>
      <c r="C5" s="9"/>
      <c r="D5" s="9"/>
      <c r="E5" s="9"/>
    </row>
    <row r="6" spans="1:6">
      <c r="A6" s="9"/>
      <c r="B6" s="9"/>
      <c r="C6" s="9"/>
      <c r="D6" s="9"/>
      <c r="E6" s="9"/>
    </row>
    <row r="7" spans="1:6">
      <c r="A7" s="9"/>
      <c r="B7" s="9"/>
      <c r="C7" s="9"/>
      <c r="D7" s="9"/>
      <c r="E7" s="9"/>
    </row>
    <row r="8" spans="1:6">
      <c r="A8" s="9"/>
      <c r="B8" s="9"/>
      <c r="C8" s="9"/>
      <c r="D8" s="9"/>
      <c r="E8" s="9"/>
    </row>
    <row r="9" spans="1:6">
      <c r="A9" s="9"/>
      <c r="B9" s="9"/>
      <c r="C9" s="9"/>
      <c r="D9" s="9"/>
      <c r="E9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8"/>
  <sheetViews>
    <sheetView workbookViewId="0">
      <selection activeCell="E6" sqref="E6"/>
    </sheetView>
  </sheetViews>
  <sheetFormatPr baseColWidth="10" defaultColWidth="9" defaultRowHeight="14" x14ac:dyDescent="0"/>
  <cols>
    <col min="1" max="1" width="11.33203125" style="201" customWidth="1"/>
    <col min="2" max="2" width="46.5" style="201" customWidth="1"/>
    <col min="3" max="5" width="9" style="201"/>
    <col min="6" max="6" width="17.5" customWidth="1"/>
  </cols>
  <sheetData>
    <row r="2" spans="1:6">
      <c r="A2" s="201" t="s">
        <v>250</v>
      </c>
    </row>
    <row r="4" spans="1:6">
      <c r="A4" s="4" t="s">
        <v>1</v>
      </c>
      <c r="B4" s="4" t="s">
        <v>6</v>
      </c>
      <c r="C4" s="4" t="s">
        <v>3</v>
      </c>
      <c r="D4" s="4" t="s">
        <v>4</v>
      </c>
      <c r="E4" s="4" t="s">
        <v>5</v>
      </c>
      <c r="F4" s="202" t="s">
        <v>6</v>
      </c>
    </row>
    <row r="5" spans="1:6">
      <c r="A5" s="29"/>
      <c r="B5" s="29" t="s">
        <v>418</v>
      </c>
      <c r="C5" s="29"/>
      <c r="D5" s="29"/>
      <c r="E5" s="202">
        <v>23</v>
      </c>
    </row>
    <row r="6" spans="1:6">
      <c r="A6" s="28"/>
      <c r="B6" s="29"/>
      <c r="C6" s="29"/>
      <c r="D6" s="29"/>
      <c r="E6" s="29"/>
    </row>
    <row r="7" spans="1:6">
      <c r="A7" s="29"/>
      <c r="B7" s="29"/>
      <c r="C7" s="29"/>
      <c r="D7" s="29"/>
      <c r="E7" s="29"/>
    </row>
    <row r="8" spans="1:6">
      <c r="A8" s="29"/>
      <c r="B8" s="29"/>
      <c r="C8" s="29"/>
      <c r="D8" s="29"/>
      <c r="E8" s="202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FF00"/>
  </sheetPr>
  <dimension ref="A1:F10"/>
  <sheetViews>
    <sheetView workbookViewId="0">
      <selection activeCell="A9" sqref="A9:B9"/>
    </sheetView>
  </sheetViews>
  <sheetFormatPr baseColWidth="10" defaultColWidth="9" defaultRowHeight="14" x14ac:dyDescent="0"/>
  <cols>
    <col min="1" max="1" width="12.1640625" customWidth="1"/>
    <col min="2" max="2" width="28.1640625" customWidth="1"/>
    <col min="6" max="6" width="19.5" customWidth="1"/>
  </cols>
  <sheetData>
    <row r="1" spans="1:6" ht="15">
      <c r="A1" s="199" t="s">
        <v>251</v>
      </c>
      <c r="B1" s="199"/>
      <c r="C1" s="199"/>
      <c r="D1" s="199"/>
      <c r="E1" s="199"/>
    </row>
    <row r="2" spans="1:6" ht="15">
      <c r="A2" s="199"/>
      <c r="B2" s="200"/>
      <c r="C2" s="199"/>
      <c r="D2" s="199"/>
      <c r="E2" s="199"/>
    </row>
    <row r="3" spans="1:6">
      <c r="A3" s="4" t="s">
        <v>1</v>
      </c>
      <c r="B3" s="4" t="s">
        <v>6</v>
      </c>
      <c r="C3" s="4" t="s">
        <v>3</v>
      </c>
      <c r="D3" s="4" t="s">
        <v>4</v>
      </c>
      <c r="E3" s="4" t="s">
        <v>5</v>
      </c>
      <c r="F3" s="202" t="s">
        <v>6</v>
      </c>
    </row>
    <row r="4" spans="1:6">
      <c r="A4" s="9"/>
      <c r="B4" s="310" t="s">
        <v>408</v>
      </c>
      <c r="C4" s="9"/>
      <c r="D4" s="9"/>
      <c r="E4" s="9">
        <v>0</v>
      </c>
    </row>
    <row r="5" spans="1:6">
      <c r="A5" s="348" t="s">
        <v>516</v>
      </c>
      <c r="B5" s="348" t="s">
        <v>434</v>
      </c>
      <c r="C5" s="9">
        <v>134</v>
      </c>
      <c r="D5" s="9"/>
      <c r="E5" s="9">
        <v>134</v>
      </c>
      <c r="F5" s="352" t="s">
        <v>46</v>
      </c>
    </row>
    <row r="6" spans="1:6">
      <c r="A6" s="12">
        <v>43284</v>
      </c>
      <c r="B6" s="7" t="s">
        <v>17</v>
      </c>
      <c r="C6" s="9"/>
      <c r="D6" s="9">
        <v>170</v>
      </c>
      <c r="E6" s="9">
        <v>0</v>
      </c>
    </row>
    <row r="7" spans="1:6">
      <c r="A7" s="21">
        <v>43315</v>
      </c>
      <c r="B7" s="9" t="s">
        <v>719</v>
      </c>
      <c r="C7" s="9">
        <v>30</v>
      </c>
      <c r="D7" s="9"/>
      <c r="E7" s="9">
        <v>30</v>
      </c>
      <c r="F7" s="501" t="s">
        <v>46</v>
      </c>
    </row>
    <row r="8" spans="1:6">
      <c r="A8" s="656" t="s">
        <v>863</v>
      </c>
      <c r="B8" s="656" t="s">
        <v>865</v>
      </c>
      <c r="C8" s="9"/>
      <c r="D8" s="9">
        <v>4</v>
      </c>
      <c r="E8" s="9">
        <f>E7+C8-D8</f>
        <v>26</v>
      </c>
    </row>
    <row r="9" spans="1:6" ht="15">
      <c r="A9" s="35" t="s">
        <v>898</v>
      </c>
      <c r="B9" s="35" t="s">
        <v>779</v>
      </c>
      <c r="C9" s="9"/>
      <c r="D9" s="9">
        <v>70</v>
      </c>
      <c r="E9" s="9"/>
    </row>
    <row r="10" spans="1:6">
      <c r="A10" s="9"/>
      <c r="B10" s="9"/>
      <c r="C10" s="9"/>
      <c r="D10" s="9"/>
      <c r="E10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FF00"/>
  </sheetPr>
  <dimension ref="A1:F24"/>
  <sheetViews>
    <sheetView workbookViewId="0">
      <selection activeCell="A15" sqref="A15:B15"/>
    </sheetView>
  </sheetViews>
  <sheetFormatPr baseColWidth="10" defaultColWidth="8.83203125" defaultRowHeight="14" x14ac:dyDescent="0"/>
  <cols>
    <col min="2" max="2" width="26.1640625" bestFit="1" customWidth="1"/>
  </cols>
  <sheetData>
    <row r="1" spans="1:6">
      <c r="A1" s="2" t="s">
        <v>255</v>
      </c>
      <c r="B1" s="2"/>
      <c r="C1" s="2"/>
      <c r="D1" s="2"/>
      <c r="E1" s="2"/>
    </row>
    <row r="2" spans="1:6">
      <c r="A2" s="2"/>
      <c r="B2" s="3"/>
      <c r="C2" s="2"/>
      <c r="D2" s="2"/>
      <c r="E2" s="2"/>
    </row>
    <row r="3" spans="1:6">
      <c r="A3" s="4" t="s">
        <v>1</v>
      </c>
      <c r="B3" s="4" t="s">
        <v>6</v>
      </c>
      <c r="C3" s="4" t="s">
        <v>3</v>
      </c>
      <c r="D3" s="4" t="s">
        <v>4</v>
      </c>
      <c r="E3" s="4" t="s">
        <v>5</v>
      </c>
      <c r="F3" s="202" t="s">
        <v>6</v>
      </c>
    </row>
    <row r="4" spans="1:6" ht="15" hidden="1">
      <c r="A4" s="33" t="s">
        <v>90</v>
      </c>
      <c r="B4" s="33" t="s">
        <v>216</v>
      </c>
      <c r="C4" s="7"/>
      <c r="D4" s="7">
        <v>20</v>
      </c>
      <c r="E4" s="7">
        <v>0</v>
      </c>
    </row>
    <row r="5" spans="1:6" ht="15" hidden="1">
      <c r="A5" s="33" t="s">
        <v>100</v>
      </c>
      <c r="B5" s="33" t="s">
        <v>253</v>
      </c>
      <c r="C5" s="7">
        <v>2</v>
      </c>
      <c r="D5" s="7"/>
      <c r="E5" s="7">
        <f>E4+C5-D5</f>
        <v>2</v>
      </c>
    </row>
    <row r="6" spans="1:6" hidden="1">
      <c r="A6" s="21">
        <v>42653</v>
      </c>
      <c r="B6" s="9" t="s">
        <v>32</v>
      </c>
      <c r="C6" s="7">
        <v>9</v>
      </c>
      <c r="D6" s="7"/>
      <c r="E6" s="7">
        <f t="shared" ref="E6:E13" si="0">E5+C6-D6</f>
        <v>11</v>
      </c>
    </row>
    <row r="7" spans="1:6" hidden="1">
      <c r="A7" s="46">
        <v>42714</v>
      </c>
      <c r="B7" s="26" t="s">
        <v>32</v>
      </c>
      <c r="C7" s="7">
        <v>5</v>
      </c>
      <c r="D7" s="7"/>
      <c r="E7" s="7">
        <f t="shared" si="0"/>
        <v>16</v>
      </c>
    </row>
    <row r="8" spans="1:6" hidden="1">
      <c r="A8" s="9" t="s">
        <v>254</v>
      </c>
      <c r="B8" s="9" t="s">
        <v>32</v>
      </c>
      <c r="C8" s="7">
        <v>1</v>
      </c>
      <c r="D8" s="7"/>
      <c r="E8" s="7">
        <f t="shared" si="0"/>
        <v>17</v>
      </c>
    </row>
    <row r="9" spans="1:6" hidden="1">
      <c r="A9" s="10" t="s">
        <v>173</v>
      </c>
      <c r="B9" s="10" t="s">
        <v>7</v>
      </c>
      <c r="C9" s="10"/>
      <c r="D9" s="10">
        <v>10</v>
      </c>
      <c r="E9" s="7">
        <f t="shared" si="0"/>
        <v>7</v>
      </c>
    </row>
    <row r="10" spans="1:6" hidden="1">
      <c r="A10" s="7" t="s">
        <v>169</v>
      </c>
      <c r="B10" s="7" t="s">
        <v>9</v>
      </c>
      <c r="C10" s="26">
        <v>85</v>
      </c>
      <c r="D10" s="7"/>
      <c r="E10" s="7">
        <f t="shared" si="0"/>
        <v>92</v>
      </c>
    </row>
    <row r="11" spans="1:6" hidden="1">
      <c r="A11" s="7" t="s">
        <v>154</v>
      </c>
      <c r="B11" s="7" t="s">
        <v>9</v>
      </c>
      <c r="C11" s="26">
        <v>65</v>
      </c>
      <c r="D11" s="7"/>
      <c r="E11" s="7">
        <f t="shared" si="0"/>
        <v>157</v>
      </c>
    </row>
    <row r="12" spans="1:6" hidden="1">
      <c r="A12" s="34" t="s">
        <v>154</v>
      </c>
      <c r="B12" s="34" t="s">
        <v>248</v>
      </c>
      <c r="C12" s="7"/>
      <c r="D12" s="6">
        <v>85</v>
      </c>
      <c r="E12" s="7">
        <f t="shared" si="0"/>
        <v>72</v>
      </c>
    </row>
    <row r="13" spans="1:6" hidden="1">
      <c r="A13" s="7" t="s">
        <v>155</v>
      </c>
      <c r="B13" s="7" t="s">
        <v>9</v>
      </c>
      <c r="C13" s="26">
        <v>50</v>
      </c>
      <c r="D13" s="7"/>
      <c r="E13" s="7">
        <f t="shared" si="0"/>
        <v>122</v>
      </c>
    </row>
    <row r="14" spans="1:6">
      <c r="A14" s="694"/>
      <c r="B14" s="695" t="s">
        <v>408</v>
      </c>
      <c r="C14" s="694"/>
      <c r="D14" s="694"/>
      <c r="E14" s="694"/>
    </row>
    <row r="15" spans="1:6">
      <c r="A15" s="690" t="s">
        <v>912</v>
      </c>
      <c r="B15" s="690" t="s">
        <v>779</v>
      </c>
      <c r="C15" s="9"/>
      <c r="D15" s="9">
        <v>37</v>
      </c>
      <c r="E15" s="9"/>
      <c r="F15" s="9"/>
    </row>
    <row r="16" spans="1:6">
      <c r="A16" s="9"/>
      <c r="B16" s="9"/>
      <c r="C16" s="9"/>
      <c r="D16" s="9"/>
      <c r="E16" s="9"/>
      <c r="F16" s="9"/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>
      <c r="A19" s="9"/>
      <c r="B19" s="9"/>
      <c r="C19" s="9"/>
      <c r="D19" s="9"/>
      <c r="E19" s="9"/>
      <c r="F19" s="9"/>
    </row>
    <row r="20" spans="1:6">
      <c r="A20" s="9"/>
      <c r="B20" s="9"/>
      <c r="C20" s="9"/>
      <c r="D20" s="9"/>
      <c r="E20" s="9"/>
      <c r="F20" s="9"/>
    </row>
    <row r="21" spans="1:6">
      <c r="A21" s="9"/>
      <c r="B21" s="9"/>
      <c r="C21" s="9"/>
      <c r="D21" s="9"/>
      <c r="E21" s="9"/>
      <c r="F21" s="9"/>
    </row>
    <row r="22" spans="1:6">
      <c r="A22" s="9"/>
      <c r="B22" s="9"/>
      <c r="C22" s="9"/>
      <c r="D22" s="9"/>
      <c r="E22" s="9"/>
      <c r="F22" s="9"/>
    </row>
    <row r="23" spans="1:6">
      <c r="A23" s="9"/>
      <c r="B23" s="9"/>
      <c r="C23" s="9"/>
      <c r="D23" s="9"/>
      <c r="E23" s="9"/>
      <c r="F23" s="9"/>
    </row>
    <row r="24" spans="1:6">
      <c r="A24" s="9"/>
      <c r="B24" s="9"/>
      <c r="C24" s="9"/>
      <c r="D24" s="9"/>
      <c r="E24" s="9"/>
      <c r="F24" s="9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FF00"/>
  </sheetPr>
  <dimension ref="A1:F19"/>
  <sheetViews>
    <sheetView workbookViewId="0">
      <selection sqref="A1:XFD14"/>
    </sheetView>
  </sheetViews>
  <sheetFormatPr baseColWidth="10" defaultColWidth="9" defaultRowHeight="14" x14ac:dyDescent="0"/>
  <cols>
    <col min="1" max="1" width="12.5" style="1" customWidth="1"/>
    <col min="2" max="2" width="27.6640625" style="1" customWidth="1"/>
    <col min="3" max="5" width="9" style="1"/>
    <col min="6" max="6" width="18" customWidth="1"/>
  </cols>
  <sheetData>
    <row r="1" spans="1:6">
      <c r="A1" s="2" t="s">
        <v>255</v>
      </c>
      <c r="B1" s="2"/>
      <c r="C1" s="2"/>
      <c r="D1" s="2"/>
      <c r="E1" s="2"/>
    </row>
    <row r="2" spans="1:6">
      <c r="A2" s="2"/>
      <c r="B2" s="3"/>
      <c r="C2" s="2"/>
      <c r="D2" s="2"/>
      <c r="E2" s="2"/>
    </row>
    <row r="3" spans="1:6">
      <c r="A3" s="4" t="s">
        <v>1</v>
      </c>
      <c r="B3" s="4" t="s">
        <v>6</v>
      </c>
      <c r="C3" s="4" t="s">
        <v>3</v>
      </c>
      <c r="D3" s="4" t="s">
        <v>4</v>
      </c>
      <c r="E3" s="4" t="s">
        <v>5</v>
      </c>
      <c r="F3" s="202" t="s">
        <v>6</v>
      </c>
    </row>
    <row r="4" spans="1:6" ht="15" hidden="1">
      <c r="A4" s="33" t="s">
        <v>90</v>
      </c>
      <c r="B4" s="33" t="s">
        <v>216</v>
      </c>
      <c r="C4" s="7"/>
      <c r="D4" s="7">
        <v>20</v>
      </c>
      <c r="E4" s="7">
        <v>0</v>
      </c>
    </row>
    <row r="5" spans="1:6" ht="15" hidden="1">
      <c r="A5" s="33" t="s">
        <v>100</v>
      </c>
      <c r="B5" s="33" t="s">
        <v>253</v>
      </c>
      <c r="C5" s="7">
        <v>2</v>
      </c>
      <c r="D5" s="7"/>
      <c r="E5" s="7">
        <f>E4+C5-D5</f>
        <v>2</v>
      </c>
    </row>
    <row r="6" spans="1:6" hidden="1">
      <c r="A6" s="21">
        <v>42653</v>
      </c>
      <c r="B6" s="9" t="s">
        <v>32</v>
      </c>
      <c r="C6" s="7">
        <v>9</v>
      </c>
      <c r="D6" s="7"/>
      <c r="E6" s="7">
        <f t="shared" ref="E6:E13" si="0">E5+C6-D6</f>
        <v>11</v>
      </c>
    </row>
    <row r="7" spans="1:6" hidden="1">
      <c r="A7" s="46">
        <v>42714</v>
      </c>
      <c r="B7" s="26" t="s">
        <v>32</v>
      </c>
      <c r="C7" s="7">
        <v>5</v>
      </c>
      <c r="D7" s="7"/>
      <c r="E7" s="7">
        <f t="shared" si="0"/>
        <v>16</v>
      </c>
    </row>
    <row r="8" spans="1:6" hidden="1">
      <c r="A8" s="9" t="s">
        <v>254</v>
      </c>
      <c r="B8" s="9" t="s">
        <v>32</v>
      </c>
      <c r="C8" s="7">
        <v>1</v>
      </c>
      <c r="D8" s="7"/>
      <c r="E8" s="7">
        <f t="shared" si="0"/>
        <v>17</v>
      </c>
    </row>
    <row r="9" spans="1:6" hidden="1">
      <c r="A9" s="10" t="s">
        <v>173</v>
      </c>
      <c r="B9" s="10" t="s">
        <v>7</v>
      </c>
      <c r="C9" s="10"/>
      <c r="D9" s="10">
        <v>10</v>
      </c>
      <c r="E9" s="7">
        <f t="shared" si="0"/>
        <v>7</v>
      </c>
    </row>
    <row r="10" spans="1:6" hidden="1">
      <c r="A10" s="7" t="s">
        <v>169</v>
      </c>
      <c r="B10" s="7" t="s">
        <v>9</v>
      </c>
      <c r="C10" s="26">
        <v>85</v>
      </c>
      <c r="D10" s="7"/>
      <c r="E10" s="7">
        <f t="shared" si="0"/>
        <v>92</v>
      </c>
    </row>
    <row r="11" spans="1:6" hidden="1">
      <c r="A11" s="7" t="s">
        <v>154</v>
      </c>
      <c r="B11" s="7" t="s">
        <v>9</v>
      </c>
      <c r="C11" s="26">
        <v>65</v>
      </c>
      <c r="D11" s="7"/>
      <c r="E11" s="7">
        <f t="shared" si="0"/>
        <v>157</v>
      </c>
    </row>
    <row r="12" spans="1:6" hidden="1">
      <c r="A12" s="34" t="s">
        <v>154</v>
      </c>
      <c r="B12" s="34" t="s">
        <v>248</v>
      </c>
      <c r="C12" s="7"/>
      <c r="D12" s="6">
        <v>85</v>
      </c>
      <c r="E12" s="7">
        <f t="shared" si="0"/>
        <v>72</v>
      </c>
    </row>
    <row r="13" spans="1:6" hidden="1">
      <c r="A13" s="7" t="s">
        <v>155</v>
      </c>
      <c r="B13" s="7" t="s">
        <v>9</v>
      </c>
      <c r="C13" s="26">
        <v>50</v>
      </c>
      <c r="D13" s="7"/>
      <c r="E13" s="7">
        <f t="shared" si="0"/>
        <v>122</v>
      </c>
    </row>
    <row r="14" spans="1:6">
      <c r="A14" s="7"/>
      <c r="B14" s="310" t="s">
        <v>408</v>
      </c>
      <c r="C14" s="7"/>
      <c r="D14" s="7"/>
      <c r="E14" s="7">
        <v>29</v>
      </c>
    </row>
    <row r="15" spans="1:6">
      <c r="A15" s="7"/>
      <c r="B15" s="7"/>
      <c r="C15" s="7"/>
      <c r="D15" s="7"/>
      <c r="E15" s="7"/>
    </row>
    <row r="16" spans="1:6">
      <c r="A16" s="7"/>
      <c r="B16" s="7"/>
      <c r="C16" s="7"/>
      <c r="D16" s="7"/>
      <c r="E16" s="7"/>
    </row>
    <row r="17" spans="1:5">
      <c r="A17" s="7"/>
      <c r="B17" s="7"/>
      <c r="C17" s="7"/>
      <c r="D17" s="7"/>
      <c r="E17" s="7"/>
    </row>
    <row r="18" spans="1:5">
      <c r="A18" s="7"/>
      <c r="B18" s="7"/>
      <c r="C18" s="7"/>
      <c r="D18" s="7"/>
      <c r="E18" s="7"/>
    </row>
    <row r="19" spans="1:5">
      <c r="A19" s="7"/>
      <c r="B19" s="7"/>
      <c r="C19" s="7"/>
      <c r="D19" s="7"/>
      <c r="E19" s="7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FF00"/>
  </sheetPr>
  <dimension ref="A1:F23"/>
  <sheetViews>
    <sheetView workbookViewId="0">
      <selection activeCell="D46" sqref="D46"/>
    </sheetView>
  </sheetViews>
  <sheetFormatPr baseColWidth="10" defaultColWidth="9" defaultRowHeight="14" x14ac:dyDescent="0"/>
  <cols>
    <col min="1" max="1" width="12.5" style="1" customWidth="1"/>
    <col min="2" max="2" width="33.1640625" style="1" customWidth="1"/>
    <col min="3" max="5" width="9" style="1"/>
    <col min="6" max="6" width="15.6640625" customWidth="1"/>
  </cols>
  <sheetData>
    <row r="1" spans="1:6">
      <c r="A1" s="2" t="s">
        <v>256</v>
      </c>
      <c r="B1" s="2"/>
      <c r="C1" s="2"/>
      <c r="D1" s="2"/>
      <c r="E1" s="2"/>
    </row>
    <row r="2" spans="1:6">
      <c r="A2" s="2"/>
      <c r="B2" s="3"/>
      <c r="C2" s="2"/>
      <c r="D2" s="2"/>
      <c r="E2" s="2"/>
    </row>
    <row r="3" spans="1:6">
      <c r="A3" s="4" t="s">
        <v>1</v>
      </c>
      <c r="B3" s="4" t="s">
        <v>6</v>
      </c>
      <c r="C3" s="4" t="s">
        <v>3</v>
      </c>
      <c r="D3" s="4" t="s">
        <v>4</v>
      </c>
      <c r="E3" s="4" t="s">
        <v>5</v>
      </c>
      <c r="F3" s="202" t="s">
        <v>6</v>
      </c>
    </row>
    <row r="4" spans="1:6" ht="15" hidden="1">
      <c r="A4" s="33" t="s">
        <v>90</v>
      </c>
      <c r="B4" s="33" t="s">
        <v>216</v>
      </c>
      <c r="C4" s="7"/>
      <c r="D4" s="7">
        <v>20</v>
      </c>
      <c r="E4" s="7">
        <v>0</v>
      </c>
    </row>
    <row r="5" spans="1:6" ht="15" hidden="1">
      <c r="A5" s="33" t="s">
        <v>100</v>
      </c>
      <c r="B5" s="33" t="s">
        <v>253</v>
      </c>
      <c r="C5" s="7">
        <v>2</v>
      </c>
      <c r="D5" s="7"/>
      <c r="E5" s="7">
        <f>E4+C5-D5</f>
        <v>2</v>
      </c>
    </row>
    <row r="6" spans="1:6" hidden="1">
      <c r="A6" s="21">
        <v>42653</v>
      </c>
      <c r="B6" s="9" t="s">
        <v>32</v>
      </c>
      <c r="C6" s="7">
        <v>9</v>
      </c>
      <c r="D6" s="7"/>
      <c r="E6" s="7">
        <f t="shared" ref="E6:E13" si="0">E5+C6-D6</f>
        <v>11</v>
      </c>
    </row>
    <row r="7" spans="1:6" hidden="1">
      <c r="A7" s="46">
        <v>42714</v>
      </c>
      <c r="B7" s="26" t="s">
        <v>32</v>
      </c>
      <c r="C7" s="7">
        <v>5</v>
      </c>
      <c r="D7" s="7"/>
      <c r="E7" s="7">
        <f t="shared" si="0"/>
        <v>16</v>
      </c>
    </row>
    <row r="8" spans="1:6" hidden="1">
      <c r="A8" s="9" t="s">
        <v>254</v>
      </c>
      <c r="B8" s="9" t="s">
        <v>32</v>
      </c>
      <c r="C8" s="7">
        <v>1</v>
      </c>
      <c r="D8" s="7"/>
      <c r="E8" s="7">
        <f t="shared" si="0"/>
        <v>17</v>
      </c>
    </row>
    <row r="9" spans="1:6" hidden="1">
      <c r="A9" s="7" t="s">
        <v>169</v>
      </c>
      <c r="B9" s="7" t="s">
        <v>9</v>
      </c>
      <c r="C9" s="26">
        <v>85</v>
      </c>
      <c r="D9" s="7"/>
      <c r="E9" s="7">
        <f t="shared" si="0"/>
        <v>102</v>
      </c>
    </row>
    <row r="10" spans="1:6" hidden="1">
      <c r="A10" s="7" t="s">
        <v>154</v>
      </c>
      <c r="B10" s="7" t="s">
        <v>9</v>
      </c>
      <c r="C10" s="26">
        <v>65</v>
      </c>
      <c r="D10" s="7"/>
      <c r="E10" s="7">
        <f t="shared" si="0"/>
        <v>167</v>
      </c>
    </row>
    <row r="11" spans="1:6" hidden="1">
      <c r="A11" s="34" t="s">
        <v>154</v>
      </c>
      <c r="B11" s="34" t="s">
        <v>248</v>
      </c>
      <c r="C11" s="7"/>
      <c r="D11" s="6">
        <v>85</v>
      </c>
      <c r="E11" s="7">
        <f t="shared" si="0"/>
        <v>82</v>
      </c>
    </row>
    <row r="12" spans="1:6" hidden="1">
      <c r="A12" s="7" t="s">
        <v>155</v>
      </c>
      <c r="B12" s="7" t="s">
        <v>9</v>
      </c>
      <c r="C12" s="26">
        <v>50</v>
      </c>
      <c r="D12" s="7"/>
      <c r="E12" s="7">
        <f t="shared" si="0"/>
        <v>132</v>
      </c>
    </row>
    <row r="13" spans="1:6" hidden="1">
      <c r="A13" s="196" t="s">
        <v>155</v>
      </c>
      <c r="B13" s="196" t="s">
        <v>7</v>
      </c>
      <c r="C13" s="196"/>
      <c r="D13" s="10">
        <v>60</v>
      </c>
      <c r="E13" s="7">
        <f t="shared" si="0"/>
        <v>72</v>
      </c>
    </row>
    <row r="14" spans="1:6">
      <c r="A14" s="7"/>
      <c r="B14" s="310" t="s">
        <v>418</v>
      </c>
      <c r="C14" s="7"/>
      <c r="D14" s="7"/>
      <c r="E14" s="7">
        <v>836</v>
      </c>
    </row>
    <row r="15" spans="1:6" ht="15">
      <c r="A15" s="49">
        <v>42981</v>
      </c>
      <c r="B15" s="35" t="s">
        <v>723</v>
      </c>
      <c r="C15" s="7"/>
      <c r="D15" s="7">
        <v>400</v>
      </c>
      <c r="E15" s="7">
        <f>E14+C15-D15</f>
        <v>436</v>
      </c>
      <c r="F15" s="501" t="s">
        <v>46</v>
      </c>
    </row>
    <row r="16" spans="1:6">
      <c r="A16" s="21">
        <v>43286</v>
      </c>
      <c r="B16" s="629" t="s">
        <v>779</v>
      </c>
      <c r="C16" s="7"/>
      <c r="D16" s="7">
        <v>2</v>
      </c>
      <c r="E16" s="7">
        <f t="shared" ref="E16:E21" si="1">E15+C16-D16</f>
        <v>434</v>
      </c>
    </row>
    <row r="17" spans="1:6">
      <c r="A17" s="21">
        <v>43317</v>
      </c>
      <c r="B17" s="629" t="s">
        <v>817</v>
      </c>
      <c r="C17" s="7"/>
      <c r="D17" s="7">
        <v>2</v>
      </c>
      <c r="E17" s="7">
        <f t="shared" si="1"/>
        <v>432</v>
      </c>
    </row>
    <row r="18" spans="1:6">
      <c r="A18" s="21">
        <v>43378</v>
      </c>
      <c r="B18" s="631" t="s">
        <v>779</v>
      </c>
      <c r="C18" s="7"/>
      <c r="D18" s="7">
        <v>58</v>
      </c>
      <c r="E18" s="7">
        <f t="shared" si="1"/>
        <v>374</v>
      </c>
    </row>
    <row r="19" spans="1:6">
      <c r="A19" s="21">
        <v>43409</v>
      </c>
      <c r="B19" s="631" t="s">
        <v>780</v>
      </c>
      <c r="C19" s="7"/>
      <c r="D19" s="7">
        <v>200</v>
      </c>
      <c r="E19" s="7">
        <f t="shared" si="1"/>
        <v>174</v>
      </c>
    </row>
    <row r="20" spans="1:6" ht="15">
      <c r="A20" s="159">
        <v>43439</v>
      </c>
      <c r="B20" s="158" t="s">
        <v>809</v>
      </c>
      <c r="C20" s="7"/>
      <c r="D20" s="7">
        <v>40</v>
      </c>
      <c r="E20" s="7">
        <f t="shared" si="1"/>
        <v>134</v>
      </c>
      <c r="F20" s="658" t="s">
        <v>46</v>
      </c>
    </row>
    <row r="21" spans="1:6">
      <c r="A21" s="665" t="s">
        <v>878</v>
      </c>
      <c r="B21" s="664" t="s">
        <v>876</v>
      </c>
      <c r="C21" s="7"/>
      <c r="D21" s="7">
        <v>130</v>
      </c>
      <c r="E21" s="7">
        <f t="shared" si="1"/>
        <v>4</v>
      </c>
      <c r="F21" s="669" t="s">
        <v>46</v>
      </c>
    </row>
    <row r="22" spans="1:6">
      <c r="A22" s="671" t="s">
        <v>884</v>
      </c>
      <c r="B22" s="671" t="s">
        <v>780</v>
      </c>
      <c r="C22" s="7"/>
      <c r="D22" s="7">
        <v>40</v>
      </c>
      <c r="E22" s="7">
        <v>0</v>
      </c>
    </row>
    <row r="23" spans="1:6">
      <c r="A23" s="7"/>
      <c r="B23" s="7"/>
      <c r="C23" s="7"/>
      <c r="D23" s="7"/>
      <c r="E23" s="7"/>
    </row>
  </sheetData>
  <pageMargins left="0.69930555555555596" right="0.69930555555555596" top="0.75" bottom="0.75" header="0.3" footer="0.3"/>
  <pageSetup paperSize="9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FF00"/>
  </sheetPr>
  <dimension ref="A1:F15"/>
  <sheetViews>
    <sheetView workbookViewId="0">
      <selection activeCell="H27" sqref="H27"/>
    </sheetView>
  </sheetViews>
  <sheetFormatPr baseColWidth="10" defaultColWidth="9" defaultRowHeight="14" x14ac:dyDescent="0"/>
  <cols>
    <col min="1" max="1" width="10.6640625" customWidth="1"/>
    <col min="2" max="2" width="19.1640625" customWidth="1"/>
    <col min="6" max="6" width="12.6640625" customWidth="1"/>
  </cols>
  <sheetData>
    <row r="1" spans="1:6" ht="15">
      <c r="A1" s="18" t="s">
        <v>125</v>
      </c>
      <c r="B1" s="18"/>
      <c r="C1" s="18" t="s">
        <v>257</v>
      </c>
      <c r="D1" s="18"/>
      <c r="E1" s="18"/>
    </row>
    <row r="2" spans="1:6" ht="15">
      <c r="A2" s="19"/>
      <c r="B2" s="19"/>
      <c r="C2" s="19"/>
      <c r="D2" s="19"/>
      <c r="E2" s="19"/>
    </row>
    <row r="3" spans="1:6">
      <c r="A3" s="4" t="s">
        <v>1</v>
      </c>
      <c r="B3" s="4" t="s">
        <v>6</v>
      </c>
      <c r="C3" s="4" t="s">
        <v>3</v>
      </c>
      <c r="D3" s="4" t="s">
        <v>4</v>
      </c>
      <c r="E3" s="4" t="s">
        <v>5</v>
      </c>
      <c r="F3" s="202" t="s">
        <v>6</v>
      </c>
    </row>
    <row r="4" spans="1:6" ht="15">
      <c r="A4" s="9"/>
      <c r="B4" s="310" t="s">
        <v>418</v>
      </c>
      <c r="C4" s="35"/>
      <c r="D4" s="173"/>
      <c r="E4" s="87">
        <v>8</v>
      </c>
    </row>
    <row r="5" spans="1:6" ht="15">
      <c r="A5" s="35"/>
      <c r="B5" s="35"/>
      <c r="C5" s="35"/>
      <c r="D5" s="173"/>
      <c r="E5" s="87"/>
    </row>
    <row r="6" spans="1:6" ht="15">
      <c r="A6" s="87"/>
      <c r="B6" s="87"/>
      <c r="C6" s="35"/>
      <c r="D6" s="173"/>
      <c r="E6" s="87"/>
    </row>
    <row r="7" spans="1:6" ht="15">
      <c r="A7" s="91"/>
      <c r="B7" s="92"/>
      <c r="C7" s="122"/>
      <c r="D7" s="123"/>
      <c r="E7" s="87"/>
    </row>
    <row r="8" spans="1:6" ht="15">
      <c r="A8" s="87"/>
      <c r="B8" s="87"/>
      <c r="C8" s="35"/>
      <c r="D8" s="173"/>
      <c r="E8" s="87"/>
    </row>
    <row r="9" spans="1:6" ht="15">
      <c r="A9" s="87"/>
      <c r="B9" s="87"/>
      <c r="C9" s="35"/>
      <c r="D9" s="173"/>
      <c r="E9" s="87"/>
    </row>
    <row r="10" spans="1:6" ht="15">
      <c r="A10" s="87"/>
      <c r="B10" s="87"/>
      <c r="C10" s="35"/>
      <c r="D10" s="173"/>
      <c r="E10" s="87"/>
    </row>
    <row r="11" spans="1:6" ht="15">
      <c r="A11" s="30"/>
      <c r="B11" s="87"/>
      <c r="C11" s="35"/>
      <c r="D11" s="173"/>
      <c r="E11" s="87"/>
    </row>
    <row r="12" spans="1:6">
      <c r="A12" s="9"/>
      <c r="B12" s="9"/>
      <c r="C12" s="9"/>
      <c r="D12" s="9"/>
      <c r="E12" s="9"/>
    </row>
    <row r="13" spans="1:6">
      <c r="A13" s="9"/>
      <c r="B13" s="9"/>
      <c r="C13" s="9"/>
      <c r="D13" s="9"/>
      <c r="E13" s="9"/>
    </row>
    <row r="14" spans="1:6">
      <c r="A14" s="9"/>
      <c r="B14" s="9"/>
      <c r="C14" s="9"/>
      <c r="D14" s="9"/>
      <c r="E14" s="9"/>
    </row>
    <row r="15" spans="1:6">
      <c r="A15" s="9"/>
      <c r="B15" s="9"/>
      <c r="C15" s="9"/>
      <c r="D15" s="9"/>
      <c r="E15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FF00"/>
  </sheetPr>
  <dimension ref="A1:F10"/>
  <sheetViews>
    <sheetView workbookViewId="0">
      <selection activeCell="E7" sqref="E7"/>
    </sheetView>
  </sheetViews>
  <sheetFormatPr baseColWidth="10" defaultColWidth="9" defaultRowHeight="14" x14ac:dyDescent="0"/>
  <cols>
    <col min="1" max="1" width="10.6640625" customWidth="1"/>
    <col min="2" max="2" width="19.1640625" customWidth="1"/>
    <col min="6" max="6" width="16.6640625" customWidth="1"/>
  </cols>
  <sheetData>
    <row r="1" spans="1:6" ht="15">
      <c r="A1" s="18" t="s">
        <v>125</v>
      </c>
      <c r="B1" s="18"/>
      <c r="C1" s="18" t="s">
        <v>258</v>
      </c>
      <c r="D1" s="18"/>
      <c r="E1" s="18"/>
    </row>
    <row r="2" spans="1:6" ht="15">
      <c r="A2" s="19"/>
      <c r="B2" s="19"/>
      <c r="C2" s="19"/>
      <c r="D2" s="19"/>
      <c r="E2" s="19"/>
    </row>
    <row r="3" spans="1:6">
      <c r="A3" s="4" t="s">
        <v>1</v>
      </c>
      <c r="B3" s="4" t="s">
        <v>6</v>
      </c>
      <c r="C3" s="4" t="s">
        <v>3</v>
      </c>
      <c r="D3" s="4" t="s">
        <v>4</v>
      </c>
      <c r="E3" s="4" t="s">
        <v>5</v>
      </c>
      <c r="F3" s="202" t="s">
        <v>6</v>
      </c>
    </row>
    <row r="4" spans="1:6" ht="15" hidden="1">
      <c r="A4" s="194" t="s">
        <v>48</v>
      </c>
      <c r="B4" s="194" t="s">
        <v>7</v>
      </c>
      <c r="C4" s="154"/>
      <c r="D4" s="195">
        <v>150</v>
      </c>
      <c r="E4" s="41"/>
    </row>
    <row r="5" spans="1:6" ht="15" hidden="1">
      <c r="A5" s="194" t="s">
        <v>153</v>
      </c>
      <c r="B5" s="194" t="s">
        <v>7</v>
      </c>
      <c r="C5" s="194"/>
      <c r="D5" s="195">
        <v>100</v>
      </c>
      <c r="E5" s="87"/>
    </row>
    <row r="6" spans="1:6" ht="15" hidden="1">
      <c r="A6" s="196" t="s">
        <v>169</v>
      </c>
      <c r="B6" s="196" t="s">
        <v>7</v>
      </c>
      <c r="C6" s="197"/>
      <c r="D6" s="198">
        <v>50</v>
      </c>
      <c r="E6" s="87"/>
    </row>
    <row r="7" spans="1:6">
      <c r="A7" s="9"/>
      <c r="B7" s="310" t="s">
        <v>408</v>
      </c>
      <c r="C7" s="9"/>
      <c r="D7" s="9"/>
      <c r="E7" s="9">
        <v>291</v>
      </c>
    </row>
    <row r="8" spans="1:6">
      <c r="A8" s="9"/>
      <c r="B8" s="9"/>
      <c r="C8" s="9"/>
      <c r="D8" s="9"/>
      <c r="E8" s="9"/>
    </row>
    <row r="9" spans="1:6">
      <c r="A9" s="9"/>
      <c r="B9" s="9"/>
      <c r="C9" s="9"/>
      <c r="D9" s="9"/>
      <c r="E9" s="9"/>
    </row>
    <row r="10" spans="1:6">
      <c r="A10" s="9"/>
      <c r="B10" s="9"/>
      <c r="C10" s="9"/>
      <c r="D10" s="9"/>
      <c r="E10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FF00"/>
  </sheetPr>
  <dimension ref="A1:F5"/>
  <sheetViews>
    <sheetView workbookViewId="0">
      <selection activeCell="E6" sqref="E6"/>
    </sheetView>
  </sheetViews>
  <sheetFormatPr baseColWidth="10" defaultColWidth="9" defaultRowHeight="14" x14ac:dyDescent="0"/>
  <cols>
    <col min="1" max="1" width="13.6640625" customWidth="1"/>
    <col min="2" max="2" width="25.1640625" customWidth="1"/>
  </cols>
  <sheetData>
    <row r="1" spans="1:6" ht="15">
      <c r="A1" s="18" t="s">
        <v>125</v>
      </c>
      <c r="B1" s="18"/>
      <c r="C1" s="18" t="s">
        <v>259</v>
      </c>
      <c r="D1" s="18"/>
      <c r="E1" s="18"/>
      <c r="F1" s="18"/>
    </row>
    <row r="2" spans="1:6" ht="15">
      <c r="A2" s="19"/>
      <c r="B2" s="19"/>
      <c r="C2" s="19"/>
      <c r="D2" s="19"/>
      <c r="E2" s="19"/>
      <c r="F2" s="19"/>
    </row>
    <row r="3" spans="1:6">
      <c r="A3" s="4" t="s">
        <v>1</v>
      </c>
      <c r="B3" s="4" t="s">
        <v>6</v>
      </c>
      <c r="C3" s="4" t="s">
        <v>3</v>
      </c>
      <c r="D3" s="4" t="s">
        <v>4</v>
      </c>
      <c r="E3" s="4" t="s">
        <v>5</v>
      </c>
      <c r="F3" s="202" t="s">
        <v>6</v>
      </c>
    </row>
    <row r="4" spans="1:6">
      <c r="A4" s="9"/>
      <c r="B4" s="310" t="s">
        <v>418</v>
      </c>
      <c r="C4" s="9"/>
      <c r="D4" s="9"/>
      <c r="E4" s="9">
        <v>101</v>
      </c>
    </row>
    <row r="5" spans="1:6">
      <c r="A5" s="677" t="s">
        <v>889</v>
      </c>
      <c r="B5" s="677" t="s">
        <v>891</v>
      </c>
      <c r="C5" s="9"/>
      <c r="D5" s="9">
        <v>83</v>
      </c>
      <c r="E5" s="9">
        <f>E4+C5-D5</f>
        <v>18</v>
      </c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FF00"/>
  </sheetPr>
  <dimension ref="A1:F55"/>
  <sheetViews>
    <sheetView workbookViewId="0">
      <selection activeCell="F47" sqref="F47"/>
    </sheetView>
  </sheetViews>
  <sheetFormatPr baseColWidth="10" defaultColWidth="9" defaultRowHeight="14" x14ac:dyDescent="0"/>
  <cols>
    <col min="1" max="1" width="12.5" customWidth="1"/>
    <col min="2" max="2" width="25.6640625" customWidth="1"/>
  </cols>
  <sheetData>
    <row r="1" spans="1:6" ht="15">
      <c r="A1" s="18" t="s">
        <v>125</v>
      </c>
      <c r="B1" s="18"/>
      <c r="C1" s="18" t="s">
        <v>261</v>
      </c>
      <c r="D1" s="18"/>
      <c r="E1" s="18"/>
    </row>
    <row r="2" spans="1:6" ht="15">
      <c r="A2" s="19"/>
      <c r="B2" s="19"/>
      <c r="C2" s="19"/>
      <c r="D2" s="19"/>
      <c r="E2" s="19"/>
    </row>
    <row r="3" spans="1:6">
      <c r="A3" s="4" t="s">
        <v>1</v>
      </c>
      <c r="B3" s="4" t="s">
        <v>6</v>
      </c>
      <c r="C3" s="4" t="s">
        <v>3</v>
      </c>
      <c r="D3" s="4" t="s">
        <v>4</v>
      </c>
      <c r="E3" s="4" t="s">
        <v>5</v>
      </c>
      <c r="F3" s="202" t="s">
        <v>6</v>
      </c>
    </row>
    <row r="4" spans="1:6" ht="15" hidden="1">
      <c r="A4" s="87" t="s">
        <v>64</v>
      </c>
      <c r="B4" s="87" t="s">
        <v>139</v>
      </c>
      <c r="C4" s="87">
        <v>150</v>
      </c>
      <c r="D4" s="103"/>
      <c r="E4" s="9">
        <f>C4-D4</f>
        <v>150</v>
      </c>
    </row>
    <row r="5" spans="1:6" ht="15" hidden="1">
      <c r="A5" s="92" t="s">
        <v>65</v>
      </c>
      <c r="B5" s="87" t="s">
        <v>139</v>
      </c>
      <c r="C5" s="92">
        <v>110</v>
      </c>
      <c r="D5" s="137"/>
      <c r="E5" s="175">
        <f>E4+C5-D5</f>
        <v>260</v>
      </c>
    </row>
    <row r="6" spans="1:6" ht="15" hidden="1">
      <c r="A6" s="92" t="s">
        <v>65</v>
      </c>
      <c r="B6" s="92" t="s">
        <v>53</v>
      </c>
      <c r="C6" s="122"/>
      <c r="D6" s="123">
        <v>110</v>
      </c>
      <c r="E6" s="175">
        <f>E5+C6-D6</f>
        <v>150</v>
      </c>
    </row>
    <row r="7" spans="1:6" ht="15" hidden="1">
      <c r="A7" s="92" t="s">
        <v>260</v>
      </c>
      <c r="B7" s="92" t="s">
        <v>53</v>
      </c>
      <c r="C7" s="122">
        <v>11</v>
      </c>
      <c r="D7" s="123"/>
      <c r="E7" s="175">
        <f>E6+C7-D7</f>
        <v>161</v>
      </c>
    </row>
    <row r="8" spans="1:6" ht="15" hidden="1">
      <c r="A8" s="87" t="s">
        <v>142</v>
      </c>
      <c r="B8" s="87" t="s">
        <v>53</v>
      </c>
      <c r="C8" s="35">
        <v>14</v>
      </c>
      <c r="D8" s="173"/>
      <c r="E8" s="175">
        <f t="shared" ref="E8:E42" si="0">E7+C8-D8</f>
        <v>175</v>
      </c>
    </row>
    <row r="9" spans="1:6" ht="15" hidden="1">
      <c r="A9" s="87" t="s">
        <v>206</v>
      </c>
      <c r="B9" s="87" t="s">
        <v>53</v>
      </c>
      <c r="C9" s="35">
        <v>11</v>
      </c>
      <c r="D9" s="173"/>
      <c r="E9" s="175">
        <f t="shared" si="0"/>
        <v>186</v>
      </c>
    </row>
    <row r="10" spans="1:6" ht="15" hidden="1">
      <c r="A10" s="87" t="s">
        <v>188</v>
      </c>
      <c r="B10" s="87" t="s">
        <v>53</v>
      </c>
      <c r="C10" s="35">
        <v>7</v>
      </c>
      <c r="D10" s="173"/>
      <c r="E10" s="175">
        <f t="shared" si="0"/>
        <v>193</v>
      </c>
    </row>
    <row r="11" spans="1:6" ht="15" hidden="1">
      <c r="A11" s="87" t="s">
        <v>230</v>
      </c>
      <c r="B11" s="87" t="s">
        <v>53</v>
      </c>
      <c r="C11" s="87">
        <v>7</v>
      </c>
      <c r="D11" s="103"/>
      <c r="E11" s="175">
        <f t="shared" si="0"/>
        <v>200</v>
      </c>
    </row>
    <row r="12" spans="1:6" ht="15" hidden="1">
      <c r="A12" s="176">
        <v>42461</v>
      </c>
      <c r="B12" s="177" t="s">
        <v>53</v>
      </c>
      <c r="C12" s="178">
        <v>21</v>
      </c>
      <c r="D12" s="178"/>
      <c r="E12" s="175">
        <f t="shared" si="0"/>
        <v>221</v>
      </c>
    </row>
    <row r="13" spans="1:6" ht="15" hidden="1">
      <c r="A13" s="176">
        <v>42552</v>
      </c>
      <c r="B13" s="177" t="s">
        <v>53</v>
      </c>
      <c r="C13" s="178">
        <v>13</v>
      </c>
      <c r="D13" s="178"/>
      <c r="E13" s="175">
        <f t="shared" si="0"/>
        <v>234</v>
      </c>
    </row>
    <row r="14" spans="1:6" ht="15" hidden="1">
      <c r="A14" s="179">
        <v>42583</v>
      </c>
      <c r="B14" s="178" t="s">
        <v>53</v>
      </c>
      <c r="C14" s="178">
        <v>9</v>
      </c>
      <c r="D14" s="178"/>
      <c r="E14" s="175">
        <f t="shared" si="0"/>
        <v>243</v>
      </c>
    </row>
    <row r="15" spans="1:6" ht="15" hidden="1">
      <c r="A15" s="180" t="s">
        <v>55</v>
      </c>
      <c r="B15" s="181" t="s">
        <v>53</v>
      </c>
      <c r="C15" s="181">
        <v>3</v>
      </c>
      <c r="D15" s="181"/>
      <c r="E15" s="175">
        <f t="shared" si="0"/>
        <v>246</v>
      </c>
    </row>
    <row r="16" spans="1:6" ht="15" hidden="1">
      <c r="A16" s="21">
        <v>42373</v>
      </c>
      <c r="B16" s="9" t="s">
        <v>57</v>
      </c>
      <c r="C16" s="9"/>
      <c r="D16" s="26">
        <v>25</v>
      </c>
      <c r="E16" s="175">
        <f t="shared" si="0"/>
        <v>221</v>
      </c>
    </row>
    <row r="17" spans="1:5" ht="15" hidden="1">
      <c r="A17" s="21">
        <v>42525</v>
      </c>
      <c r="B17" s="9" t="s">
        <v>57</v>
      </c>
      <c r="C17" s="9"/>
      <c r="D17" s="9">
        <v>28</v>
      </c>
      <c r="E17" s="175">
        <f t="shared" si="0"/>
        <v>193</v>
      </c>
    </row>
    <row r="18" spans="1:5" ht="15" hidden="1">
      <c r="A18" s="95" t="s">
        <v>69</v>
      </c>
      <c r="B18" s="95" t="s">
        <v>67</v>
      </c>
      <c r="C18" s="9"/>
      <c r="D18" s="26">
        <v>100</v>
      </c>
      <c r="E18" s="175">
        <f t="shared" si="0"/>
        <v>93</v>
      </c>
    </row>
    <row r="19" spans="1:5" ht="15" hidden="1">
      <c r="A19" s="9" t="s">
        <v>74</v>
      </c>
      <c r="B19" s="9" t="s">
        <v>60</v>
      </c>
      <c r="C19" s="9"/>
      <c r="D19" s="26">
        <v>100</v>
      </c>
      <c r="E19" s="175">
        <v>0</v>
      </c>
    </row>
    <row r="20" spans="1:5" ht="15" hidden="1">
      <c r="A20" s="175" t="s">
        <v>83</v>
      </c>
      <c r="B20" s="182" t="s">
        <v>252</v>
      </c>
      <c r="C20" s="175">
        <v>12</v>
      </c>
      <c r="D20" s="175"/>
      <c r="E20" s="175">
        <f t="shared" si="0"/>
        <v>12</v>
      </c>
    </row>
    <row r="21" spans="1:5" ht="15" hidden="1">
      <c r="A21" s="96">
        <v>42437</v>
      </c>
      <c r="B21" s="9" t="s">
        <v>12</v>
      </c>
      <c r="C21" s="181">
        <v>28</v>
      </c>
      <c r="D21" s="181"/>
      <c r="E21" s="175">
        <f t="shared" si="0"/>
        <v>40</v>
      </c>
    </row>
    <row r="22" spans="1:5" ht="15" hidden="1">
      <c r="A22" s="49">
        <v>42590</v>
      </c>
      <c r="B22" s="138" t="s">
        <v>86</v>
      </c>
      <c r="C22" s="9">
        <v>11</v>
      </c>
      <c r="D22" s="181"/>
      <c r="E22" s="175">
        <f t="shared" si="0"/>
        <v>51</v>
      </c>
    </row>
    <row r="23" spans="1:5" ht="15" hidden="1">
      <c r="A23" s="142">
        <v>42651</v>
      </c>
      <c r="B23" s="34" t="s">
        <v>262</v>
      </c>
      <c r="C23" s="9"/>
      <c r="D23" s="26">
        <v>60</v>
      </c>
      <c r="E23" s="175">
        <v>0</v>
      </c>
    </row>
    <row r="24" spans="1:5" ht="15" hidden="1">
      <c r="A24" s="33" t="s">
        <v>90</v>
      </c>
      <c r="B24" s="33" t="s">
        <v>216</v>
      </c>
      <c r="C24" s="9"/>
      <c r="D24" s="9">
        <v>65</v>
      </c>
      <c r="E24" s="175">
        <v>0</v>
      </c>
    </row>
    <row r="25" spans="1:5" ht="15" hidden="1">
      <c r="A25" s="128" t="s">
        <v>90</v>
      </c>
      <c r="B25" s="138" t="s">
        <v>86</v>
      </c>
      <c r="C25" s="9">
        <v>17</v>
      </c>
      <c r="D25" s="9"/>
      <c r="E25" s="175">
        <f t="shared" si="0"/>
        <v>17</v>
      </c>
    </row>
    <row r="26" spans="1:5" ht="15" hidden="1">
      <c r="A26" s="192" t="s">
        <v>93</v>
      </c>
      <c r="B26" s="193" t="s">
        <v>160</v>
      </c>
      <c r="C26" s="193">
        <v>16</v>
      </c>
      <c r="D26" s="24"/>
      <c r="E26" s="175">
        <f t="shared" si="0"/>
        <v>33</v>
      </c>
    </row>
    <row r="27" spans="1:5" ht="15" hidden="1">
      <c r="A27" s="192" t="s">
        <v>94</v>
      </c>
      <c r="B27" s="193" t="s">
        <v>160</v>
      </c>
      <c r="C27" s="193">
        <v>5</v>
      </c>
      <c r="D27" s="24"/>
      <c r="E27" s="175">
        <f t="shared" si="0"/>
        <v>38</v>
      </c>
    </row>
    <row r="28" spans="1:5" ht="15" hidden="1">
      <c r="A28" s="34" t="s">
        <v>95</v>
      </c>
      <c r="B28" s="34" t="s">
        <v>92</v>
      </c>
      <c r="C28" s="9">
        <v>18</v>
      </c>
      <c r="D28" s="9"/>
      <c r="E28" s="175">
        <f t="shared" si="0"/>
        <v>56</v>
      </c>
    </row>
    <row r="29" spans="1:5" ht="15" hidden="1">
      <c r="A29" s="34" t="s">
        <v>95</v>
      </c>
      <c r="B29" s="34" t="s">
        <v>92</v>
      </c>
      <c r="C29" s="9">
        <v>20</v>
      </c>
      <c r="D29" s="9"/>
      <c r="E29" s="175">
        <f t="shared" si="0"/>
        <v>76</v>
      </c>
    </row>
    <row r="30" spans="1:5" ht="15" hidden="1">
      <c r="A30" s="9" t="s">
        <v>96</v>
      </c>
      <c r="B30" s="34" t="s">
        <v>92</v>
      </c>
      <c r="C30" s="9">
        <v>1</v>
      </c>
      <c r="D30" s="9"/>
      <c r="E30" s="175">
        <f t="shared" si="0"/>
        <v>77</v>
      </c>
    </row>
    <row r="31" spans="1:5" ht="15" hidden="1">
      <c r="A31" s="9" t="s">
        <v>97</v>
      </c>
      <c r="B31" s="34" t="s">
        <v>92</v>
      </c>
      <c r="C31" s="9">
        <v>10</v>
      </c>
      <c r="D31" s="9"/>
      <c r="E31" s="175">
        <f t="shared" si="0"/>
        <v>87</v>
      </c>
    </row>
    <row r="32" spans="1:5" ht="15" hidden="1">
      <c r="A32" s="33" t="s">
        <v>98</v>
      </c>
      <c r="B32" s="9" t="s">
        <v>12</v>
      </c>
      <c r="C32" s="9">
        <v>1</v>
      </c>
      <c r="D32" s="9"/>
      <c r="E32" s="175">
        <f t="shared" si="0"/>
        <v>88</v>
      </c>
    </row>
    <row r="33" spans="1:6" ht="15" hidden="1">
      <c r="A33" s="49">
        <v>42378</v>
      </c>
      <c r="B33" s="9" t="s">
        <v>12</v>
      </c>
      <c r="C33" s="9">
        <v>6</v>
      </c>
      <c r="D33" s="9"/>
      <c r="E33" s="175">
        <f t="shared" si="0"/>
        <v>94</v>
      </c>
    </row>
    <row r="34" spans="1:6" ht="15" hidden="1">
      <c r="A34" s="21">
        <v>42622</v>
      </c>
      <c r="B34" s="9" t="s">
        <v>99</v>
      </c>
      <c r="C34" s="9"/>
      <c r="D34" s="9">
        <v>2</v>
      </c>
      <c r="E34" s="175">
        <f t="shared" si="0"/>
        <v>92</v>
      </c>
    </row>
    <row r="35" spans="1:6" ht="15" hidden="1">
      <c r="A35" s="21">
        <v>42622</v>
      </c>
      <c r="B35" s="33" t="s">
        <v>216</v>
      </c>
      <c r="C35" s="9">
        <v>3</v>
      </c>
      <c r="D35" s="9"/>
      <c r="E35" s="175">
        <f t="shared" si="0"/>
        <v>95</v>
      </c>
    </row>
    <row r="36" spans="1:6" ht="15" hidden="1">
      <c r="A36" s="9" t="s">
        <v>172</v>
      </c>
      <c r="B36" s="34" t="s">
        <v>92</v>
      </c>
      <c r="C36" s="9">
        <v>9</v>
      </c>
      <c r="D36" s="9"/>
      <c r="E36" s="175">
        <f t="shared" si="0"/>
        <v>104</v>
      </c>
    </row>
    <row r="37" spans="1:6" ht="15" hidden="1">
      <c r="A37" s="33" t="s">
        <v>100</v>
      </c>
      <c r="B37" s="33" t="s">
        <v>253</v>
      </c>
      <c r="C37" s="9">
        <v>5</v>
      </c>
      <c r="D37" s="9"/>
      <c r="E37" s="175">
        <f t="shared" si="0"/>
        <v>109</v>
      </c>
    </row>
    <row r="38" spans="1:6" ht="15" hidden="1">
      <c r="A38" s="21">
        <v>42439</v>
      </c>
      <c r="B38" s="33" t="s">
        <v>253</v>
      </c>
      <c r="C38" s="9">
        <v>9</v>
      </c>
      <c r="D38" s="9"/>
      <c r="E38" s="175">
        <f t="shared" si="0"/>
        <v>118</v>
      </c>
    </row>
    <row r="39" spans="1:6" ht="15" hidden="1">
      <c r="A39" s="21">
        <v>42592</v>
      </c>
      <c r="B39" s="33" t="s">
        <v>253</v>
      </c>
      <c r="C39" s="9">
        <v>26</v>
      </c>
      <c r="D39" s="9"/>
      <c r="E39" s="175">
        <f t="shared" si="0"/>
        <v>144</v>
      </c>
    </row>
    <row r="40" spans="1:6" ht="15" hidden="1">
      <c r="A40" s="21">
        <v>42653</v>
      </c>
      <c r="B40" s="9" t="s">
        <v>32</v>
      </c>
      <c r="C40" s="9">
        <v>44</v>
      </c>
      <c r="D40" s="9"/>
      <c r="E40" s="175">
        <f t="shared" si="0"/>
        <v>188</v>
      </c>
    </row>
    <row r="41" spans="1:6" ht="15" hidden="1">
      <c r="A41" s="57" t="s">
        <v>158</v>
      </c>
      <c r="B41" s="9" t="s">
        <v>32</v>
      </c>
      <c r="C41" s="9">
        <v>24</v>
      </c>
      <c r="D41" s="9"/>
      <c r="E41" s="175">
        <f t="shared" si="0"/>
        <v>212</v>
      </c>
    </row>
    <row r="42" spans="1:6" ht="15" hidden="1">
      <c r="A42" s="9" t="s">
        <v>147</v>
      </c>
      <c r="B42" s="9" t="s">
        <v>249</v>
      </c>
      <c r="C42" s="9"/>
      <c r="D42" s="9">
        <v>4</v>
      </c>
      <c r="E42" s="175">
        <f t="shared" si="0"/>
        <v>208</v>
      </c>
    </row>
    <row r="43" spans="1:6">
      <c r="A43" s="9"/>
      <c r="B43" s="310" t="s">
        <v>408</v>
      </c>
      <c r="C43" s="9"/>
      <c r="D43" s="9"/>
      <c r="E43" s="9">
        <v>323</v>
      </c>
    </row>
    <row r="44" spans="1:6">
      <c r="A44" s="12">
        <v>43284</v>
      </c>
      <c r="B44" s="7" t="s">
        <v>17</v>
      </c>
      <c r="C44" s="9"/>
      <c r="D44" s="9">
        <v>162</v>
      </c>
      <c r="E44" s="9">
        <f>E43+C44-D44</f>
        <v>161</v>
      </c>
      <c r="F44" t="s">
        <v>718</v>
      </c>
    </row>
    <row r="45" spans="1:6">
      <c r="A45" s="21">
        <v>43315</v>
      </c>
      <c r="B45" s="9" t="s">
        <v>719</v>
      </c>
      <c r="C45" s="9">
        <v>12</v>
      </c>
      <c r="D45" s="9"/>
      <c r="E45" s="9">
        <f>E44+C45-D45</f>
        <v>173</v>
      </c>
      <c r="F45" s="501" t="s">
        <v>718</v>
      </c>
    </row>
    <row r="46" spans="1:6">
      <c r="A46" s="656" t="s">
        <v>863</v>
      </c>
      <c r="B46" s="656" t="s">
        <v>865</v>
      </c>
      <c r="C46" s="9"/>
      <c r="D46" s="9">
        <v>36</v>
      </c>
      <c r="E46" s="9">
        <f>E45+C46-D46</f>
        <v>137</v>
      </c>
      <c r="F46" s="658" t="s">
        <v>718</v>
      </c>
    </row>
    <row r="47" spans="1:6">
      <c r="A47" s="9"/>
      <c r="B47" s="9"/>
      <c r="C47" s="9"/>
      <c r="D47" s="9"/>
      <c r="E47" s="9"/>
    </row>
    <row r="48" spans="1:6">
      <c r="A48" s="9"/>
      <c r="B48" s="9"/>
      <c r="C48" s="9"/>
      <c r="D48" s="9"/>
      <c r="E48" s="9"/>
    </row>
    <row r="49" spans="1:5">
      <c r="A49" s="9"/>
      <c r="B49" s="9"/>
      <c r="C49" s="9"/>
      <c r="D49" s="9"/>
      <c r="E49" s="9"/>
    </row>
    <row r="50" spans="1:5">
      <c r="A50" s="9"/>
      <c r="B50" s="9"/>
      <c r="C50" s="9"/>
      <c r="D50" s="9"/>
      <c r="E50" s="9"/>
    </row>
    <row r="51" spans="1:5">
      <c r="A51" s="9"/>
      <c r="B51" s="9"/>
      <c r="C51" s="9"/>
      <c r="D51" s="9"/>
      <c r="E51" s="9"/>
    </row>
    <row r="52" spans="1:5">
      <c r="A52" s="9"/>
      <c r="B52" s="9"/>
      <c r="C52" s="9"/>
      <c r="D52" s="9"/>
      <c r="E52" s="9"/>
    </row>
    <row r="53" spans="1:5">
      <c r="A53" s="9"/>
      <c r="B53" s="9"/>
      <c r="C53" s="9"/>
      <c r="D53" s="9"/>
      <c r="E53" s="9"/>
    </row>
    <row r="54" spans="1:5">
      <c r="A54" s="9"/>
      <c r="B54" s="9"/>
      <c r="C54" s="9"/>
      <c r="D54" s="9"/>
      <c r="E54" s="9"/>
    </row>
    <row r="55" spans="1:5">
      <c r="A55" s="9"/>
      <c r="B55" s="9"/>
      <c r="C55" s="9"/>
      <c r="D55" s="9"/>
      <c r="E55" s="9"/>
    </row>
  </sheetData>
  <pageMargins left="0.69930555555555596" right="0.69930555555555596" top="0.75" bottom="0.75" header="0.3" footer="0.3"/>
  <pageSetup paperSize="9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FF00"/>
  </sheetPr>
  <dimension ref="A1:K17"/>
  <sheetViews>
    <sheetView workbookViewId="0">
      <selection activeCell="E5" sqref="E5"/>
    </sheetView>
  </sheetViews>
  <sheetFormatPr baseColWidth="10" defaultColWidth="8.83203125" defaultRowHeight="14" x14ac:dyDescent="0"/>
  <cols>
    <col min="1" max="1" width="12.1640625" customWidth="1"/>
    <col min="2" max="2" width="16.1640625" customWidth="1"/>
    <col min="6" max="6" width="15.5" customWidth="1"/>
  </cols>
  <sheetData>
    <row r="1" spans="1:11" ht="15">
      <c r="A1" s="18" t="s">
        <v>125</v>
      </c>
      <c r="B1" s="18"/>
      <c r="C1" s="18" t="s">
        <v>864</v>
      </c>
      <c r="D1" s="18"/>
      <c r="E1" s="18"/>
    </row>
    <row r="2" spans="1:11" ht="15">
      <c r="A2" s="19"/>
      <c r="B2" s="19"/>
      <c r="C2" s="19"/>
      <c r="D2" s="19"/>
      <c r="E2" s="19"/>
      <c r="G2" s="186"/>
      <c r="H2" s="186"/>
      <c r="I2" s="186"/>
      <c r="J2" s="186"/>
      <c r="K2" s="186"/>
    </row>
    <row r="3" spans="1:11" ht="15">
      <c r="A3" s="202" t="s">
        <v>1</v>
      </c>
      <c r="B3" s="202" t="s">
        <v>6</v>
      </c>
      <c r="C3" s="202" t="s">
        <v>3</v>
      </c>
      <c r="D3" s="202" t="s">
        <v>4</v>
      </c>
      <c r="E3" s="202" t="s">
        <v>5</v>
      </c>
      <c r="F3" s="202" t="s">
        <v>6</v>
      </c>
      <c r="G3" s="186"/>
      <c r="H3" s="186"/>
      <c r="I3" s="186"/>
      <c r="J3" s="186"/>
      <c r="K3" s="186"/>
    </row>
    <row r="4" spans="1:11">
      <c r="A4" s="656" t="s">
        <v>863</v>
      </c>
      <c r="B4" s="656" t="s">
        <v>779</v>
      </c>
      <c r="C4" s="9"/>
      <c r="D4" s="9">
        <v>42</v>
      </c>
      <c r="E4" s="9">
        <v>0</v>
      </c>
      <c r="F4" s="9"/>
    </row>
    <row r="5" spans="1:11">
      <c r="A5" s="9"/>
      <c r="B5" s="9"/>
      <c r="C5" s="9"/>
      <c r="D5" s="9"/>
      <c r="E5" s="9"/>
      <c r="F5" s="9"/>
    </row>
    <row r="6" spans="1:11">
      <c r="A6" s="9"/>
      <c r="B6" s="9"/>
      <c r="C6" s="9"/>
      <c r="D6" s="9"/>
      <c r="E6" s="9"/>
      <c r="F6" s="9"/>
    </row>
    <row r="7" spans="1:11">
      <c r="A7" s="9"/>
      <c r="B7" s="9"/>
      <c r="C7" s="9"/>
      <c r="D7" s="9"/>
      <c r="E7" s="9"/>
      <c r="F7" s="9"/>
    </row>
    <row r="8" spans="1:11">
      <c r="A8" s="9"/>
      <c r="B8" s="9"/>
      <c r="C8" s="9"/>
      <c r="D8" s="9"/>
      <c r="E8" s="9"/>
      <c r="F8" s="9"/>
    </row>
    <row r="9" spans="1:11">
      <c r="A9" s="9"/>
      <c r="B9" s="9"/>
      <c r="C9" s="9"/>
      <c r="D9" s="9"/>
      <c r="E9" s="9"/>
      <c r="F9" s="9"/>
    </row>
    <row r="10" spans="1:11">
      <c r="A10" s="9"/>
      <c r="B10" s="9"/>
      <c r="C10" s="9"/>
      <c r="D10" s="9"/>
      <c r="E10" s="9"/>
      <c r="F10" s="9"/>
    </row>
    <row r="11" spans="1:11">
      <c r="A11" s="9"/>
      <c r="B11" s="9"/>
      <c r="C11" s="9"/>
      <c r="D11" s="9"/>
      <c r="E11" s="9"/>
      <c r="F11" s="9"/>
    </row>
    <row r="12" spans="1:11">
      <c r="A12" s="9"/>
      <c r="B12" s="9"/>
      <c r="C12" s="9"/>
      <c r="D12" s="9"/>
      <c r="E12" s="9"/>
      <c r="F12" s="9"/>
    </row>
    <row r="13" spans="1:11">
      <c r="A13" s="9"/>
      <c r="B13" s="9"/>
      <c r="C13" s="9"/>
      <c r="D13" s="9"/>
      <c r="E13" s="9"/>
      <c r="F13" s="9"/>
    </row>
    <row r="14" spans="1:11">
      <c r="A14" s="9"/>
      <c r="B14" s="9"/>
      <c r="C14" s="9"/>
      <c r="D14" s="9"/>
      <c r="E14" s="9"/>
      <c r="F14" s="9"/>
    </row>
    <row r="15" spans="1:11">
      <c r="A15" s="9"/>
      <c r="B15" s="9"/>
      <c r="C15" s="9"/>
      <c r="D15" s="9"/>
      <c r="E15" s="9"/>
      <c r="F15" s="9"/>
    </row>
    <row r="16" spans="1:11">
      <c r="A16" s="9"/>
      <c r="B16" s="9"/>
      <c r="C16" s="9"/>
      <c r="D16" s="9"/>
      <c r="E16" s="9"/>
      <c r="F16" s="9"/>
    </row>
    <row r="17" spans="1:6">
      <c r="A17" s="9"/>
      <c r="B17" s="9"/>
      <c r="C17" s="9"/>
      <c r="D17" s="9"/>
      <c r="E17" s="9"/>
      <c r="F17" s="9"/>
    </row>
  </sheetData>
  <pageMargins left="0.7" right="0.7" top="0.75" bottom="0.75" header="0.3" footer="0.3"/>
  <pageSetup paperSize="136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FF00"/>
  </sheetPr>
  <dimension ref="A1:K21"/>
  <sheetViews>
    <sheetView workbookViewId="0">
      <selection activeCell="E13" sqref="E13"/>
    </sheetView>
  </sheetViews>
  <sheetFormatPr baseColWidth="10" defaultColWidth="9" defaultRowHeight="14" x14ac:dyDescent="0"/>
  <cols>
    <col min="1" max="1" width="12.33203125" customWidth="1"/>
    <col min="2" max="2" width="27.5" customWidth="1"/>
  </cols>
  <sheetData>
    <row r="1" spans="1:11" ht="15">
      <c r="A1" s="18" t="s">
        <v>125</v>
      </c>
      <c r="B1" s="18"/>
      <c r="C1" s="18" t="s">
        <v>263</v>
      </c>
      <c r="D1" s="18"/>
      <c r="E1" s="18"/>
    </row>
    <row r="2" spans="1:11" ht="15">
      <c r="A2" s="19"/>
      <c r="B2" s="19"/>
      <c r="C2" s="19"/>
      <c r="D2" s="19"/>
      <c r="E2" s="19"/>
      <c r="G2" s="186"/>
      <c r="H2" s="186"/>
      <c r="I2" s="186"/>
      <c r="J2" s="186"/>
      <c r="K2" s="186"/>
    </row>
    <row r="3" spans="1:11" ht="15">
      <c r="A3" s="4" t="s">
        <v>1</v>
      </c>
      <c r="B3" s="4" t="s">
        <v>6</v>
      </c>
      <c r="C3" s="4" t="s">
        <v>3</v>
      </c>
      <c r="D3" s="4" t="s">
        <v>4</v>
      </c>
      <c r="E3" s="4" t="s">
        <v>5</v>
      </c>
      <c r="F3" s="202" t="s">
        <v>6</v>
      </c>
      <c r="G3" s="186"/>
      <c r="H3" s="186"/>
      <c r="I3" s="186"/>
      <c r="J3" s="186"/>
      <c r="K3" s="186"/>
    </row>
    <row r="4" spans="1:11" ht="15" hidden="1">
      <c r="A4" s="9" t="s">
        <v>68</v>
      </c>
      <c r="B4" s="27" t="s">
        <v>9</v>
      </c>
      <c r="C4" s="9">
        <v>40</v>
      </c>
      <c r="D4" s="9"/>
      <c r="E4" s="9">
        <v>40</v>
      </c>
      <c r="G4" s="186"/>
      <c r="H4" s="186"/>
      <c r="I4" s="186"/>
      <c r="J4" s="186"/>
      <c r="K4" s="186"/>
    </row>
    <row r="5" spans="1:11" ht="15" hidden="1">
      <c r="A5" s="9" t="s">
        <v>73</v>
      </c>
      <c r="B5" s="9" t="s">
        <v>60</v>
      </c>
      <c r="C5" s="178"/>
      <c r="D5" s="178">
        <v>40</v>
      </c>
      <c r="E5" s="175">
        <f>E4+C5-D5</f>
        <v>0</v>
      </c>
      <c r="G5" s="187"/>
      <c r="H5" s="187"/>
      <c r="I5" s="187"/>
      <c r="J5" s="187"/>
      <c r="K5" s="187"/>
    </row>
    <row r="6" spans="1:11" ht="15" hidden="1">
      <c r="A6" s="188" t="s">
        <v>80</v>
      </c>
      <c r="B6" s="189" t="s">
        <v>60</v>
      </c>
      <c r="C6" s="183">
        <v>2</v>
      </c>
      <c r="D6" s="178"/>
      <c r="E6" s="175">
        <f>E5+C6-D6</f>
        <v>2</v>
      </c>
      <c r="G6" s="186"/>
      <c r="H6" s="186"/>
      <c r="I6" s="186"/>
      <c r="J6" s="186"/>
      <c r="K6" s="186"/>
    </row>
    <row r="7" spans="1:11" ht="15" hidden="1">
      <c r="A7" s="175" t="s">
        <v>83</v>
      </c>
      <c r="B7" s="182" t="s">
        <v>252</v>
      </c>
      <c r="C7" s="175">
        <v>1</v>
      </c>
      <c r="D7" s="175"/>
      <c r="E7" s="175">
        <f t="shared" ref="E7:E8" si="0">E6+C7-D7</f>
        <v>3</v>
      </c>
      <c r="G7" s="190"/>
      <c r="H7" s="190"/>
      <c r="I7" s="190"/>
      <c r="J7" s="190"/>
      <c r="K7" s="186"/>
    </row>
    <row r="8" spans="1:11" ht="15" hidden="1">
      <c r="A8" s="57" t="s">
        <v>158</v>
      </c>
      <c r="B8" s="9" t="s">
        <v>32</v>
      </c>
      <c r="C8" s="181">
        <v>2</v>
      </c>
      <c r="D8" s="181"/>
      <c r="E8" s="175">
        <f t="shared" si="0"/>
        <v>5</v>
      </c>
      <c r="G8" s="191"/>
      <c r="H8" s="186"/>
      <c r="I8" s="186"/>
      <c r="J8" s="186"/>
      <c r="K8" s="186"/>
    </row>
    <row r="9" spans="1:11" ht="15">
      <c r="A9" s="9"/>
      <c r="B9" s="310" t="s">
        <v>408</v>
      </c>
      <c r="C9" s="9"/>
      <c r="D9" s="26"/>
      <c r="E9" s="175">
        <v>23</v>
      </c>
      <c r="G9" s="190"/>
      <c r="H9" s="190"/>
      <c r="I9" s="190"/>
      <c r="J9" s="190"/>
      <c r="K9" s="190"/>
    </row>
    <row r="10" spans="1:11" ht="15">
      <c r="A10" s="35" t="s">
        <v>862</v>
      </c>
      <c r="B10" s="35" t="s">
        <v>779</v>
      </c>
      <c r="C10" s="9"/>
      <c r="D10" s="9">
        <v>66</v>
      </c>
      <c r="E10" s="175">
        <v>0</v>
      </c>
    </row>
    <row r="11" spans="1:11" ht="15">
      <c r="A11" s="657" t="s">
        <v>863</v>
      </c>
      <c r="B11" s="35" t="s">
        <v>779</v>
      </c>
      <c r="C11" s="9"/>
      <c r="D11" s="26">
        <v>93</v>
      </c>
      <c r="E11" s="175">
        <v>0</v>
      </c>
    </row>
    <row r="12" spans="1:11" ht="15">
      <c r="A12" s="35" t="s">
        <v>874</v>
      </c>
      <c r="B12" s="35" t="s">
        <v>779</v>
      </c>
      <c r="C12" s="9"/>
      <c r="D12" s="26">
        <v>30</v>
      </c>
      <c r="E12" s="175">
        <v>0</v>
      </c>
    </row>
    <row r="13" spans="1:11" ht="15">
      <c r="A13" s="678" t="s">
        <v>886</v>
      </c>
      <c r="B13" s="95" t="s">
        <v>779</v>
      </c>
      <c r="C13" s="9"/>
      <c r="D13" s="26">
        <v>53</v>
      </c>
      <c r="E13" s="175">
        <v>0</v>
      </c>
    </row>
    <row r="14" spans="1:11">
      <c r="A14" s="9"/>
      <c r="B14" s="9"/>
      <c r="C14" s="9"/>
      <c r="D14" s="9"/>
      <c r="E14" s="9"/>
    </row>
    <row r="15" spans="1:11">
      <c r="A15" s="9"/>
      <c r="B15" s="9"/>
      <c r="C15" s="9"/>
      <c r="D15" s="9"/>
      <c r="E15" s="9"/>
    </row>
    <row r="16" spans="1:11">
      <c r="A16" s="9"/>
      <c r="B16" s="9"/>
      <c r="C16" s="9"/>
      <c r="D16" s="9"/>
      <c r="E16" s="9"/>
    </row>
    <row r="17" spans="1:5">
      <c r="A17" s="9"/>
      <c r="B17" s="9"/>
      <c r="C17" s="9"/>
      <c r="D17" s="9"/>
      <c r="E17" s="9"/>
    </row>
    <row r="18" spans="1:5">
      <c r="A18" s="9"/>
      <c r="B18" s="9"/>
      <c r="C18" s="9"/>
      <c r="D18" s="9"/>
      <c r="E18" s="9"/>
    </row>
    <row r="19" spans="1:5">
      <c r="A19" s="9"/>
      <c r="B19" s="9"/>
      <c r="C19" s="9"/>
      <c r="D19" s="9"/>
      <c r="E19" s="9"/>
    </row>
    <row r="20" spans="1:5">
      <c r="A20" s="9"/>
      <c r="B20" s="9"/>
      <c r="C20" s="9"/>
      <c r="D20" s="9"/>
      <c r="E20" s="9"/>
    </row>
    <row r="21" spans="1:5">
      <c r="A21" s="9"/>
      <c r="B21" s="9"/>
      <c r="C21" s="9"/>
      <c r="D21" s="9"/>
      <c r="E21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FF00"/>
  </sheetPr>
  <dimension ref="A1:F25"/>
  <sheetViews>
    <sheetView workbookViewId="0">
      <selection activeCell="E23" sqref="E23"/>
    </sheetView>
  </sheetViews>
  <sheetFormatPr baseColWidth="10" defaultColWidth="9" defaultRowHeight="14" x14ac:dyDescent="0"/>
  <cols>
    <col min="1" max="1" width="12.33203125" customWidth="1"/>
    <col min="2" max="2" width="27.5" customWidth="1"/>
    <col min="6" max="6" width="14" customWidth="1"/>
  </cols>
  <sheetData>
    <row r="1" spans="1:6" ht="15">
      <c r="A1" s="18" t="s">
        <v>125</v>
      </c>
      <c r="B1" s="18"/>
      <c r="C1" s="18" t="s">
        <v>264</v>
      </c>
      <c r="D1" s="18"/>
      <c r="E1" s="18"/>
    </row>
    <row r="2" spans="1:6" ht="15">
      <c r="A2" s="19"/>
      <c r="B2" s="19"/>
      <c r="C2" s="19"/>
      <c r="D2" s="19"/>
      <c r="E2" s="19"/>
    </row>
    <row r="3" spans="1:6">
      <c r="A3" s="4" t="s">
        <v>1</v>
      </c>
      <c r="B3" s="4" t="s">
        <v>6</v>
      </c>
      <c r="C3" s="4" t="s">
        <v>3</v>
      </c>
      <c r="D3" s="4" t="s">
        <v>4</v>
      </c>
      <c r="E3" s="4" t="s">
        <v>5</v>
      </c>
      <c r="F3" s="202" t="s">
        <v>6</v>
      </c>
    </row>
    <row r="4" spans="1:6" ht="15" hidden="1">
      <c r="A4" s="121" t="s">
        <v>211</v>
      </c>
      <c r="B4" s="121" t="s">
        <v>139</v>
      </c>
      <c r="C4" s="121">
        <v>40</v>
      </c>
      <c r="D4" s="9"/>
      <c r="E4" s="9">
        <f>C4-D4</f>
        <v>40</v>
      </c>
    </row>
    <row r="5" spans="1:6" ht="15" hidden="1">
      <c r="A5" s="56" t="s">
        <v>89</v>
      </c>
      <c r="B5" s="56" t="s">
        <v>265</v>
      </c>
      <c r="C5" s="56">
        <v>1</v>
      </c>
      <c r="D5" s="9"/>
      <c r="E5" s="9">
        <f>E4+C5-D5</f>
        <v>41</v>
      </c>
    </row>
    <row r="6" spans="1:6" ht="15" hidden="1">
      <c r="A6" s="56" t="s">
        <v>90</v>
      </c>
      <c r="B6" s="56" t="s">
        <v>265</v>
      </c>
      <c r="C6" s="56">
        <v>3</v>
      </c>
      <c r="D6" s="178"/>
      <c r="E6" s="9">
        <f t="shared" ref="E6:E22" si="0">E5+C6-D6</f>
        <v>44</v>
      </c>
    </row>
    <row r="7" spans="1:6" ht="15" hidden="1">
      <c r="A7" s="56" t="s">
        <v>94</v>
      </c>
      <c r="B7" s="56" t="s">
        <v>265</v>
      </c>
      <c r="C7" s="56">
        <v>14</v>
      </c>
      <c r="D7" s="178"/>
      <c r="E7" s="9">
        <f t="shared" si="0"/>
        <v>58</v>
      </c>
    </row>
    <row r="8" spans="1:6" ht="15" hidden="1">
      <c r="A8" s="9" t="s">
        <v>95</v>
      </c>
      <c r="B8" s="9" t="s">
        <v>12</v>
      </c>
      <c r="C8" s="183">
        <v>17</v>
      </c>
      <c r="D8" s="178"/>
      <c r="E8" s="9">
        <f t="shared" si="0"/>
        <v>75</v>
      </c>
    </row>
    <row r="9" spans="1:6" ht="15" hidden="1">
      <c r="A9" s="175" t="s">
        <v>96</v>
      </c>
      <c r="B9" s="182" t="s">
        <v>9</v>
      </c>
      <c r="C9" s="182">
        <v>40</v>
      </c>
      <c r="D9" s="175"/>
      <c r="E9" s="9">
        <f t="shared" si="0"/>
        <v>115</v>
      </c>
    </row>
    <row r="10" spans="1:6" ht="15" hidden="1">
      <c r="A10" s="96" t="s">
        <v>96</v>
      </c>
      <c r="B10" s="9" t="s">
        <v>266</v>
      </c>
      <c r="C10" s="181"/>
      <c r="D10" s="181">
        <v>74</v>
      </c>
      <c r="E10" s="9">
        <f t="shared" si="0"/>
        <v>41</v>
      </c>
    </row>
    <row r="11" spans="1:6" ht="15" hidden="1">
      <c r="A11" s="9" t="s">
        <v>96</v>
      </c>
      <c r="B11" s="34" t="s">
        <v>92</v>
      </c>
      <c r="C11" s="181">
        <v>1</v>
      </c>
      <c r="D11" s="181"/>
      <c r="E11" s="9">
        <f t="shared" si="0"/>
        <v>42</v>
      </c>
    </row>
    <row r="12" spans="1:6" hidden="1">
      <c r="A12" s="184">
        <v>42438</v>
      </c>
      <c r="B12" s="169" t="s">
        <v>9</v>
      </c>
      <c r="C12" s="140">
        <v>160</v>
      </c>
      <c r="D12" s="140"/>
      <c r="E12" s="140">
        <f t="shared" si="0"/>
        <v>202</v>
      </c>
      <c r="F12" s="185"/>
    </row>
    <row r="13" spans="1:6" ht="15" hidden="1">
      <c r="A13" s="142">
        <v>42438</v>
      </c>
      <c r="B13" s="33" t="s">
        <v>14</v>
      </c>
      <c r="C13" s="9"/>
      <c r="D13" s="9">
        <v>160</v>
      </c>
      <c r="E13" s="9">
        <f t="shared" si="0"/>
        <v>42</v>
      </c>
    </row>
    <row r="14" spans="1:6" hidden="1">
      <c r="A14" s="142">
        <v>42560</v>
      </c>
      <c r="B14" s="34" t="s">
        <v>14</v>
      </c>
      <c r="C14" s="9">
        <v>77</v>
      </c>
      <c r="D14" s="26"/>
      <c r="E14" s="9">
        <f t="shared" si="0"/>
        <v>119</v>
      </c>
    </row>
    <row r="15" spans="1:6" ht="15" hidden="1">
      <c r="A15" s="49">
        <v>42591</v>
      </c>
      <c r="B15" s="35" t="s">
        <v>145</v>
      </c>
      <c r="C15" s="9">
        <v>42</v>
      </c>
      <c r="D15" s="26"/>
      <c r="E15" s="9">
        <f t="shared" si="0"/>
        <v>161</v>
      </c>
    </row>
    <row r="16" spans="1:6" ht="15" hidden="1">
      <c r="A16" s="21">
        <v>42622</v>
      </c>
      <c r="B16" s="33" t="s">
        <v>216</v>
      </c>
      <c r="C16" s="9">
        <v>89</v>
      </c>
      <c r="D16" s="26"/>
      <c r="E16" s="9">
        <f t="shared" si="0"/>
        <v>250</v>
      </c>
    </row>
    <row r="17" spans="1:5" hidden="1">
      <c r="A17" s="9" t="s">
        <v>172</v>
      </c>
      <c r="B17" s="34" t="s">
        <v>92</v>
      </c>
      <c r="C17" s="9">
        <v>2</v>
      </c>
      <c r="D17" s="9"/>
      <c r="E17" s="9">
        <f t="shared" si="0"/>
        <v>252</v>
      </c>
    </row>
    <row r="18" spans="1:5" ht="15" hidden="1">
      <c r="A18" s="33" t="s">
        <v>100</v>
      </c>
      <c r="B18" s="33" t="s">
        <v>253</v>
      </c>
      <c r="C18" s="9">
        <v>6</v>
      </c>
      <c r="D18" s="9"/>
      <c r="E18" s="9">
        <f t="shared" si="0"/>
        <v>258</v>
      </c>
    </row>
    <row r="19" spans="1:5" ht="15" hidden="1">
      <c r="A19" s="9" t="s">
        <v>124</v>
      </c>
      <c r="B19" s="33" t="s">
        <v>253</v>
      </c>
      <c r="C19" s="9">
        <v>3</v>
      </c>
      <c r="D19" s="9"/>
      <c r="E19" s="9">
        <f t="shared" si="0"/>
        <v>261</v>
      </c>
    </row>
    <row r="20" spans="1:5" ht="15" hidden="1">
      <c r="A20" s="21">
        <v>42592</v>
      </c>
      <c r="B20" s="33" t="s">
        <v>253</v>
      </c>
      <c r="C20" s="9">
        <v>3</v>
      </c>
      <c r="D20" s="9"/>
      <c r="E20" s="9">
        <f t="shared" si="0"/>
        <v>264</v>
      </c>
    </row>
    <row r="21" spans="1:5" hidden="1">
      <c r="A21" s="21">
        <v>42653</v>
      </c>
      <c r="B21" s="9" t="s">
        <v>32</v>
      </c>
      <c r="C21" s="9">
        <v>2</v>
      </c>
      <c r="D21" s="9"/>
      <c r="E21" s="9">
        <f t="shared" si="0"/>
        <v>266</v>
      </c>
    </row>
    <row r="22" spans="1:5" hidden="1">
      <c r="A22" s="9" t="s">
        <v>254</v>
      </c>
      <c r="B22" s="9" t="s">
        <v>32</v>
      </c>
      <c r="C22" s="9">
        <v>9</v>
      </c>
      <c r="D22" s="9"/>
      <c r="E22" s="9">
        <f t="shared" si="0"/>
        <v>275</v>
      </c>
    </row>
    <row r="23" spans="1:5" ht="15">
      <c r="A23" s="49"/>
      <c r="B23" s="310" t="s">
        <v>408</v>
      </c>
      <c r="C23" s="9"/>
      <c r="D23" s="9"/>
      <c r="E23" s="26">
        <v>252</v>
      </c>
    </row>
    <row r="24" spans="1:5" ht="15">
      <c r="A24" s="49"/>
      <c r="B24" s="9"/>
      <c r="C24" s="9"/>
      <c r="D24" s="9"/>
      <c r="E24" s="9"/>
    </row>
    <row r="25" spans="1:5">
      <c r="A25" s="9"/>
      <c r="B25" s="9"/>
      <c r="C25" s="9"/>
      <c r="D25" s="9"/>
      <c r="E25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FF00"/>
  </sheetPr>
  <dimension ref="A1:F12"/>
  <sheetViews>
    <sheetView workbookViewId="0">
      <selection activeCell="A5" sqref="A5:B5"/>
    </sheetView>
  </sheetViews>
  <sheetFormatPr baseColWidth="10" defaultColWidth="8.83203125" defaultRowHeight="14" x14ac:dyDescent="0"/>
  <cols>
    <col min="1" max="2" width="18.6640625" customWidth="1"/>
    <col min="3" max="3" width="8.83203125" customWidth="1"/>
    <col min="4" max="4" width="10" customWidth="1"/>
    <col min="5" max="5" width="7.1640625" customWidth="1"/>
    <col min="6" max="6" width="15.1640625" customWidth="1"/>
    <col min="7" max="7" width="18.6640625" customWidth="1"/>
  </cols>
  <sheetData>
    <row r="1" spans="1:6" ht="15">
      <c r="A1" s="18" t="s">
        <v>125</v>
      </c>
      <c r="B1" s="18"/>
      <c r="C1" s="18" t="s">
        <v>901</v>
      </c>
      <c r="D1" s="18"/>
      <c r="E1" s="18"/>
    </row>
    <row r="2" spans="1:6" ht="15">
      <c r="A2" s="19"/>
      <c r="B2" s="19"/>
      <c r="C2" s="19"/>
      <c r="D2" s="19"/>
      <c r="E2" s="19"/>
    </row>
    <row r="3" spans="1:6">
      <c r="A3" s="4" t="s">
        <v>1</v>
      </c>
      <c r="B3" s="4" t="s">
        <v>6</v>
      </c>
      <c r="C3" s="4" t="s">
        <v>3</v>
      </c>
      <c r="D3" s="4" t="s">
        <v>4</v>
      </c>
      <c r="E3" s="4" t="s">
        <v>5</v>
      </c>
      <c r="F3" s="4" t="s">
        <v>6</v>
      </c>
    </row>
    <row r="4" spans="1:6">
      <c r="A4" s="684" t="s">
        <v>898</v>
      </c>
      <c r="B4" s="684" t="s">
        <v>779</v>
      </c>
      <c r="C4" s="9"/>
      <c r="D4" s="9">
        <v>70</v>
      </c>
      <c r="E4" s="9">
        <v>0</v>
      </c>
      <c r="F4" s="9"/>
    </row>
    <row r="5" spans="1:6">
      <c r="A5" s="690" t="s">
        <v>912</v>
      </c>
      <c r="B5" s="684" t="s">
        <v>779</v>
      </c>
      <c r="C5" s="9"/>
      <c r="D5" s="9">
        <v>78</v>
      </c>
      <c r="E5" s="9"/>
      <c r="F5" s="9"/>
    </row>
    <row r="6" spans="1:6">
      <c r="A6" s="9"/>
      <c r="B6" s="9"/>
      <c r="C6" s="9"/>
      <c r="D6" s="9"/>
      <c r="E6" s="9"/>
      <c r="F6" s="9"/>
    </row>
    <row r="7" spans="1:6">
      <c r="A7" s="9"/>
      <c r="B7" s="9"/>
      <c r="C7" s="9"/>
      <c r="D7" s="9"/>
      <c r="E7" s="9"/>
      <c r="F7" s="9"/>
    </row>
    <row r="8" spans="1:6">
      <c r="A8" s="9"/>
      <c r="B8" s="9"/>
      <c r="C8" s="9"/>
      <c r="D8" s="9"/>
      <c r="E8" s="9"/>
      <c r="F8" s="9"/>
    </row>
    <row r="9" spans="1:6">
      <c r="A9" s="9"/>
      <c r="B9" s="9"/>
      <c r="C9" s="9"/>
      <c r="D9" s="9"/>
      <c r="E9" s="9"/>
      <c r="F9" s="9"/>
    </row>
    <row r="10" spans="1:6">
      <c r="A10" s="9"/>
      <c r="B10" s="9"/>
      <c r="C10" s="9"/>
      <c r="D10" s="9"/>
      <c r="E10" s="9"/>
      <c r="F10" s="9"/>
    </row>
    <row r="11" spans="1:6">
      <c r="A11" s="9"/>
      <c r="B11" s="9"/>
      <c r="C11" s="9"/>
      <c r="D11" s="9"/>
      <c r="E11" s="9"/>
      <c r="F11" s="9"/>
    </row>
    <row r="12" spans="1:6">
      <c r="A12" s="9"/>
      <c r="B12" s="9"/>
      <c r="C12" s="9"/>
      <c r="D12" s="9"/>
      <c r="E12" s="9"/>
      <c r="F12" s="9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FF00"/>
  </sheetPr>
  <dimension ref="A1:F65"/>
  <sheetViews>
    <sheetView workbookViewId="0">
      <selection sqref="A1:F3"/>
    </sheetView>
  </sheetViews>
  <sheetFormatPr baseColWidth="10" defaultColWidth="9" defaultRowHeight="14" x14ac:dyDescent="0"/>
  <cols>
    <col min="1" max="1" width="12.33203125" customWidth="1"/>
    <col min="2" max="2" width="27.5" customWidth="1"/>
    <col min="6" max="6" width="16.1640625" customWidth="1"/>
  </cols>
  <sheetData>
    <row r="1" spans="1:6" ht="15">
      <c r="A1" s="18" t="s">
        <v>125</v>
      </c>
      <c r="B1" s="18"/>
      <c r="C1" s="18" t="s">
        <v>267</v>
      </c>
      <c r="D1" s="18"/>
      <c r="E1" s="18"/>
    </row>
    <row r="2" spans="1:6" ht="15">
      <c r="A2" s="19"/>
      <c r="B2" s="19"/>
      <c r="C2" s="19"/>
      <c r="D2" s="19"/>
      <c r="E2" s="19"/>
    </row>
    <row r="3" spans="1:6">
      <c r="A3" s="4" t="s">
        <v>1</v>
      </c>
      <c r="B3" s="4" t="s">
        <v>6</v>
      </c>
      <c r="C3" s="4" t="s">
        <v>3</v>
      </c>
      <c r="D3" s="4" t="s">
        <v>4</v>
      </c>
      <c r="E3" s="4" t="s">
        <v>5</v>
      </c>
      <c r="F3" s="202" t="s">
        <v>6</v>
      </c>
    </row>
    <row r="4" spans="1:6" ht="15" hidden="1">
      <c r="A4" s="91">
        <v>42347</v>
      </c>
      <c r="B4" s="92" t="s">
        <v>53</v>
      </c>
      <c r="C4" s="122"/>
      <c r="D4" s="123">
        <v>1</v>
      </c>
      <c r="E4" s="9">
        <v>0</v>
      </c>
    </row>
    <row r="5" spans="1:6" ht="15" hidden="1">
      <c r="A5" s="30" t="s">
        <v>58</v>
      </c>
      <c r="B5" s="87" t="s">
        <v>139</v>
      </c>
      <c r="C5" s="35">
        <v>85</v>
      </c>
      <c r="D5" s="173"/>
      <c r="E5" s="175">
        <f t="shared" ref="E5:E11" si="0">E4+C5-D5</f>
        <v>85</v>
      </c>
    </row>
    <row r="6" spans="1:6" ht="15" hidden="1">
      <c r="A6" s="92" t="s">
        <v>58</v>
      </c>
      <c r="B6" s="92" t="s">
        <v>53</v>
      </c>
      <c r="C6" s="122"/>
      <c r="D6" s="123">
        <v>85</v>
      </c>
      <c r="E6" s="175">
        <f t="shared" si="0"/>
        <v>0</v>
      </c>
    </row>
    <row r="7" spans="1:6" ht="15" hidden="1">
      <c r="A7" s="87" t="s">
        <v>114</v>
      </c>
      <c r="B7" s="87" t="s">
        <v>139</v>
      </c>
      <c r="C7" s="35">
        <v>50</v>
      </c>
      <c r="D7" s="173"/>
      <c r="E7" s="175">
        <f t="shared" si="0"/>
        <v>50</v>
      </c>
    </row>
    <row r="8" spans="1:6" ht="15" hidden="1">
      <c r="A8" s="87" t="s">
        <v>114</v>
      </c>
      <c r="B8" s="87" t="s">
        <v>53</v>
      </c>
      <c r="C8" s="35"/>
      <c r="D8" s="173">
        <v>50</v>
      </c>
      <c r="E8" s="175">
        <f t="shared" si="0"/>
        <v>0</v>
      </c>
    </row>
    <row r="9" spans="1:6" ht="15" hidden="1">
      <c r="A9" s="87" t="s">
        <v>127</v>
      </c>
      <c r="B9" s="87" t="s">
        <v>139</v>
      </c>
      <c r="C9" s="35">
        <v>115</v>
      </c>
      <c r="D9" s="173"/>
      <c r="E9" s="175">
        <f t="shared" si="0"/>
        <v>115</v>
      </c>
    </row>
    <row r="10" spans="1:6" ht="15" hidden="1">
      <c r="A10" s="87" t="s">
        <v>127</v>
      </c>
      <c r="B10" s="87" t="s">
        <v>53</v>
      </c>
      <c r="C10" s="35"/>
      <c r="D10" s="173">
        <v>115</v>
      </c>
      <c r="E10" s="175">
        <f t="shared" si="0"/>
        <v>0</v>
      </c>
    </row>
    <row r="11" spans="1:6" ht="15" hidden="1">
      <c r="A11" s="87" t="s">
        <v>61</v>
      </c>
      <c r="B11" s="87" t="s">
        <v>139</v>
      </c>
      <c r="C11" s="35">
        <v>120</v>
      </c>
      <c r="D11" s="173"/>
      <c r="E11" s="175">
        <f t="shared" si="0"/>
        <v>120</v>
      </c>
    </row>
    <row r="12" spans="1:6" ht="15" hidden="1">
      <c r="A12" s="87" t="s">
        <v>116</v>
      </c>
      <c r="B12" s="87" t="s">
        <v>139</v>
      </c>
      <c r="C12" s="35">
        <v>200</v>
      </c>
      <c r="D12" s="173"/>
      <c r="E12" s="175">
        <f t="shared" ref="E12:E54" si="1">E11+C12-D12</f>
        <v>320</v>
      </c>
    </row>
    <row r="13" spans="1:6" ht="15" hidden="1">
      <c r="A13" s="87" t="s">
        <v>64</v>
      </c>
      <c r="B13" s="87" t="s">
        <v>139</v>
      </c>
      <c r="C13" s="35">
        <v>50</v>
      </c>
      <c r="D13" s="173"/>
      <c r="E13" s="175">
        <f t="shared" si="1"/>
        <v>370</v>
      </c>
    </row>
    <row r="14" spans="1:6" ht="15" hidden="1">
      <c r="A14" s="87" t="s">
        <v>65</v>
      </c>
      <c r="B14" s="87" t="s">
        <v>53</v>
      </c>
      <c r="C14" s="35"/>
      <c r="D14" s="173">
        <v>320</v>
      </c>
      <c r="E14" s="175">
        <f t="shared" si="1"/>
        <v>50</v>
      </c>
    </row>
    <row r="15" spans="1:6" ht="15" hidden="1">
      <c r="A15" s="30">
        <v>42165</v>
      </c>
      <c r="B15" s="87" t="s">
        <v>53</v>
      </c>
      <c r="C15" s="35">
        <v>230</v>
      </c>
      <c r="D15" s="173"/>
      <c r="E15" s="175">
        <f t="shared" si="1"/>
        <v>280</v>
      </c>
    </row>
    <row r="16" spans="1:6" ht="15" hidden="1">
      <c r="A16" s="30" t="s">
        <v>141</v>
      </c>
      <c r="B16" s="87" t="s">
        <v>53</v>
      </c>
      <c r="C16" s="35">
        <v>73</v>
      </c>
      <c r="D16" s="173"/>
      <c r="E16" s="175">
        <f t="shared" si="1"/>
        <v>353</v>
      </c>
    </row>
    <row r="17" spans="1:5" ht="15" hidden="1">
      <c r="A17" s="87" t="s">
        <v>260</v>
      </c>
      <c r="B17" s="87" t="s">
        <v>53</v>
      </c>
      <c r="C17" s="35">
        <v>43</v>
      </c>
      <c r="D17" s="173"/>
      <c r="E17" s="175">
        <f t="shared" si="1"/>
        <v>396</v>
      </c>
    </row>
    <row r="18" spans="1:5" ht="15" hidden="1">
      <c r="A18" s="87" t="s">
        <v>210</v>
      </c>
      <c r="B18" s="87" t="s">
        <v>53</v>
      </c>
      <c r="C18" s="35">
        <v>1</v>
      </c>
      <c r="D18" s="173"/>
      <c r="E18" s="175">
        <f t="shared" si="1"/>
        <v>397</v>
      </c>
    </row>
    <row r="19" spans="1:5" ht="15" hidden="1">
      <c r="A19" s="87" t="s">
        <v>142</v>
      </c>
      <c r="B19" s="87" t="s">
        <v>53</v>
      </c>
      <c r="C19" s="35">
        <v>37</v>
      </c>
      <c r="D19" s="173"/>
      <c r="E19" s="175">
        <f t="shared" si="1"/>
        <v>434</v>
      </c>
    </row>
    <row r="20" spans="1:5" ht="15" hidden="1">
      <c r="A20" s="87" t="s">
        <v>206</v>
      </c>
      <c r="B20" s="87" t="s">
        <v>53</v>
      </c>
      <c r="C20" s="35">
        <v>28</v>
      </c>
      <c r="D20" s="173"/>
      <c r="E20" s="175">
        <f t="shared" si="1"/>
        <v>462</v>
      </c>
    </row>
    <row r="21" spans="1:5" ht="15" hidden="1">
      <c r="A21" s="87" t="s">
        <v>188</v>
      </c>
      <c r="B21" s="87" t="s">
        <v>53</v>
      </c>
      <c r="C21" s="35">
        <v>19</v>
      </c>
      <c r="D21" s="173"/>
      <c r="E21" s="175">
        <f t="shared" si="1"/>
        <v>481</v>
      </c>
    </row>
    <row r="22" spans="1:5" ht="15" hidden="1">
      <c r="A22" s="176">
        <v>42461</v>
      </c>
      <c r="B22" s="177" t="s">
        <v>53</v>
      </c>
      <c r="C22" s="178">
        <v>71</v>
      </c>
      <c r="D22" s="178"/>
      <c r="E22" s="175">
        <f t="shared" si="1"/>
        <v>552</v>
      </c>
    </row>
    <row r="23" spans="1:5" ht="15" hidden="1">
      <c r="A23" s="176">
        <v>42552</v>
      </c>
      <c r="B23" s="177" t="s">
        <v>53</v>
      </c>
      <c r="C23" s="178">
        <v>36</v>
      </c>
      <c r="D23" s="178"/>
      <c r="E23" s="175">
        <f t="shared" si="1"/>
        <v>588</v>
      </c>
    </row>
    <row r="24" spans="1:5" ht="15" hidden="1">
      <c r="A24" s="179">
        <v>42583</v>
      </c>
      <c r="B24" s="178" t="s">
        <v>53</v>
      </c>
      <c r="C24" s="178">
        <v>42</v>
      </c>
      <c r="D24" s="178"/>
      <c r="E24" s="175">
        <f t="shared" si="1"/>
        <v>630</v>
      </c>
    </row>
    <row r="25" spans="1:5" ht="15" hidden="1">
      <c r="A25" s="180" t="s">
        <v>123</v>
      </c>
      <c r="B25" s="181" t="s">
        <v>53</v>
      </c>
      <c r="C25" s="181">
        <v>1</v>
      </c>
      <c r="D25" s="181"/>
      <c r="E25" s="175">
        <f t="shared" si="1"/>
        <v>631</v>
      </c>
    </row>
    <row r="26" spans="1:5" ht="15" hidden="1">
      <c r="A26" s="180" t="s">
        <v>55</v>
      </c>
      <c r="B26" s="181" t="s">
        <v>53</v>
      </c>
      <c r="C26" s="181">
        <v>10</v>
      </c>
      <c r="D26" s="181"/>
      <c r="E26" s="175">
        <f t="shared" si="1"/>
        <v>641</v>
      </c>
    </row>
    <row r="27" spans="1:5" ht="15" hidden="1">
      <c r="A27" s="9" t="s">
        <v>268</v>
      </c>
      <c r="B27" s="9" t="s">
        <v>269</v>
      </c>
      <c r="C27" s="9"/>
      <c r="D27" s="26">
        <v>40</v>
      </c>
      <c r="E27" s="175">
        <f t="shared" si="1"/>
        <v>601</v>
      </c>
    </row>
    <row r="28" spans="1:5" ht="15" hidden="1">
      <c r="A28" s="9" t="s">
        <v>270</v>
      </c>
      <c r="B28" s="9" t="s">
        <v>271</v>
      </c>
      <c r="C28" s="9"/>
      <c r="D28" s="9">
        <v>40</v>
      </c>
      <c r="E28" s="175">
        <f t="shared" si="1"/>
        <v>561</v>
      </c>
    </row>
    <row r="29" spans="1:5" ht="15" hidden="1">
      <c r="A29" s="21">
        <v>42373</v>
      </c>
      <c r="B29" s="9" t="s">
        <v>57</v>
      </c>
      <c r="C29" s="9"/>
      <c r="D29" s="26">
        <v>15</v>
      </c>
      <c r="E29" s="175">
        <f t="shared" si="1"/>
        <v>546</v>
      </c>
    </row>
    <row r="30" spans="1:5" ht="15" hidden="1">
      <c r="A30" s="21">
        <v>42525</v>
      </c>
      <c r="B30" s="9" t="s">
        <v>271</v>
      </c>
      <c r="C30" s="9"/>
      <c r="D30" s="26">
        <v>106</v>
      </c>
      <c r="E30" s="175">
        <f t="shared" si="1"/>
        <v>440</v>
      </c>
    </row>
    <row r="31" spans="1:5" ht="15" hidden="1">
      <c r="A31" s="21">
        <v>42647</v>
      </c>
      <c r="B31" s="95" t="s">
        <v>67</v>
      </c>
      <c r="C31" s="9"/>
      <c r="D31" s="26">
        <v>30</v>
      </c>
      <c r="E31" s="175">
        <f t="shared" si="1"/>
        <v>410</v>
      </c>
    </row>
    <row r="32" spans="1:5" ht="15" hidden="1">
      <c r="A32" s="46">
        <v>42619</v>
      </c>
      <c r="B32" s="138" t="s">
        <v>67</v>
      </c>
      <c r="C32" s="26">
        <v>5</v>
      </c>
      <c r="D32" s="9"/>
      <c r="E32" s="175">
        <f t="shared" si="1"/>
        <v>415</v>
      </c>
    </row>
    <row r="33" spans="1:5" ht="15" hidden="1">
      <c r="A33" s="175" t="s">
        <v>83</v>
      </c>
      <c r="B33" s="182" t="s">
        <v>252</v>
      </c>
      <c r="C33" s="175">
        <v>27</v>
      </c>
      <c r="D33" s="175"/>
      <c r="E33" s="175">
        <f t="shared" si="1"/>
        <v>442</v>
      </c>
    </row>
    <row r="34" spans="1:5" ht="15" hidden="1">
      <c r="A34" s="49">
        <v>42590</v>
      </c>
      <c r="B34" s="138" t="s">
        <v>86</v>
      </c>
      <c r="C34" s="9">
        <v>10</v>
      </c>
      <c r="D34" s="26"/>
      <c r="E34" s="175">
        <f t="shared" si="1"/>
        <v>452</v>
      </c>
    </row>
    <row r="35" spans="1:5" ht="15" hidden="1">
      <c r="A35" s="128" t="s">
        <v>89</v>
      </c>
      <c r="B35" s="138" t="s">
        <v>86</v>
      </c>
      <c r="C35" s="9">
        <v>6</v>
      </c>
      <c r="D35" s="9"/>
      <c r="E35" s="175">
        <f t="shared" si="1"/>
        <v>458</v>
      </c>
    </row>
    <row r="36" spans="1:5" ht="15" hidden="1">
      <c r="A36" s="33" t="s">
        <v>90</v>
      </c>
      <c r="B36" s="33" t="s">
        <v>216</v>
      </c>
      <c r="C36" s="9"/>
      <c r="D36" s="9">
        <v>205</v>
      </c>
      <c r="E36" s="175">
        <f t="shared" si="1"/>
        <v>253</v>
      </c>
    </row>
    <row r="37" spans="1:5" ht="15" hidden="1">
      <c r="A37" s="128" t="s">
        <v>90</v>
      </c>
      <c r="B37" s="138" t="s">
        <v>86</v>
      </c>
      <c r="C37" s="9">
        <v>15</v>
      </c>
      <c r="D37" s="9"/>
      <c r="E37" s="175">
        <f t="shared" si="1"/>
        <v>268</v>
      </c>
    </row>
    <row r="38" spans="1:5" ht="15" hidden="1">
      <c r="A38" s="128" t="s">
        <v>94</v>
      </c>
      <c r="B38" s="138" t="s">
        <v>86</v>
      </c>
      <c r="C38" s="9">
        <v>3</v>
      </c>
      <c r="D38" s="9"/>
      <c r="E38" s="175">
        <f t="shared" si="1"/>
        <v>271</v>
      </c>
    </row>
    <row r="39" spans="1:5" ht="15" hidden="1">
      <c r="A39" s="9" t="s">
        <v>95</v>
      </c>
      <c r="B39" s="138" t="s">
        <v>86</v>
      </c>
      <c r="C39" s="9">
        <v>28</v>
      </c>
      <c r="D39" s="9"/>
      <c r="E39" s="175">
        <f t="shared" si="1"/>
        <v>299</v>
      </c>
    </row>
    <row r="40" spans="1:5" ht="15" hidden="1">
      <c r="A40" s="9" t="s">
        <v>97</v>
      </c>
      <c r="B40" s="34" t="s">
        <v>92</v>
      </c>
      <c r="C40" s="9">
        <v>21</v>
      </c>
      <c r="D40" s="9"/>
      <c r="E40" s="175">
        <f t="shared" si="1"/>
        <v>320</v>
      </c>
    </row>
    <row r="41" spans="1:5" ht="15" hidden="1">
      <c r="A41" s="49">
        <v>42378</v>
      </c>
      <c r="B41" s="34" t="s">
        <v>92</v>
      </c>
      <c r="C41" s="9">
        <v>10</v>
      </c>
      <c r="D41" s="9"/>
      <c r="E41" s="175">
        <f t="shared" si="1"/>
        <v>330</v>
      </c>
    </row>
    <row r="42" spans="1:5" ht="15" hidden="1">
      <c r="A42" s="21">
        <v>42622</v>
      </c>
      <c r="B42" s="33" t="s">
        <v>216</v>
      </c>
      <c r="C42" s="9">
        <v>58</v>
      </c>
      <c r="D42" s="9"/>
      <c r="E42" s="175">
        <f t="shared" si="1"/>
        <v>388</v>
      </c>
    </row>
    <row r="43" spans="1:5" ht="15" hidden="1">
      <c r="A43" s="21">
        <v>42652</v>
      </c>
      <c r="B43" s="9" t="s">
        <v>161</v>
      </c>
      <c r="C43" s="9">
        <v>30</v>
      </c>
      <c r="D43" s="9"/>
      <c r="E43" s="175">
        <f t="shared" si="1"/>
        <v>418</v>
      </c>
    </row>
    <row r="44" spans="1:5" ht="15" hidden="1">
      <c r="A44" s="9" t="s">
        <v>172</v>
      </c>
      <c r="B44" s="34" t="s">
        <v>92</v>
      </c>
      <c r="C44" s="9">
        <v>23</v>
      </c>
      <c r="D44" s="9"/>
      <c r="E44" s="175">
        <f t="shared" si="1"/>
        <v>441</v>
      </c>
    </row>
    <row r="45" spans="1:5" ht="15" hidden="1">
      <c r="A45" s="33" t="s">
        <v>100</v>
      </c>
      <c r="B45" s="33" t="s">
        <v>253</v>
      </c>
      <c r="C45" s="9">
        <v>2</v>
      </c>
      <c r="D45" s="9"/>
      <c r="E45" s="175">
        <f t="shared" si="1"/>
        <v>443</v>
      </c>
    </row>
    <row r="46" spans="1:5" ht="15" hidden="1">
      <c r="A46" s="21">
        <v>42439</v>
      </c>
      <c r="B46" s="33" t="s">
        <v>253</v>
      </c>
      <c r="C46" s="9">
        <v>6</v>
      </c>
      <c r="D46" s="9"/>
      <c r="E46" s="175">
        <f t="shared" si="1"/>
        <v>449</v>
      </c>
    </row>
    <row r="47" spans="1:5" ht="15" hidden="1">
      <c r="A47" s="21">
        <v>42592</v>
      </c>
      <c r="B47" s="33" t="s">
        <v>253</v>
      </c>
      <c r="C47" s="9">
        <v>19</v>
      </c>
      <c r="D47" s="9"/>
      <c r="E47" s="175">
        <f t="shared" si="1"/>
        <v>468</v>
      </c>
    </row>
    <row r="48" spans="1:5" ht="15" hidden="1">
      <c r="A48" s="21">
        <v>42653</v>
      </c>
      <c r="B48" s="9" t="s">
        <v>32</v>
      </c>
      <c r="C48" s="9">
        <v>22</v>
      </c>
      <c r="D48" s="9"/>
      <c r="E48" s="175">
        <f t="shared" si="1"/>
        <v>490</v>
      </c>
    </row>
    <row r="49" spans="1:5" ht="15" hidden="1">
      <c r="A49" s="46">
        <v>42714</v>
      </c>
      <c r="B49" s="26" t="s">
        <v>32</v>
      </c>
      <c r="C49" s="9">
        <v>18</v>
      </c>
      <c r="D49" s="9"/>
      <c r="E49" s="175">
        <f t="shared" si="1"/>
        <v>508</v>
      </c>
    </row>
    <row r="50" spans="1:5" ht="15" hidden="1">
      <c r="A50" s="57" t="s">
        <v>158</v>
      </c>
      <c r="B50" s="9" t="s">
        <v>32</v>
      </c>
      <c r="C50" s="9">
        <v>7</v>
      </c>
      <c r="D50" s="9"/>
      <c r="E50" s="175">
        <f t="shared" si="1"/>
        <v>515</v>
      </c>
    </row>
    <row r="51" spans="1:5" ht="15" hidden="1">
      <c r="A51" s="9" t="s">
        <v>163</v>
      </c>
      <c r="B51" s="9" t="s">
        <v>32</v>
      </c>
      <c r="C51" s="9">
        <v>4</v>
      </c>
      <c r="D51" s="9"/>
      <c r="E51" s="175">
        <f t="shared" si="1"/>
        <v>519</v>
      </c>
    </row>
    <row r="52" spans="1:5" ht="15" hidden="1">
      <c r="A52" s="9" t="s">
        <v>146</v>
      </c>
      <c r="B52" s="9" t="s">
        <v>32</v>
      </c>
      <c r="C52" s="9">
        <v>15</v>
      </c>
      <c r="D52" s="9"/>
      <c r="E52" s="175">
        <f t="shared" si="1"/>
        <v>534</v>
      </c>
    </row>
    <row r="53" spans="1:5" ht="15" hidden="1">
      <c r="A53" s="9" t="s">
        <v>101</v>
      </c>
      <c r="B53" s="9" t="s">
        <v>32</v>
      </c>
      <c r="C53" s="9">
        <v>7</v>
      </c>
      <c r="D53" s="9"/>
      <c r="E53" s="175">
        <f t="shared" si="1"/>
        <v>541</v>
      </c>
    </row>
    <row r="54" spans="1:5" ht="15" hidden="1">
      <c r="A54" s="9" t="s">
        <v>149</v>
      </c>
      <c r="B54" s="9" t="s">
        <v>213</v>
      </c>
      <c r="C54" s="9"/>
      <c r="D54" s="9">
        <v>1</v>
      </c>
      <c r="E54" s="175">
        <f t="shared" si="1"/>
        <v>540</v>
      </c>
    </row>
    <row r="55" spans="1:5">
      <c r="A55" s="9"/>
      <c r="B55" s="310" t="s">
        <v>408</v>
      </c>
      <c r="C55" s="9"/>
      <c r="D55" s="9"/>
      <c r="E55" s="9">
        <v>88</v>
      </c>
    </row>
    <row r="56" spans="1:5">
      <c r="A56" s="656" t="s">
        <v>863</v>
      </c>
      <c r="B56" s="656" t="s">
        <v>866</v>
      </c>
      <c r="C56" s="9"/>
      <c r="D56" s="9">
        <v>125</v>
      </c>
      <c r="E56" s="9">
        <v>0</v>
      </c>
    </row>
    <row r="57" spans="1:5">
      <c r="A57" s="677" t="s">
        <v>889</v>
      </c>
      <c r="B57" s="677" t="s">
        <v>891</v>
      </c>
      <c r="C57" s="9"/>
      <c r="D57" s="9">
        <v>25</v>
      </c>
      <c r="E57" s="9">
        <v>0</v>
      </c>
    </row>
    <row r="58" spans="1:5">
      <c r="A58" s="677"/>
      <c r="B58" s="677"/>
      <c r="C58" s="9"/>
      <c r="D58" s="9"/>
      <c r="E58" s="9"/>
    </row>
    <row r="59" spans="1:5">
      <c r="A59" s="9"/>
      <c r="B59" s="9"/>
      <c r="C59" s="9"/>
      <c r="D59" s="9"/>
      <c r="E59" s="9"/>
    </row>
    <row r="60" spans="1:5">
      <c r="A60" s="9"/>
      <c r="B60" s="9"/>
      <c r="C60" s="9"/>
      <c r="D60" s="9"/>
      <c r="E60" s="9"/>
    </row>
    <row r="61" spans="1:5">
      <c r="A61" s="9"/>
      <c r="B61" s="9"/>
      <c r="C61" s="9"/>
      <c r="D61" s="9"/>
      <c r="E61" s="9"/>
    </row>
    <row r="62" spans="1:5">
      <c r="A62" s="9"/>
      <c r="B62" s="9"/>
      <c r="C62" s="9"/>
      <c r="D62" s="9"/>
      <c r="E62" s="9"/>
    </row>
    <row r="63" spans="1:5">
      <c r="A63" s="9"/>
      <c r="B63" s="9"/>
      <c r="C63" s="9"/>
      <c r="D63" s="9"/>
      <c r="E63" s="9"/>
    </row>
    <row r="64" spans="1:5">
      <c r="A64" s="9"/>
      <c r="B64" s="9"/>
      <c r="C64" s="9"/>
      <c r="D64" s="9"/>
      <c r="E64" s="9"/>
    </row>
    <row r="65" spans="1:5">
      <c r="A65" s="9"/>
      <c r="B65" s="9"/>
      <c r="C65" s="9"/>
      <c r="D65" s="9"/>
      <c r="E65" s="9"/>
    </row>
  </sheetData>
  <pageMargins left="0.69930555555555596" right="0.69930555555555596" top="0.25" bottom="0.75" header="0.3" footer="0.3"/>
  <pageSetup paperSize="9" scale="90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A3" sqref="A3:F3"/>
    </sheetView>
  </sheetViews>
  <sheetFormatPr baseColWidth="10" defaultColWidth="9" defaultRowHeight="14" x14ac:dyDescent="0"/>
  <cols>
    <col min="1" max="1" width="12" customWidth="1"/>
    <col min="2" max="2" width="28.6640625" customWidth="1"/>
    <col min="6" max="6" width="13" customWidth="1"/>
  </cols>
  <sheetData>
    <row r="1" spans="1:6" ht="15">
      <c r="A1" s="18" t="s">
        <v>125</v>
      </c>
      <c r="B1" s="18"/>
      <c r="C1" s="18" t="s">
        <v>272</v>
      </c>
      <c r="D1" s="18"/>
      <c r="E1" s="18"/>
      <c r="F1" s="18"/>
    </row>
    <row r="2" spans="1:6" ht="15">
      <c r="A2" s="19"/>
      <c r="B2" s="19"/>
      <c r="C2" s="19"/>
      <c r="D2" s="19"/>
      <c r="E2" s="19"/>
      <c r="F2" s="19"/>
    </row>
    <row r="3" spans="1:6">
      <c r="A3" s="4" t="s">
        <v>1</v>
      </c>
      <c r="B3" s="4" t="s">
        <v>6</v>
      </c>
      <c r="C3" s="4" t="s">
        <v>3</v>
      </c>
      <c r="D3" s="4" t="s">
        <v>4</v>
      </c>
      <c r="E3" s="4" t="s">
        <v>5</v>
      </c>
      <c r="F3" s="202" t="s">
        <v>6</v>
      </c>
    </row>
    <row r="4" spans="1:6">
      <c r="A4" s="57"/>
      <c r="B4" s="53" t="s">
        <v>414</v>
      </c>
      <c r="C4" s="24"/>
      <c r="D4" s="24"/>
      <c r="E4" s="24">
        <v>39</v>
      </c>
    </row>
    <row r="5" spans="1:6">
      <c r="A5" s="57"/>
      <c r="B5" s="24"/>
      <c r="C5" s="24"/>
      <c r="D5" s="24"/>
      <c r="E5" s="24"/>
    </row>
    <row r="6" spans="1:6">
      <c r="A6" s="24"/>
      <c r="B6" s="24"/>
      <c r="C6" s="24"/>
      <c r="D6" s="55"/>
      <c r="E6" s="24"/>
    </row>
    <row r="7" spans="1:6">
      <c r="A7" s="24"/>
      <c r="B7" s="24"/>
      <c r="C7" s="24"/>
      <c r="D7" s="24"/>
      <c r="E7" s="24"/>
    </row>
    <row r="8" spans="1:6">
      <c r="A8" s="57"/>
      <c r="B8" s="24"/>
      <c r="C8" s="24"/>
      <c r="D8" s="24"/>
      <c r="E8" s="24"/>
    </row>
    <row r="9" spans="1:6" ht="15">
      <c r="A9" s="160"/>
      <c r="B9" s="160"/>
      <c r="C9" s="160"/>
      <c r="D9" s="24"/>
      <c r="E9" s="24"/>
    </row>
    <row r="10" spans="1:6">
      <c r="A10" s="24"/>
      <c r="B10" s="24"/>
      <c r="C10" s="24"/>
      <c r="D10" s="24"/>
      <c r="E10" s="24"/>
    </row>
    <row r="11" spans="1:6">
      <c r="A11" s="9"/>
      <c r="B11" s="9"/>
      <c r="C11" s="9"/>
      <c r="D11" s="9"/>
      <c r="E11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A3" sqref="A3:F3"/>
    </sheetView>
  </sheetViews>
  <sheetFormatPr baseColWidth="10" defaultColWidth="9" defaultRowHeight="14" x14ac:dyDescent="0"/>
  <cols>
    <col min="1" max="1" width="12" customWidth="1"/>
    <col min="2" max="2" width="28.6640625" customWidth="1"/>
    <col min="6" max="6" width="14.5" customWidth="1"/>
  </cols>
  <sheetData>
    <row r="1" spans="1:6" ht="15">
      <c r="A1" s="18" t="s">
        <v>125</v>
      </c>
      <c r="B1" s="18"/>
      <c r="C1" s="18" t="s">
        <v>273</v>
      </c>
      <c r="D1" s="18"/>
      <c r="E1" s="18"/>
    </row>
    <row r="2" spans="1:6" ht="15">
      <c r="A2" s="19"/>
      <c r="B2" s="19"/>
      <c r="C2" s="19"/>
      <c r="D2" s="19"/>
      <c r="E2" s="19"/>
    </row>
    <row r="3" spans="1:6">
      <c r="A3" s="4" t="s">
        <v>1</v>
      </c>
      <c r="B3" s="4" t="s">
        <v>6</v>
      </c>
      <c r="C3" s="4" t="s">
        <v>3</v>
      </c>
      <c r="D3" s="4" t="s">
        <v>4</v>
      </c>
      <c r="E3" s="4" t="s">
        <v>5</v>
      </c>
      <c r="F3" s="202" t="s">
        <v>6</v>
      </c>
    </row>
    <row r="4" spans="1:6">
      <c r="A4" s="174"/>
      <c r="B4" s="312" t="s">
        <v>408</v>
      </c>
      <c r="C4" s="24"/>
      <c r="D4" s="24"/>
      <c r="E4" s="24">
        <v>1</v>
      </c>
    </row>
    <row r="5" spans="1:6">
      <c r="A5" s="57"/>
      <c r="B5" s="24"/>
      <c r="C5" s="55"/>
      <c r="D5" s="24"/>
      <c r="E5" s="24"/>
    </row>
    <row r="6" spans="1:6">
      <c r="A6" s="57"/>
      <c r="B6" s="53"/>
      <c r="C6" s="24"/>
      <c r="D6" s="24"/>
      <c r="E6" s="24"/>
    </row>
    <row r="7" spans="1:6">
      <c r="A7" s="57"/>
      <c r="B7" s="24"/>
      <c r="C7" s="24"/>
      <c r="D7" s="24"/>
      <c r="E7" s="24"/>
    </row>
    <row r="8" spans="1:6">
      <c r="A8" s="24"/>
      <c r="B8" s="24"/>
      <c r="C8" s="24"/>
      <c r="D8" s="55"/>
      <c r="E8" s="24"/>
    </row>
    <row r="9" spans="1:6">
      <c r="A9" s="24"/>
      <c r="B9" s="24"/>
      <c r="C9" s="24"/>
      <c r="D9" s="24"/>
      <c r="E9" s="24"/>
    </row>
    <row r="10" spans="1:6">
      <c r="A10" s="57"/>
      <c r="B10" s="24"/>
      <c r="C10" s="24"/>
      <c r="D10" s="24"/>
      <c r="E10" s="24"/>
    </row>
    <row r="11" spans="1:6" ht="15">
      <c r="A11" s="160"/>
      <c r="B11" s="160"/>
      <c r="C11" s="160"/>
      <c r="D11" s="24"/>
      <c r="E11" s="24"/>
    </row>
    <row r="12" spans="1:6">
      <c r="A12" s="24"/>
      <c r="B12" s="24"/>
      <c r="C12" s="24"/>
      <c r="D12" s="24"/>
      <c r="E12" s="24"/>
    </row>
    <row r="13" spans="1:6">
      <c r="A13" s="9"/>
      <c r="B13" s="9"/>
      <c r="C13" s="9"/>
      <c r="D13" s="9"/>
      <c r="E13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A3" sqref="A3:F3"/>
    </sheetView>
  </sheetViews>
  <sheetFormatPr baseColWidth="10" defaultColWidth="9" defaultRowHeight="14" x14ac:dyDescent="0"/>
  <cols>
    <col min="1" max="1" width="12" customWidth="1"/>
    <col min="2" max="2" width="28.6640625" customWidth="1"/>
    <col min="6" max="6" width="15.6640625" customWidth="1"/>
  </cols>
  <sheetData>
    <row r="1" spans="1:6" ht="15">
      <c r="A1" s="18" t="s">
        <v>125</v>
      </c>
      <c r="B1" s="18"/>
      <c r="C1" s="18" t="s">
        <v>274</v>
      </c>
      <c r="D1" s="18"/>
      <c r="E1" s="18"/>
    </row>
    <row r="2" spans="1:6" ht="15">
      <c r="A2" s="19"/>
      <c r="B2" s="19"/>
      <c r="C2" s="19"/>
      <c r="D2" s="19"/>
      <c r="E2" s="19"/>
    </row>
    <row r="3" spans="1:6">
      <c r="A3" s="4" t="s">
        <v>1</v>
      </c>
      <c r="B3" s="4" t="s">
        <v>6</v>
      </c>
      <c r="C3" s="4" t="s">
        <v>3</v>
      </c>
      <c r="D3" s="4" t="s">
        <v>4</v>
      </c>
      <c r="E3" s="4" t="s">
        <v>5</v>
      </c>
      <c r="F3" s="202" t="s">
        <v>6</v>
      </c>
    </row>
    <row r="4" spans="1:6">
      <c r="A4" s="57"/>
      <c r="B4" s="312" t="s">
        <v>414</v>
      </c>
      <c r="C4" s="24"/>
      <c r="D4" s="24"/>
      <c r="E4" s="24">
        <v>17</v>
      </c>
    </row>
    <row r="5" spans="1:6">
      <c r="A5" s="24"/>
      <c r="B5" s="24"/>
      <c r="C5" s="24"/>
      <c r="D5" s="55"/>
      <c r="E5" s="24"/>
    </row>
    <row r="6" spans="1:6">
      <c r="A6" s="24"/>
      <c r="B6" s="24"/>
      <c r="C6" s="24"/>
      <c r="D6" s="24"/>
      <c r="E6" s="24"/>
    </row>
    <row r="7" spans="1:6">
      <c r="A7" s="57"/>
      <c r="B7" s="24"/>
      <c r="C7" s="24"/>
      <c r="D7" s="24"/>
      <c r="E7" s="24"/>
    </row>
    <row r="8" spans="1:6" ht="15">
      <c r="A8" s="160"/>
      <c r="B8" s="160"/>
      <c r="C8" s="160"/>
      <c r="D8" s="24"/>
      <c r="E8" s="24"/>
    </row>
    <row r="9" spans="1:6">
      <c r="A9" s="24"/>
      <c r="B9" s="24"/>
      <c r="C9" s="24"/>
      <c r="D9" s="24"/>
      <c r="E9" s="24"/>
    </row>
    <row r="10" spans="1:6">
      <c r="A10" s="9"/>
      <c r="B10" s="9"/>
      <c r="C10" s="9"/>
      <c r="D10" s="9"/>
      <c r="E10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selection activeCell="E6" sqref="E6"/>
    </sheetView>
  </sheetViews>
  <sheetFormatPr baseColWidth="10" defaultColWidth="9" defaultRowHeight="14" x14ac:dyDescent="0"/>
  <cols>
    <col min="1" max="1" width="12" customWidth="1"/>
    <col min="2" max="2" width="28.6640625" customWidth="1"/>
    <col min="6" max="6" width="15.5" customWidth="1"/>
  </cols>
  <sheetData>
    <row r="1" spans="1:6" ht="15">
      <c r="A1" s="18" t="s">
        <v>125</v>
      </c>
      <c r="B1" s="18"/>
      <c r="C1" s="18" t="s">
        <v>275</v>
      </c>
      <c r="D1" s="18"/>
      <c r="E1" s="18"/>
    </row>
    <row r="2" spans="1:6" ht="15">
      <c r="A2" s="19"/>
      <c r="B2" s="19"/>
      <c r="C2" s="19"/>
      <c r="D2" s="19"/>
      <c r="E2" s="19"/>
    </row>
    <row r="3" spans="1:6">
      <c r="A3" s="4" t="s">
        <v>1</v>
      </c>
      <c r="B3" s="4" t="s">
        <v>6</v>
      </c>
      <c r="C3" s="4" t="s">
        <v>3</v>
      </c>
      <c r="D3" s="4" t="s">
        <v>4</v>
      </c>
      <c r="E3" s="4" t="s">
        <v>5</v>
      </c>
      <c r="F3" s="202" t="s">
        <v>6</v>
      </c>
    </row>
    <row r="4" spans="1:6">
      <c r="A4" s="57"/>
      <c r="B4" s="303" t="s">
        <v>418</v>
      </c>
      <c r="C4" s="9"/>
      <c r="D4" s="9"/>
      <c r="E4" s="9">
        <v>1786</v>
      </c>
    </row>
    <row r="5" spans="1:6" ht="15">
      <c r="A5" s="37">
        <v>43191</v>
      </c>
      <c r="B5" s="33" t="s">
        <v>406</v>
      </c>
      <c r="C5" s="9"/>
      <c r="D5" s="9">
        <v>50</v>
      </c>
      <c r="E5" s="9">
        <f>E4+C5-D5</f>
        <v>1736</v>
      </c>
    </row>
    <row r="6" spans="1:6">
      <c r="A6" s="538" t="s">
        <v>755</v>
      </c>
      <c r="B6" s="538" t="s">
        <v>523</v>
      </c>
      <c r="C6" s="9">
        <v>20</v>
      </c>
      <c r="D6" s="9"/>
      <c r="E6" s="9">
        <f>E5+C6-D6</f>
        <v>1756</v>
      </c>
    </row>
    <row r="7" spans="1:6">
      <c r="A7" s="57"/>
      <c r="B7" s="290"/>
      <c r="C7" s="9"/>
      <c r="D7" s="9"/>
      <c r="E7" s="9"/>
    </row>
    <row r="8" spans="1:6">
      <c r="A8" s="57"/>
      <c r="B8" s="290"/>
      <c r="C8" s="9"/>
      <c r="D8" s="9"/>
      <c r="E8" s="9"/>
    </row>
    <row r="9" spans="1:6">
      <c r="A9" s="57"/>
      <c r="B9" s="290"/>
      <c r="C9" s="9"/>
      <c r="D9" s="9"/>
      <c r="E9" s="9"/>
    </row>
    <row r="10" spans="1:6">
      <c r="A10" s="57"/>
      <c r="B10" s="290"/>
      <c r="C10" s="9"/>
      <c r="D10" s="9"/>
      <c r="E10" s="9"/>
    </row>
    <row r="11" spans="1:6">
      <c r="A11" s="57"/>
      <c r="B11" s="290"/>
      <c r="C11" s="9"/>
      <c r="D11" s="9"/>
      <c r="E11" s="9"/>
    </row>
    <row r="12" spans="1:6">
      <c r="A12" s="57"/>
      <c r="B12" s="290"/>
      <c r="C12" s="9"/>
      <c r="D12" s="9"/>
      <c r="E12" s="9"/>
    </row>
    <row r="13" spans="1:6">
      <c r="A13" s="57"/>
      <c r="B13" s="290"/>
      <c r="C13" s="9"/>
      <c r="D13" s="9"/>
      <c r="E13" s="9"/>
    </row>
    <row r="14" spans="1:6">
      <c r="A14" s="57"/>
      <c r="B14" s="290"/>
      <c r="C14" s="9"/>
      <c r="D14" s="9"/>
      <c r="E14" s="9"/>
    </row>
    <row r="15" spans="1:6">
      <c r="A15" s="57"/>
      <c r="B15" s="290"/>
      <c r="C15" s="9"/>
      <c r="D15" s="9"/>
      <c r="E15" s="9"/>
    </row>
    <row r="16" spans="1:6">
      <c r="A16" s="57"/>
      <c r="B16" s="290"/>
      <c r="C16" s="9"/>
      <c r="D16" s="9"/>
      <c r="E16" s="9"/>
    </row>
    <row r="17" spans="1:5">
      <c r="A17" s="57"/>
      <c r="B17" s="290"/>
      <c r="C17" s="9"/>
      <c r="D17" s="9"/>
      <c r="E17" s="9"/>
    </row>
    <row r="18" spans="1:5">
      <c r="A18" s="9"/>
      <c r="B18" s="9"/>
      <c r="C18" s="9"/>
      <c r="D18" s="9"/>
      <c r="E18" s="9"/>
    </row>
  </sheetData>
  <pageMargins left="0.69930555555555596" right="0.69930555555555596" top="0.5" bottom="0.75" header="0.3" footer="0.3"/>
  <pageSetup paperSize="9" scale="90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A3" sqref="A3:F3"/>
    </sheetView>
  </sheetViews>
  <sheetFormatPr baseColWidth="10" defaultColWidth="9" defaultRowHeight="14" x14ac:dyDescent="0"/>
  <cols>
    <col min="1" max="1" width="12" customWidth="1"/>
    <col min="2" max="2" width="28.6640625" customWidth="1"/>
  </cols>
  <sheetData>
    <row r="1" spans="1:6" ht="15">
      <c r="A1" s="18" t="s">
        <v>125</v>
      </c>
      <c r="B1" s="18"/>
      <c r="C1" s="18" t="s">
        <v>276</v>
      </c>
      <c r="D1" s="18"/>
      <c r="E1" s="18"/>
    </row>
    <row r="2" spans="1:6" ht="15">
      <c r="A2" s="19"/>
      <c r="B2" s="19"/>
      <c r="C2" s="19"/>
      <c r="D2" s="19"/>
      <c r="E2" s="19"/>
    </row>
    <row r="3" spans="1:6">
      <c r="A3" s="4" t="s">
        <v>1</v>
      </c>
      <c r="B3" s="4" t="s">
        <v>6</v>
      </c>
      <c r="C3" s="4" t="s">
        <v>3</v>
      </c>
      <c r="D3" s="4" t="s">
        <v>4</v>
      </c>
      <c r="E3" s="4" t="s">
        <v>5</v>
      </c>
      <c r="F3" s="202" t="s">
        <v>6</v>
      </c>
    </row>
    <row r="4" spans="1:6">
      <c r="A4" s="21"/>
      <c r="B4" s="299" t="s">
        <v>418</v>
      </c>
      <c r="C4" s="9"/>
      <c r="D4" s="9"/>
      <c r="E4" s="9">
        <v>28</v>
      </c>
    </row>
    <row r="5" spans="1:6">
      <c r="A5" s="21"/>
      <c r="B5" s="9"/>
      <c r="C5" s="9"/>
      <c r="D5" s="9"/>
      <c r="E5" s="9"/>
    </row>
    <row r="6" spans="1:6">
      <c r="A6" s="21"/>
      <c r="B6" s="9"/>
      <c r="C6" s="9"/>
      <c r="D6" s="9"/>
      <c r="E6" s="9"/>
    </row>
    <row r="7" spans="1:6">
      <c r="A7" s="21"/>
      <c r="B7" s="9"/>
      <c r="C7" s="9"/>
      <c r="D7" s="9"/>
      <c r="E7" s="9"/>
    </row>
    <row r="8" spans="1:6">
      <c r="A8" s="9"/>
      <c r="B8" s="9"/>
      <c r="C8" s="9"/>
      <c r="D8" s="9"/>
      <c r="E8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A3" sqref="A3:F3"/>
    </sheetView>
  </sheetViews>
  <sheetFormatPr baseColWidth="10" defaultColWidth="9" defaultRowHeight="14" x14ac:dyDescent="0"/>
  <cols>
    <col min="1" max="1" width="12" customWidth="1"/>
    <col min="2" max="2" width="28.6640625" customWidth="1"/>
  </cols>
  <sheetData>
    <row r="1" spans="1:6" ht="15">
      <c r="A1" s="18" t="s">
        <v>125</v>
      </c>
      <c r="B1" s="18"/>
      <c r="C1" s="18" t="s">
        <v>277</v>
      </c>
      <c r="D1" s="18"/>
      <c r="E1" s="18"/>
    </row>
    <row r="2" spans="1:6" ht="15">
      <c r="A2" s="19"/>
      <c r="B2" s="19"/>
      <c r="C2" s="19"/>
      <c r="D2" s="19"/>
      <c r="E2" s="19"/>
    </row>
    <row r="3" spans="1:6">
      <c r="A3" s="4" t="s">
        <v>1</v>
      </c>
      <c r="B3" s="4" t="s">
        <v>6</v>
      </c>
      <c r="C3" s="4" t="s">
        <v>3</v>
      </c>
      <c r="D3" s="4" t="s">
        <v>4</v>
      </c>
      <c r="E3" s="4" t="s">
        <v>5</v>
      </c>
      <c r="F3" s="202" t="s">
        <v>6</v>
      </c>
    </row>
    <row r="4" spans="1:6">
      <c r="A4" s="9"/>
      <c r="B4" s="27" t="s">
        <v>418</v>
      </c>
      <c r="C4" s="9"/>
      <c r="D4" s="9"/>
      <c r="E4" s="9">
        <v>78</v>
      </c>
    </row>
    <row r="5" spans="1:6" ht="15">
      <c r="A5" s="33"/>
      <c r="B5" s="33"/>
      <c r="C5" s="9"/>
      <c r="D5" s="9"/>
      <c r="E5" s="9"/>
    </row>
    <row r="6" spans="1:6" ht="15">
      <c r="A6" s="34"/>
      <c r="B6" s="138"/>
      <c r="C6" s="9"/>
      <c r="D6" s="9"/>
      <c r="E6" s="9"/>
    </row>
    <row r="7" spans="1:6">
      <c r="A7" s="21"/>
      <c r="B7" s="9"/>
      <c r="C7" s="9"/>
      <c r="D7" s="9"/>
      <c r="E7" s="9"/>
    </row>
    <row r="8" spans="1:6" ht="15">
      <c r="A8" s="21"/>
      <c r="B8" s="138"/>
      <c r="C8" s="9"/>
      <c r="D8" s="9"/>
      <c r="E8" s="9"/>
    </row>
    <row r="9" spans="1:6">
      <c r="A9" s="172"/>
      <c r="B9" s="24"/>
      <c r="C9" s="9"/>
      <c r="D9" s="9"/>
      <c r="E9" s="9"/>
    </row>
    <row r="10" spans="1:6">
      <c r="A10" s="9"/>
      <c r="B10" s="24"/>
      <c r="C10" s="9"/>
      <c r="D10" s="26"/>
      <c r="E10" s="9"/>
    </row>
    <row r="11" spans="1:6">
      <c r="A11" s="9"/>
      <c r="B11" s="34"/>
      <c r="C11" s="9"/>
      <c r="D11" s="9"/>
      <c r="E11" s="9"/>
    </row>
    <row r="12" spans="1:6">
      <c r="A12" s="9"/>
      <c r="B12" s="9"/>
      <c r="C12" s="9"/>
      <c r="D12" s="9"/>
      <c r="E12" s="9"/>
    </row>
    <row r="13" spans="1:6">
      <c r="A13" s="21"/>
      <c r="B13" s="9"/>
      <c r="C13" s="9"/>
      <c r="D13" s="9"/>
      <c r="E13" s="9"/>
    </row>
    <row r="14" spans="1:6">
      <c r="A14" s="21"/>
      <c r="B14" s="9"/>
      <c r="C14" s="9"/>
      <c r="D14" s="9"/>
      <c r="E14" s="9"/>
    </row>
    <row r="15" spans="1:6">
      <c r="A15" s="9"/>
      <c r="B15" s="9"/>
      <c r="C15" s="9"/>
      <c r="D15" s="9"/>
      <c r="E15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opLeftCell="A4" workbookViewId="0">
      <selection activeCell="F24" sqref="F24"/>
    </sheetView>
  </sheetViews>
  <sheetFormatPr baseColWidth="10" defaultColWidth="9" defaultRowHeight="14" x14ac:dyDescent="0"/>
  <cols>
    <col min="1" max="1" width="12" customWidth="1"/>
    <col min="2" max="2" width="28.6640625" customWidth="1"/>
    <col min="6" max="6" width="13.83203125" customWidth="1"/>
  </cols>
  <sheetData>
    <row r="1" spans="1:6" ht="15">
      <c r="A1" s="18" t="s">
        <v>125</v>
      </c>
      <c r="B1" s="18"/>
      <c r="C1" s="18" t="s">
        <v>278</v>
      </c>
      <c r="D1" s="18"/>
      <c r="E1" s="18"/>
    </row>
    <row r="2" spans="1:6" ht="15">
      <c r="A2" s="19"/>
      <c r="B2" s="19"/>
      <c r="C2" s="19"/>
      <c r="D2" s="19"/>
      <c r="E2" s="19"/>
    </row>
    <row r="3" spans="1:6">
      <c r="A3" s="4" t="s">
        <v>1</v>
      </c>
      <c r="B3" s="4" t="s">
        <v>6</v>
      </c>
      <c r="C3" s="4" t="s">
        <v>3</v>
      </c>
      <c r="D3" s="4" t="s">
        <v>4</v>
      </c>
      <c r="E3" s="4" t="s">
        <v>5</v>
      </c>
      <c r="F3" s="202" t="s">
        <v>6</v>
      </c>
    </row>
    <row r="4" spans="1:6">
      <c r="A4" s="9"/>
      <c r="B4" s="299" t="s">
        <v>418</v>
      </c>
      <c r="C4" s="9"/>
      <c r="D4" s="9"/>
      <c r="E4" s="9">
        <v>818</v>
      </c>
    </row>
    <row r="5" spans="1:6" ht="15">
      <c r="A5" s="37">
        <v>43191</v>
      </c>
      <c r="B5" s="33" t="s">
        <v>406</v>
      </c>
      <c r="C5" s="9"/>
      <c r="D5" s="9">
        <v>450</v>
      </c>
      <c r="E5" s="9">
        <f t="shared" ref="E5:E23" si="0">E4+C5-D5</f>
        <v>368</v>
      </c>
    </row>
    <row r="6" spans="1:6">
      <c r="A6" s="24" t="s">
        <v>488</v>
      </c>
      <c r="B6" s="24" t="s">
        <v>434</v>
      </c>
      <c r="C6" s="9">
        <v>19</v>
      </c>
      <c r="D6" s="9"/>
      <c r="E6" s="9">
        <f t="shared" si="0"/>
        <v>387</v>
      </c>
    </row>
    <row r="7" spans="1:6">
      <c r="A7" s="342" t="s">
        <v>500</v>
      </c>
      <c r="B7" s="341" t="s">
        <v>16</v>
      </c>
      <c r="C7" s="9">
        <v>100</v>
      </c>
      <c r="D7" s="9"/>
      <c r="E7" s="9">
        <f t="shared" si="0"/>
        <v>487</v>
      </c>
    </row>
    <row r="8" spans="1:6">
      <c r="A8" s="34" t="s">
        <v>586</v>
      </c>
      <c r="B8" s="348" t="s">
        <v>16</v>
      </c>
      <c r="C8" s="9">
        <v>50</v>
      </c>
      <c r="D8" s="9"/>
      <c r="E8" s="9">
        <f t="shared" si="0"/>
        <v>537</v>
      </c>
      <c r="F8" s="379"/>
    </row>
    <row r="9" spans="1:6" ht="15">
      <c r="A9" s="33" t="s">
        <v>630</v>
      </c>
      <c r="B9" s="34" t="s">
        <v>505</v>
      </c>
      <c r="C9" s="9">
        <v>10</v>
      </c>
      <c r="D9" s="9"/>
      <c r="E9" s="9">
        <f t="shared" si="0"/>
        <v>547</v>
      </c>
      <c r="F9" s="433"/>
    </row>
    <row r="10" spans="1:6">
      <c r="A10" s="444" t="s">
        <v>651</v>
      </c>
      <c r="B10" s="444" t="s">
        <v>434</v>
      </c>
      <c r="C10" s="9">
        <v>103</v>
      </c>
      <c r="D10" s="9"/>
      <c r="E10" s="9">
        <f t="shared" si="0"/>
        <v>650</v>
      </c>
      <c r="F10" s="447"/>
    </row>
    <row r="11" spans="1:6">
      <c r="A11" s="21">
        <v>43315</v>
      </c>
      <c r="B11" s="9" t="s">
        <v>719</v>
      </c>
      <c r="C11" s="9">
        <v>121</v>
      </c>
      <c r="D11" s="9"/>
      <c r="E11" s="9">
        <f t="shared" si="0"/>
        <v>771</v>
      </c>
      <c r="F11" s="501"/>
    </row>
    <row r="12" spans="1:6">
      <c r="A12" s="531" t="s">
        <v>744</v>
      </c>
      <c r="B12" s="531" t="s">
        <v>719</v>
      </c>
      <c r="C12" s="9">
        <v>3</v>
      </c>
      <c r="D12" s="9"/>
      <c r="E12" s="9">
        <f t="shared" si="0"/>
        <v>774</v>
      </c>
      <c r="F12" s="529" t="s">
        <v>46</v>
      </c>
    </row>
    <row r="13" spans="1:6">
      <c r="A13" s="21">
        <v>43286</v>
      </c>
      <c r="B13" s="629" t="s">
        <v>779</v>
      </c>
      <c r="C13" s="394"/>
      <c r="D13" s="9">
        <v>2</v>
      </c>
      <c r="E13" s="9">
        <f t="shared" si="0"/>
        <v>772</v>
      </c>
    </row>
    <row r="14" spans="1:6">
      <c r="A14" s="21">
        <v>43317</v>
      </c>
      <c r="B14" s="629" t="s">
        <v>817</v>
      </c>
      <c r="C14" s="9"/>
      <c r="D14" s="9">
        <v>2</v>
      </c>
      <c r="E14" s="9">
        <f t="shared" si="0"/>
        <v>770</v>
      </c>
    </row>
    <row r="15" spans="1:6">
      <c r="A15" s="21">
        <v>43378</v>
      </c>
      <c r="B15" s="631" t="s">
        <v>779</v>
      </c>
      <c r="C15" s="9"/>
      <c r="D15" s="9">
        <v>58</v>
      </c>
      <c r="E15" s="9">
        <f t="shared" si="0"/>
        <v>712</v>
      </c>
    </row>
    <row r="16" spans="1:6">
      <c r="A16" s="21">
        <v>43409</v>
      </c>
      <c r="B16" s="631" t="s">
        <v>780</v>
      </c>
      <c r="C16" s="9"/>
      <c r="D16" s="9">
        <v>200</v>
      </c>
      <c r="E16" s="9">
        <f t="shared" si="0"/>
        <v>512</v>
      </c>
    </row>
    <row r="17" spans="1:6" ht="15">
      <c r="A17" s="159">
        <v>43439</v>
      </c>
      <c r="B17" s="158" t="s">
        <v>809</v>
      </c>
      <c r="C17" s="9"/>
      <c r="D17" s="9">
        <v>40</v>
      </c>
      <c r="E17" s="9">
        <f t="shared" si="0"/>
        <v>472</v>
      </c>
    </row>
    <row r="18" spans="1:6" ht="15">
      <c r="A18" s="35" t="s">
        <v>862</v>
      </c>
      <c r="B18" s="35" t="s">
        <v>779</v>
      </c>
      <c r="C18" s="9"/>
      <c r="D18" s="9">
        <v>66</v>
      </c>
      <c r="E18" s="9">
        <f t="shared" si="0"/>
        <v>406</v>
      </c>
    </row>
    <row r="19" spans="1:6" ht="15">
      <c r="A19" s="68" t="s">
        <v>863</v>
      </c>
      <c r="B19" s="68" t="s">
        <v>779</v>
      </c>
      <c r="C19" s="9"/>
      <c r="D19" s="9">
        <v>135</v>
      </c>
      <c r="E19" s="9">
        <f t="shared" si="0"/>
        <v>271</v>
      </c>
      <c r="F19" s="658" t="s">
        <v>46</v>
      </c>
    </row>
    <row r="20" spans="1:6" ht="15">
      <c r="A20" s="35" t="s">
        <v>874</v>
      </c>
      <c r="B20" s="35" t="s">
        <v>779</v>
      </c>
      <c r="C20" s="9"/>
      <c r="D20" s="9">
        <v>30</v>
      </c>
      <c r="E20" s="9">
        <f t="shared" si="0"/>
        <v>241</v>
      </c>
      <c r="F20" s="669" t="s">
        <v>46</v>
      </c>
    </row>
    <row r="21" spans="1:6" ht="15">
      <c r="A21" s="678" t="s">
        <v>886</v>
      </c>
      <c r="B21" s="95" t="s">
        <v>779</v>
      </c>
      <c r="C21" s="9"/>
      <c r="D21" s="9">
        <v>53</v>
      </c>
      <c r="E21" s="9">
        <f t="shared" si="0"/>
        <v>188</v>
      </c>
      <c r="F21" s="682" t="s">
        <v>46</v>
      </c>
    </row>
    <row r="22" spans="1:6" ht="15">
      <c r="A22" s="35" t="s">
        <v>898</v>
      </c>
      <c r="B22" s="35" t="s">
        <v>779</v>
      </c>
      <c r="C22" s="9"/>
      <c r="D22" s="9">
        <v>50</v>
      </c>
      <c r="E22" s="9">
        <f t="shared" si="0"/>
        <v>138</v>
      </c>
      <c r="F22" s="687" t="s">
        <v>46</v>
      </c>
    </row>
    <row r="23" spans="1:6">
      <c r="A23" s="690" t="s">
        <v>912</v>
      </c>
      <c r="B23" s="690" t="s">
        <v>779</v>
      </c>
      <c r="C23" s="9"/>
      <c r="D23" s="9">
        <v>80</v>
      </c>
      <c r="E23" s="9">
        <f t="shared" si="0"/>
        <v>58</v>
      </c>
      <c r="F23" s="693" t="s">
        <v>46</v>
      </c>
    </row>
    <row r="24" spans="1:6">
      <c r="A24" s="9"/>
      <c r="B24" s="9"/>
      <c r="C24" s="9"/>
      <c r="D24" s="9"/>
      <c r="E24" s="9"/>
    </row>
    <row r="25" spans="1:6">
      <c r="A25" s="9"/>
      <c r="B25" s="9"/>
      <c r="C25" s="9"/>
      <c r="D25" s="9"/>
      <c r="E25" s="9"/>
    </row>
    <row r="26" spans="1:6">
      <c r="A26" s="9"/>
      <c r="B26" s="9"/>
      <c r="C26" s="9"/>
      <c r="D26" s="9"/>
      <c r="E26" s="9"/>
    </row>
    <row r="27" spans="1:6">
      <c r="A27" s="9"/>
      <c r="B27" s="9"/>
      <c r="C27" s="9"/>
      <c r="D27" s="9"/>
      <c r="E27" s="9"/>
    </row>
    <row r="28" spans="1:6">
      <c r="A28" s="9"/>
      <c r="B28" s="9"/>
      <c r="C28" s="9"/>
      <c r="D28" s="9"/>
      <c r="E28" s="9"/>
    </row>
    <row r="29" spans="1:6">
      <c r="A29" s="9"/>
      <c r="B29" s="9"/>
      <c r="C29" s="9"/>
      <c r="D29" s="9"/>
      <c r="E29" s="9"/>
    </row>
    <row r="30" spans="1:6">
      <c r="A30" s="9"/>
      <c r="B30" s="9"/>
      <c r="C30" s="9"/>
      <c r="D30" s="9"/>
      <c r="E30" s="9"/>
    </row>
    <row r="31" spans="1:6">
      <c r="A31" s="9"/>
      <c r="B31" s="9"/>
      <c r="C31" s="9"/>
      <c r="D31" s="9"/>
      <c r="E31" s="9"/>
    </row>
    <row r="32" spans="1:6">
      <c r="A32" s="9"/>
      <c r="B32" s="9"/>
      <c r="C32" s="9"/>
      <c r="D32" s="9"/>
      <c r="E32" s="9"/>
    </row>
    <row r="33" spans="1:5">
      <c r="A33" s="9"/>
      <c r="B33" s="9"/>
      <c r="C33" s="9"/>
      <c r="D33" s="9"/>
      <c r="E33" s="9"/>
    </row>
    <row r="34" spans="1:5">
      <c r="A34" s="9"/>
      <c r="B34" s="9"/>
      <c r="C34" s="9"/>
      <c r="D34" s="9"/>
      <c r="E34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E5" sqref="E5"/>
    </sheetView>
  </sheetViews>
  <sheetFormatPr baseColWidth="10" defaultColWidth="9" defaultRowHeight="14" x14ac:dyDescent="0"/>
  <cols>
    <col min="1" max="1" width="12" customWidth="1"/>
    <col min="2" max="2" width="28.6640625" customWidth="1"/>
  </cols>
  <sheetData>
    <row r="1" spans="1:6" ht="15">
      <c r="A1" s="18" t="s">
        <v>125</v>
      </c>
      <c r="B1" s="18"/>
      <c r="C1" s="18" t="s">
        <v>279</v>
      </c>
      <c r="D1" s="18"/>
      <c r="E1" s="18"/>
    </row>
    <row r="2" spans="1:6" ht="15">
      <c r="A2" s="19"/>
      <c r="B2" s="19"/>
      <c r="C2" s="19"/>
      <c r="D2" s="19"/>
      <c r="E2" s="19"/>
    </row>
    <row r="3" spans="1:6">
      <c r="A3" s="4" t="s">
        <v>1</v>
      </c>
      <c r="B3" s="4" t="s">
        <v>6</v>
      </c>
      <c r="C3" s="4" t="s">
        <v>3</v>
      </c>
      <c r="D3" s="4" t="s">
        <v>4</v>
      </c>
      <c r="E3" s="4" t="s">
        <v>5</v>
      </c>
      <c r="F3" s="202" t="s">
        <v>6</v>
      </c>
    </row>
    <row r="4" spans="1:6">
      <c r="A4" s="9"/>
      <c r="B4" s="299" t="s">
        <v>418</v>
      </c>
      <c r="C4" s="9"/>
      <c r="D4" s="9"/>
      <c r="E4" s="9">
        <v>189</v>
      </c>
    </row>
    <row r="5" spans="1:6">
      <c r="A5" s="9"/>
      <c r="B5" s="9"/>
      <c r="C5" s="9"/>
      <c r="D5" s="9"/>
      <c r="E5" s="9"/>
    </row>
  </sheetData>
  <pageMargins left="0.69930555555555596" right="0.69930555555555596" top="0.75" bottom="0.75" header="0.3" footer="0.3"/>
  <pageSetup paperSize="9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F11" sqref="F11"/>
    </sheetView>
  </sheetViews>
  <sheetFormatPr baseColWidth="10" defaultColWidth="9" defaultRowHeight="14" x14ac:dyDescent="0"/>
  <cols>
    <col min="1" max="1" width="12" customWidth="1"/>
    <col min="2" max="2" width="28.6640625" customWidth="1"/>
  </cols>
  <sheetData>
    <row r="1" spans="1:6" ht="15">
      <c r="A1" s="18" t="s">
        <v>125</v>
      </c>
      <c r="B1" s="18"/>
      <c r="C1" s="18" t="s">
        <v>280</v>
      </c>
      <c r="D1" s="18"/>
      <c r="E1" s="18"/>
    </row>
    <row r="2" spans="1:6" ht="15">
      <c r="A2" s="19"/>
      <c r="B2" s="19"/>
      <c r="C2" s="19"/>
      <c r="D2" s="19"/>
      <c r="E2" s="19"/>
    </row>
    <row r="3" spans="1:6">
      <c r="A3" s="4" t="s">
        <v>1</v>
      </c>
      <c r="B3" s="4" t="s">
        <v>6</v>
      </c>
      <c r="C3" s="4" t="s">
        <v>3</v>
      </c>
      <c r="D3" s="4" t="s">
        <v>4</v>
      </c>
      <c r="E3" s="4" t="s">
        <v>5</v>
      </c>
      <c r="F3" s="202" t="s">
        <v>6</v>
      </c>
    </row>
    <row r="4" spans="1:6">
      <c r="A4" s="9"/>
      <c r="B4" s="9"/>
      <c r="C4" s="9"/>
      <c r="D4" s="9"/>
      <c r="E4" s="9"/>
    </row>
    <row r="5" spans="1:6">
      <c r="A5" s="9"/>
      <c r="B5" s="299" t="s">
        <v>418</v>
      </c>
      <c r="C5" s="9"/>
      <c r="D5" s="9"/>
      <c r="E5" s="9">
        <v>140</v>
      </c>
    </row>
    <row r="6" spans="1:6">
      <c r="A6" s="342" t="s">
        <v>500</v>
      </c>
      <c r="B6" s="341" t="s">
        <v>16</v>
      </c>
      <c r="C6" s="9">
        <v>20</v>
      </c>
      <c r="D6" s="9"/>
      <c r="E6" s="9">
        <f>E5+C6-D6</f>
        <v>160</v>
      </c>
      <c r="F6" s="345" t="s">
        <v>46</v>
      </c>
    </row>
    <row r="7" spans="1:6">
      <c r="A7" s="34" t="s">
        <v>586</v>
      </c>
      <c r="B7" s="348" t="s">
        <v>16</v>
      </c>
      <c r="C7" s="9">
        <v>10</v>
      </c>
      <c r="D7" s="9"/>
      <c r="E7" s="9">
        <f>E6+C7-D7</f>
        <v>170</v>
      </c>
      <c r="F7" s="379" t="s">
        <v>46</v>
      </c>
    </row>
    <row r="8" spans="1:6" ht="15">
      <c r="A8" s="33" t="s">
        <v>630</v>
      </c>
      <c r="B8" s="34" t="s">
        <v>505</v>
      </c>
      <c r="C8" s="9">
        <v>12</v>
      </c>
      <c r="D8" s="9"/>
      <c r="E8" s="9">
        <f>E7+C8-D8</f>
        <v>182</v>
      </c>
      <c r="F8" s="433" t="s">
        <v>46</v>
      </c>
    </row>
    <row r="9" spans="1:6" ht="15">
      <c r="A9" s="35" t="s">
        <v>898</v>
      </c>
      <c r="B9" s="35" t="s">
        <v>779</v>
      </c>
      <c r="C9" s="9"/>
      <c r="D9" s="9">
        <v>20</v>
      </c>
      <c r="E9" s="9">
        <f>E8+C9-D9</f>
        <v>162</v>
      </c>
      <c r="F9" s="687" t="s">
        <v>46</v>
      </c>
    </row>
    <row r="10" spans="1:6">
      <c r="A10" s="690" t="s">
        <v>912</v>
      </c>
      <c r="B10" s="690" t="s">
        <v>779</v>
      </c>
      <c r="C10" s="9"/>
      <c r="D10" s="9">
        <v>50</v>
      </c>
      <c r="E10" s="9">
        <f>E9+C10-D10</f>
        <v>112</v>
      </c>
      <c r="F10" s="693" t="s">
        <v>46</v>
      </c>
    </row>
    <row r="11" spans="1:6">
      <c r="A11" s="9"/>
      <c r="B11" s="9"/>
      <c r="C11" s="9"/>
      <c r="D11" s="9"/>
      <c r="E11" s="9"/>
    </row>
    <row r="12" spans="1:6">
      <c r="A12" s="9"/>
      <c r="B12" s="9"/>
      <c r="C12" s="9"/>
      <c r="D12" s="9"/>
      <c r="E12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A5" sqref="A5:XFD5"/>
    </sheetView>
  </sheetViews>
  <sheetFormatPr baseColWidth="10" defaultColWidth="8.83203125" defaultRowHeight="14" x14ac:dyDescent="0"/>
  <cols>
    <col min="1" max="1" width="12.83203125" customWidth="1"/>
    <col min="2" max="2" width="25.5" customWidth="1"/>
  </cols>
  <sheetData>
    <row r="1" spans="1:6" ht="15">
      <c r="A1" s="18" t="s">
        <v>125</v>
      </c>
      <c r="B1" s="18"/>
      <c r="C1" s="18" t="s">
        <v>401</v>
      </c>
      <c r="D1" s="18"/>
      <c r="E1" s="18"/>
    </row>
    <row r="2" spans="1:6" ht="15">
      <c r="A2" s="19"/>
      <c r="B2" s="19"/>
      <c r="C2" s="19"/>
      <c r="D2" s="19"/>
      <c r="E2" s="19"/>
    </row>
    <row r="3" spans="1:6">
      <c r="A3" s="4" t="s">
        <v>1</v>
      </c>
      <c r="B3" s="4" t="s">
        <v>6</v>
      </c>
      <c r="C3" s="4" t="s">
        <v>3</v>
      </c>
      <c r="D3" s="4" t="s">
        <v>4</v>
      </c>
      <c r="E3" s="4" t="s">
        <v>5</v>
      </c>
      <c r="F3" s="202" t="s">
        <v>6</v>
      </c>
    </row>
    <row r="4" spans="1:6">
      <c r="A4" s="4"/>
      <c r="B4" s="4" t="s">
        <v>418</v>
      </c>
      <c r="C4" s="4"/>
      <c r="D4" s="4"/>
      <c r="E4" s="4">
        <v>0</v>
      </c>
      <c r="F4" s="2"/>
    </row>
    <row r="5" spans="1:6">
      <c r="A5" s="9"/>
      <c r="B5" s="9"/>
      <c r="C5" s="9"/>
      <c r="D5" s="9"/>
      <c r="E5" s="9"/>
    </row>
    <row r="6" spans="1:6">
      <c r="A6" s="9"/>
      <c r="B6" s="9"/>
      <c r="C6" s="9"/>
      <c r="D6" s="9"/>
      <c r="E6" s="9"/>
    </row>
    <row r="7" spans="1:6">
      <c r="A7" s="9"/>
      <c r="B7" s="9"/>
      <c r="C7" s="9"/>
      <c r="D7" s="9"/>
      <c r="E7" s="9"/>
    </row>
    <row r="8" spans="1:6">
      <c r="A8" s="9"/>
      <c r="B8" s="9"/>
      <c r="C8" s="9"/>
      <c r="D8" s="9"/>
      <c r="E8" s="9"/>
    </row>
    <row r="9" spans="1:6">
      <c r="A9" s="9"/>
      <c r="B9" s="9"/>
      <c r="C9" s="9"/>
      <c r="D9" s="9"/>
      <c r="E9" s="9"/>
    </row>
    <row r="10" spans="1:6">
      <c r="A10" s="9"/>
      <c r="B10" s="9"/>
      <c r="C10" s="9"/>
      <c r="D10" s="9"/>
      <c r="E10" s="9"/>
    </row>
    <row r="11" spans="1:6">
      <c r="A11" s="9"/>
      <c r="B11" s="9"/>
      <c r="C11" s="9"/>
      <c r="D11" s="9"/>
      <c r="E11" s="9"/>
    </row>
    <row r="12" spans="1:6">
      <c r="A12" s="9"/>
      <c r="B12" s="9"/>
      <c r="C12" s="9"/>
      <c r="D12" s="9"/>
      <c r="E12" s="9"/>
    </row>
    <row r="13" spans="1:6">
      <c r="A13" s="9"/>
      <c r="B13" s="9"/>
      <c r="C13" s="9"/>
      <c r="D13" s="9"/>
      <c r="E13" s="9"/>
    </row>
    <row r="14" spans="1:6">
      <c r="A14" s="9"/>
      <c r="B14" s="9"/>
      <c r="C14" s="9"/>
      <c r="D14" s="9"/>
      <c r="E14" s="9"/>
    </row>
    <row r="15" spans="1:6">
      <c r="A15" s="9"/>
      <c r="B15" s="9"/>
      <c r="C15" s="9"/>
      <c r="D15" s="9"/>
      <c r="E15" s="9"/>
    </row>
    <row r="16" spans="1:6">
      <c r="A16" s="9"/>
      <c r="B16" s="9"/>
      <c r="C16" s="9"/>
      <c r="D16" s="9"/>
      <c r="E16" s="9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A3" sqref="A3:F3"/>
    </sheetView>
  </sheetViews>
  <sheetFormatPr baseColWidth="10" defaultColWidth="9" defaultRowHeight="14" x14ac:dyDescent="0"/>
  <cols>
    <col min="1" max="1" width="12.83203125" customWidth="1"/>
    <col min="2" max="2" width="19" customWidth="1"/>
  </cols>
  <sheetData>
    <row r="1" spans="1:6" ht="15">
      <c r="A1" s="18" t="s">
        <v>125</v>
      </c>
      <c r="B1" s="18"/>
      <c r="C1" s="18" t="s">
        <v>281</v>
      </c>
      <c r="D1" s="18"/>
      <c r="E1" s="18"/>
    </row>
    <row r="2" spans="1:6" ht="15">
      <c r="A2" s="19"/>
      <c r="B2" s="19"/>
      <c r="C2" s="19"/>
      <c r="D2" s="19"/>
      <c r="E2" s="19"/>
    </row>
    <row r="3" spans="1:6">
      <c r="A3" s="4" t="s">
        <v>1</v>
      </c>
      <c r="B3" s="4" t="s">
        <v>6</v>
      </c>
      <c r="C3" s="4" t="s">
        <v>3</v>
      </c>
      <c r="D3" s="4" t="s">
        <v>4</v>
      </c>
      <c r="E3" s="4" t="s">
        <v>5</v>
      </c>
      <c r="F3" s="202" t="s">
        <v>6</v>
      </c>
    </row>
    <row r="4" spans="1:6">
      <c r="A4" s="9"/>
      <c r="B4" s="310" t="s">
        <v>418</v>
      </c>
      <c r="C4" s="9"/>
      <c r="D4" s="9"/>
      <c r="E4" s="9">
        <v>1</v>
      </c>
    </row>
    <row r="5" spans="1:6">
      <c r="A5" s="9"/>
      <c r="B5" s="9"/>
      <c r="C5" s="9"/>
      <c r="D5" s="9"/>
      <c r="E5" s="9"/>
    </row>
    <row r="6" spans="1:6">
      <c r="A6" s="9"/>
      <c r="B6" s="9"/>
      <c r="C6" s="9"/>
      <c r="D6" s="9"/>
      <c r="E6" s="9"/>
    </row>
    <row r="7" spans="1:6">
      <c r="A7" s="9"/>
      <c r="B7" s="9"/>
      <c r="C7" s="9"/>
      <c r="D7" s="9"/>
      <c r="E7" s="9"/>
    </row>
    <row r="8" spans="1:6">
      <c r="A8" s="9"/>
      <c r="B8" s="9"/>
      <c r="C8" s="9"/>
      <c r="D8" s="9"/>
      <c r="E8" s="9"/>
    </row>
    <row r="9" spans="1:6">
      <c r="A9" s="9"/>
      <c r="B9" s="9"/>
      <c r="C9" s="9"/>
      <c r="D9" s="9"/>
      <c r="E9" s="9"/>
    </row>
    <row r="10" spans="1:6">
      <c r="A10" s="9"/>
      <c r="B10" s="9"/>
      <c r="C10" s="9"/>
      <c r="D10" s="9"/>
      <c r="E10" s="9"/>
    </row>
    <row r="11" spans="1:6">
      <c r="A11" s="9"/>
      <c r="B11" s="9"/>
      <c r="C11" s="9"/>
      <c r="D11" s="9"/>
      <c r="E11" s="9"/>
    </row>
    <row r="12" spans="1:6">
      <c r="A12" s="9"/>
      <c r="B12" s="9"/>
      <c r="C12" s="9"/>
      <c r="D12" s="9"/>
      <c r="E12" s="9"/>
    </row>
    <row r="13" spans="1:6">
      <c r="A13" s="9"/>
      <c r="B13" s="9"/>
      <c r="C13" s="9"/>
      <c r="D13" s="9"/>
      <c r="E13" s="9"/>
    </row>
    <row r="14" spans="1:6">
      <c r="A14" s="9"/>
      <c r="B14" s="9"/>
      <c r="C14" s="9"/>
      <c r="D14" s="9"/>
      <c r="E14" s="9"/>
    </row>
    <row r="15" spans="1:6">
      <c r="A15" s="9"/>
      <c r="B15" s="9"/>
      <c r="C15" s="9"/>
      <c r="D15" s="9"/>
      <c r="E15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8"/>
  <sheetViews>
    <sheetView workbookViewId="0">
      <selection activeCell="F8" sqref="F8"/>
    </sheetView>
  </sheetViews>
  <sheetFormatPr baseColWidth="10" defaultColWidth="9" defaultRowHeight="14" x14ac:dyDescent="0"/>
  <cols>
    <col min="1" max="1" width="13.5" customWidth="1"/>
    <col min="2" max="2" width="24" customWidth="1"/>
  </cols>
  <sheetData>
    <row r="2" spans="1:6" ht="15">
      <c r="A2" s="18" t="s">
        <v>125</v>
      </c>
      <c r="B2" s="18"/>
      <c r="C2" s="18" t="s">
        <v>282</v>
      </c>
      <c r="D2" s="18"/>
      <c r="E2" s="18"/>
      <c r="F2" s="18"/>
    </row>
    <row r="3" spans="1:6" ht="15">
      <c r="A3" s="19"/>
      <c r="B3" s="19"/>
      <c r="C3" s="19"/>
      <c r="D3" s="19"/>
      <c r="E3" s="19"/>
      <c r="F3" s="19"/>
    </row>
    <row r="4" spans="1:6">
      <c r="A4" s="4" t="s">
        <v>1</v>
      </c>
      <c r="B4" s="4" t="s">
        <v>6</v>
      </c>
      <c r="C4" s="4" t="s">
        <v>3</v>
      </c>
      <c r="D4" s="4" t="s">
        <v>4</v>
      </c>
      <c r="E4" s="4" t="s">
        <v>5</v>
      </c>
      <c r="F4" s="202" t="s">
        <v>6</v>
      </c>
    </row>
    <row r="5" spans="1:6">
      <c r="A5" s="9"/>
      <c r="B5" s="299" t="s">
        <v>418</v>
      </c>
      <c r="C5" s="9"/>
      <c r="D5" s="9"/>
      <c r="E5" s="9">
        <v>1352</v>
      </c>
    </row>
    <row r="6" spans="1:6" ht="15">
      <c r="A6" s="37">
        <v>43285</v>
      </c>
      <c r="B6" s="33" t="s">
        <v>779</v>
      </c>
      <c r="C6" s="9"/>
      <c r="D6" s="9">
        <v>40</v>
      </c>
      <c r="E6" s="9">
        <f>E5+C6-D6</f>
        <v>1312</v>
      </c>
    </row>
    <row r="7" spans="1:6" ht="15">
      <c r="A7" s="582" t="s">
        <v>808</v>
      </c>
      <c r="B7" s="33" t="s">
        <v>779</v>
      </c>
      <c r="C7" s="9"/>
      <c r="D7" s="9">
        <v>120</v>
      </c>
      <c r="E7" s="9">
        <f>E6+C7-D7</f>
        <v>1192</v>
      </c>
      <c r="F7" s="584" t="s">
        <v>46</v>
      </c>
    </row>
    <row r="8" spans="1:6">
      <c r="A8" s="9"/>
      <c r="B8" s="9"/>
      <c r="C8" s="9"/>
      <c r="D8" s="9"/>
      <c r="E8" s="9"/>
    </row>
  </sheetData>
  <pageMargins left="0.69930555555555596" right="0.69930555555555596" top="0.25" bottom="0.75" header="0.3" footer="0.3"/>
  <pageSetup paperSize="9" scale="90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G17" sqref="G17"/>
    </sheetView>
  </sheetViews>
  <sheetFormatPr baseColWidth="10" defaultColWidth="9" defaultRowHeight="14" x14ac:dyDescent="0"/>
  <cols>
    <col min="1" max="1" width="16.1640625" customWidth="1"/>
    <col min="2" max="2" width="25.83203125" customWidth="1"/>
    <col min="3" max="3" width="9.1640625" customWidth="1"/>
    <col min="4" max="4" width="9.6640625" customWidth="1"/>
  </cols>
  <sheetData>
    <row r="1" spans="1:6" ht="15">
      <c r="A1" s="18" t="s">
        <v>125</v>
      </c>
      <c r="B1" s="18"/>
      <c r="C1" s="18" t="s">
        <v>283</v>
      </c>
      <c r="D1" s="18"/>
      <c r="E1" s="18"/>
    </row>
    <row r="2" spans="1:6" ht="15">
      <c r="A2" s="19"/>
      <c r="B2" s="19"/>
      <c r="C2" s="19"/>
      <c r="D2" s="19"/>
      <c r="E2" s="19"/>
    </row>
    <row r="3" spans="1:6">
      <c r="A3" s="4" t="s">
        <v>1</v>
      </c>
      <c r="B3" s="4" t="s">
        <v>6</v>
      </c>
      <c r="C3" s="4" t="s">
        <v>3</v>
      </c>
      <c r="D3" s="4" t="s">
        <v>4</v>
      </c>
      <c r="E3" s="4" t="s">
        <v>5</v>
      </c>
      <c r="F3" s="202" t="s">
        <v>6</v>
      </c>
    </row>
    <row r="4" spans="1:6">
      <c r="A4" s="9"/>
      <c r="B4" s="299" t="s">
        <v>418</v>
      </c>
      <c r="C4" s="9"/>
      <c r="D4" s="9"/>
      <c r="E4" s="9">
        <v>2324</v>
      </c>
    </row>
    <row r="5" spans="1:6" ht="15">
      <c r="A5" s="68" t="s">
        <v>886</v>
      </c>
      <c r="B5" s="35" t="s">
        <v>779</v>
      </c>
      <c r="C5" s="9"/>
      <c r="D5" s="9">
        <v>300</v>
      </c>
      <c r="E5" s="9">
        <f>E4+C5-D5</f>
        <v>2024</v>
      </c>
      <c r="F5" s="682"/>
    </row>
    <row r="6" spans="1:6" ht="15">
      <c r="A6" s="35" t="s">
        <v>898</v>
      </c>
      <c r="B6" s="35" t="s">
        <v>779</v>
      </c>
      <c r="C6" s="9"/>
      <c r="D6" s="9">
        <v>200</v>
      </c>
      <c r="E6" s="9">
        <f>E5+C6-D6</f>
        <v>1824</v>
      </c>
      <c r="F6" s="687"/>
    </row>
    <row r="7" spans="1:6">
      <c r="A7" s="692" t="s">
        <v>912</v>
      </c>
      <c r="B7" s="690" t="s">
        <v>627</v>
      </c>
      <c r="C7" s="9">
        <v>106</v>
      </c>
      <c r="D7" s="9"/>
      <c r="E7" s="9">
        <f>E6+C7-D7</f>
        <v>1930</v>
      </c>
      <c r="F7" s="693"/>
    </row>
    <row r="8" spans="1:6">
      <c r="A8" s="698" t="s">
        <v>915</v>
      </c>
      <c r="B8" s="698" t="s">
        <v>627</v>
      </c>
      <c r="C8" s="9">
        <v>241</v>
      </c>
      <c r="D8" s="9"/>
      <c r="E8" s="9">
        <f>E7+C8-D8</f>
        <v>2171</v>
      </c>
      <c r="F8" s="701"/>
    </row>
    <row r="9" spans="1:6">
      <c r="A9" s="21">
        <v>43226</v>
      </c>
      <c r="B9" s="715" t="s">
        <v>627</v>
      </c>
      <c r="C9" s="9">
        <v>33</v>
      </c>
      <c r="D9" s="9"/>
      <c r="E9" s="9">
        <f>E8+C9-D9</f>
        <v>2204</v>
      </c>
      <c r="F9" s="721" t="s">
        <v>46</v>
      </c>
    </row>
    <row r="10" spans="1:6">
      <c r="A10" s="9"/>
      <c r="B10" s="9"/>
      <c r="C10" s="9"/>
      <c r="D10" s="9"/>
      <c r="E10" s="9"/>
    </row>
    <row r="11" spans="1:6">
      <c r="A11" s="9"/>
      <c r="B11" s="9"/>
      <c r="C11" s="9"/>
      <c r="D11" s="9"/>
      <c r="E11" s="9"/>
    </row>
    <row r="12" spans="1:6">
      <c r="A12" s="9"/>
      <c r="B12" s="9"/>
      <c r="C12" s="9"/>
      <c r="D12" s="9"/>
      <c r="E12" s="9"/>
    </row>
    <row r="13" spans="1:6">
      <c r="A13" s="9"/>
      <c r="B13" s="9"/>
      <c r="C13" s="9"/>
      <c r="D13" s="9"/>
      <c r="E13" s="9"/>
    </row>
    <row r="14" spans="1:6">
      <c r="A14" s="9"/>
      <c r="B14" s="9"/>
      <c r="C14" s="9"/>
      <c r="D14" s="9"/>
      <c r="E14" s="9"/>
    </row>
  </sheetData>
  <pageMargins left="0.69930555555555596" right="0.69930555555555596" top="0.5" bottom="0.75" header="0.3" footer="0.3"/>
  <pageSetup paperSize="9" scale="90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>
      <selection activeCell="A3" sqref="A3:F3"/>
    </sheetView>
  </sheetViews>
  <sheetFormatPr baseColWidth="10" defaultColWidth="9" defaultRowHeight="14" x14ac:dyDescent="0"/>
  <cols>
    <col min="1" max="1" width="12.6640625" customWidth="1"/>
    <col min="2" max="2" width="29" customWidth="1"/>
    <col min="3" max="3" width="8" customWidth="1"/>
    <col min="4" max="4" width="8.1640625" customWidth="1"/>
    <col min="5" max="5" width="6.6640625" customWidth="1"/>
  </cols>
  <sheetData>
    <row r="1" spans="1:6">
      <c r="A1" s="50" t="s">
        <v>284</v>
      </c>
      <c r="B1" s="50"/>
      <c r="C1" s="50"/>
      <c r="D1" s="50"/>
      <c r="E1" s="50"/>
    </row>
    <row r="2" spans="1:6">
      <c r="A2" s="50"/>
      <c r="B2" s="51"/>
      <c r="C2" s="50"/>
      <c r="D2" s="50"/>
      <c r="E2" s="50"/>
    </row>
    <row r="3" spans="1:6">
      <c r="A3" s="4" t="s">
        <v>1</v>
      </c>
      <c r="B3" s="4" t="s">
        <v>6</v>
      </c>
      <c r="C3" s="4" t="s">
        <v>3</v>
      </c>
      <c r="D3" s="4" t="s">
        <v>4</v>
      </c>
      <c r="E3" s="4" t="s">
        <v>5</v>
      </c>
      <c r="F3" s="202" t="s">
        <v>6</v>
      </c>
    </row>
    <row r="4" spans="1:6">
      <c r="A4" s="13" t="s">
        <v>51</v>
      </c>
      <c r="B4" s="13" t="s">
        <v>9</v>
      </c>
      <c r="C4" s="13">
        <v>2</v>
      </c>
      <c r="D4" s="53"/>
      <c r="E4" s="9">
        <v>2</v>
      </c>
    </row>
    <row r="5" spans="1:6">
      <c r="A5" s="9"/>
      <c r="B5" s="9"/>
      <c r="C5" s="9"/>
      <c r="D5" s="44"/>
      <c r="E5" s="9"/>
    </row>
    <row r="6" spans="1:6">
      <c r="A6" s="9"/>
      <c r="B6" s="9"/>
      <c r="C6" s="9"/>
      <c r="D6" s="44"/>
      <c r="E6" s="9"/>
    </row>
    <row r="7" spans="1:6">
      <c r="A7" s="9"/>
      <c r="B7" s="9"/>
      <c r="C7" s="9"/>
      <c r="D7" s="9"/>
      <c r="E7" s="9"/>
    </row>
    <row r="8" spans="1:6">
      <c r="A8" s="45"/>
      <c r="B8" s="44"/>
      <c r="C8" s="44"/>
      <c r="D8" s="9"/>
      <c r="E8" s="9"/>
    </row>
    <row r="9" spans="1:6">
      <c r="A9" s="54"/>
      <c r="B9" s="55"/>
      <c r="C9" s="55"/>
      <c r="D9" s="9"/>
      <c r="E9" s="9"/>
    </row>
    <row r="10" spans="1:6">
      <c r="A10" s="55"/>
      <c r="B10" s="55"/>
      <c r="C10" s="55"/>
      <c r="D10" s="9"/>
      <c r="E10" s="9"/>
    </row>
    <row r="11" spans="1:6">
      <c r="A11" s="55"/>
      <c r="B11" s="55"/>
      <c r="C11" s="55"/>
      <c r="D11" s="9"/>
      <c r="E11" s="9"/>
    </row>
    <row r="12" spans="1:6">
      <c r="A12" s="55"/>
      <c r="B12" s="55"/>
      <c r="C12" s="55"/>
      <c r="D12" s="9"/>
      <c r="E12" s="9"/>
    </row>
    <row r="13" spans="1:6">
      <c r="A13" s="55"/>
      <c r="B13" s="55"/>
      <c r="C13" s="55"/>
      <c r="D13" s="9"/>
      <c r="E13" s="9"/>
    </row>
    <row r="14" spans="1:6">
      <c r="A14" s="94"/>
      <c r="B14" s="48"/>
      <c r="C14" s="48"/>
      <c r="D14" s="9"/>
      <c r="E14" s="9"/>
    </row>
    <row r="15" spans="1:6">
      <c r="A15" s="48"/>
      <c r="B15" s="48"/>
      <c r="C15" s="48"/>
      <c r="D15" s="9"/>
      <c r="E15" s="9"/>
    </row>
    <row r="16" spans="1:6">
      <c r="A16" s="48"/>
      <c r="B16" s="48"/>
      <c r="C16" s="48"/>
      <c r="D16" s="9"/>
      <c r="E16" s="9"/>
    </row>
    <row r="17" spans="1:5">
      <c r="A17" s="45"/>
      <c r="B17" s="44"/>
      <c r="C17" s="44"/>
      <c r="D17" s="9"/>
      <c r="E17" s="9"/>
    </row>
    <row r="18" spans="1:5">
      <c r="A18" s="9"/>
      <c r="B18" s="44"/>
      <c r="C18" s="9"/>
      <c r="D18" s="9"/>
      <c r="E18" s="9"/>
    </row>
    <row r="19" spans="1:5">
      <c r="A19" s="21"/>
      <c r="B19" s="44"/>
      <c r="C19" s="9"/>
      <c r="D19" s="9"/>
      <c r="E19" s="9"/>
    </row>
    <row r="20" spans="1:5">
      <c r="A20" s="21"/>
      <c r="B20" s="44"/>
      <c r="C20" s="9"/>
      <c r="D20" s="9"/>
      <c r="E20" s="9"/>
    </row>
    <row r="21" spans="1:5">
      <c r="A21" s="9"/>
      <c r="B21" s="9"/>
      <c r="C21" s="26"/>
      <c r="D21" s="9"/>
      <c r="E21" s="9"/>
    </row>
    <row r="22" spans="1:5" ht="15">
      <c r="A22" s="95"/>
      <c r="B22" s="95"/>
      <c r="C22" s="26"/>
      <c r="D22" s="9"/>
      <c r="E22" s="9"/>
    </row>
    <row r="23" spans="1:5">
      <c r="A23" s="21"/>
      <c r="B23" s="9"/>
      <c r="C23" s="9"/>
      <c r="D23" s="9"/>
      <c r="E23" s="9"/>
    </row>
    <row r="24" spans="1:5" ht="15">
      <c r="A24" s="96"/>
      <c r="B24" s="9"/>
      <c r="C24" s="9"/>
      <c r="D24" s="9"/>
      <c r="E24" s="9"/>
    </row>
    <row r="25" spans="1:5">
      <c r="A25" s="9"/>
      <c r="B25" s="9"/>
      <c r="C25" s="9"/>
      <c r="D25" s="9"/>
      <c r="E25" s="9"/>
    </row>
    <row r="26" spans="1:5">
      <c r="A26" s="9"/>
      <c r="B26" s="9"/>
      <c r="C26" s="9"/>
      <c r="D26" s="9"/>
      <c r="E26" s="9"/>
    </row>
    <row r="27" spans="1:5">
      <c r="A27" s="9"/>
      <c r="B27" s="9"/>
      <c r="C27" s="9"/>
      <c r="D27" s="9"/>
      <c r="E27" s="9"/>
    </row>
    <row r="28" spans="1:5">
      <c r="A28" s="9"/>
      <c r="B28" s="9"/>
      <c r="C28" s="9"/>
      <c r="D28" s="9"/>
      <c r="E28" s="9"/>
    </row>
    <row r="29" spans="1:5">
      <c r="A29" s="9"/>
      <c r="B29" s="9"/>
      <c r="C29" s="9"/>
      <c r="D29" s="9"/>
      <c r="E29" s="9"/>
    </row>
    <row r="30" spans="1:5">
      <c r="A30" s="9"/>
      <c r="B30" s="9"/>
      <c r="C30" s="9"/>
      <c r="D30" s="9"/>
      <c r="E30" s="9"/>
    </row>
    <row r="31" spans="1:5">
      <c r="A31" s="9"/>
      <c r="B31" s="9"/>
      <c r="C31" s="9"/>
      <c r="D31" s="9"/>
      <c r="E31" s="9"/>
    </row>
    <row r="32" spans="1:5">
      <c r="A32" s="9"/>
      <c r="B32" s="9"/>
      <c r="C32" s="9"/>
      <c r="D32" s="9"/>
      <c r="E32" s="9"/>
    </row>
    <row r="33" spans="1:5">
      <c r="A33" s="9"/>
      <c r="B33" s="9"/>
      <c r="C33" s="9"/>
      <c r="D33" s="9"/>
      <c r="E33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A3" sqref="A3:F3"/>
    </sheetView>
  </sheetViews>
  <sheetFormatPr baseColWidth="10" defaultColWidth="9" defaultRowHeight="14" x14ac:dyDescent="0"/>
  <cols>
    <col min="1" max="1" width="13.33203125" customWidth="1"/>
    <col min="2" max="2" width="20.1640625" customWidth="1"/>
  </cols>
  <sheetData>
    <row r="1" spans="1:6" ht="15">
      <c r="A1" s="18" t="s">
        <v>285</v>
      </c>
      <c r="B1" s="18"/>
      <c r="C1" s="18"/>
      <c r="D1" s="18"/>
      <c r="E1" s="18"/>
    </row>
    <row r="2" spans="1:6" ht="15">
      <c r="A2" s="19"/>
      <c r="B2" s="19"/>
      <c r="C2" s="19"/>
      <c r="D2" s="19"/>
      <c r="E2" s="19"/>
    </row>
    <row r="3" spans="1:6">
      <c r="A3" s="4" t="s">
        <v>1</v>
      </c>
      <c r="B3" s="4" t="s">
        <v>6</v>
      </c>
      <c r="C3" s="4" t="s">
        <v>3</v>
      </c>
      <c r="D3" s="4" t="s">
        <v>4</v>
      </c>
      <c r="E3" s="4" t="s">
        <v>5</v>
      </c>
      <c r="F3" s="202" t="s">
        <v>6</v>
      </c>
    </row>
    <row r="4" spans="1:6">
      <c r="A4" s="9"/>
      <c r="B4" s="299" t="s">
        <v>414</v>
      </c>
      <c r="C4" s="9"/>
      <c r="D4" s="9"/>
      <c r="E4" s="9">
        <v>21</v>
      </c>
    </row>
    <row r="5" spans="1:6">
      <c r="A5" s="9"/>
      <c r="B5" s="9"/>
      <c r="C5" s="9"/>
      <c r="D5" s="9"/>
      <c r="E5" s="9"/>
    </row>
    <row r="6" spans="1:6">
      <c r="A6" s="9"/>
      <c r="B6" s="9"/>
      <c r="C6" s="9"/>
      <c r="D6" s="9"/>
      <c r="E6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A3" sqref="A3:F3"/>
    </sheetView>
  </sheetViews>
  <sheetFormatPr baseColWidth="10" defaultColWidth="9" defaultRowHeight="14" x14ac:dyDescent="0"/>
  <cols>
    <col min="1" max="1" width="11" customWidth="1"/>
    <col min="2" max="2" width="38.83203125" customWidth="1"/>
  </cols>
  <sheetData>
    <row r="1" spans="1:6" ht="15">
      <c r="A1" s="18" t="s">
        <v>125</v>
      </c>
      <c r="B1" s="18"/>
      <c r="C1" s="18" t="s">
        <v>286</v>
      </c>
      <c r="D1" s="18"/>
      <c r="E1" s="18"/>
    </row>
    <row r="2" spans="1:6" ht="15">
      <c r="A2" s="19"/>
      <c r="B2" s="19"/>
      <c r="C2" s="19"/>
      <c r="D2" s="19"/>
      <c r="E2" s="19"/>
    </row>
    <row r="3" spans="1:6">
      <c r="A3" s="4" t="s">
        <v>1</v>
      </c>
      <c r="B3" s="4" t="s">
        <v>6</v>
      </c>
      <c r="C3" s="4" t="s">
        <v>3</v>
      </c>
      <c r="D3" s="4" t="s">
        <v>4</v>
      </c>
      <c r="E3" s="4" t="s">
        <v>5</v>
      </c>
      <c r="F3" s="202" t="s">
        <v>6</v>
      </c>
    </row>
    <row r="4" spans="1:6">
      <c r="A4" s="9"/>
      <c r="B4" s="299" t="s">
        <v>418</v>
      </c>
      <c r="C4" s="9"/>
      <c r="D4" s="9"/>
      <c r="E4" s="9">
        <v>1776</v>
      </c>
    </row>
    <row r="5" spans="1:6">
      <c r="A5" s="9"/>
      <c r="B5" s="9"/>
      <c r="C5" s="9"/>
      <c r="D5" s="9"/>
      <c r="E5" s="9"/>
    </row>
  </sheetData>
  <pageMargins left="0.69930555555555596" right="0.69930555555555596" top="0.5" bottom="0.75" header="0.3" footer="0.3"/>
  <pageSetup paperSize="9" scale="90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8"/>
  <sheetViews>
    <sheetView workbookViewId="0">
      <selection activeCell="A4" sqref="A4:F4"/>
    </sheetView>
  </sheetViews>
  <sheetFormatPr baseColWidth="10" defaultColWidth="9" defaultRowHeight="15" x14ac:dyDescent="0"/>
  <cols>
    <col min="1" max="1" width="12.5" style="31" customWidth="1"/>
    <col min="2" max="2" width="25.5" style="31" customWidth="1"/>
    <col min="3" max="5" width="9" style="31"/>
  </cols>
  <sheetData>
    <row r="1" spans="1:7">
      <c r="F1" s="19"/>
      <c r="G1" s="19"/>
    </row>
    <row r="2" spans="1:7">
      <c r="A2" s="31" t="s">
        <v>287</v>
      </c>
      <c r="F2" s="19"/>
      <c r="G2" s="19"/>
    </row>
    <row r="4" spans="1:7" ht="14">
      <c r="A4" s="4" t="s">
        <v>1</v>
      </c>
      <c r="B4" s="4" t="s">
        <v>6</v>
      </c>
      <c r="C4" s="4" t="s">
        <v>3</v>
      </c>
      <c r="D4" s="4" t="s">
        <v>4</v>
      </c>
      <c r="E4" s="4" t="s">
        <v>5</v>
      </c>
      <c r="F4" s="202" t="s">
        <v>6</v>
      </c>
    </row>
    <row r="5" spans="1:7">
      <c r="A5" s="33"/>
      <c r="B5" s="33" t="s">
        <v>418</v>
      </c>
      <c r="C5" s="33"/>
      <c r="D5" s="33"/>
      <c r="E5" s="33">
        <v>1994</v>
      </c>
    </row>
    <row r="6" spans="1:7">
      <c r="A6" s="33"/>
      <c r="B6" s="33"/>
      <c r="C6" s="33"/>
      <c r="D6" s="33"/>
      <c r="E6" s="33"/>
    </row>
    <row r="7" spans="1:7">
      <c r="A7" s="33"/>
      <c r="B7" s="33"/>
      <c r="C7" s="33"/>
      <c r="D7" s="33"/>
      <c r="E7" s="33"/>
    </row>
    <row r="8" spans="1:7">
      <c r="A8" s="33"/>
      <c r="B8" s="33"/>
      <c r="C8" s="33"/>
      <c r="D8" s="33"/>
      <c r="E8" s="33"/>
    </row>
    <row r="9" spans="1:7">
      <c r="A9" s="33"/>
      <c r="B9" s="33"/>
      <c r="C9" s="33"/>
      <c r="D9" s="33"/>
      <c r="E9" s="33"/>
    </row>
    <row r="10" spans="1:7">
      <c r="A10" s="33"/>
      <c r="B10" s="33"/>
      <c r="C10" s="33"/>
      <c r="D10" s="33"/>
      <c r="E10" s="33"/>
    </row>
    <row r="11" spans="1:7">
      <c r="A11" s="33"/>
      <c r="C11" s="33"/>
      <c r="D11" s="33"/>
      <c r="E11" s="33"/>
    </row>
    <row r="12" spans="1:7">
      <c r="A12" s="33"/>
      <c r="B12" s="33"/>
      <c r="C12" s="33"/>
      <c r="D12" s="33"/>
      <c r="E12" s="33"/>
    </row>
    <row r="13" spans="1:7">
      <c r="A13" s="33"/>
      <c r="B13" s="33"/>
      <c r="C13" s="33"/>
      <c r="D13" s="33"/>
      <c r="E13" s="33"/>
    </row>
    <row r="14" spans="1:7">
      <c r="A14" s="33"/>
      <c r="B14" s="33"/>
      <c r="C14" s="33"/>
      <c r="D14" s="33"/>
      <c r="E14" s="33"/>
    </row>
    <row r="15" spans="1:7">
      <c r="A15" s="33"/>
      <c r="B15" s="33"/>
      <c r="C15" s="33"/>
      <c r="D15" s="33"/>
      <c r="E15" s="33"/>
    </row>
    <row r="16" spans="1:7">
      <c r="A16" s="33"/>
      <c r="B16" s="33"/>
      <c r="C16" s="33"/>
      <c r="D16" s="33"/>
      <c r="E16" s="33"/>
    </row>
    <row r="17" spans="1:5">
      <c r="A17" s="33"/>
      <c r="B17" s="33"/>
      <c r="C17" s="33"/>
      <c r="D17" s="33"/>
      <c r="E17" s="33"/>
    </row>
    <row r="18" spans="1:5">
      <c r="A18" s="33"/>
      <c r="B18" s="33"/>
      <c r="C18" s="33"/>
      <c r="D18" s="33"/>
      <c r="E18" s="33"/>
    </row>
    <row r="19" spans="1:5">
      <c r="A19" s="33"/>
      <c r="B19" s="33"/>
      <c r="C19" s="33"/>
      <c r="D19" s="33"/>
      <c r="E19" s="33"/>
    </row>
    <row r="20" spans="1:5">
      <c r="A20" s="33"/>
      <c r="B20" s="33"/>
      <c r="C20" s="33"/>
      <c r="D20" s="33"/>
      <c r="E20" s="33"/>
    </row>
    <row r="21" spans="1:5">
      <c r="A21" s="33"/>
      <c r="B21" s="33"/>
      <c r="C21" s="33"/>
      <c r="D21" s="33"/>
      <c r="E21" s="33"/>
    </row>
    <row r="22" spans="1:5">
      <c r="A22" s="33"/>
      <c r="B22" s="33"/>
      <c r="C22" s="33"/>
      <c r="D22" s="33"/>
      <c r="E22" s="33"/>
    </row>
    <row r="23" spans="1:5">
      <c r="A23" s="33"/>
      <c r="B23" s="33"/>
      <c r="C23" s="33"/>
      <c r="D23" s="33"/>
      <c r="E23" s="33"/>
    </row>
    <row r="24" spans="1:5">
      <c r="A24" s="33"/>
      <c r="B24" s="33"/>
      <c r="C24" s="33"/>
      <c r="D24" s="33"/>
      <c r="E24" s="33"/>
    </row>
    <row r="25" spans="1:5">
      <c r="A25" s="33"/>
      <c r="B25" s="33"/>
      <c r="C25" s="33"/>
      <c r="D25" s="33"/>
      <c r="E25" s="33"/>
    </row>
    <row r="26" spans="1:5">
      <c r="A26" s="33"/>
      <c r="B26" s="33"/>
      <c r="C26" s="33"/>
      <c r="D26" s="33"/>
      <c r="E26" s="33"/>
    </row>
    <row r="27" spans="1:5">
      <c r="A27" s="33"/>
      <c r="B27" s="33"/>
      <c r="C27" s="33"/>
      <c r="D27" s="33"/>
      <c r="E27" s="33"/>
    </row>
    <row r="28" spans="1:5">
      <c r="A28" s="33"/>
      <c r="B28" s="33"/>
      <c r="C28" s="33"/>
      <c r="D28" s="33"/>
      <c r="E28" s="33"/>
    </row>
    <row r="29" spans="1:5">
      <c r="A29" s="33"/>
      <c r="B29" s="33"/>
      <c r="C29" s="33"/>
      <c r="D29" s="33"/>
      <c r="E29" s="33"/>
    </row>
    <row r="30" spans="1:5">
      <c r="A30" s="33"/>
      <c r="B30" s="33"/>
      <c r="C30" s="33"/>
      <c r="D30" s="33"/>
      <c r="E30" s="33"/>
    </row>
    <row r="31" spans="1:5">
      <c r="A31" s="33"/>
      <c r="B31" s="33"/>
      <c r="C31" s="33"/>
      <c r="D31" s="33"/>
      <c r="E31" s="33"/>
    </row>
    <row r="32" spans="1:5">
      <c r="A32" s="33"/>
      <c r="B32" s="33"/>
      <c r="C32" s="33"/>
      <c r="D32" s="33"/>
      <c r="E32" s="33"/>
    </row>
    <row r="33" spans="1:5">
      <c r="A33" s="33"/>
      <c r="B33" s="33"/>
      <c r="C33" s="33"/>
      <c r="D33" s="33"/>
      <c r="E33" s="33"/>
    </row>
    <row r="34" spans="1:5">
      <c r="A34" s="33"/>
      <c r="B34" s="33"/>
      <c r="C34" s="33"/>
      <c r="D34" s="33"/>
      <c r="E34" s="33"/>
    </row>
    <row r="35" spans="1:5">
      <c r="A35" s="33"/>
      <c r="B35" s="33"/>
      <c r="C35" s="33"/>
      <c r="D35" s="33"/>
      <c r="E35" s="33"/>
    </row>
    <row r="36" spans="1:5">
      <c r="A36" s="33"/>
      <c r="B36" s="33"/>
      <c r="C36" s="33"/>
      <c r="D36" s="33"/>
      <c r="E36" s="33"/>
    </row>
    <row r="37" spans="1:5">
      <c r="A37" s="33"/>
      <c r="B37" s="33"/>
      <c r="C37" s="33"/>
      <c r="D37" s="33"/>
      <c r="E37" s="33"/>
    </row>
    <row r="38" spans="1:5">
      <c r="A38" s="33"/>
      <c r="B38" s="33"/>
      <c r="C38" s="33"/>
      <c r="D38" s="33"/>
      <c r="E38" s="33"/>
    </row>
    <row r="39" spans="1:5">
      <c r="A39" s="33"/>
      <c r="B39" s="33"/>
      <c r="C39" s="33"/>
      <c r="D39" s="33"/>
      <c r="E39" s="33"/>
    </row>
    <row r="40" spans="1:5">
      <c r="A40" s="33"/>
      <c r="B40" s="33"/>
      <c r="C40" s="33"/>
      <c r="D40" s="33"/>
      <c r="E40" s="33"/>
    </row>
    <row r="41" spans="1:5">
      <c r="A41" s="33"/>
      <c r="B41" s="33"/>
      <c r="C41" s="33"/>
      <c r="D41" s="33"/>
      <c r="E41" s="33"/>
    </row>
    <row r="42" spans="1:5">
      <c r="A42" s="33"/>
      <c r="B42" s="33"/>
      <c r="C42" s="33"/>
      <c r="D42" s="33"/>
      <c r="E42" s="33"/>
    </row>
    <row r="43" spans="1:5">
      <c r="A43" s="33"/>
      <c r="B43" s="33"/>
      <c r="C43" s="33"/>
      <c r="D43" s="33"/>
      <c r="E43" s="33"/>
    </row>
    <row r="44" spans="1:5">
      <c r="A44" s="33"/>
      <c r="B44" s="33"/>
      <c r="C44" s="33"/>
      <c r="D44" s="33"/>
      <c r="E44" s="33"/>
    </row>
    <row r="45" spans="1:5">
      <c r="A45" s="33"/>
      <c r="B45" s="33"/>
      <c r="C45" s="33"/>
      <c r="D45" s="33"/>
      <c r="E45" s="33"/>
    </row>
    <row r="46" spans="1:5">
      <c r="A46" s="33"/>
      <c r="B46" s="33"/>
      <c r="C46" s="33"/>
      <c r="D46" s="33"/>
      <c r="E46" s="33"/>
    </row>
    <row r="47" spans="1:5">
      <c r="A47" s="33"/>
      <c r="B47" s="33"/>
      <c r="C47" s="33"/>
      <c r="D47" s="33"/>
      <c r="E47" s="33"/>
    </row>
    <row r="48" spans="1:5">
      <c r="A48" s="33"/>
      <c r="B48" s="33"/>
      <c r="C48" s="33"/>
      <c r="D48" s="33"/>
      <c r="E48" s="33"/>
    </row>
    <row r="49" spans="1:5">
      <c r="A49" s="33"/>
      <c r="B49" s="33"/>
      <c r="C49" s="33"/>
      <c r="D49" s="33"/>
      <c r="E49" s="33"/>
    </row>
    <row r="50" spans="1:5">
      <c r="A50" s="33"/>
      <c r="B50" s="33"/>
      <c r="C50" s="33"/>
      <c r="D50" s="33"/>
      <c r="E50" s="33"/>
    </row>
    <row r="51" spans="1:5">
      <c r="A51" s="33"/>
      <c r="B51" s="33"/>
      <c r="C51" s="33"/>
      <c r="D51" s="33"/>
      <c r="E51" s="33"/>
    </row>
    <row r="52" spans="1:5">
      <c r="A52" s="33"/>
      <c r="B52" s="33"/>
      <c r="C52" s="33"/>
      <c r="D52" s="33"/>
      <c r="E52" s="33"/>
    </row>
    <row r="53" spans="1:5">
      <c r="A53" s="33"/>
      <c r="B53" s="33"/>
      <c r="C53" s="33"/>
      <c r="D53" s="33"/>
      <c r="E53" s="33"/>
    </row>
    <row r="54" spans="1:5">
      <c r="A54" s="33"/>
      <c r="B54" s="33"/>
      <c r="C54" s="33"/>
      <c r="D54" s="33"/>
      <c r="E54" s="33"/>
    </row>
    <row r="55" spans="1:5">
      <c r="A55" s="33"/>
      <c r="B55" s="33"/>
      <c r="C55" s="33"/>
      <c r="D55" s="33"/>
      <c r="E55" s="33"/>
    </row>
    <row r="56" spans="1:5">
      <c r="A56" s="33"/>
      <c r="B56" s="33"/>
      <c r="C56" s="33"/>
      <c r="D56" s="33"/>
      <c r="E56" s="33"/>
    </row>
    <row r="57" spans="1:5">
      <c r="A57" s="33"/>
      <c r="B57" s="33"/>
      <c r="C57" s="33"/>
      <c r="D57" s="33"/>
      <c r="E57" s="33"/>
    </row>
    <row r="58" spans="1:5">
      <c r="A58" s="33"/>
      <c r="B58" s="33"/>
      <c r="C58" s="33"/>
      <c r="D58" s="33"/>
      <c r="E58" s="33"/>
    </row>
    <row r="59" spans="1:5">
      <c r="A59" s="33"/>
      <c r="B59" s="33"/>
      <c r="C59" s="33"/>
      <c r="D59" s="33"/>
      <c r="E59" s="33"/>
    </row>
    <row r="60" spans="1:5">
      <c r="A60" s="33"/>
      <c r="B60" s="33"/>
      <c r="C60" s="33"/>
      <c r="D60" s="33"/>
      <c r="E60" s="33"/>
    </row>
    <row r="61" spans="1:5">
      <c r="A61" s="33"/>
      <c r="B61" s="33"/>
      <c r="C61" s="33"/>
      <c r="D61" s="33"/>
      <c r="E61" s="33"/>
    </row>
    <row r="62" spans="1:5">
      <c r="A62" s="33"/>
      <c r="B62" s="33"/>
      <c r="C62" s="33"/>
      <c r="D62" s="33"/>
      <c r="E62" s="33"/>
    </row>
    <row r="63" spans="1:5">
      <c r="A63" s="33"/>
      <c r="B63" s="33"/>
      <c r="C63" s="33"/>
      <c r="D63" s="33"/>
      <c r="E63" s="33"/>
    </row>
    <row r="64" spans="1:5">
      <c r="A64" s="33"/>
      <c r="B64" s="33"/>
      <c r="C64" s="33"/>
      <c r="D64" s="33"/>
      <c r="E64" s="33"/>
    </row>
    <row r="65" spans="1:5">
      <c r="A65" s="33"/>
      <c r="B65" s="33"/>
      <c r="C65" s="33"/>
      <c r="D65" s="33"/>
      <c r="E65" s="33"/>
    </row>
    <row r="66" spans="1:5">
      <c r="A66" s="33"/>
      <c r="B66" s="33"/>
      <c r="C66" s="33"/>
      <c r="D66" s="33"/>
      <c r="E66" s="33"/>
    </row>
    <row r="67" spans="1:5">
      <c r="A67" s="33"/>
      <c r="B67" s="33"/>
      <c r="C67" s="33"/>
      <c r="D67" s="33"/>
      <c r="E67" s="33"/>
    </row>
    <row r="68" spans="1:5">
      <c r="A68" s="33"/>
      <c r="B68" s="33"/>
      <c r="C68" s="33"/>
      <c r="D68" s="33"/>
      <c r="E68" s="33"/>
    </row>
    <row r="69" spans="1:5">
      <c r="A69" s="33"/>
      <c r="B69" s="33"/>
      <c r="C69" s="33"/>
      <c r="D69" s="33"/>
      <c r="E69" s="33"/>
    </row>
    <row r="70" spans="1:5">
      <c r="A70" s="33"/>
      <c r="B70" s="33"/>
      <c r="C70" s="33"/>
      <c r="D70" s="33"/>
      <c r="E70" s="33"/>
    </row>
    <row r="71" spans="1:5">
      <c r="A71" s="33"/>
      <c r="B71" s="33"/>
      <c r="C71" s="33"/>
      <c r="D71" s="33"/>
      <c r="E71" s="33"/>
    </row>
    <row r="72" spans="1:5">
      <c r="A72" s="33"/>
      <c r="B72" s="33"/>
      <c r="C72" s="33"/>
      <c r="D72" s="33"/>
      <c r="E72" s="33"/>
    </row>
    <row r="73" spans="1:5">
      <c r="A73" s="33"/>
      <c r="B73" s="33"/>
      <c r="C73" s="33"/>
      <c r="D73" s="33"/>
      <c r="E73" s="33"/>
    </row>
    <row r="74" spans="1:5">
      <c r="A74" s="33"/>
      <c r="B74" s="33"/>
      <c r="C74" s="33"/>
      <c r="D74" s="33"/>
      <c r="E74" s="33"/>
    </row>
    <row r="75" spans="1:5">
      <c r="A75" s="33"/>
      <c r="B75" s="33"/>
      <c r="C75" s="33"/>
      <c r="D75" s="33"/>
      <c r="E75" s="33"/>
    </row>
    <row r="76" spans="1:5">
      <c r="A76" s="33"/>
      <c r="B76" s="33"/>
      <c r="C76" s="33"/>
      <c r="D76" s="33"/>
      <c r="E76" s="33"/>
    </row>
    <row r="77" spans="1:5">
      <c r="A77" s="33"/>
      <c r="B77" s="33"/>
      <c r="C77" s="33"/>
      <c r="D77" s="33"/>
      <c r="E77" s="33"/>
    </row>
    <row r="78" spans="1:5">
      <c r="A78" s="33"/>
      <c r="B78" s="33"/>
      <c r="C78" s="33"/>
      <c r="D78" s="33"/>
      <c r="E78" s="33"/>
    </row>
  </sheetData>
  <pageMargins left="0.69930555555555596" right="0.69930555555555596" top="0.5" bottom="0.75" header="0.3" footer="0.3"/>
  <pageSetup paperSize="9" scale="90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1"/>
  <sheetViews>
    <sheetView workbookViewId="0">
      <selection activeCell="A4" sqref="A4:F4"/>
    </sheetView>
  </sheetViews>
  <sheetFormatPr baseColWidth="10" defaultColWidth="9" defaultRowHeight="14" x14ac:dyDescent="0"/>
  <cols>
    <col min="1" max="1" width="12.33203125" customWidth="1"/>
    <col min="2" max="2" width="26.6640625" customWidth="1"/>
  </cols>
  <sheetData>
    <row r="2" spans="1:6" ht="15">
      <c r="A2" s="18" t="s">
        <v>288</v>
      </c>
      <c r="B2" s="18"/>
      <c r="C2" s="18"/>
      <c r="D2" s="18"/>
      <c r="E2" s="18"/>
      <c r="F2" s="18"/>
    </row>
    <row r="3" spans="1:6" ht="15">
      <c r="A3" s="19"/>
      <c r="B3" s="19"/>
      <c r="C3" s="19"/>
      <c r="D3" s="19"/>
      <c r="E3" s="19"/>
      <c r="F3" s="19"/>
    </row>
    <row r="4" spans="1:6">
      <c r="A4" s="4" t="s">
        <v>1</v>
      </c>
      <c r="B4" s="4" t="s">
        <v>6</v>
      </c>
      <c r="C4" s="4" t="s">
        <v>3</v>
      </c>
      <c r="D4" s="4" t="s">
        <v>4</v>
      </c>
      <c r="E4" s="4" t="s">
        <v>5</v>
      </c>
      <c r="F4" s="202" t="s">
        <v>6</v>
      </c>
    </row>
    <row r="5" spans="1:6">
      <c r="A5" s="9"/>
      <c r="B5" s="310" t="s">
        <v>418</v>
      </c>
      <c r="C5" s="9"/>
      <c r="D5" s="9"/>
      <c r="E5" s="9">
        <v>99</v>
      </c>
    </row>
    <row r="6" spans="1:6">
      <c r="A6" s="9"/>
      <c r="B6" s="9"/>
      <c r="C6" s="9"/>
      <c r="D6" s="9"/>
      <c r="E6" s="9"/>
    </row>
    <row r="7" spans="1:6">
      <c r="A7" s="9"/>
      <c r="B7" s="9"/>
      <c r="C7" s="9"/>
      <c r="D7" s="9"/>
      <c r="E7" s="9"/>
    </row>
    <row r="8" spans="1:6">
      <c r="A8" s="9"/>
      <c r="B8" s="9"/>
      <c r="C8" s="9"/>
      <c r="D8" s="9"/>
      <c r="E8" s="9"/>
    </row>
    <row r="9" spans="1:6">
      <c r="A9" s="9"/>
      <c r="B9" s="9"/>
      <c r="C9" s="9"/>
      <c r="D9" s="9"/>
      <c r="E9" s="9"/>
    </row>
    <row r="10" spans="1:6">
      <c r="A10" s="9"/>
      <c r="B10" s="9"/>
      <c r="C10" s="9"/>
      <c r="D10" s="9"/>
      <c r="E10" s="9"/>
    </row>
    <row r="11" spans="1:6">
      <c r="A11" s="9"/>
      <c r="B11" s="9"/>
      <c r="C11" s="9"/>
      <c r="D11" s="9"/>
      <c r="E11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5"/>
  <sheetViews>
    <sheetView workbookViewId="0">
      <selection activeCell="G14" sqref="G14"/>
    </sheetView>
  </sheetViews>
  <sheetFormatPr baseColWidth="10" defaultColWidth="9" defaultRowHeight="14" x14ac:dyDescent="0"/>
  <cols>
    <col min="1" max="1" width="11.1640625" customWidth="1"/>
    <col min="2" max="2" width="30.5" customWidth="1"/>
  </cols>
  <sheetData>
    <row r="2" spans="1:6" ht="15">
      <c r="A2" s="18" t="s">
        <v>289</v>
      </c>
      <c r="B2" s="18"/>
      <c r="C2" s="18"/>
      <c r="D2" s="18"/>
      <c r="E2" s="18"/>
      <c r="F2" s="18"/>
    </row>
    <row r="3" spans="1:6" ht="15">
      <c r="A3" s="19"/>
      <c r="B3" s="19"/>
      <c r="C3" s="19"/>
      <c r="D3" s="19"/>
      <c r="E3" s="19"/>
      <c r="F3" s="19"/>
    </row>
    <row r="4" spans="1:6">
      <c r="A4" s="4" t="s">
        <v>1</v>
      </c>
      <c r="B4" s="4" t="s">
        <v>6</v>
      </c>
      <c r="C4" s="4" t="s">
        <v>3</v>
      </c>
      <c r="D4" s="4" t="s">
        <v>4</v>
      </c>
      <c r="E4" s="4" t="s">
        <v>5</v>
      </c>
      <c r="F4" s="202" t="s">
        <v>6</v>
      </c>
    </row>
    <row r="5" spans="1:6">
      <c r="A5" s="9"/>
      <c r="B5" s="299" t="s">
        <v>408</v>
      </c>
      <c r="C5" s="9"/>
      <c r="D5" s="9"/>
      <c r="E5" s="9">
        <v>1378</v>
      </c>
    </row>
    <row r="6" spans="1:6">
      <c r="A6" s="341" t="s">
        <v>511</v>
      </c>
      <c r="B6" s="341" t="s">
        <v>512</v>
      </c>
      <c r="C6" s="9">
        <v>6</v>
      </c>
      <c r="D6" s="9"/>
      <c r="E6" s="9">
        <f>E5+C6-D6</f>
        <v>1384</v>
      </c>
    </row>
    <row r="7" spans="1:6" ht="15">
      <c r="A7" s="33" t="s">
        <v>915</v>
      </c>
      <c r="B7" s="33" t="s">
        <v>679</v>
      </c>
      <c r="C7" s="9">
        <v>7</v>
      </c>
      <c r="D7" s="9"/>
      <c r="E7" s="9">
        <f>E6+C7-D7</f>
        <v>1391</v>
      </c>
      <c r="F7" s="97" t="s">
        <v>46</v>
      </c>
    </row>
    <row r="8" spans="1:6">
      <c r="A8" s="9"/>
      <c r="B8" s="9"/>
      <c r="C8" s="9"/>
      <c r="D8" s="9"/>
      <c r="E8" s="9"/>
    </row>
    <row r="9" spans="1:6">
      <c r="A9" s="9"/>
      <c r="B9" s="9"/>
      <c r="C9" s="9"/>
      <c r="D9" s="9"/>
      <c r="E9" s="9"/>
    </row>
    <row r="10" spans="1:6">
      <c r="A10" s="9"/>
      <c r="B10" s="9"/>
      <c r="C10" s="9"/>
      <c r="D10" s="9"/>
      <c r="E10" s="9"/>
    </row>
    <row r="11" spans="1:6">
      <c r="A11" s="9"/>
      <c r="B11" s="9"/>
      <c r="C11" s="9"/>
      <c r="D11" s="9"/>
      <c r="E11" s="9"/>
    </row>
    <row r="12" spans="1:6">
      <c r="A12" s="9"/>
      <c r="B12" s="9"/>
      <c r="C12" s="9"/>
      <c r="D12" s="9"/>
      <c r="E12" s="9"/>
    </row>
    <row r="13" spans="1:6">
      <c r="A13" s="9"/>
      <c r="B13" s="9"/>
      <c r="C13" s="9"/>
      <c r="D13" s="9"/>
      <c r="E13" s="9"/>
    </row>
    <row r="14" spans="1:6">
      <c r="A14" s="9"/>
      <c r="B14" s="9"/>
      <c r="C14" s="9"/>
      <c r="D14" s="9"/>
      <c r="E14" s="9"/>
    </row>
    <row r="15" spans="1:6">
      <c r="A15" s="9"/>
      <c r="B15" s="9"/>
      <c r="C15" s="9"/>
      <c r="D15" s="9"/>
      <c r="E15" s="9"/>
    </row>
  </sheetData>
  <pageMargins left="0.69930555555555596" right="0.69930555555555596" top="0.25" bottom="0.75" header="0.3" footer="0.3"/>
  <pageSetup paperSize="9" scale="90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048502"/>
  <sheetViews>
    <sheetView workbookViewId="0">
      <selection activeCell="F23" sqref="F23"/>
    </sheetView>
  </sheetViews>
  <sheetFormatPr baseColWidth="10" defaultColWidth="9" defaultRowHeight="14" x14ac:dyDescent="0.75"/>
  <cols>
    <col min="1" max="1" width="12.5" style="152" customWidth="1"/>
    <col min="2" max="2" width="42" style="152" customWidth="1"/>
    <col min="3" max="5" width="9" style="152"/>
    <col min="6" max="6" width="15" customWidth="1"/>
  </cols>
  <sheetData>
    <row r="2" spans="1:6">
      <c r="A2" s="152" t="s">
        <v>290</v>
      </c>
    </row>
    <row r="4" spans="1:6">
      <c r="A4" s="4" t="s">
        <v>1</v>
      </c>
      <c r="B4" s="4" t="s">
        <v>6</v>
      </c>
      <c r="C4" s="4" t="s">
        <v>3</v>
      </c>
      <c r="D4" s="4" t="s">
        <v>4</v>
      </c>
      <c r="E4" s="4" t="s">
        <v>5</v>
      </c>
      <c r="F4" s="202" t="s">
        <v>6</v>
      </c>
    </row>
    <row r="5" spans="1:6" ht="15">
      <c r="A5" s="244"/>
      <c r="B5" s="298" t="s">
        <v>408</v>
      </c>
      <c r="C5" s="35"/>
      <c r="D5" s="34"/>
      <c r="E5" s="34">
        <v>1460</v>
      </c>
    </row>
    <row r="6" spans="1:6" ht="15">
      <c r="A6" s="21">
        <v>43132</v>
      </c>
      <c r="B6" s="298" t="s">
        <v>16</v>
      </c>
      <c r="C6" s="35">
        <v>10</v>
      </c>
      <c r="D6" s="34"/>
      <c r="E6" s="34">
        <f>E5+C6-D6</f>
        <v>1470</v>
      </c>
      <c r="F6" s="304" t="s">
        <v>46</v>
      </c>
    </row>
    <row r="7" spans="1:6">
      <c r="A7" s="142">
        <v>43252</v>
      </c>
      <c r="B7" s="34" t="s">
        <v>434</v>
      </c>
      <c r="C7" s="34">
        <v>4</v>
      </c>
      <c r="D7" s="34"/>
      <c r="E7" s="34">
        <f t="shared" ref="E7:E13" si="0">E6+C7-D7</f>
        <v>1474</v>
      </c>
    </row>
    <row r="8" spans="1:6">
      <c r="A8" s="342" t="s">
        <v>500</v>
      </c>
      <c r="B8" s="341" t="s">
        <v>16</v>
      </c>
      <c r="C8" s="34">
        <v>19</v>
      </c>
      <c r="D8" s="34"/>
      <c r="E8" s="34">
        <f t="shared" si="0"/>
        <v>1493</v>
      </c>
    </row>
    <row r="9" spans="1:6">
      <c r="A9" s="34" t="s">
        <v>509</v>
      </c>
      <c r="B9" s="34" t="s">
        <v>16</v>
      </c>
      <c r="C9" s="34">
        <v>23</v>
      </c>
      <c r="D9" s="34"/>
      <c r="E9" s="34">
        <f t="shared" si="0"/>
        <v>1516</v>
      </c>
      <c r="F9" s="345" t="s">
        <v>46</v>
      </c>
    </row>
    <row r="10" spans="1:6">
      <c r="A10" s="349" t="s">
        <v>516</v>
      </c>
      <c r="B10" s="350" t="s">
        <v>521</v>
      </c>
      <c r="C10" s="34">
        <v>5</v>
      </c>
      <c r="D10" s="34"/>
      <c r="E10" s="34">
        <f t="shared" si="0"/>
        <v>1521</v>
      </c>
    </row>
    <row r="11" spans="1:6" ht="15">
      <c r="A11" s="33" t="s">
        <v>526</v>
      </c>
      <c r="B11" s="34" t="s">
        <v>16</v>
      </c>
      <c r="C11" s="34">
        <v>8</v>
      </c>
      <c r="D11" s="34"/>
      <c r="E11" s="34">
        <f t="shared" si="0"/>
        <v>1529</v>
      </c>
    </row>
    <row r="12" spans="1:6">
      <c r="A12" s="347" t="s">
        <v>531</v>
      </c>
      <c r="B12" s="348" t="s">
        <v>16</v>
      </c>
      <c r="C12" s="34">
        <v>5</v>
      </c>
      <c r="D12" s="34"/>
      <c r="E12" s="34">
        <f t="shared" si="0"/>
        <v>1534</v>
      </c>
      <c r="F12" s="352"/>
    </row>
    <row r="13" spans="1:6">
      <c r="A13" s="34" t="s">
        <v>586</v>
      </c>
      <c r="B13" s="348" t="s">
        <v>16</v>
      </c>
      <c r="C13" s="34">
        <v>4</v>
      </c>
      <c r="D13" s="34"/>
      <c r="E13" s="34">
        <f t="shared" si="0"/>
        <v>1538</v>
      </c>
      <c r="F13" s="379"/>
    </row>
    <row r="14" spans="1:6" ht="15">
      <c r="A14" s="95" t="s">
        <v>598</v>
      </c>
      <c r="B14" s="34" t="s">
        <v>16</v>
      </c>
      <c r="C14" s="33">
        <v>3</v>
      </c>
      <c r="D14" s="34"/>
      <c r="E14" s="34">
        <f>E13+C14-D14</f>
        <v>1541</v>
      </c>
      <c r="F14" s="388"/>
    </row>
    <row r="15" spans="1:6">
      <c r="A15" s="142">
        <v>43253</v>
      </c>
      <c r="B15" s="34" t="s">
        <v>16</v>
      </c>
      <c r="C15" s="34">
        <v>21</v>
      </c>
      <c r="D15" s="34"/>
      <c r="E15" s="34">
        <f>E14+C15-D15</f>
        <v>1562</v>
      </c>
      <c r="F15" s="410" t="s">
        <v>46</v>
      </c>
    </row>
    <row r="16" spans="1:6">
      <c r="A16" s="444" t="s">
        <v>651</v>
      </c>
      <c r="B16" s="444" t="s">
        <v>434</v>
      </c>
      <c r="C16" s="34">
        <v>15</v>
      </c>
      <c r="D16" s="34"/>
      <c r="E16" s="34">
        <f>E15+C16-D16</f>
        <v>1577</v>
      </c>
      <c r="F16" s="552" t="s">
        <v>46</v>
      </c>
    </row>
    <row r="17" spans="1:6">
      <c r="A17" s="142">
        <v>43438</v>
      </c>
      <c r="B17" s="34" t="s">
        <v>775</v>
      </c>
      <c r="C17" s="34"/>
      <c r="D17" s="34">
        <v>180</v>
      </c>
      <c r="E17" s="34">
        <f>E16+C17-D17</f>
        <v>1397</v>
      </c>
      <c r="F17" s="568" t="s">
        <v>46</v>
      </c>
    </row>
    <row r="18" spans="1:6">
      <c r="A18" s="576" t="s">
        <v>798</v>
      </c>
      <c r="B18" s="576" t="s">
        <v>805</v>
      </c>
      <c r="C18" s="34"/>
      <c r="D18" s="34">
        <v>20</v>
      </c>
      <c r="E18" s="34">
        <f t="shared" ref="E18:E22" si="1">E17+C18-D18</f>
        <v>1377</v>
      </c>
    </row>
    <row r="19" spans="1:6">
      <c r="A19" s="576" t="s">
        <v>808</v>
      </c>
      <c r="B19" s="576" t="s">
        <v>809</v>
      </c>
      <c r="C19" s="34"/>
      <c r="D19" s="34">
        <v>1</v>
      </c>
      <c r="E19" s="34">
        <f t="shared" si="1"/>
        <v>1376</v>
      </c>
      <c r="F19" s="579" t="s">
        <v>46</v>
      </c>
    </row>
    <row r="20" spans="1:6">
      <c r="A20" s="9" t="s">
        <v>811</v>
      </c>
      <c r="B20" s="9" t="s">
        <v>813</v>
      </c>
      <c r="C20" s="34"/>
      <c r="D20" s="34">
        <v>67</v>
      </c>
      <c r="E20" s="34">
        <f t="shared" si="1"/>
        <v>1309</v>
      </c>
    </row>
    <row r="21" spans="1:6">
      <c r="A21" s="9" t="s">
        <v>811</v>
      </c>
      <c r="B21" s="9" t="s">
        <v>813</v>
      </c>
      <c r="C21" s="34"/>
      <c r="D21" s="34">
        <v>20</v>
      </c>
      <c r="E21" s="34">
        <f t="shared" si="1"/>
        <v>1289</v>
      </c>
      <c r="F21" s="584" t="s">
        <v>46</v>
      </c>
    </row>
    <row r="22" spans="1:6">
      <c r="A22" s="34" t="s">
        <v>889</v>
      </c>
      <c r="B22" s="34" t="s">
        <v>892</v>
      </c>
      <c r="C22" s="34"/>
      <c r="D22" s="34">
        <v>174</v>
      </c>
      <c r="E22" s="34">
        <f t="shared" si="1"/>
        <v>1115</v>
      </c>
      <c r="F22" s="682" t="s">
        <v>46</v>
      </c>
    </row>
    <row r="23" spans="1:6">
      <c r="A23" s="34"/>
      <c r="B23" s="34"/>
      <c r="C23" s="34"/>
      <c r="D23" s="34"/>
      <c r="E23" s="34"/>
    </row>
    <row r="24" spans="1:6">
      <c r="A24" s="34"/>
      <c r="B24" s="34"/>
      <c r="C24" s="34"/>
      <c r="D24" s="34"/>
      <c r="E24" s="34"/>
    </row>
    <row r="25" spans="1:6">
      <c r="A25" s="34"/>
      <c r="B25" s="34"/>
      <c r="C25" s="34"/>
      <c r="D25" s="34"/>
      <c r="E25" s="34"/>
    </row>
    <row r="26" spans="1:6">
      <c r="A26" s="34"/>
      <c r="B26" s="34"/>
      <c r="C26" s="34"/>
      <c r="D26" s="34"/>
      <c r="E26" s="34"/>
    </row>
    <row r="27" spans="1:6">
      <c r="A27" s="34"/>
      <c r="B27" s="34"/>
      <c r="C27" s="34"/>
      <c r="D27" s="34"/>
      <c r="E27" s="34"/>
    </row>
    <row r="28" spans="1:6">
      <c r="A28" s="34"/>
      <c r="B28" s="34"/>
      <c r="C28" s="34"/>
      <c r="D28" s="34"/>
      <c r="E28" s="34"/>
    </row>
    <row r="29" spans="1:6">
      <c r="A29" s="34"/>
      <c r="B29" s="34"/>
      <c r="C29" s="34"/>
      <c r="D29" s="34"/>
      <c r="E29" s="34"/>
    </row>
    <row r="30" spans="1:6">
      <c r="A30" s="34"/>
      <c r="B30" s="34"/>
      <c r="C30" s="34"/>
      <c r="D30" s="34"/>
      <c r="E30" s="34"/>
    </row>
    <row r="31" spans="1:6">
      <c r="A31" s="34"/>
      <c r="B31" s="34"/>
      <c r="C31" s="34"/>
      <c r="D31" s="34"/>
      <c r="E31" s="34"/>
    </row>
    <row r="32" spans="1:6">
      <c r="A32" s="34"/>
      <c r="B32" s="34"/>
      <c r="C32" s="34"/>
      <c r="D32" s="34"/>
      <c r="E32" s="34"/>
    </row>
    <row r="33" spans="1:5">
      <c r="A33" s="34"/>
      <c r="B33" s="34"/>
      <c r="C33" s="34"/>
      <c r="D33" s="34"/>
      <c r="E33" s="34"/>
    </row>
    <row r="34" spans="1:5">
      <c r="A34" s="34"/>
      <c r="B34" s="34"/>
      <c r="C34" s="34"/>
      <c r="D34" s="34"/>
      <c r="E34" s="34"/>
    </row>
    <row r="1048502" spans="5:5">
      <c r="E1048502" s="34"/>
    </row>
  </sheetData>
  <pageMargins left="0.69930555555555596" right="0.69930555555555596" top="0.75" bottom="0.75" header="0.3" footer="0.3"/>
  <pageSetup paperSize="9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F13" sqref="F13"/>
    </sheetView>
  </sheetViews>
  <sheetFormatPr baseColWidth="10" defaultColWidth="9" defaultRowHeight="15" x14ac:dyDescent="0"/>
  <cols>
    <col min="1" max="1" width="12.5" style="153" customWidth="1"/>
    <col min="2" max="2" width="42.5" style="153" customWidth="1"/>
    <col min="3" max="5" width="9" style="153"/>
  </cols>
  <sheetData>
    <row r="1" spans="1:6">
      <c r="A1" s="153" t="s">
        <v>291</v>
      </c>
    </row>
    <row r="2" spans="1:6">
      <c r="A2" s="152"/>
      <c r="B2" s="152"/>
    </row>
    <row r="3" spans="1:6">
      <c r="A3" s="153" t="s">
        <v>292</v>
      </c>
    </row>
    <row r="5" spans="1:6" ht="14">
      <c r="A5" s="4" t="s">
        <v>1</v>
      </c>
      <c r="B5" s="4" t="s">
        <v>6</v>
      </c>
      <c r="C5" s="4" t="s">
        <v>3</v>
      </c>
      <c r="D5" s="4" t="s">
        <v>4</v>
      </c>
      <c r="E5" s="4" t="s">
        <v>5</v>
      </c>
      <c r="F5" s="202" t="s">
        <v>6</v>
      </c>
    </row>
    <row r="6" spans="1:6">
      <c r="A6" s="244"/>
      <c r="B6" s="298" t="s">
        <v>408</v>
      </c>
      <c r="C6" s="35"/>
      <c r="D6" s="35"/>
      <c r="E6" s="35">
        <v>145</v>
      </c>
    </row>
    <row r="7" spans="1:6">
      <c r="A7" s="21">
        <v>43132</v>
      </c>
      <c r="B7" s="298" t="s">
        <v>16</v>
      </c>
      <c r="C7" s="35">
        <v>5</v>
      </c>
      <c r="D7" s="35"/>
      <c r="E7" s="35">
        <f>E6+C7-D7</f>
        <v>150</v>
      </c>
      <c r="F7" s="304" t="s">
        <v>46</v>
      </c>
    </row>
    <row r="8" spans="1:6">
      <c r="A8" s="342" t="s">
        <v>500</v>
      </c>
      <c r="B8" s="341" t="s">
        <v>16</v>
      </c>
      <c r="C8" s="35">
        <v>20</v>
      </c>
      <c r="D8" s="35"/>
      <c r="E8" s="35">
        <f t="shared" ref="E8:E12" si="0">E7+C8-D8</f>
        <v>170</v>
      </c>
    </row>
    <row r="9" spans="1:6">
      <c r="A9" s="35" t="s">
        <v>509</v>
      </c>
      <c r="B9" s="35" t="s">
        <v>16</v>
      </c>
      <c r="C9" s="35">
        <v>3</v>
      </c>
      <c r="D9" s="35"/>
      <c r="E9" s="35">
        <f t="shared" si="0"/>
        <v>173</v>
      </c>
    </row>
    <row r="10" spans="1:6">
      <c r="A10" s="347" t="s">
        <v>531</v>
      </c>
      <c r="B10" s="348" t="s">
        <v>16</v>
      </c>
      <c r="C10" s="35">
        <v>5</v>
      </c>
      <c r="D10" s="35"/>
      <c r="E10" s="35">
        <f t="shared" si="0"/>
        <v>178</v>
      </c>
      <c r="F10" s="352" t="s">
        <v>46</v>
      </c>
    </row>
    <row r="11" spans="1:6">
      <c r="A11" s="369" t="s">
        <v>569</v>
      </c>
      <c r="B11" s="369" t="s">
        <v>434</v>
      </c>
      <c r="C11" s="35">
        <v>4</v>
      </c>
      <c r="D11" s="35"/>
      <c r="E11" s="35">
        <f t="shared" si="0"/>
        <v>182</v>
      </c>
      <c r="F11" s="379" t="s">
        <v>46</v>
      </c>
    </row>
    <row r="12" spans="1:6">
      <c r="A12" s="33" t="s">
        <v>884</v>
      </c>
      <c r="B12" s="33" t="s">
        <v>861</v>
      </c>
      <c r="C12" s="35"/>
      <c r="D12" s="35">
        <v>100</v>
      </c>
      <c r="E12" s="35">
        <f t="shared" si="0"/>
        <v>82</v>
      </c>
      <c r="F12" s="675" t="s">
        <v>46</v>
      </c>
    </row>
    <row r="13" spans="1:6">
      <c r="A13" s="35"/>
      <c r="B13" s="35"/>
      <c r="C13" s="35"/>
      <c r="D13" s="35"/>
      <c r="E13" s="35"/>
    </row>
    <row r="14" spans="1:6">
      <c r="A14" s="35"/>
      <c r="B14" s="35"/>
      <c r="C14" s="35"/>
      <c r="D14" s="35"/>
      <c r="E14" s="35"/>
    </row>
    <row r="15" spans="1:6">
      <c r="A15" s="35"/>
      <c r="B15" s="35"/>
      <c r="C15" s="35"/>
      <c r="D15" s="35"/>
      <c r="E15" s="35"/>
    </row>
  </sheetData>
  <pageMargins left="0.69930555555555596" right="0.69930555555555596" top="0.75" bottom="0.75" header="0.3" footer="0.3"/>
  <pageSetup paperSize="9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selection activeCell="E7" sqref="E7"/>
    </sheetView>
  </sheetViews>
  <sheetFormatPr baseColWidth="10" defaultColWidth="9" defaultRowHeight="15" x14ac:dyDescent="0"/>
  <cols>
    <col min="1" max="1" width="12.5" style="162" customWidth="1"/>
    <col min="2" max="2" width="40.5" style="162" customWidth="1"/>
    <col min="3" max="5" width="9" style="162"/>
    <col min="6" max="6" width="14.33203125" style="162" customWidth="1"/>
    <col min="7" max="7" width="9" style="162"/>
  </cols>
  <sheetData>
    <row r="1" spans="1:6">
      <c r="A1" s="162" t="s">
        <v>291</v>
      </c>
    </row>
    <row r="3" spans="1:6">
      <c r="A3" s="162" t="s">
        <v>293</v>
      </c>
    </row>
    <row r="4" spans="1:6">
      <c r="A4" s="162" t="s">
        <v>294</v>
      </c>
    </row>
    <row r="6" spans="1:6">
      <c r="A6" s="4" t="s">
        <v>1</v>
      </c>
      <c r="B6" s="4" t="s">
        <v>6</v>
      </c>
      <c r="C6" s="4" t="s">
        <v>3</v>
      </c>
      <c r="D6" s="4" t="s">
        <v>4</v>
      </c>
      <c r="E6" s="4" t="s">
        <v>5</v>
      </c>
      <c r="F6" s="202" t="s">
        <v>6</v>
      </c>
    </row>
    <row r="7" spans="1:6">
      <c r="A7" s="158"/>
      <c r="B7" s="158" t="s">
        <v>408</v>
      </c>
      <c r="C7" s="158"/>
      <c r="D7" s="158"/>
      <c r="E7" s="158">
        <v>1072</v>
      </c>
      <c r="F7" s="158"/>
    </row>
    <row r="8" spans="1:6">
      <c r="A8" s="159">
        <v>43191</v>
      </c>
      <c r="B8" s="158" t="s">
        <v>428</v>
      </c>
      <c r="C8" s="158"/>
      <c r="D8" s="158">
        <v>258</v>
      </c>
      <c r="E8" s="158">
        <f>E7+C8-D8</f>
        <v>814</v>
      </c>
      <c r="F8" s="158"/>
    </row>
    <row r="9" spans="1:6">
      <c r="A9" s="159">
        <v>43134</v>
      </c>
      <c r="B9" s="158" t="s">
        <v>17</v>
      </c>
      <c r="C9" s="158"/>
      <c r="D9" s="158">
        <v>500</v>
      </c>
      <c r="E9" s="158">
        <f>E8+C9-D9</f>
        <v>314</v>
      </c>
      <c r="F9" s="158" t="s">
        <v>46</v>
      </c>
    </row>
    <row r="10" spans="1:6">
      <c r="A10" s="158" t="s">
        <v>755</v>
      </c>
      <c r="B10" s="158" t="s">
        <v>16</v>
      </c>
      <c r="C10" s="158">
        <v>8</v>
      </c>
      <c r="D10" s="158"/>
      <c r="E10" s="158">
        <f>E9+C10-D10</f>
        <v>322</v>
      </c>
      <c r="F10" s="158" t="s">
        <v>46</v>
      </c>
    </row>
    <row r="11" spans="1:6">
      <c r="A11" s="576" t="s">
        <v>808</v>
      </c>
      <c r="B11" s="576" t="s">
        <v>809</v>
      </c>
      <c r="C11" s="158"/>
      <c r="D11" s="158">
        <v>1</v>
      </c>
      <c r="E11" s="158">
        <f>E10+C11-D11</f>
        <v>321</v>
      </c>
      <c r="F11" s="158"/>
    </row>
    <row r="12" spans="1:6">
      <c r="A12" s="159">
        <v>43439</v>
      </c>
      <c r="B12" s="158" t="s">
        <v>809</v>
      </c>
      <c r="C12" s="158"/>
      <c r="D12" s="158">
        <v>100</v>
      </c>
      <c r="E12" s="158">
        <f>E11+C12-D12</f>
        <v>221</v>
      </c>
      <c r="F12" s="158" t="s">
        <v>46</v>
      </c>
    </row>
    <row r="13" spans="1:6">
      <c r="A13" s="158"/>
      <c r="B13" s="158"/>
      <c r="C13" s="158"/>
      <c r="D13" s="158"/>
      <c r="E13" s="158"/>
      <c r="F13" s="158"/>
    </row>
    <row r="14" spans="1:6">
      <c r="A14" s="158"/>
      <c r="B14" s="158"/>
      <c r="C14" s="158"/>
      <c r="D14" s="158"/>
      <c r="E14" s="158"/>
      <c r="F14" s="158"/>
    </row>
    <row r="15" spans="1:6">
      <c r="A15" s="158"/>
      <c r="B15" s="158"/>
      <c r="C15" s="158"/>
      <c r="D15" s="158"/>
      <c r="E15" s="158"/>
      <c r="F15" s="158"/>
    </row>
    <row r="16" spans="1:6">
      <c r="A16" s="158"/>
      <c r="B16" s="158"/>
      <c r="C16" s="158"/>
      <c r="D16" s="158"/>
      <c r="E16" s="158"/>
      <c r="F16" s="158"/>
    </row>
    <row r="17" spans="1:6">
      <c r="A17" s="158"/>
      <c r="B17" s="158"/>
      <c r="C17" s="158"/>
      <c r="D17" s="158"/>
      <c r="E17" s="158"/>
      <c r="F17" s="158"/>
    </row>
    <row r="18" spans="1:6">
      <c r="A18" s="158"/>
      <c r="B18" s="158"/>
      <c r="C18" s="158"/>
      <c r="D18" s="158"/>
      <c r="E18" s="158"/>
      <c r="F18" s="158"/>
    </row>
  </sheetData>
  <pageMargins left="0.69930555555555596" right="0.69930555555555596" top="0.75" bottom="0.75" header="0.3" footer="0.3"/>
  <pageSetup paperSize="9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selection activeCell="F12" sqref="F12"/>
    </sheetView>
  </sheetViews>
  <sheetFormatPr baseColWidth="10" defaultColWidth="9" defaultRowHeight="15" x14ac:dyDescent="0"/>
  <cols>
    <col min="1" max="1" width="12.5" style="153" customWidth="1"/>
    <col min="2" max="2" width="42.5" style="153" customWidth="1"/>
    <col min="3" max="5" width="9" style="153"/>
  </cols>
  <sheetData>
    <row r="1" spans="1:6">
      <c r="A1" s="153" t="s">
        <v>291</v>
      </c>
    </row>
    <row r="3" spans="1:6">
      <c r="A3" s="153" t="s">
        <v>432</v>
      </c>
    </row>
    <row r="5" spans="1:6">
      <c r="A5" s="35" t="s">
        <v>1</v>
      </c>
      <c r="B5" s="35" t="s">
        <v>6</v>
      </c>
      <c r="C5" s="35" t="s">
        <v>3</v>
      </c>
      <c r="D5" s="35" t="s">
        <v>4</v>
      </c>
      <c r="E5" s="35" t="s">
        <v>5</v>
      </c>
    </row>
    <row r="6" spans="1:6">
      <c r="A6" s="35"/>
      <c r="B6" s="35" t="s">
        <v>418</v>
      </c>
      <c r="C6" s="35"/>
      <c r="D6" s="35"/>
      <c r="E6" s="35">
        <v>453</v>
      </c>
    </row>
    <row r="7" spans="1:6">
      <c r="A7" s="49">
        <v>43160</v>
      </c>
      <c r="B7" s="299" t="s">
        <v>419</v>
      </c>
      <c r="C7" s="9">
        <v>46</v>
      </c>
      <c r="D7" s="35"/>
      <c r="E7" s="35">
        <f>E6+C7-D7</f>
        <v>499</v>
      </c>
    </row>
    <row r="8" spans="1:6">
      <c r="A8" s="49">
        <v>43346</v>
      </c>
      <c r="B8" s="35" t="s">
        <v>723</v>
      </c>
      <c r="C8" s="35"/>
      <c r="D8" s="35">
        <v>115</v>
      </c>
      <c r="E8" s="35">
        <f>E7+C8-D8</f>
        <v>384</v>
      </c>
      <c r="F8" s="501" t="s">
        <v>46</v>
      </c>
    </row>
    <row r="9" spans="1:6">
      <c r="A9" s="35" t="s">
        <v>862</v>
      </c>
      <c r="B9" s="35" t="s">
        <v>779</v>
      </c>
      <c r="C9" s="35"/>
      <c r="D9" s="35">
        <v>33</v>
      </c>
      <c r="E9" s="35">
        <f>E8+C9-D9</f>
        <v>351</v>
      </c>
    </row>
    <row r="10" spans="1:6">
      <c r="A10" s="35" t="s">
        <v>874</v>
      </c>
      <c r="B10" s="35" t="s">
        <v>779</v>
      </c>
      <c r="C10" s="35"/>
      <c r="D10" s="35">
        <v>81</v>
      </c>
      <c r="E10" s="35">
        <f>E9+C10-D10</f>
        <v>270</v>
      </c>
      <c r="F10" s="669" t="s">
        <v>46</v>
      </c>
    </row>
    <row r="11" spans="1:6">
      <c r="A11" s="35" t="s">
        <v>886</v>
      </c>
      <c r="B11" s="35" t="s">
        <v>779</v>
      </c>
      <c r="C11" s="35"/>
      <c r="D11" s="35">
        <v>20</v>
      </c>
      <c r="E11" s="35">
        <f>E10+C11-D11</f>
        <v>250</v>
      </c>
      <c r="F11" s="682" t="s">
        <v>46</v>
      </c>
    </row>
    <row r="12" spans="1:6">
      <c r="A12" s="35"/>
      <c r="B12" s="35"/>
      <c r="C12" s="35"/>
      <c r="D12" s="35"/>
      <c r="E12" s="35"/>
    </row>
    <row r="13" spans="1:6">
      <c r="A13" s="35"/>
      <c r="B13" s="35"/>
      <c r="C13" s="35"/>
      <c r="D13" s="35"/>
      <c r="E13" s="35"/>
    </row>
    <row r="14" spans="1:6">
      <c r="A14" s="35"/>
      <c r="B14" s="35"/>
      <c r="C14" s="35"/>
      <c r="D14" s="35"/>
      <c r="E14" s="35"/>
    </row>
    <row r="15" spans="1:6">
      <c r="A15" s="35"/>
      <c r="B15" s="35"/>
      <c r="C15" s="35"/>
      <c r="D15" s="35"/>
      <c r="E15" s="35"/>
    </row>
    <row r="16" spans="1:6">
      <c r="A16" s="35"/>
      <c r="B16" s="35"/>
      <c r="C16" s="35"/>
      <c r="D16" s="35"/>
      <c r="E16" s="35"/>
    </row>
    <row r="17" spans="1:5">
      <c r="A17" s="35"/>
      <c r="B17" s="35"/>
      <c r="C17" s="35"/>
      <c r="D17" s="35"/>
      <c r="E17" s="35"/>
    </row>
    <row r="18" spans="1:5">
      <c r="A18" s="35"/>
      <c r="B18" s="35"/>
      <c r="C18" s="35"/>
      <c r="D18" s="35"/>
      <c r="E18" s="35"/>
    </row>
    <row r="19" spans="1:5">
      <c r="A19" s="35"/>
      <c r="B19" s="35"/>
      <c r="C19" s="35"/>
      <c r="D19" s="35"/>
      <c r="E19" s="35"/>
    </row>
  </sheetData>
  <pageMargins left="0.69930555555555596" right="0.69930555555555596" top="0.25" bottom="0.75" header="0.3" footer="0.3"/>
  <pageSetup paperSize="9" scale="90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activeCell="F17" sqref="F17"/>
    </sheetView>
  </sheetViews>
  <sheetFormatPr baseColWidth="10" defaultColWidth="8.83203125" defaultRowHeight="14" x14ac:dyDescent="0"/>
  <cols>
    <col min="1" max="1" width="12.5" customWidth="1"/>
    <col min="2" max="2" width="43.6640625" customWidth="1"/>
  </cols>
  <sheetData>
    <row r="1" spans="1:7" ht="15">
      <c r="A1" s="162" t="s">
        <v>291</v>
      </c>
      <c r="B1" s="162"/>
      <c r="C1" s="162"/>
      <c r="D1" s="162"/>
      <c r="E1" s="162"/>
      <c r="F1" s="162"/>
      <c r="G1" s="162"/>
    </row>
    <row r="2" spans="1:7" ht="15">
      <c r="A2" s="162"/>
      <c r="B2" s="162"/>
      <c r="C2" s="162"/>
      <c r="D2" s="162"/>
      <c r="E2" s="162"/>
      <c r="F2" s="162"/>
      <c r="G2" s="162"/>
    </row>
    <row r="3" spans="1:7" ht="15">
      <c r="A3" s="162" t="s">
        <v>293</v>
      </c>
      <c r="B3" s="162"/>
      <c r="C3" s="162"/>
      <c r="D3" s="162"/>
      <c r="E3" s="162"/>
      <c r="F3" s="162"/>
      <c r="G3" s="162"/>
    </row>
    <row r="4" spans="1:7" ht="15">
      <c r="A4" s="162" t="s">
        <v>403</v>
      </c>
      <c r="B4" s="162"/>
      <c r="C4" s="162"/>
      <c r="D4" s="162"/>
      <c r="E4" s="162"/>
      <c r="F4" s="162"/>
      <c r="G4" s="162"/>
    </row>
    <row r="5" spans="1:7" ht="16" thickBot="1">
      <c r="A5" s="162"/>
      <c r="B5" s="162"/>
      <c r="C5" s="162"/>
      <c r="D5" s="162"/>
      <c r="E5" s="162"/>
      <c r="F5" s="162"/>
      <c r="G5" s="162"/>
    </row>
    <row r="6" spans="1:7" ht="16" thickBot="1">
      <c r="A6" s="163" t="s">
        <v>134</v>
      </c>
      <c r="B6" s="164" t="s">
        <v>135</v>
      </c>
      <c r="C6" s="164" t="s">
        <v>136</v>
      </c>
      <c r="D6" s="165" t="s">
        <v>137</v>
      </c>
      <c r="E6" s="166" t="s">
        <v>138</v>
      </c>
      <c r="F6" s="162"/>
      <c r="G6" s="162"/>
    </row>
    <row r="7" spans="1:7">
      <c r="A7" s="9"/>
      <c r="B7" s="310" t="s">
        <v>418</v>
      </c>
      <c r="C7" s="9"/>
      <c r="D7" s="9"/>
      <c r="E7" s="26">
        <v>224</v>
      </c>
    </row>
    <row r="8" spans="1:7" ht="15">
      <c r="A8" s="49">
        <v>43313</v>
      </c>
      <c r="B8" s="35" t="s">
        <v>8</v>
      </c>
      <c r="C8" s="35">
        <v>91</v>
      </c>
      <c r="D8" s="9"/>
      <c r="E8" s="9">
        <f>E7+C8-D8</f>
        <v>315</v>
      </c>
    </row>
    <row r="9" spans="1:7">
      <c r="A9" s="375" t="s">
        <v>581</v>
      </c>
      <c r="B9" s="375" t="s">
        <v>523</v>
      </c>
      <c r="C9" s="9">
        <v>18</v>
      </c>
      <c r="D9" s="9"/>
      <c r="E9" s="9">
        <f>E8+C9-D9</f>
        <v>333</v>
      </c>
      <c r="F9" s="379"/>
    </row>
    <row r="10" spans="1:7">
      <c r="A10" s="538" t="s">
        <v>755</v>
      </c>
      <c r="B10" s="538" t="s">
        <v>523</v>
      </c>
      <c r="C10" s="9">
        <v>8</v>
      </c>
      <c r="D10" s="9"/>
      <c r="E10" s="9">
        <f>E9+C10-D10</f>
        <v>341</v>
      </c>
      <c r="F10" s="541"/>
    </row>
    <row r="11" spans="1:7">
      <c r="A11" s="21">
        <v>43378</v>
      </c>
      <c r="B11" s="631" t="s">
        <v>779</v>
      </c>
      <c r="C11" s="9"/>
      <c r="D11" s="9">
        <v>150</v>
      </c>
      <c r="E11" s="9">
        <f>E10+C11-D11</f>
        <v>191</v>
      </c>
      <c r="F11" s="714" t="s">
        <v>46</v>
      </c>
    </row>
    <row r="12" spans="1:7">
      <c r="A12" s="9"/>
      <c r="B12" s="9"/>
      <c r="C12" s="9"/>
      <c r="D12" s="9"/>
      <c r="E12" s="9"/>
    </row>
    <row r="13" spans="1:7">
      <c r="A13" s="9"/>
      <c r="B13" s="9"/>
      <c r="C13" s="9"/>
      <c r="D13" s="9"/>
      <c r="E13" s="9"/>
    </row>
    <row r="14" spans="1:7">
      <c r="A14" s="9"/>
      <c r="B14" s="9"/>
      <c r="C14" s="9"/>
      <c r="D14" s="9"/>
      <c r="E14" s="9"/>
    </row>
    <row r="15" spans="1:7">
      <c r="A15" s="9"/>
      <c r="B15" s="9"/>
      <c r="C15" s="9"/>
      <c r="D15" s="9"/>
      <c r="E15" s="9"/>
    </row>
    <row r="16" spans="1:7">
      <c r="A16" s="9"/>
      <c r="B16" s="9"/>
      <c r="C16" s="9"/>
      <c r="D16" s="9"/>
      <c r="E16" s="9"/>
    </row>
    <row r="17" spans="1:5">
      <c r="A17" s="9"/>
      <c r="B17" s="9"/>
      <c r="C17" s="9"/>
      <c r="D17" s="9"/>
      <c r="E17" s="9"/>
    </row>
    <row r="18" spans="1:5">
      <c r="A18" s="9"/>
      <c r="B18" s="9"/>
      <c r="C18" s="9"/>
      <c r="D18" s="9"/>
      <c r="E18" s="9"/>
    </row>
    <row r="19" spans="1:5">
      <c r="A19" s="9"/>
      <c r="B19" s="9"/>
      <c r="C19" s="9"/>
      <c r="D19" s="9"/>
      <c r="E19" s="9"/>
    </row>
    <row r="20" spans="1:5">
      <c r="A20" s="9"/>
      <c r="B20" s="9"/>
      <c r="C20" s="9"/>
      <c r="D20" s="9"/>
      <c r="E20" s="9"/>
    </row>
    <row r="21" spans="1:5">
      <c r="A21" s="9"/>
      <c r="B21" s="9"/>
      <c r="C21" s="9"/>
      <c r="D21" s="9"/>
      <c r="E21" s="9"/>
    </row>
    <row r="22" spans="1:5">
      <c r="A22" s="9"/>
      <c r="B22" s="9"/>
      <c r="C22" s="9"/>
      <c r="D22" s="9"/>
      <c r="E22" s="9"/>
    </row>
    <row r="23" spans="1:5">
      <c r="A23" s="9"/>
      <c r="B23" s="9"/>
      <c r="C23" s="9"/>
      <c r="D23" s="9"/>
      <c r="E23" s="9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1"/>
  <sheetViews>
    <sheetView workbookViewId="0">
      <selection activeCell="F11" sqref="F11"/>
    </sheetView>
  </sheetViews>
  <sheetFormatPr baseColWidth="10" defaultColWidth="9" defaultRowHeight="14" x14ac:dyDescent="0"/>
  <cols>
    <col min="1" max="1" width="12.6640625" customWidth="1"/>
    <col min="2" max="2" width="33" customWidth="1"/>
  </cols>
  <sheetData>
    <row r="2" spans="1:6">
      <c r="A2" s="152" t="s">
        <v>702</v>
      </c>
      <c r="B2" s="152"/>
      <c r="C2" s="152"/>
      <c r="D2" s="152"/>
      <c r="E2" s="152"/>
    </row>
    <row r="3" spans="1:6">
      <c r="A3" s="152"/>
      <c r="B3" s="152"/>
      <c r="C3" s="152"/>
      <c r="D3" s="152"/>
      <c r="E3" s="152"/>
    </row>
    <row r="4" spans="1:6">
      <c r="A4" s="34" t="s">
        <v>1</v>
      </c>
      <c r="B4" s="34" t="s">
        <v>6</v>
      </c>
      <c r="C4" s="34" t="s">
        <v>3</v>
      </c>
      <c r="D4" s="34" t="s">
        <v>4</v>
      </c>
      <c r="E4" s="34" t="s">
        <v>5</v>
      </c>
    </row>
    <row r="5" spans="1:6">
      <c r="A5" s="9"/>
      <c r="B5" s="299" t="s">
        <v>418</v>
      </c>
      <c r="C5" s="9"/>
      <c r="D5" s="9"/>
      <c r="E5" s="9">
        <v>2446</v>
      </c>
    </row>
    <row r="6" spans="1:6" ht="15">
      <c r="A6" s="49">
        <v>43313</v>
      </c>
      <c r="B6" s="35" t="s">
        <v>8</v>
      </c>
      <c r="C6" s="158">
        <v>2</v>
      </c>
      <c r="D6" s="9"/>
      <c r="E6" s="9">
        <f>E5+C6-D6</f>
        <v>2448</v>
      </c>
    </row>
    <row r="7" spans="1:6">
      <c r="A7" s="452" t="s">
        <v>665</v>
      </c>
      <c r="B7" s="452" t="s">
        <v>667</v>
      </c>
      <c r="C7" s="9">
        <v>211</v>
      </c>
      <c r="D7" s="9"/>
      <c r="E7" s="9">
        <f>E6+C7-D7</f>
        <v>2659</v>
      </c>
      <c r="F7" s="552" t="s">
        <v>718</v>
      </c>
    </row>
    <row r="8" spans="1:6">
      <c r="A8" s="21">
        <v>43286</v>
      </c>
      <c r="B8" s="629" t="s">
        <v>779</v>
      </c>
      <c r="C8" s="9"/>
      <c r="D8" s="9">
        <v>1</v>
      </c>
      <c r="E8" s="9">
        <f t="shared" ref="E8:E10" si="0">E7+C8-D8</f>
        <v>2658</v>
      </c>
    </row>
    <row r="9" spans="1:6">
      <c r="A9" s="21">
        <v>43317</v>
      </c>
      <c r="B9" s="629" t="s">
        <v>817</v>
      </c>
      <c r="C9" s="9"/>
      <c r="D9" s="9">
        <v>1</v>
      </c>
      <c r="E9" s="9">
        <f t="shared" si="0"/>
        <v>2657</v>
      </c>
      <c r="F9" s="658" t="s">
        <v>718</v>
      </c>
    </row>
    <row r="10" spans="1:6" ht="15">
      <c r="A10" s="679" t="s">
        <v>886</v>
      </c>
      <c r="B10" s="680" t="s">
        <v>807</v>
      </c>
      <c r="C10" s="158">
        <v>18</v>
      </c>
      <c r="D10" s="9"/>
      <c r="E10" s="9">
        <f t="shared" si="0"/>
        <v>2675</v>
      </c>
      <c r="F10" s="682" t="s">
        <v>718</v>
      </c>
    </row>
    <row r="11" spans="1:6">
      <c r="A11" s="9"/>
      <c r="B11" s="9"/>
      <c r="C11" s="9"/>
      <c r="D11" s="9"/>
      <c r="E11" s="9"/>
    </row>
  </sheetData>
  <pageMargins left="0.69930555555555596" right="0.69930555555555596" top="0.75" bottom="0.75" header="0.3" footer="0.3"/>
  <pageSetup paperSize="136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activeCell="L26" sqref="L26"/>
    </sheetView>
  </sheetViews>
  <sheetFormatPr baseColWidth="10" defaultColWidth="9" defaultRowHeight="14" x14ac:dyDescent="0"/>
  <cols>
    <col min="1" max="1" width="12.33203125" style="72" customWidth="1"/>
    <col min="2" max="2" width="31.33203125" style="72" customWidth="1"/>
    <col min="3" max="5" width="9" style="72"/>
  </cols>
  <sheetData>
    <row r="1" spans="1:5">
      <c r="A1" s="148" t="s">
        <v>295</v>
      </c>
      <c r="B1" s="148"/>
      <c r="C1" s="148"/>
      <c r="D1" s="148"/>
      <c r="E1" s="148"/>
    </row>
    <row r="2" spans="1:5">
      <c r="A2" s="148"/>
      <c r="B2" s="148"/>
      <c r="C2" s="148"/>
      <c r="D2" s="148"/>
      <c r="E2" s="148"/>
    </row>
    <row r="3" spans="1:5">
      <c r="A3" s="149"/>
      <c r="B3" s="149"/>
      <c r="C3" s="149"/>
      <c r="D3" s="149"/>
      <c r="E3" s="149"/>
    </row>
    <row r="4" spans="1:5">
      <c r="A4" s="150" t="s">
        <v>1</v>
      </c>
      <c r="B4" s="150" t="s">
        <v>6</v>
      </c>
      <c r="C4" s="150" t="s">
        <v>3</v>
      </c>
      <c r="D4" s="150" t="s">
        <v>4</v>
      </c>
      <c r="E4" s="150" t="s">
        <v>5</v>
      </c>
    </row>
    <row r="5" spans="1:5">
      <c r="A5" s="26"/>
      <c r="B5" s="26" t="s">
        <v>408</v>
      </c>
      <c r="C5" s="151"/>
      <c r="D5" s="147"/>
      <c r="E5" s="147">
        <v>83</v>
      </c>
    </row>
    <row r="6" spans="1:5">
      <c r="A6" s="147"/>
      <c r="B6" s="147"/>
      <c r="C6" s="147"/>
      <c r="D6" s="147"/>
      <c r="E6" s="147"/>
    </row>
    <row r="7" spans="1:5">
      <c r="A7" s="147"/>
      <c r="B7" s="147"/>
      <c r="C7" s="147"/>
      <c r="D7" s="147"/>
      <c r="E7" s="147"/>
    </row>
    <row r="8" spans="1:5">
      <c r="A8" s="147"/>
      <c r="B8" s="147"/>
      <c r="C8" s="147"/>
      <c r="D8" s="147"/>
      <c r="E8" s="147"/>
    </row>
    <row r="9" spans="1:5">
      <c r="A9" s="147"/>
      <c r="B9" s="147"/>
      <c r="C9" s="147"/>
      <c r="D9" s="147"/>
      <c r="E9" s="147"/>
    </row>
    <row r="10" spans="1:5">
      <c r="A10" s="147"/>
      <c r="B10" s="147"/>
      <c r="C10" s="147"/>
      <c r="D10" s="147"/>
      <c r="E10" s="147"/>
    </row>
    <row r="11" spans="1:5">
      <c r="A11" s="147"/>
      <c r="B11" s="147"/>
      <c r="C11" s="147"/>
      <c r="D11" s="147"/>
      <c r="E11" s="147"/>
    </row>
    <row r="12" spans="1:5">
      <c r="A12" s="147"/>
      <c r="B12" s="147"/>
      <c r="C12" s="147"/>
      <c r="D12" s="147"/>
      <c r="E12" s="147"/>
    </row>
    <row r="13" spans="1:5">
      <c r="A13" s="147"/>
      <c r="B13" s="147"/>
      <c r="C13" s="147"/>
      <c r="D13" s="147"/>
      <c r="E13" s="147"/>
    </row>
    <row r="14" spans="1:5">
      <c r="A14" s="147"/>
      <c r="B14" s="147"/>
      <c r="C14" s="147"/>
      <c r="D14" s="147"/>
      <c r="E14" s="147"/>
    </row>
    <row r="15" spans="1:5">
      <c r="A15" s="147"/>
      <c r="B15" s="147"/>
      <c r="C15" s="147"/>
      <c r="D15" s="147"/>
      <c r="E15" s="147"/>
    </row>
  </sheetData>
  <pageMargins left="0.69930555555555596" right="0.69930555555555596" top="0.5" bottom="0.75" header="0.3" footer="0.3"/>
  <pageSetup paperSize="9" scale="90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activeCell="J27" sqref="J27"/>
    </sheetView>
  </sheetViews>
  <sheetFormatPr baseColWidth="10" defaultColWidth="9" defaultRowHeight="14" x14ac:dyDescent="0"/>
  <cols>
    <col min="1" max="1" width="12.5" customWidth="1"/>
    <col min="2" max="2" width="24.83203125" customWidth="1"/>
  </cols>
  <sheetData>
    <row r="1" spans="1:5" ht="15">
      <c r="A1" s="18" t="s">
        <v>296</v>
      </c>
      <c r="B1" s="18"/>
      <c r="C1" s="18"/>
      <c r="D1" s="18"/>
      <c r="E1" s="18"/>
    </row>
    <row r="2" spans="1:5" ht="15">
      <c r="A2" s="19"/>
      <c r="B2" s="19"/>
      <c r="C2" s="19"/>
      <c r="D2" s="19"/>
      <c r="E2" s="19"/>
    </row>
    <row r="3" spans="1:5" ht="15">
      <c r="A3" s="20" t="s">
        <v>1</v>
      </c>
      <c r="B3" s="20" t="s">
        <v>6</v>
      </c>
      <c r="C3" s="20" t="s">
        <v>3</v>
      </c>
      <c r="D3" s="20" t="s">
        <v>4</v>
      </c>
      <c r="E3" s="20" t="s">
        <v>5</v>
      </c>
    </row>
    <row r="4" spans="1:5">
      <c r="A4" s="9"/>
      <c r="B4" s="310" t="s">
        <v>418</v>
      </c>
      <c r="C4" s="9"/>
      <c r="D4" s="9"/>
      <c r="E4" s="9">
        <v>9</v>
      </c>
    </row>
    <row r="5" spans="1:5">
      <c r="A5" s="9"/>
      <c r="B5" s="9"/>
      <c r="C5" s="9"/>
      <c r="D5" s="9"/>
      <c r="E5" s="9"/>
    </row>
    <row r="6" spans="1:5">
      <c r="A6" s="9"/>
      <c r="B6" s="9"/>
      <c r="C6" s="9"/>
      <c r="D6" s="9"/>
      <c r="E6" s="9"/>
    </row>
    <row r="7" spans="1:5">
      <c r="A7" s="9"/>
      <c r="B7" s="9"/>
      <c r="C7" s="9"/>
      <c r="D7" s="9"/>
      <c r="E7" s="9"/>
    </row>
    <row r="8" spans="1:5">
      <c r="A8" s="9"/>
      <c r="B8" s="9"/>
      <c r="C8" s="9"/>
      <c r="D8" s="9"/>
      <c r="E8" s="9"/>
    </row>
    <row r="9" spans="1:5">
      <c r="A9" s="9"/>
      <c r="B9" s="9"/>
      <c r="C9" s="9"/>
      <c r="D9" s="9"/>
      <c r="E9" s="9"/>
    </row>
    <row r="10" spans="1:5">
      <c r="A10" s="9"/>
      <c r="B10" s="9"/>
      <c r="C10" s="9"/>
      <c r="D10" s="9"/>
      <c r="E10" s="9"/>
    </row>
    <row r="11" spans="1:5">
      <c r="A11" s="9"/>
      <c r="B11" s="9"/>
      <c r="C11" s="9"/>
      <c r="D11" s="9"/>
      <c r="E11" s="9"/>
    </row>
    <row r="12" spans="1:5">
      <c r="A12" s="9"/>
      <c r="B12" s="9"/>
      <c r="C12" s="9"/>
      <c r="D12" s="9"/>
      <c r="E12" s="9"/>
    </row>
    <row r="13" spans="1:5">
      <c r="A13" s="9"/>
      <c r="B13" s="9"/>
      <c r="C13" s="9"/>
      <c r="D13" s="9"/>
      <c r="E13" s="9"/>
    </row>
    <row r="14" spans="1:5">
      <c r="A14" s="9"/>
      <c r="B14" s="9"/>
      <c r="C14" s="9"/>
      <c r="D14" s="9"/>
      <c r="E14" s="9"/>
    </row>
    <row r="15" spans="1:5">
      <c r="A15" s="9"/>
      <c r="B15" s="9"/>
      <c r="C15" s="9"/>
      <c r="D15" s="9"/>
      <c r="E15" s="9"/>
    </row>
  </sheetData>
  <pageMargins left="0.69930555555555596" right="0.69930555555555596" top="0.75" bottom="0.75" header="0.3" footer="0.3"/>
  <pageSetup paperSize="9" scale="90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J18" sqref="J18"/>
    </sheetView>
  </sheetViews>
  <sheetFormatPr baseColWidth="10" defaultColWidth="9" defaultRowHeight="14" x14ac:dyDescent="0"/>
  <cols>
    <col min="1" max="1" width="13.33203125" customWidth="1"/>
    <col min="2" max="2" width="31.1640625" customWidth="1"/>
  </cols>
  <sheetData>
    <row r="1" spans="1:5" ht="15">
      <c r="A1" s="18" t="s">
        <v>297</v>
      </c>
      <c r="B1" s="18"/>
      <c r="C1" s="18"/>
      <c r="D1" s="18"/>
      <c r="E1" s="18"/>
    </row>
    <row r="2" spans="1:5" ht="15">
      <c r="A2" s="19"/>
      <c r="B2" s="19"/>
      <c r="C2" s="19"/>
      <c r="D2" s="19"/>
      <c r="E2" s="19"/>
    </row>
    <row r="3" spans="1:5" ht="15">
      <c r="A3" s="20" t="s">
        <v>1</v>
      </c>
      <c r="B3" s="20" t="s">
        <v>6</v>
      </c>
      <c r="C3" s="20" t="s">
        <v>3</v>
      </c>
      <c r="D3" s="20" t="s">
        <v>4</v>
      </c>
      <c r="E3" s="20" t="s">
        <v>5</v>
      </c>
    </row>
    <row r="4" spans="1:5">
      <c r="A4" s="9"/>
      <c r="B4" s="310" t="s">
        <v>418</v>
      </c>
      <c r="C4" s="9"/>
      <c r="D4" s="9"/>
      <c r="E4" s="9">
        <v>48</v>
      </c>
    </row>
    <row r="5" spans="1:5">
      <c r="A5" s="9"/>
      <c r="B5" s="9"/>
      <c r="C5" s="9"/>
      <c r="D5" s="9"/>
      <c r="E5" s="9"/>
    </row>
    <row r="6" spans="1:5">
      <c r="A6" s="9"/>
      <c r="B6" s="9"/>
      <c r="C6" s="9"/>
      <c r="D6" s="9"/>
      <c r="E6" s="9"/>
    </row>
    <row r="7" spans="1:5">
      <c r="A7" s="9"/>
      <c r="B7" s="9"/>
      <c r="C7" s="9"/>
      <c r="D7" s="9"/>
      <c r="E7" s="9"/>
    </row>
    <row r="8" spans="1:5">
      <c r="A8" s="9"/>
      <c r="B8" s="9"/>
      <c r="C8" s="9"/>
      <c r="D8" s="9"/>
      <c r="E8" s="9"/>
    </row>
  </sheetData>
  <pageMargins left="0.69930555555555596" right="0.69930555555555596" top="0.75" bottom="0.75" header="0.3" footer="0.3"/>
  <pageSetup paperSize="9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7"/>
  <sheetViews>
    <sheetView workbookViewId="0">
      <selection activeCell="G26" sqref="G26"/>
    </sheetView>
  </sheetViews>
  <sheetFormatPr baseColWidth="10" defaultColWidth="9" defaultRowHeight="15" x14ac:dyDescent="0"/>
  <cols>
    <col min="1" max="1" width="13.33203125" style="145" customWidth="1"/>
    <col min="2" max="2" width="33.5" style="145" customWidth="1"/>
    <col min="3" max="5" width="9" style="145"/>
  </cols>
  <sheetData>
    <row r="2" spans="1:5">
      <c r="A2" s="146" t="s">
        <v>298</v>
      </c>
      <c r="B2" s="146"/>
    </row>
    <row r="4" spans="1:5">
      <c r="A4" s="38" t="s">
        <v>1</v>
      </c>
      <c r="B4" s="38" t="s">
        <v>6</v>
      </c>
      <c r="C4" s="38" t="s">
        <v>3</v>
      </c>
      <c r="D4" s="38" t="s">
        <v>4</v>
      </c>
      <c r="E4" s="38" t="s">
        <v>5</v>
      </c>
    </row>
    <row r="5" spans="1:5">
      <c r="A5" s="38"/>
      <c r="B5" s="38" t="s">
        <v>418</v>
      </c>
      <c r="C5" s="38"/>
      <c r="D5" s="38"/>
      <c r="E5" s="38">
        <v>3338</v>
      </c>
    </row>
    <row r="6" spans="1:5">
      <c r="A6" s="38"/>
      <c r="B6" s="38"/>
      <c r="C6" s="38"/>
      <c r="D6" s="38"/>
      <c r="E6" s="38"/>
    </row>
    <row r="7" spans="1:5">
      <c r="A7" s="38"/>
      <c r="B7" s="38"/>
      <c r="C7" s="38"/>
      <c r="D7" s="38"/>
      <c r="E7" s="38"/>
    </row>
  </sheetData>
  <pageMargins left="0.69930555555555596" right="0.69930555555555596" top="0.75" bottom="0.75" header="0.3" footer="0.3"/>
  <pageSetup paperSize="9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Views>
    <sheetView workbookViewId="0">
      <selection activeCell="E7" sqref="E7"/>
    </sheetView>
  </sheetViews>
  <sheetFormatPr baseColWidth="10" defaultColWidth="9" defaultRowHeight="15" x14ac:dyDescent="0"/>
  <cols>
    <col min="1" max="1" width="13.5" style="129" customWidth="1"/>
    <col min="2" max="2" width="43.33203125" style="129" customWidth="1"/>
    <col min="3" max="5" width="9" style="129"/>
  </cols>
  <sheetData>
    <row r="2" spans="1:5">
      <c r="A2" s="130" t="s">
        <v>299</v>
      </c>
      <c r="B2" s="130"/>
      <c r="C2" s="130"/>
      <c r="D2" s="130"/>
      <c r="E2" s="130"/>
    </row>
    <row r="3" spans="1:5">
      <c r="A3" s="131"/>
      <c r="B3" s="131"/>
      <c r="C3" s="131"/>
      <c r="D3" s="131"/>
      <c r="E3" s="131"/>
    </row>
    <row r="4" spans="1:5">
      <c r="A4" s="144" t="s">
        <v>1</v>
      </c>
      <c r="B4" s="144" t="s">
        <v>6</v>
      </c>
      <c r="C4" s="144" t="s">
        <v>3</v>
      </c>
      <c r="D4" s="144" t="s">
        <v>4</v>
      </c>
      <c r="E4" s="144" t="s">
        <v>5</v>
      </c>
    </row>
    <row r="5" spans="1:5">
      <c r="A5" s="128"/>
      <c r="B5" s="128" t="s">
        <v>418</v>
      </c>
      <c r="C5" s="128"/>
      <c r="D5" s="128"/>
      <c r="E5" s="128">
        <v>0</v>
      </c>
    </row>
    <row r="6" spans="1:5">
      <c r="A6" s="128" t="s">
        <v>656</v>
      </c>
      <c r="B6" s="128" t="s">
        <v>406</v>
      </c>
      <c r="C6" s="128">
        <v>1100</v>
      </c>
      <c r="D6" s="128"/>
      <c r="E6" s="128">
        <v>1100</v>
      </c>
    </row>
    <row r="7" spans="1:5">
      <c r="A7" s="128"/>
      <c r="B7" s="128"/>
      <c r="C7" s="128"/>
      <c r="D7" s="128"/>
      <c r="E7" s="128"/>
    </row>
    <row r="8" spans="1:5">
      <c r="A8" s="128"/>
      <c r="B8" s="128"/>
      <c r="C8" s="128"/>
      <c r="D8" s="128"/>
      <c r="E8" s="128"/>
    </row>
  </sheetData>
  <pageMargins left="0.69930555555555596" right="0.69930555555555596" top="0.75" bottom="0.75" header="0.3" footer="0.3"/>
  <pageSetup paperSize="9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4"/>
  <sheetViews>
    <sheetView workbookViewId="0">
      <selection activeCell="F7" sqref="F7"/>
    </sheetView>
  </sheetViews>
  <sheetFormatPr baseColWidth="10" defaultColWidth="9" defaultRowHeight="15" x14ac:dyDescent="0"/>
  <cols>
    <col min="1" max="1" width="13" style="40" customWidth="1"/>
    <col min="2" max="2" width="30.5" style="40" customWidth="1"/>
    <col min="3" max="5" width="9" style="40"/>
  </cols>
  <sheetData>
    <row r="2" spans="1:6">
      <c r="A2" s="40" t="s">
        <v>301</v>
      </c>
    </row>
    <row r="4" spans="1:6">
      <c r="A4" s="56" t="s">
        <v>1</v>
      </c>
      <c r="B4" s="56" t="s">
        <v>6</v>
      </c>
      <c r="C4" s="56" t="s">
        <v>3</v>
      </c>
      <c r="D4" s="56" t="s">
        <v>4</v>
      </c>
      <c r="E4" s="56" t="s">
        <v>5</v>
      </c>
    </row>
    <row r="5" spans="1:6">
      <c r="A5" s="56"/>
      <c r="B5" s="56" t="s">
        <v>418</v>
      </c>
      <c r="C5" s="56"/>
      <c r="D5" s="56"/>
      <c r="E5" s="56">
        <v>2016</v>
      </c>
    </row>
    <row r="6" spans="1:6">
      <c r="A6" s="9" t="s">
        <v>703</v>
      </c>
      <c r="B6" s="429" t="s">
        <v>406</v>
      </c>
      <c r="C6" s="56">
        <v>740</v>
      </c>
      <c r="D6" s="56"/>
      <c r="E6" s="56">
        <f>E5+C6-D6</f>
        <v>2756</v>
      </c>
      <c r="F6" s="480" t="s">
        <v>46</v>
      </c>
    </row>
    <row r="7" spans="1:6">
      <c r="A7" s="56"/>
      <c r="B7" s="56"/>
      <c r="C7" s="56"/>
      <c r="D7" s="56"/>
      <c r="E7" s="56"/>
    </row>
    <row r="8" spans="1:6">
      <c r="A8" s="56"/>
      <c r="B8" s="56"/>
      <c r="C8" s="56"/>
      <c r="D8" s="56"/>
      <c r="E8" s="56"/>
    </row>
    <row r="9" spans="1:6">
      <c r="A9" s="56"/>
      <c r="B9" s="56"/>
      <c r="C9" s="56"/>
      <c r="D9" s="56"/>
      <c r="E9" s="56"/>
    </row>
    <row r="10" spans="1:6">
      <c r="A10" s="56"/>
      <c r="B10" s="56"/>
      <c r="C10" s="56"/>
      <c r="D10" s="56"/>
      <c r="E10" s="56"/>
    </row>
    <row r="11" spans="1:6">
      <c r="A11" s="56"/>
      <c r="B11" s="56"/>
      <c r="C11" s="56"/>
      <c r="D11" s="56"/>
      <c r="E11" s="56"/>
    </row>
    <row r="12" spans="1:6">
      <c r="A12" s="56"/>
      <c r="B12" s="56"/>
      <c r="C12" s="56"/>
      <c r="D12" s="56"/>
      <c r="E12" s="56"/>
    </row>
    <row r="13" spans="1:6">
      <c r="A13" s="56"/>
      <c r="B13" s="56"/>
      <c r="C13" s="56"/>
      <c r="D13" s="56"/>
      <c r="E13" s="56"/>
    </row>
    <row r="14" spans="1:6">
      <c r="A14" s="56"/>
      <c r="B14" s="56"/>
      <c r="C14" s="56"/>
      <c r="D14" s="56"/>
      <c r="E14" s="56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0"/>
  <sheetViews>
    <sheetView workbookViewId="0">
      <selection activeCell="E5" sqref="E5"/>
    </sheetView>
  </sheetViews>
  <sheetFormatPr baseColWidth="10" defaultColWidth="9" defaultRowHeight="14" x14ac:dyDescent="0"/>
  <cols>
    <col min="1" max="1" width="15" customWidth="1"/>
    <col min="2" max="2" width="37.5" customWidth="1"/>
  </cols>
  <sheetData>
    <row r="2" spans="1:5" ht="15">
      <c r="A2" s="143" t="s">
        <v>302</v>
      </c>
      <c r="B2" s="143"/>
      <c r="C2" s="31"/>
      <c r="D2" s="31"/>
      <c r="E2" s="31"/>
    </row>
    <row r="3" spans="1:5" ht="15">
      <c r="A3" s="31"/>
      <c r="B3" s="84"/>
      <c r="C3" s="31"/>
      <c r="D3" s="31"/>
      <c r="E3" s="31"/>
    </row>
    <row r="4" spans="1:5" ht="15">
      <c r="A4" s="85" t="s">
        <v>1</v>
      </c>
      <c r="B4" s="85" t="s">
        <v>6</v>
      </c>
      <c r="C4" s="85" t="s">
        <v>3</v>
      </c>
      <c r="D4" s="85" t="s">
        <v>4</v>
      </c>
      <c r="E4" s="85" t="s">
        <v>5</v>
      </c>
    </row>
    <row r="5" spans="1:5">
      <c r="A5" s="9"/>
      <c r="B5" s="310" t="s">
        <v>418</v>
      </c>
      <c r="C5" s="9"/>
      <c r="D5" s="9"/>
      <c r="E5" s="9">
        <v>1504</v>
      </c>
    </row>
    <row r="6" spans="1:5">
      <c r="A6" s="9"/>
      <c r="B6" s="9"/>
      <c r="C6" s="9"/>
      <c r="D6" s="9"/>
      <c r="E6" s="9"/>
    </row>
    <row r="7" spans="1:5">
      <c r="A7" s="9"/>
      <c r="B7" s="9"/>
      <c r="C7" s="9"/>
      <c r="D7" s="9"/>
      <c r="E7" s="9"/>
    </row>
    <row r="8" spans="1:5">
      <c r="A8" s="9"/>
      <c r="B8" s="9"/>
      <c r="C8" s="9"/>
      <c r="D8" s="9"/>
      <c r="E8" s="9"/>
    </row>
    <row r="9" spans="1:5">
      <c r="A9" s="9"/>
      <c r="B9" s="9"/>
      <c r="C9" s="9"/>
      <c r="D9" s="9"/>
      <c r="E9" s="9"/>
    </row>
    <row r="10" spans="1:5">
      <c r="A10" s="9"/>
      <c r="B10" s="9"/>
      <c r="C10" s="9"/>
      <c r="D10" s="9"/>
      <c r="E10" s="9"/>
    </row>
  </sheetData>
  <pageMargins left="0.69930555555555596" right="0.69930555555555596" top="0.75" bottom="0.75" header="0.3" footer="0.3"/>
  <pageSetup paperSize="9" scale="90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F17" sqref="F17"/>
    </sheetView>
  </sheetViews>
  <sheetFormatPr baseColWidth="10" defaultColWidth="9" defaultRowHeight="15" x14ac:dyDescent="0"/>
  <cols>
    <col min="2" max="2" width="26.5" customWidth="1"/>
    <col min="7" max="7" width="9" style="60"/>
  </cols>
  <sheetData>
    <row r="1" spans="1:5">
      <c r="A1" s="40" t="s">
        <v>291</v>
      </c>
      <c r="B1" s="40"/>
      <c r="C1" s="40"/>
      <c r="D1" s="40"/>
      <c r="E1" s="40"/>
    </row>
    <row r="2" spans="1:5">
      <c r="A2" s="40"/>
      <c r="B2" s="40"/>
      <c r="C2" s="40"/>
      <c r="D2" s="40"/>
      <c r="E2" s="40"/>
    </row>
    <row r="3" spans="1:5">
      <c r="A3" s="40" t="s">
        <v>303</v>
      </c>
      <c r="B3" s="40"/>
      <c r="C3" s="40"/>
      <c r="D3" s="40"/>
      <c r="E3" s="40"/>
    </row>
    <row r="4" spans="1:5">
      <c r="A4" s="40"/>
      <c r="B4" s="40"/>
      <c r="C4" s="40"/>
      <c r="D4" s="40"/>
      <c r="E4" s="40"/>
    </row>
    <row r="5" spans="1:5">
      <c r="A5" s="56" t="s">
        <v>1</v>
      </c>
      <c r="B5" s="56" t="s">
        <v>6</v>
      </c>
      <c r="C5" s="56" t="s">
        <v>3</v>
      </c>
      <c r="D5" s="56" t="s">
        <v>4</v>
      </c>
      <c r="E5" s="56" t="s">
        <v>5</v>
      </c>
    </row>
    <row r="6" spans="1:5">
      <c r="A6" s="120"/>
      <c r="B6" s="56" t="s">
        <v>418</v>
      </c>
      <c r="C6" s="56"/>
      <c r="D6" s="56"/>
      <c r="E6" s="56">
        <v>1220</v>
      </c>
    </row>
    <row r="7" spans="1:5">
      <c r="A7" s="120"/>
      <c r="B7" s="56"/>
      <c r="C7" s="56"/>
      <c r="D7" s="56"/>
      <c r="E7" s="56"/>
    </row>
    <row r="8" spans="1:5">
      <c r="A8" s="120"/>
      <c r="B8" s="56"/>
      <c r="C8" s="56"/>
      <c r="D8" s="56"/>
      <c r="E8" s="56"/>
    </row>
    <row r="9" spans="1:5">
      <c r="A9" s="120"/>
      <c r="B9" s="56"/>
      <c r="C9" s="56"/>
      <c r="D9" s="56"/>
      <c r="E9" s="56"/>
    </row>
    <row r="10" spans="1:5">
      <c r="A10" s="120"/>
      <c r="B10" s="56"/>
      <c r="C10" s="56"/>
      <c r="D10" s="56"/>
      <c r="E10" s="56"/>
    </row>
    <row r="11" spans="1:5">
      <c r="A11" s="56"/>
      <c r="B11" s="56"/>
      <c r="C11" s="56"/>
      <c r="D11" s="56"/>
      <c r="E11" s="56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E11" sqref="E11"/>
    </sheetView>
  </sheetViews>
  <sheetFormatPr baseColWidth="10" defaultColWidth="9" defaultRowHeight="14" x14ac:dyDescent="0"/>
  <cols>
    <col min="1" max="1" width="14.1640625" customWidth="1"/>
    <col min="2" max="2" width="30" customWidth="1"/>
  </cols>
  <sheetData>
    <row r="1" spans="1:6" ht="15">
      <c r="A1" s="18" t="s">
        <v>304</v>
      </c>
      <c r="B1" s="18"/>
      <c r="C1" s="18"/>
      <c r="D1" s="18"/>
      <c r="E1" s="18"/>
    </row>
    <row r="2" spans="1:6" ht="15">
      <c r="A2" s="19"/>
      <c r="B2" s="19"/>
      <c r="C2" s="19"/>
      <c r="D2" s="19"/>
      <c r="E2" s="19"/>
    </row>
    <row r="3" spans="1:6" ht="15">
      <c r="A3" s="20" t="s">
        <v>1</v>
      </c>
      <c r="B3" s="20" t="s">
        <v>6</v>
      </c>
      <c r="C3" s="20" t="s">
        <v>3</v>
      </c>
      <c r="D3" s="20" t="s">
        <v>4</v>
      </c>
      <c r="E3" s="20" t="s">
        <v>5</v>
      </c>
    </row>
    <row r="4" spans="1:6">
      <c r="A4" s="9"/>
      <c r="B4" s="310" t="s">
        <v>418</v>
      </c>
      <c r="C4" s="9"/>
      <c r="D4" s="9"/>
      <c r="E4" s="9">
        <v>84</v>
      </c>
    </row>
    <row r="5" spans="1:6">
      <c r="A5" s="429" t="s">
        <v>636</v>
      </c>
      <c r="B5" s="429" t="s">
        <v>406</v>
      </c>
      <c r="C5" s="9">
        <v>65</v>
      </c>
      <c r="D5" s="9"/>
      <c r="E5" s="9">
        <f t="shared" ref="E5:E11" si="0">E4+C5-D5</f>
        <v>149</v>
      </c>
      <c r="F5" s="433" t="s">
        <v>46</v>
      </c>
    </row>
    <row r="6" spans="1:6">
      <c r="A6" s="444" t="s">
        <v>656</v>
      </c>
      <c r="B6" s="444" t="s">
        <v>406</v>
      </c>
      <c r="C6" s="9">
        <v>41</v>
      </c>
      <c r="D6" s="9"/>
      <c r="E6" s="9">
        <f t="shared" si="0"/>
        <v>190</v>
      </c>
    </row>
    <row r="7" spans="1:6" ht="15">
      <c r="A7" s="68" t="s">
        <v>703</v>
      </c>
      <c r="B7" s="68" t="s">
        <v>406</v>
      </c>
      <c r="C7" s="9">
        <v>13</v>
      </c>
      <c r="D7" s="9"/>
      <c r="E7" s="9">
        <f t="shared" si="0"/>
        <v>203</v>
      </c>
      <c r="F7" s="480"/>
    </row>
    <row r="8" spans="1:6">
      <c r="A8" s="21">
        <v>43315</v>
      </c>
      <c r="B8" s="429" t="s">
        <v>406</v>
      </c>
      <c r="C8" s="9">
        <v>4</v>
      </c>
      <c r="D8" s="9"/>
      <c r="E8" s="9">
        <f t="shared" si="0"/>
        <v>207</v>
      </c>
      <c r="F8" s="501"/>
    </row>
    <row r="9" spans="1:6">
      <c r="A9" s="616" t="s">
        <v>839</v>
      </c>
      <c r="B9" s="616" t="s">
        <v>842</v>
      </c>
      <c r="C9" s="9"/>
      <c r="D9" s="9">
        <v>49</v>
      </c>
      <c r="E9" s="9">
        <f t="shared" si="0"/>
        <v>158</v>
      </c>
      <c r="F9" s="618"/>
    </row>
    <row r="10" spans="1:6">
      <c r="A10" s="679" t="s">
        <v>886</v>
      </c>
      <c r="B10" s="680" t="s">
        <v>807</v>
      </c>
      <c r="C10" s="9">
        <v>24</v>
      </c>
      <c r="D10" s="9"/>
      <c r="E10" s="9">
        <f t="shared" si="0"/>
        <v>182</v>
      </c>
      <c r="F10" s="682"/>
    </row>
    <row r="11" spans="1:6">
      <c r="A11" s="703" t="s">
        <v>918</v>
      </c>
      <c r="B11" s="429" t="s">
        <v>406</v>
      </c>
      <c r="C11" s="9">
        <v>5</v>
      </c>
      <c r="D11" s="9"/>
      <c r="E11" s="9">
        <f t="shared" si="0"/>
        <v>187</v>
      </c>
      <c r="F11" s="707" t="s">
        <v>46</v>
      </c>
    </row>
    <row r="12" spans="1:6">
      <c r="A12" s="9"/>
      <c r="B12" s="9"/>
      <c r="C12" s="9"/>
      <c r="D12" s="9"/>
      <c r="E12" s="9"/>
    </row>
  </sheetData>
  <pageMargins left="0.69930555555555596" right="0.69930555555555596" top="0.75" bottom="0.75" header="0.3" footer="0.3"/>
  <pageSetup paperSize="9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8"/>
  <sheetViews>
    <sheetView workbookViewId="0">
      <selection activeCell="C5" sqref="C5"/>
    </sheetView>
  </sheetViews>
  <sheetFormatPr baseColWidth="10" defaultColWidth="9" defaultRowHeight="14" x14ac:dyDescent="0"/>
  <cols>
    <col min="1" max="1" width="9.6640625" customWidth="1"/>
    <col min="2" max="2" width="30" customWidth="1"/>
  </cols>
  <sheetData>
    <row r="2" spans="1:5" ht="15">
      <c r="A2" s="18" t="s">
        <v>305</v>
      </c>
      <c r="B2" s="18"/>
      <c r="C2" s="18"/>
      <c r="D2" s="18"/>
      <c r="E2" s="18"/>
    </row>
    <row r="3" spans="1:5" ht="15">
      <c r="A3" s="19"/>
      <c r="B3" s="19"/>
      <c r="C3" s="19"/>
      <c r="D3" s="19"/>
      <c r="E3" s="19"/>
    </row>
    <row r="4" spans="1:5" ht="15">
      <c r="A4" s="20" t="s">
        <v>1</v>
      </c>
      <c r="B4" s="20" t="s">
        <v>6</v>
      </c>
      <c r="C4" s="20" t="s">
        <v>3</v>
      </c>
      <c r="D4" s="20" t="s">
        <v>4</v>
      </c>
      <c r="E4" s="20" t="s">
        <v>5</v>
      </c>
    </row>
    <row r="5" spans="1:5" ht="15">
      <c r="A5" s="22"/>
      <c r="B5" s="14" t="s">
        <v>418</v>
      </c>
      <c r="C5" s="13"/>
      <c r="D5" s="9"/>
      <c r="E5" s="9">
        <v>50</v>
      </c>
    </row>
    <row r="6" spans="1:5" ht="15">
      <c r="A6" s="95"/>
      <c r="B6" s="95"/>
      <c r="C6" s="9"/>
      <c r="D6" s="26"/>
      <c r="E6" s="9"/>
    </row>
    <row r="7" spans="1:5" ht="15">
      <c r="A7" s="95"/>
      <c r="B7" s="95"/>
      <c r="C7" s="26"/>
      <c r="D7" s="26"/>
      <c r="E7" s="9"/>
    </row>
    <row r="8" spans="1:5">
      <c r="A8" s="9"/>
      <c r="B8" s="9"/>
      <c r="C8" s="9"/>
      <c r="D8" s="9"/>
      <c r="E8" s="9"/>
    </row>
    <row r="9" spans="1:5">
      <c r="A9" s="9"/>
      <c r="B9" s="9"/>
      <c r="C9" s="9"/>
      <c r="D9" s="9"/>
      <c r="E9" s="9"/>
    </row>
    <row r="10" spans="1:5">
      <c r="A10" s="9"/>
      <c r="B10" s="9"/>
      <c r="C10" s="9"/>
      <c r="D10" s="9"/>
      <c r="E10" s="9"/>
    </row>
    <row r="11" spans="1:5">
      <c r="A11" s="9"/>
      <c r="B11" s="9"/>
      <c r="C11" s="9"/>
      <c r="D11" s="9"/>
      <c r="E11" s="9"/>
    </row>
    <row r="12" spans="1:5">
      <c r="A12" s="9"/>
      <c r="B12" s="9"/>
      <c r="C12" s="9"/>
      <c r="D12" s="9"/>
      <c r="E12" s="9"/>
    </row>
    <row r="13" spans="1:5">
      <c r="A13" s="9"/>
      <c r="B13" s="9"/>
      <c r="C13" s="9"/>
      <c r="D13" s="9"/>
      <c r="E13" s="9"/>
    </row>
    <row r="14" spans="1:5">
      <c r="A14" s="9"/>
      <c r="B14" s="9"/>
      <c r="C14" s="9"/>
      <c r="D14" s="9"/>
      <c r="E14" s="9"/>
    </row>
    <row r="15" spans="1:5">
      <c r="A15" s="9"/>
      <c r="B15" s="9"/>
      <c r="C15" s="9"/>
      <c r="D15" s="9"/>
      <c r="E15" s="9"/>
    </row>
    <row r="16" spans="1:5">
      <c r="A16" s="9"/>
      <c r="B16" s="9"/>
      <c r="C16" s="9"/>
      <c r="D16" s="9"/>
      <c r="E16" s="9"/>
    </row>
    <row r="17" spans="1:5">
      <c r="A17" s="9"/>
      <c r="B17" s="9"/>
      <c r="C17" s="9"/>
      <c r="D17" s="9"/>
      <c r="E17" s="9"/>
    </row>
    <row r="18" spans="1:5">
      <c r="A18" s="9"/>
      <c r="B18" s="9"/>
      <c r="C18" s="9"/>
      <c r="D18" s="9"/>
      <c r="E18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E5" sqref="E5"/>
    </sheetView>
  </sheetViews>
  <sheetFormatPr baseColWidth="10" defaultColWidth="9" defaultRowHeight="14" x14ac:dyDescent="0"/>
  <cols>
    <col min="1" max="1" width="15.1640625" customWidth="1"/>
    <col min="2" max="2" width="30" customWidth="1"/>
  </cols>
  <sheetData>
    <row r="1" spans="1:6" ht="15">
      <c r="A1" s="18" t="s">
        <v>306</v>
      </c>
      <c r="B1" s="18"/>
      <c r="C1" s="18"/>
      <c r="D1" s="18"/>
      <c r="E1" s="18"/>
    </row>
    <row r="2" spans="1:6" ht="15">
      <c r="A2" s="19"/>
      <c r="B2" s="19"/>
      <c r="C2" s="19"/>
      <c r="D2" s="19"/>
      <c r="E2" s="19"/>
    </row>
    <row r="3" spans="1:6" ht="15">
      <c r="A3" s="20" t="s">
        <v>1</v>
      </c>
      <c r="B3" s="20" t="s">
        <v>6</v>
      </c>
      <c r="C3" s="20" t="s">
        <v>3</v>
      </c>
      <c r="D3" s="20" t="s">
        <v>4</v>
      </c>
      <c r="E3" s="20" t="s">
        <v>5</v>
      </c>
    </row>
    <row r="4" spans="1:6" ht="15">
      <c r="A4" s="295"/>
      <c r="B4" s="310" t="s">
        <v>418</v>
      </c>
      <c r="C4" s="9"/>
      <c r="D4" s="9"/>
      <c r="E4" s="41">
        <v>238</v>
      </c>
    </row>
    <row r="5" spans="1:6" ht="15">
      <c r="A5" s="429" t="s">
        <v>636</v>
      </c>
      <c r="B5" s="429" t="s">
        <v>406</v>
      </c>
      <c r="C5" s="9">
        <v>21</v>
      </c>
      <c r="D5" s="9"/>
      <c r="E5" s="41">
        <f t="shared" ref="E5:E10" si="0">E4+C5-D5</f>
        <v>259</v>
      </c>
      <c r="F5" s="433"/>
    </row>
    <row r="6" spans="1:6" ht="15">
      <c r="A6" s="452" t="s">
        <v>665</v>
      </c>
      <c r="B6" s="429" t="s">
        <v>406</v>
      </c>
      <c r="C6" s="9">
        <v>43</v>
      </c>
      <c r="D6" s="9"/>
      <c r="E6" s="41">
        <f t="shared" si="0"/>
        <v>302</v>
      </c>
      <c r="F6" s="453"/>
    </row>
    <row r="7" spans="1:6" ht="15">
      <c r="A7" s="21">
        <v>43315</v>
      </c>
      <c r="B7" s="429" t="s">
        <v>406</v>
      </c>
      <c r="C7" s="9">
        <v>4</v>
      </c>
      <c r="D7" s="9"/>
      <c r="E7" s="41">
        <f t="shared" si="0"/>
        <v>306</v>
      </c>
      <c r="F7" s="501"/>
    </row>
    <row r="8" spans="1:6" ht="15">
      <c r="A8" s="616" t="s">
        <v>839</v>
      </c>
      <c r="B8" s="616" t="s">
        <v>842</v>
      </c>
      <c r="C8" s="9"/>
      <c r="D8" s="9">
        <v>25</v>
      </c>
      <c r="E8" s="41">
        <f t="shared" si="0"/>
        <v>281</v>
      </c>
      <c r="F8" s="618" t="s">
        <v>46</v>
      </c>
    </row>
    <row r="9" spans="1:6" ht="15">
      <c r="A9" s="632">
        <v>43439</v>
      </c>
      <c r="B9" s="631" t="s">
        <v>842</v>
      </c>
      <c r="C9" s="9">
        <v>25</v>
      </c>
      <c r="D9" s="9"/>
      <c r="E9" s="41">
        <f t="shared" si="0"/>
        <v>306</v>
      </c>
      <c r="F9" s="658" t="s">
        <v>46</v>
      </c>
    </row>
    <row r="10" spans="1:6" ht="15">
      <c r="A10" s="703" t="s">
        <v>918</v>
      </c>
      <c r="B10" s="429" t="s">
        <v>406</v>
      </c>
      <c r="C10" s="9">
        <v>6</v>
      </c>
      <c r="D10" s="9"/>
      <c r="E10" s="41">
        <f t="shared" si="0"/>
        <v>312</v>
      </c>
      <c r="F10" s="707" t="s">
        <v>46</v>
      </c>
    </row>
    <row r="11" spans="1:6" ht="15">
      <c r="A11" s="295"/>
      <c r="B11" s="293"/>
      <c r="C11" s="9"/>
      <c r="D11" s="9"/>
      <c r="E11" s="41"/>
    </row>
    <row r="12" spans="1:6" ht="15">
      <c r="A12" s="295"/>
      <c r="B12" s="293"/>
      <c r="C12" s="9"/>
      <c r="D12" s="9"/>
      <c r="E12" s="41"/>
    </row>
    <row r="13" spans="1:6" ht="15">
      <c r="A13" s="295"/>
      <c r="B13" s="293"/>
      <c r="C13" s="9"/>
      <c r="D13" s="9"/>
      <c r="E13" s="41"/>
    </row>
    <row r="14" spans="1:6">
      <c r="A14" s="9"/>
      <c r="B14" s="9"/>
      <c r="C14" s="9"/>
      <c r="D14" s="9"/>
      <c r="E14" s="9"/>
    </row>
  </sheetData>
  <pageMargins left="0.69930555555555596" right="0.69930555555555596" top="0.75" bottom="0.75" header="0.3" footer="0.3"/>
  <pageSetup paperSize="9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C4" sqref="C4"/>
    </sheetView>
  </sheetViews>
  <sheetFormatPr baseColWidth="10" defaultColWidth="9" defaultRowHeight="14" x14ac:dyDescent="0"/>
  <cols>
    <col min="1" max="1" width="13.5" customWidth="1"/>
    <col min="2" max="2" width="24.5" customWidth="1"/>
    <col min="3" max="3" width="8.6640625" customWidth="1"/>
  </cols>
  <sheetData>
    <row r="1" spans="1:5" ht="15">
      <c r="A1" s="18" t="s">
        <v>307</v>
      </c>
      <c r="B1" s="18"/>
      <c r="C1" s="18"/>
      <c r="D1" s="18"/>
      <c r="E1" s="18"/>
    </row>
    <row r="2" spans="1:5" ht="15">
      <c r="A2" s="19"/>
      <c r="B2" s="19"/>
      <c r="C2" s="19"/>
      <c r="D2" s="19"/>
      <c r="E2" s="19"/>
    </row>
    <row r="3" spans="1:5" ht="15">
      <c r="A3" s="20" t="s">
        <v>1</v>
      </c>
      <c r="B3" s="20" t="s">
        <v>6</v>
      </c>
      <c r="C3" s="20" t="s">
        <v>3</v>
      </c>
      <c r="D3" s="20" t="s">
        <v>4</v>
      </c>
      <c r="E3" s="20" t="s">
        <v>5</v>
      </c>
    </row>
    <row r="4" spans="1:5">
      <c r="A4" s="5"/>
      <c r="B4" s="139" t="s">
        <v>418</v>
      </c>
      <c r="C4" s="6"/>
      <c r="D4" s="9"/>
      <c r="E4" s="9">
        <v>1</v>
      </c>
    </row>
    <row r="5" spans="1:5">
      <c r="A5" s="9"/>
      <c r="B5" s="9"/>
      <c r="C5" s="9"/>
      <c r="D5" s="9"/>
      <c r="E5" s="9"/>
    </row>
    <row r="6" spans="1:5" ht="15">
      <c r="A6" s="55"/>
      <c r="B6" s="33"/>
      <c r="C6" s="9"/>
      <c r="D6" s="26"/>
      <c r="E6" s="9"/>
    </row>
    <row r="7" spans="1:5" ht="15">
      <c r="A7" s="21"/>
      <c r="B7" s="33"/>
      <c r="C7" s="9"/>
      <c r="D7" s="26"/>
      <c r="E7" s="9"/>
    </row>
    <row r="8" spans="1:5">
      <c r="A8" s="34"/>
      <c r="B8" s="9"/>
      <c r="C8" s="9"/>
      <c r="D8" s="9"/>
      <c r="E8" s="9"/>
    </row>
    <row r="9" spans="1:5">
      <c r="A9" s="9"/>
      <c r="B9" s="9"/>
      <c r="C9" s="9"/>
      <c r="D9" s="9"/>
      <c r="E9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B5" sqref="B5"/>
    </sheetView>
  </sheetViews>
  <sheetFormatPr baseColWidth="10" defaultColWidth="9" defaultRowHeight="14" x14ac:dyDescent="0"/>
  <cols>
    <col min="1" max="1" width="13.5" customWidth="1"/>
    <col min="2" max="2" width="24.5" customWidth="1"/>
    <col min="3" max="3" width="8.6640625" customWidth="1"/>
  </cols>
  <sheetData>
    <row r="1" spans="1:5" ht="15">
      <c r="A1" s="18" t="s">
        <v>308</v>
      </c>
      <c r="B1" s="18"/>
      <c r="C1" s="18"/>
      <c r="D1" s="18"/>
      <c r="E1" s="18"/>
    </row>
    <row r="2" spans="1:5" ht="15">
      <c r="A2" s="19"/>
      <c r="B2" s="19"/>
      <c r="C2" s="19"/>
      <c r="D2" s="19"/>
      <c r="E2" s="19"/>
    </row>
    <row r="3" spans="1:5" ht="15">
      <c r="A3" s="20" t="s">
        <v>1</v>
      </c>
      <c r="B3" s="20" t="s">
        <v>6</v>
      </c>
      <c r="C3" s="20" t="s">
        <v>3</v>
      </c>
      <c r="D3" s="20" t="s">
        <v>4</v>
      </c>
      <c r="E3" s="20" t="s">
        <v>5</v>
      </c>
    </row>
    <row r="4" spans="1:5">
      <c r="A4" s="5"/>
      <c r="B4" s="27" t="s">
        <v>418</v>
      </c>
      <c r="C4" s="9"/>
      <c r="D4" s="9"/>
      <c r="E4" s="9">
        <v>3</v>
      </c>
    </row>
    <row r="5" spans="1:5" ht="15">
      <c r="A5" s="55"/>
      <c r="B5" s="33"/>
      <c r="C5" s="9"/>
      <c r="D5" s="26"/>
      <c r="E5" s="9"/>
    </row>
    <row r="6" spans="1:5" ht="15">
      <c r="A6" s="21"/>
      <c r="B6" s="33"/>
      <c r="C6" s="9"/>
      <c r="D6" s="26"/>
      <c r="E6" s="9"/>
    </row>
    <row r="7" spans="1:5">
      <c r="A7" s="34"/>
      <c r="B7" s="9"/>
      <c r="C7" s="9"/>
      <c r="D7" s="9"/>
      <c r="E7" s="9"/>
    </row>
    <row r="8" spans="1:5">
      <c r="A8" s="9"/>
      <c r="B8" s="9"/>
      <c r="C8" s="9"/>
      <c r="D8" s="9"/>
      <c r="E8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L31" sqref="L31"/>
    </sheetView>
  </sheetViews>
  <sheetFormatPr baseColWidth="10" defaultColWidth="9" defaultRowHeight="14" x14ac:dyDescent="0"/>
  <cols>
    <col min="1" max="1" width="13.5" customWidth="1"/>
    <col min="2" max="2" width="24.5" customWidth="1"/>
    <col min="3" max="3" width="8.6640625" customWidth="1"/>
  </cols>
  <sheetData>
    <row r="1" spans="1:5" ht="15">
      <c r="A1" s="18" t="s">
        <v>309</v>
      </c>
      <c r="B1" s="18"/>
      <c r="C1" s="18"/>
      <c r="D1" s="18"/>
      <c r="E1" s="18"/>
    </row>
    <row r="2" spans="1:5" ht="15">
      <c r="A2" s="19"/>
      <c r="B2" s="19"/>
      <c r="C2" s="19"/>
      <c r="D2" s="19"/>
      <c r="E2" s="19"/>
    </row>
    <row r="3" spans="1:5" ht="15">
      <c r="A3" s="20" t="s">
        <v>1</v>
      </c>
      <c r="B3" s="20" t="s">
        <v>6</v>
      </c>
      <c r="C3" s="20" t="s">
        <v>3</v>
      </c>
      <c r="D3" s="20" t="s">
        <v>4</v>
      </c>
      <c r="E3" s="20" t="s">
        <v>5</v>
      </c>
    </row>
    <row r="4" spans="1:5">
      <c r="A4" s="5"/>
      <c r="B4" s="27" t="s">
        <v>418</v>
      </c>
      <c r="C4" s="9">
        <v>3</v>
      </c>
      <c r="D4" s="9"/>
      <c r="E4" s="9">
        <v>3</v>
      </c>
    </row>
    <row r="5" spans="1:5">
      <c r="A5" s="9"/>
      <c r="B5" s="9"/>
      <c r="C5" s="9"/>
      <c r="D5" s="9"/>
      <c r="E5" s="9"/>
    </row>
    <row r="6" spans="1:5" ht="15">
      <c r="A6" s="55"/>
      <c r="B6" s="33"/>
      <c r="C6" s="9"/>
      <c r="D6" s="26"/>
      <c r="E6" s="9"/>
    </row>
    <row r="7" spans="1:5" ht="15">
      <c r="A7" s="21"/>
      <c r="B7" s="33"/>
      <c r="C7" s="9"/>
      <c r="D7" s="26"/>
      <c r="E7" s="9"/>
    </row>
    <row r="8" spans="1:5">
      <c r="A8" s="34"/>
      <c r="B8" s="9"/>
      <c r="C8" s="9"/>
      <c r="D8" s="9"/>
      <c r="E8" s="9"/>
    </row>
    <row r="9" spans="1:5">
      <c r="A9" s="9"/>
      <c r="B9" s="9"/>
      <c r="C9" s="9"/>
      <c r="D9" s="9"/>
      <c r="E9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F6" sqref="F6"/>
    </sheetView>
  </sheetViews>
  <sheetFormatPr baseColWidth="10" defaultColWidth="9" defaultRowHeight="14" x14ac:dyDescent="0"/>
  <cols>
    <col min="1" max="1" width="13.5" customWidth="1"/>
    <col min="2" max="2" width="29.6640625" customWidth="1"/>
    <col min="3" max="3" width="8.6640625" customWidth="1"/>
  </cols>
  <sheetData>
    <row r="1" spans="1:6" ht="15">
      <c r="A1" s="18" t="s">
        <v>310</v>
      </c>
      <c r="B1" s="18"/>
      <c r="C1" s="18"/>
      <c r="D1" s="18"/>
      <c r="E1" s="18"/>
    </row>
    <row r="2" spans="1:6" ht="15">
      <c r="A2" s="19"/>
      <c r="B2" s="19"/>
      <c r="C2" s="19"/>
      <c r="D2" s="19"/>
      <c r="E2" s="19"/>
    </row>
    <row r="3" spans="1:6" ht="15">
      <c r="A3" s="20" t="s">
        <v>1</v>
      </c>
      <c r="B3" s="20" t="s">
        <v>6</v>
      </c>
      <c r="C3" s="20" t="s">
        <v>3</v>
      </c>
      <c r="D3" s="20" t="s">
        <v>4</v>
      </c>
      <c r="E3" s="20" t="s">
        <v>5</v>
      </c>
    </row>
    <row r="4" spans="1:6">
      <c r="A4" s="9"/>
      <c r="B4" s="310" t="s">
        <v>418</v>
      </c>
      <c r="C4" s="9"/>
      <c r="D4" s="9"/>
      <c r="E4" s="9">
        <v>45</v>
      </c>
    </row>
    <row r="5" spans="1:6">
      <c r="A5" s="21">
        <v>43315</v>
      </c>
      <c r="B5" s="429" t="s">
        <v>406</v>
      </c>
      <c r="C5" s="9">
        <v>4</v>
      </c>
      <c r="D5" s="9"/>
      <c r="E5" s="9">
        <f>E4+C5+D5</f>
        <v>49</v>
      </c>
      <c r="F5" s="501" t="s">
        <v>46</v>
      </c>
    </row>
    <row r="6" spans="1:6">
      <c r="A6" s="9"/>
      <c r="B6" s="9"/>
      <c r="C6" s="9"/>
      <c r="D6" s="9"/>
      <c r="E6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A12" sqref="A4:XFD12"/>
    </sheetView>
  </sheetViews>
  <sheetFormatPr baseColWidth="10" defaultColWidth="9" defaultRowHeight="14" x14ac:dyDescent="0"/>
  <cols>
    <col min="1" max="1" width="13.5" customWidth="1"/>
    <col min="2" max="2" width="28.1640625" customWidth="1"/>
    <col min="3" max="3" width="8.6640625" customWidth="1"/>
  </cols>
  <sheetData>
    <row r="1" spans="1:5" ht="15">
      <c r="A1" s="18" t="s">
        <v>311</v>
      </c>
      <c r="B1" s="18"/>
      <c r="C1" s="18"/>
      <c r="D1" s="18"/>
      <c r="E1" s="18"/>
    </row>
    <row r="2" spans="1:5" ht="15">
      <c r="A2" s="19"/>
      <c r="B2" s="19"/>
      <c r="C2" s="19"/>
      <c r="D2" s="19"/>
      <c r="E2" s="19"/>
    </row>
    <row r="3" spans="1:5" ht="15">
      <c r="A3" s="20" t="s">
        <v>1</v>
      </c>
      <c r="B3" s="20" t="s">
        <v>6</v>
      </c>
      <c r="C3" s="20" t="s">
        <v>3</v>
      </c>
      <c r="D3" s="20" t="s">
        <v>4</v>
      </c>
      <c r="E3" s="20" t="s">
        <v>5</v>
      </c>
    </row>
    <row r="4" spans="1:5">
      <c r="A4" s="9"/>
      <c r="B4" s="310" t="s">
        <v>418</v>
      </c>
      <c r="C4" s="9"/>
      <c r="D4" s="9"/>
      <c r="E4" s="9">
        <v>43</v>
      </c>
    </row>
    <row r="5" spans="1:5">
      <c r="A5" s="9"/>
      <c r="B5" s="9"/>
      <c r="C5" s="9"/>
      <c r="D5" s="9"/>
      <c r="E5" s="9"/>
    </row>
    <row r="6" spans="1:5">
      <c r="A6" s="9"/>
      <c r="B6" s="9"/>
      <c r="C6" s="9"/>
      <c r="D6" s="9"/>
      <c r="E6" s="9"/>
    </row>
    <row r="7" spans="1:5">
      <c r="A7" s="9"/>
      <c r="B7" s="9"/>
      <c r="C7" s="9"/>
      <c r="D7" s="9"/>
      <c r="E7" s="9"/>
    </row>
    <row r="8" spans="1:5">
      <c r="A8" s="9"/>
      <c r="B8" s="9"/>
      <c r="C8" s="9"/>
      <c r="D8" s="9"/>
      <c r="E8" s="9"/>
    </row>
    <row r="9" spans="1:5">
      <c r="A9" s="9"/>
      <c r="B9" s="9"/>
      <c r="C9" s="9"/>
      <c r="D9" s="9"/>
      <c r="E9" s="9"/>
    </row>
    <row r="10" spans="1:5">
      <c r="A10" s="9"/>
      <c r="B10" s="9"/>
      <c r="C10" s="9"/>
      <c r="D10" s="9"/>
      <c r="E10" s="9"/>
    </row>
    <row r="11" spans="1:5">
      <c r="A11" s="9"/>
      <c r="B11" s="9"/>
      <c r="C11" s="9"/>
      <c r="D11" s="9"/>
      <c r="E11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I18" sqref="I18"/>
    </sheetView>
  </sheetViews>
  <sheetFormatPr baseColWidth="10" defaultColWidth="9" defaultRowHeight="14" x14ac:dyDescent="0"/>
  <cols>
    <col min="1" max="1" width="13.5" customWidth="1"/>
    <col min="2" max="2" width="24.5" customWidth="1"/>
    <col min="3" max="3" width="8.6640625" customWidth="1"/>
  </cols>
  <sheetData>
    <row r="1" spans="1:5" ht="15">
      <c r="A1" s="18" t="s">
        <v>312</v>
      </c>
      <c r="B1" s="18"/>
      <c r="C1" s="18"/>
      <c r="D1" s="18"/>
      <c r="E1" s="18"/>
    </row>
    <row r="2" spans="1:5" ht="15">
      <c r="A2" s="19"/>
      <c r="B2" s="19"/>
      <c r="C2" s="19"/>
      <c r="D2" s="19"/>
      <c r="E2" s="19"/>
    </row>
    <row r="3" spans="1:5" ht="15">
      <c r="A3" s="20" t="s">
        <v>1</v>
      </c>
      <c r="B3" s="20" t="s">
        <v>6</v>
      </c>
      <c r="C3" s="20" t="s">
        <v>3</v>
      </c>
      <c r="D3" s="20" t="s">
        <v>4</v>
      </c>
      <c r="E3" s="20" t="s">
        <v>5</v>
      </c>
    </row>
    <row r="4" spans="1:5">
      <c r="A4" s="9"/>
      <c r="B4" s="310" t="s">
        <v>418</v>
      </c>
      <c r="C4" s="9"/>
      <c r="D4" s="9"/>
      <c r="E4" s="9">
        <v>41</v>
      </c>
    </row>
    <row r="5" spans="1:5">
      <c r="A5" s="9"/>
      <c r="B5" s="9"/>
      <c r="C5" s="9"/>
      <c r="D5" s="9"/>
      <c r="E5" s="9"/>
    </row>
    <row r="6" spans="1:5">
      <c r="A6" s="9"/>
      <c r="B6" s="9"/>
      <c r="C6" s="9"/>
      <c r="D6" s="9"/>
      <c r="E6" s="9"/>
    </row>
    <row r="7" spans="1:5">
      <c r="A7" s="9"/>
      <c r="B7" s="9"/>
      <c r="C7" s="9"/>
      <c r="D7" s="9"/>
      <c r="E7" s="9"/>
    </row>
    <row r="8" spans="1:5">
      <c r="A8" s="9"/>
      <c r="B8" s="9"/>
      <c r="C8" s="9"/>
      <c r="D8" s="9"/>
      <c r="E8" s="9"/>
    </row>
    <row r="9" spans="1:5">
      <c r="A9" s="9"/>
      <c r="B9" s="9"/>
      <c r="C9" s="9"/>
      <c r="D9" s="9"/>
      <c r="E9" s="9"/>
    </row>
    <row r="10" spans="1:5">
      <c r="A10" s="9"/>
      <c r="B10" s="9"/>
      <c r="C10" s="9"/>
      <c r="D10" s="9"/>
      <c r="E10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L20" sqref="L20"/>
    </sheetView>
  </sheetViews>
  <sheetFormatPr baseColWidth="10" defaultColWidth="9" defaultRowHeight="14" x14ac:dyDescent="0"/>
  <cols>
    <col min="1" max="1" width="13.5" customWidth="1"/>
    <col min="2" max="2" width="24.5" customWidth="1"/>
    <col min="3" max="3" width="8.6640625" customWidth="1"/>
  </cols>
  <sheetData>
    <row r="1" spans="1:5" ht="15">
      <c r="A1" s="18" t="s">
        <v>313</v>
      </c>
      <c r="B1" s="18"/>
      <c r="C1" s="18"/>
      <c r="D1" s="18"/>
      <c r="E1" s="18"/>
    </row>
    <row r="2" spans="1:5" ht="15">
      <c r="A2" s="19"/>
      <c r="B2" s="19"/>
      <c r="C2" s="19"/>
      <c r="D2" s="19"/>
      <c r="E2" s="19"/>
    </row>
    <row r="3" spans="1:5" ht="15">
      <c r="A3" s="20" t="s">
        <v>1</v>
      </c>
      <c r="B3" s="20" t="s">
        <v>6</v>
      </c>
      <c r="C3" s="20" t="s">
        <v>3</v>
      </c>
      <c r="D3" s="20" t="s">
        <v>4</v>
      </c>
      <c r="E3" s="20" t="s">
        <v>5</v>
      </c>
    </row>
    <row r="4" spans="1:5">
      <c r="A4" s="9"/>
      <c r="B4" s="310" t="s">
        <v>418</v>
      </c>
      <c r="C4" s="9"/>
      <c r="D4" s="9"/>
      <c r="E4" s="9">
        <v>14</v>
      </c>
    </row>
    <row r="5" spans="1:5">
      <c r="A5" s="9"/>
      <c r="B5" s="9"/>
      <c r="C5" s="9"/>
      <c r="D5" s="9"/>
      <c r="E5" s="9"/>
    </row>
    <row r="6" spans="1:5">
      <c r="A6" s="9"/>
      <c r="B6" s="9"/>
      <c r="C6" s="9"/>
      <c r="D6" s="9"/>
      <c r="E6" s="9"/>
    </row>
    <row r="7" spans="1:5">
      <c r="A7" s="9"/>
      <c r="B7" s="9"/>
      <c r="C7" s="9"/>
      <c r="D7" s="9"/>
      <c r="E7" s="9"/>
    </row>
    <row r="8" spans="1:5">
      <c r="A8" s="9"/>
      <c r="B8" s="9"/>
      <c r="C8" s="9"/>
      <c r="D8" s="9"/>
      <c r="E8" s="9"/>
    </row>
    <row r="9" spans="1:5">
      <c r="A9" s="9"/>
      <c r="B9" s="9"/>
      <c r="C9" s="9"/>
      <c r="D9" s="9"/>
      <c r="E9" s="9"/>
    </row>
    <row r="10" spans="1:5">
      <c r="A10" s="9"/>
      <c r="B10" s="9"/>
      <c r="C10" s="9"/>
      <c r="D10" s="9"/>
      <c r="E10" s="9"/>
    </row>
    <row r="11" spans="1:5">
      <c r="A11" s="9"/>
      <c r="B11" s="9"/>
      <c r="C11" s="9"/>
      <c r="D11" s="9"/>
      <c r="E11" s="9"/>
    </row>
    <row r="12" spans="1:5">
      <c r="A12" s="9"/>
      <c r="B12" s="9"/>
      <c r="C12" s="9"/>
      <c r="D12" s="9"/>
      <c r="E12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activeCell="K24" sqref="K24"/>
    </sheetView>
  </sheetViews>
  <sheetFormatPr baseColWidth="10" defaultColWidth="9" defaultRowHeight="14" x14ac:dyDescent="0"/>
  <cols>
    <col min="1" max="1" width="13.5" customWidth="1"/>
    <col min="2" max="2" width="24.5" customWidth="1"/>
    <col min="3" max="3" width="8.6640625" customWidth="1"/>
  </cols>
  <sheetData>
    <row r="1" spans="1:5" ht="15">
      <c r="A1" s="18" t="s">
        <v>314</v>
      </c>
      <c r="B1" s="18"/>
      <c r="C1" s="18"/>
      <c r="D1" s="18"/>
      <c r="E1" s="18"/>
    </row>
    <row r="2" spans="1:5" ht="15">
      <c r="A2" s="19"/>
      <c r="B2" s="19"/>
      <c r="C2" s="19"/>
      <c r="D2" s="19"/>
      <c r="E2" s="19"/>
    </row>
    <row r="3" spans="1:5" ht="15">
      <c r="A3" s="20" t="s">
        <v>1</v>
      </c>
      <c r="B3" s="20" t="s">
        <v>6</v>
      </c>
      <c r="C3" s="20" t="s">
        <v>3</v>
      </c>
      <c r="D3" s="20" t="s">
        <v>4</v>
      </c>
      <c r="E3" s="20" t="s">
        <v>5</v>
      </c>
    </row>
    <row r="4" spans="1:5">
      <c r="A4" s="9"/>
      <c r="B4" s="310" t="s">
        <v>418</v>
      </c>
      <c r="C4" s="9"/>
      <c r="D4" s="9"/>
      <c r="E4" s="9">
        <v>18</v>
      </c>
    </row>
    <row r="5" spans="1:5">
      <c r="A5" s="9"/>
      <c r="B5" s="9"/>
      <c r="C5" s="9"/>
      <c r="D5" s="9"/>
      <c r="E5" s="9"/>
    </row>
    <row r="6" spans="1:5">
      <c r="A6" s="9"/>
      <c r="B6" s="9"/>
      <c r="C6" s="9"/>
      <c r="D6" s="9"/>
      <c r="E6" s="9"/>
    </row>
    <row r="7" spans="1:5">
      <c r="A7" s="9"/>
      <c r="B7" s="9"/>
      <c r="C7" s="9"/>
      <c r="D7" s="9"/>
      <c r="E7" s="9"/>
    </row>
    <row r="8" spans="1:5">
      <c r="A8" s="9"/>
      <c r="B8" s="9"/>
      <c r="C8" s="9"/>
      <c r="D8" s="9"/>
      <c r="E8" s="9"/>
    </row>
    <row r="9" spans="1:5">
      <c r="A9" s="9"/>
      <c r="B9" s="9"/>
      <c r="C9" s="9"/>
      <c r="D9" s="9"/>
      <c r="E9" s="9"/>
    </row>
    <row r="10" spans="1:5">
      <c r="A10" s="9"/>
      <c r="B10" s="9"/>
      <c r="C10" s="9"/>
      <c r="D10" s="9"/>
      <c r="E10" s="9"/>
    </row>
    <row r="11" spans="1:5">
      <c r="A11" s="9"/>
      <c r="B11" s="9"/>
      <c r="C11" s="9"/>
      <c r="D11" s="9"/>
      <c r="E11" s="9"/>
    </row>
    <row r="12" spans="1:5">
      <c r="A12" s="9"/>
      <c r="B12" s="9"/>
      <c r="C12" s="9"/>
      <c r="D12" s="9"/>
      <c r="E12" s="9"/>
    </row>
    <row r="13" spans="1:5">
      <c r="A13" s="9"/>
      <c r="B13" s="9"/>
      <c r="C13" s="9"/>
      <c r="D13" s="9"/>
      <c r="E13" s="9"/>
    </row>
    <row r="14" spans="1:5">
      <c r="A14" s="9"/>
      <c r="B14" s="9"/>
      <c r="C14" s="9"/>
      <c r="D14" s="9"/>
      <c r="E14" s="9"/>
    </row>
    <row r="15" spans="1:5">
      <c r="A15" s="9"/>
      <c r="B15" s="9"/>
      <c r="C15" s="9"/>
      <c r="D15" s="9"/>
      <c r="E15" s="9"/>
    </row>
    <row r="16" spans="1:5">
      <c r="A16" s="9"/>
      <c r="B16" s="9"/>
      <c r="C16" s="9"/>
      <c r="D16" s="9"/>
      <c r="E16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G19" sqref="G19"/>
    </sheetView>
  </sheetViews>
  <sheetFormatPr baseColWidth="10" defaultColWidth="9" defaultRowHeight="14" x14ac:dyDescent="0"/>
  <cols>
    <col min="1" max="1" width="13.5" customWidth="1"/>
    <col min="2" max="2" width="24.5" customWidth="1"/>
    <col min="3" max="3" width="8.6640625" customWidth="1"/>
  </cols>
  <sheetData>
    <row r="1" spans="1:5" ht="15">
      <c r="A1" s="18" t="s">
        <v>315</v>
      </c>
      <c r="B1" s="18"/>
      <c r="C1" s="18"/>
      <c r="D1" s="18"/>
      <c r="E1" s="18"/>
    </row>
    <row r="2" spans="1:5" ht="15">
      <c r="A2" s="19"/>
      <c r="B2" s="19"/>
      <c r="C2" s="19"/>
      <c r="D2" s="19"/>
      <c r="E2" s="19"/>
    </row>
    <row r="3" spans="1:5" ht="15">
      <c r="A3" s="20" t="s">
        <v>1</v>
      </c>
      <c r="B3" s="20" t="s">
        <v>6</v>
      </c>
      <c r="C3" s="20" t="s">
        <v>3</v>
      </c>
      <c r="D3" s="20" t="s">
        <v>4</v>
      </c>
      <c r="E3" s="20" t="s">
        <v>5</v>
      </c>
    </row>
    <row r="4" spans="1:5">
      <c r="A4" s="9"/>
      <c r="B4" s="310" t="s">
        <v>418</v>
      </c>
      <c r="C4" s="9"/>
      <c r="D4" s="9"/>
      <c r="E4" s="9">
        <v>54</v>
      </c>
    </row>
    <row r="5" spans="1:5">
      <c r="A5" s="9"/>
      <c r="B5" s="9"/>
      <c r="C5" s="9"/>
      <c r="D5" s="9"/>
      <c r="E5" s="9"/>
    </row>
    <row r="6" spans="1:5">
      <c r="A6" s="9"/>
      <c r="B6" s="9"/>
      <c r="C6" s="9"/>
      <c r="D6" s="9"/>
      <c r="E6" s="9"/>
    </row>
    <row r="7" spans="1:5">
      <c r="A7" s="9"/>
      <c r="B7" s="9"/>
      <c r="C7" s="9"/>
      <c r="D7" s="9"/>
      <c r="E7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B5" sqref="B5"/>
    </sheetView>
  </sheetViews>
  <sheetFormatPr baseColWidth="10" defaultColWidth="9" defaultRowHeight="14" x14ac:dyDescent="0"/>
  <cols>
    <col min="1" max="1" width="13.5" customWidth="1"/>
    <col min="2" max="2" width="24.5" customWidth="1"/>
    <col min="3" max="3" width="8.6640625" customWidth="1"/>
  </cols>
  <sheetData>
    <row r="1" spans="1:5" ht="15">
      <c r="A1" s="18" t="s">
        <v>316</v>
      </c>
      <c r="B1" s="18"/>
      <c r="C1" s="18"/>
      <c r="D1" s="18"/>
      <c r="E1" s="18"/>
    </row>
    <row r="2" spans="1:5" ht="15">
      <c r="A2" s="19"/>
      <c r="B2" s="19"/>
      <c r="C2" s="19"/>
      <c r="D2" s="19"/>
      <c r="E2" s="19"/>
    </row>
    <row r="3" spans="1:5" ht="15">
      <c r="A3" s="20" t="s">
        <v>1</v>
      </c>
      <c r="B3" s="20" t="s">
        <v>6</v>
      </c>
      <c r="C3" s="20" t="s">
        <v>3</v>
      </c>
      <c r="D3" s="20" t="s">
        <v>4</v>
      </c>
      <c r="E3" s="20" t="s">
        <v>5</v>
      </c>
    </row>
    <row r="4" spans="1:5">
      <c r="A4" s="6"/>
      <c r="B4" s="27" t="s">
        <v>418</v>
      </c>
      <c r="C4" s="9"/>
      <c r="D4" s="9"/>
      <c r="E4" s="9">
        <v>2</v>
      </c>
    </row>
    <row r="5" spans="1:5" ht="15">
      <c r="A5" s="55"/>
      <c r="B5" s="33"/>
      <c r="C5" s="9"/>
      <c r="D5" s="26"/>
      <c r="E5" s="9"/>
    </row>
    <row r="6" spans="1:5" ht="15">
      <c r="A6" s="21"/>
      <c r="B6" s="33"/>
      <c r="C6" s="9"/>
      <c r="D6" s="26"/>
      <c r="E6" s="9"/>
    </row>
    <row r="7" spans="1:5">
      <c r="A7" s="9"/>
      <c r="B7" s="9"/>
      <c r="C7" s="9"/>
      <c r="D7" s="9"/>
      <c r="E7" s="9"/>
    </row>
    <row r="8" spans="1:5">
      <c r="A8" s="9"/>
      <c r="B8" s="9"/>
      <c r="C8" s="9"/>
      <c r="D8" s="9"/>
      <c r="E8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J25" sqref="J25"/>
    </sheetView>
  </sheetViews>
  <sheetFormatPr baseColWidth="10" defaultColWidth="9" defaultRowHeight="14" x14ac:dyDescent="0"/>
  <cols>
    <col min="1" max="1" width="13.5" customWidth="1"/>
    <col min="2" max="2" width="24.5" customWidth="1"/>
    <col min="3" max="3" width="8.6640625" customWidth="1"/>
  </cols>
  <sheetData>
    <row r="1" spans="1:5" ht="15">
      <c r="A1" s="18" t="s">
        <v>317</v>
      </c>
      <c r="B1" s="18"/>
      <c r="C1" s="18"/>
      <c r="D1" s="18"/>
      <c r="E1" s="18"/>
    </row>
    <row r="2" spans="1:5" ht="15">
      <c r="A2" s="19"/>
      <c r="B2" s="19"/>
      <c r="C2" s="19"/>
      <c r="D2" s="19"/>
      <c r="E2" s="19"/>
    </row>
    <row r="3" spans="1:5" ht="15">
      <c r="A3" s="20" t="s">
        <v>1</v>
      </c>
      <c r="B3" s="20" t="s">
        <v>6</v>
      </c>
      <c r="C3" s="20" t="s">
        <v>3</v>
      </c>
      <c r="D3" s="20" t="s">
        <v>4</v>
      </c>
      <c r="E3" s="20" t="s">
        <v>5</v>
      </c>
    </row>
    <row r="4" spans="1:5">
      <c r="A4" s="21"/>
      <c r="B4" s="310" t="s">
        <v>418</v>
      </c>
      <c r="C4" s="9"/>
      <c r="D4" s="26"/>
      <c r="E4" s="9">
        <v>6</v>
      </c>
    </row>
    <row r="5" spans="1:5">
      <c r="A5" s="9"/>
      <c r="B5" s="9"/>
      <c r="C5" s="9"/>
      <c r="D5" s="9"/>
      <c r="E5" s="9"/>
    </row>
    <row r="6" spans="1:5">
      <c r="A6" s="9"/>
      <c r="B6" s="9"/>
      <c r="C6" s="9"/>
      <c r="D6" s="9"/>
      <c r="E6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K24" sqref="K24"/>
    </sheetView>
  </sheetViews>
  <sheetFormatPr baseColWidth="10" defaultColWidth="9" defaultRowHeight="14" x14ac:dyDescent="0"/>
  <cols>
    <col min="1" max="1" width="10.5" customWidth="1"/>
    <col min="2" max="2" width="19.5" customWidth="1"/>
  </cols>
  <sheetData>
    <row r="1" spans="1:5" ht="15">
      <c r="A1" s="18" t="s">
        <v>318</v>
      </c>
      <c r="B1" s="18"/>
      <c r="C1" s="18"/>
      <c r="D1" s="18"/>
      <c r="E1" s="18"/>
    </row>
    <row r="2" spans="1:5" ht="15">
      <c r="A2" s="19"/>
      <c r="B2" s="19"/>
      <c r="C2" s="19"/>
      <c r="D2" s="19"/>
      <c r="E2" s="19"/>
    </row>
    <row r="3" spans="1:5" ht="15">
      <c r="A3" s="20" t="s">
        <v>1</v>
      </c>
      <c r="B3" s="20" t="s">
        <v>6</v>
      </c>
      <c r="C3" s="20" t="s">
        <v>3</v>
      </c>
      <c r="D3" s="20" t="s">
        <v>4</v>
      </c>
      <c r="E3" s="20" t="s">
        <v>5</v>
      </c>
    </row>
    <row r="4" spans="1:5">
      <c r="A4" s="5" t="s">
        <v>190</v>
      </c>
      <c r="B4" s="27" t="s">
        <v>7</v>
      </c>
      <c r="C4" s="9"/>
      <c r="D4" s="9">
        <v>1</v>
      </c>
      <c r="E4" s="9"/>
    </row>
    <row r="5" spans="1:5">
      <c r="A5" s="9"/>
      <c r="B5" s="27"/>
      <c r="C5" s="9"/>
      <c r="D5" s="9"/>
      <c r="E5" s="9"/>
    </row>
    <row r="6" spans="1:5">
      <c r="A6" s="46"/>
      <c r="B6" s="26"/>
      <c r="C6" s="9"/>
      <c r="D6" s="26"/>
      <c r="E6" s="9"/>
    </row>
    <row r="7" spans="1:5">
      <c r="A7" s="21"/>
      <c r="B7" s="9"/>
      <c r="C7" s="9"/>
      <c r="D7" s="26"/>
      <c r="E7" s="9"/>
    </row>
    <row r="8" spans="1:5">
      <c r="A8" s="9"/>
      <c r="B8" s="9"/>
      <c r="C8" s="9"/>
      <c r="D8" s="9"/>
      <c r="E8" s="9"/>
    </row>
    <row r="9" spans="1:5">
      <c r="A9" s="9"/>
      <c r="B9" s="9"/>
      <c r="C9" s="9"/>
      <c r="D9" s="9"/>
      <c r="E9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C4" sqref="C4"/>
    </sheetView>
  </sheetViews>
  <sheetFormatPr baseColWidth="10" defaultColWidth="9" defaultRowHeight="14" x14ac:dyDescent="0"/>
  <cols>
    <col min="1" max="1" width="10.5" customWidth="1"/>
    <col min="2" max="2" width="19.5" customWidth="1"/>
  </cols>
  <sheetData>
    <row r="1" spans="1:5" ht="15">
      <c r="A1" s="18" t="s">
        <v>319</v>
      </c>
      <c r="B1" s="18"/>
      <c r="C1" s="18"/>
      <c r="D1" s="18"/>
      <c r="E1" s="18"/>
    </row>
    <row r="2" spans="1:5" ht="15">
      <c r="A2" s="19"/>
      <c r="B2" s="19"/>
      <c r="C2" s="19"/>
      <c r="D2" s="19"/>
      <c r="E2" s="19"/>
    </row>
    <row r="3" spans="1:5" ht="15">
      <c r="A3" s="20" t="s">
        <v>1</v>
      </c>
      <c r="B3" s="20" t="s">
        <v>6</v>
      </c>
      <c r="C3" s="20" t="s">
        <v>3</v>
      </c>
      <c r="D3" s="20" t="s">
        <v>4</v>
      </c>
      <c r="E3" s="20" t="s">
        <v>5</v>
      </c>
    </row>
    <row r="4" spans="1:5">
      <c r="A4" s="5"/>
      <c r="B4" s="27" t="s">
        <v>418</v>
      </c>
      <c r="C4" s="6"/>
      <c r="D4" s="9"/>
      <c r="E4" s="9">
        <v>8</v>
      </c>
    </row>
    <row r="5" spans="1:5">
      <c r="A5" s="9"/>
      <c r="B5" s="27"/>
      <c r="C5" s="9"/>
      <c r="D5" s="9"/>
      <c r="E5" s="9"/>
    </row>
    <row r="6" spans="1:5">
      <c r="A6" s="46"/>
      <c r="B6" s="26"/>
      <c r="C6" s="9"/>
      <c r="D6" s="26"/>
      <c r="E6" s="9"/>
    </row>
    <row r="7" spans="1:5">
      <c r="A7" s="21"/>
      <c r="B7" s="9"/>
      <c r="C7" s="9"/>
      <c r="D7" s="26"/>
      <c r="E7" s="9"/>
    </row>
    <row r="8" spans="1:5">
      <c r="A8" s="9"/>
      <c r="B8" s="9"/>
      <c r="C8" s="9"/>
      <c r="D8" s="9"/>
      <c r="E8" s="9"/>
    </row>
    <row r="9" spans="1:5">
      <c r="A9" s="9"/>
      <c r="B9" s="9"/>
      <c r="C9" s="9"/>
      <c r="D9" s="9"/>
      <c r="E9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B5" sqref="B5"/>
    </sheetView>
  </sheetViews>
  <sheetFormatPr baseColWidth="10" defaultColWidth="9" defaultRowHeight="14" x14ac:dyDescent="0"/>
  <cols>
    <col min="1" max="1" width="10.5" customWidth="1"/>
    <col min="2" max="2" width="19.5" customWidth="1"/>
  </cols>
  <sheetData>
    <row r="1" spans="1:5" ht="15">
      <c r="A1" s="18" t="s">
        <v>319</v>
      </c>
      <c r="B1" s="18"/>
      <c r="C1" s="18"/>
      <c r="D1" s="18"/>
      <c r="E1" s="18"/>
    </row>
    <row r="2" spans="1:5" ht="15">
      <c r="A2" s="19"/>
      <c r="B2" s="19"/>
      <c r="C2" s="19"/>
      <c r="D2" s="19"/>
      <c r="E2" s="19"/>
    </row>
    <row r="3" spans="1:5" ht="15">
      <c r="A3" s="20" t="s">
        <v>1</v>
      </c>
      <c r="B3" s="20" t="s">
        <v>6</v>
      </c>
      <c r="C3" s="20" t="s">
        <v>3</v>
      </c>
      <c r="D3" s="20" t="s">
        <v>4</v>
      </c>
      <c r="E3" s="20" t="s">
        <v>5</v>
      </c>
    </row>
    <row r="4" spans="1:5">
      <c r="A4" s="5"/>
      <c r="B4" s="27" t="s">
        <v>418</v>
      </c>
      <c r="C4" s="6"/>
      <c r="D4" s="9"/>
      <c r="E4" s="9">
        <v>8</v>
      </c>
    </row>
    <row r="5" spans="1:5">
      <c r="A5" s="9"/>
      <c r="B5" s="27"/>
      <c r="C5" s="9"/>
      <c r="D5" s="9"/>
      <c r="E5" s="9"/>
    </row>
    <row r="6" spans="1:5">
      <c r="A6" s="46"/>
      <c r="B6" s="26"/>
      <c r="C6" s="9"/>
      <c r="D6" s="26"/>
      <c r="E6" s="9"/>
    </row>
    <row r="7" spans="1:5">
      <c r="A7" s="21"/>
      <c r="B7" s="9"/>
      <c r="C7" s="9"/>
      <c r="D7" s="26"/>
      <c r="E7" s="9"/>
    </row>
    <row r="8" spans="1:5">
      <c r="A8" s="9"/>
      <c r="B8" s="9"/>
      <c r="C8" s="9"/>
      <c r="D8" s="9"/>
      <c r="E8" s="9"/>
    </row>
    <row r="9" spans="1:5">
      <c r="A9" s="9"/>
      <c r="B9" s="9"/>
      <c r="C9" s="9"/>
      <c r="D9" s="9"/>
      <c r="E9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G16" sqref="G16"/>
    </sheetView>
  </sheetViews>
  <sheetFormatPr baseColWidth="10" defaultColWidth="9" defaultRowHeight="14" x14ac:dyDescent="0"/>
  <cols>
    <col min="1" max="1" width="13.5" customWidth="1"/>
    <col min="2" max="2" width="24.5" customWidth="1"/>
    <col min="3" max="3" width="8.6640625" customWidth="1"/>
  </cols>
  <sheetData>
    <row r="1" spans="1:5" s="116" customFormat="1" ht="15">
      <c r="A1" s="59" t="s">
        <v>291</v>
      </c>
      <c r="B1" s="59"/>
      <c r="C1" s="59"/>
      <c r="D1" s="59"/>
      <c r="E1" s="59"/>
    </row>
    <row r="2" spans="1:5" s="116" customFormat="1" ht="15">
      <c r="A2" s="59"/>
      <c r="B2" s="59"/>
      <c r="C2" s="59"/>
      <c r="D2" s="59"/>
      <c r="E2" s="59"/>
    </row>
    <row r="3" spans="1:5" s="116" customFormat="1" ht="15">
      <c r="A3" s="59" t="s">
        <v>293</v>
      </c>
      <c r="B3" s="59"/>
      <c r="C3" s="59"/>
      <c r="D3" s="59"/>
      <c r="E3" s="59"/>
    </row>
    <row r="4" spans="1:5" s="116" customFormat="1" ht="15">
      <c r="A4" s="59" t="s">
        <v>320</v>
      </c>
      <c r="B4" s="59"/>
      <c r="C4" s="59"/>
      <c r="D4" s="59"/>
      <c r="E4" s="59"/>
    </row>
    <row r="5" spans="1:5" s="116" customFormat="1" ht="15">
      <c r="A5" s="59"/>
      <c r="B5" s="59"/>
      <c r="C5" s="59"/>
      <c r="D5" s="59"/>
      <c r="E5" s="59"/>
    </row>
    <row r="6" spans="1:5" s="116" customFormat="1" ht="15">
      <c r="A6" s="61" t="s">
        <v>134</v>
      </c>
      <c r="B6" s="62" t="s">
        <v>135</v>
      </c>
      <c r="C6" s="62" t="s">
        <v>136</v>
      </c>
      <c r="D6" s="63" t="s">
        <v>137</v>
      </c>
      <c r="E6" s="64" t="s">
        <v>138</v>
      </c>
    </row>
    <row r="7" spans="1:5" s="116" customFormat="1" ht="15">
      <c r="A7" s="115"/>
      <c r="B7" s="68" t="s">
        <v>418</v>
      </c>
      <c r="C7" s="68"/>
      <c r="D7" s="69"/>
      <c r="E7" s="68">
        <v>21</v>
      </c>
    </row>
    <row r="8" spans="1:5" ht="15">
      <c r="A8" s="87"/>
      <c r="B8" s="87"/>
      <c r="C8" s="87"/>
      <c r="D8" s="103"/>
      <c r="E8" s="87"/>
    </row>
    <row r="9" spans="1:5" ht="15">
      <c r="A9" s="87"/>
      <c r="B9" s="87"/>
      <c r="C9" s="87"/>
      <c r="D9" s="103"/>
      <c r="E9" s="87"/>
    </row>
  </sheetData>
  <pageMargins left="0.69930555555555596" right="0.69930555555555596" top="0.75" bottom="0.75" header="0.3" footer="0.3"/>
  <pageSetup paperSize="9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>
      <selection activeCell="I18" sqref="I18"/>
    </sheetView>
  </sheetViews>
  <sheetFormatPr baseColWidth="10" defaultColWidth="9" defaultRowHeight="15" x14ac:dyDescent="0"/>
  <cols>
    <col min="1" max="1" width="12.5" style="60" customWidth="1"/>
    <col min="2" max="2" width="22.1640625" style="60" customWidth="1"/>
    <col min="3" max="5" width="9" style="60"/>
  </cols>
  <sheetData>
    <row r="1" spans="1:5">
      <c r="A1" s="60" t="s">
        <v>291</v>
      </c>
    </row>
    <row r="3" spans="1:5">
      <c r="A3" s="60" t="s">
        <v>293</v>
      </c>
    </row>
    <row r="4" spans="1:5">
      <c r="A4" s="60" t="s">
        <v>321</v>
      </c>
    </row>
    <row r="6" spans="1:5">
      <c r="A6" s="99" t="s">
        <v>134</v>
      </c>
      <c r="B6" s="100" t="s">
        <v>135</v>
      </c>
      <c r="C6" s="100" t="s">
        <v>136</v>
      </c>
      <c r="D6" s="101" t="s">
        <v>137</v>
      </c>
      <c r="E6" s="102" t="s">
        <v>138</v>
      </c>
    </row>
    <row r="7" spans="1:5">
      <c r="A7" s="91"/>
      <c r="B7" s="92" t="s">
        <v>418</v>
      </c>
      <c r="C7" s="92"/>
      <c r="D7" s="137"/>
      <c r="E7" s="92">
        <v>16</v>
      </c>
    </row>
    <row r="8" spans="1:5">
      <c r="A8" s="30"/>
      <c r="B8" s="87"/>
      <c r="C8" s="87"/>
      <c r="D8" s="103"/>
      <c r="E8" s="87"/>
    </row>
    <row r="9" spans="1:5">
      <c r="A9" s="30"/>
      <c r="B9" s="87"/>
      <c r="C9" s="87"/>
      <c r="D9" s="103"/>
      <c r="E9" s="87"/>
    </row>
    <row r="10" spans="1:5">
      <c r="A10" s="87"/>
      <c r="B10" s="87"/>
      <c r="C10" s="87"/>
      <c r="D10" s="103"/>
      <c r="E10" s="87"/>
    </row>
    <row r="11" spans="1:5">
      <c r="A11" s="87"/>
      <c r="B11" s="87"/>
      <c r="C11" s="87"/>
      <c r="D11" s="103"/>
      <c r="E11" s="87"/>
    </row>
    <row r="12" spans="1:5">
      <c r="A12" s="30"/>
      <c r="B12" s="87"/>
      <c r="C12" s="87"/>
      <c r="D12" s="103"/>
      <c r="E12" s="87"/>
    </row>
    <row r="13" spans="1:5">
      <c r="A13" s="30"/>
      <c r="B13" s="108"/>
      <c r="C13" s="107"/>
      <c r="D13" s="109"/>
      <c r="E13" s="107"/>
    </row>
    <row r="14" spans="1:5">
      <c r="A14" s="87"/>
      <c r="B14" s="87"/>
      <c r="C14" s="87"/>
      <c r="D14" s="103"/>
      <c r="E14" s="87"/>
    </row>
    <row r="15" spans="1:5">
      <c r="A15" s="87"/>
      <c r="B15" s="87"/>
      <c r="C15" s="87"/>
      <c r="D15" s="103"/>
      <c r="E15" s="87"/>
    </row>
    <row r="16" spans="1:5">
      <c r="A16" s="87"/>
      <c r="B16" s="87"/>
      <c r="C16" s="87"/>
      <c r="D16" s="103"/>
      <c r="E16" s="87"/>
    </row>
    <row r="17" spans="1:5">
      <c r="A17" s="87"/>
      <c r="B17" s="87"/>
      <c r="C17" s="87"/>
      <c r="D17" s="103"/>
      <c r="E17" s="87"/>
    </row>
    <row r="18" spans="1:5">
      <c r="A18" s="87"/>
      <c r="B18" s="87"/>
      <c r="C18" s="87"/>
      <c r="D18" s="103"/>
      <c r="E18" s="87"/>
    </row>
    <row r="19" spans="1:5">
      <c r="A19" s="87"/>
      <c r="B19" s="87"/>
      <c r="C19" s="87"/>
      <c r="D19" s="103"/>
      <c r="E19" s="87"/>
    </row>
    <row r="20" spans="1:5">
      <c r="A20" s="87"/>
      <c r="B20" s="87"/>
      <c r="C20" s="87"/>
      <c r="D20" s="103"/>
      <c r="E20" s="87"/>
    </row>
    <row r="21" spans="1:5">
      <c r="A21" s="87"/>
      <c r="B21" s="87"/>
      <c r="C21" s="87"/>
      <c r="D21" s="103"/>
      <c r="E21" s="87"/>
    </row>
    <row r="22" spans="1:5">
      <c r="A22" s="87"/>
      <c r="B22" s="87"/>
      <c r="C22" s="87"/>
      <c r="D22" s="103"/>
      <c r="E22" s="87"/>
    </row>
    <row r="23" spans="1:5">
      <c r="A23" s="87"/>
      <c r="B23" s="87"/>
      <c r="C23" s="87"/>
      <c r="D23" s="103"/>
      <c r="E23" s="87"/>
    </row>
    <row r="24" spans="1:5">
      <c r="A24" s="87"/>
      <c r="B24" s="87"/>
      <c r="C24" s="87"/>
      <c r="D24" s="103"/>
      <c r="E24" s="87"/>
    </row>
    <row r="25" spans="1:5">
      <c r="A25" s="87"/>
      <c r="B25" s="87"/>
      <c r="C25" s="87"/>
      <c r="D25" s="103"/>
      <c r="E25" s="87"/>
    </row>
    <row r="26" spans="1:5">
      <c r="A26" s="87"/>
      <c r="B26" s="87"/>
      <c r="C26" s="87"/>
      <c r="D26" s="103"/>
      <c r="E26" s="87"/>
    </row>
    <row r="27" spans="1:5">
      <c r="A27" s="87"/>
      <c r="B27" s="87"/>
      <c r="C27" s="87"/>
      <c r="D27" s="103"/>
      <c r="E27" s="87"/>
    </row>
    <row r="28" spans="1:5">
      <c r="A28" s="87"/>
      <c r="B28" s="87"/>
      <c r="C28" s="87"/>
      <c r="D28" s="103"/>
      <c r="E28" s="87"/>
    </row>
    <row r="29" spans="1:5">
      <c r="A29" s="87"/>
      <c r="B29" s="87"/>
      <c r="C29" s="87"/>
      <c r="D29" s="103"/>
      <c r="E29" s="87"/>
    </row>
    <row r="30" spans="1:5">
      <c r="A30" s="87"/>
      <c r="B30" s="87"/>
      <c r="C30" s="87"/>
      <c r="D30" s="103"/>
      <c r="E30" s="87"/>
    </row>
    <row r="31" spans="1:5">
      <c r="A31" s="87"/>
      <c r="B31" s="87"/>
      <c r="C31" s="87"/>
      <c r="D31" s="103"/>
      <c r="E31" s="87"/>
    </row>
    <row r="32" spans="1:5">
      <c r="A32" s="87"/>
      <c r="B32" s="87"/>
      <c r="C32" s="87"/>
      <c r="D32" s="103"/>
      <c r="E32" s="87"/>
    </row>
    <row r="33" spans="1:5">
      <c r="A33" s="87"/>
      <c r="B33" s="87"/>
      <c r="C33" s="87"/>
      <c r="D33" s="103"/>
      <c r="E33" s="87"/>
    </row>
    <row r="34" spans="1:5">
      <c r="A34" s="87"/>
      <c r="B34" s="87"/>
      <c r="C34" s="87"/>
      <c r="D34" s="103"/>
      <c r="E34" s="87"/>
    </row>
    <row r="35" spans="1:5">
      <c r="A35" s="87"/>
      <c r="B35" s="87"/>
      <c r="C35" s="87"/>
      <c r="D35" s="103"/>
      <c r="E35" s="87"/>
    </row>
    <row r="36" spans="1:5">
      <c r="A36" s="87"/>
      <c r="B36" s="87"/>
      <c r="C36" s="87"/>
      <c r="D36" s="103"/>
      <c r="E36" s="87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activeCell="F17" sqref="F17"/>
    </sheetView>
  </sheetViews>
  <sheetFormatPr baseColWidth="10" defaultColWidth="9" defaultRowHeight="14" x14ac:dyDescent="0"/>
  <cols>
    <col min="1" max="1" width="13.5" customWidth="1"/>
    <col min="2" max="2" width="31.83203125" customWidth="1"/>
    <col min="3" max="3" width="8.6640625" customWidth="1"/>
  </cols>
  <sheetData>
    <row r="1" spans="1:5" ht="15">
      <c r="A1" s="18" t="s">
        <v>322</v>
      </c>
      <c r="B1" s="18"/>
      <c r="C1" s="18"/>
      <c r="D1" s="18"/>
      <c r="E1" s="18"/>
    </row>
    <row r="2" spans="1:5" ht="15">
      <c r="A2" s="19"/>
      <c r="B2" s="19"/>
      <c r="C2" s="19"/>
      <c r="D2" s="19"/>
      <c r="E2" s="19"/>
    </row>
    <row r="3" spans="1:5" ht="15">
      <c r="A3" s="20" t="s">
        <v>1</v>
      </c>
      <c r="B3" s="20" t="s">
        <v>6</v>
      </c>
      <c r="C3" s="20" t="s">
        <v>3</v>
      </c>
      <c r="D3" s="20" t="s">
        <v>4</v>
      </c>
      <c r="E3" s="20" t="s">
        <v>5</v>
      </c>
    </row>
    <row r="4" spans="1:5">
      <c r="A4" s="9"/>
      <c r="B4" s="310" t="s">
        <v>418</v>
      </c>
      <c r="C4" s="9"/>
      <c r="D4" s="9"/>
      <c r="E4" s="9">
        <v>38</v>
      </c>
    </row>
    <row r="5" spans="1:5">
      <c r="A5" s="9"/>
      <c r="B5" s="9"/>
      <c r="C5" s="9"/>
      <c r="D5" s="9"/>
      <c r="E5" s="9"/>
    </row>
    <row r="6" spans="1:5">
      <c r="A6" s="9"/>
      <c r="B6" s="9"/>
      <c r="C6" s="9"/>
      <c r="D6" s="9"/>
      <c r="E6" s="9"/>
    </row>
    <row r="7" spans="1:5">
      <c r="A7" s="9"/>
      <c r="B7" s="9"/>
      <c r="C7" s="9"/>
      <c r="D7" s="9"/>
      <c r="E7" s="9"/>
    </row>
    <row r="8" spans="1:5">
      <c r="A8" s="9"/>
      <c r="B8" s="9"/>
      <c r="C8" s="9"/>
      <c r="D8" s="9"/>
      <c r="E8" s="9"/>
    </row>
    <row r="9" spans="1:5">
      <c r="A9" s="9"/>
      <c r="B9" s="9"/>
      <c r="C9" s="9"/>
      <c r="D9" s="9"/>
      <c r="E9" s="9"/>
    </row>
    <row r="10" spans="1:5">
      <c r="A10" s="9"/>
      <c r="B10" s="9"/>
      <c r="C10" s="9"/>
      <c r="D10" s="9"/>
      <c r="E10" s="9"/>
    </row>
    <row r="11" spans="1:5">
      <c r="A11" s="9"/>
      <c r="B11" s="9"/>
      <c r="C11" s="9"/>
      <c r="D11" s="9"/>
      <c r="E11" s="9"/>
    </row>
    <row r="12" spans="1:5">
      <c r="A12" s="9"/>
      <c r="B12" s="9"/>
      <c r="C12" s="9"/>
      <c r="D12" s="9"/>
      <c r="E12" s="9"/>
    </row>
    <row r="13" spans="1:5">
      <c r="A13" s="9"/>
      <c r="B13" s="9"/>
      <c r="C13" s="9"/>
      <c r="D13" s="9"/>
      <c r="E13" s="9"/>
    </row>
    <row r="14" spans="1:5">
      <c r="A14" s="9"/>
      <c r="B14" s="9"/>
      <c r="C14" s="9"/>
      <c r="D14" s="9"/>
      <c r="E14" s="9"/>
    </row>
    <row r="15" spans="1:5">
      <c r="A15" s="9"/>
      <c r="B15" s="9"/>
      <c r="C15" s="9"/>
      <c r="D15" s="9"/>
      <c r="E15" s="9"/>
    </row>
    <row r="16" spans="1:5">
      <c r="A16" s="9"/>
      <c r="B16" s="9"/>
      <c r="C16" s="9"/>
      <c r="D16" s="9"/>
      <c r="E16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B5" sqref="B5"/>
    </sheetView>
  </sheetViews>
  <sheetFormatPr baseColWidth="10" defaultColWidth="9" defaultRowHeight="14" x14ac:dyDescent="0"/>
  <cols>
    <col min="1" max="1" width="10.5" customWidth="1"/>
    <col min="2" max="2" width="19.5" customWidth="1"/>
  </cols>
  <sheetData>
    <row r="1" spans="1:5" ht="15">
      <c r="A1" s="18" t="s">
        <v>323</v>
      </c>
      <c r="B1" s="18"/>
      <c r="C1" s="18"/>
      <c r="D1" s="18"/>
      <c r="E1" s="18"/>
    </row>
    <row r="2" spans="1:5" ht="15">
      <c r="A2" s="19"/>
      <c r="B2" s="19"/>
      <c r="C2" s="19"/>
      <c r="D2" s="19"/>
      <c r="E2" s="19"/>
    </row>
    <row r="3" spans="1:5" ht="15">
      <c r="A3" s="20" t="s">
        <v>1</v>
      </c>
      <c r="B3" s="20" t="s">
        <v>6</v>
      </c>
      <c r="C3" s="20" t="s">
        <v>3</v>
      </c>
      <c r="D3" s="20" t="s">
        <v>4</v>
      </c>
      <c r="E3" s="20" t="s">
        <v>5</v>
      </c>
    </row>
    <row r="4" spans="1:5">
      <c r="A4" s="6"/>
      <c r="B4" s="27" t="s">
        <v>418</v>
      </c>
      <c r="C4" s="9">
        <v>8</v>
      </c>
      <c r="D4" s="9"/>
      <c r="E4" s="9">
        <v>8</v>
      </c>
    </row>
    <row r="5" spans="1:5">
      <c r="A5" s="9"/>
      <c r="B5" s="27"/>
      <c r="C5" s="9"/>
      <c r="D5" s="9"/>
      <c r="E5" s="9"/>
    </row>
    <row r="6" spans="1:5">
      <c r="A6" s="46"/>
      <c r="B6" s="26"/>
      <c r="C6" s="9"/>
      <c r="D6" s="26"/>
      <c r="E6" s="9"/>
    </row>
    <row r="7" spans="1:5">
      <c r="A7" s="21"/>
      <c r="B7" s="9"/>
      <c r="C7" s="9"/>
      <c r="D7" s="26"/>
      <c r="E7" s="9"/>
    </row>
    <row r="8" spans="1:5">
      <c r="A8" s="9"/>
      <c r="B8" s="9"/>
      <c r="C8" s="9"/>
      <c r="D8" s="9"/>
      <c r="E8" s="9"/>
    </row>
    <row r="9" spans="1:5">
      <c r="A9" s="9"/>
      <c r="B9" s="9"/>
      <c r="C9" s="9"/>
      <c r="D9" s="9"/>
      <c r="E9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selection activeCell="K25" sqref="K25"/>
    </sheetView>
  </sheetViews>
  <sheetFormatPr baseColWidth="10" defaultColWidth="9" defaultRowHeight="14" x14ac:dyDescent="0"/>
  <cols>
    <col min="1" max="1" width="13.5" customWidth="1"/>
    <col min="2" max="2" width="24.5" customWidth="1"/>
    <col min="3" max="3" width="8.6640625" customWidth="1"/>
  </cols>
  <sheetData>
    <row r="1" spans="1:5" ht="15">
      <c r="A1" s="18" t="s">
        <v>324</v>
      </c>
      <c r="B1" s="18"/>
      <c r="C1" s="18"/>
      <c r="D1" s="18"/>
      <c r="E1" s="18"/>
    </row>
    <row r="2" spans="1:5" ht="15">
      <c r="A2" s="19"/>
      <c r="B2" s="19"/>
      <c r="C2" s="19"/>
      <c r="D2" s="19"/>
      <c r="E2" s="19"/>
    </row>
    <row r="3" spans="1:5" ht="15">
      <c r="A3" s="20" t="s">
        <v>1</v>
      </c>
      <c r="B3" s="20" t="s">
        <v>6</v>
      </c>
      <c r="C3" s="20" t="s">
        <v>3</v>
      </c>
      <c r="D3" s="20" t="s">
        <v>4</v>
      </c>
      <c r="E3" s="20" t="s">
        <v>5</v>
      </c>
    </row>
    <row r="4" spans="1:5">
      <c r="A4" s="9"/>
      <c r="B4" s="310" t="s">
        <v>418</v>
      </c>
      <c r="C4" s="9"/>
      <c r="D4" s="9"/>
      <c r="E4" s="9">
        <v>29</v>
      </c>
    </row>
    <row r="5" spans="1:5">
      <c r="A5" s="9"/>
      <c r="B5" s="9"/>
      <c r="C5" s="9"/>
      <c r="D5" s="9"/>
      <c r="E5" s="9"/>
    </row>
    <row r="6" spans="1:5">
      <c r="A6" s="9"/>
      <c r="B6" s="9"/>
      <c r="C6" s="9"/>
      <c r="D6" s="9"/>
      <c r="E6" s="9"/>
    </row>
    <row r="7" spans="1:5">
      <c r="A7" s="9"/>
      <c r="B7" s="9"/>
      <c r="C7" s="9"/>
      <c r="D7" s="9"/>
      <c r="E7" s="9"/>
    </row>
    <row r="8" spans="1:5">
      <c r="A8" s="9"/>
      <c r="B8" s="9"/>
      <c r="C8" s="9"/>
      <c r="D8" s="9"/>
      <c r="E8" s="9"/>
    </row>
    <row r="9" spans="1:5">
      <c r="A9" s="9"/>
      <c r="B9" s="9"/>
      <c r="C9" s="9"/>
      <c r="D9" s="9"/>
      <c r="E9" s="9"/>
    </row>
    <row r="10" spans="1:5">
      <c r="A10" s="9"/>
      <c r="B10" s="9"/>
      <c r="C10" s="9"/>
      <c r="D10" s="9"/>
      <c r="E10" s="9"/>
    </row>
    <row r="11" spans="1:5">
      <c r="A11" s="9"/>
      <c r="B11" s="9"/>
      <c r="C11" s="9"/>
      <c r="D11" s="9"/>
      <c r="E11" s="9"/>
    </row>
    <row r="12" spans="1:5">
      <c r="A12" s="9"/>
      <c r="B12" s="9"/>
      <c r="C12" s="9"/>
      <c r="D12" s="9"/>
      <c r="E12" s="9"/>
    </row>
    <row r="13" spans="1:5">
      <c r="A13" s="9"/>
      <c r="B13" s="9"/>
      <c r="C13" s="9"/>
      <c r="D13" s="9"/>
      <c r="E13" s="9"/>
    </row>
    <row r="14" spans="1:5">
      <c r="A14" s="9"/>
      <c r="B14" s="9"/>
      <c r="C14" s="9"/>
      <c r="D14" s="9"/>
      <c r="E14" s="9"/>
    </row>
    <row r="15" spans="1:5">
      <c r="A15" s="9"/>
      <c r="B15" s="9"/>
      <c r="C15" s="9"/>
      <c r="D15" s="9"/>
      <c r="E15" s="9"/>
    </row>
    <row r="16" spans="1:5">
      <c r="A16" s="9"/>
      <c r="B16" s="9"/>
      <c r="C16" s="9"/>
      <c r="D16" s="9"/>
      <c r="E16" s="9"/>
    </row>
    <row r="17" spans="1:5">
      <c r="A17" s="9"/>
      <c r="B17" s="9"/>
      <c r="C17" s="9"/>
      <c r="D17" s="9"/>
      <c r="E17" s="9"/>
    </row>
    <row r="18" spans="1:5">
      <c r="A18" s="9"/>
      <c r="B18" s="9"/>
      <c r="C18" s="9"/>
      <c r="D18" s="9"/>
      <c r="E18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selection activeCell="K16" sqref="K16"/>
    </sheetView>
  </sheetViews>
  <sheetFormatPr baseColWidth="10" defaultColWidth="9" defaultRowHeight="14" x14ac:dyDescent="0"/>
  <cols>
    <col min="1" max="1" width="13.5" customWidth="1"/>
    <col min="2" max="2" width="24.5" customWidth="1"/>
    <col min="3" max="3" width="8.6640625" customWidth="1"/>
  </cols>
  <sheetData>
    <row r="1" spans="1:5" ht="15">
      <c r="A1" s="18" t="s">
        <v>325</v>
      </c>
      <c r="B1" s="18"/>
      <c r="C1" s="18"/>
      <c r="D1" s="18"/>
      <c r="E1" s="18"/>
    </row>
    <row r="2" spans="1:5" ht="15">
      <c r="A2" s="19"/>
      <c r="B2" s="19"/>
      <c r="C2" s="19"/>
      <c r="D2" s="19"/>
      <c r="E2" s="19"/>
    </row>
    <row r="3" spans="1:5" ht="15">
      <c r="A3" s="20" t="s">
        <v>1</v>
      </c>
      <c r="B3" s="20" t="s">
        <v>6</v>
      </c>
      <c r="C3" s="20" t="s">
        <v>3</v>
      </c>
      <c r="D3" s="20" t="s">
        <v>4</v>
      </c>
      <c r="E3" s="20" t="s">
        <v>5</v>
      </c>
    </row>
    <row r="4" spans="1:5">
      <c r="A4" s="9"/>
      <c r="B4" s="310" t="s">
        <v>418</v>
      </c>
      <c r="C4" s="9"/>
      <c r="D4" s="9"/>
      <c r="E4" s="9">
        <v>20</v>
      </c>
    </row>
    <row r="5" spans="1:5">
      <c r="A5" s="9"/>
      <c r="B5" s="9"/>
      <c r="C5" s="9"/>
      <c r="D5" s="9"/>
      <c r="E5" s="9"/>
    </row>
    <row r="6" spans="1:5">
      <c r="A6" s="9"/>
      <c r="B6" s="9"/>
      <c r="C6" s="9"/>
      <c r="D6" s="9"/>
      <c r="E6" s="9"/>
    </row>
    <row r="7" spans="1:5">
      <c r="A7" s="9"/>
      <c r="B7" s="9"/>
      <c r="C7" s="9"/>
      <c r="D7" s="9"/>
      <c r="E7" s="9"/>
    </row>
    <row r="8" spans="1:5">
      <c r="A8" s="9"/>
      <c r="B8" s="9"/>
      <c r="C8" s="9"/>
      <c r="D8" s="9"/>
      <c r="E8" s="9"/>
    </row>
    <row r="9" spans="1:5">
      <c r="A9" s="9"/>
      <c r="B9" s="9"/>
      <c r="C9" s="9"/>
      <c r="D9" s="9"/>
      <c r="E9" s="9"/>
    </row>
    <row r="10" spans="1:5">
      <c r="A10" s="9"/>
      <c r="B10" s="9"/>
      <c r="C10" s="9"/>
      <c r="D10" s="9"/>
      <c r="E10" s="9"/>
    </row>
    <row r="11" spans="1:5">
      <c r="A11" s="9"/>
      <c r="B11" s="9"/>
      <c r="C11" s="9"/>
      <c r="D11" s="9"/>
      <c r="E11" s="9"/>
    </row>
    <row r="12" spans="1:5">
      <c r="A12" s="9"/>
      <c r="B12" s="9"/>
      <c r="C12" s="9"/>
      <c r="D12" s="9"/>
      <c r="E12" s="9"/>
    </row>
    <row r="13" spans="1:5">
      <c r="A13" s="9"/>
      <c r="B13" s="9"/>
      <c r="C13" s="9"/>
      <c r="D13" s="9"/>
      <c r="E13" s="9"/>
    </row>
    <row r="14" spans="1:5">
      <c r="A14" s="9"/>
      <c r="B14" s="9"/>
      <c r="C14" s="9"/>
      <c r="D14" s="9"/>
      <c r="E14" s="9"/>
    </row>
    <row r="15" spans="1:5">
      <c r="A15" s="9"/>
      <c r="B15" s="9"/>
      <c r="C15" s="9"/>
      <c r="D15" s="9"/>
      <c r="E15" s="9"/>
    </row>
    <row r="16" spans="1:5">
      <c r="A16" s="9"/>
      <c r="B16" s="9"/>
      <c r="C16" s="9"/>
      <c r="D16" s="9"/>
      <c r="E16" s="9"/>
    </row>
    <row r="17" spans="1:5">
      <c r="A17" s="9"/>
      <c r="B17" s="9"/>
      <c r="C17" s="9"/>
      <c r="D17" s="9"/>
      <c r="E17" s="9"/>
    </row>
    <row r="18" spans="1:5">
      <c r="A18" s="9"/>
      <c r="B18" s="9"/>
      <c r="C18" s="9"/>
      <c r="D18" s="9"/>
      <c r="E18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A4" sqref="A4:XFD4"/>
    </sheetView>
  </sheetViews>
  <sheetFormatPr baseColWidth="10" defaultColWidth="9" defaultRowHeight="14" x14ac:dyDescent="0"/>
  <cols>
    <col min="1" max="1" width="13.5" customWidth="1"/>
    <col min="2" max="2" width="28.83203125" customWidth="1"/>
    <col min="3" max="3" width="8.6640625" customWidth="1"/>
  </cols>
  <sheetData>
    <row r="1" spans="1:5" ht="15">
      <c r="A1" s="18" t="s">
        <v>326</v>
      </c>
      <c r="B1" s="18"/>
      <c r="C1" s="18"/>
      <c r="D1" s="18"/>
      <c r="E1" s="18"/>
    </row>
    <row r="2" spans="1:5" ht="15">
      <c r="A2" s="19"/>
      <c r="B2" s="19"/>
      <c r="C2" s="19"/>
      <c r="D2" s="19"/>
      <c r="E2" s="19"/>
    </row>
    <row r="3" spans="1:5" ht="15">
      <c r="A3" s="20" t="s">
        <v>1</v>
      </c>
      <c r="B3" s="20" t="s">
        <v>6</v>
      </c>
      <c r="C3" s="20" t="s">
        <v>3</v>
      </c>
      <c r="D3" s="20" t="s">
        <v>4</v>
      </c>
      <c r="E3" s="20" t="s">
        <v>5</v>
      </c>
    </row>
    <row r="4" spans="1:5">
      <c r="A4" s="9"/>
      <c r="B4" s="310" t="s">
        <v>418</v>
      </c>
      <c r="C4" s="9"/>
      <c r="D4" s="9"/>
      <c r="E4" s="9">
        <v>8</v>
      </c>
    </row>
    <row r="5" spans="1:5">
      <c r="A5" s="9"/>
      <c r="B5" s="9"/>
      <c r="C5" s="9"/>
      <c r="D5" s="9"/>
      <c r="E5" s="9"/>
    </row>
    <row r="6" spans="1:5">
      <c r="A6" s="9"/>
      <c r="B6" s="9"/>
      <c r="C6" s="9"/>
      <c r="D6" s="9"/>
      <c r="E6" s="9"/>
    </row>
    <row r="7" spans="1:5">
      <c r="A7" s="9"/>
      <c r="B7" s="9"/>
      <c r="C7" s="9"/>
      <c r="D7" s="9"/>
      <c r="E7" s="9"/>
    </row>
    <row r="8" spans="1:5">
      <c r="A8" s="9"/>
      <c r="B8" s="9"/>
      <c r="C8" s="9"/>
      <c r="D8" s="9"/>
      <c r="E8" s="9"/>
    </row>
    <row r="9" spans="1:5">
      <c r="A9" s="9"/>
      <c r="B9" s="9"/>
      <c r="C9" s="9"/>
      <c r="D9" s="9"/>
      <c r="E9" s="9"/>
    </row>
    <row r="10" spans="1:5">
      <c r="A10" s="9"/>
      <c r="B10" s="9"/>
      <c r="C10" s="9"/>
      <c r="D10" s="9"/>
      <c r="E10" s="9"/>
    </row>
    <row r="11" spans="1:5">
      <c r="A11" s="9"/>
      <c r="B11" s="9"/>
      <c r="C11" s="9"/>
      <c r="D11" s="9"/>
      <c r="E11" s="9"/>
    </row>
    <row r="12" spans="1:5">
      <c r="A12" s="9"/>
      <c r="B12" s="9"/>
      <c r="C12" s="9"/>
      <c r="D12" s="9"/>
      <c r="E12" s="9"/>
    </row>
    <row r="13" spans="1:5">
      <c r="A13" s="9"/>
      <c r="B13" s="9"/>
      <c r="C13" s="9"/>
      <c r="D13" s="9"/>
      <c r="E13" s="9"/>
    </row>
    <row r="14" spans="1:5">
      <c r="A14" s="9"/>
      <c r="B14" s="9"/>
      <c r="C14" s="9"/>
      <c r="D14" s="9"/>
      <c r="E14" s="9"/>
    </row>
    <row r="15" spans="1:5">
      <c r="A15" s="9"/>
      <c r="B15" s="9"/>
      <c r="C15" s="9"/>
      <c r="D15" s="9"/>
      <c r="E15" s="9"/>
    </row>
    <row r="16" spans="1:5">
      <c r="A16" s="9"/>
      <c r="B16" s="9"/>
      <c r="C16" s="9"/>
      <c r="D16" s="9"/>
      <c r="E16" s="9"/>
    </row>
    <row r="17" spans="1:5">
      <c r="A17" s="9"/>
      <c r="B17" s="9"/>
      <c r="C17" s="9"/>
      <c r="D17" s="9"/>
      <c r="E17" s="9"/>
    </row>
    <row r="18" spans="1:5">
      <c r="A18" s="9"/>
      <c r="B18" s="9"/>
      <c r="C18" s="9"/>
      <c r="D18" s="9"/>
      <c r="E18" s="9"/>
    </row>
    <row r="19" spans="1:5">
      <c r="A19" s="9"/>
      <c r="B19" s="9"/>
      <c r="C19" s="9"/>
      <c r="D19" s="9"/>
      <c r="E19" s="9"/>
    </row>
    <row r="20" spans="1:5">
      <c r="A20" s="9"/>
      <c r="B20" s="9"/>
      <c r="C20" s="9"/>
      <c r="D20" s="9"/>
      <c r="E20" s="9"/>
    </row>
    <row r="21" spans="1:5">
      <c r="A21" s="9"/>
      <c r="B21" s="9"/>
      <c r="C21" s="9"/>
      <c r="D21" s="9"/>
      <c r="E21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activeCell="A4" sqref="A4:XFD7"/>
    </sheetView>
  </sheetViews>
  <sheetFormatPr baseColWidth="10" defaultColWidth="9" defaultRowHeight="14" x14ac:dyDescent="0"/>
  <cols>
    <col min="1" max="1" width="13.5" customWidth="1"/>
    <col min="2" max="2" width="28.83203125" customWidth="1"/>
    <col min="3" max="3" width="8.6640625" customWidth="1"/>
  </cols>
  <sheetData>
    <row r="1" spans="1:5" ht="15">
      <c r="A1" s="18" t="s">
        <v>327</v>
      </c>
      <c r="B1" s="18"/>
      <c r="C1" s="18"/>
      <c r="D1" s="18"/>
      <c r="E1" s="18"/>
    </row>
    <row r="2" spans="1:5" ht="15">
      <c r="A2" s="19"/>
      <c r="B2" s="19"/>
      <c r="C2" s="19"/>
      <c r="D2" s="19"/>
      <c r="E2" s="19"/>
    </row>
    <row r="3" spans="1:5" ht="15">
      <c r="A3" s="20" t="s">
        <v>1</v>
      </c>
      <c r="B3" s="20" t="s">
        <v>6</v>
      </c>
      <c r="C3" s="20" t="s">
        <v>3</v>
      </c>
      <c r="D3" s="20" t="s">
        <v>4</v>
      </c>
      <c r="E3" s="20" t="s">
        <v>5</v>
      </c>
    </row>
    <row r="4" spans="1:5">
      <c r="A4" s="9"/>
      <c r="B4" s="310" t="s">
        <v>418</v>
      </c>
      <c r="C4" s="9"/>
      <c r="D4" s="9"/>
      <c r="E4" s="9">
        <v>9</v>
      </c>
    </row>
    <row r="5" spans="1:5">
      <c r="A5" s="9"/>
      <c r="B5" s="9"/>
      <c r="C5" s="9"/>
      <c r="D5" s="9"/>
      <c r="E5" s="9"/>
    </row>
    <row r="6" spans="1:5">
      <c r="A6" s="9"/>
      <c r="B6" s="9"/>
      <c r="C6" s="9"/>
      <c r="D6" s="9"/>
      <c r="E6" s="9"/>
    </row>
    <row r="7" spans="1:5">
      <c r="A7" s="9"/>
      <c r="B7" s="9"/>
      <c r="C7" s="9"/>
      <c r="D7" s="9"/>
      <c r="E7" s="9"/>
    </row>
    <row r="8" spans="1:5">
      <c r="A8" s="9"/>
      <c r="B8" s="9"/>
      <c r="C8" s="9"/>
      <c r="D8" s="9"/>
      <c r="E8" s="9"/>
    </row>
    <row r="9" spans="1:5">
      <c r="A9" s="9"/>
      <c r="B9" s="9"/>
      <c r="C9" s="9"/>
      <c r="D9" s="9"/>
      <c r="E9" s="9"/>
    </row>
    <row r="10" spans="1:5">
      <c r="A10" s="9"/>
      <c r="B10" s="9"/>
      <c r="C10" s="9"/>
      <c r="D10" s="9"/>
      <c r="E10" s="9"/>
    </row>
    <row r="11" spans="1:5">
      <c r="A11" s="9"/>
      <c r="B11" s="9"/>
      <c r="C11" s="9"/>
      <c r="D11" s="9"/>
      <c r="E11" s="9"/>
    </row>
    <row r="12" spans="1:5">
      <c r="A12" s="9"/>
      <c r="B12" s="9"/>
      <c r="C12" s="9"/>
      <c r="D12" s="9"/>
      <c r="E12" s="9"/>
    </row>
    <row r="13" spans="1:5">
      <c r="A13" s="9"/>
      <c r="B13" s="9"/>
      <c r="C13" s="9"/>
      <c r="D13" s="9"/>
      <c r="E13" s="9"/>
    </row>
    <row r="14" spans="1:5">
      <c r="A14" s="9"/>
      <c r="B14" s="9"/>
      <c r="C14" s="9"/>
      <c r="D14" s="9"/>
      <c r="E14" s="9"/>
    </row>
    <row r="15" spans="1:5">
      <c r="A15" s="9"/>
      <c r="B15" s="9"/>
      <c r="C15" s="9"/>
      <c r="D15" s="9"/>
      <c r="E15" s="9"/>
    </row>
    <row r="16" spans="1:5">
      <c r="A16" s="9"/>
      <c r="B16" s="9"/>
      <c r="C16" s="9"/>
      <c r="D16" s="9"/>
      <c r="E16" s="9"/>
    </row>
    <row r="17" spans="1:5">
      <c r="A17" s="9"/>
      <c r="B17" s="9"/>
      <c r="C17" s="9"/>
      <c r="D17" s="9"/>
      <c r="E17" s="9"/>
    </row>
    <row r="18" spans="1:5">
      <c r="A18" s="9"/>
      <c r="B18" s="9"/>
      <c r="C18" s="9"/>
      <c r="D18" s="9"/>
      <c r="E18" s="9"/>
    </row>
    <row r="19" spans="1:5">
      <c r="A19" s="9"/>
      <c r="B19" s="9"/>
      <c r="C19" s="9"/>
      <c r="D19" s="9"/>
      <c r="E19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A4" sqref="A4:XFD4"/>
    </sheetView>
  </sheetViews>
  <sheetFormatPr baseColWidth="10" defaultColWidth="9" defaultRowHeight="14" x14ac:dyDescent="0"/>
  <cols>
    <col min="1" max="1" width="13.5" customWidth="1"/>
    <col min="2" max="2" width="24.5" customWidth="1"/>
    <col min="3" max="3" width="8.6640625" customWidth="1"/>
  </cols>
  <sheetData>
    <row r="1" spans="1:5" ht="15">
      <c r="A1" s="18" t="s">
        <v>328</v>
      </c>
      <c r="B1" s="18"/>
      <c r="C1" s="18"/>
      <c r="D1" s="18"/>
      <c r="E1" s="18"/>
    </row>
    <row r="2" spans="1:5" ht="15">
      <c r="A2" s="19"/>
      <c r="B2" s="19"/>
      <c r="C2" s="19"/>
      <c r="D2" s="19"/>
      <c r="E2" s="19"/>
    </row>
    <row r="3" spans="1:5" ht="15">
      <c r="A3" s="20" t="s">
        <v>1</v>
      </c>
      <c r="B3" s="20" t="s">
        <v>6</v>
      </c>
      <c r="C3" s="20" t="s">
        <v>3</v>
      </c>
      <c r="D3" s="20" t="s">
        <v>4</v>
      </c>
      <c r="E3" s="20" t="s">
        <v>5</v>
      </c>
    </row>
    <row r="4" spans="1:5">
      <c r="A4" s="9"/>
      <c r="B4" s="310" t="s">
        <v>418</v>
      </c>
      <c r="C4" s="9"/>
      <c r="D4" s="9"/>
      <c r="E4" s="9">
        <v>6</v>
      </c>
    </row>
    <row r="5" spans="1:5">
      <c r="A5" s="9"/>
      <c r="B5" s="9"/>
      <c r="C5" s="9"/>
      <c r="D5" s="9"/>
      <c r="E5" s="9"/>
    </row>
    <row r="6" spans="1:5">
      <c r="A6" s="9"/>
      <c r="B6" s="9"/>
      <c r="C6" s="9"/>
      <c r="D6" s="9"/>
      <c r="E6" s="9"/>
    </row>
    <row r="7" spans="1:5">
      <c r="A7" s="9"/>
      <c r="B7" s="9"/>
      <c r="C7" s="9"/>
      <c r="D7" s="9"/>
      <c r="E7" s="9"/>
    </row>
    <row r="8" spans="1:5">
      <c r="A8" s="9"/>
      <c r="B8" s="9"/>
      <c r="C8" s="9"/>
      <c r="D8" s="9"/>
      <c r="E8" s="9"/>
    </row>
    <row r="9" spans="1:5">
      <c r="A9" s="9"/>
      <c r="B9" s="9"/>
      <c r="C9" s="9"/>
      <c r="D9" s="9"/>
      <c r="E9" s="9"/>
    </row>
    <row r="10" spans="1:5">
      <c r="A10" s="9"/>
      <c r="B10" s="9"/>
      <c r="C10" s="9"/>
      <c r="D10" s="9"/>
      <c r="E10" s="9"/>
    </row>
    <row r="11" spans="1:5">
      <c r="A11" s="9"/>
      <c r="B11" s="9"/>
      <c r="C11" s="9"/>
      <c r="D11" s="9"/>
      <c r="E11" s="9"/>
    </row>
    <row r="12" spans="1:5">
      <c r="A12" s="9"/>
      <c r="B12" s="9"/>
      <c r="C12" s="9"/>
      <c r="D12" s="9"/>
      <c r="E12" s="9"/>
    </row>
    <row r="13" spans="1:5">
      <c r="A13" s="9"/>
      <c r="B13" s="9"/>
      <c r="C13" s="9"/>
      <c r="D13" s="9"/>
      <c r="E13" s="9"/>
    </row>
    <row r="14" spans="1:5">
      <c r="A14" s="9"/>
      <c r="B14" s="9"/>
      <c r="C14" s="9"/>
      <c r="D14" s="9"/>
      <c r="E14" s="9"/>
    </row>
    <row r="15" spans="1:5">
      <c r="A15" s="9"/>
      <c r="B15" s="9"/>
      <c r="C15" s="9"/>
      <c r="D15" s="9"/>
      <c r="E15" s="9"/>
    </row>
    <row r="16" spans="1:5">
      <c r="A16" s="9"/>
      <c r="B16" s="9"/>
      <c r="C16" s="9"/>
      <c r="D16" s="9"/>
      <c r="E16" s="9"/>
    </row>
    <row r="17" spans="1:5">
      <c r="A17" s="9"/>
      <c r="B17" s="9"/>
      <c r="C17" s="9"/>
      <c r="D17" s="9"/>
      <c r="E17" s="9"/>
    </row>
    <row r="18" spans="1:5">
      <c r="A18" s="9"/>
      <c r="B18" s="9"/>
      <c r="C18" s="9"/>
      <c r="D18" s="9"/>
      <c r="E18" s="9"/>
    </row>
    <row r="19" spans="1:5">
      <c r="A19" s="9"/>
      <c r="B19" s="9"/>
      <c r="C19" s="9"/>
      <c r="D19" s="9"/>
      <c r="E19" s="9"/>
    </row>
    <row r="20" spans="1:5">
      <c r="A20" s="9"/>
      <c r="B20" s="9"/>
      <c r="C20" s="9"/>
      <c r="D20" s="9"/>
      <c r="E20" s="9"/>
    </row>
    <row r="21" spans="1:5">
      <c r="A21" s="9"/>
      <c r="B21" s="9"/>
      <c r="C21" s="9"/>
      <c r="D21" s="9"/>
      <c r="E21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A4" sqref="A4:XFD4"/>
    </sheetView>
  </sheetViews>
  <sheetFormatPr baseColWidth="10" defaultColWidth="9" defaultRowHeight="14" x14ac:dyDescent="0"/>
  <cols>
    <col min="1" max="1" width="13.5" customWidth="1"/>
    <col min="2" max="2" width="24.5" customWidth="1"/>
    <col min="3" max="3" width="8.6640625" customWidth="1"/>
  </cols>
  <sheetData>
    <row r="1" spans="1:5" ht="15">
      <c r="A1" s="18" t="s">
        <v>329</v>
      </c>
      <c r="B1" s="18"/>
      <c r="C1" s="18"/>
      <c r="D1" s="18"/>
      <c r="E1" s="18"/>
    </row>
    <row r="2" spans="1:5" ht="15">
      <c r="A2" s="19"/>
      <c r="B2" s="19"/>
      <c r="C2" s="19"/>
      <c r="D2" s="19"/>
      <c r="E2" s="19"/>
    </row>
    <row r="3" spans="1:5" ht="15">
      <c r="A3" s="20" t="s">
        <v>1</v>
      </c>
      <c r="B3" s="20" t="s">
        <v>6</v>
      </c>
      <c r="C3" s="20" t="s">
        <v>3</v>
      </c>
      <c r="D3" s="20" t="s">
        <v>4</v>
      </c>
      <c r="E3" s="20" t="s">
        <v>5</v>
      </c>
    </row>
    <row r="4" spans="1:5">
      <c r="A4" s="9"/>
      <c r="B4" s="310" t="s">
        <v>418</v>
      </c>
      <c r="C4" s="9"/>
      <c r="D4" s="9"/>
      <c r="E4" s="9">
        <v>2</v>
      </c>
    </row>
    <row r="5" spans="1:5">
      <c r="A5" s="9"/>
      <c r="B5" s="9"/>
      <c r="C5" s="9"/>
      <c r="D5" s="9"/>
      <c r="E5" s="9"/>
    </row>
    <row r="6" spans="1:5">
      <c r="A6" s="9"/>
      <c r="B6" s="9"/>
      <c r="C6" s="9"/>
      <c r="D6" s="9"/>
      <c r="E6" s="9"/>
    </row>
    <row r="7" spans="1:5">
      <c r="A7" s="9"/>
      <c r="B7" s="9"/>
      <c r="C7" s="9"/>
      <c r="D7" s="9"/>
      <c r="E7" s="9"/>
    </row>
    <row r="8" spans="1:5">
      <c r="A8" s="9"/>
      <c r="B8" s="9"/>
      <c r="C8" s="9"/>
      <c r="D8" s="9"/>
      <c r="E8" s="9"/>
    </row>
    <row r="9" spans="1:5">
      <c r="A9" s="9"/>
      <c r="B9" s="9"/>
      <c r="C9" s="9"/>
      <c r="D9" s="9"/>
      <c r="E9" s="9"/>
    </row>
    <row r="10" spans="1:5">
      <c r="A10" s="9"/>
      <c r="B10" s="9"/>
      <c r="C10" s="9"/>
      <c r="D10" s="9"/>
      <c r="E10" s="9"/>
    </row>
    <row r="11" spans="1:5">
      <c r="A11" s="9"/>
      <c r="B11" s="9"/>
      <c r="C11" s="9"/>
      <c r="D11" s="9"/>
      <c r="E11" s="9"/>
    </row>
    <row r="12" spans="1:5">
      <c r="A12" s="9"/>
      <c r="B12" s="9"/>
      <c r="C12" s="9"/>
      <c r="D12" s="9"/>
      <c r="E12" s="9"/>
    </row>
    <row r="13" spans="1:5">
      <c r="A13" s="9"/>
      <c r="B13" s="9"/>
      <c r="C13" s="9"/>
      <c r="D13" s="9"/>
      <c r="E13" s="9"/>
    </row>
    <row r="14" spans="1:5">
      <c r="A14" s="9"/>
      <c r="B14" s="9"/>
      <c r="C14" s="9"/>
      <c r="D14" s="9"/>
      <c r="E14" s="9"/>
    </row>
    <row r="15" spans="1:5">
      <c r="A15" s="9"/>
      <c r="B15" s="9"/>
      <c r="C15" s="9"/>
      <c r="D15" s="9"/>
      <c r="E15" s="9"/>
    </row>
    <row r="16" spans="1:5">
      <c r="A16" s="9"/>
      <c r="B16" s="9"/>
      <c r="C16" s="9"/>
      <c r="D16" s="9"/>
      <c r="E16" s="9"/>
    </row>
    <row r="17" spans="1:5">
      <c r="A17" s="9"/>
      <c r="B17" s="9"/>
      <c r="C17" s="9"/>
      <c r="D17" s="9"/>
      <c r="E17" s="9"/>
    </row>
    <row r="18" spans="1:5">
      <c r="A18" s="9"/>
      <c r="B18" s="9"/>
      <c r="C18" s="9"/>
      <c r="D18" s="9"/>
      <c r="E18" s="9"/>
    </row>
    <row r="19" spans="1:5">
      <c r="A19" s="9"/>
      <c r="B19" s="9"/>
      <c r="C19" s="9"/>
      <c r="D19" s="9"/>
      <c r="E19" s="9"/>
    </row>
    <row r="20" spans="1:5">
      <c r="A20" s="9"/>
      <c r="B20" s="9"/>
      <c r="C20" s="9"/>
      <c r="D20" s="9"/>
      <c r="E20" s="9"/>
    </row>
    <row r="21" spans="1:5">
      <c r="A21" s="9"/>
      <c r="B21" s="9"/>
      <c r="C21" s="9"/>
      <c r="D21" s="9"/>
      <c r="E21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selection activeCell="A4" sqref="A4:XFD7"/>
    </sheetView>
  </sheetViews>
  <sheetFormatPr baseColWidth="10" defaultColWidth="9" defaultRowHeight="14" x14ac:dyDescent="0"/>
  <cols>
    <col min="1" max="1" width="13.5" customWidth="1"/>
    <col min="2" max="2" width="24.5" customWidth="1"/>
    <col min="3" max="3" width="8.6640625" customWidth="1"/>
  </cols>
  <sheetData>
    <row r="1" spans="1:5" ht="15">
      <c r="A1" s="18" t="s">
        <v>330</v>
      </c>
      <c r="B1" s="18"/>
      <c r="C1" s="18"/>
      <c r="D1" s="18"/>
      <c r="E1" s="18"/>
    </row>
    <row r="2" spans="1:5" ht="15">
      <c r="A2" s="19"/>
      <c r="B2" s="19"/>
      <c r="C2" s="19"/>
      <c r="D2" s="19"/>
      <c r="E2" s="19"/>
    </row>
    <row r="3" spans="1:5" ht="15">
      <c r="A3" s="20" t="s">
        <v>1</v>
      </c>
      <c r="B3" s="20" t="s">
        <v>6</v>
      </c>
      <c r="C3" s="20" t="s">
        <v>3</v>
      </c>
      <c r="D3" s="20" t="s">
        <v>4</v>
      </c>
      <c r="E3" s="20" t="s">
        <v>5</v>
      </c>
    </row>
    <row r="4" spans="1:5">
      <c r="A4" s="9"/>
      <c r="B4" s="310" t="s">
        <v>418</v>
      </c>
      <c r="C4" s="9"/>
      <c r="D4" s="9"/>
      <c r="E4" s="9">
        <v>27</v>
      </c>
    </row>
    <row r="5" spans="1:5">
      <c r="A5" s="9"/>
      <c r="B5" s="9"/>
      <c r="C5" s="9"/>
      <c r="D5" s="9"/>
      <c r="E5" s="9"/>
    </row>
    <row r="6" spans="1:5">
      <c r="A6" s="9"/>
      <c r="B6" s="9"/>
      <c r="C6" s="9"/>
      <c r="D6" s="9"/>
      <c r="E6" s="9"/>
    </row>
    <row r="7" spans="1:5">
      <c r="A7" s="9"/>
      <c r="B7" s="9"/>
      <c r="C7" s="9"/>
      <c r="D7" s="9"/>
      <c r="E7" s="9"/>
    </row>
    <row r="8" spans="1:5">
      <c r="A8" s="9"/>
      <c r="B8" s="9"/>
      <c r="C8" s="9"/>
      <c r="D8" s="9"/>
      <c r="E8" s="9"/>
    </row>
    <row r="9" spans="1:5">
      <c r="A9" s="9"/>
      <c r="B9" s="9"/>
      <c r="C9" s="9"/>
      <c r="D9" s="9"/>
      <c r="E9" s="9"/>
    </row>
    <row r="10" spans="1:5">
      <c r="A10" s="9"/>
      <c r="B10" s="9"/>
      <c r="C10" s="9"/>
      <c r="D10" s="9"/>
      <c r="E10" s="9"/>
    </row>
    <row r="11" spans="1:5">
      <c r="A11" s="9"/>
      <c r="B11" s="9"/>
      <c r="C11" s="9"/>
      <c r="D11" s="9"/>
      <c r="E11" s="9"/>
    </row>
    <row r="12" spans="1:5">
      <c r="A12" s="9"/>
      <c r="B12" s="9"/>
      <c r="C12" s="9"/>
      <c r="D12" s="9"/>
      <c r="E12" s="9"/>
    </row>
    <row r="13" spans="1:5">
      <c r="A13" s="9"/>
      <c r="B13" s="9"/>
      <c r="C13" s="9"/>
      <c r="D13" s="9"/>
      <c r="E13" s="9"/>
    </row>
    <row r="14" spans="1:5">
      <c r="A14" s="9"/>
      <c r="B14" s="9"/>
      <c r="C14" s="9"/>
      <c r="D14" s="9"/>
      <c r="E14" s="9"/>
    </row>
    <row r="15" spans="1:5">
      <c r="A15" s="9"/>
      <c r="B15" s="9"/>
      <c r="C15" s="9"/>
      <c r="D15" s="9"/>
      <c r="E15" s="9"/>
    </row>
    <row r="16" spans="1:5">
      <c r="A16" s="9"/>
      <c r="B16" s="9"/>
      <c r="C16" s="9"/>
      <c r="D16" s="9"/>
      <c r="E16" s="9"/>
    </row>
    <row r="17" spans="1:5">
      <c r="A17" s="9"/>
      <c r="B17" s="9"/>
      <c r="C17" s="9"/>
      <c r="D17" s="9"/>
      <c r="E17" s="9"/>
    </row>
    <row r="18" spans="1:5">
      <c r="A18" s="9"/>
      <c r="B18" s="9"/>
      <c r="C18" s="9"/>
      <c r="D18" s="9"/>
      <c r="E18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activeCell="D11" sqref="D11"/>
    </sheetView>
  </sheetViews>
  <sheetFormatPr baseColWidth="10" defaultColWidth="9" defaultRowHeight="14" x14ac:dyDescent="0"/>
  <cols>
    <col min="1" max="1" width="13.5" customWidth="1"/>
    <col min="2" max="2" width="24.5" customWidth="1"/>
    <col min="3" max="3" width="8.6640625" customWidth="1"/>
  </cols>
  <sheetData>
    <row r="1" spans="1:5" ht="15">
      <c r="A1" s="18" t="s">
        <v>331</v>
      </c>
      <c r="B1" s="18"/>
      <c r="C1" s="18"/>
      <c r="D1" s="18"/>
      <c r="E1" s="18"/>
    </row>
    <row r="2" spans="1:5" ht="15">
      <c r="A2" s="19"/>
      <c r="B2" s="19"/>
      <c r="C2" s="19"/>
      <c r="D2" s="19"/>
      <c r="E2" s="19"/>
    </row>
    <row r="3" spans="1:5" ht="15">
      <c r="A3" s="20" t="s">
        <v>1</v>
      </c>
      <c r="B3" s="20" t="s">
        <v>6</v>
      </c>
      <c r="C3" s="20" t="s">
        <v>3</v>
      </c>
      <c r="D3" s="20" t="s">
        <v>4</v>
      </c>
      <c r="E3" s="20" t="s">
        <v>5</v>
      </c>
    </row>
    <row r="4" spans="1:5">
      <c r="A4" s="9"/>
      <c r="B4" s="310" t="s">
        <v>418</v>
      </c>
      <c r="C4" s="9"/>
      <c r="D4" s="9"/>
      <c r="E4" s="9">
        <v>12</v>
      </c>
    </row>
    <row r="5" spans="1:5">
      <c r="A5" s="9"/>
      <c r="B5" s="9"/>
      <c r="C5" s="9"/>
      <c r="D5" s="9"/>
      <c r="E5" s="9"/>
    </row>
    <row r="6" spans="1:5">
      <c r="A6" s="9"/>
      <c r="B6" s="9"/>
      <c r="C6" s="9"/>
      <c r="D6" s="9"/>
      <c r="E6" s="9"/>
    </row>
    <row r="7" spans="1:5">
      <c r="A7" s="9"/>
      <c r="B7" s="9"/>
      <c r="C7" s="9"/>
      <c r="D7" s="9"/>
      <c r="E7" s="9"/>
    </row>
    <row r="8" spans="1:5">
      <c r="A8" s="9"/>
      <c r="B8" s="9"/>
      <c r="C8" s="9"/>
      <c r="D8" s="9"/>
      <c r="E8" s="9"/>
    </row>
    <row r="9" spans="1:5">
      <c r="A9" s="9"/>
      <c r="B9" s="9"/>
      <c r="C9" s="9"/>
      <c r="D9" s="9"/>
      <c r="E9" s="9"/>
    </row>
    <row r="10" spans="1:5">
      <c r="A10" s="9"/>
      <c r="B10" s="9"/>
      <c r="C10" s="9"/>
      <c r="D10" s="9"/>
      <c r="E10" s="9"/>
    </row>
    <row r="11" spans="1:5">
      <c r="A11" s="9"/>
      <c r="B11" s="9"/>
      <c r="C11" s="9"/>
      <c r="D11" s="9"/>
      <c r="E11" s="9"/>
    </row>
    <row r="12" spans="1:5">
      <c r="A12" s="9"/>
      <c r="B12" s="9"/>
      <c r="C12" s="9"/>
      <c r="D12" s="9"/>
      <c r="E12" s="9"/>
    </row>
    <row r="13" spans="1:5">
      <c r="A13" s="9"/>
      <c r="B13" s="9"/>
      <c r="C13" s="9"/>
      <c r="D13" s="9"/>
      <c r="E13" s="9"/>
    </row>
    <row r="14" spans="1:5">
      <c r="A14" s="9"/>
      <c r="B14" s="9"/>
      <c r="C14" s="9"/>
      <c r="D14" s="9"/>
      <c r="E14" s="9"/>
    </row>
    <row r="15" spans="1:5">
      <c r="A15" s="9"/>
      <c r="B15" s="9"/>
      <c r="C15" s="9"/>
      <c r="D15" s="9"/>
      <c r="E15" s="9"/>
    </row>
    <row r="16" spans="1:5">
      <c r="A16" s="9"/>
      <c r="B16" s="9"/>
      <c r="C16" s="9"/>
      <c r="D16" s="9"/>
      <c r="E16" s="9"/>
    </row>
    <row r="17" spans="1:5">
      <c r="A17" s="9"/>
      <c r="B17" s="9"/>
      <c r="C17" s="9"/>
      <c r="D17" s="9"/>
      <c r="E17" s="9"/>
    </row>
    <row r="18" spans="1:5">
      <c r="A18" s="9"/>
      <c r="B18" s="9"/>
      <c r="C18" s="9"/>
      <c r="D18" s="9"/>
      <c r="E18" s="9"/>
    </row>
    <row r="19" spans="1:5">
      <c r="A19" s="9"/>
      <c r="B19" s="9"/>
      <c r="C19" s="9"/>
      <c r="D19" s="9"/>
      <c r="E19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selection activeCell="H17" sqref="H17"/>
    </sheetView>
  </sheetViews>
  <sheetFormatPr baseColWidth="10" defaultColWidth="9" defaultRowHeight="14" x14ac:dyDescent="0"/>
  <cols>
    <col min="1" max="1" width="13.5" customWidth="1"/>
    <col min="2" max="2" width="24.5" customWidth="1"/>
    <col min="3" max="3" width="8.6640625" customWidth="1"/>
  </cols>
  <sheetData>
    <row r="1" spans="1:5" ht="15">
      <c r="A1" s="18" t="s">
        <v>332</v>
      </c>
      <c r="B1" s="18"/>
      <c r="C1" s="18"/>
      <c r="D1" s="18"/>
      <c r="E1" s="18"/>
    </row>
    <row r="2" spans="1:5" ht="15">
      <c r="A2" s="19"/>
      <c r="B2" s="19"/>
      <c r="C2" s="19"/>
      <c r="D2" s="19"/>
      <c r="E2" s="19"/>
    </row>
    <row r="3" spans="1:5" ht="15">
      <c r="A3" s="20" t="s">
        <v>1</v>
      </c>
      <c r="B3" s="20" t="s">
        <v>6</v>
      </c>
      <c r="C3" s="20" t="s">
        <v>3</v>
      </c>
      <c r="D3" s="20" t="s">
        <v>4</v>
      </c>
      <c r="E3" s="20" t="s">
        <v>5</v>
      </c>
    </row>
    <row r="4" spans="1:5">
      <c r="A4" s="9"/>
      <c r="B4" s="310" t="s">
        <v>418</v>
      </c>
      <c r="C4" s="9"/>
      <c r="D4" s="9"/>
      <c r="E4" s="9">
        <v>7</v>
      </c>
    </row>
    <row r="5" spans="1:5">
      <c r="A5" s="9"/>
      <c r="B5" s="9"/>
      <c r="C5" s="9"/>
      <c r="D5" s="9"/>
      <c r="E5" s="9"/>
    </row>
    <row r="6" spans="1:5">
      <c r="A6" s="9"/>
      <c r="B6" s="9"/>
      <c r="C6" s="9"/>
      <c r="D6" s="9"/>
      <c r="E6" s="9"/>
    </row>
    <row r="7" spans="1:5">
      <c r="A7" s="9"/>
      <c r="B7" s="9"/>
      <c r="C7" s="9"/>
      <c r="D7" s="9"/>
      <c r="E7" s="9"/>
    </row>
    <row r="8" spans="1:5">
      <c r="A8" s="9"/>
      <c r="B8" s="9"/>
      <c r="C8" s="9"/>
      <c r="D8" s="9"/>
      <c r="E8" s="9"/>
    </row>
    <row r="9" spans="1:5">
      <c r="A9" s="9"/>
      <c r="B9" s="9"/>
      <c r="C9" s="9"/>
      <c r="D9" s="9"/>
      <c r="E9" s="9"/>
    </row>
    <row r="10" spans="1:5">
      <c r="A10" s="9"/>
      <c r="B10" s="9"/>
      <c r="C10" s="9"/>
      <c r="D10" s="9"/>
      <c r="E10" s="9"/>
    </row>
    <row r="11" spans="1:5">
      <c r="A11" s="9"/>
      <c r="B11" s="9"/>
      <c r="C11" s="9"/>
      <c r="D11" s="9"/>
      <c r="E11" s="9"/>
    </row>
    <row r="12" spans="1:5">
      <c r="A12" s="9"/>
      <c r="B12" s="9"/>
      <c r="C12" s="9"/>
      <c r="D12" s="9"/>
      <c r="E12" s="9"/>
    </row>
    <row r="13" spans="1:5">
      <c r="A13" s="9"/>
      <c r="B13" s="9"/>
      <c r="C13" s="9"/>
      <c r="D13" s="9"/>
      <c r="E13" s="9"/>
    </row>
    <row r="14" spans="1:5">
      <c r="A14" s="9"/>
      <c r="B14" s="9"/>
      <c r="C14" s="9"/>
      <c r="D14" s="9"/>
      <c r="E14" s="9"/>
    </row>
    <row r="15" spans="1:5">
      <c r="A15" s="9"/>
      <c r="B15" s="9"/>
      <c r="C15" s="9"/>
      <c r="D15" s="9"/>
      <c r="E15" s="9"/>
    </row>
    <row r="16" spans="1:5">
      <c r="A16" s="9"/>
      <c r="B16" s="9"/>
      <c r="C16" s="9"/>
      <c r="D16" s="9"/>
      <c r="E16" s="9"/>
    </row>
    <row r="17" spans="1:5">
      <c r="A17" s="9"/>
      <c r="B17" s="9"/>
      <c r="C17" s="9"/>
      <c r="D17" s="9"/>
      <c r="E17" s="9"/>
    </row>
    <row r="18" spans="1:5">
      <c r="A18" s="9"/>
      <c r="B18" s="9"/>
      <c r="C18" s="9"/>
      <c r="D18" s="9"/>
      <c r="E18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selection activeCell="G13" sqref="G13"/>
    </sheetView>
  </sheetViews>
  <sheetFormatPr baseColWidth="10" defaultColWidth="9" defaultRowHeight="14" x14ac:dyDescent="0"/>
  <cols>
    <col min="1" max="1" width="13.5" customWidth="1"/>
    <col min="2" max="2" width="24.5" customWidth="1"/>
    <col min="3" max="3" width="8.6640625" customWidth="1"/>
  </cols>
  <sheetData>
    <row r="1" spans="1:5" ht="15">
      <c r="A1" s="18" t="s">
        <v>333</v>
      </c>
      <c r="B1" s="18"/>
      <c r="C1" s="18"/>
      <c r="D1" s="18"/>
      <c r="E1" s="18"/>
    </row>
    <row r="2" spans="1:5" ht="15">
      <c r="A2" s="19"/>
      <c r="B2" s="19"/>
      <c r="C2" s="19"/>
      <c r="D2" s="19"/>
      <c r="E2" s="19"/>
    </row>
    <row r="3" spans="1:5" ht="15">
      <c r="A3" s="20" t="s">
        <v>1</v>
      </c>
      <c r="B3" s="20" t="s">
        <v>6</v>
      </c>
      <c r="C3" s="20" t="s">
        <v>3</v>
      </c>
      <c r="D3" s="20" t="s">
        <v>4</v>
      </c>
      <c r="E3" s="20" t="s">
        <v>5</v>
      </c>
    </row>
    <row r="4" spans="1:5">
      <c r="A4" s="9"/>
      <c r="B4" s="310" t="s">
        <v>418</v>
      </c>
      <c r="C4" s="9"/>
      <c r="D4" s="9"/>
      <c r="E4" s="9">
        <v>3</v>
      </c>
    </row>
    <row r="5" spans="1:5">
      <c r="A5" s="9"/>
      <c r="B5" s="9"/>
      <c r="C5" s="9"/>
      <c r="D5" s="9"/>
      <c r="E5" s="9"/>
    </row>
    <row r="6" spans="1:5">
      <c r="A6" s="9"/>
      <c r="B6" s="9"/>
      <c r="C6" s="9"/>
      <c r="D6" s="9"/>
      <c r="E6" s="9"/>
    </row>
    <row r="7" spans="1:5">
      <c r="A7" s="9"/>
      <c r="B7" s="9"/>
      <c r="C7" s="9"/>
      <c r="D7" s="9"/>
      <c r="E7" s="9"/>
    </row>
    <row r="8" spans="1:5">
      <c r="A8" s="9"/>
      <c r="B8" s="9"/>
      <c r="C8" s="9"/>
      <c r="D8" s="9"/>
      <c r="E8" s="9"/>
    </row>
    <row r="9" spans="1:5">
      <c r="A9" s="9"/>
      <c r="B9" s="9"/>
      <c r="C9" s="9"/>
      <c r="D9" s="9"/>
      <c r="E9" s="9"/>
    </row>
    <row r="10" spans="1:5">
      <c r="A10" s="9"/>
      <c r="B10" s="9"/>
      <c r="C10" s="9"/>
      <c r="D10" s="9"/>
      <c r="E10" s="9"/>
    </row>
    <row r="11" spans="1:5">
      <c r="A11" s="9"/>
      <c r="B11" s="9"/>
      <c r="C11" s="9"/>
      <c r="D11" s="9"/>
      <c r="E11" s="9"/>
    </row>
    <row r="12" spans="1:5">
      <c r="A12" s="9"/>
      <c r="B12" s="9"/>
      <c r="C12" s="9"/>
      <c r="D12" s="9"/>
      <c r="E12" s="9"/>
    </row>
    <row r="13" spans="1:5">
      <c r="A13" s="9"/>
      <c r="B13" s="9"/>
      <c r="C13" s="9"/>
      <c r="D13" s="9"/>
      <c r="E13" s="9"/>
    </row>
    <row r="14" spans="1:5">
      <c r="A14" s="9"/>
      <c r="B14" s="9"/>
      <c r="C14" s="9"/>
      <c r="D14" s="9"/>
      <c r="E14" s="9"/>
    </row>
    <row r="15" spans="1:5">
      <c r="A15" s="9"/>
      <c r="B15" s="9"/>
      <c r="C15" s="9"/>
      <c r="D15" s="9"/>
      <c r="E15" s="9"/>
    </row>
    <row r="16" spans="1:5">
      <c r="A16" s="9"/>
      <c r="B16" s="9"/>
      <c r="C16" s="9"/>
      <c r="D16" s="9"/>
      <c r="E16" s="9"/>
    </row>
    <row r="17" spans="1:5">
      <c r="A17" s="9"/>
      <c r="B17" s="9"/>
      <c r="C17" s="9"/>
      <c r="D17" s="9"/>
      <c r="E17" s="9"/>
    </row>
    <row r="18" spans="1:5">
      <c r="A18" s="9"/>
      <c r="B18" s="9"/>
      <c r="C18" s="9"/>
      <c r="D18" s="9"/>
      <c r="E18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F18" sqref="F18"/>
    </sheetView>
  </sheetViews>
  <sheetFormatPr baseColWidth="10" defaultColWidth="9" defaultRowHeight="14" x14ac:dyDescent="0"/>
  <cols>
    <col min="1" max="1" width="13.5" customWidth="1"/>
    <col min="2" max="2" width="24.5" customWidth="1"/>
    <col min="3" max="3" width="8.6640625" customWidth="1"/>
  </cols>
  <sheetData>
    <row r="1" spans="1:5" ht="15">
      <c r="A1" s="18" t="s">
        <v>334</v>
      </c>
      <c r="B1" s="18"/>
      <c r="C1" s="18"/>
      <c r="D1" s="18"/>
      <c r="E1" s="18"/>
    </row>
    <row r="2" spans="1:5" ht="15">
      <c r="A2" s="19"/>
      <c r="B2" s="19"/>
      <c r="C2" s="19"/>
      <c r="D2" s="19"/>
      <c r="E2" s="19"/>
    </row>
    <row r="3" spans="1:5" ht="15">
      <c r="A3" s="20" t="s">
        <v>1</v>
      </c>
      <c r="B3" s="20" t="s">
        <v>6</v>
      </c>
      <c r="C3" s="20" t="s">
        <v>3</v>
      </c>
      <c r="D3" s="20" t="s">
        <v>4</v>
      </c>
      <c r="E3" s="20" t="s">
        <v>5</v>
      </c>
    </row>
    <row r="4" spans="1:5">
      <c r="A4" s="9"/>
      <c r="B4" s="310" t="s">
        <v>418</v>
      </c>
      <c r="C4" s="9"/>
      <c r="D4" s="9"/>
      <c r="E4" s="9">
        <v>26</v>
      </c>
    </row>
    <row r="5" spans="1:5">
      <c r="A5" s="9"/>
      <c r="B5" s="9"/>
      <c r="C5" s="9"/>
      <c r="D5" s="9"/>
      <c r="E5" s="9"/>
    </row>
    <row r="6" spans="1:5">
      <c r="A6" s="9"/>
      <c r="B6" s="9"/>
      <c r="C6" s="9"/>
      <c r="D6" s="9"/>
      <c r="E6" s="9"/>
    </row>
    <row r="7" spans="1:5">
      <c r="A7" s="9"/>
      <c r="B7" s="9"/>
      <c r="C7" s="9"/>
      <c r="D7" s="9"/>
      <c r="E7" s="9"/>
    </row>
    <row r="8" spans="1:5">
      <c r="A8" s="9"/>
      <c r="B8" s="9"/>
      <c r="C8" s="9"/>
      <c r="D8" s="9"/>
      <c r="E8" s="9"/>
    </row>
    <row r="9" spans="1:5">
      <c r="A9" s="9"/>
      <c r="B9" s="9"/>
      <c r="C9" s="9"/>
      <c r="D9" s="9"/>
      <c r="E9" s="9"/>
    </row>
    <row r="10" spans="1:5">
      <c r="A10" s="9"/>
      <c r="B10" s="9"/>
      <c r="C10" s="9"/>
      <c r="D10" s="9"/>
      <c r="E10" s="9"/>
    </row>
    <row r="11" spans="1:5">
      <c r="A11" s="9"/>
      <c r="B11" s="9"/>
      <c r="C11" s="9"/>
      <c r="D11" s="9"/>
      <c r="E11" s="9"/>
    </row>
    <row r="12" spans="1:5">
      <c r="A12" s="9"/>
      <c r="B12" s="9"/>
      <c r="C12" s="9"/>
      <c r="D12" s="9"/>
      <c r="E12" s="9"/>
    </row>
    <row r="13" spans="1:5">
      <c r="A13" s="9"/>
      <c r="B13" s="9"/>
      <c r="C13" s="9"/>
      <c r="D13" s="9"/>
      <c r="E13" s="9"/>
    </row>
    <row r="14" spans="1:5">
      <c r="A14" s="9"/>
      <c r="B14" s="9"/>
      <c r="C14" s="9"/>
      <c r="D14" s="9"/>
      <c r="E14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E6" sqref="E6"/>
    </sheetView>
  </sheetViews>
  <sheetFormatPr baseColWidth="10" defaultColWidth="9" defaultRowHeight="14" x14ac:dyDescent="0"/>
  <cols>
    <col min="1" max="1" width="13.5" customWidth="1"/>
    <col min="2" max="2" width="28.83203125" customWidth="1"/>
    <col min="3" max="3" width="8.6640625" customWidth="1"/>
  </cols>
  <sheetData>
    <row r="1" spans="1:5" ht="15">
      <c r="A1" s="18" t="s">
        <v>335</v>
      </c>
      <c r="B1" s="18"/>
      <c r="C1" s="18"/>
      <c r="D1" s="18"/>
      <c r="E1" s="18"/>
    </row>
    <row r="2" spans="1:5" ht="15">
      <c r="A2" s="19"/>
      <c r="B2" s="19"/>
      <c r="C2" s="19"/>
      <c r="D2" s="19"/>
      <c r="E2" s="19"/>
    </row>
    <row r="3" spans="1:5" ht="15">
      <c r="A3" s="20" t="s">
        <v>1</v>
      </c>
      <c r="B3" s="20" t="s">
        <v>6</v>
      </c>
      <c r="C3" s="20" t="s">
        <v>3</v>
      </c>
      <c r="D3" s="20" t="s">
        <v>4</v>
      </c>
      <c r="E3" s="20" t="s">
        <v>5</v>
      </c>
    </row>
    <row r="4" spans="1:5">
      <c r="A4" s="21"/>
      <c r="B4" s="310" t="s">
        <v>418</v>
      </c>
      <c r="C4" s="9"/>
      <c r="D4" s="26"/>
      <c r="E4" s="9">
        <v>0</v>
      </c>
    </row>
    <row r="5" spans="1:5">
      <c r="A5" s="9" t="s">
        <v>703</v>
      </c>
      <c r="B5" s="9" t="s">
        <v>406</v>
      </c>
      <c r="C5" s="9">
        <v>12</v>
      </c>
      <c r="D5" s="26"/>
      <c r="E5" s="9">
        <v>12</v>
      </c>
    </row>
    <row r="6" spans="1:5">
      <c r="A6" s="9"/>
      <c r="B6" s="9"/>
      <c r="C6" s="9"/>
      <c r="D6" s="9"/>
      <c r="E6" s="9"/>
    </row>
    <row r="7" spans="1:5">
      <c r="A7" s="9"/>
      <c r="B7" s="9"/>
      <c r="C7" s="9"/>
      <c r="D7" s="9"/>
      <c r="E7" s="9"/>
    </row>
    <row r="8" spans="1:5">
      <c r="A8" s="9"/>
      <c r="B8" s="9"/>
      <c r="C8" s="9"/>
      <c r="D8" s="9"/>
      <c r="E8" s="9"/>
    </row>
    <row r="9" spans="1:5">
      <c r="A9" s="9"/>
      <c r="B9" s="9"/>
      <c r="C9" s="9"/>
      <c r="D9" s="9"/>
      <c r="E9" s="9"/>
    </row>
    <row r="10" spans="1:5">
      <c r="A10" s="9"/>
      <c r="B10" s="9"/>
      <c r="C10" s="9"/>
      <c r="D10" s="9"/>
      <c r="E10" s="9"/>
    </row>
    <row r="11" spans="1:5">
      <c r="A11" s="9"/>
      <c r="B11" s="9"/>
      <c r="C11" s="9"/>
      <c r="D11" s="9"/>
      <c r="E11" s="9"/>
    </row>
    <row r="12" spans="1:5">
      <c r="A12" s="9"/>
      <c r="B12" s="9"/>
      <c r="C12" s="9"/>
      <c r="D12" s="9"/>
      <c r="E12" s="9"/>
    </row>
    <row r="13" spans="1:5">
      <c r="A13" s="9"/>
      <c r="B13" s="9"/>
      <c r="C13" s="9"/>
      <c r="D13" s="9"/>
      <c r="E13" s="9"/>
    </row>
    <row r="14" spans="1:5">
      <c r="A14" s="9"/>
      <c r="B14" s="9"/>
      <c r="C14" s="9"/>
      <c r="D14" s="9"/>
      <c r="E14" s="9"/>
    </row>
    <row r="15" spans="1:5">
      <c r="A15" s="9"/>
      <c r="B15" s="9"/>
      <c r="C15" s="9"/>
      <c r="D15" s="9"/>
      <c r="E15" s="9"/>
    </row>
    <row r="16" spans="1:5">
      <c r="A16" s="9"/>
      <c r="B16" s="9"/>
      <c r="C16" s="9"/>
      <c r="D16" s="9"/>
      <c r="E16" s="9"/>
    </row>
    <row r="17" spans="1:5">
      <c r="A17" s="9"/>
      <c r="B17" s="9"/>
      <c r="C17" s="9"/>
      <c r="D17" s="9"/>
      <c r="E17" s="9"/>
    </row>
    <row r="18" spans="1:5">
      <c r="A18" s="9"/>
      <c r="B18" s="9"/>
      <c r="C18" s="9"/>
      <c r="D18" s="9"/>
      <c r="E18" s="9"/>
    </row>
    <row r="19" spans="1:5">
      <c r="A19" s="9"/>
      <c r="B19" s="9"/>
      <c r="C19" s="9"/>
      <c r="D19" s="9"/>
      <c r="E19" s="9"/>
    </row>
    <row r="20" spans="1:5">
      <c r="A20" s="9"/>
      <c r="B20" s="9"/>
      <c r="C20" s="9"/>
      <c r="D20" s="9"/>
      <c r="E20" s="9"/>
    </row>
    <row r="21" spans="1:5">
      <c r="A21" s="9"/>
      <c r="B21" s="9"/>
      <c r="C21" s="9"/>
      <c r="D21" s="9"/>
      <c r="E21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M23" sqref="M23"/>
    </sheetView>
  </sheetViews>
  <sheetFormatPr baseColWidth="10" defaultColWidth="9" defaultRowHeight="14" x14ac:dyDescent="0"/>
  <cols>
    <col min="1" max="1" width="13.5" customWidth="1"/>
    <col min="2" max="2" width="28.83203125" customWidth="1"/>
    <col min="3" max="3" width="8.6640625" customWidth="1"/>
  </cols>
  <sheetData>
    <row r="1" spans="1:5" ht="15">
      <c r="A1" s="18" t="s">
        <v>335</v>
      </c>
      <c r="B1" s="18"/>
      <c r="C1" s="18"/>
      <c r="D1" s="18"/>
      <c r="E1" s="18"/>
    </row>
    <row r="2" spans="1:5" ht="15">
      <c r="A2" s="19"/>
      <c r="B2" s="19"/>
      <c r="C2" s="19"/>
      <c r="D2" s="19"/>
      <c r="E2" s="19"/>
    </row>
    <row r="3" spans="1:5" ht="15">
      <c r="A3" s="20" t="s">
        <v>1</v>
      </c>
      <c r="B3" s="20" t="s">
        <v>6</v>
      </c>
      <c r="C3" s="20" t="s">
        <v>3</v>
      </c>
      <c r="D3" s="20" t="s">
        <v>4</v>
      </c>
      <c r="E3" s="20" t="s">
        <v>5</v>
      </c>
    </row>
    <row r="4" spans="1:5">
      <c r="A4" s="42"/>
      <c r="B4" s="310" t="s">
        <v>418</v>
      </c>
      <c r="C4" s="9"/>
      <c r="D4" s="9"/>
      <c r="E4" s="9">
        <v>3</v>
      </c>
    </row>
    <row r="5" spans="1:5">
      <c r="A5" s="46"/>
      <c r="B5" s="26"/>
      <c r="C5" s="9"/>
      <c r="D5" s="26"/>
      <c r="E5" s="9"/>
    </row>
    <row r="6" spans="1:5">
      <c r="A6" s="21"/>
      <c r="B6" s="9"/>
      <c r="C6" s="9"/>
      <c r="D6" s="26"/>
      <c r="E6" s="9"/>
    </row>
    <row r="7" spans="1:5">
      <c r="A7" s="9"/>
      <c r="B7" s="9"/>
      <c r="C7" s="9"/>
      <c r="D7" s="26"/>
      <c r="E7" s="9"/>
    </row>
    <row r="8" spans="1:5">
      <c r="A8" s="9"/>
      <c r="B8" s="9"/>
      <c r="C8" s="9"/>
      <c r="D8" s="9"/>
      <c r="E8" s="9"/>
    </row>
    <row r="9" spans="1:5">
      <c r="A9" s="9"/>
      <c r="B9" s="9"/>
      <c r="C9" s="9"/>
      <c r="D9" s="9"/>
      <c r="E9" s="9"/>
    </row>
    <row r="10" spans="1:5">
      <c r="A10" s="9"/>
      <c r="B10" s="9"/>
      <c r="C10" s="9"/>
      <c r="D10" s="9"/>
      <c r="E10" s="9"/>
    </row>
    <row r="11" spans="1:5">
      <c r="A11" s="9"/>
      <c r="B11" s="9"/>
      <c r="C11" s="9"/>
      <c r="D11" s="9"/>
      <c r="E11" s="9"/>
    </row>
    <row r="12" spans="1:5">
      <c r="A12" s="9"/>
      <c r="B12" s="9"/>
      <c r="C12" s="9"/>
      <c r="D12" s="9"/>
      <c r="E12" s="9"/>
    </row>
    <row r="13" spans="1:5">
      <c r="A13" s="9"/>
      <c r="B13" s="9"/>
      <c r="C13" s="9"/>
      <c r="D13" s="9"/>
      <c r="E13" s="9"/>
    </row>
    <row r="14" spans="1:5">
      <c r="A14" s="9"/>
      <c r="B14" s="9"/>
      <c r="C14" s="9"/>
      <c r="D14" s="9"/>
      <c r="E14" s="9"/>
    </row>
    <row r="15" spans="1:5">
      <c r="A15" s="9"/>
      <c r="B15" s="9"/>
      <c r="C15" s="9"/>
      <c r="D15" s="9"/>
      <c r="E15" s="9"/>
    </row>
    <row r="16" spans="1:5">
      <c r="A16" s="9"/>
      <c r="B16" s="9"/>
      <c r="C16" s="9"/>
      <c r="D16" s="9"/>
      <c r="E16" s="9"/>
    </row>
    <row r="17" spans="1:5">
      <c r="A17" s="9"/>
      <c r="B17" s="9"/>
      <c r="C17" s="9"/>
      <c r="D17" s="9"/>
      <c r="E17" s="9"/>
    </row>
    <row r="18" spans="1:5">
      <c r="A18" s="9"/>
      <c r="B18" s="9"/>
      <c r="C18" s="9"/>
      <c r="D18" s="9"/>
      <c r="E18" s="9"/>
    </row>
    <row r="19" spans="1:5">
      <c r="A19" s="9"/>
      <c r="B19" s="9"/>
      <c r="C19" s="9"/>
      <c r="D19" s="9"/>
      <c r="E19" s="9"/>
    </row>
    <row r="20" spans="1:5">
      <c r="A20" s="9"/>
      <c r="B20" s="9"/>
      <c r="C20" s="9"/>
      <c r="D20" s="9"/>
      <c r="E20" s="9"/>
    </row>
    <row r="21" spans="1:5">
      <c r="A21" s="9"/>
      <c r="B21" s="9"/>
      <c r="C21" s="9"/>
      <c r="D21" s="9"/>
      <c r="E21" s="9"/>
    </row>
    <row r="22" spans="1:5">
      <c r="A22" s="9"/>
      <c r="B22" s="9"/>
      <c r="C22" s="9"/>
      <c r="D22" s="9"/>
      <c r="E22" s="9"/>
    </row>
    <row r="23" spans="1:5">
      <c r="A23" s="9"/>
      <c r="B23" s="9"/>
      <c r="C23" s="9"/>
      <c r="D23" s="9"/>
      <c r="E23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>
      <selection activeCell="C15" sqref="C15"/>
    </sheetView>
  </sheetViews>
  <sheetFormatPr baseColWidth="10" defaultColWidth="9" defaultRowHeight="15" x14ac:dyDescent="0"/>
  <cols>
    <col min="1" max="1" width="12.5" style="60" customWidth="1"/>
    <col min="2" max="2" width="22.1640625" style="60" customWidth="1"/>
    <col min="3" max="5" width="9" style="60"/>
  </cols>
  <sheetData>
    <row r="1" spans="1:5">
      <c r="A1" s="60" t="s">
        <v>291</v>
      </c>
    </row>
    <row r="3" spans="1:5">
      <c r="A3" s="60" t="s">
        <v>293</v>
      </c>
    </row>
    <row r="4" spans="1:5">
      <c r="A4" s="60" t="s">
        <v>336</v>
      </c>
    </row>
    <row r="6" spans="1:5">
      <c r="A6" s="99" t="s">
        <v>134</v>
      </c>
      <c r="B6" s="100" t="s">
        <v>135</v>
      </c>
      <c r="C6" s="100" t="s">
        <v>136</v>
      </c>
      <c r="D6" s="101" t="s">
        <v>137</v>
      </c>
      <c r="E6" s="102" t="s">
        <v>138</v>
      </c>
    </row>
    <row r="7" spans="1:5">
      <c r="A7" s="127"/>
      <c r="B7" s="87" t="s">
        <v>418</v>
      </c>
      <c r="C7" s="107"/>
      <c r="D7" s="107"/>
      <c r="E7" s="107">
        <v>16</v>
      </c>
    </row>
    <row r="8" spans="1:5">
      <c r="A8" s="91"/>
      <c r="B8" s="92"/>
      <c r="C8" s="92"/>
      <c r="D8" s="137"/>
      <c r="E8" s="92"/>
    </row>
    <row r="9" spans="1:5">
      <c r="A9" s="30"/>
      <c r="B9" s="87"/>
      <c r="C9" s="87"/>
      <c r="D9" s="103"/>
      <c r="E9" s="87"/>
    </row>
    <row r="10" spans="1:5">
      <c r="A10" s="30"/>
      <c r="B10" s="87"/>
      <c r="C10" s="87"/>
      <c r="D10" s="103"/>
      <c r="E10" s="87"/>
    </row>
    <row r="11" spans="1:5">
      <c r="A11" s="87"/>
      <c r="B11" s="87"/>
      <c r="C11" s="87"/>
      <c r="D11" s="103"/>
      <c r="E11" s="87"/>
    </row>
    <row r="12" spans="1:5">
      <c r="A12" s="87"/>
      <c r="B12" s="87"/>
      <c r="C12" s="87"/>
      <c r="D12" s="103"/>
      <c r="E12" s="87"/>
    </row>
    <row r="13" spans="1:5">
      <c r="A13" s="30"/>
      <c r="B13" s="87"/>
      <c r="C13" s="87"/>
      <c r="D13" s="103"/>
      <c r="E13" s="87"/>
    </row>
    <row r="14" spans="1:5">
      <c r="A14" s="30"/>
      <c r="B14" s="108"/>
      <c r="C14" s="107"/>
      <c r="D14" s="109"/>
      <c r="E14" s="107"/>
    </row>
    <row r="15" spans="1:5">
      <c r="A15" s="87"/>
      <c r="B15" s="87"/>
      <c r="C15" s="87"/>
      <c r="D15" s="103"/>
      <c r="E15" s="87"/>
    </row>
    <row r="16" spans="1:5">
      <c r="A16" s="87"/>
      <c r="B16" s="87"/>
      <c r="C16" s="87"/>
      <c r="D16" s="103"/>
      <c r="E16" s="87"/>
    </row>
    <row r="17" spans="1:5">
      <c r="A17" s="87"/>
      <c r="B17" s="87"/>
      <c r="C17" s="87"/>
      <c r="D17" s="103"/>
      <c r="E17" s="87"/>
    </row>
    <row r="18" spans="1:5">
      <c r="A18" s="87"/>
      <c r="B18" s="87"/>
      <c r="C18" s="87"/>
      <c r="D18" s="103"/>
      <c r="E18" s="87"/>
    </row>
    <row r="19" spans="1:5">
      <c r="A19" s="87"/>
      <c r="B19" s="87"/>
      <c r="C19" s="87"/>
      <c r="D19" s="103"/>
      <c r="E19" s="87"/>
    </row>
    <row r="20" spans="1:5">
      <c r="A20" s="87"/>
      <c r="B20" s="87"/>
      <c r="C20" s="87"/>
      <c r="D20" s="103"/>
      <c r="E20" s="87"/>
    </row>
    <row r="21" spans="1:5">
      <c r="A21" s="87"/>
      <c r="B21" s="87"/>
      <c r="C21" s="87"/>
      <c r="D21" s="103"/>
      <c r="E21" s="87"/>
    </row>
    <row r="22" spans="1:5">
      <c r="A22" s="87"/>
      <c r="B22" s="87"/>
      <c r="C22" s="87"/>
      <c r="D22" s="103"/>
      <c r="E22" s="87"/>
    </row>
    <row r="23" spans="1:5">
      <c r="A23" s="87"/>
      <c r="B23" s="87"/>
      <c r="C23" s="87"/>
      <c r="D23" s="103"/>
      <c r="E23" s="87"/>
    </row>
    <row r="24" spans="1:5">
      <c r="A24" s="87"/>
      <c r="B24" s="87"/>
      <c r="C24" s="87"/>
      <c r="D24" s="103"/>
      <c r="E24" s="87"/>
    </row>
    <row r="25" spans="1:5">
      <c r="A25" s="87"/>
      <c r="B25" s="87"/>
      <c r="C25" s="87"/>
      <c r="D25" s="103"/>
      <c r="E25" s="87"/>
    </row>
    <row r="26" spans="1:5">
      <c r="A26" s="87"/>
      <c r="B26" s="87"/>
      <c r="C26" s="87"/>
      <c r="D26" s="103"/>
      <c r="E26" s="87"/>
    </row>
    <row r="27" spans="1:5">
      <c r="A27" s="87"/>
      <c r="B27" s="87"/>
      <c r="C27" s="87"/>
      <c r="D27" s="103"/>
      <c r="E27" s="87"/>
    </row>
    <row r="28" spans="1:5">
      <c r="A28" s="87"/>
      <c r="B28" s="87"/>
      <c r="C28" s="87"/>
      <c r="D28" s="103"/>
      <c r="E28" s="87"/>
    </row>
    <row r="29" spans="1:5">
      <c r="A29" s="87"/>
      <c r="B29" s="87"/>
      <c r="C29" s="87"/>
      <c r="D29" s="103"/>
      <c r="E29" s="87"/>
    </row>
    <row r="30" spans="1:5">
      <c r="A30" s="87"/>
      <c r="B30" s="87"/>
      <c r="C30" s="87"/>
      <c r="D30" s="103"/>
      <c r="E30" s="87"/>
    </row>
    <row r="31" spans="1:5">
      <c r="A31" s="87"/>
      <c r="B31" s="87"/>
      <c r="C31" s="87"/>
      <c r="D31" s="103"/>
      <c r="E31" s="87"/>
    </row>
    <row r="32" spans="1:5">
      <c r="A32" s="87"/>
      <c r="B32" s="87"/>
      <c r="C32" s="87"/>
      <c r="D32" s="103"/>
      <c r="E32" s="87"/>
    </row>
    <row r="33" spans="1:5">
      <c r="A33" s="87"/>
      <c r="B33" s="87"/>
      <c r="C33" s="87"/>
      <c r="D33" s="103"/>
      <c r="E33" s="87"/>
    </row>
    <row r="34" spans="1:5">
      <c r="A34" s="87"/>
      <c r="B34" s="87"/>
      <c r="C34" s="87"/>
      <c r="D34" s="103"/>
      <c r="E34" s="87"/>
    </row>
    <row r="35" spans="1:5">
      <c r="A35" s="87"/>
      <c r="B35" s="87"/>
      <c r="C35" s="87"/>
      <c r="D35" s="103"/>
      <c r="E35" s="87"/>
    </row>
    <row r="36" spans="1:5">
      <c r="A36" s="87"/>
      <c r="B36" s="87"/>
      <c r="C36" s="87"/>
      <c r="D36" s="103"/>
      <c r="E36" s="87"/>
    </row>
    <row r="37" spans="1:5">
      <c r="A37" s="87"/>
      <c r="B37" s="87"/>
      <c r="C37" s="87"/>
      <c r="D37" s="103"/>
      <c r="E37" s="87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A4" sqref="A4:XFD4"/>
    </sheetView>
  </sheetViews>
  <sheetFormatPr baseColWidth="10" defaultColWidth="9" defaultRowHeight="14" x14ac:dyDescent="0"/>
  <cols>
    <col min="1" max="1" width="13.5" customWidth="1"/>
    <col min="2" max="2" width="28.83203125" customWidth="1"/>
    <col min="3" max="3" width="8.6640625" customWidth="1"/>
  </cols>
  <sheetData>
    <row r="1" spans="1:5" ht="15">
      <c r="A1" s="18" t="s">
        <v>337</v>
      </c>
      <c r="B1" s="18"/>
      <c r="C1" s="18"/>
      <c r="D1" s="18"/>
      <c r="E1" s="18"/>
    </row>
    <row r="2" spans="1:5" ht="15">
      <c r="A2" s="19"/>
      <c r="B2" s="19"/>
      <c r="C2" s="19"/>
      <c r="D2" s="19"/>
      <c r="E2" s="19"/>
    </row>
    <row r="3" spans="1:5" ht="15">
      <c r="A3" s="20" t="s">
        <v>1</v>
      </c>
      <c r="B3" s="20" t="s">
        <v>6</v>
      </c>
      <c r="C3" s="20" t="s">
        <v>3</v>
      </c>
      <c r="D3" s="20" t="s">
        <v>4</v>
      </c>
      <c r="E3" s="20" t="s">
        <v>5</v>
      </c>
    </row>
    <row r="4" spans="1:5">
      <c r="A4" s="23"/>
      <c r="B4" s="15" t="s">
        <v>418</v>
      </c>
      <c r="C4" s="15"/>
      <c r="D4" s="9"/>
      <c r="E4" s="9">
        <v>6</v>
      </c>
    </row>
    <row r="5" spans="1:5">
      <c r="A5" s="46"/>
      <c r="B5" s="26"/>
      <c r="C5" s="9"/>
      <c r="D5" s="26"/>
      <c r="E5" s="9"/>
    </row>
    <row r="6" spans="1:5">
      <c r="A6" s="21"/>
      <c r="B6" s="9"/>
      <c r="C6" s="9"/>
      <c r="D6" s="26"/>
      <c r="E6" s="9"/>
    </row>
    <row r="7" spans="1:5">
      <c r="A7" s="9"/>
      <c r="B7" s="9"/>
      <c r="C7" s="9"/>
      <c r="D7" s="26"/>
      <c r="E7" s="9"/>
    </row>
    <row r="8" spans="1:5">
      <c r="A8" s="9"/>
      <c r="B8" s="9"/>
      <c r="C8" s="9"/>
      <c r="D8" s="9"/>
      <c r="E8" s="9"/>
    </row>
    <row r="9" spans="1:5">
      <c r="A9" s="9"/>
      <c r="B9" s="9"/>
      <c r="C9" s="9"/>
      <c r="D9" s="9"/>
      <c r="E9" s="9"/>
    </row>
    <row r="10" spans="1:5">
      <c r="A10" s="9"/>
      <c r="B10" s="9"/>
      <c r="C10" s="9"/>
      <c r="D10" s="9"/>
      <c r="E10" s="9"/>
    </row>
    <row r="11" spans="1:5">
      <c r="A11" s="9"/>
      <c r="B11" s="9"/>
      <c r="C11" s="9"/>
      <c r="D11" s="9"/>
      <c r="E11" s="9"/>
    </row>
    <row r="12" spans="1:5">
      <c r="A12" s="9"/>
      <c r="B12" s="9"/>
      <c r="C12" s="9"/>
      <c r="D12" s="9"/>
      <c r="E12" s="9"/>
    </row>
    <row r="13" spans="1:5">
      <c r="A13" s="9"/>
      <c r="B13" s="9"/>
      <c r="C13" s="9"/>
      <c r="D13" s="9"/>
      <c r="E13" s="9"/>
    </row>
    <row r="14" spans="1:5">
      <c r="A14" s="9"/>
      <c r="B14" s="9"/>
      <c r="C14" s="9"/>
      <c r="D14" s="9"/>
      <c r="E14" s="9"/>
    </row>
    <row r="15" spans="1:5">
      <c r="A15" s="9"/>
      <c r="B15" s="9"/>
      <c r="C15" s="9"/>
      <c r="D15" s="9"/>
      <c r="E15" s="9"/>
    </row>
    <row r="16" spans="1:5">
      <c r="A16" s="9"/>
      <c r="B16" s="9"/>
      <c r="C16" s="9"/>
      <c r="D16" s="9"/>
      <c r="E16" s="9"/>
    </row>
    <row r="17" spans="1:5">
      <c r="A17" s="9"/>
      <c r="B17" s="9"/>
      <c r="C17" s="9"/>
      <c r="D17" s="9"/>
      <c r="E17" s="9"/>
    </row>
    <row r="18" spans="1:5">
      <c r="A18" s="9"/>
      <c r="B18" s="9"/>
      <c r="C18" s="9"/>
      <c r="D18" s="9"/>
      <c r="E18" s="9"/>
    </row>
    <row r="19" spans="1:5">
      <c r="A19" s="9"/>
      <c r="B19" s="9"/>
      <c r="C19" s="9"/>
      <c r="D19" s="9"/>
      <c r="E19" s="9"/>
    </row>
    <row r="20" spans="1:5">
      <c r="A20" s="9"/>
      <c r="B20" s="9"/>
      <c r="C20" s="9"/>
      <c r="D20" s="9"/>
      <c r="E20" s="9"/>
    </row>
    <row r="21" spans="1:5">
      <c r="A21" s="9"/>
      <c r="B21" s="9"/>
      <c r="C21" s="9"/>
      <c r="D21" s="9"/>
      <c r="E21" s="9"/>
    </row>
    <row r="22" spans="1:5">
      <c r="A22" s="9"/>
      <c r="B22" s="9"/>
      <c r="C22" s="9"/>
      <c r="D22" s="9"/>
      <c r="E22" s="9"/>
    </row>
    <row r="23" spans="1:5">
      <c r="A23" s="9"/>
      <c r="B23" s="9"/>
      <c r="C23" s="9"/>
      <c r="D23" s="9"/>
      <c r="E23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K22" sqref="K22"/>
    </sheetView>
  </sheetViews>
  <sheetFormatPr baseColWidth="10" defaultColWidth="9" defaultRowHeight="14" x14ac:dyDescent="0"/>
  <cols>
    <col min="1" max="1" width="13.5" customWidth="1"/>
    <col min="2" max="2" width="24.5" customWidth="1"/>
    <col min="3" max="3" width="8.6640625" customWidth="1"/>
  </cols>
  <sheetData>
    <row r="1" spans="1:5" ht="15">
      <c r="A1" s="18" t="s">
        <v>338</v>
      </c>
      <c r="B1" s="18"/>
      <c r="C1" s="18"/>
      <c r="D1" s="18"/>
      <c r="E1" s="18"/>
    </row>
    <row r="2" spans="1:5" ht="15">
      <c r="A2" s="19"/>
      <c r="B2" s="19"/>
      <c r="C2" s="19"/>
      <c r="D2" s="19"/>
      <c r="E2" s="19"/>
    </row>
    <row r="3" spans="1:5" ht="15">
      <c r="A3" s="20" t="s">
        <v>1</v>
      </c>
      <c r="B3" s="20" t="s">
        <v>6</v>
      </c>
      <c r="C3" s="20" t="s">
        <v>3</v>
      </c>
      <c r="D3" s="20" t="s">
        <v>4</v>
      </c>
      <c r="E3" s="20" t="s">
        <v>5</v>
      </c>
    </row>
    <row r="4" spans="1:5">
      <c r="A4" s="7"/>
      <c r="B4" s="310" t="s">
        <v>418</v>
      </c>
      <c r="C4" s="7"/>
      <c r="D4" s="7"/>
      <c r="E4" s="7">
        <v>2</v>
      </c>
    </row>
    <row r="5" spans="1:5">
      <c r="A5" s="7"/>
      <c r="B5" s="7"/>
      <c r="C5" s="7"/>
      <c r="D5" s="7"/>
      <c r="E5" s="7"/>
    </row>
    <row r="6" spans="1:5">
      <c r="A6" s="9"/>
      <c r="B6" s="9"/>
      <c r="C6" s="9"/>
      <c r="D6" s="9"/>
      <c r="E6" s="9"/>
    </row>
    <row r="7" spans="1:5">
      <c r="A7" s="9"/>
      <c r="B7" s="9"/>
      <c r="C7" s="9"/>
      <c r="D7" s="9"/>
      <c r="E7" s="9"/>
    </row>
    <row r="8" spans="1:5">
      <c r="A8" s="9"/>
      <c r="B8" s="9"/>
      <c r="C8" s="9"/>
      <c r="D8" s="9"/>
      <c r="E8" s="9"/>
    </row>
    <row r="9" spans="1:5">
      <c r="A9" s="9"/>
      <c r="B9" s="9"/>
      <c r="C9" s="9"/>
      <c r="D9" s="9"/>
      <c r="E9" s="9"/>
    </row>
    <row r="10" spans="1:5">
      <c r="A10" s="9"/>
      <c r="B10" s="9"/>
      <c r="C10" s="9"/>
      <c r="D10" s="9"/>
      <c r="E10" s="9"/>
    </row>
    <row r="11" spans="1:5">
      <c r="A11" s="9"/>
      <c r="B11" s="9"/>
      <c r="C11" s="9"/>
      <c r="D11" s="9"/>
      <c r="E11" s="9"/>
    </row>
    <row r="12" spans="1:5">
      <c r="A12" s="9"/>
      <c r="B12" s="9"/>
      <c r="C12" s="9"/>
      <c r="D12" s="9"/>
      <c r="E12" s="9"/>
    </row>
    <row r="13" spans="1:5">
      <c r="A13" s="9"/>
      <c r="B13" s="9"/>
      <c r="C13" s="9"/>
      <c r="D13" s="9"/>
      <c r="E13" s="9"/>
    </row>
    <row r="14" spans="1:5">
      <c r="A14" s="9"/>
      <c r="B14" s="9"/>
      <c r="C14" s="9"/>
      <c r="D14" s="9"/>
      <c r="E14" s="9"/>
    </row>
    <row r="15" spans="1:5">
      <c r="A15" s="9"/>
      <c r="B15" s="9"/>
      <c r="C15" s="9"/>
      <c r="D15" s="9"/>
      <c r="E15" s="9"/>
    </row>
    <row r="16" spans="1:5">
      <c r="A16" s="9"/>
      <c r="B16" s="9"/>
      <c r="C16" s="9"/>
      <c r="D16" s="9"/>
      <c r="E16" s="9"/>
    </row>
    <row r="17" spans="1:5">
      <c r="A17" s="9"/>
      <c r="B17" s="9"/>
      <c r="C17" s="9"/>
      <c r="D17" s="9"/>
      <c r="E17" s="9"/>
    </row>
    <row r="18" spans="1:5">
      <c r="A18" s="9"/>
      <c r="B18" s="9"/>
      <c r="C18" s="9"/>
      <c r="D18" s="9"/>
      <c r="E18" s="9"/>
    </row>
    <row r="19" spans="1:5">
      <c r="A19" s="9"/>
      <c r="B19" s="9"/>
      <c r="C19" s="9"/>
      <c r="D19" s="9"/>
      <c r="E19" s="9"/>
    </row>
    <row r="20" spans="1:5">
      <c r="A20" s="9"/>
      <c r="B20" s="9"/>
      <c r="C20" s="9"/>
      <c r="D20" s="9"/>
      <c r="E20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selection activeCell="G14" sqref="G14"/>
    </sheetView>
  </sheetViews>
  <sheetFormatPr baseColWidth="10" defaultColWidth="9" defaultRowHeight="14" x14ac:dyDescent="0"/>
  <cols>
    <col min="1" max="1" width="13.5" customWidth="1"/>
    <col min="2" max="2" width="24.5" customWidth="1"/>
    <col min="3" max="3" width="8.6640625" customWidth="1"/>
  </cols>
  <sheetData>
    <row r="1" spans="1:5" ht="15">
      <c r="A1" s="18" t="s">
        <v>339</v>
      </c>
      <c r="B1" s="18"/>
      <c r="C1" s="18"/>
      <c r="D1" s="18"/>
      <c r="E1" s="18"/>
    </row>
    <row r="2" spans="1:5" ht="15">
      <c r="A2" s="19"/>
      <c r="B2" s="19"/>
      <c r="C2" s="19"/>
      <c r="D2" s="19"/>
      <c r="E2" s="19"/>
    </row>
    <row r="3" spans="1:5" ht="15">
      <c r="A3" s="20" t="s">
        <v>1</v>
      </c>
      <c r="B3" s="20" t="s">
        <v>6</v>
      </c>
      <c r="C3" s="20" t="s">
        <v>3</v>
      </c>
      <c r="D3" s="20" t="s">
        <v>4</v>
      </c>
      <c r="E3" s="20" t="s">
        <v>5</v>
      </c>
    </row>
    <row r="4" spans="1:5">
      <c r="A4" s="9"/>
      <c r="B4" s="310" t="s">
        <v>418</v>
      </c>
      <c r="C4" s="9"/>
      <c r="D4" s="9"/>
      <c r="E4" s="9">
        <v>9</v>
      </c>
    </row>
    <row r="5" spans="1:5">
      <c r="A5" s="9"/>
      <c r="B5" s="9"/>
      <c r="C5" s="9"/>
      <c r="D5" s="9"/>
      <c r="E5" s="9"/>
    </row>
    <row r="6" spans="1:5">
      <c r="A6" s="9"/>
      <c r="B6" s="9"/>
      <c r="C6" s="9"/>
      <c r="D6" s="9"/>
      <c r="E6" s="9"/>
    </row>
    <row r="7" spans="1:5">
      <c r="A7" s="9"/>
      <c r="B7" s="9"/>
      <c r="C7" s="9"/>
      <c r="D7" s="9"/>
      <c r="E7" s="9"/>
    </row>
    <row r="8" spans="1:5">
      <c r="A8" s="9"/>
      <c r="B8" s="9"/>
      <c r="C8" s="9"/>
      <c r="D8" s="9"/>
      <c r="E8" s="9"/>
    </row>
    <row r="9" spans="1:5">
      <c r="A9" s="9"/>
      <c r="B9" s="9"/>
      <c r="C9" s="9"/>
      <c r="D9" s="9"/>
      <c r="E9" s="9"/>
    </row>
    <row r="10" spans="1:5">
      <c r="A10" s="9"/>
      <c r="B10" s="9"/>
      <c r="C10" s="9"/>
      <c r="D10" s="9"/>
      <c r="E10" s="9"/>
    </row>
    <row r="11" spans="1:5">
      <c r="A11" s="9"/>
      <c r="B11" s="9"/>
      <c r="C11" s="9"/>
      <c r="D11" s="9"/>
      <c r="E11" s="9"/>
    </row>
    <row r="12" spans="1:5">
      <c r="A12" s="9"/>
      <c r="B12" s="9"/>
      <c r="C12" s="9"/>
      <c r="D12" s="9"/>
      <c r="E12" s="9"/>
    </row>
    <row r="13" spans="1:5">
      <c r="A13" s="9"/>
      <c r="B13" s="9"/>
      <c r="C13" s="9"/>
      <c r="D13" s="9"/>
      <c r="E13" s="9"/>
    </row>
    <row r="14" spans="1:5">
      <c r="A14" s="9"/>
      <c r="B14" s="9"/>
      <c r="C14" s="9"/>
      <c r="D14" s="9"/>
      <c r="E14" s="9"/>
    </row>
    <row r="15" spans="1:5">
      <c r="A15" s="9"/>
      <c r="B15" s="9"/>
      <c r="C15" s="9"/>
      <c r="D15" s="9"/>
      <c r="E15" s="9"/>
    </row>
    <row r="16" spans="1:5">
      <c r="A16" s="9"/>
      <c r="B16" s="9"/>
      <c r="C16" s="9"/>
      <c r="D16" s="9"/>
      <c r="E16" s="9"/>
    </row>
    <row r="17" spans="1:5">
      <c r="A17" s="9"/>
      <c r="B17" s="9"/>
      <c r="C17" s="9"/>
      <c r="D17" s="9"/>
      <c r="E17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selection activeCell="A4" sqref="A4:XFD5"/>
    </sheetView>
  </sheetViews>
  <sheetFormatPr baseColWidth="10" defaultColWidth="9" defaultRowHeight="14" x14ac:dyDescent="0"/>
  <cols>
    <col min="1" max="1" width="13.5" customWidth="1"/>
    <col min="2" max="2" width="24.5" customWidth="1"/>
    <col min="3" max="3" width="8.6640625" customWidth="1"/>
  </cols>
  <sheetData>
    <row r="1" spans="1:5" ht="15">
      <c r="A1" s="18" t="s">
        <v>339</v>
      </c>
      <c r="B1" s="18"/>
      <c r="C1" s="18"/>
      <c r="D1" s="18"/>
      <c r="E1" s="18"/>
    </row>
    <row r="2" spans="1:5" ht="15">
      <c r="A2" s="19"/>
      <c r="B2" s="19"/>
      <c r="C2" s="19"/>
      <c r="D2" s="19"/>
      <c r="E2" s="19"/>
    </row>
    <row r="3" spans="1:5" ht="15">
      <c r="A3" s="20" t="s">
        <v>1</v>
      </c>
      <c r="B3" s="20" t="s">
        <v>6</v>
      </c>
      <c r="C3" s="20" t="s">
        <v>3</v>
      </c>
      <c r="D3" s="20" t="s">
        <v>4</v>
      </c>
      <c r="E3" s="20" t="s">
        <v>5</v>
      </c>
    </row>
    <row r="4" spans="1:5">
      <c r="A4" s="9"/>
      <c r="B4" s="310" t="s">
        <v>418</v>
      </c>
      <c r="C4" s="9"/>
      <c r="D4" s="9"/>
      <c r="E4" s="9">
        <v>9</v>
      </c>
    </row>
    <row r="5" spans="1:5">
      <c r="A5" s="9"/>
      <c r="B5" s="9"/>
      <c r="C5" s="9"/>
      <c r="D5" s="9"/>
      <c r="E5" s="9"/>
    </row>
    <row r="6" spans="1:5">
      <c r="A6" s="9"/>
      <c r="B6" s="9"/>
      <c r="C6" s="9"/>
      <c r="D6" s="9"/>
      <c r="E6" s="9"/>
    </row>
    <row r="7" spans="1:5">
      <c r="A7" s="9"/>
      <c r="B7" s="9"/>
      <c r="C7" s="9"/>
      <c r="D7" s="9"/>
      <c r="E7" s="9"/>
    </row>
    <row r="8" spans="1:5">
      <c r="A8" s="9"/>
      <c r="B8" s="9"/>
      <c r="C8" s="9"/>
      <c r="D8" s="9"/>
      <c r="E8" s="9"/>
    </row>
    <row r="9" spans="1:5">
      <c r="A9" s="9"/>
      <c r="B9" s="9"/>
      <c r="C9" s="9"/>
      <c r="D9" s="9"/>
      <c r="E9" s="9"/>
    </row>
    <row r="10" spans="1:5">
      <c r="A10" s="9"/>
      <c r="B10" s="9"/>
      <c r="C10" s="9"/>
      <c r="D10" s="9"/>
      <c r="E10" s="9"/>
    </row>
    <row r="11" spans="1:5">
      <c r="A11" s="9"/>
      <c r="B11" s="9"/>
      <c r="C11" s="9"/>
      <c r="D11" s="9"/>
      <c r="E11" s="9"/>
    </row>
    <row r="12" spans="1:5">
      <c r="A12" s="9"/>
      <c r="B12" s="9"/>
      <c r="C12" s="9"/>
      <c r="D12" s="9"/>
      <c r="E12" s="9"/>
    </row>
    <row r="13" spans="1:5">
      <c r="A13" s="9"/>
      <c r="B13" s="9"/>
      <c r="C13" s="9"/>
      <c r="D13" s="9"/>
      <c r="E13" s="9"/>
    </row>
    <row r="14" spans="1:5">
      <c r="A14" s="9"/>
      <c r="B14" s="9"/>
      <c r="C14" s="9"/>
      <c r="D14" s="9"/>
      <c r="E14" s="9"/>
    </row>
    <row r="15" spans="1:5">
      <c r="A15" s="9"/>
      <c r="B15" s="9"/>
      <c r="C15" s="9"/>
      <c r="D15" s="9"/>
      <c r="E15" s="9"/>
    </row>
    <row r="16" spans="1:5">
      <c r="A16" s="9"/>
      <c r="B16" s="9"/>
      <c r="C16" s="9"/>
      <c r="D16" s="9"/>
      <c r="E16" s="9"/>
    </row>
    <row r="17" spans="1:5">
      <c r="A17" s="9"/>
      <c r="B17" s="9"/>
      <c r="C17" s="9"/>
      <c r="D17" s="9"/>
      <c r="E17" s="9"/>
    </row>
    <row r="18" spans="1:5">
      <c r="A18" s="9"/>
      <c r="B18" s="9"/>
      <c r="C18" s="9"/>
      <c r="D18" s="9"/>
      <c r="E18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H27" sqref="H27"/>
    </sheetView>
  </sheetViews>
  <sheetFormatPr baseColWidth="10" defaultColWidth="9" defaultRowHeight="14" x14ac:dyDescent="0"/>
  <cols>
    <col min="1" max="1" width="13.5" customWidth="1"/>
    <col min="2" max="2" width="24.5" customWidth="1"/>
    <col min="3" max="3" width="8.6640625" customWidth="1"/>
  </cols>
  <sheetData>
    <row r="1" spans="1:5" ht="15">
      <c r="A1" s="18" t="s">
        <v>340</v>
      </c>
      <c r="B1" s="18"/>
      <c r="C1" s="18"/>
      <c r="D1" s="18"/>
      <c r="E1" s="18"/>
    </row>
    <row r="2" spans="1:5" ht="15">
      <c r="A2" s="19"/>
      <c r="B2" s="19"/>
      <c r="C2" s="19"/>
      <c r="D2" s="19"/>
      <c r="E2" s="19"/>
    </row>
    <row r="3" spans="1:5" ht="15">
      <c r="A3" s="20" t="s">
        <v>1</v>
      </c>
      <c r="B3" s="20" t="s">
        <v>6</v>
      </c>
      <c r="C3" s="20" t="s">
        <v>3</v>
      </c>
      <c r="D3" s="20" t="s">
        <v>4</v>
      </c>
      <c r="E3" s="20" t="s">
        <v>5</v>
      </c>
    </row>
    <row r="4" spans="1:5">
      <c r="A4" s="7"/>
      <c r="B4" s="310" t="s">
        <v>418</v>
      </c>
      <c r="C4" s="7"/>
      <c r="D4" s="7"/>
      <c r="E4" s="7">
        <v>2</v>
      </c>
    </row>
    <row r="5" spans="1:5">
      <c r="A5" s="7"/>
      <c r="B5" s="7"/>
      <c r="C5" s="7"/>
      <c r="D5" s="7"/>
      <c r="E5" s="7"/>
    </row>
    <row r="6" spans="1:5">
      <c r="A6" s="9"/>
      <c r="B6" s="9"/>
      <c r="C6" s="9"/>
      <c r="D6" s="9"/>
      <c r="E6" s="9"/>
    </row>
    <row r="7" spans="1:5">
      <c r="A7" s="9"/>
      <c r="B7" s="9"/>
      <c r="C7" s="9"/>
      <c r="D7" s="9"/>
      <c r="E7" s="9"/>
    </row>
    <row r="8" spans="1:5">
      <c r="A8" s="9"/>
      <c r="B8" s="9"/>
      <c r="C8" s="9"/>
      <c r="D8" s="9"/>
      <c r="E8" s="9"/>
    </row>
    <row r="9" spans="1:5">
      <c r="A9" s="9"/>
      <c r="B9" s="9"/>
      <c r="C9" s="9"/>
      <c r="D9" s="9"/>
      <c r="E9" s="9"/>
    </row>
    <row r="10" spans="1:5">
      <c r="A10" s="9"/>
      <c r="B10" s="9"/>
      <c r="C10" s="9"/>
      <c r="D10" s="9"/>
      <c r="E10" s="9"/>
    </row>
    <row r="11" spans="1:5">
      <c r="A11" s="9"/>
      <c r="B11" s="9"/>
      <c r="C11" s="9"/>
      <c r="D11" s="9"/>
      <c r="E11" s="9"/>
    </row>
    <row r="12" spans="1:5">
      <c r="A12" s="9"/>
      <c r="B12" s="9"/>
      <c r="C12" s="9"/>
      <c r="D12" s="9"/>
      <c r="E12" s="9"/>
    </row>
    <row r="13" spans="1:5">
      <c r="A13" s="9"/>
      <c r="B13" s="9"/>
      <c r="C13" s="9"/>
      <c r="D13" s="9"/>
      <c r="E13" s="9"/>
    </row>
    <row r="14" spans="1:5">
      <c r="A14" s="9"/>
      <c r="B14" s="9"/>
      <c r="C14" s="9"/>
      <c r="D14" s="9"/>
      <c r="E14" s="9"/>
    </row>
    <row r="15" spans="1:5">
      <c r="A15" s="9"/>
      <c r="B15" s="9"/>
      <c r="C15" s="9"/>
      <c r="D15" s="9"/>
      <c r="E15" s="9"/>
    </row>
    <row r="16" spans="1:5">
      <c r="A16" s="9"/>
      <c r="B16" s="9"/>
      <c r="C16" s="9"/>
      <c r="D16" s="9"/>
      <c r="E16" s="9"/>
    </row>
    <row r="17" spans="1:5">
      <c r="A17" s="9"/>
      <c r="B17" s="9"/>
      <c r="C17" s="9"/>
      <c r="D17" s="9"/>
      <c r="E17" s="9"/>
    </row>
    <row r="18" spans="1:5">
      <c r="A18" s="9"/>
      <c r="B18" s="9"/>
      <c r="C18" s="9"/>
      <c r="D18" s="9"/>
      <c r="E18" s="9"/>
    </row>
    <row r="19" spans="1:5">
      <c r="A19" s="9"/>
      <c r="B19" s="9"/>
      <c r="C19" s="9"/>
      <c r="D19" s="9"/>
      <c r="E19" s="9"/>
    </row>
    <row r="20" spans="1:5">
      <c r="A20" s="9"/>
      <c r="B20" s="9"/>
      <c r="C20" s="9"/>
      <c r="D20" s="9"/>
      <c r="E20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selection activeCell="A4" sqref="A4:XFD8"/>
    </sheetView>
  </sheetViews>
  <sheetFormatPr baseColWidth="10" defaultColWidth="9" defaultRowHeight="14" x14ac:dyDescent="0"/>
  <cols>
    <col min="1" max="1" width="13.5" customWidth="1"/>
    <col min="2" max="2" width="24.5" customWidth="1"/>
    <col min="3" max="3" width="8.6640625" customWidth="1"/>
  </cols>
  <sheetData>
    <row r="1" spans="1:5" ht="15">
      <c r="A1" s="18" t="s">
        <v>340</v>
      </c>
      <c r="B1" s="18"/>
      <c r="C1" s="18"/>
      <c r="D1" s="18"/>
      <c r="E1" s="18"/>
    </row>
    <row r="2" spans="1:5" ht="15">
      <c r="A2" s="19"/>
      <c r="B2" s="19"/>
      <c r="C2" s="19"/>
      <c r="D2" s="19"/>
      <c r="E2" s="19"/>
    </row>
    <row r="3" spans="1:5" ht="15">
      <c r="A3" s="20" t="s">
        <v>1</v>
      </c>
      <c r="B3" s="20" t="s">
        <v>6</v>
      </c>
      <c r="C3" s="20" t="s">
        <v>3</v>
      </c>
      <c r="D3" s="20" t="s">
        <v>4</v>
      </c>
      <c r="E3" s="20" t="s">
        <v>5</v>
      </c>
    </row>
    <row r="4" spans="1:5">
      <c r="A4" s="9"/>
      <c r="B4" s="310" t="s">
        <v>418</v>
      </c>
      <c r="C4" s="9"/>
      <c r="D4" s="9"/>
      <c r="E4" s="9">
        <v>18</v>
      </c>
    </row>
    <row r="5" spans="1:5">
      <c r="A5" s="9"/>
      <c r="B5" s="9"/>
      <c r="C5" s="9"/>
      <c r="D5" s="9"/>
      <c r="E5" s="9"/>
    </row>
    <row r="6" spans="1:5">
      <c r="A6" s="9"/>
      <c r="B6" s="9"/>
      <c r="C6" s="9"/>
      <c r="D6" s="9"/>
      <c r="E6" s="9"/>
    </row>
    <row r="7" spans="1:5">
      <c r="A7" s="9"/>
      <c r="B7" s="9"/>
      <c r="C7" s="9"/>
      <c r="D7" s="9"/>
      <c r="E7" s="9"/>
    </row>
    <row r="8" spans="1:5">
      <c r="A8" s="9"/>
      <c r="B8" s="9"/>
      <c r="C8" s="9"/>
      <c r="D8" s="9"/>
      <c r="E8" s="9"/>
    </row>
    <row r="9" spans="1:5">
      <c r="A9" s="9"/>
      <c r="B9" s="9"/>
      <c r="C9" s="9"/>
      <c r="D9" s="9"/>
      <c r="E9" s="9"/>
    </row>
    <row r="10" spans="1:5">
      <c r="A10" s="9"/>
      <c r="B10" s="9"/>
      <c r="C10" s="9"/>
      <c r="D10" s="9"/>
      <c r="E10" s="9"/>
    </row>
    <row r="11" spans="1:5">
      <c r="A11" s="9"/>
      <c r="B11" s="9"/>
      <c r="C11" s="9"/>
      <c r="D11" s="9"/>
      <c r="E11" s="9"/>
    </row>
    <row r="12" spans="1:5">
      <c r="A12" s="9"/>
      <c r="B12" s="9"/>
      <c r="C12" s="9"/>
      <c r="D12" s="9"/>
      <c r="E12" s="9"/>
    </row>
    <row r="13" spans="1:5">
      <c r="A13" s="9"/>
      <c r="B13" s="9"/>
      <c r="C13" s="9"/>
      <c r="D13" s="9"/>
      <c r="E13" s="9"/>
    </row>
    <row r="14" spans="1:5">
      <c r="A14" s="9"/>
      <c r="B14" s="9"/>
      <c r="C14" s="9"/>
      <c r="D14" s="9"/>
      <c r="E14" s="9"/>
    </row>
    <row r="15" spans="1:5">
      <c r="A15" s="9"/>
      <c r="B15" s="9"/>
      <c r="C15" s="9"/>
      <c r="D15" s="9"/>
      <c r="E15" s="9"/>
    </row>
    <row r="16" spans="1:5">
      <c r="A16" s="9"/>
      <c r="B16" s="9"/>
      <c r="C16" s="9"/>
      <c r="D16" s="9"/>
      <c r="E16" s="9"/>
    </row>
    <row r="17" spans="1:5">
      <c r="A17" s="9"/>
      <c r="B17" s="9"/>
      <c r="C17" s="9"/>
      <c r="D17" s="9"/>
      <c r="E17" s="9"/>
    </row>
    <row r="18" spans="1:5">
      <c r="A18" s="9"/>
      <c r="B18" s="9"/>
      <c r="C18" s="9"/>
      <c r="D18" s="9"/>
      <c r="E18" s="9"/>
    </row>
  </sheetData>
  <pageMargins left="0.69930555555555596" right="0.69930555555555596" top="0.75" bottom="0.75" header="0.3" footer="0.3"/>
  <pageSetup paperSize="9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A4" sqref="A4:XFD4"/>
    </sheetView>
  </sheetViews>
  <sheetFormatPr baseColWidth="10" defaultColWidth="9" defaultRowHeight="14" x14ac:dyDescent="0"/>
  <cols>
    <col min="1" max="1" width="13.5" customWidth="1"/>
    <col min="2" max="2" width="24.5" customWidth="1"/>
    <col min="3" max="3" width="8.6640625" customWidth="1"/>
  </cols>
  <sheetData>
    <row r="1" spans="1:5" ht="15">
      <c r="A1" s="18" t="s">
        <v>341</v>
      </c>
      <c r="B1" s="18"/>
      <c r="C1" s="18"/>
      <c r="D1" s="18"/>
      <c r="E1" s="18"/>
    </row>
    <row r="2" spans="1:5" ht="15">
      <c r="A2" s="19"/>
      <c r="B2" s="19"/>
      <c r="C2" s="19"/>
      <c r="D2" s="19"/>
      <c r="E2" s="19"/>
    </row>
    <row r="3" spans="1:5" ht="15">
      <c r="A3" s="20" t="s">
        <v>1</v>
      </c>
      <c r="B3" s="20" t="s">
        <v>6</v>
      </c>
      <c r="C3" s="20" t="s">
        <v>3</v>
      </c>
      <c r="D3" s="20" t="s">
        <v>4</v>
      </c>
      <c r="E3" s="20" t="s">
        <v>5</v>
      </c>
    </row>
    <row r="4" spans="1:5">
      <c r="A4" s="9"/>
      <c r="B4" s="310" t="s">
        <v>418</v>
      </c>
      <c r="C4" s="9"/>
      <c r="D4" s="9"/>
      <c r="E4" s="9">
        <v>12</v>
      </c>
    </row>
    <row r="5" spans="1:5">
      <c r="A5" s="9"/>
      <c r="B5" s="9"/>
      <c r="C5" s="9"/>
      <c r="D5" s="9"/>
      <c r="E5" s="9"/>
    </row>
    <row r="6" spans="1:5">
      <c r="A6" s="9"/>
      <c r="B6" s="9"/>
      <c r="C6" s="9"/>
      <c r="D6" s="9"/>
      <c r="E6" s="9"/>
    </row>
    <row r="7" spans="1:5">
      <c r="A7" s="9"/>
      <c r="B7" s="9"/>
      <c r="C7" s="9"/>
      <c r="D7" s="9"/>
      <c r="E7" s="9"/>
    </row>
    <row r="8" spans="1:5">
      <c r="A8" s="9"/>
      <c r="B8" s="9"/>
      <c r="C8" s="9"/>
      <c r="D8" s="9"/>
      <c r="E8" s="9"/>
    </row>
    <row r="9" spans="1:5">
      <c r="A9" s="9"/>
      <c r="B9" s="9"/>
      <c r="C9" s="9"/>
      <c r="D9" s="9"/>
      <c r="E9" s="9"/>
    </row>
    <row r="10" spans="1:5">
      <c r="A10" s="9"/>
      <c r="B10" s="9"/>
      <c r="C10" s="9"/>
      <c r="D10" s="9"/>
      <c r="E10" s="9"/>
    </row>
    <row r="11" spans="1:5">
      <c r="A11" s="9"/>
      <c r="B11" s="9"/>
      <c r="C11" s="9"/>
      <c r="D11" s="9"/>
      <c r="E11" s="9"/>
    </row>
    <row r="12" spans="1:5">
      <c r="A12" s="9"/>
      <c r="B12" s="9"/>
      <c r="C12" s="9"/>
      <c r="D12" s="9"/>
      <c r="E12" s="9"/>
    </row>
    <row r="13" spans="1:5">
      <c r="A13" s="9"/>
      <c r="B13" s="9"/>
      <c r="C13" s="9"/>
      <c r="D13" s="9"/>
      <c r="E13" s="9"/>
    </row>
    <row r="14" spans="1:5">
      <c r="A14" s="9"/>
      <c r="B14" s="9"/>
      <c r="C14" s="9"/>
      <c r="D14" s="9"/>
      <c r="E14" s="9"/>
    </row>
    <row r="15" spans="1:5">
      <c r="A15" s="9"/>
      <c r="B15" s="9"/>
      <c r="C15" s="9"/>
      <c r="D15" s="9"/>
      <c r="E15" s="9"/>
    </row>
    <row r="16" spans="1:5">
      <c r="A16" s="9"/>
      <c r="B16" s="9"/>
      <c r="C16" s="9"/>
      <c r="D16" s="9"/>
      <c r="E16" s="9"/>
    </row>
    <row r="17" spans="1:5">
      <c r="A17" s="9"/>
      <c r="B17" s="9"/>
      <c r="C17" s="9"/>
      <c r="D17" s="9"/>
      <c r="E17" s="9"/>
    </row>
    <row r="18" spans="1:5">
      <c r="A18" s="9"/>
      <c r="B18" s="9"/>
      <c r="C18" s="9"/>
      <c r="D18" s="9"/>
      <c r="E18" s="9"/>
    </row>
    <row r="19" spans="1:5">
      <c r="A19" s="9"/>
      <c r="B19" s="9"/>
      <c r="C19" s="9"/>
      <c r="D19" s="9"/>
      <c r="E19" s="9"/>
    </row>
    <row r="20" spans="1:5">
      <c r="A20" s="9"/>
      <c r="B20" s="9"/>
      <c r="C20" s="9"/>
      <c r="D20" s="9"/>
      <c r="E20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H18" sqref="H18"/>
    </sheetView>
  </sheetViews>
  <sheetFormatPr baseColWidth="10" defaultColWidth="9" defaultRowHeight="14" x14ac:dyDescent="0"/>
  <cols>
    <col min="1" max="1" width="13.5" customWidth="1"/>
    <col min="2" max="2" width="30" customWidth="1"/>
    <col min="3" max="3" width="8.6640625" customWidth="1"/>
  </cols>
  <sheetData>
    <row r="1" spans="1:5" ht="15">
      <c r="A1" s="18" t="s">
        <v>342</v>
      </c>
      <c r="B1" s="18"/>
      <c r="C1" s="18"/>
      <c r="D1" s="18"/>
      <c r="E1" s="18"/>
    </row>
    <row r="2" spans="1:5" ht="15">
      <c r="A2" s="19"/>
      <c r="B2" s="19"/>
      <c r="C2" s="19"/>
      <c r="D2" s="19"/>
      <c r="E2" s="19"/>
    </row>
    <row r="3" spans="1:5" ht="15">
      <c r="A3" s="20" t="s">
        <v>1</v>
      </c>
      <c r="B3" s="20" t="s">
        <v>6</v>
      </c>
      <c r="C3" s="20" t="s">
        <v>3</v>
      </c>
      <c r="D3" s="20" t="s">
        <v>4</v>
      </c>
      <c r="E3" s="20" t="s">
        <v>5</v>
      </c>
    </row>
    <row r="4" spans="1:5">
      <c r="A4" s="9"/>
      <c r="B4" s="310" t="s">
        <v>418</v>
      </c>
      <c r="C4" s="9"/>
      <c r="D4" s="9"/>
      <c r="E4" s="9">
        <v>80</v>
      </c>
    </row>
    <row r="5" spans="1:5">
      <c r="A5" s="9"/>
      <c r="B5" s="9"/>
      <c r="C5" s="9"/>
      <c r="D5" s="9"/>
      <c r="E5" s="9"/>
    </row>
    <row r="6" spans="1:5">
      <c r="A6" s="9"/>
      <c r="B6" s="9"/>
      <c r="C6" s="9"/>
      <c r="D6" s="9"/>
      <c r="E6" s="9"/>
    </row>
    <row r="7" spans="1:5">
      <c r="A7" s="9"/>
      <c r="B7" s="9"/>
      <c r="C7" s="9"/>
      <c r="D7" s="9"/>
      <c r="E7" s="9"/>
    </row>
    <row r="8" spans="1:5">
      <c r="A8" s="9"/>
      <c r="B8" s="9"/>
      <c r="C8" s="9"/>
      <c r="D8" s="9"/>
      <c r="E8" s="9"/>
    </row>
    <row r="9" spans="1:5">
      <c r="A9" s="9"/>
      <c r="B9" s="9"/>
      <c r="C9" s="9"/>
      <c r="D9" s="9"/>
      <c r="E9" s="9"/>
    </row>
    <row r="10" spans="1:5">
      <c r="A10" s="9"/>
      <c r="B10" s="9"/>
      <c r="C10" s="9"/>
      <c r="D10" s="9"/>
      <c r="E10" s="9"/>
    </row>
    <row r="11" spans="1:5">
      <c r="A11" s="9"/>
      <c r="B11" s="9"/>
      <c r="C11" s="9"/>
      <c r="D11" s="9"/>
      <c r="E11" s="9"/>
    </row>
  </sheetData>
  <pageMargins left="0.69930555555555596" right="0.69930555555555596" top="0.75" bottom="0.75" header="0.3" footer="0.3"/>
  <pageSetup paperSize="9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L25" sqref="L25"/>
    </sheetView>
  </sheetViews>
  <sheetFormatPr baseColWidth="10" defaultColWidth="9" defaultRowHeight="14" x14ac:dyDescent="0"/>
  <cols>
    <col min="1" max="1" width="13.5" customWidth="1"/>
    <col min="2" max="2" width="30" customWidth="1"/>
    <col min="3" max="3" width="8.6640625" customWidth="1"/>
  </cols>
  <sheetData>
    <row r="1" spans="1:5" ht="15">
      <c r="A1" s="18" t="s">
        <v>343</v>
      </c>
      <c r="B1" s="18"/>
      <c r="C1" s="18"/>
      <c r="D1" s="18"/>
      <c r="E1" s="18"/>
    </row>
    <row r="2" spans="1:5" ht="15">
      <c r="A2" s="19"/>
      <c r="B2" s="19"/>
      <c r="C2" s="19"/>
      <c r="D2" s="19"/>
      <c r="E2" s="19"/>
    </row>
    <row r="3" spans="1:5" ht="15">
      <c r="A3" s="20" t="s">
        <v>1</v>
      </c>
      <c r="B3" s="20" t="s">
        <v>6</v>
      </c>
      <c r="C3" s="20" t="s">
        <v>3</v>
      </c>
      <c r="D3" s="20" t="s">
        <v>4</v>
      </c>
      <c r="E3" s="20" t="s">
        <v>5</v>
      </c>
    </row>
    <row r="4" spans="1:5" ht="15">
      <c r="A4" s="135"/>
      <c r="B4" s="128" t="s">
        <v>418</v>
      </c>
      <c r="C4" s="26"/>
      <c r="D4" s="20"/>
      <c r="E4" s="20">
        <v>1</v>
      </c>
    </row>
    <row r="5" spans="1:5" ht="15">
      <c r="A5" s="118"/>
      <c r="B5" s="128"/>
      <c r="C5" s="20"/>
      <c r="D5" s="20"/>
      <c r="E5" s="20"/>
    </row>
    <row r="6" spans="1:5" ht="15">
      <c r="A6" s="39"/>
      <c r="B6" s="39"/>
      <c r="C6" s="26"/>
      <c r="D6" s="26"/>
      <c r="E6" s="20"/>
    </row>
    <row r="7" spans="1:5" ht="15">
      <c r="A7" s="9"/>
      <c r="B7" s="9"/>
      <c r="C7" s="26"/>
      <c r="D7" s="9"/>
      <c r="E7" s="20"/>
    </row>
    <row r="8" spans="1:5" ht="15">
      <c r="A8" s="21"/>
      <c r="B8" s="20"/>
      <c r="C8" s="9"/>
      <c r="D8" s="26"/>
      <c r="E8" s="9"/>
    </row>
    <row r="9" spans="1:5">
      <c r="A9" s="9"/>
      <c r="B9" s="9"/>
      <c r="C9" s="9"/>
      <c r="D9" s="9"/>
      <c r="E9" s="9"/>
    </row>
    <row r="10" spans="1:5">
      <c r="A10" s="9"/>
      <c r="B10" s="9"/>
      <c r="C10" s="9"/>
      <c r="D10" s="9"/>
      <c r="E10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G25" sqref="G25"/>
    </sheetView>
  </sheetViews>
  <sheetFormatPr baseColWidth="10" defaultColWidth="9" defaultRowHeight="14" x14ac:dyDescent="0"/>
  <cols>
    <col min="1" max="1" width="13.5" customWidth="1"/>
    <col min="2" max="2" width="39.83203125" customWidth="1"/>
    <col min="3" max="3" width="8.6640625" customWidth="1"/>
  </cols>
  <sheetData>
    <row r="1" spans="1:5" ht="15">
      <c r="A1" s="18" t="s">
        <v>344</v>
      </c>
      <c r="B1" s="18"/>
      <c r="C1" s="18"/>
      <c r="D1" s="18"/>
      <c r="E1" s="18"/>
    </row>
    <row r="2" spans="1:5" ht="15">
      <c r="A2" s="19"/>
      <c r="B2" s="19"/>
      <c r="C2" s="19"/>
      <c r="D2" s="19"/>
      <c r="E2" s="19"/>
    </row>
    <row r="3" spans="1:5" ht="15">
      <c r="A3" s="20" t="s">
        <v>1</v>
      </c>
      <c r="B3" s="20" t="s">
        <v>6</v>
      </c>
      <c r="C3" s="20" t="s">
        <v>3</v>
      </c>
      <c r="D3" s="20" t="s">
        <v>4</v>
      </c>
      <c r="E3" s="20" t="s">
        <v>5</v>
      </c>
    </row>
    <row r="4" spans="1:5">
      <c r="A4" s="9"/>
      <c r="B4" s="310" t="s">
        <v>418</v>
      </c>
      <c r="C4" s="9"/>
      <c r="D4" s="9"/>
      <c r="E4" s="9">
        <v>28</v>
      </c>
    </row>
    <row r="5" spans="1:5">
      <c r="A5" s="9"/>
      <c r="B5" s="9"/>
      <c r="C5" s="9"/>
      <c r="D5" s="9"/>
      <c r="E5" s="9"/>
    </row>
    <row r="6" spans="1:5">
      <c r="A6" s="9"/>
      <c r="B6" s="9"/>
      <c r="C6" s="9"/>
      <c r="D6" s="9"/>
      <c r="E6" s="9"/>
    </row>
    <row r="7" spans="1:5">
      <c r="A7" s="9"/>
      <c r="B7" s="9"/>
      <c r="C7" s="9"/>
      <c r="D7" s="9"/>
      <c r="E7" s="9"/>
    </row>
    <row r="8" spans="1:5">
      <c r="A8" s="9"/>
      <c r="B8" s="9"/>
      <c r="C8" s="9"/>
      <c r="D8" s="9"/>
      <c r="E8" s="9"/>
    </row>
    <row r="9" spans="1:5">
      <c r="A9" s="9"/>
      <c r="B9" s="9"/>
      <c r="C9" s="9"/>
      <c r="D9" s="9"/>
      <c r="E9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A4" sqref="A4:XFD5"/>
    </sheetView>
  </sheetViews>
  <sheetFormatPr baseColWidth="10" defaultColWidth="9" defaultRowHeight="14" x14ac:dyDescent="0"/>
  <cols>
    <col min="1" max="1" width="13.5" customWidth="1"/>
    <col min="2" max="2" width="35.6640625" customWidth="1"/>
    <col min="3" max="3" width="8.6640625" customWidth="1"/>
  </cols>
  <sheetData>
    <row r="1" spans="1:5" ht="15">
      <c r="A1" s="18" t="s">
        <v>345</v>
      </c>
      <c r="B1" s="18"/>
      <c r="C1" s="18"/>
      <c r="D1" s="18"/>
      <c r="E1" s="18"/>
    </row>
    <row r="2" spans="1:5" ht="15">
      <c r="A2" s="19"/>
      <c r="B2" s="19"/>
      <c r="C2" s="19"/>
      <c r="D2" s="19"/>
      <c r="E2" s="19"/>
    </row>
    <row r="3" spans="1:5" ht="15">
      <c r="A3" s="20" t="s">
        <v>1</v>
      </c>
      <c r="B3" s="20" t="s">
        <v>6</v>
      </c>
      <c r="C3" s="20" t="s">
        <v>3</v>
      </c>
      <c r="D3" s="20" t="s">
        <v>4</v>
      </c>
      <c r="E3" s="20" t="s">
        <v>5</v>
      </c>
    </row>
    <row r="4" spans="1:5">
      <c r="A4" s="9"/>
      <c r="B4" s="310" t="s">
        <v>418</v>
      </c>
      <c r="C4" s="9"/>
      <c r="D4" s="9"/>
      <c r="E4" s="9">
        <v>6</v>
      </c>
    </row>
    <row r="5" spans="1:5">
      <c r="A5" s="9"/>
      <c r="B5" s="9"/>
      <c r="C5" s="9"/>
      <c r="D5" s="9"/>
      <c r="E5" s="9"/>
    </row>
    <row r="6" spans="1:5">
      <c r="A6" s="9"/>
      <c r="B6" s="9"/>
      <c r="C6" s="9"/>
      <c r="D6" s="9"/>
      <c r="E6" s="9"/>
    </row>
    <row r="7" spans="1:5">
      <c r="A7" s="9"/>
      <c r="B7" s="9"/>
      <c r="C7" s="9"/>
      <c r="D7" s="9"/>
      <c r="E7" s="9"/>
    </row>
    <row r="8" spans="1:5">
      <c r="A8" s="9"/>
      <c r="B8" s="9"/>
      <c r="C8" s="9"/>
      <c r="D8" s="9"/>
      <c r="E8" s="9"/>
    </row>
    <row r="9" spans="1:5">
      <c r="A9" s="9"/>
      <c r="B9" s="9"/>
      <c r="C9" s="9"/>
      <c r="D9" s="9"/>
      <c r="E9" s="9"/>
    </row>
    <row r="10" spans="1:5">
      <c r="A10" s="9"/>
      <c r="B10" s="9"/>
      <c r="C10" s="9"/>
      <c r="D10" s="9"/>
      <c r="E10" s="9"/>
    </row>
    <row r="11" spans="1:5">
      <c r="A11" s="9"/>
      <c r="B11" s="9"/>
      <c r="C11" s="9"/>
      <c r="D11" s="9"/>
      <c r="E11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A5" sqref="A5:XFD5"/>
    </sheetView>
  </sheetViews>
  <sheetFormatPr baseColWidth="10" defaultColWidth="9" defaultRowHeight="14" x14ac:dyDescent="0"/>
  <cols>
    <col min="1" max="1" width="13.5" customWidth="1"/>
    <col min="2" max="2" width="35.6640625" customWidth="1"/>
    <col min="3" max="3" width="8.6640625" customWidth="1"/>
  </cols>
  <sheetData>
    <row r="1" spans="1:5" ht="15">
      <c r="A1" s="18" t="s">
        <v>346</v>
      </c>
      <c r="B1" s="18"/>
      <c r="C1" s="18"/>
      <c r="D1" s="18"/>
      <c r="E1" s="18"/>
    </row>
    <row r="2" spans="1:5" ht="15">
      <c r="A2" s="19"/>
      <c r="B2" s="19"/>
      <c r="C2" s="19"/>
      <c r="D2" s="19"/>
      <c r="E2" s="19"/>
    </row>
    <row r="3" spans="1:5" ht="15">
      <c r="A3" s="20" t="s">
        <v>1</v>
      </c>
      <c r="B3" s="20" t="s">
        <v>6</v>
      </c>
      <c r="C3" s="20" t="s">
        <v>3</v>
      </c>
      <c r="D3" s="20" t="s">
        <v>4</v>
      </c>
      <c r="E3" s="20" t="s">
        <v>5</v>
      </c>
    </row>
    <row r="4" spans="1:5">
      <c r="A4" s="9"/>
      <c r="B4" s="310" t="s">
        <v>418</v>
      </c>
      <c r="C4" s="9"/>
      <c r="D4" s="6"/>
      <c r="E4" s="9">
        <v>0</v>
      </c>
    </row>
    <row r="5" spans="1:5">
      <c r="A5" s="9"/>
      <c r="B5" s="9"/>
      <c r="C5" s="9"/>
      <c r="D5" s="9"/>
      <c r="E5" s="9"/>
    </row>
    <row r="6" spans="1:5">
      <c r="A6" s="9"/>
      <c r="B6" s="9"/>
      <c r="C6" s="9"/>
      <c r="D6" s="9"/>
      <c r="E6" s="9"/>
    </row>
    <row r="7" spans="1:5">
      <c r="A7" s="9"/>
      <c r="B7" s="9"/>
      <c r="C7" s="9"/>
      <c r="D7" s="9"/>
      <c r="E7" s="9"/>
    </row>
    <row r="8" spans="1:5">
      <c r="A8" s="9"/>
      <c r="B8" s="9"/>
      <c r="C8" s="9"/>
      <c r="D8" s="9"/>
      <c r="E8" s="9"/>
    </row>
    <row r="9" spans="1:5">
      <c r="A9" s="9"/>
      <c r="B9" s="9"/>
      <c r="C9" s="9"/>
      <c r="D9" s="9"/>
      <c r="E9" s="9"/>
    </row>
    <row r="10" spans="1:5">
      <c r="A10" s="9"/>
      <c r="B10" s="9"/>
      <c r="C10" s="9"/>
      <c r="D10" s="9"/>
      <c r="E10" s="9"/>
    </row>
    <row r="11" spans="1:5">
      <c r="A11" s="9"/>
      <c r="B11" s="9"/>
      <c r="C11" s="9"/>
      <c r="D11" s="9"/>
      <c r="E11" s="9"/>
    </row>
    <row r="12" spans="1:5">
      <c r="A12" s="9"/>
      <c r="B12" s="9"/>
      <c r="C12" s="9"/>
      <c r="D12" s="9"/>
      <c r="E12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A4" sqref="A4:XFD5"/>
    </sheetView>
  </sheetViews>
  <sheetFormatPr baseColWidth="10" defaultColWidth="9" defaultRowHeight="14" x14ac:dyDescent="0"/>
  <cols>
    <col min="1" max="1" width="13.5" customWidth="1"/>
    <col min="2" max="2" width="30" customWidth="1"/>
    <col min="3" max="3" width="8.6640625" customWidth="1"/>
  </cols>
  <sheetData>
    <row r="1" spans="1:5" ht="15">
      <c r="A1" s="18" t="s">
        <v>347</v>
      </c>
      <c r="B1" s="18"/>
      <c r="C1" s="18"/>
      <c r="D1" s="18"/>
      <c r="E1" s="18"/>
    </row>
    <row r="2" spans="1:5" ht="15">
      <c r="A2" s="19"/>
      <c r="B2" s="19"/>
      <c r="C2" s="19"/>
      <c r="D2" s="19"/>
      <c r="E2" s="19"/>
    </row>
    <row r="3" spans="1:5" ht="15">
      <c r="A3" s="20" t="s">
        <v>1</v>
      </c>
      <c r="B3" s="20" t="s">
        <v>6</v>
      </c>
      <c r="C3" s="20" t="s">
        <v>3</v>
      </c>
      <c r="D3" s="20" t="s">
        <v>4</v>
      </c>
      <c r="E3" s="20" t="s">
        <v>5</v>
      </c>
    </row>
    <row r="4" spans="1:5">
      <c r="A4" s="21"/>
      <c r="B4" s="310" t="s">
        <v>418</v>
      </c>
      <c r="C4" s="9"/>
      <c r="D4" s="26"/>
      <c r="E4" s="9">
        <v>3</v>
      </c>
    </row>
    <row r="5" spans="1:5">
      <c r="A5" s="9"/>
      <c r="B5" s="9"/>
      <c r="C5" s="9"/>
      <c r="D5" s="9"/>
      <c r="E5" s="9"/>
    </row>
    <row r="6" spans="1:5">
      <c r="A6" s="9"/>
      <c r="B6" s="9"/>
      <c r="C6" s="9"/>
      <c r="D6" s="9"/>
      <c r="E6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zoomScale="110" zoomScaleNormal="110" zoomScalePageLayoutView="110" workbookViewId="0">
      <selection activeCell="F6" sqref="F6"/>
    </sheetView>
  </sheetViews>
  <sheetFormatPr baseColWidth="10" defaultColWidth="9" defaultRowHeight="14" x14ac:dyDescent="0"/>
  <cols>
    <col min="1" max="1" width="13.5" customWidth="1"/>
    <col min="2" max="2" width="30" customWidth="1"/>
    <col min="3" max="3" width="8.6640625" customWidth="1"/>
  </cols>
  <sheetData>
    <row r="1" spans="1:6" ht="15">
      <c r="A1" s="18" t="s">
        <v>348</v>
      </c>
      <c r="B1" s="18"/>
      <c r="C1" s="18"/>
      <c r="D1" s="18"/>
      <c r="E1" s="18"/>
    </row>
    <row r="2" spans="1:6" ht="15">
      <c r="A2" s="19"/>
      <c r="B2" s="19"/>
      <c r="C2" s="19"/>
      <c r="D2" s="19"/>
      <c r="E2" s="19"/>
    </row>
    <row r="3" spans="1:6" ht="15">
      <c r="A3" s="20" t="s">
        <v>1</v>
      </c>
      <c r="B3" s="20" t="s">
        <v>6</v>
      </c>
      <c r="C3" s="20" t="s">
        <v>3</v>
      </c>
      <c r="D3" s="20" t="s">
        <v>4</v>
      </c>
      <c r="E3" s="20" t="s">
        <v>5</v>
      </c>
    </row>
    <row r="4" spans="1:6">
      <c r="A4" s="9"/>
      <c r="B4" s="310" t="s">
        <v>418</v>
      </c>
      <c r="C4" s="9"/>
      <c r="D4" s="9"/>
      <c r="E4" s="9">
        <v>70</v>
      </c>
    </row>
    <row r="5" spans="1:6">
      <c r="A5" s="9" t="s">
        <v>703</v>
      </c>
      <c r="B5" s="9" t="s">
        <v>406</v>
      </c>
      <c r="C5" s="9">
        <v>18</v>
      </c>
      <c r="D5" s="9"/>
      <c r="E5" s="9">
        <f>E4+C5-D5</f>
        <v>88</v>
      </c>
      <c r="F5" s="480" t="s">
        <v>46</v>
      </c>
    </row>
    <row r="6" spans="1:6">
      <c r="A6" s="9"/>
      <c r="B6" s="9"/>
      <c r="C6" s="9"/>
      <c r="D6" s="9"/>
      <c r="E6" s="9"/>
    </row>
    <row r="7" spans="1:6">
      <c r="A7" s="9"/>
      <c r="B7" s="9"/>
      <c r="C7" s="9"/>
      <c r="D7" s="9"/>
      <c r="E7" s="9"/>
    </row>
    <row r="8" spans="1:6">
      <c r="A8" s="9"/>
      <c r="B8" s="9"/>
      <c r="C8" s="9"/>
      <c r="D8" s="9"/>
      <c r="E8" s="9"/>
    </row>
    <row r="9" spans="1:6">
      <c r="A9" s="9"/>
      <c r="B9" s="9"/>
      <c r="C9" s="9"/>
      <c r="D9" s="9"/>
      <c r="E9" s="9"/>
    </row>
    <row r="10" spans="1:6">
      <c r="A10" s="9"/>
      <c r="B10" s="9"/>
      <c r="C10" s="9"/>
      <c r="D10" s="9"/>
      <c r="E10" s="9"/>
    </row>
    <row r="11" spans="1:6">
      <c r="A11" s="9"/>
      <c r="B11" s="9"/>
      <c r="C11" s="9"/>
      <c r="D11" s="9"/>
      <c r="E11" s="9"/>
    </row>
    <row r="12" spans="1:6">
      <c r="A12" s="9"/>
      <c r="B12" s="9"/>
      <c r="C12" s="9"/>
      <c r="D12" s="9"/>
      <c r="E12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B5" sqref="B5"/>
    </sheetView>
  </sheetViews>
  <sheetFormatPr baseColWidth="10" defaultColWidth="9" defaultRowHeight="14" x14ac:dyDescent="0"/>
  <cols>
    <col min="1" max="1" width="13.5" customWidth="1"/>
    <col min="2" max="2" width="30" customWidth="1"/>
    <col min="3" max="3" width="8.6640625" customWidth="1"/>
  </cols>
  <sheetData>
    <row r="1" spans="1:5" ht="15">
      <c r="A1" s="18" t="s">
        <v>349</v>
      </c>
      <c r="B1" s="18"/>
      <c r="C1" s="18"/>
      <c r="D1" s="18"/>
      <c r="E1" s="18"/>
    </row>
    <row r="2" spans="1:5" ht="15">
      <c r="A2" s="19"/>
      <c r="B2" s="19"/>
      <c r="C2" s="19"/>
      <c r="D2" s="19"/>
      <c r="E2" s="19"/>
    </row>
    <row r="3" spans="1:5" ht="15">
      <c r="A3" s="20" t="s">
        <v>1</v>
      </c>
      <c r="B3" s="20" t="s">
        <v>6</v>
      </c>
      <c r="C3" s="20" t="s">
        <v>3</v>
      </c>
      <c r="D3" s="20" t="s">
        <v>4</v>
      </c>
      <c r="E3" s="20" t="s">
        <v>5</v>
      </c>
    </row>
    <row r="4" spans="1:5" ht="15">
      <c r="A4" s="126"/>
      <c r="B4" s="310" t="s">
        <v>418</v>
      </c>
      <c r="C4" s="118"/>
      <c r="D4" s="20"/>
      <c r="E4" s="20">
        <v>7</v>
      </c>
    </row>
    <row r="5" spans="1:5" ht="15">
      <c r="A5" s="20"/>
      <c r="B5" s="9"/>
      <c r="C5" s="26"/>
      <c r="D5" s="9"/>
      <c r="E5" s="9"/>
    </row>
    <row r="6" spans="1:5">
      <c r="A6" s="46"/>
      <c r="B6" s="26"/>
      <c r="C6" s="9"/>
      <c r="D6" s="26"/>
      <c r="E6" s="9"/>
    </row>
    <row r="7" spans="1:5">
      <c r="A7" s="21"/>
      <c r="B7" s="9"/>
      <c r="C7" s="9"/>
      <c r="D7" s="26"/>
      <c r="E7" s="9"/>
    </row>
    <row r="8" spans="1:5">
      <c r="A8" s="9"/>
      <c r="B8" s="9"/>
      <c r="C8" s="9"/>
      <c r="D8" s="9"/>
      <c r="E8" s="9"/>
    </row>
    <row r="9" spans="1:5">
      <c r="A9" s="9"/>
      <c r="B9" s="9"/>
      <c r="C9" s="9"/>
      <c r="D9" s="9"/>
      <c r="E9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F19" sqref="F19"/>
    </sheetView>
  </sheetViews>
  <sheetFormatPr baseColWidth="10" defaultColWidth="9" defaultRowHeight="14" x14ac:dyDescent="0"/>
  <cols>
    <col min="1" max="1" width="13.5" customWidth="1"/>
    <col min="2" max="2" width="30" customWidth="1"/>
    <col min="3" max="3" width="8.6640625" customWidth="1"/>
  </cols>
  <sheetData>
    <row r="1" spans="1:5" ht="15">
      <c r="A1" s="18" t="s">
        <v>350</v>
      </c>
      <c r="B1" s="18"/>
      <c r="C1" s="18"/>
      <c r="D1" s="18"/>
      <c r="E1" s="18"/>
    </row>
    <row r="2" spans="1:5" ht="15">
      <c r="A2" s="19"/>
      <c r="B2" s="19"/>
      <c r="C2" s="19"/>
      <c r="D2" s="19"/>
      <c r="E2" s="19"/>
    </row>
    <row r="3" spans="1:5" ht="15">
      <c r="A3" s="20" t="s">
        <v>1</v>
      </c>
      <c r="B3" s="20" t="s">
        <v>6</v>
      </c>
      <c r="C3" s="20" t="s">
        <v>3</v>
      </c>
      <c r="D3" s="20" t="s">
        <v>4</v>
      </c>
      <c r="E3" s="20" t="s">
        <v>5</v>
      </c>
    </row>
    <row r="4" spans="1:5">
      <c r="A4" s="9"/>
      <c r="B4" s="310" t="s">
        <v>418</v>
      </c>
      <c r="C4" s="9"/>
      <c r="D4" s="26"/>
      <c r="E4" s="9">
        <v>40</v>
      </c>
    </row>
    <row r="5" spans="1:5">
      <c r="A5" s="9"/>
      <c r="B5" s="9"/>
      <c r="C5" s="9"/>
      <c r="D5" s="9"/>
      <c r="E5" s="9"/>
    </row>
    <row r="6" spans="1:5">
      <c r="A6" s="9"/>
      <c r="B6" s="9"/>
      <c r="C6" s="9"/>
      <c r="D6" s="9"/>
      <c r="E6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B5" sqref="B5"/>
    </sheetView>
  </sheetViews>
  <sheetFormatPr baseColWidth="10" defaultColWidth="9" defaultRowHeight="14" x14ac:dyDescent="0"/>
  <cols>
    <col min="1" max="1" width="13.5" customWidth="1"/>
    <col min="2" max="2" width="30" customWidth="1"/>
    <col min="3" max="3" width="8.6640625" customWidth="1"/>
  </cols>
  <sheetData>
    <row r="1" spans="1:5" ht="15">
      <c r="A1" s="18" t="s">
        <v>351</v>
      </c>
      <c r="B1" s="18"/>
      <c r="C1" s="18"/>
      <c r="D1" s="18"/>
      <c r="E1" s="18"/>
    </row>
    <row r="2" spans="1:5" ht="15">
      <c r="A2" s="19"/>
      <c r="B2" s="19"/>
      <c r="C2" s="19"/>
      <c r="D2" s="19"/>
      <c r="E2" s="19"/>
    </row>
    <row r="3" spans="1:5" ht="15">
      <c r="A3" s="20" t="s">
        <v>1</v>
      </c>
      <c r="B3" s="20" t="s">
        <v>6</v>
      </c>
      <c r="C3" s="20" t="s">
        <v>3</v>
      </c>
      <c r="D3" s="20" t="s">
        <v>4</v>
      </c>
      <c r="E3" s="20" t="s">
        <v>5</v>
      </c>
    </row>
    <row r="4" spans="1:5">
      <c r="A4" s="9"/>
      <c r="B4" s="34" t="s">
        <v>418</v>
      </c>
      <c r="C4" s="26"/>
      <c r="D4" s="9"/>
      <c r="E4" s="9">
        <v>1</v>
      </c>
    </row>
    <row r="5" spans="1:5">
      <c r="A5" s="46"/>
      <c r="B5" s="26"/>
      <c r="C5" s="9"/>
      <c r="D5" s="26"/>
      <c r="E5" s="9"/>
    </row>
    <row r="6" spans="1:5">
      <c r="A6" s="21"/>
      <c r="B6" s="9"/>
      <c r="C6" s="9"/>
      <c r="D6" s="26"/>
      <c r="E6" s="9"/>
    </row>
    <row r="7" spans="1:5">
      <c r="A7" s="9"/>
      <c r="B7" s="9"/>
      <c r="C7" s="9"/>
      <c r="D7" s="9"/>
      <c r="E7" s="9"/>
    </row>
    <row r="8" spans="1:5">
      <c r="A8" s="9"/>
      <c r="B8" s="9"/>
      <c r="C8" s="9"/>
      <c r="D8" s="9"/>
      <c r="E8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selection activeCell="K26" sqref="K26"/>
    </sheetView>
  </sheetViews>
  <sheetFormatPr baseColWidth="10" defaultColWidth="9" defaultRowHeight="14" x14ac:dyDescent="0"/>
  <cols>
    <col min="1" max="1" width="13.5" customWidth="1"/>
    <col min="2" max="2" width="30" customWidth="1"/>
    <col min="3" max="3" width="8.6640625" customWidth="1"/>
  </cols>
  <sheetData>
    <row r="1" spans="1:5" ht="15">
      <c r="A1" s="18" t="s">
        <v>352</v>
      </c>
      <c r="B1" s="18"/>
      <c r="C1" s="18"/>
      <c r="D1" s="18"/>
      <c r="E1" s="18"/>
    </row>
    <row r="2" spans="1:5" ht="15">
      <c r="A2" s="19"/>
      <c r="B2" s="19"/>
      <c r="C2" s="19"/>
      <c r="D2" s="19"/>
      <c r="E2" s="19"/>
    </row>
    <row r="3" spans="1:5" ht="15">
      <c r="A3" s="20" t="s">
        <v>1</v>
      </c>
      <c r="B3" s="20" t="s">
        <v>6</v>
      </c>
      <c r="C3" s="20" t="s">
        <v>3</v>
      </c>
      <c r="D3" s="20" t="s">
        <v>4</v>
      </c>
      <c r="E3" s="20" t="s">
        <v>5</v>
      </c>
    </row>
    <row r="4" spans="1:5">
      <c r="A4" s="21"/>
      <c r="B4" s="310" t="s">
        <v>418</v>
      </c>
      <c r="C4" s="9"/>
      <c r="D4" s="9"/>
      <c r="E4" s="9">
        <v>10</v>
      </c>
    </row>
    <row r="5" spans="1:5">
      <c r="A5" s="21"/>
      <c r="B5" s="9"/>
      <c r="C5" s="9"/>
      <c r="D5" s="9"/>
      <c r="E5" s="9"/>
    </row>
    <row r="6" spans="1:5">
      <c r="A6" s="21"/>
      <c r="B6" s="9"/>
      <c r="C6" s="9"/>
      <c r="D6" s="9"/>
      <c r="E6" s="9"/>
    </row>
    <row r="7" spans="1:5">
      <c r="A7" s="21"/>
      <c r="B7" s="9"/>
      <c r="C7" s="9"/>
      <c r="D7" s="9"/>
      <c r="E7" s="9"/>
    </row>
    <row r="8" spans="1:5">
      <c r="A8" s="21"/>
      <c r="B8" s="9"/>
      <c r="C8" s="9"/>
      <c r="D8" s="9"/>
      <c r="E8" s="9"/>
    </row>
    <row r="9" spans="1:5">
      <c r="A9" s="21"/>
      <c r="B9" s="9"/>
      <c r="C9" s="9"/>
      <c r="D9" s="9"/>
      <c r="E9" s="9"/>
    </row>
    <row r="10" spans="1:5">
      <c r="A10" s="21"/>
      <c r="B10" s="9"/>
      <c r="C10" s="9"/>
      <c r="D10" s="9"/>
      <c r="E10" s="9"/>
    </row>
    <row r="11" spans="1:5">
      <c r="A11" s="21"/>
      <c r="B11" s="9"/>
      <c r="C11" s="9"/>
      <c r="D11" s="9"/>
      <c r="E11" s="9"/>
    </row>
    <row r="12" spans="1:5">
      <c r="A12" s="21"/>
      <c r="B12" s="9"/>
      <c r="C12" s="9"/>
      <c r="D12" s="9"/>
      <c r="E12" s="9"/>
    </row>
    <row r="13" spans="1:5">
      <c r="A13" s="21"/>
      <c r="B13" s="9"/>
      <c r="C13" s="9"/>
      <c r="D13" s="9"/>
      <c r="E13" s="9"/>
    </row>
    <row r="14" spans="1:5">
      <c r="A14" s="21"/>
      <c r="B14" s="9"/>
      <c r="C14" s="9"/>
      <c r="D14" s="9"/>
      <c r="E14" s="9"/>
    </row>
    <row r="15" spans="1:5">
      <c r="A15" s="21"/>
      <c r="B15" s="9"/>
      <c r="C15" s="9"/>
      <c r="D15" s="9"/>
      <c r="E15" s="9"/>
    </row>
    <row r="16" spans="1:5">
      <c r="A16" s="21"/>
      <c r="B16" s="9"/>
      <c r="C16" s="9"/>
      <c r="D16" s="9"/>
      <c r="E16" s="9"/>
    </row>
    <row r="17" spans="1:5">
      <c r="A17" s="21"/>
      <c r="B17" s="9"/>
      <c r="C17" s="9"/>
      <c r="D17" s="9"/>
      <c r="E17" s="9"/>
    </row>
    <row r="18" spans="1:5">
      <c r="A18" s="9"/>
      <c r="B18" s="9"/>
      <c r="C18" s="9"/>
      <c r="D18" s="9"/>
      <c r="E18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G23" sqref="G23"/>
    </sheetView>
  </sheetViews>
  <sheetFormatPr baseColWidth="10" defaultColWidth="9" defaultRowHeight="14" x14ac:dyDescent="0"/>
  <cols>
    <col min="1" max="1" width="13.5" customWidth="1"/>
    <col min="2" max="2" width="30" customWidth="1"/>
    <col min="3" max="3" width="8.6640625" customWidth="1"/>
  </cols>
  <sheetData>
    <row r="1" spans="1:5" ht="15">
      <c r="A1" s="18" t="s">
        <v>353</v>
      </c>
      <c r="B1" s="18"/>
      <c r="C1" s="18"/>
      <c r="D1" s="18"/>
      <c r="E1" s="18"/>
    </row>
    <row r="2" spans="1:5" ht="15">
      <c r="A2" s="19"/>
      <c r="B2" s="19"/>
      <c r="C2" s="19"/>
      <c r="D2" s="19"/>
      <c r="E2" s="19"/>
    </row>
    <row r="3" spans="1:5" ht="15">
      <c r="A3" s="20" t="s">
        <v>1</v>
      </c>
      <c r="B3" s="20" t="s">
        <v>6</v>
      </c>
      <c r="C3" s="20" t="s">
        <v>3</v>
      </c>
      <c r="D3" s="20" t="s">
        <v>4</v>
      </c>
      <c r="E3" s="20" t="s">
        <v>5</v>
      </c>
    </row>
    <row r="4" spans="1:5">
      <c r="A4" s="9"/>
      <c r="B4" s="310" t="s">
        <v>418</v>
      </c>
      <c r="C4" s="9"/>
      <c r="D4" s="9"/>
      <c r="E4" s="9">
        <v>22</v>
      </c>
    </row>
    <row r="5" spans="1:5">
      <c r="A5" s="9"/>
      <c r="B5" s="9"/>
      <c r="C5" s="9"/>
      <c r="D5" s="9"/>
      <c r="E5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selection activeCell="A8" sqref="A4:XFD8"/>
    </sheetView>
  </sheetViews>
  <sheetFormatPr baseColWidth="10" defaultColWidth="9" defaultRowHeight="14" x14ac:dyDescent="0"/>
  <cols>
    <col min="1" max="1" width="13.5" customWidth="1"/>
    <col min="2" max="2" width="30" customWidth="1"/>
    <col min="3" max="3" width="8.6640625" customWidth="1"/>
  </cols>
  <sheetData>
    <row r="1" spans="1:5" ht="15">
      <c r="A1" s="18" t="s">
        <v>354</v>
      </c>
      <c r="B1" s="18"/>
      <c r="C1" s="18"/>
      <c r="D1" s="18"/>
      <c r="E1" s="18"/>
    </row>
    <row r="2" spans="1:5" ht="15">
      <c r="A2" s="19"/>
      <c r="B2" s="19"/>
      <c r="C2" s="19"/>
      <c r="D2" s="19"/>
      <c r="E2" s="19"/>
    </row>
    <row r="3" spans="1:5" ht="15">
      <c r="A3" s="20" t="s">
        <v>1</v>
      </c>
      <c r="B3" s="20" t="s">
        <v>6</v>
      </c>
      <c r="C3" s="20" t="s">
        <v>3</v>
      </c>
      <c r="D3" s="20" t="s">
        <v>4</v>
      </c>
      <c r="E3" s="20" t="s">
        <v>5</v>
      </c>
    </row>
    <row r="4" spans="1:5">
      <c r="A4" s="9"/>
      <c r="B4" s="310" t="s">
        <v>418</v>
      </c>
      <c r="C4" s="9"/>
      <c r="D4" s="9"/>
      <c r="E4" s="9">
        <v>69</v>
      </c>
    </row>
    <row r="5" spans="1:5">
      <c r="A5" s="9"/>
      <c r="B5" s="9"/>
      <c r="C5" s="9"/>
      <c r="D5" s="9"/>
      <c r="E5" s="9"/>
    </row>
    <row r="6" spans="1:5">
      <c r="A6" s="9"/>
      <c r="B6" s="9"/>
      <c r="C6" s="9"/>
      <c r="D6" s="9"/>
      <c r="E6" s="9"/>
    </row>
    <row r="7" spans="1:5">
      <c r="A7" s="9"/>
      <c r="B7" s="9"/>
      <c r="C7" s="9"/>
      <c r="D7" s="9"/>
      <c r="E7" s="9"/>
    </row>
    <row r="8" spans="1:5">
      <c r="A8" s="9"/>
      <c r="B8" s="9"/>
      <c r="C8" s="9"/>
      <c r="D8" s="9"/>
      <c r="E8" s="9"/>
    </row>
    <row r="9" spans="1:5">
      <c r="A9" s="9"/>
      <c r="B9" s="9"/>
      <c r="C9" s="9"/>
      <c r="D9" s="9"/>
      <c r="E9" s="9"/>
    </row>
    <row r="10" spans="1:5">
      <c r="A10" s="9"/>
      <c r="B10" s="9"/>
      <c r="C10" s="9"/>
      <c r="D10" s="9"/>
      <c r="E10" s="9"/>
    </row>
    <row r="11" spans="1:5">
      <c r="A11" s="9"/>
      <c r="B11" s="9"/>
      <c r="C11" s="9"/>
      <c r="D11" s="9"/>
      <c r="E11" s="9"/>
    </row>
    <row r="12" spans="1:5">
      <c r="A12" s="9"/>
      <c r="B12" s="9"/>
      <c r="C12" s="9"/>
      <c r="D12" s="9"/>
      <c r="E12" s="9"/>
    </row>
    <row r="13" spans="1:5">
      <c r="A13" s="9"/>
      <c r="B13" s="9"/>
      <c r="C13" s="9"/>
      <c r="D13" s="9"/>
      <c r="E13" s="9"/>
    </row>
    <row r="14" spans="1:5">
      <c r="A14" s="9"/>
      <c r="B14" s="9"/>
      <c r="C14" s="9"/>
      <c r="D14" s="9"/>
      <c r="E14" s="9"/>
    </row>
    <row r="15" spans="1:5">
      <c r="A15" s="9"/>
      <c r="B15" s="9"/>
      <c r="C15" s="9"/>
      <c r="D15" s="9"/>
      <c r="E15" s="9"/>
    </row>
    <row r="16" spans="1:5">
      <c r="A16" s="9"/>
      <c r="B16" s="9"/>
      <c r="C16" s="9"/>
      <c r="D16" s="9"/>
      <c r="E16" s="9"/>
    </row>
    <row r="17" spans="1:5">
      <c r="A17" s="9"/>
      <c r="B17" s="9"/>
      <c r="C17" s="9"/>
      <c r="D17" s="9"/>
      <c r="E17" s="9"/>
    </row>
    <row r="18" spans="1:5">
      <c r="A18" s="9"/>
      <c r="B18" s="9"/>
      <c r="C18" s="9"/>
      <c r="D18" s="9"/>
      <c r="E18" s="9"/>
    </row>
    <row r="19" spans="1:5">
      <c r="A19" s="9"/>
      <c r="B19" s="9"/>
      <c r="C19" s="9"/>
      <c r="D19" s="9"/>
      <c r="E19" s="9"/>
    </row>
    <row r="20" spans="1:5">
      <c r="A20" s="9"/>
      <c r="B20" s="9"/>
      <c r="C20" s="9"/>
      <c r="D20" s="9"/>
      <c r="E20" s="9"/>
    </row>
    <row r="21" spans="1:5">
      <c r="A21" s="9"/>
      <c r="B21" s="9"/>
      <c r="C21" s="9"/>
      <c r="D21" s="9"/>
      <c r="E21" s="9"/>
    </row>
    <row r="22" spans="1:5">
      <c r="A22" s="9"/>
      <c r="B22" s="9"/>
      <c r="C22" s="9"/>
      <c r="D22" s="9"/>
      <c r="E22" s="9"/>
    </row>
    <row r="23" spans="1:5">
      <c r="A23" s="9"/>
      <c r="B23" s="9"/>
      <c r="C23" s="9"/>
      <c r="D23" s="9"/>
      <c r="E23" s="9"/>
    </row>
    <row r="24" spans="1:5">
      <c r="A24" s="9"/>
      <c r="B24" s="9"/>
      <c r="C24" s="9"/>
      <c r="D24" s="9"/>
      <c r="E24" s="9"/>
    </row>
    <row r="25" spans="1:5">
      <c r="A25" s="9"/>
      <c r="B25" s="9"/>
      <c r="C25" s="9"/>
      <c r="D25" s="9"/>
      <c r="E25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A4" sqref="A4:XFD5"/>
    </sheetView>
  </sheetViews>
  <sheetFormatPr baseColWidth="10" defaultColWidth="9" defaultRowHeight="14" x14ac:dyDescent="0"/>
  <cols>
    <col min="1" max="1" width="13.5" customWidth="1"/>
    <col min="2" max="2" width="30" customWidth="1"/>
    <col min="3" max="3" width="8.6640625" customWidth="1"/>
  </cols>
  <sheetData>
    <row r="1" spans="1:5" ht="15">
      <c r="A1" s="18" t="s">
        <v>355</v>
      </c>
      <c r="B1" s="18"/>
      <c r="C1" s="18"/>
      <c r="D1" s="18"/>
      <c r="E1" s="18"/>
    </row>
    <row r="2" spans="1:5" ht="15">
      <c r="A2" s="19"/>
      <c r="B2" s="19"/>
      <c r="C2" s="19"/>
      <c r="D2" s="19"/>
      <c r="E2" s="19"/>
    </row>
    <row r="3" spans="1:5" ht="15">
      <c r="A3" s="20" t="s">
        <v>1</v>
      </c>
      <c r="B3" s="20" t="s">
        <v>6</v>
      </c>
      <c r="C3" s="20" t="s">
        <v>3</v>
      </c>
      <c r="D3" s="20" t="s">
        <v>4</v>
      </c>
      <c r="E3" s="20" t="s">
        <v>5</v>
      </c>
    </row>
    <row r="4" spans="1:5">
      <c r="A4" s="46"/>
      <c r="B4" s="26" t="s">
        <v>418</v>
      </c>
      <c r="C4" s="9"/>
      <c r="D4" s="26"/>
      <c r="E4" s="9">
        <v>0</v>
      </c>
    </row>
    <row r="5" spans="1:5">
      <c r="A5" s="21"/>
      <c r="B5" s="9"/>
      <c r="C5" s="9"/>
      <c r="D5" s="26"/>
      <c r="E5" s="9"/>
    </row>
    <row r="6" spans="1:5">
      <c r="A6" s="9"/>
      <c r="B6" s="9"/>
      <c r="C6" s="9"/>
      <c r="D6" s="9"/>
      <c r="E6" s="9"/>
    </row>
    <row r="7" spans="1:5">
      <c r="A7" s="9"/>
      <c r="B7" s="9"/>
      <c r="C7" s="9"/>
      <c r="D7" s="9"/>
      <c r="E7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Views>
    <sheetView workbookViewId="0">
      <selection activeCell="F16" sqref="F16"/>
    </sheetView>
  </sheetViews>
  <sheetFormatPr baseColWidth="10" defaultColWidth="9" defaultRowHeight="15" x14ac:dyDescent="0"/>
  <cols>
    <col min="1" max="1" width="13.5" style="129" customWidth="1"/>
    <col min="2" max="2" width="30" style="129" customWidth="1"/>
    <col min="3" max="3" width="8.6640625" style="129" customWidth="1"/>
    <col min="4" max="5" width="9" style="129"/>
  </cols>
  <sheetData>
    <row r="2" spans="1:5">
      <c r="A2" s="130" t="s">
        <v>356</v>
      </c>
      <c r="B2" s="130"/>
      <c r="C2" s="130"/>
      <c r="D2" s="130"/>
      <c r="E2" s="130"/>
    </row>
    <row r="3" spans="1:5">
      <c r="A3" s="131"/>
      <c r="B3" s="131"/>
      <c r="C3" s="131"/>
      <c r="D3" s="131"/>
      <c r="E3" s="131"/>
    </row>
    <row r="4" spans="1:5">
      <c r="A4" s="132" t="s">
        <v>1</v>
      </c>
      <c r="B4" s="132" t="s">
        <v>6</v>
      </c>
      <c r="C4" s="132" t="s">
        <v>3</v>
      </c>
      <c r="D4" s="132" t="s">
        <v>4</v>
      </c>
      <c r="E4" s="132" t="s">
        <v>5</v>
      </c>
    </row>
    <row r="5" spans="1:5">
      <c r="A5" s="133"/>
      <c r="B5" s="134" t="s">
        <v>418</v>
      </c>
      <c r="C5" s="128"/>
      <c r="D5" s="134"/>
      <c r="E5" s="128">
        <v>0</v>
      </c>
    </row>
    <row r="6" spans="1:5">
      <c r="A6" s="135"/>
      <c r="B6" s="128"/>
      <c r="C6" s="128"/>
      <c r="D6" s="134"/>
      <c r="E6" s="128"/>
    </row>
    <row r="7" spans="1:5">
      <c r="A7" s="128"/>
      <c r="B7" s="128"/>
      <c r="C7" s="128"/>
      <c r="D7" s="128"/>
      <c r="E7" s="128"/>
    </row>
    <row r="8" spans="1:5">
      <c r="A8" s="128"/>
      <c r="B8" s="128"/>
      <c r="C8" s="128"/>
      <c r="D8" s="128"/>
      <c r="E8" s="128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9"/>
  <sheetViews>
    <sheetView workbookViewId="0">
      <selection activeCell="B6" sqref="B6"/>
    </sheetView>
  </sheetViews>
  <sheetFormatPr baseColWidth="10" defaultColWidth="9" defaultRowHeight="15" x14ac:dyDescent="0"/>
  <cols>
    <col min="1" max="1" width="13.5" style="129" customWidth="1"/>
    <col min="2" max="2" width="30" style="129" customWidth="1"/>
    <col min="3" max="3" width="8.6640625" style="129" customWidth="1"/>
    <col min="4" max="5" width="9" style="129"/>
  </cols>
  <sheetData>
    <row r="2" spans="1:5">
      <c r="A2" s="130" t="s">
        <v>357</v>
      </c>
      <c r="B2" s="130"/>
      <c r="C2" s="130"/>
      <c r="D2" s="130"/>
      <c r="E2" s="130"/>
    </row>
    <row r="3" spans="1:5">
      <c r="A3" s="131"/>
      <c r="B3" s="131"/>
      <c r="C3" s="131"/>
      <c r="D3" s="131"/>
      <c r="E3" s="131"/>
    </row>
    <row r="4" spans="1:5">
      <c r="A4" s="132" t="s">
        <v>1</v>
      </c>
      <c r="B4" s="132" t="s">
        <v>6</v>
      </c>
      <c r="C4" s="132" t="s">
        <v>3</v>
      </c>
      <c r="D4" s="132" t="s">
        <v>4</v>
      </c>
      <c r="E4" s="132" t="s">
        <v>5</v>
      </c>
    </row>
    <row r="5" spans="1:5">
      <c r="A5" s="46"/>
      <c r="B5" s="128" t="s">
        <v>418</v>
      </c>
      <c r="C5" s="134"/>
      <c r="D5" s="128"/>
      <c r="E5" s="128">
        <v>8</v>
      </c>
    </row>
    <row r="6" spans="1:5">
      <c r="A6" s="133"/>
      <c r="B6" s="134"/>
      <c r="C6" s="128"/>
      <c r="D6" s="134"/>
      <c r="E6" s="128"/>
    </row>
    <row r="7" spans="1:5">
      <c r="A7" s="135"/>
      <c r="B7" s="128"/>
      <c r="C7" s="128"/>
      <c r="D7" s="134"/>
      <c r="E7" s="128"/>
    </row>
    <row r="8" spans="1:5">
      <c r="A8" s="128"/>
      <c r="B8" s="128"/>
      <c r="C8" s="128"/>
      <c r="D8" s="128"/>
      <c r="E8" s="128"/>
    </row>
    <row r="9" spans="1:5">
      <c r="A9" s="128"/>
      <c r="B9" s="128"/>
      <c r="C9" s="128"/>
      <c r="D9" s="128"/>
      <c r="E9" s="128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Views>
    <sheetView workbookViewId="0">
      <selection activeCell="A5" sqref="A5:XFD6"/>
    </sheetView>
  </sheetViews>
  <sheetFormatPr baseColWidth="10" defaultColWidth="9" defaultRowHeight="15" x14ac:dyDescent="0"/>
  <cols>
    <col min="1" max="1" width="13.5" style="129" customWidth="1"/>
    <col min="2" max="2" width="30" style="129" customWidth="1"/>
    <col min="3" max="3" width="8.6640625" style="129" customWidth="1"/>
    <col min="4" max="5" width="9" style="129"/>
  </cols>
  <sheetData>
    <row r="2" spans="1:5">
      <c r="A2" s="130" t="s">
        <v>358</v>
      </c>
      <c r="B2" s="130"/>
      <c r="C2" s="130"/>
      <c r="D2" s="130"/>
      <c r="E2" s="130"/>
    </row>
    <row r="3" spans="1:5">
      <c r="A3" s="131"/>
      <c r="B3" s="131"/>
      <c r="C3" s="131"/>
      <c r="D3" s="131"/>
      <c r="E3" s="131"/>
    </row>
    <row r="4" spans="1:5">
      <c r="A4" s="132" t="s">
        <v>1</v>
      </c>
      <c r="B4" s="132" t="s">
        <v>6</v>
      </c>
      <c r="C4" s="132" t="s">
        <v>3</v>
      </c>
      <c r="D4" s="132" t="s">
        <v>4</v>
      </c>
      <c r="E4" s="132" t="s">
        <v>5</v>
      </c>
    </row>
    <row r="5" spans="1:5">
      <c r="A5" s="133"/>
      <c r="B5" s="134" t="s">
        <v>418</v>
      </c>
      <c r="C5" s="128"/>
      <c r="D5" s="134"/>
      <c r="E5" s="128">
        <v>0</v>
      </c>
    </row>
    <row r="6" spans="1:5">
      <c r="A6" s="135"/>
      <c r="B6" s="128"/>
      <c r="C6" s="128"/>
      <c r="D6" s="134"/>
      <c r="E6" s="128"/>
    </row>
    <row r="7" spans="1:5">
      <c r="A7" s="128"/>
      <c r="B7" s="128"/>
      <c r="C7" s="128"/>
      <c r="D7" s="128"/>
      <c r="E7" s="128"/>
    </row>
    <row r="8" spans="1:5">
      <c r="A8" s="128"/>
      <c r="B8" s="128"/>
      <c r="C8" s="128"/>
      <c r="D8" s="128"/>
      <c r="E8" s="128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N22" sqref="N22"/>
    </sheetView>
  </sheetViews>
  <sheetFormatPr baseColWidth="10" defaultColWidth="9" defaultRowHeight="14" x14ac:dyDescent="0"/>
  <cols>
    <col min="1" max="1" width="13.5" customWidth="1"/>
    <col min="2" max="2" width="30" customWidth="1"/>
    <col min="3" max="3" width="8.6640625" customWidth="1"/>
  </cols>
  <sheetData>
    <row r="1" spans="1:5" ht="15">
      <c r="A1" s="18" t="s">
        <v>359</v>
      </c>
      <c r="B1" s="18"/>
      <c r="C1" s="18"/>
      <c r="D1" s="18"/>
      <c r="E1" s="18"/>
    </row>
    <row r="2" spans="1:5" ht="15">
      <c r="A2" s="19"/>
      <c r="B2" s="19"/>
      <c r="C2" s="19"/>
      <c r="D2" s="19"/>
      <c r="E2" s="19"/>
    </row>
    <row r="3" spans="1:5" ht="15">
      <c r="A3" s="20" t="s">
        <v>1</v>
      </c>
      <c r="B3" s="20" t="s">
        <v>6</v>
      </c>
      <c r="C3" s="20" t="s">
        <v>3</v>
      </c>
      <c r="D3" s="20" t="s">
        <v>4</v>
      </c>
      <c r="E3" s="20" t="s">
        <v>5</v>
      </c>
    </row>
    <row r="4" spans="1:5" ht="15">
      <c r="A4" s="126"/>
      <c r="B4" s="310" t="s">
        <v>418</v>
      </c>
      <c r="C4" s="118"/>
      <c r="D4" s="20"/>
      <c r="E4" s="20">
        <v>12</v>
      </c>
    </row>
    <row r="5" spans="1:5" ht="15">
      <c r="A5" s="20"/>
      <c r="B5" s="9"/>
      <c r="C5" s="26"/>
      <c r="D5" s="9"/>
      <c r="E5" s="9"/>
    </row>
    <row r="6" spans="1:5">
      <c r="A6" s="46"/>
      <c r="B6" s="26"/>
      <c r="C6" s="9"/>
      <c r="D6" s="26"/>
      <c r="E6" s="9"/>
    </row>
    <row r="7" spans="1:5">
      <c r="A7" s="21"/>
      <c r="B7" s="9"/>
      <c r="C7" s="9"/>
      <c r="D7" s="26"/>
      <c r="E7" s="9"/>
    </row>
    <row r="8" spans="1:5">
      <c r="A8" s="9"/>
      <c r="B8" s="9"/>
      <c r="C8" s="9"/>
      <c r="D8" s="9"/>
      <c r="E8" s="9"/>
    </row>
    <row r="9" spans="1:5">
      <c r="A9" s="9"/>
      <c r="B9" s="9"/>
      <c r="C9" s="9"/>
      <c r="D9" s="9"/>
      <c r="E9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I29" sqref="I29"/>
    </sheetView>
  </sheetViews>
  <sheetFormatPr baseColWidth="10" defaultColWidth="9" defaultRowHeight="14" x14ac:dyDescent="0"/>
  <cols>
    <col min="1" max="1" width="13.5" customWidth="1"/>
    <col min="2" max="2" width="30" customWidth="1"/>
    <col min="3" max="3" width="8.6640625" customWidth="1"/>
  </cols>
  <sheetData>
    <row r="1" spans="1:5" ht="15">
      <c r="A1" s="18" t="s">
        <v>360</v>
      </c>
      <c r="B1" s="18"/>
      <c r="C1" s="18"/>
      <c r="D1" s="18"/>
      <c r="E1" s="18"/>
    </row>
    <row r="2" spans="1:5" ht="15">
      <c r="A2" s="19"/>
      <c r="B2" s="19"/>
      <c r="C2" s="19"/>
      <c r="D2" s="19"/>
      <c r="E2" s="19"/>
    </row>
    <row r="3" spans="1:5" ht="15">
      <c r="A3" s="20" t="s">
        <v>1</v>
      </c>
      <c r="B3" s="20" t="s">
        <v>6</v>
      </c>
      <c r="C3" s="20" t="s">
        <v>3</v>
      </c>
      <c r="D3" s="20" t="s">
        <v>4</v>
      </c>
      <c r="E3" s="20" t="s">
        <v>5</v>
      </c>
    </row>
    <row r="4" spans="1:5" ht="15">
      <c r="A4" s="126"/>
      <c r="B4" s="310" t="s">
        <v>418</v>
      </c>
      <c r="C4" s="118"/>
      <c r="D4" s="20"/>
      <c r="E4" s="20">
        <v>6</v>
      </c>
    </row>
    <row r="5" spans="1:5" ht="15">
      <c r="A5" s="20"/>
      <c r="B5" s="9"/>
      <c r="C5" s="26"/>
      <c r="D5" s="9"/>
      <c r="E5" s="9"/>
    </row>
    <row r="6" spans="1:5">
      <c r="A6" s="46"/>
      <c r="B6" s="26"/>
      <c r="C6" s="9"/>
      <c r="D6" s="26"/>
      <c r="E6" s="9"/>
    </row>
    <row r="7" spans="1:5">
      <c r="A7" s="21"/>
      <c r="B7" s="9"/>
      <c r="C7" s="9"/>
      <c r="D7" s="26"/>
      <c r="E7" s="9"/>
    </row>
    <row r="8" spans="1:5">
      <c r="A8" s="9"/>
      <c r="B8" s="9"/>
      <c r="C8" s="9"/>
      <c r="D8" s="9"/>
      <c r="E8" s="9"/>
    </row>
    <row r="9" spans="1:5">
      <c r="A9" s="9"/>
      <c r="B9" s="9"/>
      <c r="C9" s="9"/>
      <c r="D9" s="9"/>
      <c r="E9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B5" sqref="B5"/>
    </sheetView>
  </sheetViews>
  <sheetFormatPr baseColWidth="10" defaultColWidth="9" defaultRowHeight="14" x14ac:dyDescent="0"/>
  <cols>
    <col min="1" max="1" width="14.5" customWidth="1"/>
    <col min="2" max="2" width="28.33203125" customWidth="1"/>
  </cols>
  <sheetData>
    <row r="1" spans="1:5" ht="15">
      <c r="A1" s="18" t="s">
        <v>361</v>
      </c>
      <c r="B1" s="18"/>
      <c r="C1" s="18"/>
      <c r="D1" s="18"/>
      <c r="E1" s="18"/>
    </row>
    <row r="2" spans="1:5" ht="15">
      <c r="A2" s="19"/>
      <c r="B2" s="19"/>
      <c r="C2" s="19"/>
      <c r="D2" s="19"/>
      <c r="E2" s="19"/>
    </row>
    <row r="3" spans="1:5" ht="15">
      <c r="A3" s="20" t="s">
        <v>1</v>
      </c>
      <c r="B3" s="20" t="s">
        <v>6</v>
      </c>
      <c r="C3" s="20" t="s">
        <v>3</v>
      </c>
      <c r="D3" s="20" t="s">
        <v>4</v>
      </c>
      <c r="E3" s="20" t="s">
        <v>5</v>
      </c>
    </row>
    <row r="4" spans="1:5" ht="15">
      <c r="A4" s="126"/>
      <c r="B4" s="310" t="s">
        <v>418</v>
      </c>
      <c r="C4" s="118"/>
      <c r="D4" s="20"/>
      <c r="E4" s="20">
        <v>8</v>
      </c>
    </row>
    <row r="5" spans="1:5" ht="15">
      <c r="A5" s="118"/>
      <c r="B5" s="128"/>
      <c r="C5" s="26"/>
      <c r="D5" s="9"/>
      <c r="E5" s="9"/>
    </row>
    <row r="6" spans="1:5" ht="15">
      <c r="A6" s="46"/>
      <c r="B6" s="128"/>
      <c r="C6" s="26"/>
      <c r="D6" s="26"/>
      <c r="E6" s="9"/>
    </row>
    <row r="7" spans="1:5">
      <c r="A7" s="21"/>
      <c r="B7" s="9"/>
      <c r="C7" s="9"/>
      <c r="D7" s="26"/>
      <c r="E7" s="9"/>
    </row>
    <row r="8" spans="1:5">
      <c r="A8" s="9"/>
      <c r="B8" s="9"/>
      <c r="C8" s="9"/>
      <c r="D8" s="9"/>
      <c r="E8" s="9"/>
    </row>
    <row r="9" spans="1:5">
      <c r="A9" s="9"/>
      <c r="B9" s="9"/>
      <c r="C9" s="9"/>
      <c r="D9" s="9"/>
      <c r="E9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H17" sqref="H17"/>
    </sheetView>
  </sheetViews>
  <sheetFormatPr baseColWidth="10" defaultColWidth="9" defaultRowHeight="14" x14ac:dyDescent="0"/>
  <cols>
    <col min="1" max="1" width="13.5" customWidth="1"/>
    <col min="2" max="2" width="30" customWidth="1"/>
    <col min="3" max="3" width="8.6640625" customWidth="1"/>
  </cols>
  <sheetData>
    <row r="1" spans="1:5" ht="15">
      <c r="A1" s="18" t="s">
        <v>362</v>
      </c>
      <c r="B1" s="18"/>
      <c r="C1" s="18"/>
      <c r="D1" s="18"/>
      <c r="E1" s="18"/>
    </row>
    <row r="2" spans="1:5" ht="15">
      <c r="A2" s="19"/>
      <c r="B2" s="19"/>
      <c r="C2" s="19"/>
      <c r="D2" s="19"/>
      <c r="E2" s="19"/>
    </row>
    <row r="3" spans="1:5" ht="15">
      <c r="A3" s="20" t="s">
        <v>1</v>
      </c>
      <c r="B3" s="20" t="s">
        <v>6</v>
      </c>
      <c r="C3" s="20" t="s">
        <v>3</v>
      </c>
      <c r="D3" s="20" t="s">
        <v>4</v>
      </c>
      <c r="E3" s="20" t="s">
        <v>5</v>
      </c>
    </row>
    <row r="4" spans="1:5">
      <c r="A4" s="9"/>
      <c r="B4" s="310" t="s">
        <v>418</v>
      </c>
      <c r="C4" s="9"/>
      <c r="D4" s="9"/>
      <c r="E4" s="9">
        <v>20</v>
      </c>
    </row>
    <row r="5" spans="1:5">
      <c r="A5" s="9"/>
      <c r="B5" s="9"/>
      <c r="C5" s="9"/>
      <c r="D5" s="9"/>
      <c r="E5" s="9"/>
    </row>
    <row r="6" spans="1:5">
      <c r="A6" s="9"/>
      <c r="B6" s="9"/>
      <c r="C6" s="9"/>
      <c r="D6" s="9"/>
      <c r="E6" s="9"/>
    </row>
    <row r="7" spans="1:5">
      <c r="A7" s="9"/>
      <c r="B7" s="9"/>
      <c r="C7" s="9"/>
      <c r="D7" s="9"/>
      <c r="E7" s="9"/>
    </row>
    <row r="8" spans="1:5">
      <c r="A8" s="9"/>
      <c r="B8" s="9"/>
      <c r="C8" s="9"/>
      <c r="D8" s="9"/>
      <c r="E8" s="9"/>
    </row>
    <row r="9" spans="1:5">
      <c r="A9" s="9"/>
      <c r="B9" s="9"/>
      <c r="C9" s="9"/>
      <c r="D9" s="9"/>
      <c r="E9" s="9"/>
    </row>
    <row r="10" spans="1:5">
      <c r="A10" s="9"/>
      <c r="B10" s="9"/>
      <c r="C10" s="9"/>
      <c r="D10" s="9"/>
      <c r="E10" s="9"/>
    </row>
    <row r="11" spans="1:5">
      <c r="A11" s="9"/>
      <c r="B11" s="9"/>
      <c r="C11" s="9"/>
      <c r="D11" s="9"/>
      <c r="E11" s="9"/>
    </row>
    <row r="12" spans="1:5">
      <c r="A12" s="9"/>
      <c r="B12" s="9"/>
      <c r="C12" s="9"/>
      <c r="D12" s="9"/>
      <c r="E12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A5" sqref="A5:C5"/>
    </sheetView>
  </sheetViews>
  <sheetFormatPr baseColWidth="10" defaultColWidth="9" defaultRowHeight="14" x14ac:dyDescent="0"/>
  <cols>
    <col min="1" max="1" width="13.5" customWidth="1"/>
    <col min="2" max="2" width="30" customWidth="1"/>
    <col min="3" max="3" width="8.6640625" customWidth="1"/>
  </cols>
  <sheetData>
    <row r="1" spans="1:5" ht="15">
      <c r="A1" s="18" t="s">
        <v>363</v>
      </c>
      <c r="B1" s="18"/>
      <c r="C1" s="18"/>
      <c r="D1" s="18"/>
      <c r="E1" s="18"/>
    </row>
    <row r="2" spans="1:5" ht="15">
      <c r="A2" s="19"/>
      <c r="B2" s="19"/>
      <c r="C2" s="19"/>
      <c r="D2" s="19"/>
      <c r="E2" s="19"/>
    </row>
    <row r="3" spans="1:5" ht="15">
      <c r="A3" s="20" t="s">
        <v>1</v>
      </c>
      <c r="B3" s="20" t="s">
        <v>6</v>
      </c>
      <c r="C3" s="20" t="s">
        <v>3</v>
      </c>
      <c r="D3" s="20" t="s">
        <v>4</v>
      </c>
      <c r="E3" s="20" t="s">
        <v>5</v>
      </c>
    </row>
    <row r="4" spans="1:5">
      <c r="A4" s="9"/>
      <c r="B4" s="310" t="s">
        <v>418</v>
      </c>
      <c r="C4" s="9"/>
      <c r="D4" s="9"/>
      <c r="E4" s="9">
        <v>36</v>
      </c>
    </row>
    <row r="5" spans="1:5">
      <c r="D5" s="9"/>
      <c r="E5" s="9"/>
    </row>
    <row r="6" spans="1:5">
      <c r="A6" s="9"/>
      <c r="B6" s="9"/>
      <c r="C6" s="9"/>
      <c r="D6" s="9"/>
      <c r="E6" s="9"/>
    </row>
    <row r="7" spans="1:5">
      <c r="A7" s="9"/>
      <c r="B7" s="9"/>
      <c r="C7" s="9"/>
      <c r="D7" s="9"/>
      <c r="E7" s="9"/>
    </row>
    <row r="8" spans="1:5">
      <c r="A8" s="9"/>
      <c r="B8" s="9"/>
      <c r="C8" s="9"/>
      <c r="D8" s="9"/>
      <c r="E8" s="9"/>
    </row>
    <row r="9" spans="1:5">
      <c r="A9" s="9"/>
      <c r="B9" s="9"/>
      <c r="C9" s="9"/>
      <c r="D9" s="9"/>
      <c r="E9" s="9"/>
    </row>
    <row r="10" spans="1:5">
      <c r="A10" s="9"/>
      <c r="B10" s="9"/>
      <c r="C10" s="9"/>
      <c r="D10" s="9"/>
      <c r="E10" s="9"/>
    </row>
    <row r="11" spans="1:5">
      <c r="A11" s="9"/>
      <c r="B11" s="9"/>
      <c r="C11" s="9"/>
      <c r="D11" s="9"/>
      <c r="E11" s="9"/>
    </row>
    <row r="12" spans="1:5">
      <c r="A12" s="9"/>
      <c r="B12" s="9"/>
      <c r="C12" s="9"/>
      <c r="D12" s="9"/>
      <c r="E12" s="9"/>
    </row>
    <row r="13" spans="1:5">
      <c r="A13" s="9"/>
      <c r="B13" s="9"/>
      <c r="C13" s="9"/>
      <c r="D13" s="9"/>
      <c r="E13" s="9"/>
    </row>
    <row r="14" spans="1:5">
      <c r="A14" s="9"/>
      <c r="B14" s="9"/>
      <c r="C14" s="9"/>
      <c r="D14" s="9"/>
      <c r="E14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7"/>
  <sheetViews>
    <sheetView workbookViewId="0">
      <selection activeCell="F7" sqref="F7"/>
    </sheetView>
  </sheetViews>
  <sheetFormatPr baseColWidth="10" defaultColWidth="9" defaultRowHeight="14" x14ac:dyDescent="0"/>
  <cols>
    <col min="1" max="1" width="13.5" customWidth="1"/>
    <col min="2" max="2" width="30" customWidth="1"/>
    <col min="3" max="3" width="8.6640625" customWidth="1"/>
  </cols>
  <sheetData>
    <row r="2" spans="1:6" ht="15">
      <c r="A2" s="18" t="s">
        <v>364</v>
      </c>
      <c r="B2" s="18"/>
      <c r="C2" s="18"/>
      <c r="D2" s="18"/>
      <c r="E2" s="18"/>
    </row>
    <row r="3" spans="1:6" ht="15">
      <c r="A3" s="19"/>
      <c r="B3" s="19"/>
      <c r="C3" s="19"/>
      <c r="D3" s="19"/>
      <c r="E3" s="19"/>
    </row>
    <row r="4" spans="1:6" ht="15">
      <c r="A4" s="20" t="s">
        <v>1</v>
      </c>
      <c r="B4" s="20" t="s">
        <v>6</v>
      </c>
      <c r="C4" s="20" t="s">
        <v>3</v>
      </c>
      <c r="D4" s="20" t="s">
        <v>4</v>
      </c>
      <c r="E4" s="20" t="s">
        <v>5</v>
      </c>
    </row>
    <row r="5" spans="1:6">
      <c r="A5" s="9"/>
      <c r="B5" s="310" t="s">
        <v>418</v>
      </c>
      <c r="C5" s="9"/>
      <c r="D5" s="9"/>
      <c r="E5" s="9">
        <v>29</v>
      </c>
    </row>
    <row r="6" spans="1:6">
      <c r="A6" s="9" t="s">
        <v>703</v>
      </c>
      <c r="B6" s="9" t="s">
        <v>406</v>
      </c>
      <c r="C6" s="9">
        <v>10</v>
      </c>
      <c r="D6" s="9"/>
      <c r="E6" s="9">
        <f>E5+C6-D6</f>
        <v>39</v>
      </c>
      <c r="F6" s="480" t="s">
        <v>556</v>
      </c>
    </row>
    <row r="7" spans="1:6">
      <c r="A7" s="9"/>
      <c r="B7" s="9"/>
      <c r="C7" s="9"/>
      <c r="D7" s="9"/>
      <c r="E7" s="9"/>
    </row>
    <row r="8" spans="1:6">
      <c r="A8" s="9"/>
      <c r="B8" s="9"/>
      <c r="C8" s="9"/>
      <c r="D8" s="9"/>
      <c r="E8" s="9"/>
    </row>
    <row r="9" spans="1:6">
      <c r="A9" s="9"/>
      <c r="B9" s="9"/>
      <c r="C9" s="9"/>
      <c r="D9" s="9"/>
      <c r="E9" s="9"/>
    </row>
    <row r="10" spans="1:6">
      <c r="A10" s="9"/>
      <c r="B10" s="9"/>
      <c r="C10" s="9"/>
      <c r="D10" s="9"/>
      <c r="E10" s="9"/>
    </row>
    <row r="11" spans="1:6">
      <c r="A11" s="9"/>
      <c r="B11" s="9"/>
      <c r="C11" s="9"/>
      <c r="D11" s="9"/>
      <c r="E11" s="9"/>
    </row>
    <row r="12" spans="1:6">
      <c r="A12" s="9"/>
      <c r="B12" s="9"/>
      <c r="C12" s="9"/>
      <c r="D12" s="9"/>
      <c r="E12" s="9"/>
    </row>
    <row r="13" spans="1:6">
      <c r="A13" s="9"/>
      <c r="B13" s="9"/>
      <c r="C13" s="9"/>
      <c r="D13" s="9"/>
      <c r="E13" s="9"/>
    </row>
    <row r="14" spans="1:6">
      <c r="A14" s="9"/>
      <c r="B14" s="9"/>
      <c r="C14" s="9"/>
      <c r="D14" s="9"/>
      <c r="E14" s="9"/>
    </row>
    <row r="15" spans="1:6">
      <c r="A15" s="9"/>
      <c r="B15" s="9"/>
      <c r="C15" s="9"/>
      <c r="D15" s="9"/>
      <c r="E15" s="9"/>
    </row>
    <row r="16" spans="1:6">
      <c r="A16" s="9"/>
      <c r="B16" s="9"/>
      <c r="C16" s="9"/>
      <c r="D16" s="9"/>
      <c r="E16" s="9"/>
    </row>
    <row r="17" spans="1:5">
      <c r="A17" s="9"/>
      <c r="B17" s="9"/>
      <c r="C17" s="9"/>
      <c r="D17" s="9"/>
      <c r="E17" s="9"/>
    </row>
    <row r="18" spans="1:5">
      <c r="A18" s="9"/>
      <c r="B18" s="9"/>
      <c r="C18" s="9"/>
      <c r="D18" s="9"/>
      <c r="E18" s="9"/>
    </row>
    <row r="19" spans="1:5">
      <c r="A19" s="9"/>
      <c r="B19" s="9"/>
      <c r="C19" s="9"/>
      <c r="D19" s="9"/>
      <c r="E19" s="9"/>
    </row>
    <row r="20" spans="1:5">
      <c r="A20" s="9"/>
      <c r="B20" s="9"/>
      <c r="C20" s="9"/>
      <c r="D20" s="9"/>
      <c r="E20" s="9"/>
    </row>
    <row r="21" spans="1:5">
      <c r="A21" s="9"/>
      <c r="B21" s="9"/>
      <c r="C21" s="9"/>
      <c r="D21" s="9"/>
      <c r="E21" s="9"/>
    </row>
    <row r="22" spans="1:5">
      <c r="A22" s="9"/>
      <c r="B22" s="9"/>
      <c r="C22" s="9"/>
      <c r="D22" s="9"/>
      <c r="E22" s="9"/>
    </row>
    <row r="23" spans="1:5">
      <c r="A23" s="9"/>
      <c r="B23" s="9"/>
      <c r="C23" s="9"/>
      <c r="D23" s="9"/>
      <c r="E23" s="9"/>
    </row>
    <row r="24" spans="1:5">
      <c r="A24" s="9"/>
      <c r="B24" s="9"/>
      <c r="C24" s="9"/>
      <c r="D24" s="9"/>
      <c r="E24" s="9"/>
    </row>
    <row r="25" spans="1:5">
      <c r="A25" s="9"/>
      <c r="B25" s="9"/>
      <c r="C25" s="9"/>
      <c r="D25" s="9"/>
      <c r="E25" s="9"/>
    </row>
    <row r="26" spans="1:5">
      <c r="A26" s="9"/>
      <c r="B26" s="9"/>
      <c r="C26" s="9"/>
      <c r="D26" s="9"/>
      <c r="E26" s="9"/>
    </row>
    <row r="27" spans="1:5">
      <c r="A27" s="9"/>
      <c r="B27" s="9"/>
      <c r="C27" s="9"/>
      <c r="D27" s="9"/>
      <c r="E27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A4" sqref="A4:XFD5"/>
    </sheetView>
  </sheetViews>
  <sheetFormatPr baseColWidth="10" defaultColWidth="9" defaultRowHeight="14" x14ac:dyDescent="0"/>
  <cols>
    <col min="1" max="1" width="13.5" customWidth="1"/>
    <col min="2" max="2" width="30" customWidth="1"/>
    <col min="3" max="3" width="8.6640625" customWidth="1"/>
  </cols>
  <sheetData>
    <row r="1" spans="1:5" ht="15">
      <c r="A1" s="18" t="s">
        <v>365</v>
      </c>
      <c r="B1" s="18"/>
      <c r="C1" s="18"/>
      <c r="D1" s="18"/>
      <c r="E1" s="18"/>
    </row>
    <row r="2" spans="1:5" ht="15">
      <c r="A2" s="19"/>
      <c r="B2" s="19"/>
      <c r="C2" s="19"/>
      <c r="D2" s="19"/>
      <c r="E2" s="19"/>
    </row>
    <row r="3" spans="1:5" ht="15">
      <c r="A3" s="20" t="s">
        <v>1</v>
      </c>
      <c r="B3" s="20" t="s">
        <v>6</v>
      </c>
      <c r="C3" s="20" t="s">
        <v>3</v>
      </c>
      <c r="D3" s="20" t="s">
        <v>4</v>
      </c>
      <c r="E3" s="20" t="s">
        <v>5</v>
      </c>
    </row>
    <row r="4" spans="1:5">
      <c r="A4" s="46"/>
      <c r="B4" s="26" t="s">
        <v>418</v>
      </c>
      <c r="C4" s="9"/>
      <c r="D4" s="26"/>
      <c r="E4" s="9">
        <v>12</v>
      </c>
    </row>
    <row r="5" spans="1:5">
      <c r="A5" s="21"/>
      <c r="B5" s="9"/>
      <c r="C5" s="9"/>
      <c r="D5" s="26"/>
      <c r="E5" s="9"/>
    </row>
    <row r="6" spans="1:5">
      <c r="A6" s="9"/>
      <c r="B6" s="9"/>
      <c r="C6" s="9"/>
      <c r="D6" s="9"/>
      <c r="E6" s="9"/>
    </row>
    <row r="7" spans="1:5">
      <c r="A7" s="9"/>
      <c r="B7" s="9"/>
      <c r="C7" s="9"/>
      <c r="D7" s="9"/>
      <c r="E7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F6" sqref="F6"/>
    </sheetView>
  </sheetViews>
  <sheetFormatPr baseColWidth="10" defaultColWidth="9" defaultRowHeight="14" x14ac:dyDescent="0"/>
  <cols>
    <col min="1" max="1" width="13.33203125" customWidth="1"/>
    <col min="2" max="2" width="36.1640625" customWidth="1"/>
  </cols>
  <sheetData>
    <row r="1" spans="1:6" ht="15">
      <c r="A1" s="18" t="s">
        <v>366</v>
      </c>
      <c r="B1" s="18"/>
      <c r="C1" s="18"/>
      <c r="D1" s="18"/>
      <c r="E1" s="18"/>
    </row>
    <row r="2" spans="1:6" ht="15">
      <c r="A2" s="19"/>
      <c r="B2" s="19"/>
      <c r="C2" s="19"/>
      <c r="D2" s="19"/>
      <c r="E2" s="19"/>
    </row>
    <row r="3" spans="1:6" ht="15">
      <c r="A3" s="20" t="s">
        <v>1</v>
      </c>
      <c r="B3" s="20" t="s">
        <v>6</v>
      </c>
      <c r="C3" s="20" t="s">
        <v>3</v>
      </c>
      <c r="D3" s="20" t="s">
        <v>4</v>
      </c>
      <c r="E3" s="20" t="s">
        <v>5</v>
      </c>
    </row>
    <row r="4" spans="1:6">
      <c r="A4" s="9"/>
      <c r="B4" s="34" t="s">
        <v>418</v>
      </c>
      <c r="C4" s="9"/>
      <c r="D4" s="9"/>
      <c r="E4" s="9">
        <v>4</v>
      </c>
    </row>
    <row r="5" spans="1:6">
      <c r="A5" s="9" t="s">
        <v>693</v>
      </c>
      <c r="B5" s="34" t="s">
        <v>406</v>
      </c>
      <c r="C5" s="9">
        <v>17</v>
      </c>
      <c r="D5" s="9"/>
      <c r="E5" s="9">
        <f>E4+C5-D5</f>
        <v>21</v>
      </c>
      <c r="F5" s="480" t="s">
        <v>46</v>
      </c>
    </row>
    <row r="6" spans="1:6">
      <c r="A6" s="21"/>
      <c r="B6" s="9"/>
      <c r="C6" s="9"/>
      <c r="D6" s="9"/>
      <c r="E6" s="9"/>
    </row>
    <row r="7" spans="1:6">
      <c r="A7" s="9"/>
      <c r="B7" s="9"/>
      <c r="C7" s="9"/>
      <c r="D7" s="9"/>
      <c r="E7" s="9"/>
    </row>
    <row r="8" spans="1:6">
      <c r="A8" s="9"/>
      <c r="B8" s="9"/>
      <c r="C8" s="9"/>
      <c r="D8" s="9"/>
      <c r="E8" s="9"/>
    </row>
    <row r="9" spans="1:6">
      <c r="A9" s="9"/>
      <c r="B9" s="9"/>
      <c r="C9" s="9"/>
      <c r="D9" s="9"/>
      <c r="E9" s="9"/>
    </row>
    <row r="10" spans="1:6">
      <c r="A10" s="9"/>
      <c r="B10" s="9"/>
      <c r="C10" s="9"/>
      <c r="D10" s="9"/>
      <c r="E10" s="9"/>
    </row>
    <row r="11" spans="1:6">
      <c r="A11" s="9"/>
      <c r="B11" s="9"/>
      <c r="C11" s="9"/>
      <c r="D11" s="9"/>
      <c r="E11" s="9"/>
    </row>
    <row r="12" spans="1:6">
      <c r="A12" s="9"/>
      <c r="B12" s="9"/>
      <c r="C12" s="9"/>
      <c r="D12" s="9"/>
      <c r="E12" s="9"/>
    </row>
    <row r="13" spans="1:6">
      <c r="A13" s="9"/>
      <c r="B13" s="9"/>
      <c r="C13" s="9"/>
      <c r="D13" s="9"/>
      <c r="E13" s="9"/>
    </row>
    <row r="14" spans="1:6">
      <c r="A14" s="9"/>
      <c r="B14" s="9"/>
      <c r="C14" s="9"/>
      <c r="D14" s="9"/>
      <c r="E14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H16" sqref="H16"/>
    </sheetView>
  </sheetViews>
  <sheetFormatPr baseColWidth="10" defaultColWidth="9" defaultRowHeight="14" x14ac:dyDescent="0"/>
  <cols>
    <col min="1" max="1" width="14.6640625" customWidth="1"/>
    <col min="2" max="2" width="25.83203125" customWidth="1"/>
    <col min="3" max="3" width="8.6640625" customWidth="1"/>
    <col min="4" max="4" width="9.5" customWidth="1"/>
  </cols>
  <sheetData>
    <row r="1" spans="1:6" ht="15">
      <c r="A1" s="31" t="s">
        <v>367</v>
      </c>
      <c r="B1" s="31"/>
      <c r="C1" s="31"/>
      <c r="D1" s="31"/>
      <c r="E1" s="31"/>
    </row>
    <row r="2" spans="1:6" ht="15">
      <c r="A2" s="31"/>
      <c r="B2" s="84"/>
      <c r="C2" s="31"/>
      <c r="D2" s="31"/>
      <c r="E2" s="31"/>
    </row>
    <row r="3" spans="1:6" ht="15">
      <c r="A3" s="85" t="s">
        <v>1</v>
      </c>
      <c r="B3" s="85" t="s">
        <v>6</v>
      </c>
      <c r="C3" s="85" t="s">
        <v>3</v>
      </c>
      <c r="D3" s="85" t="s">
        <v>4</v>
      </c>
      <c r="E3" s="85" t="s">
        <v>5</v>
      </c>
    </row>
    <row r="4" spans="1:6">
      <c r="A4" s="9"/>
      <c r="B4" s="310" t="s">
        <v>418</v>
      </c>
      <c r="C4" s="9"/>
      <c r="D4" s="9"/>
      <c r="E4" s="9">
        <v>405</v>
      </c>
    </row>
    <row r="5" spans="1:6">
      <c r="A5" s="9" t="s">
        <v>703</v>
      </c>
      <c r="B5" s="9" t="s">
        <v>406</v>
      </c>
      <c r="C5" s="9">
        <v>215</v>
      </c>
      <c r="D5" s="9"/>
      <c r="E5" s="9">
        <f>E4+C5-D5</f>
        <v>620</v>
      </c>
    </row>
    <row r="6" spans="1:6">
      <c r="A6" s="9" t="s">
        <v>703</v>
      </c>
      <c r="B6" s="429" t="s">
        <v>406</v>
      </c>
      <c r="C6" s="9">
        <v>17</v>
      </c>
      <c r="D6" s="9"/>
      <c r="E6" s="9">
        <f>E5+C6-D6</f>
        <v>637</v>
      </c>
      <c r="F6" s="480" t="s">
        <v>46</v>
      </c>
    </row>
    <row r="7" spans="1:6">
      <c r="A7" s="21">
        <v>43315</v>
      </c>
      <c r="B7" s="429" t="s">
        <v>406</v>
      </c>
      <c r="C7" s="9">
        <v>4</v>
      </c>
      <c r="D7" s="9"/>
      <c r="E7" s="9">
        <f>E6+C7-D7</f>
        <v>641</v>
      </c>
      <c r="F7" s="501" t="s">
        <v>46</v>
      </c>
    </row>
    <row r="8" spans="1:6">
      <c r="A8" s="9"/>
      <c r="B8" s="9"/>
      <c r="C8" s="9"/>
      <c r="D8" s="9"/>
      <c r="E8" s="9"/>
    </row>
    <row r="9" spans="1:6">
      <c r="A9" s="9"/>
      <c r="B9" s="9"/>
      <c r="C9" s="9"/>
      <c r="D9" s="9"/>
      <c r="E9" s="9"/>
    </row>
    <row r="10" spans="1:6">
      <c r="A10" s="9"/>
      <c r="B10" s="9"/>
      <c r="C10" s="9"/>
      <c r="D10" s="9"/>
      <c r="E10" s="9"/>
    </row>
    <row r="11" spans="1:6">
      <c r="A11" s="9"/>
      <c r="B11" s="9"/>
      <c r="C11" s="9"/>
      <c r="D11" s="9"/>
      <c r="E11" s="9"/>
    </row>
    <row r="12" spans="1:6">
      <c r="A12" s="9"/>
      <c r="B12" s="9"/>
      <c r="C12" s="9"/>
      <c r="D12" s="9"/>
      <c r="E12" s="9"/>
    </row>
    <row r="13" spans="1:6">
      <c r="A13" s="9"/>
      <c r="B13" s="9"/>
      <c r="C13" s="9"/>
      <c r="D13" s="9"/>
      <c r="E13" s="9"/>
    </row>
    <row r="14" spans="1:6">
      <c r="A14" s="9"/>
      <c r="B14" s="9"/>
      <c r="C14" s="9"/>
      <c r="D14" s="9"/>
      <c r="E14" s="9"/>
    </row>
    <row r="15" spans="1:6">
      <c r="A15" s="9"/>
      <c r="B15" s="9"/>
      <c r="C15" s="9"/>
      <c r="D15" s="9"/>
      <c r="E15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E7" sqref="E7"/>
    </sheetView>
  </sheetViews>
  <sheetFormatPr baseColWidth="10" defaultColWidth="9" defaultRowHeight="14" x14ac:dyDescent="0"/>
  <cols>
    <col min="1" max="1" width="14.6640625" customWidth="1"/>
    <col min="2" max="2" width="25.83203125" customWidth="1"/>
    <col min="3" max="3" width="9.6640625" customWidth="1"/>
    <col min="4" max="4" width="9.5" customWidth="1"/>
  </cols>
  <sheetData>
    <row r="1" spans="1:6" ht="15">
      <c r="A1" s="31" t="s">
        <v>368</v>
      </c>
      <c r="B1" s="31"/>
      <c r="C1" s="31"/>
      <c r="D1" s="31"/>
      <c r="E1" s="31"/>
    </row>
    <row r="2" spans="1:6" ht="15">
      <c r="A2" s="31"/>
      <c r="B2" s="84"/>
      <c r="C2" s="31"/>
      <c r="D2" s="31"/>
      <c r="E2" s="31"/>
    </row>
    <row r="3" spans="1:6" ht="15">
      <c r="A3" s="85" t="s">
        <v>1</v>
      </c>
      <c r="B3" s="85" t="s">
        <v>6</v>
      </c>
      <c r="C3" s="85" t="s">
        <v>3</v>
      </c>
      <c r="D3" s="85" t="s">
        <v>4</v>
      </c>
      <c r="E3" s="85" t="s">
        <v>5</v>
      </c>
    </row>
    <row r="4" spans="1:6">
      <c r="A4" s="9"/>
      <c r="B4" s="310" t="s">
        <v>418</v>
      </c>
      <c r="C4" s="9"/>
      <c r="D4" s="9"/>
      <c r="E4" s="9">
        <v>0</v>
      </c>
    </row>
    <row r="5" spans="1:6">
      <c r="A5" s="9" t="s">
        <v>703</v>
      </c>
      <c r="B5" s="9" t="s">
        <v>406</v>
      </c>
      <c r="C5" s="9">
        <v>215</v>
      </c>
      <c r="D5" s="9"/>
      <c r="E5" s="9">
        <f>E4+C5-D5</f>
        <v>215</v>
      </c>
    </row>
    <row r="6" spans="1:6">
      <c r="A6" s="9" t="s">
        <v>703</v>
      </c>
      <c r="B6" s="429" t="s">
        <v>406</v>
      </c>
      <c r="C6" s="9">
        <v>17</v>
      </c>
      <c r="D6" s="9"/>
      <c r="E6" s="9">
        <f>E5+C6-D6</f>
        <v>232</v>
      </c>
      <c r="F6" s="480" t="s">
        <v>46</v>
      </c>
    </row>
    <row r="7" spans="1:6">
      <c r="A7" s="21">
        <v>43315</v>
      </c>
      <c r="B7" s="429" t="s">
        <v>406</v>
      </c>
      <c r="C7" s="9">
        <v>1</v>
      </c>
      <c r="D7" s="9"/>
      <c r="E7" s="9">
        <f>E6+C7-D7</f>
        <v>233</v>
      </c>
      <c r="F7" s="501" t="s">
        <v>46</v>
      </c>
    </row>
    <row r="8" spans="1:6">
      <c r="A8" s="9"/>
      <c r="B8" s="9"/>
      <c r="C8" s="9"/>
      <c r="D8" s="9"/>
      <c r="E8" s="9"/>
    </row>
    <row r="9" spans="1:6">
      <c r="A9" s="9"/>
      <c r="B9" s="9"/>
      <c r="C9" s="9"/>
      <c r="D9" s="9"/>
      <c r="E9" s="9"/>
    </row>
  </sheetData>
  <pageMargins left="0.69930555555555596" right="0.69930555555555596" top="0.75" bottom="0.75" header="0.3" footer="0.3"/>
  <pageSetup paperSize="9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sqref="A1:F1048576"/>
    </sheetView>
  </sheetViews>
  <sheetFormatPr baseColWidth="10" defaultColWidth="9" defaultRowHeight="14" x14ac:dyDescent="0"/>
  <cols>
    <col min="1" max="1" width="14.6640625" customWidth="1"/>
    <col min="2" max="2" width="25.83203125" customWidth="1"/>
    <col min="3" max="3" width="8.6640625" customWidth="1"/>
    <col min="4" max="4" width="9.5" customWidth="1"/>
  </cols>
  <sheetData>
    <row r="1" spans="1:6" ht="15">
      <c r="A1" s="31" t="s">
        <v>369</v>
      </c>
      <c r="B1" s="31"/>
      <c r="C1" s="31"/>
      <c r="D1" s="31"/>
      <c r="E1" s="31"/>
    </row>
    <row r="2" spans="1:6" ht="15">
      <c r="A2" s="31"/>
      <c r="B2" s="84"/>
      <c r="C2" s="31"/>
      <c r="D2" s="31"/>
      <c r="E2" s="31"/>
    </row>
    <row r="3" spans="1:6" ht="15">
      <c r="A3" s="85" t="s">
        <v>1</v>
      </c>
      <c r="B3" s="85" t="s">
        <v>6</v>
      </c>
      <c r="C3" s="85" t="s">
        <v>3</v>
      </c>
      <c r="D3" s="85" t="s">
        <v>4</v>
      </c>
      <c r="E3" s="85" t="s">
        <v>5</v>
      </c>
    </row>
    <row r="4" spans="1:6">
      <c r="A4" s="9"/>
      <c r="B4" s="310" t="s">
        <v>418</v>
      </c>
      <c r="C4" s="9"/>
      <c r="D4" s="9"/>
      <c r="E4" s="9">
        <v>720</v>
      </c>
    </row>
    <row r="5" spans="1:6">
      <c r="A5" s="9" t="s">
        <v>703</v>
      </c>
      <c r="B5" s="429" t="s">
        <v>406</v>
      </c>
      <c r="C5" s="9">
        <v>155</v>
      </c>
      <c r="D5" s="9"/>
      <c r="E5" s="9">
        <f>E4+C5-D5</f>
        <v>875</v>
      </c>
    </row>
    <row r="6" spans="1:6">
      <c r="A6" s="9" t="s">
        <v>703</v>
      </c>
      <c r="B6" s="429" t="s">
        <v>406</v>
      </c>
      <c r="C6" s="9">
        <v>200</v>
      </c>
      <c r="D6" s="9"/>
      <c r="E6" s="9">
        <f>E5+C6-D6</f>
        <v>1075</v>
      </c>
      <c r="F6" s="480" t="s">
        <v>46</v>
      </c>
    </row>
    <row r="7" spans="1:6">
      <c r="A7" s="21">
        <v>43315</v>
      </c>
      <c r="B7" s="429" t="s">
        <v>406</v>
      </c>
      <c r="C7" s="9">
        <v>97</v>
      </c>
      <c r="D7" s="9"/>
      <c r="E7" s="9">
        <f>E6+C7-D7</f>
        <v>1172</v>
      </c>
      <c r="F7" s="501" t="s">
        <v>46</v>
      </c>
    </row>
    <row r="8" spans="1:6">
      <c r="A8" s="9"/>
      <c r="B8" s="9"/>
      <c r="C8" s="9"/>
      <c r="D8" s="9"/>
      <c r="E8" s="9"/>
    </row>
    <row r="9" spans="1:6">
      <c r="A9" s="9"/>
      <c r="B9" s="9"/>
      <c r="C9" s="9"/>
      <c r="D9" s="9"/>
      <c r="E9" s="9"/>
    </row>
    <row r="10" spans="1:6">
      <c r="A10" s="9"/>
      <c r="B10" s="9"/>
      <c r="C10" s="9"/>
      <c r="D10" s="9"/>
      <c r="E10" s="9"/>
    </row>
    <row r="11" spans="1:6">
      <c r="A11" s="9"/>
      <c r="B11" s="9"/>
      <c r="C11" s="9"/>
      <c r="D11" s="9"/>
      <c r="E11" s="9"/>
    </row>
  </sheetData>
  <pageMargins left="0.69930555555555596" right="0.69930555555555596" top="0.75" bottom="0.75" header="0.3" footer="0.3"/>
  <pageSetup paperSize="9" scale="90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N17" sqref="N17"/>
    </sheetView>
  </sheetViews>
  <sheetFormatPr baseColWidth="10" defaultColWidth="8.83203125" defaultRowHeight="14" x14ac:dyDescent="0"/>
  <cols>
    <col min="1" max="1" width="14.6640625" customWidth="1"/>
    <col min="2" max="2" width="25.83203125" customWidth="1"/>
    <col min="3" max="3" width="8.6640625" customWidth="1"/>
    <col min="4" max="4" width="9.5" customWidth="1"/>
  </cols>
  <sheetData>
    <row r="1" spans="1:6" ht="15">
      <c r="A1" s="31" t="s">
        <v>847</v>
      </c>
      <c r="B1" s="31"/>
      <c r="C1" s="31"/>
      <c r="D1" s="31"/>
      <c r="E1" s="31"/>
    </row>
    <row r="2" spans="1:6" ht="15">
      <c r="A2" s="31"/>
      <c r="B2" s="84"/>
      <c r="C2" s="31"/>
      <c r="D2" s="31"/>
      <c r="E2" s="31"/>
    </row>
    <row r="3" spans="1:6" ht="15">
      <c r="A3" s="85" t="s">
        <v>1</v>
      </c>
      <c r="B3" s="85" t="s">
        <v>6</v>
      </c>
      <c r="C3" s="85" t="s">
        <v>3</v>
      </c>
      <c r="D3" s="85" t="s">
        <v>4</v>
      </c>
      <c r="E3" s="85" t="s">
        <v>5</v>
      </c>
    </row>
    <row r="4" spans="1:6">
      <c r="A4" s="21">
        <v>43164</v>
      </c>
      <c r="B4" s="622" t="s">
        <v>9</v>
      </c>
      <c r="C4" s="9">
        <v>102</v>
      </c>
      <c r="D4" s="9"/>
      <c r="E4" s="9">
        <v>102</v>
      </c>
    </row>
    <row r="5" spans="1:6">
      <c r="A5" s="21">
        <v>43195</v>
      </c>
      <c r="B5" s="623" t="s">
        <v>9</v>
      </c>
      <c r="C5" s="9">
        <v>50</v>
      </c>
      <c r="D5" s="9"/>
      <c r="E5" s="9">
        <f>E4+C5-D5</f>
        <v>152</v>
      </c>
    </row>
    <row r="6" spans="1:6">
      <c r="A6" s="9"/>
      <c r="B6" s="429"/>
      <c r="C6" s="9"/>
      <c r="D6" s="9"/>
      <c r="E6" s="9"/>
      <c r="F6" s="480"/>
    </row>
    <row r="7" spans="1:6">
      <c r="A7" s="21"/>
      <c r="B7" s="429"/>
      <c r="C7" s="9"/>
      <c r="D7" s="9"/>
      <c r="E7" s="9"/>
      <c r="F7" s="501"/>
    </row>
    <row r="8" spans="1:6">
      <c r="A8" s="9"/>
      <c r="B8" s="9"/>
      <c r="C8" s="9"/>
      <c r="D8" s="9"/>
      <c r="E8" s="9"/>
    </row>
    <row r="9" spans="1:6">
      <c r="A9" s="9"/>
      <c r="B9" s="9"/>
      <c r="C9" s="9"/>
      <c r="D9" s="9"/>
      <c r="E9" s="9"/>
    </row>
    <row r="10" spans="1:6">
      <c r="A10" s="9"/>
      <c r="B10" s="9"/>
      <c r="C10" s="9"/>
      <c r="D10" s="9"/>
      <c r="E10" s="9"/>
    </row>
    <row r="11" spans="1:6">
      <c r="A11" s="9"/>
      <c r="B11" s="9"/>
      <c r="C11" s="9"/>
      <c r="D11" s="9"/>
      <c r="E11" s="9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00B0F0"/>
  </sheetPr>
  <dimension ref="A2:F18"/>
  <sheetViews>
    <sheetView workbookViewId="0">
      <selection activeCell="E6" sqref="E6"/>
    </sheetView>
  </sheetViews>
  <sheetFormatPr baseColWidth="10" defaultColWidth="9" defaultRowHeight="14" x14ac:dyDescent="0"/>
  <cols>
    <col min="1" max="1" width="15.1640625" customWidth="1"/>
    <col min="2" max="2" width="26.5" customWidth="1"/>
  </cols>
  <sheetData>
    <row r="2" spans="1:6" ht="15">
      <c r="A2" s="59" t="s">
        <v>370</v>
      </c>
      <c r="B2" s="18"/>
      <c r="C2" s="18"/>
      <c r="D2" s="18"/>
      <c r="E2" s="18"/>
    </row>
    <row r="3" spans="1:6" ht="15">
      <c r="A3" s="19"/>
      <c r="B3" s="19"/>
      <c r="C3" s="19"/>
      <c r="D3" s="19"/>
      <c r="E3" s="19"/>
    </row>
    <row r="4" spans="1:6" ht="15">
      <c r="A4" s="41" t="s">
        <v>1</v>
      </c>
      <c r="B4" s="41" t="s">
        <v>6</v>
      </c>
      <c r="C4" s="41" t="s">
        <v>3</v>
      </c>
      <c r="D4" s="41" t="s">
        <v>4</v>
      </c>
      <c r="E4" s="41" t="s">
        <v>5</v>
      </c>
    </row>
    <row r="5" spans="1:6">
      <c r="A5" s="9"/>
      <c r="B5" s="310" t="s">
        <v>418</v>
      </c>
      <c r="C5" s="9"/>
      <c r="D5" s="9"/>
      <c r="E5" s="9">
        <v>126</v>
      </c>
    </row>
    <row r="6" spans="1:6">
      <c r="A6" s="9" t="s">
        <v>703</v>
      </c>
      <c r="B6" s="429" t="s">
        <v>406</v>
      </c>
      <c r="C6" s="9">
        <v>3</v>
      </c>
      <c r="D6" s="9"/>
      <c r="E6" s="9">
        <f>E5+C6-D6</f>
        <v>129</v>
      </c>
    </row>
    <row r="7" spans="1:6">
      <c r="A7" s="9" t="s">
        <v>703</v>
      </c>
      <c r="B7" s="429" t="s">
        <v>406</v>
      </c>
      <c r="C7" s="9">
        <v>86</v>
      </c>
      <c r="D7" s="9"/>
      <c r="E7" s="9">
        <f>E6+C7-D7</f>
        <v>215</v>
      </c>
      <c r="F7" s="480" t="s">
        <v>46</v>
      </c>
    </row>
    <row r="8" spans="1:6">
      <c r="A8" s="21">
        <v>43315</v>
      </c>
      <c r="B8" s="429" t="s">
        <v>406</v>
      </c>
      <c r="C8" s="9">
        <v>1</v>
      </c>
      <c r="D8" s="9"/>
      <c r="E8" s="9">
        <f>E7+C8-D8</f>
        <v>216</v>
      </c>
      <c r="F8" s="501" t="s">
        <v>46</v>
      </c>
    </row>
    <row r="9" spans="1:6">
      <c r="A9" s="9"/>
      <c r="B9" s="9"/>
      <c r="C9" s="9"/>
      <c r="D9" s="9"/>
      <c r="E9" s="9"/>
    </row>
    <row r="10" spans="1:6">
      <c r="A10" s="9"/>
      <c r="B10" s="9"/>
      <c r="C10" s="9"/>
      <c r="D10" s="9"/>
      <c r="E10" s="9"/>
    </row>
    <row r="11" spans="1:6">
      <c r="A11" s="9"/>
      <c r="B11" s="9"/>
      <c r="C11" s="9"/>
      <c r="D11" s="9"/>
      <c r="E11" s="9"/>
    </row>
    <row r="12" spans="1:6">
      <c r="A12" s="9"/>
      <c r="B12" s="9"/>
      <c r="C12" s="9"/>
      <c r="D12" s="9"/>
      <c r="E12" s="9"/>
    </row>
    <row r="13" spans="1:6">
      <c r="A13" s="9"/>
      <c r="B13" s="9"/>
      <c r="C13" s="9"/>
      <c r="D13" s="9"/>
      <c r="E13" s="9"/>
    </row>
    <row r="14" spans="1:6">
      <c r="A14" s="9"/>
      <c r="B14" s="9"/>
      <c r="C14" s="9"/>
      <c r="D14" s="9"/>
      <c r="E14" s="9"/>
    </row>
    <row r="15" spans="1:6">
      <c r="A15" s="9"/>
      <c r="B15" s="9"/>
      <c r="C15" s="9"/>
      <c r="D15" s="9"/>
      <c r="E15" s="9"/>
    </row>
    <row r="16" spans="1:6">
      <c r="A16" s="9"/>
      <c r="B16" s="9"/>
      <c r="C16" s="9"/>
      <c r="D16" s="9"/>
      <c r="E16" s="9"/>
    </row>
    <row r="17" spans="1:5">
      <c r="A17" s="9"/>
      <c r="B17" s="9"/>
      <c r="C17" s="9"/>
      <c r="D17" s="9"/>
      <c r="E17" s="9"/>
    </row>
    <row r="18" spans="1:5">
      <c r="A18" s="9"/>
      <c r="B18" s="9"/>
      <c r="C18" s="9"/>
      <c r="D18" s="9"/>
      <c r="E18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E5" sqref="E5"/>
    </sheetView>
  </sheetViews>
  <sheetFormatPr baseColWidth="10" defaultColWidth="9" defaultRowHeight="14" x14ac:dyDescent="0"/>
  <cols>
    <col min="1" max="1" width="11" customWidth="1"/>
    <col min="2" max="2" width="38.83203125" customWidth="1"/>
  </cols>
  <sheetData>
    <row r="1" spans="1:5" ht="15">
      <c r="A1" s="18" t="s">
        <v>125</v>
      </c>
      <c r="B1" s="18"/>
      <c r="C1" s="18" t="s">
        <v>371</v>
      </c>
      <c r="D1" s="18"/>
      <c r="E1" s="18"/>
    </row>
    <row r="2" spans="1:5" ht="15">
      <c r="A2" s="19"/>
      <c r="B2" s="19"/>
      <c r="C2" s="19"/>
      <c r="D2" s="19"/>
      <c r="E2" s="19"/>
    </row>
    <row r="3" spans="1:5" ht="15">
      <c r="A3" s="20" t="s">
        <v>1</v>
      </c>
      <c r="B3" s="20" t="s">
        <v>6</v>
      </c>
      <c r="C3" s="20" t="s">
        <v>3</v>
      </c>
      <c r="D3" s="20" t="s">
        <v>4</v>
      </c>
      <c r="E3" s="20" t="s">
        <v>5</v>
      </c>
    </row>
    <row r="4" spans="1:5">
      <c r="A4" s="9"/>
      <c r="B4" s="310" t="s">
        <v>418</v>
      </c>
      <c r="C4" s="9"/>
      <c r="D4" s="9"/>
      <c r="E4" s="9">
        <v>318</v>
      </c>
    </row>
    <row r="5" spans="1:5">
      <c r="A5" s="9"/>
      <c r="B5" s="9"/>
      <c r="C5" s="9"/>
      <c r="D5" s="9"/>
      <c r="E5" s="9"/>
    </row>
    <row r="6" spans="1:5">
      <c r="A6" s="9"/>
      <c r="B6" s="9"/>
      <c r="C6" s="9"/>
      <c r="D6" s="9"/>
      <c r="E6" s="9"/>
    </row>
    <row r="7" spans="1:5">
      <c r="A7" s="9"/>
      <c r="B7" s="9"/>
      <c r="C7" s="9"/>
      <c r="D7" s="9"/>
      <c r="E7" s="9"/>
    </row>
    <row r="8" spans="1:5">
      <c r="A8" s="9"/>
      <c r="B8" s="9"/>
      <c r="C8" s="9"/>
      <c r="D8" s="9"/>
      <c r="E8" s="9"/>
    </row>
    <row r="9" spans="1:5">
      <c r="A9" s="9"/>
      <c r="B9" s="9"/>
      <c r="C9" s="9"/>
      <c r="D9" s="9"/>
      <c r="E9" s="9"/>
    </row>
    <row r="10" spans="1:5">
      <c r="A10" s="9"/>
      <c r="B10" s="9"/>
      <c r="C10" s="9"/>
      <c r="D10" s="9"/>
      <c r="E10" s="9"/>
    </row>
    <row r="11" spans="1:5">
      <c r="A11" s="9"/>
      <c r="B11" s="9"/>
      <c r="C11" s="9"/>
      <c r="D11" s="9"/>
      <c r="E11" s="9"/>
    </row>
    <row r="12" spans="1:5">
      <c r="A12" s="9"/>
      <c r="B12" s="9"/>
      <c r="C12" s="9"/>
      <c r="D12" s="9"/>
      <c r="E12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F10" sqref="F10"/>
    </sheetView>
  </sheetViews>
  <sheetFormatPr baseColWidth="10" defaultColWidth="9" defaultRowHeight="14" x14ac:dyDescent="0"/>
  <cols>
    <col min="1" max="1" width="11" customWidth="1"/>
    <col min="2" max="2" width="43.1640625" customWidth="1"/>
  </cols>
  <sheetData>
    <row r="1" spans="1:6" ht="15">
      <c r="A1" s="18" t="s">
        <v>125</v>
      </c>
      <c r="B1" s="18"/>
      <c r="C1" s="18" t="s">
        <v>372</v>
      </c>
      <c r="D1" s="18"/>
      <c r="E1" s="18"/>
    </row>
    <row r="2" spans="1:6" ht="15">
      <c r="A2" s="19"/>
      <c r="B2" s="19"/>
      <c r="C2" s="19"/>
      <c r="D2" s="19"/>
      <c r="E2" s="19"/>
    </row>
    <row r="3" spans="1:6" ht="15">
      <c r="A3" s="20" t="s">
        <v>1</v>
      </c>
      <c r="B3" s="20" t="s">
        <v>6</v>
      </c>
      <c r="C3" s="20" t="s">
        <v>3</v>
      </c>
      <c r="D3" s="20" t="s">
        <v>4</v>
      </c>
      <c r="E3" s="20" t="s">
        <v>5</v>
      </c>
    </row>
    <row r="4" spans="1:6">
      <c r="A4" s="44"/>
      <c r="B4" s="27" t="s">
        <v>418</v>
      </c>
      <c r="C4" s="44"/>
      <c r="D4" s="9"/>
      <c r="E4" s="9">
        <v>44</v>
      </c>
    </row>
    <row r="5" spans="1:6">
      <c r="A5" s="429" t="s">
        <v>636</v>
      </c>
      <c r="B5" s="429" t="s">
        <v>406</v>
      </c>
      <c r="C5" s="9">
        <v>10</v>
      </c>
      <c r="D5" s="9"/>
      <c r="E5" s="9">
        <f>E4+C5-D5</f>
        <v>54</v>
      </c>
      <c r="F5" s="433" t="s">
        <v>46</v>
      </c>
    </row>
    <row r="6" spans="1:6">
      <c r="A6" s="444" t="s">
        <v>656</v>
      </c>
      <c r="B6" s="444" t="s">
        <v>406</v>
      </c>
      <c r="C6" s="26">
        <v>6</v>
      </c>
      <c r="D6" s="9"/>
      <c r="E6" s="9">
        <f>E5+C6-D6</f>
        <v>60</v>
      </c>
    </row>
    <row r="7" spans="1:6" ht="15">
      <c r="A7" s="68" t="s">
        <v>703</v>
      </c>
      <c r="B7" s="68" t="s">
        <v>406</v>
      </c>
      <c r="C7" s="9">
        <v>27</v>
      </c>
      <c r="D7" s="9"/>
      <c r="E7" s="9">
        <f>E6+C7-D7</f>
        <v>87</v>
      </c>
      <c r="F7" s="480" t="s">
        <v>46</v>
      </c>
    </row>
    <row r="8" spans="1:6">
      <c r="A8" s="21">
        <v>43315</v>
      </c>
      <c r="B8" s="429" t="s">
        <v>406</v>
      </c>
      <c r="C8" s="9">
        <v>1</v>
      </c>
      <c r="D8" s="9"/>
      <c r="E8" s="9">
        <f>E7+C8-D8</f>
        <v>88</v>
      </c>
      <c r="F8" s="501" t="s">
        <v>46</v>
      </c>
    </row>
    <row r="9" spans="1:6">
      <c r="A9" s="679" t="s">
        <v>886</v>
      </c>
      <c r="B9" s="680" t="s">
        <v>807</v>
      </c>
      <c r="C9" s="9">
        <v>2</v>
      </c>
      <c r="D9" s="9"/>
      <c r="E9" s="9">
        <f>E8+C9-D9</f>
        <v>90</v>
      </c>
      <c r="F9" s="682" t="s">
        <v>46</v>
      </c>
    </row>
    <row r="10" spans="1:6">
      <c r="A10" s="9"/>
      <c r="B10" s="9"/>
      <c r="C10" s="9"/>
      <c r="D10" s="9"/>
      <c r="E10" s="9"/>
    </row>
    <row r="11" spans="1:6">
      <c r="A11" s="9"/>
      <c r="B11" s="9"/>
      <c r="C11" s="9"/>
      <c r="D11" s="9"/>
      <c r="E11" s="9"/>
    </row>
    <row r="12" spans="1:6">
      <c r="A12" s="9"/>
      <c r="B12" s="9"/>
      <c r="C12" s="9"/>
      <c r="D12" s="9"/>
      <c r="E12" s="9"/>
    </row>
    <row r="13" spans="1:6">
      <c r="A13" s="9"/>
      <c r="B13" s="9"/>
      <c r="C13" s="9"/>
      <c r="D13" s="9"/>
      <c r="E13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selection activeCell="C4" sqref="C4"/>
    </sheetView>
  </sheetViews>
  <sheetFormatPr baseColWidth="10" defaultColWidth="9" defaultRowHeight="14" x14ac:dyDescent="0"/>
  <cols>
    <col min="1" max="1" width="11" customWidth="1"/>
    <col min="2" max="2" width="38.83203125" customWidth="1"/>
  </cols>
  <sheetData>
    <row r="1" spans="1:5" ht="15">
      <c r="A1" s="18" t="s">
        <v>125</v>
      </c>
      <c r="B1" s="18"/>
      <c r="C1" s="18" t="s">
        <v>373</v>
      </c>
      <c r="D1" s="18"/>
      <c r="E1" s="18"/>
    </row>
    <row r="2" spans="1:5" ht="15">
      <c r="A2" s="19"/>
      <c r="B2" s="19"/>
      <c r="C2" s="19"/>
      <c r="D2" s="19"/>
      <c r="E2" s="19"/>
    </row>
    <row r="3" spans="1:5" ht="15">
      <c r="A3" s="20" t="s">
        <v>1</v>
      </c>
      <c r="B3" s="20" t="s">
        <v>6</v>
      </c>
      <c r="C3" s="20" t="s">
        <v>3</v>
      </c>
      <c r="D3" s="20" t="s">
        <v>4</v>
      </c>
      <c r="E3" s="20" t="s">
        <v>5</v>
      </c>
    </row>
    <row r="4" spans="1:5" ht="15">
      <c r="A4" s="118"/>
      <c r="B4" s="20" t="s">
        <v>418</v>
      </c>
      <c r="C4" s="20"/>
      <c r="D4" s="20"/>
      <c r="E4" s="20">
        <v>14</v>
      </c>
    </row>
    <row r="5" spans="1:5" ht="15">
      <c r="A5" s="20"/>
      <c r="B5" s="20"/>
      <c r="C5" s="20"/>
      <c r="D5" s="20"/>
      <c r="E5" s="20"/>
    </row>
    <row r="6" spans="1:5" ht="15">
      <c r="A6" s="21"/>
      <c r="B6" s="27"/>
      <c r="C6" s="9"/>
      <c r="D6" s="9"/>
      <c r="E6" s="20"/>
    </row>
    <row r="7" spans="1:5" ht="15">
      <c r="A7" s="21"/>
      <c r="B7" s="27"/>
      <c r="C7" s="9"/>
      <c r="D7" s="9"/>
      <c r="E7" s="20"/>
    </row>
    <row r="8" spans="1:5" ht="15">
      <c r="A8" s="26"/>
      <c r="B8" s="26"/>
      <c r="C8" s="26"/>
      <c r="D8" s="9"/>
      <c r="E8" s="20"/>
    </row>
    <row r="9" spans="1:5" ht="15">
      <c r="A9" s="26"/>
      <c r="B9" s="9"/>
      <c r="C9" s="26"/>
      <c r="D9" s="6"/>
      <c r="E9" s="20"/>
    </row>
    <row r="10" spans="1:5" ht="15">
      <c r="A10" s="45"/>
      <c r="B10" s="44"/>
      <c r="C10" s="44"/>
      <c r="D10" s="9"/>
      <c r="E10" s="20"/>
    </row>
    <row r="11" spans="1:5" ht="15">
      <c r="A11" s="26"/>
      <c r="B11" s="26"/>
      <c r="C11" s="47"/>
      <c r="D11" s="9"/>
      <c r="E11" s="20"/>
    </row>
    <row r="12" spans="1:5" ht="15">
      <c r="A12" s="26"/>
      <c r="B12" s="26"/>
      <c r="C12" s="47"/>
      <c r="D12" s="9"/>
      <c r="E12" s="20"/>
    </row>
    <row r="13" spans="1:5" ht="15">
      <c r="A13" s="9"/>
      <c r="B13" s="9"/>
      <c r="C13" s="44"/>
      <c r="D13" s="9"/>
      <c r="E13" s="20"/>
    </row>
    <row r="14" spans="1:5" ht="15">
      <c r="A14" s="21"/>
      <c r="B14" s="9"/>
      <c r="C14" s="9"/>
      <c r="D14" s="9"/>
      <c r="E14" s="20"/>
    </row>
    <row r="15" spans="1:5" ht="15">
      <c r="A15" s="96"/>
      <c r="B15" s="9"/>
      <c r="C15" s="9"/>
      <c r="D15" s="9"/>
      <c r="E15" s="20"/>
    </row>
    <row r="16" spans="1:5" ht="15">
      <c r="A16" s="96"/>
      <c r="B16" s="34"/>
      <c r="C16" s="9"/>
      <c r="D16" s="9"/>
      <c r="E16" s="20"/>
    </row>
    <row r="17" spans="1:5">
      <c r="A17" s="21"/>
      <c r="B17" s="9"/>
      <c r="C17" s="26"/>
      <c r="D17" s="9"/>
      <c r="E17" s="9"/>
    </row>
    <row r="18" spans="1:5">
      <c r="A18" s="9"/>
      <c r="B18" s="9"/>
      <c r="C18" s="26"/>
      <c r="D18" s="9"/>
      <c r="E18" s="9"/>
    </row>
    <row r="19" spans="1:5" ht="15">
      <c r="A19" s="96"/>
      <c r="B19" s="95"/>
      <c r="C19" s="9"/>
      <c r="D19" s="9"/>
      <c r="E19" s="9"/>
    </row>
    <row r="20" spans="1:5" ht="15">
      <c r="A20" s="96"/>
      <c r="B20" s="95"/>
      <c r="C20" s="26"/>
      <c r="D20" s="9"/>
      <c r="E20" s="9"/>
    </row>
    <row r="21" spans="1:5">
      <c r="A21" s="9"/>
      <c r="B21" s="9"/>
      <c r="C21" s="9"/>
      <c r="D21" s="9"/>
      <c r="E21" s="9"/>
    </row>
    <row r="22" spans="1:5">
      <c r="A22" s="9"/>
      <c r="B22" s="9"/>
      <c r="C22" s="9"/>
      <c r="D22" s="9"/>
      <c r="E22" s="9"/>
    </row>
    <row r="23" spans="1:5">
      <c r="A23" s="9"/>
      <c r="B23" s="9"/>
      <c r="C23" s="9"/>
      <c r="D23" s="9"/>
      <c r="E23" s="9"/>
    </row>
    <row r="24" spans="1:5">
      <c r="A24" s="9"/>
      <c r="B24" s="9"/>
      <c r="C24" s="9"/>
      <c r="D24" s="9"/>
      <c r="E24" s="9"/>
    </row>
    <row r="25" spans="1:5">
      <c r="A25" s="9"/>
      <c r="B25" s="9"/>
      <c r="C25" s="9"/>
      <c r="D25" s="9"/>
      <c r="E25" s="9"/>
    </row>
    <row r="26" spans="1:5">
      <c r="A26" s="9"/>
      <c r="B26" s="9"/>
      <c r="C26" s="9"/>
      <c r="D26" s="9"/>
      <c r="E26" s="9"/>
    </row>
    <row r="27" spans="1:5">
      <c r="A27" s="9"/>
      <c r="B27" s="9"/>
      <c r="C27" s="9"/>
      <c r="D27" s="9"/>
      <c r="E27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5"/>
  <sheetViews>
    <sheetView workbookViewId="0">
      <selection activeCell="C34" sqref="C34"/>
    </sheetView>
  </sheetViews>
  <sheetFormatPr baseColWidth="10" defaultColWidth="9" defaultRowHeight="15" x14ac:dyDescent="0"/>
  <cols>
    <col min="1" max="1" width="12.5" style="59" customWidth="1"/>
    <col min="2" max="2" width="24.5" style="59" customWidth="1"/>
    <col min="3" max="6" width="9" style="59"/>
    <col min="7" max="7" width="9" style="116"/>
  </cols>
  <sheetData>
    <row r="2" spans="1:6">
      <c r="A2" s="117" t="s">
        <v>374</v>
      </c>
      <c r="B2" s="117"/>
    </row>
    <row r="4" spans="1:6">
      <c r="A4" s="61" t="s">
        <v>134</v>
      </c>
      <c r="B4" s="62" t="s">
        <v>135</v>
      </c>
      <c r="C4" s="62" t="s">
        <v>136</v>
      </c>
      <c r="D4" s="63" t="s">
        <v>137</v>
      </c>
      <c r="E4" s="64" t="s">
        <v>138</v>
      </c>
    </row>
    <row r="5" spans="1:6">
      <c r="A5" s="68"/>
      <c r="B5" s="68" t="s">
        <v>418</v>
      </c>
      <c r="C5" s="68"/>
      <c r="D5" s="68"/>
      <c r="E5" s="68">
        <v>94</v>
      </c>
    </row>
    <row r="6" spans="1:6">
      <c r="A6" s="444" t="s">
        <v>656</v>
      </c>
      <c r="B6" s="444" t="s">
        <v>406</v>
      </c>
      <c r="C6" s="9">
        <v>6</v>
      </c>
      <c r="D6" s="68"/>
      <c r="E6" s="68">
        <f>E5+C6-D6</f>
        <v>100</v>
      </c>
    </row>
    <row r="7" spans="1:6">
      <c r="A7" s="68" t="s">
        <v>703</v>
      </c>
      <c r="B7" s="68" t="s">
        <v>406</v>
      </c>
      <c r="C7" s="68">
        <v>18</v>
      </c>
      <c r="D7" s="68"/>
      <c r="E7" s="68">
        <f>E6+C7-D7</f>
        <v>118</v>
      </c>
      <c r="F7" s="59" t="s">
        <v>46</v>
      </c>
    </row>
    <row r="8" spans="1:6">
      <c r="A8" s="21">
        <v>43315</v>
      </c>
      <c r="B8" s="429" t="s">
        <v>406</v>
      </c>
      <c r="C8" s="68">
        <v>4</v>
      </c>
      <c r="D8" s="68"/>
      <c r="E8" s="68">
        <f>E7+C8-D8</f>
        <v>122</v>
      </c>
      <c r="F8" s="59" t="s">
        <v>46</v>
      </c>
    </row>
    <row r="9" spans="1:6">
      <c r="A9" s="68"/>
      <c r="B9" s="68"/>
      <c r="C9" s="68"/>
      <c r="D9" s="68"/>
      <c r="E9" s="68"/>
    </row>
    <row r="10" spans="1:6">
      <c r="A10" s="68"/>
      <c r="B10" s="68"/>
      <c r="C10" s="68"/>
      <c r="D10" s="68"/>
      <c r="E10" s="68"/>
    </row>
    <row r="11" spans="1:6">
      <c r="A11" s="68"/>
      <c r="B11" s="68"/>
      <c r="C11" s="68"/>
      <c r="D11" s="68"/>
      <c r="E11" s="68"/>
    </row>
    <row r="12" spans="1:6">
      <c r="A12" s="68"/>
      <c r="B12" s="68"/>
      <c r="C12" s="68"/>
      <c r="D12" s="68"/>
      <c r="E12" s="68"/>
    </row>
    <row r="13" spans="1:6">
      <c r="A13" s="68"/>
      <c r="B13" s="68"/>
      <c r="C13" s="68"/>
      <c r="D13" s="68"/>
      <c r="E13" s="68"/>
    </row>
    <row r="14" spans="1:6">
      <c r="A14" s="68"/>
      <c r="B14" s="68"/>
      <c r="C14" s="68"/>
      <c r="D14" s="68"/>
      <c r="E14" s="68"/>
    </row>
    <row r="15" spans="1:6">
      <c r="A15" s="68"/>
      <c r="B15" s="68"/>
      <c r="C15" s="68"/>
      <c r="D15" s="68"/>
      <c r="E15" s="68"/>
    </row>
  </sheetData>
  <pageMargins left="0.69930555555555596" right="0.69930555555555596" top="0.75" bottom="0.75" header="0.3" footer="0.3"/>
  <pageSetup paperSize="9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6"/>
  <sheetViews>
    <sheetView workbookViewId="0">
      <selection activeCell="B36" sqref="B36"/>
    </sheetView>
  </sheetViews>
  <sheetFormatPr baseColWidth="10" defaultColWidth="9" defaultRowHeight="14" x14ac:dyDescent="0"/>
  <cols>
    <col min="1" max="1" width="15.1640625" customWidth="1"/>
    <col min="2" max="2" width="26.6640625" customWidth="1"/>
  </cols>
  <sheetData>
    <row r="2" spans="1:5" ht="15">
      <c r="A2" s="18" t="s">
        <v>125</v>
      </c>
      <c r="B2" s="18"/>
      <c r="C2" s="18" t="s">
        <v>375</v>
      </c>
      <c r="D2" s="18"/>
      <c r="E2" s="18"/>
    </row>
    <row r="3" spans="1:5" ht="15">
      <c r="A3" s="19"/>
      <c r="B3" s="19"/>
      <c r="C3" s="19"/>
      <c r="D3" s="19"/>
      <c r="E3" s="19"/>
    </row>
    <row r="4" spans="1:5" ht="15">
      <c r="A4" s="41" t="s">
        <v>1</v>
      </c>
      <c r="B4" s="41" t="s">
        <v>6</v>
      </c>
      <c r="C4" s="41" t="s">
        <v>3</v>
      </c>
      <c r="D4" s="41" t="s">
        <v>4</v>
      </c>
      <c r="E4" s="41" t="s">
        <v>5</v>
      </c>
    </row>
    <row r="5" spans="1:5" ht="15">
      <c r="A5" s="95"/>
      <c r="B5" s="95" t="s">
        <v>418</v>
      </c>
      <c r="C5" s="95"/>
      <c r="D5" s="95"/>
      <c r="E5" s="95">
        <v>10</v>
      </c>
    </row>
    <row r="6" spans="1:5">
      <c r="A6" s="9"/>
      <c r="B6" s="9"/>
      <c r="C6" s="9"/>
      <c r="D6" s="9"/>
      <c r="E6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8"/>
  <sheetViews>
    <sheetView workbookViewId="0">
      <selection activeCell="B6" sqref="B6"/>
    </sheetView>
  </sheetViews>
  <sheetFormatPr baseColWidth="10" defaultColWidth="9" defaultRowHeight="14" x14ac:dyDescent="0"/>
  <cols>
    <col min="1" max="1" width="12.5" style="71" customWidth="1"/>
    <col min="2" max="2" width="23" style="71" customWidth="1"/>
    <col min="3" max="5" width="9" style="71"/>
  </cols>
  <sheetData>
    <row r="2" spans="1:5">
      <c r="A2" s="71" t="s">
        <v>376</v>
      </c>
    </row>
    <row r="4" spans="1:5">
      <c r="A4" s="73" t="s">
        <v>134</v>
      </c>
      <c r="B4" s="74" t="s">
        <v>135</v>
      </c>
      <c r="C4" s="74" t="s">
        <v>136</v>
      </c>
      <c r="D4" s="75" t="s">
        <v>137</v>
      </c>
      <c r="E4" s="76" t="s">
        <v>138</v>
      </c>
    </row>
    <row r="5" spans="1:5">
      <c r="A5" s="77"/>
      <c r="B5" s="79" t="s">
        <v>418</v>
      </c>
      <c r="C5" s="79"/>
      <c r="D5" s="80"/>
      <c r="E5" s="79">
        <v>16</v>
      </c>
    </row>
    <row r="6" spans="1:5">
      <c r="A6" s="110"/>
      <c r="B6" s="111"/>
      <c r="C6" s="111"/>
      <c r="D6" s="112"/>
      <c r="E6" s="111"/>
    </row>
    <row r="7" spans="1:5">
      <c r="A7" s="81"/>
      <c r="B7" s="81"/>
      <c r="C7" s="81"/>
      <c r="D7" s="82"/>
      <c r="E7" s="81"/>
    </row>
    <row r="8" spans="1:5">
      <c r="A8" s="81"/>
      <c r="B8" s="81"/>
      <c r="C8" s="81"/>
      <c r="D8" s="82"/>
      <c r="E8" s="81"/>
    </row>
    <row r="9" spans="1:5">
      <c r="A9" s="113"/>
      <c r="B9" s="83"/>
      <c r="C9" s="78"/>
      <c r="D9" s="114"/>
      <c r="E9" s="79"/>
    </row>
    <row r="10" spans="1:5">
      <c r="A10" s="110"/>
      <c r="B10" s="111"/>
      <c r="C10" s="111"/>
      <c r="D10" s="112"/>
      <c r="E10" s="111"/>
    </row>
    <row r="11" spans="1:5">
      <c r="A11" s="81"/>
      <c r="B11" s="81"/>
      <c r="C11" s="81"/>
      <c r="D11" s="82"/>
      <c r="E11" s="81"/>
    </row>
    <row r="12" spans="1:5">
      <c r="A12" s="81"/>
      <c r="B12" s="81"/>
      <c r="C12" s="81"/>
      <c r="D12" s="82"/>
      <c r="E12" s="81"/>
    </row>
    <row r="13" spans="1:5">
      <c r="A13" s="81"/>
      <c r="B13" s="81"/>
      <c r="C13" s="81"/>
      <c r="D13" s="82"/>
      <c r="E13" s="81"/>
    </row>
    <row r="14" spans="1:5">
      <c r="A14" s="81"/>
      <c r="B14" s="81"/>
      <c r="C14" s="81"/>
      <c r="D14" s="82"/>
      <c r="E14" s="81"/>
    </row>
    <row r="15" spans="1:5">
      <c r="A15" s="81"/>
      <c r="B15" s="81"/>
      <c r="C15" s="81"/>
      <c r="D15" s="82"/>
      <c r="E15" s="81"/>
    </row>
    <row r="16" spans="1:5">
      <c r="A16" s="81"/>
      <c r="B16" s="81"/>
      <c r="C16" s="81"/>
      <c r="D16" s="82"/>
      <c r="E16" s="81"/>
    </row>
    <row r="17" spans="1:5">
      <c r="A17" s="81"/>
      <c r="B17" s="81"/>
      <c r="C17" s="81"/>
      <c r="D17" s="82"/>
      <c r="E17" s="81"/>
    </row>
    <row r="18" spans="1:5">
      <c r="A18" s="81"/>
      <c r="B18" s="81"/>
      <c r="C18" s="81"/>
      <c r="D18" s="82"/>
      <c r="E18" s="81"/>
    </row>
    <row r="19" spans="1:5">
      <c r="A19" s="81"/>
      <c r="B19" s="81"/>
      <c r="C19" s="81"/>
      <c r="D19" s="82"/>
      <c r="E19" s="81"/>
    </row>
    <row r="20" spans="1:5">
      <c r="A20" s="81"/>
      <c r="B20" s="81"/>
      <c r="C20" s="81"/>
      <c r="D20" s="82"/>
      <c r="E20" s="81"/>
    </row>
    <row r="21" spans="1:5">
      <c r="A21" s="81"/>
      <c r="B21" s="81"/>
      <c r="C21" s="81"/>
      <c r="D21" s="82"/>
      <c r="E21" s="81"/>
    </row>
    <row r="22" spans="1:5">
      <c r="A22" s="81"/>
      <c r="B22" s="81"/>
      <c r="C22" s="81"/>
      <c r="D22" s="82"/>
      <c r="E22" s="81"/>
    </row>
    <row r="23" spans="1:5">
      <c r="A23" s="81"/>
      <c r="B23" s="81"/>
      <c r="C23" s="81"/>
      <c r="D23" s="82"/>
      <c r="E23" s="81"/>
    </row>
    <row r="24" spans="1:5">
      <c r="A24" s="81"/>
      <c r="B24" s="81"/>
      <c r="C24" s="81"/>
      <c r="D24" s="82"/>
      <c r="E24" s="81"/>
    </row>
    <row r="25" spans="1:5">
      <c r="A25" s="81"/>
      <c r="B25" s="81"/>
      <c r="C25" s="81"/>
      <c r="D25" s="82"/>
      <c r="E25" s="81"/>
    </row>
    <row r="26" spans="1:5">
      <c r="A26" s="81"/>
      <c r="B26" s="81"/>
      <c r="C26" s="81"/>
      <c r="D26" s="82"/>
      <c r="E26" s="81"/>
    </row>
    <row r="27" spans="1:5">
      <c r="A27" s="81"/>
      <c r="B27" s="81"/>
      <c r="C27" s="81"/>
      <c r="D27" s="82"/>
      <c r="E27" s="81"/>
    </row>
    <row r="28" spans="1:5">
      <c r="A28" s="81"/>
      <c r="B28" s="81"/>
      <c r="C28" s="81"/>
      <c r="D28" s="82"/>
      <c r="E28" s="81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selection activeCell="B8" sqref="B8"/>
    </sheetView>
  </sheetViews>
  <sheetFormatPr baseColWidth="10" defaultColWidth="9" defaultRowHeight="15" x14ac:dyDescent="0"/>
  <cols>
    <col min="1" max="1" width="12.5" style="60" customWidth="1"/>
    <col min="2" max="2" width="18.5" style="60" customWidth="1"/>
    <col min="3" max="5" width="9" style="60"/>
  </cols>
  <sheetData>
    <row r="1" spans="1:5">
      <c r="A1" s="60" t="s">
        <v>291</v>
      </c>
    </row>
    <row r="3" spans="1:5">
      <c r="A3" s="60" t="s">
        <v>293</v>
      </c>
    </row>
    <row r="4" spans="1:5">
      <c r="A4" s="60" t="s">
        <v>377</v>
      </c>
    </row>
    <row r="6" spans="1:5">
      <c r="A6" s="99" t="s">
        <v>134</v>
      </c>
      <c r="B6" s="100" t="s">
        <v>135</v>
      </c>
      <c r="C6" s="100" t="s">
        <v>136</v>
      </c>
      <c r="D6" s="101" t="s">
        <v>137</v>
      </c>
      <c r="E6" s="102" t="s">
        <v>138</v>
      </c>
    </row>
    <row r="7" spans="1:5">
      <c r="A7" s="30"/>
      <c r="B7" s="87" t="s">
        <v>418</v>
      </c>
      <c r="C7" s="87"/>
      <c r="D7" s="103"/>
      <c r="E7" s="87">
        <v>132</v>
      </c>
    </row>
    <row r="8" spans="1:5">
      <c r="A8" s="104"/>
      <c r="B8" s="87"/>
      <c r="C8" s="105"/>
      <c r="D8" s="106"/>
      <c r="E8" s="107"/>
    </row>
    <row r="9" spans="1:5">
      <c r="A9" s="30"/>
      <c r="B9" s="87"/>
      <c r="C9" s="87"/>
      <c r="D9" s="103"/>
      <c r="E9" s="87"/>
    </row>
    <row r="10" spans="1:5">
      <c r="A10" s="30"/>
      <c r="B10" s="87"/>
      <c r="C10" s="87"/>
      <c r="D10" s="103"/>
      <c r="E10" s="87"/>
    </row>
    <row r="11" spans="1:5">
      <c r="A11" s="30"/>
      <c r="B11" s="87"/>
      <c r="C11" s="87"/>
      <c r="D11" s="103"/>
      <c r="E11" s="87"/>
    </row>
    <row r="12" spans="1:5">
      <c r="A12" s="87"/>
      <c r="B12" s="87"/>
      <c r="C12" s="87"/>
      <c r="D12" s="103"/>
      <c r="E12" s="87"/>
    </row>
    <row r="13" spans="1:5">
      <c r="A13" s="87"/>
      <c r="B13" s="87"/>
      <c r="C13" s="87"/>
      <c r="D13" s="103"/>
      <c r="E13" s="87"/>
    </row>
    <row r="14" spans="1:5">
      <c r="A14" s="30"/>
      <c r="B14" s="87"/>
      <c r="C14" s="87"/>
      <c r="D14" s="103"/>
      <c r="E14" s="87"/>
    </row>
    <row r="15" spans="1:5">
      <c r="A15" s="30"/>
      <c r="B15" s="108"/>
      <c r="C15" s="107"/>
      <c r="D15" s="109"/>
      <c r="E15" s="107"/>
    </row>
    <row r="16" spans="1:5">
      <c r="A16" s="87"/>
      <c r="B16" s="87"/>
      <c r="C16" s="87"/>
      <c r="D16" s="103"/>
      <c r="E16" s="87"/>
    </row>
    <row r="17" spans="1:5">
      <c r="A17" s="87"/>
      <c r="B17" s="87"/>
      <c r="C17" s="87"/>
      <c r="D17" s="103"/>
      <c r="E17" s="87"/>
    </row>
    <row r="18" spans="1:5">
      <c r="A18" s="87"/>
      <c r="B18" s="87"/>
      <c r="C18" s="87"/>
      <c r="D18" s="103"/>
      <c r="E18" s="87"/>
    </row>
    <row r="19" spans="1:5">
      <c r="A19" s="87"/>
      <c r="B19" s="87"/>
      <c r="C19" s="87"/>
      <c r="D19" s="103"/>
      <c r="E19" s="87"/>
    </row>
    <row r="20" spans="1:5">
      <c r="A20" s="87"/>
      <c r="B20" s="87"/>
      <c r="C20" s="87"/>
      <c r="D20" s="103"/>
      <c r="E20" s="87"/>
    </row>
    <row r="21" spans="1:5">
      <c r="A21" s="87"/>
      <c r="B21" s="87"/>
      <c r="C21" s="87"/>
      <c r="D21" s="103"/>
      <c r="E21" s="87"/>
    </row>
    <row r="22" spans="1:5">
      <c r="A22" s="87"/>
      <c r="B22" s="87"/>
      <c r="C22" s="87"/>
      <c r="D22" s="103"/>
      <c r="E22" s="87"/>
    </row>
    <row r="23" spans="1:5">
      <c r="A23" s="87"/>
      <c r="B23" s="87"/>
      <c r="C23" s="87"/>
      <c r="D23" s="103"/>
      <c r="E23" s="87"/>
    </row>
    <row r="24" spans="1:5">
      <c r="A24" s="87"/>
      <c r="B24" s="87"/>
      <c r="C24" s="87"/>
      <c r="D24" s="103"/>
      <c r="E24" s="87"/>
    </row>
    <row r="25" spans="1:5">
      <c r="A25" s="87"/>
      <c r="B25" s="87"/>
      <c r="C25" s="87"/>
      <c r="D25" s="103"/>
      <c r="E25" s="87"/>
    </row>
    <row r="26" spans="1:5">
      <c r="A26" s="87"/>
      <c r="B26" s="87"/>
      <c r="C26" s="87"/>
      <c r="D26" s="103"/>
      <c r="E26" s="87"/>
    </row>
    <row r="27" spans="1:5">
      <c r="A27" s="87"/>
      <c r="B27" s="87"/>
      <c r="C27" s="87"/>
      <c r="D27" s="103"/>
      <c r="E27" s="87"/>
    </row>
    <row r="28" spans="1:5">
      <c r="A28" s="87"/>
      <c r="B28" s="87"/>
      <c r="C28" s="87"/>
      <c r="D28" s="103"/>
      <c r="E28" s="87"/>
    </row>
    <row r="29" spans="1:5">
      <c r="A29" s="87"/>
      <c r="B29" s="87"/>
      <c r="C29" s="87"/>
      <c r="D29" s="103"/>
      <c r="E29" s="87"/>
    </row>
    <row r="30" spans="1:5">
      <c r="A30" s="87"/>
      <c r="B30" s="87"/>
      <c r="C30" s="87"/>
      <c r="D30" s="103"/>
      <c r="E30" s="87"/>
    </row>
    <row r="31" spans="1:5">
      <c r="A31" s="87"/>
      <c r="B31" s="87"/>
      <c r="C31" s="87"/>
      <c r="D31" s="103"/>
      <c r="E31" s="87"/>
    </row>
    <row r="32" spans="1:5">
      <c r="A32" s="87"/>
      <c r="B32" s="87"/>
      <c r="C32" s="87"/>
      <c r="D32" s="103"/>
      <c r="E32" s="87"/>
    </row>
    <row r="33" spans="1:5">
      <c r="A33" s="87"/>
      <c r="B33" s="87"/>
      <c r="C33" s="87"/>
      <c r="D33" s="103"/>
      <c r="E33" s="87"/>
    </row>
    <row r="34" spans="1:5">
      <c r="A34" s="87"/>
      <c r="B34" s="87"/>
      <c r="C34" s="87"/>
      <c r="D34" s="103"/>
      <c r="E34" s="87"/>
    </row>
    <row r="35" spans="1:5">
      <c r="A35" s="87"/>
      <c r="B35" s="87"/>
      <c r="C35" s="87"/>
      <c r="D35" s="103"/>
      <c r="E35" s="87"/>
    </row>
    <row r="36" spans="1:5">
      <c r="A36" s="87"/>
      <c r="B36" s="87"/>
      <c r="C36" s="87"/>
      <c r="D36" s="103"/>
      <c r="E36" s="87"/>
    </row>
    <row r="37" spans="1:5">
      <c r="A37" s="87"/>
      <c r="B37" s="87"/>
      <c r="C37" s="87"/>
      <c r="D37" s="103"/>
      <c r="E37" s="87"/>
    </row>
    <row r="38" spans="1:5">
      <c r="A38" s="87"/>
      <c r="B38" s="87"/>
      <c r="C38" s="87"/>
      <c r="D38" s="103"/>
      <c r="E38" s="87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F9" sqref="F9"/>
    </sheetView>
  </sheetViews>
  <sheetFormatPr baseColWidth="10" defaultColWidth="9" defaultRowHeight="14" x14ac:dyDescent="0"/>
  <cols>
    <col min="1" max="1" width="12.6640625" customWidth="1"/>
    <col min="2" max="2" width="33.1640625" customWidth="1"/>
    <col min="3" max="3" width="8" customWidth="1"/>
    <col min="4" max="4" width="10" customWidth="1"/>
    <col min="5" max="5" width="9.6640625" customWidth="1"/>
  </cols>
  <sheetData>
    <row r="1" spans="1:6">
      <c r="A1" s="50" t="s">
        <v>378</v>
      </c>
      <c r="B1" s="50"/>
      <c r="C1" s="50"/>
      <c r="D1" s="50"/>
      <c r="E1" s="50"/>
    </row>
    <row r="2" spans="1:6">
      <c r="A2" s="50"/>
      <c r="B2" s="51"/>
      <c r="C2" s="50"/>
      <c r="D2" s="50"/>
      <c r="E2" s="50"/>
    </row>
    <row r="3" spans="1:6">
      <c r="A3" s="52" t="s">
        <v>1</v>
      </c>
      <c r="B3" s="52" t="s">
        <v>6</v>
      </c>
      <c r="C3" s="52" t="s">
        <v>3</v>
      </c>
      <c r="D3" s="52" t="s">
        <v>4</v>
      </c>
      <c r="E3" s="52" t="s">
        <v>5</v>
      </c>
    </row>
    <row r="4" spans="1:6">
      <c r="A4" s="9"/>
      <c r="B4" s="310" t="s">
        <v>418</v>
      </c>
      <c r="C4" s="9"/>
      <c r="D4" s="9"/>
      <c r="E4" s="9">
        <v>372</v>
      </c>
    </row>
    <row r="5" spans="1:6">
      <c r="A5" s="444" t="s">
        <v>656</v>
      </c>
      <c r="B5" s="444" t="s">
        <v>406</v>
      </c>
      <c r="C5" s="9">
        <v>38</v>
      </c>
      <c r="D5" s="9"/>
      <c r="E5" s="9">
        <f>E4+C5-D5</f>
        <v>410</v>
      </c>
    </row>
    <row r="6" spans="1:6">
      <c r="A6" s="452" t="s">
        <v>665</v>
      </c>
      <c r="B6" s="429" t="s">
        <v>406</v>
      </c>
      <c r="C6" s="9">
        <v>105</v>
      </c>
      <c r="D6" s="9"/>
      <c r="E6" s="9">
        <f>E5+C6-D6</f>
        <v>515</v>
      </c>
      <c r="F6" s="453" t="s">
        <v>46</v>
      </c>
    </row>
    <row r="7" spans="1:6">
      <c r="A7" s="9" t="s">
        <v>703</v>
      </c>
      <c r="B7" s="429" t="s">
        <v>406</v>
      </c>
      <c r="C7" s="9">
        <v>70</v>
      </c>
      <c r="D7" s="9"/>
      <c r="E7" s="9">
        <f>E6+C7-D7</f>
        <v>585</v>
      </c>
      <c r="F7" s="480" t="s">
        <v>46</v>
      </c>
    </row>
    <row r="8" spans="1:6">
      <c r="A8" s="21">
        <v>43315</v>
      </c>
      <c r="B8" s="429" t="s">
        <v>406</v>
      </c>
      <c r="C8" s="9">
        <v>30</v>
      </c>
      <c r="D8" s="9"/>
      <c r="E8" s="9">
        <f>E7+C8-D8</f>
        <v>615</v>
      </c>
      <c r="F8" s="501" t="s">
        <v>46</v>
      </c>
    </row>
    <row r="9" spans="1:6">
      <c r="A9" s="9"/>
      <c r="B9" s="9"/>
      <c r="C9" s="9"/>
      <c r="D9" s="9"/>
      <c r="E9" s="9"/>
    </row>
    <row r="10" spans="1:6">
      <c r="A10" s="9"/>
      <c r="B10" s="9"/>
      <c r="C10" s="9"/>
      <c r="D10" s="9"/>
      <c r="E10" s="9"/>
    </row>
    <row r="11" spans="1:6">
      <c r="A11" s="9"/>
      <c r="B11" s="9"/>
      <c r="C11" s="9"/>
      <c r="D11" s="9"/>
      <c r="E11" s="9"/>
    </row>
    <row r="12" spans="1:6">
      <c r="A12" s="9"/>
      <c r="B12" s="9"/>
      <c r="C12" s="9"/>
      <c r="D12" s="9"/>
      <c r="E12" s="9"/>
    </row>
    <row r="13" spans="1:6">
      <c r="A13" s="9"/>
      <c r="B13" s="9"/>
      <c r="C13" s="9"/>
      <c r="D13" s="9"/>
      <c r="E13" s="9"/>
    </row>
    <row r="14" spans="1:6">
      <c r="A14" s="9"/>
      <c r="B14" s="9"/>
      <c r="C14" s="9"/>
      <c r="D14" s="9"/>
      <c r="E14" s="9"/>
    </row>
    <row r="15" spans="1:6">
      <c r="A15" s="9"/>
      <c r="B15" s="9"/>
      <c r="C15" s="9"/>
      <c r="D15" s="9"/>
      <c r="E15" s="9"/>
    </row>
  </sheetData>
  <pageMargins left="0.69930555555555596" right="0.69930555555555596" top="0.75" bottom="0.75" header="0.3" footer="0.3"/>
  <pageSetup paperSize="9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E6" sqref="E6"/>
    </sheetView>
  </sheetViews>
  <sheetFormatPr baseColWidth="10" defaultColWidth="9" defaultRowHeight="14" x14ac:dyDescent="0"/>
  <cols>
    <col min="1" max="1" width="12.6640625" customWidth="1"/>
    <col min="2" max="2" width="29" customWidth="1"/>
    <col min="3" max="3" width="8" customWidth="1"/>
    <col min="4" max="4" width="8.1640625" customWidth="1"/>
    <col min="5" max="5" width="6.6640625" customWidth="1"/>
  </cols>
  <sheetData>
    <row r="1" spans="1:6">
      <c r="A1" s="50" t="s">
        <v>379</v>
      </c>
      <c r="B1" s="50"/>
      <c r="C1" s="50"/>
      <c r="D1" s="50"/>
      <c r="E1" s="50"/>
    </row>
    <row r="2" spans="1:6">
      <c r="A2" s="50"/>
      <c r="B2" s="51"/>
      <c r="C2" s="50"/>
      <c r="D2" s="50"/>
      <c r="E2" s="50"/>
    </row>
    <row r="3" spans="1:6">
      <c r="A3" s="52" t="s">
        <v>1</v>
      </c>
      <c r="B3" s="52" t="s">
        <v>6</v>
      </c>
      <c r="C3" s="52" t="s">
        <v>3</v>
      </c>
      <c r="D3" s="52" t="s">
        <v>4</v>
      </c>
      <c r="E3" s="52" t="s">
        <v>5</v>
      </c>
    </row>
    <row r="4" spans="1:6">
      <c r="A4" s="45"/>
      <c r="B4" s="44" t="s">
        <v>418</v>
      </c>
      <c r="C4" s="44"/>
      <c r="D4" s="9"/>
      <c r="E4" s="9">
        <v>144</v>
      </c>
    </row>
    <row r="5" spans="1:6">
      <c r="A5" s="452" t="s">
        <v>665</v>
      </c>
      <c r="B5" s="429" t="s">
        <v>406</v>
      </c>
      <c r="C5" s="9">
        <v>142</v>
      </c>
      <c r="D5" s="9"/>
      <c r="E5" s="9">
        <f>E4+C5-D5</f>
        <v>286</v>
      </c>
    </row>
    <row r="6" spans="1:6">
      <c r="A6" s="21">
        <v>43315</v>
      </c>
      <c r="B6" s="429" t="s">
        <v>406</v>
      </c>
      <c r="C6" s="9">
        <v>25</v>
      </c>
      <c r="D6" s="9"/>
      <c r="E6" s="9">
        <f>E5+C6-D6</f>
        <v>311</v>
      </c>
      <c r="F6" s="501" t="s">
        <v>46</v>
      </c>
    </row>
    <row r="7" spans="1:6">
      <c r="A7" s="21"/>
      <c r="B7" s="44"/>
      <c r="C7" s="9"/>
      <c r="D7" s="9"/>
      <c r="E7" s="9"/>
    </row>
    <row r="8" spans="1:6">
      <c r="A8" s="9"/>
      <c r="B8" s="9"/>
      <c r="C8" s="26"/>
      <c r="D8" s="9"/>
      <c r="E8" s="9"/>
    </row>
    <row r="9" spans="1:6" ht="15">
      <c r="A9" s="95"/>
      <c r="B9" s="95"/>
      <c r="C9" s="26"/>
      <c r="D9" s="9"/>
      <c r="E9" s="9"/>
    </row>
    <row r="10" spans="1:6">
      <c r="A10" s="21"/>
      <c r="B10" s="9"/>
      <c r="C10" s="9"/>
      <c r="D10" s="9"/>
      <c r="E10" s="9"/>
    </row>
    <row r="11" spans="1:6" ht="15">
      <c r="A11" s="96"/>
      <c r="B11" s="9"/>
      <c r="C11" s="9"/>
      <c r="D11" s="9"/>
      <c r="E11" s="9"/>
    </row>
    <row r="12" spans="1:6">
      <c r="A12" s="9"/>
      <c r="B12" s="9"/>
      <c r="C12" s="9"/>
      <c r="D12" s="9"/>
      <c r="E12" s="9"/>
    </row>
    <row r="13" spans="1:6">
      <c r="A13" s="9"/>
      <c r="B13" s="9"/>
      <c r="C13" s="9"/>
      <c r="D13" s="9"/>
      <c r="E13" s="9"/>
    </row>
    <row r="14" spans="1:6">
      <c r="A14" s="9"/>
      <c r="B14" s="9"/>
      <c r="C14" s="9"/>
      <c r="D14" s="9"/>
      <c r="E14" s="9"/>
    </row>
    <row r="15" spans="1:6">
      <c r="A15" s="9"/>
      <c r="B15" s="9"/>
      <c r="C15" s="9"/>
      <c r="D15" s="9"/>
      <c r="E15" s="9"/>
    </row>
    <row r="16" spans="1:6">
      <c r="A16" s="9"/>
      <c r="B16" s="9"/>
      <c r="C16" s="9"/>
      <c r="D16" s="9"/>
      <c r="E16" s="9"/>
    </row>
    <row r="17" spans="1:5">
      <c r="A17" s="9"/>
      <c r="B17" s="9"/>
      <c r="C17" s="9"/>
      <c r="D17" s="9"/>
      <c r="E17" s="9"/>
    </row>
    <row r="18" spans="1:5">
      <c r="A18" s="9"/>
      <c r="B18" s="9"/>
      <c r="C18" s="9"/>
      <c r="D18" s="9"/>
      <c r="E18" s="9"/>
    </row>
    <row r="19" spans="1:5">
      <c r="A19" s="9"/>
      <c r="B19" s="9"/>
      <c r="C19" s="9"/>
      <c r="D19" s="9"/>
      <c r="E19" s="9"/>
    </row>
    <row r="20" spans="1:5">
      <c r="A20" s="9"/>
      <c r="B20" s="9"/>
      <c r="C20" s="9"/>
      <c r="D20" s="9"/>
      <c r="E20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2"/>
  <sheetViews>
    <sheetView workbookViewId="0">
      <selection activeCell="K32" sqref="K32"/>
    </sheetView>
  </sheetViews>
  <sheetFormatPr baseColWidth="10" defaultColWidth="9" defaultRowHeight="14" x14ac:dyDescent="0"/>
  <cols>
    <col min="1" max="1" width="16" customWidth="1"/>
    <col min="2" max="2" width="25.6640625" customWidth="1"/>
    <col min="5" max="5" width="8.33203125" customWidth="1"/>
  </cols>
  <sheetData>
    <row r="2" spans="1:5" ht="15">
      <c r="A2" s="31" t="s">
        <v>380</v>
      </c>
      <c r="B2" s="31"/>
      <c r="C2" s="31"/>
      <c r="D2" s="31"/>
      <c r="E2" s="31"/>
    </row>
    <row r="3" spans="1:5" ht="15">
      <c r="A3" s="31"/>
      <c r="B3" s="84"/>
      <c r="C3" s="31"/>
      <c r="D3" s="31"/>
      <c r="E3" s="31"/>
    </row>
    <row r="4" spans="1:5" ht="15">
      <c r="A4" s="85" t="s">
        <v>1</v>
      </c>
      <c r="B4" s="85" t="s">
        <v>6</v>
      </c>
      <c r="C4" s="85" t="s">
        <v>3</v>
      </c>
      <c r="D4" s="85" t="s">
        <v>4</v>
      </c>
      <c r="E4" s="85" t="s">
        <v>5</v>
      </c>
    </row>
    <row r="5" spans="1:5">
      <c r="A5" s="9"/>
      <c r="B5" s="27" t="s">
        <v>44</v>
      </c>
      <c r="C5" s="9"/>
      <c r="D5" s="9"/>
      <c r="E5" s="9">
        <v>0</v>
      </c>
    </row>
    <row r="6" spans="1:5">
      <c r="A6" s="21">
        <v>42552</v>
      </c>
      <c r="B6" s="9" t="s">
        <v>131</v>
      </c>
      <c r="C6" s="9">
        <v>57</v>
      </c>
      <c r="D6" s="9"/>
      <c r="E6" s="9">
        <f>E5+C6-D6</f>
        <v>57</v>
      </c>
    </row>
    <row r="7" spans="1:5">
      <c r="A7" s="42">
        <v>42339</v>
      </c>
      <c r="B7" s="9" t="s">
        <v>132</v>
      </c>
      <c r="C7" s="9"/>
      <c r="D7" s="9">
        <v>57</v>
      </c>
      <c r="E7" s="9">
        <f t="shared" ref="E7:E11" si="0">E6+C7-D7</f>
        <v>0</v>
      </c>
    </row>
    <row r="8" spans="1:5">
      <c r="A8" s="45">
        <v>42492</v>
      </c>
      <c r="B8" s="44" t="s">
        <v>56</v>
      </c>
      <c r="C8" s="44">
        <v>1</v>
      </c>
      <c r="D8" s="9"/>
      <c r="E8" s="9">
        <f t="shared" si="0"/>
        <v>1</v>
      </c>
    </row>
    <row r="9" spans="1:5" ht="15">
      <c r="A9" s="87" t="s">
        <v>143</v>
      </c>
      <c r="B9" s="87" t="s">
        <v>140</v>
      </c>
      <c r="C9" s="87">
        <v>1</v>
      </c>
      <c r="D9" s="26"/>
      <c r="E9" s="9">
        <f t="shared" si="0"/>
        <v>2</v>
      </c>
    </row>
    <row r="10" spans="1:5" ht="15">
      <c r="A10" s="88">
        <v>42465</v>
      </c>
      <c r="B10" s="89" t="s">
        <v>300</v>
      </c>
      <c r="C10" s="90">
        <v>6</v>
      </c>
      <c r="D10" s="9"/>
      <c r="E10" s="9">
        <f t="shared" si="0"/>
        <v>8</v>
      </c>
    </row>
    <row r="11" spans="1:5" ht="15">
      <c r="A11" s="91" t="s">
        <v>207</v>
      </c>
      <c r="B11" s="92" t="s">
        <v>144</v>
      </c>
      <c r="C11" s="92">
        <v>6</v>
      </c>
      <c r="D11" s="9"/>
      <c r="E11" s="9">
        <f t="shared" si="0"/>
        <v>14</v>
      </c>
    </row>
    <row r="12" spans="1:5">
      <c r="A12" s="9"/>
      <c r="B12" s="9"/>
      <c r="C12" s="9"/>
      <c r="D12" s="9"/>
      <c r="E12" s="9"/>
    </row>
    <row r="13" spans="1:5">
      <c r="A13" s="9"/>
      <c r="B13" s="9"/>
      <c r="C13" s="9"/>
      <c r="D13" s="9"/>
      <c r="E13" s="9"/>
    </row>
    <row r="14" spans="1:5">
      <c r="A14" s="9"/>
      <c r="B14" s="9"/>
      <c r="C14" s="9"/>
      <c r="D14" s="9"/>
      <c r="E14" s="9"/>
    </row>
    <row r="15" spans="1:5">
      <c r="A15" s="9"/>
      <c r="B15" s="9"/>
      <c r="C15" s="9"/>
      <c r="D15" s="9"/>
      <c r="E15" s="9"/>
    </row>
    <row r="16" spans="1:5">
      <c r="A16" s="9"/>
      <c r="B16" s="9"/>
      <c r="C16" s="9"/>
      <c r="D16" s="9"/>
      <c r="E16" s="9"/>
    </row>
    <row r="17" spans="1:5">
      <c r="A17" s="9"/>
      <c r="B17" s="9"/>
      <c r="C17" s="9"/>
      <c r="D17" s="9"/>
      <c r="E17" s="9"/>
    </row>
    <row r="18" spans="1:5">
      <c r="A18" s="9"/>
      <c r="B18" s="9"/>
      <c r="C18" s="9"/>
      <c r="D18" s="9"/>
      <c r="E18" s="9"/>
    </row>
    <row r="19" spans="1:5">
      <c r="A19" s="9"/>
      <c r="B19" s="9"/>
      <c r="C19" s="9"/>
      <c r="D19" s="9"/>
      <c r="E19" s="9"/>
    </row>
    <row r="20" spans="1:5">
      <c r="A20" s="9"/>
      <c r="B20" s="9"/>
      <c r="C20" s="9"/>
      <c r="D20" s="9"/>
      <c r="E20" s="9"/>
    </row>
    <row r="21" spans="1:5">
      <c r="A21" s="9"/>
      <c r="B21" s="9"/>
      <c r="C21" s="9"/>
      <c r="D21" s="9"/>
      <c r="E21" s="9"/>
    </row>
    <row r="22" spans="1:5">
      <c r="A22" s="9"/>
      <c r="B22" s="9"/>
      <c r="C22" s="9"/>
      <c r="D22" s="9"/>
      <c r="E22" s="9"/>
    </row>
  </sheetData>
  <pageMargins left="0.69930555555555596" right="0.69930555555555596" top="0.75" bottom="0.75" header="0.3" footer="0.3"/>
  <pageSetup paperSize="9" scale="90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FF00"/>
  </sheetPr>
  <dimension ref="A1:E5"/>
  <sheetViews>
    <sheetView workbookViewId="0">
      <selection activeCell="A4" sqref="A4:XFD5"/>
    </sheetView>
  </sheetViews>
  <sheetFormatPr baseColWidth="10" defaultColWidth="9" defaultRowHeight="14" x14ac:dyDescent="0"/>
  <cols>
    <col min="1" max="1" width="15.1640625" customWidth="1"/>
    <col min="2" max="2" width="21.33203125" customWidth="1"/>
  </cols>
  <sheetData>
    <row r="1" spans="1:5" ht="15">
      <c r="A1" s="18" t="s">
        <v>125</v>
      </c>
      <c r="B1" s="18"/>
      <c r="C1" s="18" t="s">
        <v>381</v>
      </c>
      <c r="D1" s="18"/>
      <c r="E1" s="18"/>
    </row>
    <row r="2" spans="1:5" ht="15">
      <c r="A2" s="19"/>
      <c r="B2" s="19"/>
      <c r="C2" s="19"/>
      <c r="D2" s="19"/>
      <c r="E2" s="19"/>
    </row>
    <row r="3" spans="1:5" ht="15">
      <c r="A3" s="41" t="s">
        <v>1</v>
      </c>
      <c r="B3" s="41" t="s">
        <v>6</v>
      </c>
      <c r="C3" s="41" t="s">
        <v>3</v>
      </c>
      <c r="D3" s="41" t="s">
        <v>4</v>
      </c>
      <c r="E3" s="41" t="s">
        <v>5</v>
      </c>
    </row>
    <row r="4" spans="1:5">
      <c r="A4" s="7"/>
      <c r="B4" s="310" t="s">
        <v>418</v>
      </c>
      <c r="C4" s="7"/>
      <c r="D4" s="7"/>
      <c r="E4" s="7">
        <v>6</v>
      </c>
    </row>
    <row r="5" spans="1:5">
      <c r="A5" s="7"/>
      <c r="B5" s="7"/>
      <c r="C5" s="86"/>
      <c r="D5" s="7"/>
      <c r="E5" s="7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FF00"/>
  </sheetPr>
  <dimension ref="A1:E11"/>
  <sheetViews>
    <sheetView workbookViewId="0">
      <selection activeCell="G16" sqref="G16"/>
    </sheetView>
  </sheetViews>
  <sheetFormatPr baseColWidth="10" defaultColWidth="9" defaultRowHeight="14" x14ac:dyDescent="0"/>
  <cols>
    <col min="1" max="1" width="9.6640625" customWidth="1"/>
    <col min="2" max="2" width="26.5" customWidth="1"/>
  </cols>
  <sheetData>
    <row r="1" spans="1:5" ht="15">
      <c r="A1" s="31" t="s">
        <v>382</v>
      </c>
      <c r="B1" s="31"/>
      <c r="C1" s="31"/>
      <c r="D1" s="31"/>
      <c r="E1" s="31"/>
    </row>
    <row r="2" spans="1:5" ht="15">
      <c r="A2" s="31"/>
      <c r="B2" s="84"/>
      <c r="C2" s="31"/>
      <c r="D2" s="31"/>
      <c r="E2" s="31"/>
    </row>
    <row r="3" spans="1:5" ht="15">
      <c r="A3" s="85" t="s">
        <v>1</v>
      </c>
      <c r="B3" s="85" t="s">
        <v>6</v>
      </c>
      <c r="C3" s="85" t="s">
        <v>3</v>
      </c>
      <c r="D3" s="85" t="s">
        <v>4</v>
      </c>
      <c r="E3" s="85" t="s">
        <v>5</v>
      </c>
    </row>
    <row r="4" spans="1:5">
      <c r="A4" s="9"/>
      <c r="B4" s="310" t="s">
        <v>418</v>
      </c>
      <c r="C4" s="9"/>
      <c r="D4" s="9"/>
      <c r="E4" s="9">
        <v>0</v>
      </c>
    </row>
    <row r="5" spans="1:5">
      <c r="A5" s="9"/>
      <c r="B5" s="9"/>
      <c r="C5" s="9"/>
      <c r="D5" s="9"/>
      <c r="E5" s="9"/>
    </row>
    <row r="6" spans="1:5">
      <c r="A6" s="9"/>
      <c r="B6" s="9"/>
      <c r="C6" s="9"/>
      <c r="D6" s="9"/>
      <c r="E6" s="9"/>
    </row>
    <row r="7" spans="1:5">
      <c r="A7" s="9"/>
      <c r="B7" s="9"/>
      <c r="C7" s="9"/>
      <c r="D7" s="9"/>
      <c r="E7" s="9"/>
    </row>
    <row r="8" spans="1:5">
      <c r="A8" s="9"/>
      <c r="B8" s="9"/>
      <c r="C8" s="9"/>
      <c r="D8" s="9"/>
      <c r="E8" s="9"/>
    </row>
    <row r="9" spans="1:5">
      <c r="A9" s="9"/>
      <c r="B9" s="9"/>
      <c r="C9" s="9"/>
      <c r="D9" s="9"/>
      <c r="E9" s="9"/>
    </row>
    <row r="10" spans="1:5">
      <c r="A10" s="9"/>
      <c r="B10" s="9"/>
      <c r="C10" s="9"/>
      <c r="D10" s="9"/>
      <c r="E10" s="9"/>
    </row>
    <row r="11" spans="1:5">
      <c r="A11" s="9"/>
      <c r="B11" s="9"/>
      <c r="C11" s="9"/>
      <c r="D11" s="9"/>
      <c r="E11" s="9"/>
    </row>
  </sheetData>
  <pageMargins left="0.69930555555555596" right="0.69930555555555596" top="0.75" bottom="0.75" header="0.3" footer="0.3"/>
  <pageSetup paperSize="9" scale="90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35"/>
  <sheetViews>
    <sheetView workbookViewId="0">
      <selection activeCell="A5" sqref="A5:XFD5"/>
    </sheetView>
  </sheetViews>
  <sheetFormatPr baseColWidth="10" defaultColWidth="9" defaultRowHeight="15" x14ac:dyDescent="0"/>
  <cols>
    <col min="1" max="1" width="15" style="59" customWidth="1"/>
    <col min="2" max="2" width="22.5" style="59" customWidth="1"/>
    <col min="3" max="5" width="9" style="59"/>
  </cols>
  <sheetData>
    <row r="2" spans="1:5">
      <c r="A2" s="59" t="s">
        <v>383</v>
      </c>
    </row>
    <row r="4" spans="1:5">
      <c r="A4" s="61" t="s">
        <v>134</v>
      </c>
      <c r="B4" s="62" t="s">
        <v>135</v>
      </c>
      <c r="C4" s="62" t="s">
        <v>136</v>
      </c>
      <c r="D4" s="63" t="s">
        <v>137</v>
      </c>
      <c r="E4" s="64" t="s">
        <v>138</v>
      </c>
    </row>
    <row r="5" spans="1:5">
      <c r="A5" s="65"/>
      <c r="B5" s="66" t="s">
        <v>418</v>
      </c>
      <c r="C5" s="66"/>
      <c r="D5" s="67"/>
      <c r="E5" s="66">
        <v>30</v>
      </c>
    </row>
    <row r="6" spans="1:5">
      <c r="A6" s="68"/>
      <c r="B6" s="68"/>
      <c r="C6" s="68"/>
      <c r="D6" s="69"/>
      <c r="E6" s="68"/>
    </row>
    <row r="7" spans="1:5">
      <c r="A7" s="68"/>
      <c r="B7" s="70"/>
      <c r="C7" s="68"/>
      <c r="D7" s="69"/>
      <c r="E7" s="68"/>
    </row>
    <row r="8" spans="1:5">
      <c r="A8" s="68"/>
      <c r="B8" s="70"/>
      <c r="C8" s="68"/>
      <c r="D8" s="69"/>
      <c r="E8" s="68"/>
    </row>
    <row r="9" spans="1:5">
      <c r="A9" s="68"/>
      <c r="B9" s="70"/>
      <c r="C9" s="68"/>
      <c r="D9" s="69"/>
      <c r="E9" s="68"/>
    </row>
    <row r="10" spans="1:5">
      <c r="A10" s="68"/>
      <c r="B10" s="70"/>
      <c r="C10" s="68"/>
      <c r="D10" s="69"/>
      <c r="E10" s="68"/>
    </row>
    <row r="11" spans="1:5">
      <c r="A11" s="68"/>
      <c r="B11" s="70"/>
      <c r="C11" s="68"/>
      <c r="D11" s="69"/>
      <c r="E11" s="68"/>
    </row>
    <row r="12" spans="1:5">
      <c r="A12" s="68"/>
      <c r="B12" s="70"/>
      <c r="C12" s="68"/>
      <c r="D12" s="69"/>
      <c r="E12" s="68"/>
    </row>
    <row r="13" spans="1:5">
      <c r="A13" s="68"/>
      <c r="B13" s="70"/>
      <c r="C13" s="68"/>
      <c r="D13" s="69"/>
      <c r="E13" s="68"/>
    </row>
    <row r="14" spans="1:5">
      <c r="A14" s="68"/>
      <c r="B14" s="70"/>
      <c r="C14" s="68"/>
      <c r="D14" s="69"/>
      <c r="E14" s="68"/>
    </row>
    <row r="15" spans="1:5">
      <c r="A15" s="68"/>
      <c r="B15" s="70"/>
      <c r="C15" s="68"/>
      <c r="D15" s="69"/>
      <c r="E15" s="68"/>
    </row>
    <row r="16" spans="1:5">
      <c r="A16" s="68"/>
      <c r="B16" s="70"/>
      <c r="C16" s="68"/>
      <c r="D16" s="69"/>
      <c r="E16" s="68"/>
    </row>
    <row r="17" spans="1:5">
      <c r="A17" s="68"/>
      <c r="B17" s="70"/>
      <c r="C17" s="68"/>
      <c r="D17" s="69"/>
      <c r="E17" s="68"/>
    </row>
    <row r="18" spans="1:5">
      <c r="A18" s="68"/>
      <c r="B18" s="70"/>
      <c r="C18" s="68"/>
      <c r="D18" s="69"/>
      <c r="E18" s="68"/>
    </row>
    <row r="19" spans="1:5">
      <c r="A19" s="68"/>
      <c r="B19" s="70"/>
      <c r="C19" s="68"/>
      <c r="D19" s="69"/>
      <c r="E19" s="68"/>
    </row>
    <row r="20" spans="1:5">
      <c r="A20" s="68"/>
      <c r="B20" s="70"/>
      <c r="C20" s="68"/>
      <c r="D20" s="69"/>
      <c r="E20" s="68"/>
    </row>
    <row r="21" spans="1:5">
      <c r="A21" s="68"/>
      <c r="B21" s="70"/>
      <c r="C21" s="68"/>
      <c r="D21" s="69"/>
      <c r="E21" s="68"/>
    </row>
    <row r="22" spans="1:5">
      <c r="A22" s="68"/>
      <c r="B22" s="70"/>
      <c r="C22" s="68"/>
      <c r="D22" s="69"/>
      <c r="E22" s="68"/>
    </row>
    <row r="23" spans="1:5">
      <c r="A23" s="68"/>
      <c r="B23" s="70"/>
      <c r="C23" s="68"/>
      <c r="D23" s="69"/>
      <c r="E23" s="68"/>
    </row>
    <row r="24" spans="1:5">
      <c r="A24" s="68"/>
      <c r="B24" s="70"/>
      <c r="C24" s="68"/>
      <c r="D24" s="69"/>
      <c r="E24" s="68"/>
    </row>
    <row r="25" spans="1:5">
      <c r="A25" s="68"/>
      <c r="B25" s="70"/>
      <c r="C25" s="68"/>
      <c r="D25" s="69"/>
      <c r="E25" s="68"/>
    </row>
    <row r="26" spans="1:5">
      <c r="A26" s="68"/>
      <c r="B26" s="70"/>
      <c r="C26" s="68"/>
      <c r="D26" s="69"/>
      <c r="E26" s="68"/>
    </row>
    <row r="27" spans="1:5">
      <c r="A27" s="68"/>
      <c r="B27" s="70"/>
      <c r="C27" s="68"/>
      <c r="D27" s="69"/>
      <c r="E27" s="68"/>
    </row>
    <row r="28" spans="1:5">
      <c r="A28" s="68"/>
      <c r="B28" s="70"/>
      <c r="C28" s="68"/>
      <c r="D28" s="69"/>
      <c r="E28" s="68"/>
    </row>
    <row r="29" spans="1:5">
      <c r="A29" s="68"/>
      <c r="B29" s="70"/>
      <c r="C29" s="68"/>
      <c r="D29" s="69"/>
      <c r="E29" s="68"/>
    </row>
    <row r="30" spans="1:5">
      <c r="A30" s="68"/>
      <c r="B30" s="70"/>
      <c r="C30" s="68"/>
      <c r="D30" s="69"/>
      <c r="E30" s="68"/>
    </row>
    <row r="31" spans="1:5">
      <c r="A31" s="68"/>
      <c r="B31" s="70"/>
      <c r="C31" s="68"/>
      <c r="D31" s="69"/>
      <c r="E31" s="68"/>
    </row>
    <row r="32" spans="1:5">
      <c r="A32" s="68"/>
      <c r="B32" s="70"/>
      <c r="C32" s="68"/>
      <c r="D32" s="69"/>
      <c r="E32" s="68"/>
    </row>
    <row r="33" spans="1:5">
      <c r="A33" s="68"/>
      <c r="B33" s="70"/>
      <c r="C33" s="68"/>
      <c r="D33" s="69"/>
      <c r="E33" s="68"/>
    </row>
    <row r="34" spans="1:5">
      <c r="A34" s="68"/>
      <c r="B34" s="70"/>
      <c r="C34" s="68"/>
      <c r="D34" s="69"/>
      <c r="E34" s="68"/>
    </row>
    <row r="35" spans="1:5">
      <c r="A35" s="68"/>
      <c r="B35" s="70"/>
      <c r="C35" s="68"/>
      <c r="D35" s="69"/>
      <c r="E35" s="68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4"/>
  <sheetViews>
    <sheetView workbookViewId="0">
      <selection activeCell="A5" sqref="A5:XFD6"/>
    </sheetView>
  </sheetViews>
  <sheetFormatPr baseColWidth="10" defaultColWidth="9" defaultRowHeight="14" x14ac:dyDescent="0"/>
  <cols>
    <col min="1" max="1" width="12.5" style="71" customWidth="1"/>
    <col min="2" max="2" width="22.5" style="71" customWidth="1"/>
    <col min="3" max="5" width="9" style="71"/>
    <col min="6" max="6" width="9" style="72"/>
  </cols>
  <sheetData>
    <row r="2" spans="1:5">
      <c r="A2" s="71" t="s">
        <v>384</v>
      </c>
    </row>
    <row r="4" spans="1:5">
      <c r="A4" s="73" t="s">
        <v>134</v>
      </c>
      <c r="B4" s="74" t="s">
        <v>135</v>
      </c>
      <c r="C4" s="74" t="s">
        <v>136</v>
      </c>
      <c r="D4" s="75" t="s">
        <v>137</v>
      </c>
      <c r="E4" s="76" t="s">
        <v>138</v>
      </c>
    </row>
    <row r="5" spans="1:5">
      <c r="A5" s="81"/>
      <c r="B5" s="81" t="s">
        <v>418</v>
      </c>
      <c r="C5" s="81"/>
      <c r="D5" s="82"/>
      <c r="E5" s="81">
        <v>24</v>
      </c>
    </row>
    <row r="6" spans="1:5">
      <c r="A6" s="81"/>
      <c r="B6" s="83"/>
      <c r="C6" s="81"/>
      <c r="D6" s="82"/>
      <c r="E6" s="81"/>
    </row>
    <row r="7" spans="1:5">
      <c r="A7" s="81"/>
      <c r="B7" s="83"/>
      <c r="C7" s="81"/>
      <c r="D7" s="82"/>
      <c r="E7" s="81"/>
    </row>
    <row r="8" spans="1:5">
      <c r="A8" s="81"/>
      <c r="B8" s="83"/>
      <c r="C8" s="81"/>
      <c r="D8" s="82"/>
      <c r="E8" s="81"/>
    </row>
    <row r="9" spans="1:5">
      <c r="A9" s="81"/>
      <c r="B9" s="83"/>
      <c r="C9" s="81"/>
      <c r="D9" s="82"/>
      <c r="E9" s="81"/>
    </row>
    <row r="10" spans="1:5">
      <c r="A10" s="81"/>
      <c r="B10" s="83"/>
      <c r="C10" s="81"/>
      <c r="D10" s="82"/>
      <c r="E10" s="81"/>
    </row>
    <row r="11" spans="1:5">
      <c r="A11" s="81"/>
      <c r="B11" s="83"/>
      <c r="C11" s="81"/>
      <c r="D11" s="82"/>
      <c r="E11" s="81"/>
    </row>
    <row r="12" spans="1:5">
      <c r="A12" s="81"/>
      <c r="B12" s="83"/>
      <c r="C12" s="81"/>
      <c r="D12" s="82"/>
      <c r="E12" s="81"/>
    </row>
    <row r="13" spans="1:5">
      <c r="A13" s="81"/>
      <c r="B13" s="83"/>
      <c r="C13" s="81"/>
      <c r="D13" s="82"/>
      <c r="E13" s="81"/>
    </row>
    <row r="14" spans="1:5">
      <c r="A14" s="81"/>
      <c r="B14" s="83"/>
      <c r="C14" s="81"/>
      <c r="D14" s="82"/>
      <c r="E14" s="81"/>
    </row>
    <row r="15" spans="1:5">
      <c r="A15" s="81"/>
      <c r="B15" s="83"/>
      <c r="C15" s="81"/>
      <c r="D15" s="82"/>
      <c r="E15" s="81"/>
    </row>
    <row r="16" spans="1:5">
      <c r="A16" s="81"/>
      <c r="B16" s="83"/>
      <c r="C16" s="81"/>
      <c r="D16" s="82"/>
      <c r="E16" s="81"/>
    </row>
    <row r="17" spans="1:5">
      <c r="A17" s="81"/>
      <c r="B17" s="83"/>
      <c r="C17" s="81"/>
      <c r="D17" s="82"/>
      <c r="E17" s="81"/>
    </row>
    <row r="18" spans="1:5">
      <c r="A18" s="81"/>
      <c r="B18" s="83"/>
      <c r="C18" s="81"/>
      <c r="D18" s="82"/>
      <c r="E18" s="81"/>
    </row>
    <row r="19" spans="1:5">
      <c r="A19" s="81"/>
      <c r="B19" s="83"/>
      <c r="C19" s="81"/>
      <c r="D19" s="82"/>
      <c r="E19" s="81"/>
    </row>
    <row r="20" spans="1:5">
      <c r="A20" s="81"/>
      <c r="B20" s="83"/>
      <c r="C20" s="81"/>
      <c r="D20" s="82"/>
      <c r="E20" s="81"/>
    </row>
    <row r="21" spans="1:5">
      <c r="A21" s="81"/>
      <c r="B21" s="83"/>
      <c r="C21" s="81"/>
      <c r="D21" s="82"/>
      <c r="E21" s="81"/>
    </row>
    <row r="22" spans="1:5">
      <c r="A22" s="81"/>
      <c r="B22" s="83"/>
      <c r="C22" s="81"/>
      <c r="D22" s="82"/>
      <c r="E22" s="81"/>
    </row>
    <row r="23" spans="1:5">
      <c r="A23" s="81"/>
      <c r="B23" s="83"/>
      <c r="C23" s="81"/>
      <c r="D23" s="82"/>
      <c r="E23" s="81"/>
    </row>
    <row r="24" spans="1:5">
      <c r="A24" s="81"/>
      <c r="B24" s="83"/>
      <c r="C24" s="81"/>
      <c r="D24" s="82"/>
      <c r="E24" s="81"/>
    </row>
    <row r="25" spans="1:5">
      <c r="A25" s="81"/>
      <c r="B25" s="83"/>
      <c r="C25" s="81"/>
      <c r="D25" s="82"/>
      <c r="E25" s="81"/>
    </row>
    <row r="26" spans="1:5">
      <c r="A26" s="81"/>
      <c r="B26" s="83"/>
      <c r="C26" s="81"/>
      <c r="D26" s="82"/>
      <c r="E26" s="81"/>
    </row>
    <row r="27" spans="1:5">
      <c r="A27" s="81"/>
      <c r="B27" s="83"/>
      <c r="C27" s="81"/>
      <c r="D27" s="82"/>
      <c r="E27" s="81"/>
    </row>
    <row r="28" spans="1:5">
      <c r="A28" s="81"/>
      <c r="B28" s="83"/>
      <c r="C28" s="81"/>
      <c r="D28" s="82"/>
      <c r="E28" s="81"/>
    </row>
    <row r="29" spans="1:5">
      <c r="A29" s="81"/>
      <c r="B29" s="83"/>
      <c r="C29" s="81"/>
      <c r="D29" s="82"/>
      <c r="E29" s="81"/>
    </row>
    <row r="30" spans="1:5">
      <c r="A30" s="81"/>
      <c r="B30" s="83"/>
      <c r="C30" s="81"/>
      <c r="D30" s="82"/>
      <c r="E30" s="81"/>
    </row>
    <row r="31" spans="1:5">
      <c r="A31" s="81"/>
      <c r="B31" s="83"/>
      <c r="C31" s="81"/>
      <c r="D31" s="82"/>
      <c r="E31" s="81"/>
    </row>
    <row r="32" spans="1:5">
      <c r="A32" s="81"/>
      <c r="B32" s="83"/>
      <c r="C32" s="81"/>
      <c r="D32" s="82"/>
      <c r="E32" s="81"/>
    </row>
    <row r="33" spans="1:5">
      <c r="A33" s="81"/>
      <c r="B33" s="83"/>
      <c r="C33" s="81"/>
      <c r="D33" s="82"/>
      <c r="E33" s="81"/>
    </row>
    <row r="34" spans="1:5">
      <c r="A34" s="81"/>
      <c r="B34" s="83"/>
      <c r="C34" s="81"/>
      <c r="D34" s="82"/>
      <c r="E34" s="81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4"/>
  <sheetViews>
    <sheetView workbookViewId="0">
      <selection activeCell="K18" sqref="K18"/>
    </sheetView>
  </sheetViews>
  <sheetFormatPr baseColWidth="10" defaultColWidth="9" defaultRowHeight="15" x14ac:dyDescent="0"/>
  <cols>
    <col min="1" max="1" width="12.5" style="59" customWidth="1"/>
    <col min="2" max="2" width="22.5" style="59" customWidth="1"/>
    <col min="3" max="5" width="9" style="59"/>
    <col min="6" max="6" width="9" style="60"/>
  </cols>
  <sheetData>
    <row r="2" spans="1:5">
      <c r="A2" s="59" t="s">
        <v>385</v>
      </c>
    </row>
    <row r="4" spans="1:5">
      <c r="A4" s="61" t="s">
        <v>134</v>
      </c>
      <c r="B4" s="62" t="s">
        <v>135</v>
      </c>
      <c r="C4" s="62" t="s">
        <v>136</v>
      </c>
      <c r="D4" s="63" t="s">
        <v>137</v>
      </c>
      <c r="E4" s="64" t="s">
        <v>138</v>
      </c>
    </row>
    <row r="5" spans="1:5">
      <c r="A5" s="68"/>
      <c r="B5" s="68" t="s">
        <v>418</v>
      </c>
      <c r="C5" s="68"/>
      <c r="D5" s="69"/>
      <c r="E5" s="68">
        <v>16</v>
      </c>
    </row>
    <row r="6" spans="1:5">
      <c r="A6" s="68"/>
      <c r="B6" s="70"/>
      <c r="C6" s="68"/>
      <c r="D6" s="69"/>
      <c r="E6" s="68"/>
    </row>
    <row r="7" spans="1:5">
      <c r="A7" s="68"/>
      <c r="B7" s="70"/>
      <c r="C7" s="68"/>
      <c r="D7" s="69"/>
      <c r="E7" s="68"/>
    </row>
    <row r="8" spans="1:5">
      <c r="A8" s="68"/>
      <c r="B8" s="70"/>
      <c r="C8" s="68"/>
      <c r="D8" s="69"/>
      <c r="E8" s="68"/>
    </row>
    <row r="9" spans="1:5">
      <c r="A9" s="68"/>
      <c r="B9" s="70"/>
      <c r="C9" s="68"/>
      <c r="D9" s="69"/>
      <c r="E9" s="68"/>
    </row>
    <row r="10" spans="1:5">
      <c r="A10" s="68"/>
      <c r="B10" s="70"/>
      <c r="C10" s="68"/>
      <c r="D10" s="69"/>
      <c r="E10" s="68"/>
    </row>
    <row r="11" spans="1:5">
      <c r="A11" s="68"/>
      <c r="B11" s="70"/>
      <c r="C11" s="68"/>
      <c r="D11" s="69"/>
      <c r="E11" s="68"/>
    </row>
    <row r="12" spans="1:5">
      <c r="A12" s="68"/>
      <c r="B12" s="70"/>
      <c r="C12" s="68"/>
      <c r="D12" s="69"/>
      <c r="E12" s="68"/>
    </row>
    <row r="13" spans="1:5">
      <c r="A13" s="68"/>
      <c r="B13" s="70"/>
      <c r="C13" s="68"/>
      <c r="D13" s="69"/>
      <c r="E13" s="68"/>
    </row>
    <row r="14" spans="1:5">
      <c r="A14" s="68"/>
      <c r="B14" s="70"/>
      <c r="C14" s="68"/>
      <c r="D14" s="69"/>
      <c r="E14" s="68"/>
    </row>
    <row r="15" spans="1:5">
      <c r="A15" s="68"/>
      <c r="B15" s="70"/>
      <c r="C15" s="68"/>
      <c r="D15" s="69"/>
      <c r="E15" s="68"/>
    </row>
    <row r="16" spans="1:5">
      <c r="A16" s="68"/>
      <c r="B16" s="70"/>
      <c r="C16" s="68"/>
      <c r="D16" s="69"/>
      <c r="E16" s="68"/>
    </row>
    <row r="17" spans="1:5">
      <c r="A17" s="68"/>
      <c r="B17" s="70"/>
      <c r="C17" s="68"/>
      <c r="D17" s="69"/>
      <c r="E17" s="68"/>
    </row>
    <row r="18" spans="1:5">
      <c r="A18" s="68"/>
      <c r="B18" s="70"/>
      <c r="C18" s="68"/>
      <c r="D18" s="69"/>
      <c r="E18" s="68"/>
    </row>
    <row r="19" spans="1:5">
      <c r="A19" s="68"/>
      <c r="B19" s="70"/>
      <c r="C19" s="68"/>
      <c r="D19" s="69"/>
      <c r="E19" s="68"/>
    </row>
    <row r="20" spans="1:5">
      <c r="A20" s="68"/>
      <c r="B20" s="70"/>
      <c r="C20" s="68"/>
      <c r="D20" s="69"/>
      <c r="E20" s="68"/>
    </row>
    <row r="21" spans="1:5">
      <c r="A21" s="68"/>
      <c r="B21" s="70"/>
      <c r="C21" s="68"/>
      <c r="D21" s="69"/>
      <c r="E21" s="68"/>
    </row>
    <row r="22" spans="1:5">
      <c r="A22" s="68"/>
      <c r="B22" s="70"/>
      <c r="C22" s="68"/>
      <c r="D22" s="69"/>
      <c r="E22" s="68"/>
    </row>
    <row r="23" spans="1:5">
      <c r="A23" s="68"/>
      <c r="B23" s="70"/>
      <c r="C23" s="68"/>
      <c r="D23" s="69"/>
      <c r="E23" s="68"/>
    </row>
    <row r="24" spans="1:5">
      <c r="A24" s="68"/>
      <c r="B24" s="70"/>
      <c r="C24" s="68"/>
      <c r="D24" s="69"/>
      <c r="E24" s="68"/>
    </row>
    <row r="25" spans="1:5">
      <c r="A25" s="68"/>
      <c r="B25" s="70"/>
      <c r="C25" s="68"/>
      <c r="D25" s="69"/>
      <c r="E25" s="68"/>
    </row>
    <row r="26" spans="1:5">
      <c r="A26" s="68"/>
      <c r="B26" s="70"/>
      <c r="C26" s="68"/>
      <c r="D26" s="69"/>
      <c r="E26" s="68"/>
    </row>
    <row r="27" spans="1:5">
      <c r="A27" s="68"/>
      <c r="B27" s="70"/>
      <c r="C27" s="68"/>
      <c r="D27" s="69"/>
      <c r="E27" s="68"/>
    </row>
    <row r="28" spans="1:5">
      <c r="A28" s="68"/>
      <c r="B28" s="70"/>
      <c r="C28" s="68"/>
      <c r="D28" s="69"/>
      <c r="E28" s="68"/>
    </row>
    <row r="29" spans="1:5">
      <c r="A29" s="68"/>
      <c r="B29" s="70"/>
      <c r="C29" s="68"/>
      <c r="D29" s="69"/>
      <c r="E29" s="68"/>
    </row>
    <row r="30" spans="1:5">
      <c r="A30" s="68"/>
      <c r="B30" s="70"/>
      <c r="C30" s="68"/>
      <c r="D30" s="69"/>
      <c r="E30" s="68"/>
    </row>
    <row r="31" spans="1:5">
      <c r="A31" s="68"/>
      <c r="B31" s="70"/>
      <c r="C31" s="68"/>
      <c r="D31" s="69"/>
      <c r="E31" s="68"/>
    </row>
    <row r="32" spans="1:5">
      <c r="A32" s="68"/>
      <c r="B32" s="70"/>
      <c r="C32" s="68"/>
      <c r="D32" s="69"/>
      <c r="E32" s="68"/>
    </row>
    <row r="33" spans="1:5">
      <c r="A33" s="68"/>
      <c r="B33" s="70"/>
      <c r="C33" s="68"/>
      <c r="D33" s="69"/>
      <c r="E33" s="68"/>
    </row>
    <row r="34" spans="1:5">
      <c r="A34" s="68"/>
      <c r="B34" s="70"/>
      <c r="C34" s="68"/>
      <c r="D34" s="69"/>
      <c r="E34" s="68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K27" sqref="K27"/>
    </sheetView>
  </sheetViews>
  <sheetFormatPr baseColWidth="10" defaultColWidth="9" defaultRowHeight="14" x14ac:dyDescent="0"/>
  <cols>
    <col min="1" max="1" width="13.33203125" customWidth="1"/>
    <col min="2" max="2" width="25.5" customWidth="1"/>
    <col min="3" max="3" width="9" customWidth="1"/>
  </cols>
  <sheetData>
    <row r="1" spans="1:5" ht="15">
      <c r="A1" s="18" t="s">
        <v>386</v>
      </c>
      <c r="B1" s="18"/>
      <c r="C1" s="18"/>
      <c r="D1" s="18"/>
      <c r="E1" s="18"/>
    </row>
    <row r="2" spans="1:5" ht="15">
      <c r="A2" s="19"/>
      <c r="B2" s="19"/>
      <c r="C2" s="19"/>
      <c r="D2" s="19"/>
      <c r="E2" s="19"/>
    </row>
    <row r="3" spans="1:5" ht="15">
      <c r="A3" s="20" t="s">
        <v>1</v>
      </c>
      <c r="B3" s="20" t="s">
        <v>6</v>
      </c>
      <c r="C3" s="20" t="s">
        <v>3</v>
      </c>
      <c r="D3" s="20" t="s">
        <v>4</v>
      </c>
      <c r="E3" s="20" t="s">
        <v>5</v>
      </c>
    </row>
    <row r="4" spans="1:5">
      <c r="A4" s="9"/>
      <c r="B4" s="310" t="s">
        <v>418</v>
      </c>
      <c r="C4" s="9"/>
      <c r="D4" s="9"/>
      <c r="E4" s="9">
        <v>11</v>
      </c>
    </row>
    <row r="5" spans="1:5">
      <c r="A5" s="9"/>
      <c r="B5" s="9"/>
      <c r="C5" s="9"/>
      <c r="D5" s="9"/>
      <c r="E5" s="9"/>
    </row>
    <row r="6" spans="1:5">
      <c r="A6" s="9"/>
      <c r="B6" s="9"/>
      <c r="C6" s="9"/>
      <c r="D6" s="9"/>
      <c r="E6" s="9"/>
    </row>
    <row r="7" spans="1:5">
      <c r="A7" s="9"/>
      <c r="B7" s="9"/>
      <c r="C7" s="9"/>
      <c r="D7" s="9"/>
      <c r="E7" s="9"/>
    </row>
    <row r="8" spans="1:5">
      <c r="A8" s="9"/>
      <c r="B8" s="9"/>
      <c r="C8" s="9"/>
      <c r="D8" s="9"/>
      <c r="E8" s="9"/>
    </row>
    <row r="9" spans="1:5">
      <c r="A9" s="9"/>
      <c r="B9" s="9"/>
      <c r="C9" s="9"/>
      <c r="D9" s="9"/>
      <c r="E9" s="9"/>
    </row>
    <row r="10" spans="1:5">
      <c r="A10" s="9"/>
      <c r="B10" s="9"/>
      <c r="C10" s="9"/>
      <c r="D10" s="9"/>
      <c r="E10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F6" sqref="F6"/>
    </sheetView>
  </sheetViews>
  <sheetFormatPr baseColWidth="10" defaultColWidth="9" defaultRowHeight="14" x14ac:dyDescent="0"/>
  <cols>
    <col min="1" max="1" width="12.6640625" customWidth="1"/>
    <col min="2" max="2" width="29" customWidth="1"/>
    <col min="3" max="3" width="8" customWidth="1"/>
    <col min="4" max="4" width="8.1640625" customWidth="1"/>
    <col min="5" max="5" width="6.6640625" customWidth="1"/>
  </cols>
  <sheetData>
    <row r="1" spans="1:6">
      <c r="A1" s="50" t="s">
        <v>387</v>
      </c>
      <c r="B1" s="50"/>
      <c r="C1" s="50"/>
      <c r="D1" s="50"/>
      <c r="E1" s="50"/>
    </row>
    <row r="2" spans="1:6">
      <c r="A2" s="50"/>
      <c r="B2" s="51"/>
      <c r="C2" s="50"/>
      <c r="D2" s="50"/>
      <c r="E2" s="50"/>
    </row>
    <row r="3" spans="1:6">
      <c r="A3" s="52" t="s">
        <v>1</v>
      </c>
      <c r="B3" s="52" t="s">
        <v>6</v>
      </c>
      <c r="C3" s="52" t="s">
        <v>3</v>
      </c>
      <c r="D3" s="52" t="s">
        <v>4</v>
      </c>
      <c r="E3" s="52" t="s">
        <v>5</v>
      </c>
    </row>
    <row r="4" spans="1:6">
      <c r="A4" s="9"/>
      <c r="B4" s="310" t="s">
        <v>418</v>
      </c>
      <c r="C4" s="9"/>
      <c r="D4" s="9"/>
      <c r="E4" s="9">
        <v>146</v>
      </c>
    </row>
    <row r="5" spans="1:6">
      <c r="A5" s="9" t="s">
        <v>703</v>
      </c>
      <c r="B5" s="9" t="s">
        <v>406</v>
      </c>
      <c r="C5" s="9">
        <v>30</v>
      </c>
      <c r="D5" s="9"/>
      <c r="E5" s="9">
        <f>E4+C5-D5</f>
        <v>176</v>
      </c>
      <c r="F5" s="480" t="s">
        <v>46</v>
      </c>
    </row>
    <row r="6" spans="1:6">
      <c r="A6" s="9"/>
      <c r="B6" s="9"/>
      <c r="C6" s="9"/>
      <c r="D6" s="9"/>
      <c r="E6" s="9"/>
    </row>
    <row r="7" spans="1:6">
      <c r="A7" s="9"/>
      <c r="B7" s="9"/>
      <c r="C7" s="9"/>
      <c r="D7" s="9"/>
      <c r="E7" s="9"/>
    </row>
    <row r="8" spans="1:6">
      <c r="A8" s="9"/>
      <c r="B8" s="9"/>
      <c r="C8" s="9"/>
      <c r="D8" s="9"/>
      <c r="E8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F7" sqref="F7"/>
    </sheetView>
  </sheetViews>
  <sheetFormatPr baseColWidth="10" defaultColWidth="9" defaultRowHeight="15" x14ac:dyDescent="0"/>
  <cols>
    <col min="1" max="1" width="15.1640625" customWidth="1"/>
    <col min="2" max="2" width="26.5" customWidth="1"/>
    <col min="8" max="8" width="9" style="40"/>
  </cols>
  <sheetData>
    <row r="1" spans="1:6">
      <c r="A1" s="18" t="s">
        <v>125</v>
      </c>
      <c r="B1" s="18"/>
      <c r="C1" s="18" t="s">
        <v>388</v>
      </c>
      <c r="D1" s="18"/>
      <c r="E1" s="18"/>
    </row>
    <row r="2" spans="1:6">
      <c r="A2" s="19"/>
      <c r="B2" s="19"/>
      <c r="C2" s="19"/>
      <c r="D2" s="19"/>
      <c r="E2" s="19"/>
    </row>
    <row r="3" spans="1:6">
      <c r="A3" s="41" t="s">
        <v>1</v>
      </c>
      <c r="B3" s="41" t="s">
        <v>6</v>
      </c>
      <c r="C3" s="41" t="s">
        <v>3</v>
      </c>
      <c r="D3" s="41" t="s">
        <v>4</v>
      </c>
      <c r="E3" s="41" t="s">
        <v>5</v>
      </c>
    </row>
    <row r="4" spans="1:6">
      <c r="A4" s="9"/>
      <c r="B4" s="310" t="s">
        <v>418</v>
      </c>
      <c r="C4" s="9"/>
      <c r="D4" s="9"/>
      <c r="E4" s="9">
        <v>74</v>
      </c>
    </row>
    <row r="5" spans="1:6">
      <c r="A5" s="429" t="s">
        <v>636</v>
      </c>
      <c r="B5" s="429" t="s">
        <v>406</v>
      </c>
      <c r="C5" s="9">
        <v>15</v>
      </c>
      <c r="D5" s="9"/>
      <c r="E5" s="9">
        <f>E4+C5-D5</f>
        <v>89</v>
      </c>
    </row>
    <row r="6" spans="1:6">
      <c r="A6" s="9" t="s">
        <v>703</v>
      </c>
      <c r="B6" s="429" t="s">
        <v>406</v>
      </c>
      <c r="C6" s="9">
        <v>15</v>
      </c>
      <c r="D6" s="9"/>
      <c r="E6" s="9">
        <f>E5+C6-D6</f>
        <v>104</v>
      </c>
      <c r="F6" s="480" t="s">
        <v>46</v>
      </c>
    </row>
    <row r="7" spans="1:6">
      <c r="A7" s="9"/>
      <c r="B7" s="9"/>
      <c r="C7" s="9"/>
      <c r="D7" s="9"/>
      <c r="E7" s="9"/>
    </row>
    <row r="8" spans="1:6">
      <c r="A8" s="9"/>
      <c r="B8" s="9"/>
      <c r="C8" s="9"/>
      <c r="D8" s="9"/>
      <c r="E8" s="9"/>
    </row>
    <row r="9" spans="1:6">
      <c r="A9" s="9"/>
      <c r="B9" s="9"/>
      <c r="C9" s="9"/>
      <c r="D9" s="9"/>
      <c r="E9" s="9"/>
    </row>
    <row r="10" spans="1:6">
      <c r="A10" s="9"/>
      <c r="B10" s="9"/>
      <c r="C10" s="9"/>
      <c r="D10" s="9"/>
      <c r="E10" s="9"/>
    </row>
    <row r="11" spans="1:6">
      <c r="A11" s="9"/>
      <c r="B11" s="9"/>
      <c r="C11" s="9"/>
      <c r="D11" s="9"/>
      <c r="E11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73"/>
  <sheetViews>
    <sheetView workbookViewId="0">
      <selection activeCell="A5" sqref="A5:XFD12"/>
    </sheetView>
  </sheetViews>
  <sheetFormatPr baseColWidth="10" defaultColWidth="9" defaultRowHeight="15" x14ac:dyDescent="0"/>
  <cols>
    <col min="1" max="1" width="11.33203125" style="31" customWidth="1"/>
    <col min="2" max="2" width="30.1640625" style="31" customWidth="1"/>
    <col min="3" max="5" width="9" style="31"/>
  </cols>
  <sheetData>
    <row r="2" spans="1:5">
      <c r="A2" s="31" t="s">
        <v>389</v>
      </c>
    </row>
    <row r="4" spans="1:5">
      <c r="A4" s="33" t="s">
        <v>1</v>
      </c>
      <c r="B4" s="33" t="s">
        <v>6</v>
      </c>
      <c r="C4" s="33" t="s">
        <v>3</v>
      </c>
      <c r="D4" s="33" t="s">
        <v>4</v>
      </c>
      <c r="E4" s="33" t="s">
        <v>5</v>
      </c>
    </row>
    <row r="5" spans="1:5">
      <c r="A5" s="33"/>
      <c r="B5" s="33" t="s">
        <v>418</v>
      </c>
      <c r="C5" s="33"/>
      <c r="D5" s="33"/>
      <c r="E5" s="33">
        <v>205</v>
      </c>
    </row>
    <row r="6" spans="1:5">
      <c r="A6" s="33"/>
      <c r="B6" s="33"/>
      <c r="C6" s="33"/>
      <c r="D6" s="33"/>
      <c r="E6" s="33"/>
    </row>
    <row r="7" spans="1:5">
      <c r="A7" s="33"/>
      <c r="B7" s="33"/>
      <c r="C7" s="33"/>
      <c r="D7" s="33"/>
      <c r="E7" s="33"/>
    </row>
    <row r="8" spans="1:5">
      <c r="A8" s="33"/>
      <c r="B8" s="33"/>
      <c r="C8" s="33"/>
      <c r="D8" s="33"/>
      <c r="E8" s="33"/>
    </row>
    <row r="9" spans="1:5">
      <c r="A9" s="33"/>
      <c r="B9" s="33"/>
      <c r="C9" s="33"/>
      <c r="D9" s="33"/>
      <c r="E9" s="33"/>
    </row>
    <row r="10" spans="1:5">
      <c r="A10" s="33"/>
      <c r="B10" s="33"/>
      <c r="C10" s="33"/>
      <c r="D10" s="33"/>
      <c r="E10" s="33"/>
    </row>
    <row r="11" spans="1:5">
      <c r="A11" s="33"/>
      <c r="B11" s="33"/>
      <c r="C11" s="33"/>
      <c r="D11" s="33"/>
      <c r="E11" s="33"/>
    </row>
    <row r="12" spans="1:5">
      <c r="A12" s="33"/>
      <c r="B12" s="33"/>
      <c r="C12" s="33"/>
      <c r="D12" s="33"/>
      <c r="E12" s="33"/>
    </row>
    <row r="13" spans="1:5">
      <c r="A13" s="33"/>
      <c r="B13" s="33"/>
      <c r="C13" s="33"/>
      <c r="D13" s="33"/>
      <c r="E13" s="33"/>
    </row>
    <row r="14" spans="1:5">
      <c r="A14" s="33"/>
      <c r="B14" s="33"/>
      <c r="C14" s="33"/>
      <c r="D14" s="33"/>
      <c r="E14" s="33"/>
    </row>
    <row r="15" spans="1:5">
      <c r="A15" s="33"/>
      <c r="B15" s="33"/>
      <c r="C15" s="33"/>
      <c r="D15" s="33"/>
      <c r="E15" s="33"/>
    </row>
    <row r="16" spans="1:5">
      <c r="A16" s="33"/>
      <c r="B16" s="33"/>
      <c r="C16" s="33"/>
      <c r="D16" s="33"/>
      <c r="E16" s="33"/>
    </row>
    <row r="17" spans="1:5">
      <c r="A17" s="33"/>
      <c r="B17" s="33"/>
      <c r="C17" s="33"/>
      <c r="D17" s="33"/>
      <c r="E17" s="33"/>
    </row>
    <row r="18" spans="1:5">
      <c r="A18" s="33"/>
      <c r="B18" s="33"/>
      <c r="C18" s="33"/>
      <c r="D18" s="33"/>
      <c r="E18" s="33"/>
    </row>
    <row r="19" spans="1:5">
      <c r="A19" s="33"/>
      <c r="B19" s="33"/>
      <c r="C19" s="33"/>
      <c r="D19" s="33"/>
      <c r="E19" s="33"/>
    </row>
    <row r="20" spans="1:5">
      <c r="A20" s="33"/>
      <c r="B20" s="33"/>
      <c r="C20" s="33"/>
      <c r="D20" s="33"/>
      <c r="E20" s="33"/>
    </row>
    <row r="21" spans="1:5">
      <c r="A21" s="33"/>
      <c r="B21" s="33"/>
      <c r="C21" s="33"/>
      <c r="D21" s="33"/>
      <c r="E21" s="33"/>
    </row>
    <row r="22" spans="1:5">
      <c r="A22" s="33"/>
      <c r="B22" s="33"/>
      <c r="C22" s="33"/>
      <c r="D22" s="33"/>
      <c r="E22" s="33"/>
    </row>
    <row r="23" spans="1:5">
      <c r="A23" s="33"/>
      <c r="B23" s="33"/>
      <c r="C23" s="33"/>
      <c r="D23" s="33"/>
      <c r="E23" s="33"/>
    </row>
    <row r="24" spans="1:5">
      <c r="A24" s="33"/>
      <c r="B24" s="33"/>
      <c r="C24" s="33"/>
      <c r="D24" s="33"/>
      <c r="E24" s="33"/>
    </row>
    <row r="25" spans="1:5">
      <c r="A25" s="33"/>
      <c r="B25" s="33"/>
      <c r="C25" s="33"/>
      <c r="D25" s="33"/>
      <c r="E25" s="33"/>
    </row>
    <row r="26" spans="1:5">
      <c r="A26" s="33"/>
      <c r="B26" s="33"/>
      <c r="C26" s="33"/>
      <c r="D26" s="33"/>
      <c r="E26" s="33"/>
    </row>
    <row r="27" spans="1:5">
      <c r="A27" s="33"/>
      <c r="B27" s="33"/>
      <c r="C27" s="33"/>
      <c r="D27" s="33"/>
      <c r="E27" s="33"/>
    </row>
    <row r="28" spans="1:5">
      <c r="A28" s="33"/>
      <c r="B28" s="33"/>
      <c r="C28" s="33"/>
      <c r="D28" s="33"/>
      <c r="E28" s="33"/>
    </row>
    <row r="29" spans="1:5">
      <c r="A29" s="33"/>
      <c r="B29" s="33"/>
      <c r="C29" s="33"/>
      <c r="D29" s="33"/>
      <c r="E29" s="33"/>
    </row>
    <row r="30" spans="1:5">
      <c r="A30" s="33"/>
      <c r="B30" s="33"/>
      <c r="C30" s="33"/>
      <c r="D30" s="33"/>
      <c r="E30" s="33"/>
    </row>
    <row r="31" spans="1:5">
      <c r="A31" s="33"/>
      <c r="B31" s="33"/>
      <c r="C31" s="33"/>
      <c r="D31" s="33"/>
      <c r="E31" s="33"/>
    </row>
    <row r="32" spans="1:5">
      <c r="A32" s="33"/>
      <c r="B32" s="33"/>
      <c r="C32" s="33"/>
      <c r="D32" s="33"/>
      <c r="E32" s="33"/>
    </row>
    <row r="33" spans="1:5">
      <c r="A33" s="33"/>
      <c r="B33" s="33"/>
      <c r="C33" s="33"/>
      <c r="D33" s="33"/>
      <c r="E33" s="33"/>
    </row>
    <row r="34" spans="1:5">
      <c r="A34" s="33"/>
      <c r="B34" s="33"/>
      <c r="C34" s="33"/>
      <c r="D34" s="33"/>
      <c r="E34" s="33"/>
    </row>
    <row r="35" spans="1:5">
      <c r="A35" s="33"/>
      <c r="B35" s="33"/>
      <c r="C35" s="33"/>
      <c r="D35" s="33"/>
      <c r="E35" s="33"/>
    </row>
    <row r="36" spans="1:5">
      <c r="A36" s="33"/>
      <c r="B36" s="33"/>
      <c r="C36" s="33"/>
      <c r="D36" s="33"/>
      <c r="E36" s="33"/>
    </row>
    <row r="37" spans="1:5">
      <c r="A37" s="33"/>
      <c r="B37" s="33"/>
      <c r="C37" s="33"/>
      <c r="D37" s="33"/>
      <c r="E37" s="33"/>
    </row>
    <row r="38" spans="1:5">
      <c r="A38" s="33"/>
      <c r="B38" s="33"/>
      <c r="C38" s="33"/>
      <c r="D38" s="33"/>
      <c r="E38" s="33"/>
    </row>
    <row r="39" spans="1:5">
      <c r="A39" s="33"/>
      <c r="B39" s="33"/>
      <c r="C39" s="33"/>
      <c r="D39" s="33"/>
      <c r="E39" s="33"/>
    </row>
    <row r="40" spans="1:5">
      <c r="A40" s="33"/>
      <c r="B40" s="33"/>
      <c r="C40" s="33"/>
      <c r="D40" s="33"/>
      <c r="E40" s="33"/>
    </row>
    <row r="41" spans="1:5">
      <c r="A41" s="33"/>
      <c r="B41" s="33"/>
      <c r="C41" s="33"/>
      <c r="D41" s="33"/>
      <c r="E41" s="33"/>
    </row>
    <row r="42" spans="1:5">
      <c r="A42" s="33"/>
      <c r="B42" s="33"/>
      <c r="C42" s="33"/>
      <c r="D42" s="33"/>
      <c r="E42" s="33"/>
    </row>
    <row r="43" spans="1:5">
      <c r="A43" s="33"/>
      <c r="B43" s="33"/>
      <c r="C43" s="33"/>
      <c r="D43" s="33"/>
      <c r="E43" s="33"/>
    </row>
    <row r="44" spans="1:5">
      <c r="A44" s="33"/>
      <c r="B44" s="33"/>
      <c r="C44" s="33"/>
      <c r="D44" s="33"/>
      <c r="E44" s="33"/>
    </row>
    <row r="45" spans="1:5">
      <c r="A45" s="33"/>
      <c r="B45" s="33"/>
      <c r="C45" s="33"/>
      <c r="D45" s="33"/>
      <c r="E45" s="33"/>
    </row>
    <row r="46" spans="1:5">
      <c r="A46" s="33"/>
      <c r="B46" s="33"/>
      <c r="C46" s="33"/>
      <c r="D46" s="33"/>
      <c r="E46" s="33"/>
    </row>
    <row r="47" spans="1:5">
      <c r="A47" s="33"/>
      <c r="B47" s="33"/>
      <c r="C47" s="33"/>
      <c r="D47" s="33"/>
      <c r="E47" s="33"/>
    </row>
    <row r="48" spans="1:5">
      <c r="A48" s="33"/>
      <c r="B48" s="33"/>
      <c r="C48" s="33"/>
      <c r="D48" s="33"/>
      <c r="E48" s="33"/>
    </row>
    <row r="49" spans="1:5">
      <c r="A49" s="33"/>
      <c r="B49" s="33"/>
      <c r="C49" s="33"/>
      <c r="D49" s="33"/>
      <c r="E49" s="33"/>
    </row>
    <row r="50" spans="1:5">
      <c r="A50" s="33"/>
      <c r="B50" s="33"/>
      <c r="C50" s="33"/>
      <c r="D50" s="33"/>
      <c r="E50" s="33"/>
    </row>
    <row r="51" spans="1:5">
      <c r="A51" s="33"/>
      <c r="B51" s="33"/>
      <c r="C51" s="33"/>
      <c r="D51" s="33"/>
      <c r="E51" s="33"/>
    </row>
    <row r="52" spans="1:5">
      <c r="A52" s="33"/>
      <c r="B52" s="33"/>
      <c r="C52" s="33"/>
      <c r="D52" s="33"/>
      <c r="E52" s="33"/>
    </row>
    <row r="53" spans="1:5">
      <c r="A53" s="33"/>
      <c r="B53" s="33"/>
      <c r="C53" s="33"/>
      <c r="D53" s="33"/>
      <c r="E53" s="33"/>
    </row>
    <row r="54" spans="1:5">
      <c r="A54" s="33"/>
      <c r="B54" s="33"/>
      <c r="C54" s="33"/>
      <c r="D54" s="33"/>
      <c r="E54" s="33"/>
    </row>
    <row r="55" spans="1:5">
      <c r="A55" s="33"/>
      <c r="B55" s="33"/>
      <c r="C55" s="33"/>
      <c r="D55" s="33"/>
      <c r="E55" s="33"/>
    </row>
    <row r="56" spans="1:5">
      <c r="A56" s="33"/>
      <c r="B56" s="33"/>
      <c r="C56" s="33"/>
      <c r="D56" s="33"/>
      <c r="E56" s="33"/>
    </row>
    <row r="57" spans="1:5">
      <c r="A57" s="33"/>
      <c r="B57" s="33"/>
      <c r="C57" s="33"/>
      <c r="D57" s="33"/>
      <c r="E57" s="33"/>
    </row>
    <row r="58" spans="1:5">
      <c r="A58" s="33"/>
      <c r="B58" s="33"/>
      <c r="C58" s="33"/>
      <c r="D58" s="33"/>
      <c r="E58" s="33"/>
    </row>
    <row r="59" spans="1:5">
      <c r="A59" s="33"/>
      <c r="B59" s="33"/>
      <c r="C59" s="33"/>
      <c r="D59" s="33"/>
      <c r="E59" s="33"/>
    </row>
    <row r="60" spans="1:5">
      <c r="A60" s="33"/>
      <c r="B60" s="33"/>
      <c r="C60" s="33"/>
      <c r="D60" s="33"/>
      <c r="E60" s="33"/>
    </row>
    <row r="61" spans="1:5">
      <c r="A61" s="33"/>
      <c r="B61" s="33"/>
      <c r="C61" s="33"/>
      <c r="D61" s="33"/>
      <c r="E61" s="33"/>
    </row>
    <row r="62" spans="1:5">
      <c r="A62" s="33"/>
      <c r="B62" s="33"/>
      <c r="C62" s="33"/>
      <c r="D62" s="33"/>
      <c r="E62" s="33"/>
    </row>
    <row r="63" spans="1:5">
      <c r="A63" s="33"/>
      <c r="B63" s="33"/>
      <c r="C63" s="33"/>
      <c r="D63" s="33"/>
      <c r="E63" s="33"/>
    </row>
    <row r="64" spans="1:5">
      <c r="A64" s="33"/>
      <c r="B64" s="33"/>
      <c r="C64" s="33"/>
      <c r="D64" s="33"/>
      <c r="E64" s="33"/>
    </row>
    <row r="65" spans="1:5">
      <c r="A65" s="33"/>
      <c r="B65" s="33"/>
      <c r="C65" s="33"/>
      <c r="D65" s="33"/>
      <c r="E65" s="33"/>
    </row>
    <row r="66" spans="1:5">
      <c r="A66" s="33"/>
      <c r="B66" s="33"/>
      <c r="C66" s="33"/>
      <c r="D66" s="33"/>
      <c r="E66" s="33"/>
    </row>
    <row r="67" spans="1:5">
      <c r="A67" s="33"/>
      <c r="B67" s="33"/>
      <c r="C67" s="33"/>
      <c r="D67" s="33"/>
      <c r="E67" s="33"/>
    </row>
    <row r="68" spans="1:5">
      <c r="A68" s="33"/>
      <c r="B68" s="33"/>
      <c r="C68" s="33"/>
      <c r="D68" s="33"/>
      <c r="E68" s="33"/>
    </row>
    <row r="69" spans="1:5">
      <c r="A69" s="33"/>
      <c r="B69" s="33"/>
      <c r="C69" s="33"/>
      <c r="D69" s="33"/>
      <c r="E69" s="33"/>
    </row>
    <row r="70" spans="1:5">
      <c r="A70" s="33"/>
      <c r="B70" s="33"/>
      <c r="C70" s="33"/>
      <c r="D70" s="33"/>
      <c r="E70" s="33"/>
    </row>
    <row r="71" spans="1:5">
      <c r="A71" s="33"/>
      <c r="B71" s="33"/>
      <c r="C71" s="33"/>
      <c r="D71" s="33"/>
      <c r="E71" s="33"/>
    </row>
    <row r="72" spans="1:5">
      <c r="A72" s="33"/>
      <c r="B72" s="33"/>
      <c r="C72" s="33"/>
      <c r="D72" s="33"/>
      <c r="E72" s="33"/>
    </row>
    <row r="73" spans="1:5">
      <c r="A73" s="33"/>
      <c r="B73" s="33"/>
      <c r="C73" s="33"/>
      <c r="D73" s="33"/>
      <c r="E73" s="33"/>
    </row>
  </sheetData>
  <pageMargins left="0.69930555555555596" right="0.69930555555555596" top="0.75" bottom="0.75" header="0.3" footer="0.3"/>
  <pageSetup paperSize="9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73"/>
  <sheetViews>
    <sheetView workbookViewId="0">
      <selection activeCell="E6" sqref="E6"/>
    </sheetView>
  </sheetViews>
  <sheetFormatPr baseColWidth="10" defaultColWidth="9" defaultRowHeight="15" x14ac:dyDescent="0"/>
  <cols>
    <col min="1" max="1" width="11.33203125" style="31" customWidth="1"/>
    <col min="2" max="2" width="29.6640625" style="31" customWidth="1"/>
    <col min="3" max="5" width="9" style="31"/>
  </cols>
  <sheetData>
    <row r="2" spans="1:5">
      <c r="A2" s="31" t="s">
        <v>390</v>
      </c>
    </row>
    <row r="4" spans="1:5">
      <c r="A4" s="33" t="s">
        <v>1</v>
      </c>
      <c r="B4" s="33" t="s">
        <v>6</v>
      </c>
      <c r="C4" s="33" t="s">
        <v>3</v>
      </c>
      <c r="D4" s="33" t="s">
        <v>4</v>
      </c>
      <c r="E4" s="33" t="s">
        <v>5</v>
      </c>
    </row>
    <row r="5" spans="1:5">
      <c r="A5" s="33"/>
      <c r="B5" s="33" t="s">
        <v>418</v>
      </c>
      <c r="C5" s="33"/>
      <c r="D5" s="33"/>
      <c r="E5" s="33">
        <v>0</v>
      </c>
    </row>
    <row r="6" spans="1:5">
      <c r="A6" s="33"/>
      <c r="B6" s="33"/>
      <c r="C6" s="33"/>
      <c r="D6" s="33"/>
      <c r="E6" s="33"/>
    </row>
    <row r="7" spans="1:5">
      <c r="A7" s="33"/>
      <c r="B7" s="33"/>
      <c r="C7" s="33"/>
      <c r="D7" s="33"/>
      <c r="E7" s="33"/>
    </row>
    <row r="8" spans="1:5">
      <c r="A8" s="33"/>
      <c r="B8" s="33"/>
      <c r="C8" s="33"/>
      <c r="D8" s="33"/>
      <c r="E8" s="33"/>
    </row>
    <row r="9" spans="1:5">
      <c r="A9" s="33"/>
      <c r="B9" s="33"/>
      <c r="C9" s="33"/>
      <c r="D9" s="33"/>
      <c r="E9" s="33"/>
    </row>
    <row r="10" spans="1:5">
      <c r="A10" s="33"/>
      <c r="B10" s="33"/>
      <c r="C10" s="33"/>
      <c r="D10" s="33"/>
      <c r="E10" s="33"/>
    </row>
    <row r="11" spans="1:5">
      <c r="A11" s="33"/>
      <c r="B11" s="33"/>
      <c r="C11" s="33"/>
      <c r="D11" s="33"/>
      <c r="E11" s="33"/>
    </row>
    <row r="12" spans="1:5">
      <c r="A12" s="33"/>
      <c r="B12" s="33"/>
      <c r="C12" s="33"/>
      <c r="D12" s="33"/>
      <c r="E12" s="33"/>
    </row>
    <row r="13" spans="1:5">
      <c r="A13" s="33"/>
      <c r="B13" s="33"/>
      <c r="C13" s="33"/>
      <c r="D13" s="33"/>
      <c r="E13" s="33"/>
    </row>
    <row r="14" spans="1:5">
      <c r="A14" s="33"/>
      <c r="B14" s="33"/>
      <c r="C14" s="33"/>
      <c r="D14" s="33"/>
      <c r="E14" s="33"/>
    </row>
    <row r="15" spans="1:5">
      <c r="A15" s="33"/>
      <c r="B15" s="33"/>
      <c r="C15" s="33"/>
      <c r="D15" s="33"/>
      <c r="E15" s="33"/>
    </row>
    <row r="16" spans="1:5">
      <c r="A16" s="33"/>
      <c r="B16" s="33"/>
      <c r="C16" s="33"/>
      <c r="D16" s="33"/>
      <c r="E16" s="33"/>
    </row>
    <row r="17" spans="1:5">
      <c r="A17" s="33"/>
      <c r="B17" s="33"/>
      <c r="C17" s="33"/>
      <c r="D17" s="33"/>
      <c r="E17" s="33"/>
    </row>
    <row r="18" spans="1:5">
      <c r="A18" s="33"/>
      <c r="B18" s="33"/>
      <c r="C18" s="33"/>
      <c r="D18" s="33"/>
      <c r="E18" s="33"/>
    </row>
    <row r="19" spans="1:5">
      <c r="A19" s="33"/>
      <c r="B19" s="33"/>
      <c r="C19" s="33"/>
      <c r="D19" s="33"/>
      <c r="E19" s="33"/>
    </row>
    <row r="20" spans="1:5">
      <c r="A20" s="33"/>
      <c r="B20" s="33"/>
      <c r="C20" s="33"/>
      <c r="D20" s="33"/>
      <c r="E20" s="33"/>
    </row>
    <row r="21" spans="1:5">
      <c r="A21" s="33"/>
      <c r="B21" s="33"/>
      <c r="C21" s="33"/>
      <c r="D21" s="33"/>
      <c r="E21" s="33"/>
    </row>
    <row r="22" spans="1:5">
      <c r="A22" s="33"/>
      <c r="B22" s="33"/>
      <c r="C22" s="33"/>
      <c r="D22" s="33"/>
      <c r="E22" s="33"/>
    </row>
    <row r="23" spans="1:5">
      <c r="A23" s="33"/>
      <c r="B23" s="33"/>
      <c r="C23" s="33"/>
      <c r="D23" s="33"/>
      <c r="E23" s="33"/>
    </row>
    <row r="24" spans="1:5">
      <c r="A24" s="33"/>
      <c r="B24" s="33"/>
      <c r="C24" s="33"/>
      <c r="D24" s="33"/>
      <c r="E24" s="33"/>
    </row>
    <row r="25" spans="1:5">
      <c r="A25" s="33"/>
      <c r="B25" s="33"/>
      <c r="C25" s="33"/>
      <c r="D25" s="33"/>
      <c r="E25" s="33"/>
    </row>
    <row r="26" spans="1:5">
      <c r="A26" s="33"/>
      <c r="B26" s="33"/>
      <c r="C26" s="33"/>
      <c r="D26" s="33"/>
      <c r="E26" s="33"/>
    </row>
    <row r="27" spans="1:5">
      <c r="A27" s="33"/>
      <c r="B27" s="33"/>
      <c r="C27" s="33"/>
      <c r="D27" s="33"/>
      <c r="E27" s="33"/>
    </row>
    <row r="28" spans="1:5">
      <c r="A28" s="33"/>
      <c r="B28" s="33"/>
      <c r="C28" s="33"/>
      <c r="D28" s="33"/>
      <c r="E28" s="33"/>
    </row>
    <row r="29" spans="1:5">
      <c r="A29" s="33"/>
      <c r="B29" s="33"/>
      <c r="C29" s="33"/>
      <c r="D29" s="33"/>
      <c r="E29" s="33"/>
    </row>
    <row r="30" spans="1:5">
      <c r="A30" s="33"/>
      <c r="B30" s="33"/>
      <c r="C30" s="33"/>
      <c r="D30" s="33"/>
      <c r="E30" s="33"/>
    </row>
    <row r="31" spans="1:5">
      <c r="A31" s="33"/>
      <c r="B31" s="33"/>
      <c r="C31" s="33"/>
      <c r="D31" s="33"/>
      <c r="E31" s="33"/>
    </row>
    <row r="32" spans="1:5">
      <c r="A32" s="33"/>
      <c r="B32" s="33"/>
      <c r="C32" s="33"/>
      <c r="D32" s="33"/>
      <c r="E32" s="33"/>
    </row>
    <row r="33" spans="1:5">
      <c r="A33" s="33"/>
      <c r="B33" s="33"/>
      <c r="C33" s="33"/>
      <c r="D33" s="33"/>
      <c r="E33" s="33"/>
    </row>
    <row r="34" spans="1:5">
      <c r="A34" s="33"/>
      <c r="B34" s="33"/>
      <c r="C34" s="33"/>
      <c r="D34" s="33"/>
      <c r="E34" s="33"/>
    </row>
    <row r="35" spans="1:5">
      <c r="A35" s="33"/>
      <c r="B35" s="33"/>
      <c r="C35" s="33"/>
      <c r="D35" s="33"/>
      <c r="E35" s="33"/>
    </row>
    <row r="36" spans="1:5">
      <c r="A36" s="33"/>
      <c r="B36" s="33"/>
      <c r="C36" s="33"/>
      <c r="D36" s="33"/>
      <c r="E36" s="33"/>
    </row>
    <row r="37" spans="1:5">
      <c r="A37" s="33"/>
      <c r="B37" s="33"/>
      <c r="C37" s="33"/>
      <c r="D37" s="33"/>
      <c r="E37" s="33"/>
    </row>
    <row r="38" spans="1:5">
      <c r="A38" s="33"/>
      <c r="B38" s="33"/>
      <c r="C38" s="33"/>
      <c r="D38" s="33"/>
      <c r="E38" s="33"/>
    </row>
    <row r="39" spans="1:5">
      <c r="A39" s="33"/>
      <c r="B39" s="33"/>
      <c r="C39" s="33"/>
      <c r="D39" s="33"/>
      <c r="E39" s="33"/>
    </row>
    <row r="40" spans="1:5">
      <c r="A40" s="33"/>
      <c r="B40" s="33"/>
      <c r="C40" s="33"/>
      <c r="D40" s="33"/>
      <c r="E40" s="33"/>
    </row>
    <row r="41" spans="1:5">
      <c r="A41" s="33"/>
      <c r="B41" s="33"/>
      <c r="C41" s="33"/>
      <c r="D41" s="33"/>
      <c r="E41" s="33"/>
    </row>
    <row r="42" spans="1:5">
      <c r="A42" s="33"/>
      <c r="B42" s="33"/>
      <c r="C42" s="33"/>
      <c r="D42" s="33"/>
      <c r="E42" s="33"/>
    </row>
    <row r="43" spans="1:5">
      <c r="A43" s="33"/>
      <c r="B43" s="33"/>
      <c r="C43" s="33"/>
      <c r="D43" s="33"/>
      <c r="E43" s="33"/>
    </row>
    <row r="44" spans="1:5">
      <c r="A44" s="33"/>
      <c r="B44" s="33"/>
      <c r="C44" s="33"/>
      <c r="D44" s="33"/>
      <c r="E44" s="33"/>
    </row>
    <row r="45" spans="1:5">
      <c r="A45" s="33"/>
      <c r="B45" s="33"/>
      <c r="C45" s="33"/>
      <c r="D45" s="33"/>
      <c r="E45" s="33"/>
    </row>
    <row r="46" spans="1:5">
      <c r="A46" s="33"/>
      <c r="B46" s="33"/>
      <c r="C46" s="33"/>
      <c r="D46" s="33"/>
      <c r="E46" s="33"/>
    </row>
    <row r="47" spans="1:5">
      <c r="A47" s="33"/>
      <c r="B47" s="33"/>
      <c r="C47" s="33"/>
      <c r="D47" s="33"/>
      <c r="E47" s="33"/>
    </row>
    <row r="48" spans="1:5">
      <c r="A48" s="33"/>
      <c r="B48" s="33"/>
      <c r="C48" s="33"/>
      <c r="D48" s="33"/>
      <c r="E48" s="33"/>
    </row>
    <row r="49" spans="1:5">
      <c r="A49" s="33"/>
      <c r="B49" s="33"/>
      <c r="C49" s="33"/>
      <c r="D49" s="33"/>
      <c r="E49" s="33"/>
    </row>
    <row r="50" spans="1:5">
      <c r="A50" s="33"/>
      <c r="B50" s="33"/>
      <c r="C50" s="33"/>
      <c r="D50" s="33"/>
      <c r="E50" s="33"/>
    </row>
    <row r="51" spans="1:5">
      <c r="A51" s="33"/>
      <c r="B51" s="33"/>
      <c r="C51" s="33"/>
      <c r="D51" s="33"/>
      <c r="E51" s="33"/>
    </row>
    <row r="52" spans="1:5">
      <c r="A52" s="33"/>
      <c r="B52" s="33"/>
      <c r="C52" s="33"/>
      <c r="D52" s="33"/>
      <c r="E52" s="33"/>
    </row>
    <row r="53" spans="1:5">
      <c r="A53" s="33"/>
      <c r="B53" s="33"/>
      <c r="C53" s="33"/>
      <c r="D53" s="33"/>
      <c r="E53" s="33"/>
    </row>
    <row r="54" spans="1:5">
      <c r="A54" s="33"/>
      <c r="B54" s="33"/>
      <c r="C54" s="33"/>
      <c r="D54" s="33"/>
      <c r="E54" s="33"/>
    </row>
    <row r="55" spans="1:5">
      <c r="A55" s="33"/>
      <c r="B55" s="33"/>
      <c r="C55" s="33"/>
      <c r="D55" s="33"/>
      <c r="E55" s="33"/>
    </row>
    <row r="56" spans="1:5">
      <c r="A56" s="33"/>
      <c r="B56" s="33"/>
      <c r="C56" s="33"/>
      <c r="D56" s="33"/>
      <c r="E56" s="33"/>
    </row>
    <row r="57" spans="1:5">
      <c r="A57" s="33"/>
      <c r="B57" s="33"/>
      <c r="C57" s="33"/>
      <c r="D57" s="33"/>
      <c r="E57" s="33"/>
    </row>
    <row r="58" spans="1:5">
      <c r="A58" s="33"/>
      <c r="B58" s="33"/>
      <c r="C58" s="33"/>
      <c r="D58" s="33"/>
      <c r="E58" s="33"/>
    </row>
    <row r="59" spans="1:5">
      <c r="A59" s="33"/>
      <c r="B59" s="33"/>
      <c r="C59" s="33"/>
      <c r="D59" s="33"/>
      <c r="E59" s="33"/>
    </row>
    <row r="60" spans="1:5">
      <c r="A60" s="33"/>
      <c r="B60" s="33"/>
      <c r="C60" s="33"/>
      <c r="D60" s="33"/>
      <c r="E60" s="33"/>
    </row>
    <row r="61" spans="1:5">
      <c r="A61" s="33"/>
      <c r="B61" s="33"/>
      <c r="C61" s="33"/>
      <c r="D61" s="33"/>
      <c r="E61" s="33"/>
    </row>
    <row r="62" spans="1:5">
      <c r="A62" s="33"/>
      <c r="B62" s="33"/>
      <c r="C62" s="33"/>
      <c r="D62" s="33"/>
      <c r="E62" s="33"/>
    </row>
    <row r="63" spans="1:5">
      <c r="A63" s="33"/>
      <c r="B63" s="33"/>
      <c r="C63" s="33"/>
      <c r="D63" s="33"/>
      <c r="E63" s="33"/>
    </row>
    <row r="64" spans="1:5">
      <c r="A64" s="33"/>
      <c r="B64" s="33"/>
      <c r="C64" s="33"/>
      <c r="D64" s="33"/>
      <c r="E64" s="33"/>
    </row>
    <row r="65" spans="1:5">
      <c r="A65" s="33"/>
      <c r="B65" s="33"/>
      <c r="C65" s="33"/>
      <c r="D65" s="33"/>
      <c r="E65" s="33"/>
    </row>
    <row r="66" spans="1:5">
      <c r="A66" s="33"/>
      <c r="B66" s="33"/>
      <c r="C66" s="33"/>
      <c r="D66" s="33"/>
      <c r="E66" s="33"/>
    </row>
    <row r="67" spans="1:5">
      <c r="A67" s="33"/>
      <c r="B67" s="33"/>
      <c r="C67" s="33"/>
      <c r="D67" s="33"/>
      <c r="E67" s="33"/>
    </row>
    <row r="68" spans="1:5">
      <c r="A68" s="33"/>
      <c r="B68" s="33"/>
      <c r="C68" s="33"/>
      <c r="D68" s="33"/>
      <c r="E68" s="33"/>
    </row>
    <row r="69" spans="1:5">
      <c r="A69" s="33"/>
      <c r="B69" s="33"/>
      <c r="C69" s="33"/>
      <c r="D69" s="33"/>
      <c r="E69" s="33"/>
    </row>
    <row r="70" spans="1:5">
      <c r="A70" s="33"/>
      <c r="B70" s="33"/>
      <c r="C70" s="33"/>
      <c r="D70" s="33"/>
      <c r="E70" s="33"/>
    </row>
    <row r="71" spans="1:5">
      <c r="A71" s="33"/>
      <c r="B71" s="33"/>
      <c r="C71" s="33"/>
      <c r="D71" s="33"/>
      <c r="E71" s="33"/>
    </row>
    <row r="72" spans="1:5">
      <c r="A72" s="33"/>
      <c r="B72" s="33"/>
      <c r="C72" s="33"/>
      <c r="D72" s="33"/>
      <c r="E72" s="33"/>
    </row>
    <row r="73" spans="1:5">
      <c r="A73" s="33"/>
      <c r="B73" s="33"/>
      <c r="C73" s="33"/>
      <c r="D73" s="33"/>
      <c r="E73" s="33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74"/>
  <sheetViews>
    <sheetView workbookViewId="0">
      <selection activeCell="J24" sqref="J24"/>
    </sheetView>
  </sheetViews>
  <sheetFormatPr baseColWidth="10" defaultColWidth="9" defaultRowHeight="15" x14ac:dyDescent="0"/>
  <cols>
    <col min="1" max="1" width="11.33203125" style="31" customWidth="1"/>
    <col min="2" max="2" width="33.5" style="31" customWidth="1"/>
    <col min="3" max="5" width="9" style="31"/>
  </cols>
  <sheetData>
    <row r="2" spans="1:5">
      <c r="A2" s="31" t="s">
        <v>391</v>
      </c>
    </row>
    <row r="4" spans="1:5">
      <c r="A4" s="33" t="s">
        <v>1</v>
      </c>
      <c r="B4" s="33" t="s">
        <v>6</v>
      </c>
      <c r="C4" s="33" t="s">
        <v>3</v>
      </c>
      <c r="D4" s="33" t="s">
        <v>4</v>
      </c>
      <c r="E4" s="33" t="s">
        <v>5</v>
      </c>
    </row>
    <row r="5" spans="1:5">
      <c r="A5" s="33"/>
      <c r="B5" s="33" t="s">
        <v>418</v>
      </c>
      <c r="C5" s="33"/>
      <c r="D5" s="33"/>
      <c r="E5" s="33">
        <v>60</v>
      </c>
    </row>
    <row r="6" spans="1:5">
      <c r="A6" s="33"/>
      <c r="B6" s="33"/>
      <c r="C6" s="33"/>
      <c r="D6" s="33"/>
      <c r="E6" s="33"/>
    </row>
    <row r="7" spans="1:5">
      <c r="A7" s="33"/>
      <c r="B7" s="33"/>
      <c r="C7" s="33"/>
      <c r="D7" s="33"/>
      <c r="E7" s="33"/>
    </row>
    <row r="8" spans="1:5">
      <c r="A8" s="33"/>
      <c r="B8" s="33"/>
      <c r="C8" s="33"/>
      <c r="D8" s="33"/>
      <c r="E8" s="33"/>
    </row>
    <row r="9" spans="1:5">
      <c r="A9" s="33"/>
      <c r="B9" s="33"/>
      <c r="C9" s="33"/>
      <c r="D9" s="33"/>
      <c r="E9" s="33"/>
    </row>
    <row r="10" spans="1:5">
      <c r="A10" s="33"/>
      <c r="B10" s="33"/>
      <c r="C10" s="33"/>
      <c r="D10" s="33"/>
      <c r="E10" s="33"/>
    </row>
    <row r="11" spans="1:5">
      <c r="A11" s="33"/>
      <c r="B11" s="33"/>
      <c r="C11" s="33"/>
      <c r="D11" s="33"/>
      <c r="E11" s="33"/>
    </row>
    <row r="12" spans="1:5">
      <c r="A12" s="33"/>
      <c r="B12" s="33"/>
      <c r="C12" s="33"/>
      <c r="D12" s="33"/>
      <c r="E12" s="33"/>
    </row>
    <row r="13" spans="1:5">
      <c r="A13" s="33"/>
      <c r="B13" s="33"/>
      <c r="C13" s="33"/>
      <c r="D13" s="33"/>
      <c r="E13" s="33"/>
    </row>
    <row r="14" spans="1:5">
      <c r="A14" s="33"/>
      <c r="B14" s="33"/>
      <c r="C14" s="33"/>
      <c r="D14" s="33"/>
      <c r="E14" s="33"/>
    </row>
    <row r="15" spans="1:5">
      <c r="A15" s="33"/>
      <c r="B15" s="33"/>
      <c r="C15" s="33"/>
      <c r="D15" s="33"/>
      <c r="E15" s="33"/>
    </row>
    <row r="16" spans="1:5">
      <c r="A16" s="33"/>
      <c r="B16" s="33"/>
      <c r="C16" s="33"/>
      <c r="D16" s="33"/>
      <c r="E16" s="33"/>
    </row>
    <row r="17" spans="1:5">
      <c r="A17" s="33"/>
      <c r="B17" s="33"/>
      <c r="C17" s="33"/>
      <c r="D17" s="33"/>
      <c r="E17" s="33"/>
    </row>
    <row r="18" spans="1:5">
      <c r="A18" s="33"/>
      <c r="B18" s="33"/>
      <c r="C18" s="33"/>
      <c r="D18" s="33"/>
      <c r="E18" s="33"/>
    </row>
    <row r="19" spans="1:5">
      <c r="A19" s="33"/>
      <c r="B19" s="33"/>
      <c r="C19" s="33"/>
      <c r="D19" s="33"/>
      <c r="E19" s="33"/>
    </row>
    <row r="20" spans="1:5">
      <c r="A20" s="33"/>
      <c r="B20" s="33"/>
      <c r="C20" s="33"/>
      <c r="D20" s="33"/>
      <c r="E20" s="33"/>
    </row>
    <row r="21" spans="1:5">
      <c r="A21" s="33"/>
      <c r="B21" s="33"/>
      <c r="C21" s="33"/>
      <c r="D21" s="33"/>
      <c r="E21" s="33"/>
    </row>
    <row r="22" spans="1:5">
      <c r="A22" s="33"/>
      <c r="B22" s="33"/>
      <c r="C22" s="33"/>
      <c r="D22" s="33"/>
      <c r="E22" s="33"/>
    </row>
    <row r="23" spans="1:5">
      <c r="A23" s="33"/>
      <c r="B23" s="33"/>
      <c r="C23" s="33"/>
      <c r="D23" s="33"/>
      <c r="E23" s="33"/>
    </row>
    <row r="24" spans="1:5">
      <c r="A24" s="33"/>
      <c r="B24" s="33"/>
      <c r="C24" s="33"/>
      <c r="D24" s="33"/>
      <c r="E24" s="33"/>
    </row>
    <row r="25" spans="1:5">
      <c r="A25" s="33"/>
      <c r="B25" s="33"/>
      <c r="C25" s="33"/>
      <c r="D25" s="33"/>
      <c r="E25" s="33"/>
    </row>
    <row r="26" spans="1:5">
      <c r="A26" s="33"/>
      <c r="B26" s="33"/>
      <c r="C26" s="33"/>
      <c r="D26" s="33"/>
      <c r="E26" s="33"/>
    </row>
    <row r="27" spans="1:5">
      <c r="A27" s="33"/>
      <c r="B27" s="33"/>
      <c r="C27" s="33"/>
      <c r="D27" s="33"/>
      <c r="E27" s="33"/>
    </row>
    <row r="28" spans="1:5">
      <c r="A28" s="33"/>
      <c r="B28" s="33"/>
      <c r="C28" s="33"/>
      <c r="D28" s="33"/>
      <c r="E28" s="33"/>
    </row>
    <row r="29" spans="1:5">
      <c r="A29" s="33"/>
      <c r="B29" s="33"/>
      <c r="C29" s="33"/>
      <c r="D29" s="33"/>
      <c r="E29" s="33"/>
    </row>
    <row r="30" spans="1:5">
      <c r="A30" s="33"/>
      <c r="B30" s="33"/>
      <c r="C30" s="33"/>
      <c r="D30" s="33"/>
      <c r="E30" s="33"/>
    </row>
    <row r="31" spans="1:5">
      <c r="A31" s="33"/>
      <c r="B31" s="33"/>
      <c r="C31" s="33"/>
      <c r="D31" s="33"/>
      <c r="E31" s="33"/>
    </row>
    <row r="32" spans="1:5">
      <c r="A32" s="33"/>
      <c r="B32" s="33"/>
      <c r="C32" s="33"/>
      <c r="D32" s="33"/>
      <c r="E32" s="33"/>
    </row>
    <row r="33" spans="1:5">
      <c r="A33" s="33"/>
      <c r="B33" s="33"/>
      <c r="C33" s="33"/>
      <c r="D33" s="33"/>
      <c r="E33" s="33"/>
    </row>
    <row r="34" spans="1:5">
      <c r="A34" s="33"/>
      <c r="B34" s="33"/>
      <c r="C34" s="33"/>
      <c r="D34" s="33"/>
      <c r="E34" s="33"/>
    </row>
    <row r="35" spans="1:5">
      <c r="A35" s="33"/>
      <c r="B35" s="33"/>
      <c r="C35" s="33"/>
      <c r="D35" s="33"/>
      <c r="E35" s="33"/>
    </row>
    <row r="36" spans="1:5">
      <c r="A36" s="33"/>
      <c r="B36" s="33"/>
      <c r="C36" s="33"/>
      <c r="D36" s="33"/>
      <c r="E36" s="33"/>
    </row>
    <row r="37" spans="1:5">
      <c r="A37" s="33"/>
      <c r="B37" s="33"/>
      <c r="C37" s="33"/>
      <c r="D37" s="33"/>
      <c r="E37" s="33"/>
    </row>
    <row r="38" spans="1:5">
      <c r="A38" s="33"/>
      <c r="B38" s="33"/>
      <c r="C38" s="33"/>
      <c r="D38" s="33"/>
      <c r="E38" s="33"/>
    </row>
    <row r="39" spans="1:5">
      <c r="A39" s="33"/>
      <c r="B39" s="33"/>
      <c r="C39" s="33"/>
      <c r="D39" s="33"/>
      <c r="E39" s="33"/>
    </row>
    <row r="40" spans="1:5">
      <c r="A40" s="33"/>
      <c r="B40" s="33"/>
      <c r="C40" s="33"/>
      <c r="D40" s="33"/>
      <c r="E40" s="33"/>
    </row>
    <row r="41" spans="1:5">
      <c r="A41" s="33"/>
      <c r="B41" s="33"/>
      <c r="C41" s="33"/>
      <c r="D41" s="33"/>
      <c r="E41" s="33"/>
    </row>
    <row r="42" spans="1:5">
      <c r="A42" s="33"/>
      <c r="B42" s="33"/>
      <c r="C42" s="33"/>
      <c r="D42" s="33"/>
      <c r="E42" s="33"/>
    </row>
    <row r="43" spans="1:5">
      <c r="A43" s="33"/>
      <c r="B43" s="33"/>
      <c r="C43" s="33"/>
      <c r="D43" s="33"/>
      <c r="E43" s="33"/>
    </row>
    <row r="44" spans="1:5">
      <c r="A44" s="33"/>
      <c r="B44" s="33"/>
      <c r="C44" s="33"/>
      <c r="D44" s="33"/>
      <c r="E44" s="33"/>
    </row>
    <row r="45" spans="1:5">
      <c r="A45" s="33"/>
      <c r="B45" s="33"/>
      <c r="C45" s="33"/>
      <c r="D45" s="33"/>
      <c r="E45" s="33"/>
    </row>
    <row r="46" spans="1:5">
      <c r="A46" s="33"/>
      <c r="B46" s="33"/>
      <c r="C46" s="33"/>
      <c r="D46" s="33"/>
      <c r="E46" s="33"/>
    </row>
    <row r="47" spans="1:5">
      <c r="A47" s="33"/>
      <c r="B47" s="33"/>
      <c r="C47" s="33"/>
      <c r="D47" s="33"/>
      <c r="E47" s="33"/>
    </row>
    <row r="48" spans="1:5">
      <c r="A48" s="33"/>
      <c r="B48" s="33"/>
      <c r="C48" s="33"/>
      <c r="D48" s="33"/>
      <c r="E48" s="33"/>
    </row>
    <row r="49" spans="1:5">
      <c r="A49" s="33"/>
      <c r="B49" s="33"/>
      <c r="C49" s="33"/>
      <c r="D49" s="33"/>
      <c r="E49" s="33"/>
    </row>
    <row r="50" spans="1:5">
      <c r="A50" s="33"/>
      <c r="B50" s="33"/>
      <c r="C50" s="33"/>
      <c r="D50" s="33"/>
      <c r="E50" s="33"/>
    </row>
    <row r="51" spans="1:5">
      <c r="A51" s="33"/>
      <c r="B51" s="33"/>
      <c r="C51" s="33"/>
      <c r="D51" s="33"/>
      <c r="E51" s="33"/>
    </row>
    <row r="52" spans="1:5">
      <c r="A52" s="33"/>
      <c r="B52" s="33"/>
      <c r="C52" s="33"/>
      <c r="D52" s="33"/>
      <c r="E52" s="33"/>
    </row>
    <row r="53" spans="1:5">
      <c r="A53" s="33"/>
      <c r="B53" s="33"/>
      <c r="C53" s="33"/>
      <c r="D53" s="33"/>
      <c r="E53" s="33"/>
    </row>
    <row r="54" spans="1:5">
      <c r="A54" s="33"/>
      <c r="B54" s="33"/>
      <c r="C54" s="33"/>
      <c r="D54" s="33"/>
      <c r="E54" s="33"/>
    </row>
    <row r="55" spans="1:5">
      <c r="A55" s="33"/>
      <c r="B55" s="33"/>
      <c r="C55" s="33"/>
      <c r="D55" s="33"/>
      <c r="E55" s="33"/>
    </row>
    <row r="56" spans="1:5">
      <c r="A56" s="33"/>
      <c r="B56" s="33"/>
      <c r="C56" s="33"/>
      <c r="D56" s="33"/>
      <c r="E56" s="33"/>
    </row>
    <row r="57" spans="1:5">
      <c r="A57" s="33"/>
      <c r="B57" s="33"/>
      <c r="C57" s="33"/>
      <c r="D57" s="33"/>
      <c r="E57" s="33"/>
    </row>
    <row r="58" spans="1:5">
      <c r="A58" s="33"/>
      <c r="B58" s="33"/>
      <c r="C58" s="33"/>
      <c r="D58" s="33"/>
      <c r="E58" s="33"/>
    </row>
    <row r="59" spans="1:5">
      <c r="A59" s="33"/>
      <c r="B59" s="33"/>
      <c r="C59" s="33"/>
      <c r="D59" s="33"/>
      <c r="E59" s="33"/>
    </row>
    <row r="60" spans="1:5">
      <c r="A60" s="33"/>
      <c r="B60" s="33"/>
      <c r="C60" s="33"/>
      <c r="D60" s="33"/>
      <c r="E60" s="33"/>
    </row>
    <row r="61" spans="1:5">
      <c r="A61" s="33"/>
      <c r="B61" s="33"/>
      <c r="C61" s="33"/>
      <c r="D61" s="33"/>
      <c r="E61" s="33"/>
    </row>
    <row r="62" spans="1:5">
      <c r="A62" s="33"/>
      <c r="B62" s="33"/>
      <c r="C62" s="33"/>
      <c r="D62" s="33"/>
      <c r="E62" s="33"/>
    </row>
    <row r="63" spans="1:5">
      <c r="A63" s="33"/>
      <c r="B63" s="33"/>
      <c r="C63" s="33"/>
      <c r="D63" s="33"/>
      <c r="E63" s="33"/>
    </row>
    <row r="64" spans="1:5">
      <c r="A64" s="33"/>
      <c r="B64" s="33"/>
      <c r="C64" s="33"/>
      <c r="D64" s="33"/>
      <c r="E64" s="33"/>
    </row>
    <row r="65" spans="1:5">
      <c r="A65" s="33"/>
      <c r="B65" s="33"/>
      <c r="C65" s="33"/>
      <c r="D65" s="33"/>
      <c r="E65" s="33"/>
    </row>
    <row r="66" spans="1:5">
      <c r="A66" s="33"/>
      <c r="B66" s="33"/>
      <c r="C66" s="33"/>
      <c r="D66" s="33"/>
      <c r="E66" s="33"/>
    </row>
    <row r="67" spans="1:5">
      <c r="A67" s="33"/>
      <c r="B67" s="33"/>
      <c r="C67" s="33"/>
      <c r="D67" s="33"/>
      <c r="E67" s="33"/>
    </row>
    <row r="68" spans="1:5">
      <c r="A68" s="33"/>
      <c r="B68" s="33"/>
      <c r="C68" s="33"/>
      <c r="D68" s="33"/>
      <c r="E68" s="33"/>
    </row>
    <row r="69" spans="1:5">
      <c r="A69" s="33"/>
      <c r="B69" s="33"/>
      <c r="C69" s="33"/>
      <c r="D69" s="33"/>
      <c r="E69" s="33"/>
    </row>
    <row r="70" spans="1:5">
      <c r="A70" s="33"/>
      <c r="B70" s="33"/>
      <c r="C70" s="33"/>
      <c r="D70" s="33"/>
      <c r="E70" s="33"/>
    </row>
    <row r="71" spans="1:5">
      <c r="A71" s="33"/>
      <c r="B71" s="33"/>
      <c r="C71" s="33"/>
      <c r="D71" s="33"/>
      <c r="E71" s="33"/>
    </row>
    <row r="72" spans="1:5">
      <c r="A72" s="33"/>
      <c r="B72" s="33"/>
      <c r="C72" s="33"/>
      <c r="D72" s="33"/>
      <c r="E72" s="33"/>
    </row>
    <row r="73" spans="1:5">
      <c r="A73" s="33"/>
      <c r="B73" s="33"/>
      <c r="C73" s="33"/>
      <c r="D73" s="33"/>
      <c r="E73" s="33"/>
    </row>
    <row r="74" spans="1:5">
      <c r="A74" s="33"/>
      <c r="B74" s="33"/>
      <c r="C74" s="33"/>
      <c r="D74" s="33"/>
      <c r="E74" s="33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77"/>
  <sheetViews>
    <sheetView workbookViewId="0">
      <selection activeCell="A5" sqref="A5:XFD8"/>
    </sheetView>
  </sheetViews>
  <sheetFormatPr baseColWidth="10" defaultColWidth="9" defaultRowHeight="15" x14ac:dyDescent="0"/>
  <cols>
    <col min="1" max="1" width="11.33203125" style="31" customWidth="1"/>
    <col min="2" max="2" width="30.5" style="31" customWidth="1"/>
    <col min="3" max="5" width="9" style="31"/>
  </cols>
  <sheetData>
    <row r="2" spans="1:5">
      <c r="A2" s="31" t="s">
        <v>392</v>
      </c>
    </row>
    <row r="4" spans="1:5">
      <c r="A4" s="33" t="s">
        <v>1</v>
      </c>
      <c r="B4" s="33" t="s">
        <v>6</v>
      </c>
      <c r="C4" s="33" t="s">
        <v>3</v>
      </c>
      <c r="D4" s="33" t="s">
        <v>4</v>
      </c>
      <c r="E4" s="33" t="s">
        <v>5</v>
      </c>
    </row>
    <row r="5" spans="1:5">
      <c r="A5" s="33"/>
      <c r="B5" s="33" t="s">
        <v>418</v>
      </c>
      <c r="C5" s="33"/>
      <c r="D5" s="33"/>
      <c r="E5" s="33">
        <v>550</v>
      </c>
    </row>
    <row r="6" spans="1:5">
      <c r="A6" s="33"/>
      <c r="B6" s="33"/>
      <c r="C6" s="33"/>
      <c r="D6" s="33"/>
      <c r="E6" s="33"/>
    </row>
    <row r="7" spans="1:5">
      <c r="A7" s="33"/>
      <c r="B7" s="33"/>
      <c r="C7" s="33"/>
      <c r="D7" s="33"/>
      <c r="E7" s="33"/>
    </row>
    <row r="8" spans="1:5">
      <c r="A8" s="33"/>
      <c r="B8" s="33"/>
      <c r="C8" s="33"/>
      <c r="D8" s="33"/>
      <c r="E8" s="33"/>
    </row>
    <row r="9" spans="1:5">
      <c r="A9" s="33"/>
      <c r="B9" s="33"/>
      <c r="C9" s="33"/>
      <c r="D9" s="33"/>
      <c r="E9" s="33"/>
    </row>
    <row r="10" spans="1:5">
      <c r="A10" s="33"/>
      <c r="B10" s="33"/>
      <c r="C10" s="33"/>
      <c r="D10" s="33"/>
      <c r="E10" s="33"/>
    </row>
    <row r="11" spans="1:5">
      <c r="A11" s="33"/>
      <c r="B11" s="33"/>
      <c r="C11" s="33"/>
      <c r="D11" s="33"/>
      <c r="E11" s="33"/>
    </row>
    <row r="12" spans="1:5">
      <c r="A12" s="33"/>
      <c r="B12" s="33"/>
      <c r="C12" s="33"/>
      <c r="D12" s="33"/>
      <c r="E12" s="33"/>
    </row>
    <row r="13" spans="1:5">
      <c r="A13" s="33"/>
      <c r="B13" s="33"/>
      <c r="C13" s="33"/>
      <c r="D13" s="33"/>
      <c r="E13" s="33"/>
    </row>
    <row r="14" spans="1:5">
      <c r="A14" s="33"/>
      <c r="B14" s="33"/>
      <c r="C14" s="33"/>
      <c r="D14" s="33"/>
      <c r="E14" s="33"/>
    </row>
    <row r="15" spans="1:5">
      <c r="A15" s="33"/>
      <c r="B15" s="33"/>
      <c r="C15" s="33"/>
      <c r="D15" s="33"/>
      <c r="E15" s="33"/>
    </row>
    <row r="16" spans="1:5">
      <c r="A16" s="33"/>
      <c r="B16" s="33"/>
      <c r="C16" s="33"/>
      <c r="D16" s="33"/>
      <c r="E16" s="33"/>
    </row>
    <row r="17" spans="1:5">
      <c r="A17" s="33"/>
      <c r="B17" s="33"/>
      <c r="C17" s="33"/>
      <c r="D17" s="33"/>
      <c r="E17" s="33"/>
    </row>
    <row r="18" spans="1:5">
      <c r="A18" s="33"/>
      <c r="B18" s="33"/>
      <c r="C18" s="33"/>
      <c r="D18" s="33"/>
      <c r="E18" s="33"/>
    </row>
    <row r="19" spans="1:5">
      <c r="A19" s="33"/>
      <c r="B19" s="33"/>
      <c r="C19" s="33"/>
      <c r="D19" s="33"/>
      <c r="E19" s="33"/>
    </row>
    <row r="20" spans="1:5">
      <c r="A20" s="33"/>
      <c r="B20" s="33"/>
      <c r="C20" s="33"/>
      <c r="D20" s="33"/>
      <c r="E20" s="33"/>
    </row>
    <row r="21" spans="1:5">
      <c r="A21" s="33"/>
      <c r="B21" s="33"/>
      <c r="C21" s="33"/>
      <c r="D21" s="33"/>
      <c r="E21" s="33"/>
    </row>
    <row r="22" spans="1:5">
      <c r="A22" s="33"/>
      <c r="B22" s="33"/>
      <c r="C22" s="33"/>
      <c r="D22" s="33"/>
      <c r="E22" s="33"/>
    </row>
    <row r="23" spans="1:5">
      <c r="A23" s="33"/>
      <c r="B23" s="33"/>
      <c r="C23" s="33"/>
      <c r="D23" s="33"/>
      <c r="E23" s="33"/>
    </row>
    <row r="24" spans="1:5">
      <c r="A24" s="33"/>
      <c r="B24" s="33"/>
      <c r="C24" s="33"/>
      <c r="D24" s="33"/>
      <c r="E24" s="33"/>
    </row>
    <row r="25" spans="1:5">
      <c r="A25" s="33"/>
      <c r="B25" s="33"/>
      <c r="C25" s="33"/>
      <c r="D25" s="33"/>
      <c r="E25" s="33"/>
    </row>
    <row r="26" spans="1:5">
      <c r="A26" s="33"/>
      <c r="B26" s="33"/>
      <c r="C26" s="33"/>
      <c r="D26" s="33"/>
      <c r="E26" s="33"/>
    </row>
    <row r="27" spans="1:5">
      <c r="A27" s="33"/>
      <c r="B27" s="33"/>
      <c r="C27" s="33"/>
      <c r="D27" s="33"/>
      <c r="E27" s="33"/>
    </row>
    <row r="28" spans="1:5">
      <c r="A28" s="33"/>
      <c r="B28" s="33"/>
      <c r="C28" s="33"/>
      <c r="D28" s="33"/>
      <c r="E28" s="33"/>
    </row>
    <row r="29" spans="1:5">
      <c r="A29" s="33"/>
      <c r="B29" s="33"/>
      <c r="C29" s="33"/>
      <c r="D29" s="33"/>
      <c r="E29" s="33"/>
    </row>
    <row r="30" spans="1:5">
      <c r="A30" s="33"/>
      <c r="B30" s="33"/>
      <c r="C30" s="33"/>
      <c r="D30" s="33"/>
      <c r="E30" s="33"/>
    </row>
    <row r="31" spans="1:5">
      <c r="A31" s="33"/>
      <c r="B31" s="33"/>
      <c r="C31" s="33"/>
      <c r="D31" s="33"/>
      <c r="E31" s="33"/>
    </row>
    <row r="32" spans="1:5">
      <c r="A32" s="33"/>
      <c r="B32" s="33"/>
      <c r="C32" s="33"/>
      <c r="D32" s="33"/>
      <c r="E32" s="33"/>
    </row>
    <row r="33" spans="1:5">
      <c r="A33" s="33"/>
      <c r="B33" s="33"/>
      <c r="C33" s="33"/>
      <c r="D33" s="33"/>
      <c r="E33" s="33"/>
    </row>
    <row r="34" spans="1:5">
      <c r="A34" s="33"/>
      <c r="B34" s="33"/>
      <c r="C34" s="33"/>
      <c r="D34" s="33"/>
      <c r="E34" s="33"/>
    </row>
    <row r="35" spans="1:5">
      <c r="A35" s="33"/>
      <c r="B35" s="33"/>
      <c r="C35" s="33"/>
      <c r="D35" s="33"/>
      <c r="E35" s="33"/>
    </row>
    <row r="36" spans="1:5">
      <c r="A36" s="33"/>
      <c r="B36" s="33"/>
      <c r="C36" s="33"/>
      <c r="D36" s="33"/>
      <c r="E36" s="33"/>
    </row>
    <row r="37" spans="1:5">
      <c r="A37" s="33"/>
      <c r="B37" s="33"/>
      <c r="C37" s="33"/>
      <c r="D37" s="33"/>
      <c r="E37" s="33"/>
    </row>
    <row r="38" spans="1:5">
      <c r="A38" s="33"/>
      <c r="B38" s="33"/>
      <c r="C38" s="33"/>
      <c r="D38" s="33"/>
      <c r="E38" s="33"/>
    </row>
    <row r="39" spans="1:5">
      <c r="A39" s="33"/>
      <c r="B39" s="33"/>
      <c r="C39" s="33"/>
      <c r="D39" s="33"/>
      <c r="E39" s="33"/>
    </row>
    <row r="40" spans="1:5">
      <c r="A40" s="33"/>
      <c r="B40" s="33"/>
      <c r="C40" s="33"/>
      <c r="D40" s="33"/>
      <c r="E40" s="33"/>
    </row>
    <row r="41" spans="1:5">
      <c r="A41" s="33"/>
      <c r="B41" s="33"/>
      <c r="C41" s="33"/>
      <c r="D41" s="33"/>
      <c r="E41" s="33"/>
    </row>
    <row r="42" spans="1:5">
      <c r="A42" s="33"/>
      <c r="B42" s="33"/>
      <c r="C42" s="33"/>
      <c r="D42" s="33"/>
      <c r="E42" s="33"/>
    </row>
    <row r="43" spans="1:5">
      <c r="A43" s="33"/>
      <c r="B43" s="33"/>
      <c r="C43" s="33"/>
      <c r="D43" s="33"/>
      <c r="E43" s="33"/>
    </row>
    <row r="44" spans="1:5">
      <c r="A44" s="33"/>
      <c r="B44" s="33"/>
      <c r="C44" s="33"/>
      <c r="D44" s="33"/>
      <c r="E44" s="33"/>
    </row>
    <row r="45" spans="1:5">
      <c r="A45" s="33"/>
      <c r="B45" s="33"/>
      <c r="C45" s="33"/>
      <c r="D45" s="33"/>
      <c r="E45" s="33"/>
    </row>
    <row r="46" spans="1:5">
      <c r="A46" s="33"/>
      <c r="B46" s="33"/>
      <c r="C46" s="33"/>
      <c r="D46" s="33"/>
      <c r="E46" s="33"/>
    </row>
    <row r="47" spans="1:5">
      <c r="A47" s="33"/>
      <c r="B47" s="33"/>
      <c r="C47" s="33"/>
      <c r="D47" s="33"/>
      <c r="E47" s="33"/>
    </row>
    <row r="48" spans="1:5">
      <c r="A48" s="33"/>
      <c r="B48" s="33"/>
      <c r="C48" s="33"/>
      <c r="D48" s="33"/>
      <c r="E48" s="33"/>
    </row>
    <row r="49" spans="1:5">
      <c r="A49" s="33"/>
      <c r="B49" s="33"/>
      <c r="C49" s="33"/>
      <c r="D49" s="33"/>
      <c r="E49" s="33"/>
    </row>
    <row r="50" spans="1:5">
      <c r="A50" s="33"/>
      <c r="B50" s="33"/>
      <c r="C50" s="33"/>
      <c r="D50" s="33"/>
      <c r="E50" s="33"/>
    </row>
    <row r="51" spans="1:5">
      <c r="A51" s="33"/>
      <c r="B51" s="33"/>
      <c r="C51" s="33"/>
      <c r="D51" s="33"/>
      <c r="E51" s="33"/>
    </row>
    <row r="52" spans="1:5">
      <c r="A52" s="33"/>
      <c r="B52" s="33"/>
      <c r="C52" s="33"/>
      <c r="D52" s="33"/>
      <c r="E52" s="33"/>
    </row>
    <row r="53" spans="1:5">
      <c r="A53" s="33"/>
      <c r="B53" s="33"/>
      <c r="C53" s="33"/>
      <c r="D53" s="33"/>
      <c r="E53" s="33"/>
    </row>
    <row r="54" spans="1:5">
      <c r="A54" s="33"/>
      <c r="B54" s="33"/>
      <c r="C54" s="33"/>
      <c r="D54" s="33"/>
      <c r="E54" s="33"/>
    </row>
    <row r="55" spans="1:5">
      <c r="A55" s="33"/>
      <c r="B55" s="33"/>
      <c r="C55" s="33"/>
      <c r="D55" s="33"/>
      <c r="E55" s="33"/>
    </row>
    <row r="56" spans="1:5">
      <c r="A56" s="33"/>
      <c r="B56" s="33"/>
      <c r="C56" s="33"/>
      <c r="D56" s="33"/>
      <c r="E56" s="33"/>
    </row>
    <row r="57" spans="1:5">
      <c r="A57" s="33"/>
      <c r="B57" s="33"/>
      <c r="C57" s="33"/>
      <c r="D57" s="33"/>
      <c r="E57" s="33"/>
    </row>
    <row r="58" spans="1:5">
      <c r="A58" s="33"/>
      <c r="B58" s="33"/>
      <c r="C58" s="33"/>
      <c r="D58" s="33"/>
      <c r="E58" s="33"/>
    </row>
    <row r="59" spans="1:5">
      <c r="A59" s="33"/>
      <c r="B59" s="33"/>
      <c r="C59" s="33"/>
      <c r="D59" s="33"/>
      <c r="E59" s="33"/>
    </row>
    <row r="60" spans="1:5">
      <c r="A60" s="33"/>
      <c r="B60" s="33"/>
      <c r="C60" s="33"/>
      <c r="D60" s="33"/>
      <c r="E60" s="33"/>
    </row>
    <row r="61" spans="1:5">
      <c r="A61" s="33"/>
      <c r="B61" s="33"/>
      <c r="C61" s="33"/>
      <c r="D61" s="33"/>
      <c r="E61" s="33"/>
    </row>
    <row r="62" spans="1:5">
      <c r="A62" s="33"/>
      <c r="B62" s="33"/>
      <c r="C62" s="33"/>
      <c r="D62" s="33"/>
      <c r="E62" s="33"/>
    </row>
    <row r="63" spans="1:5">
      <c r="A63" s="33"/>
      <c r="B63" s="33"/>
      <c r="C63" s="33"/>
      <c r="D63" s="33"/>
      <c r="E63" s="33"/>
    </row>
    <row r="64" spans="1:5">
      <c r="A64" s="33"/>
      <c r="B64" s="33"/>
      <c r="C64" s="33"/>
      <c r="D64" s="33"/>
      <c r="E64" s="33"/>
    </row>
    <row r="65" spans="1:5">
      <c r="A65" s="33"/>
      <c r="B65" s="33"/>
      <c r="C65" s="33"/>
      <c r="D65" s="33"/>
      <c r="E65" s="33"/>
    </row>
    <row r="66" spans="1:5">
      <c r="A66" s="33"/>
      <c r="B66" s="33"/>
      <c r="C66" s="33"/>
      <c r="D66" s="33"/>
      <c r="E66" s="33"/>
    </row>
    <row r="67" spans="1:5">
      <c r="A67" s="33"/>
      <c r="B67" s="33"/>
      <c r="C67" s="33"/>
      <c r="D67" s="33"/>
      <c r="E67" s="33"/>
    </row>
    <row r="68" spans="1:5">
      <c r="A68" s="33"/>
      <c r="B68" s="33"/>
      <c r="C68" s="33"/>
      <c r="D68" s="33"/>
      <c r="E68" s="33"/>
    </row>
    <row r="69" spans="1:5">
      <c r="A69" s="33"/>
      <c r="B69" s="33"/>
      <c r="C69" s="33"/>
      <c r="D69" s="33"/>
      <c r="E69" s="33"/>
    </row>
    <row r="70" spans="1:5">
      <c r="A70" s="33"/>
      <c r="B70" s="33"/>
      <c r="C70" s="33"/>
      <c r="D70" s="33"/>
      <c r="E70" s="33"/>
    </row>
    <row r="71" spans="1:5">
      <c r="A71" s="33"/>
      <c r="B71" s="33"/>
      <c r="C71" s="33"/>
      <c r="D71" s="33"/>
      <c r="E71" s="33"/>
    </row>
    <row r="72" spans="1:5">
      <c r="A72" s="33"/>
      <c r="B72" s="33"/>
      <c r="C72" s="33"/>
      <c r="D72" s="33"/>
      <c r="E72" s="33"/>
    </row>
    <row r="73" spans="1:5">
      <c r="A73" s="33"/>
      <c r="B73" s="33"/>
      <c r="C73" s="33"/>
      <c r="D73" s="33"/>
      <c r="E73" s="33"/>
    </row>
    <row r="74" spans="1:5">
      <c r="A74" s="33"/>
      <c r="B74" s="33"/>
      <c r="C74" s="33"/>
      <c r="D74" s="33"/>
      <c r="E74" s="33"/>
    </row>
    <row r="75" spans="1:5">
      <c r="A75" s="33"/>
      <c r="B75" s="33"/>
      <c r="C75" s="33"/>
      <c r="D75" s="33"/>
      <c r="E75" s="33"/>
    </row>
    <row r="76" spans="1:5">
      <c r="A76" s="33"/>
      <c r="B76" s="33"/>
      <c r="C76" s="33"/>
      <c r="D76" s="33"/>
      <c r="E76" s="33"/>
    </row>
    <row r="77" spans="1:5">
      <c r="A77" s="33"/>
      <c r="B77" s="33"/>
      <c r="C77" s="33"/>
      <c r="D77" s="33"/>
      <c r="E77" s="33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74"/>
  <sheetViews>
    <sheetView workbookViewId="0">
      <selection activeCell="I24" sqref="I24"/>
    </sheetView>
  </sheetViews>
  <sheetFormatPr baseColWidth="10" defaultColWidth="9" defaultRowHeight="15" x14ac:dyDescent="0"/>
  <cols>
    <col min="1" max="1" width="11.33203125" style="31" customWidth="1"/>
    <col min="2" max="2" width="28.5" style="31" customWidth="1"/>
    <col min="3" max="5" width="9" style="31"/>
  </cols>
  <sheetData>
    <row r="2" spans="1:5">
      <c r="A2" s="31" t="s">
        <v>393</v>
      </c>
    </row>
    <row r="4" spans="1:5">
      <c r="A4" s="33" t="s">
        <v>1</v>
      </c>
      <c r="B4" s="33" t="s">
        <v>6</v>
      </c>
      <c r="C4" s="33" t="s">
        <v>3</v>
      </c>
      <c r="D4" s="33" t="s">
        <v>4</v>
      </c>
      <c r="E4" s="33" t="s">
        <v>5</v>
      </c>
    </row>
    <row r="5" spans="1:5">
      <c r="A5" s="33"/>
      <c r="B5" s="33" t="s">
        <v>418</v>
      </c>
      <c r="C5" s="33"/>
      <c r="D5" s="33"/>
      <c r="E5" s="33">
        <v>812</v>
      </c>
    </row>
    <row r="6" spans="1:5">
      <c r="A6" s="33"/>
      <c r="B6" s="33"/>
      <c r="C6" s="33"/>
      <c r="D6" s="33"/>
      <c r="E6" s="33"/>
    </row>
    <row r="7" spans="1:5">
      <c r="A7" s="33"/>
      <c r="B7" s="33"/>
      <c r="C7" s="33"/>
      <c r="D7" s="33"/>
      <c r="E7" s="33"/>
    </row>
    <row r="8" spans="1:5">
      <c r="A8" s="33"/>
      <c r="B8" s="33"/>
      <c r="C8" s="33"/>
      <c r="D8" s="33"/>
      <c r="E8" s="33"/>
    </row>
    <row r="9" spans="1:5">
      <c r="A9" s="33"/>
      <c r="B9" s="33"/>
      <c r="C9" s="33"/>
      <c r="D9" s="33"/>
      <c r="E9" s="33"/>
    </row>
    <row r="10" spans="1:5">
      <c r="A10" s="33"/>
      <c r="B10" s="33"/>
      <c r="C10" s="33"/>
      <c r="D10" s="33"/>
      <c r="E10" s="33"/>
    </row>
    <row r="11" spans="1:5">
      <c r="A11" s="33"/>
      <c r="B11" s="33"/>
      <c r="C11" s="33"/>
      <c r="D11" s="33"/>
      <c r="E11" s="33"/>
    </row>
    <row r="12" spans="1:5">
      <c r="A12" s="33"/>
      <c r="B12" s="33"/>
      <c r="C12" s="33"/>
      <c r="D12" s="33"/>
      <c r="E12" s="33"/>
    </row>
    <row r="13" spans="1:5">
      <c r="A13" s="33"/>
      <c r="B13" s="33"/>
      <c r="C13" s="33"/>
      <c r="D13" s="33"/>
      <c r="E13" s="33"/>
    </row>
    <row r="14" spans="1:5">
      <c r="A14" s="33"/>
      <c r="B14" s="33"/>
      <c r="C14" s="33"/>
      <c r="D14" s="33"/>
      <c r="E14" s="33"/>
    </row>
    <row r="15" spans="1:5">
      <c r="A15" s="33"/>
      <c r="B15" s="33"/>
      <c r="C15" s="33"/>
      <c r="D15" s="33"/>
      <c r="E15" s="33"/>
    </row>
    <row r="16" spans="1:5">
      <c r="A16" s="33"/>
      <c r="B16" s="33"/>
      <c r="C16" s="33"/>
      <c r="D16" s="33"/>
      <c r="E16" s="33"/>
    </row>
    <row r="17" spans="1:5">
      <c r="A17" s="33"/>
      <c r="B17" s="33"/>
      <c r="C17" s="33"/>
      <c r="D17" s="33"/>
      <c r="E17" s="33"/>
    </row>
    <row r="18" spans="1:5">
      <c r="A18" s="33"/>
      <c r="B18" s="33"/>
      <c r="C18" s="33"/>
      <c r="D18" s="33"/>
      <c r="E18" s="33"/>
    </row>
    <row r="19" spans="1:5">
      <c r="A19" s="33"/>
      <c r="B19" s="33"/>
      <c r="C19" s="33"/>
      <c r="D19" s="33"/>
      <c r="E19" s="33"/>
    </row>
    <row r="20" spans="1:5">
      <c r="A20" s="33"/>
      <c r="B20" s="33"/>
      <c r="C20" s="33"/>
      <c r="D20" s="33"/>
      <c r="E20" s="33"/>
    </row>
    <row r="21" spans="1:5">
      <c r="A21" s="33"/>
      <c r="B21" s="33"/>
      <c r="C21" s="33"/>
      <c r="D21" s="33"/>
      <c r="E21" s="33"/>
    </row>
    <row r="22" spans="1:5">
      <c r="A22" s="33"/>
      <c r="B22" s="33"/>
      <c r="C22" s="33"/>
      <c r="D22" s="33"/>
      <c r="E22" s="33"/>
    </row>
    <row r="23" spans="1:5">
      <c r="A23" s="33"/>
      <c r="B23" s="33"/>
      <c r="C23" s="33"/>
      <c r="D23" s="33"/>
      <c r="E23" s="33"/>
    </row>
    <row r="24" spans="1:5">
      <c r="A24" s="33"/>
      <c r="B24" s="33"/>
      <c r="C24" s="33"/>
      <c r="D24" s="33"/>
      <c r="E24" s="33"/>
    </row>
    <row r="25" spans="1:5">
      <c r="A25" s="33"/>
      <c r="B25" s="33"/>
      <c r="C25" s="33"/>
      <c r="D25" s="33"/>
      <c r="E25" s="33"/>
    </row>
    <row r="26" spans="1:5">
      <c r="A26" s="33"/>
      <c r="B26" s="33"/>
      <c r="C26" s="33"/>
      <c r="D26" s="33"/>
      <c r="E26" s="33"/>
    </row>
    <row r="27" spans="1:5">
      <c r="A27" s="33"/>
      <c r="B27" s="33"/>
      <c r="C27" s="33"/>
      <c r="D27" s="33"/>
      <c r="E27" s="33"/>
    </row>
    <row r="28" spans="1:5">
      <c r="A28" s="33"/>
      <c r="B28" s="33"/>
      <c r="C28" s="33"/>
      <c r="D28" s="33"/>
      <c r="E28" s="33"/>
    </row>
    <row r="29" spans="1:5">
      <c r="A29" s="33"/>
      <c r="B29" s="33"/>
      <c r="C29" s="33"/>
      <c r="D29" s="33"/>
      <c r="E29" s="33"/>
    </row>
    <row r="30" spans="1:5">
      <c r="A30" s="33"/>
      <c r="B30" s="33"/>
      <c r="C30" s="33"/>
      <c r="D30" s="33"/>
      <c r="E30" s="33"/>
    </row>
    <row r="31" spans="1:5">
      <c r="A31" s="33"/>
      <c r="B31" s="33"/>
      <c r="C31" s="33"/>
      <c r="D31" s="33"/>
      <c r="E31" s="33"/>
    </row>
    <row r="32" spans="1:5">
      <c r="A32" s="33"/>
      <c r="B32" s="33"/>
      <c r="C32" s="33"/>
      <c r="D32" s="33"/>
      <c r="E32" s="33"/>
    </row>
    <row r="33" spans="1:5">
      <c r="A33" s="33"/>
      <c r="B33" s="33"/>
      <c r="C33" s="33"/>
      <c r="D33" s="33"/>
      <c r="E33" s="33"/>
    </row>
    <row r="34" spans="1:5">
      <c r="A34" s="33"/>
      <c r="B34" s="33"/>
      <c r="C34" s="33"/>
      <c r="D34" s="33"/>
      <c r="E34" s="33"/>
    </row>
    <row r="35" spans="1:5">
      <c r="A35" s="33"/>
      <c r="B35" s="33"/>
      <c r="C35" s="33"/>
      <c r="D35" s="33"/>
      <c r="E35" s="33"/>
    </row>
    <row r="36" spans="1:5">
      <c r="A36" s="33"/>
      <c r="B36" s="33"/>
      <c r="C36" s="33"/>
      <c r="D36" s="33"/>
      <c r="E36" s="33"/>
    </row>
    <row r="37" spans="1:5">
      <c r="A37" s="33"/>
      <c r="B37" s="33"/>
      <c r="C37" s="33"/>
      <c r="D37" s="33"/>
      <c r="E37" s="33"/>
    </row>
    <row r="38" spans="1:5">
      <c r="A38" s="33"/>
      <c r="B38" s="33"/>
      <c r="C38" s="33"/>
      <c r="D38" s="33"/>
      <c r="E38" s="33"/>
    </row>
    <row r="39" spans="1:5">
      <c r="A39" s="33"/>
      <c r="B39" s="33"/>
      <c r="C39" s="33"/>
      <c r="D39" s="33"/>
      <c r="E39" s="33"/>
    </row>
    <row r="40" spans="1:5">
      <c r="A40" s="33"/>
      <c r="B40" s="33"/>
      <c r="C40" s="33"/>
      <c r="D40" s="33"/>
      <c r="E40" s="33"/>
    </row>
    <row r="41" spans="1:5">
      <c r="A41" s="33"/>
      <c r="B41" s="33"/>
      <c r="C41" s="33"/>
      <c r="D41" s="33"/>
      <c r="E41" s="33"/>
    </row>
    <row r="42" spans="1:5">
      <c r="A42" s="33"/>
      <c r="B42" s="33"/>
      <c r="C42" s="33"/>
      <c r="D42" s="33"/>
      <c r="E42" s="33"/>
    </row>
    <row r="43" spans="1:5">
      <c r="A43" s="33"/>
      <c r="B43" s="33"/>
      <c r="C43" s="33"/>
      <c r="D43" s="33"/>
      <c r="E43" s="33"/>
    </row>
    <row r="44" spans="1:5">
      <c r="A44" s="33"/>
      <c r="B44" s="33"/>
      <c r="C44" s="33"/>
      <c r="D44" s="33"/>
      <c r="E44" s="33"/>
    </row>
    <row r="45" spans="1:5">
      <c r="A45" s="33"/>
      <c r="B45" s="33"/>
      <c r="C45" s="33"/>
      <c r="D45" s="33"/>
      <c r="E45" s="33"/>
    </row>
    <row r="46" spans="1:5">
      <c r="A46" s="33"/>
      <c r="B46" s="33"/>
      <c r="C46" s="33"/>
      <c r="D46" s="33"/>
      <c r="E46" s="33"/>
    </row>
    <row r="47" spans="1:5">
      <c r="A47" s="33"/>
      <c r="B47" s="33"/>
      <c r="C47" s="33"/>
      <c r="D47" s="33"/>
      <c r="E47" s="33"/>
    </row>
    <row r="48" spans="1:5">
      <c r="A48" s="33"/>
      <c r="B48" s="33"/>
      <c r="C48" s="33"/>
      <c r="D48" s="33"/>
      <c r="E48" s="33"/>
    </row>
    <row r="49" spans="1:5">
      <c r="A49" s="33"/>
      <c r="B49" s="33"/>
      <c r="C49" s="33"/>
      <c r="D49" s="33"/>
      <c r="E49" s="33"/>
    </row>
    <row r="50" spans="1:5">
      <c r="A50" s="33"/>
      <c r="B50" s="33"/>
      <c r="C50" s="33"/>
      <c r="D50" s="33"/>
      <c r="E50" s="33"/>
    </row>
    <row r="51" spans="1:5">
      <c r="A51" s="33"/>
      <c r="B51" s="33"/>
      <c r="C51" s="33"/>
      <c r="D51" s="33"/>
      <c r="E51" s="33"/>
    </row>
    <row r="52" spans="1:5">
      <c r="A52" s="33"/>
      <c r="B52" s="33"/>
      <c r="C52" s="33"/>
      <c r="D52" s="33"/>
      <c r="E52" s="33"/>
    </row>
    <row r="53" spans="1:5">
      <c r="A53" s="33"/>
      <c r="B53" s="33"/>
      <c r="C53" s="33"/>
      <c r="D53" s="33"/>
      <c r="E53" s="33"/>
    </row>
    <row r="54" spans="1:5">
      <c r="A54" s="33"/>
      <c r="B54" s="33"/>
      <c r="C54" s="33"/>
      <c r="D54" s="33"/>
      <c r="E54" s="33"/>
    </row>
    <row r="55" spans="1:5">
      <c r="A55" s="33"/>
      <c r="B55" s="33"/>
      <c r="C55" s="33"/>
      <c r="D55" s="33"/>
      <c r="E55" s="33"/>
    </row>
    <row r="56" spans="1:5">
      <c r="A56" s="33"/>
      <c r="B56" s="33"/>
      <c r="C56" s="33"/>
      <c r="D56" s="33"/>
      <c r="E56" s="33"/>
    </row>
    <row r="57" spans="1:5">
      <c r="A57" s="33"/>
      <c r="B57" s="33"/>
      <c r="C57" s="33"/>
      <c r="D57" s="33"/>
      <c r="E57" s="33"/>
    </row>
    <row r="58" spans="1:5">
      <c r="A58" s="33"/>
      <c r="B58" s="33"/>
      <c r="C58" s="33"/>
      <c r="D58" s="33"/>
      <c r="E58" s="33"/>
    </row>
    <row r="59" spans="1:5">
      <c r="A59" s="33"/>
      <c r="B59" s="33"/>
      <c r="C59" s="33"/>
      <c r="D59" s="33"/>
      <c r="E59" s="33"/>
    </row>
    <row r="60" spans="1:5">
      <c r="A60" s="33"/>
      <c r="B60" s="33"/>
      <c r="C60" s="33"/>
      <c r="D60" s="33"/>
      <c r="E60" s="33"/>
    </row>
    <row r="61" spans="1:5">
      <c r="A61" s="33"/>
      <c r="B61" s="33"/>
      <c r="C61" s="33"/>
      <c r="D61" s="33"/>
      <c r="E61" s="33"/>
    </row>
    <row r="62" spans="1:5">
      <c r="A62" s="33"/>
      <c r="B62" s="33"/>
      <c r="C62" s="33"/>
      <c r="D62" s="33"/>
      <c r="E62" s="33"/>
    </row>
    <row r="63" spans="1:5">
      <c r="A63" s="33"/>
      <c r="B63" s="33"/>
      <c r="C63" s="33"/>
      <c r="D63" s="33"/>
      <c r="E63" s="33"/>
    </row>
    <row r="64" spans="1:5">
      <c r="A64" s="33"/>
      <c r="B64" s="33"/>
      <c r="C64" s="33"/>
      <c r="D64" s="33"/>
      <c r="E64" s="33"/>
    </row>
    <row r="65" spans="1:5">
      <c r="A65" s="33"/>
      <c r="B65" s="33"/>
      <c r="C65" s="33"/>
      <c r="D65" s="33"/>
      <c r="E65" s="33"/>
    </row>
    <row r="66" spans="1:5">
      <c r="A66" s="33"/>
      <c r="B66" s="33"/>
      <c r="C66" s="33"/>
      <c r="D66" s="33"/>
      <c r="E66" s="33"/>
    </row>
    <row r="67" spans="1:5">
      <c r="A67" s="33"/>
      <c r="B67" s="33"/>
      <c r="C67" s="33"/>
      <c r="D67" s="33"/>
      <c r="E67" s="33"/>
    </row>
    <row r="68" spans="1:5">
      <c r="A68" s="33"/>
      <c r="B68" s="33"/>
      <c r="C68" s="33"/>
      <c r="D68" s="33"/>
      <c r="E68" s="33"/>
    </row>
    <row r="69" spans="1:5">
      <c r="A69" s="33"/>
      <c r="B69" s="33"/>
      <c r="C69" s="33"/>
      <c r="D69" s="33"/>
      <c r="E69" s="33"/>
    </row>
    <row r="70" spans="1:5">
      <c r="A70" s="33"/>
      <c r="B70" s="33"/>
      <c r="C70" s="33"/>
      <c r="D70" s="33"/>
      <c r="E70" s="33"/>
    </row>
    <row r="71" spans="1:5">
      <c r="A71" s="33"/>
      <c r="B71" s="33"/>
      <c r="C71" s="33"/>
      <c r="D71" s="33"/>
      <c r="E71" s="33"/>
    </row>
    <row r="72" spans="1:5">
      <c r="A72" s="33"/>
      <c r="B72" s="33"/>
      <c r="C72" s="33"/>
      <c r="D72" s="33"/>
      <c r="E72" s="33"/>
    </row>
    <row r="73" spans="1:5">
      <c r="A73" s="33"/>
      <c r="B73" s="33"/>
      <c r="C73" s="33"/>
      <c r="D73" s="33"/>
      <c r="E73" s="33"/>
    </row>
    <row r="74" spans="1:5">
      <c r="A74" s="33"/>
      <c r="B74" s="33"/>
      <c r="C74" s="33"/>
      <c r="D74" s="33"/>
      <c r="E74" s="33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E6" sqref="E6"/>
    </sheetView>
  </sheetViews>
  <sheetFormatPr baseColWidth="10" defaultColWidth="9" defaultRowHeight="14" x14ac:dyDescent="0"/>
  <cols>
    <col min="1" max="1" width="13.5" customWidth="1"/>
    <col min="2" max="2" width="31.5" customWidth="1"/>
  </cols>
  <sheetData>
    <row r="1" spans="1:6" ht="15">
      <c r="A1" s="31"/>
      <c r="B1" s="31"/>
      <c r="C1" s="31"/>
      <c r="D1" s="31"/>
      <c r="E1" s="31"/>
    </row>
    <row r="2" spans="1:6" ht="15">
      <c r="A2" s="31" t="s">
        <v>394</v>
      </c>
      <c r="B2" s="31"/>
      <c r="C2" s="31"/>
      <c r="D2" s="31"/>
      <c r="E2" s="31"/>
    </row>
    <row r="3" spans="1:6" ht="15">
      <c r="A3" s="31"/>
      <c r="B3" s="31"/>
      <c r="C3" s="31"/>
      <c r="D3" s="31"/>
      <c r="E3" s="31"/>
    </row>
    <row r="4" spans="1:6" ht="15">
      <c r="A4" s="32" t="s">
        <v>1</v>
      </c>
      <c r="B4" s="33" t="s">
        <v>6</v>
      </c>
      <c r="C4" s="33" t="s">
        <v>3</v>
      </c>
      <c r="D4" s="33" t="s">
        <v>4</v>
      </c>
      <c r="E4" s="33" t="s">
        <v>5</v>
      </c>
    </row>
    <row r="5" spans="1:6">
      <c r="A5" s="9"/>
      <c r="B5" s="310" t="s">
        <v>418</v>
      </c>
      <c r="C5" s="9"/>
      <c r="D5" s="9"/>
      <c r="E5" s="9">
        <v>33</v>
      </c>
    </row>
    <row r="6" spans="1:6">
      <c r="A6" s="9" t="s">
        <v>703</v>
      </c>
      <c r="B6" s="429" t="s">
        <v>406</v>
      </c>
      <c r="C6" s="9">
        <v>9</v>
      </c>
      <c r="D6" s="9"/>
      <c r="E6" s="9">
        <f>E5+C6-D6</f>
        <v>42</v>
      </c>
      <c r="F6" s="480" t="s">
        <v>46</v>
      </c>
    </row>
    <row r="7" spans="1:6">
      <c r="A7" s="21">
        <v>43315</v>
      </c>
      <c r="B7" s="429" t="s">
        <v>406</v>
      </c>
      <c r="C7" s="9">
        <v>3</v>
      </c>
      <c r="D7" s="9"/>
      <c r="E7" s="9">
        <f>E6+C7-D7</f>
        <v>45</v>
      </c>
      <c r="F7" s="501" t="s">
        <v>46</v>
      </c>
    </row>
    <row r="8" spans="1:6">
      <c r="A8" s="9"/>
      <c r="B8" s="9"/>
      <c r="C8" s="9"/>
      <c r="D8" s="9"/>
      <c r="E8" s="9"/>
    </row>
    <row r="9" spans="1:6">
      <c r="A9" s="9"/>
      <c r="B9" s="9"/>
      <c r="C9" s="9"/>
      <c r="D9" s="9"/>
      <c r="E9" s="9"/>
    </row>
    <row r="10" spans="1:6">
      <c r="A10" s="9"/>
      <c r="B10" s="9"/>
      <c r="C10" s="9"/>
      <c r="D10" s="9"/>
      <c r="E10" s="9"/>
    </row>
    <row r="11" spans="1:6">
      <c r="A11" s="9"/>
      <c r="B11" s="9"/>
      <c r="C11" s="9"/>
      <c r="D11" s="9"/>
      <c r="E11" s="9"/>
    </row>
    <row r="12" spans="1:6">
      <c r="A12" s="9"/>
      <c r="B12" s="9"/>
      <c r="C12" s="9"/>
      <c r="D12" s="9"/>
      <c r="E12" s="9"/>
    </row>
    <row r="13" spans="1:6">
      <c r="A13" s="9"/>
      <c r="B13" s="9"/>
      <c r="C13" s="9"/>
      <c r="D13" s="9"/>
      <c r="E13" s="9"/>
    </row>
    <row r="14" spans="1:6">
      <c r="A14" s="9"/>
      <c r="B14" s="9"/>
      <c r="C14" s="9"/>
      <c r="D14" s="9"/>
      <c r="E14" s="9"/>
    </row>
    <row r="15" spans="1:6">
      <c r="A15" s="9"/>
      <c r="B15" s="9"/>
      <c r="C15" s="9"/>
      <c r="D15" s="9"/>
      <c r="E15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0"/>
  <sheetViews>
    <sheetView workbookViewId="0">
      <selection activeCell="E6" sqref="E6"/>
    </sheetView>
  </sheetViews>
  <sheetFormatPr baseColWidth="10" defaultColWidth="9" defaultRowHeight="14" x14ac:dyDescent="0"/>
  <cols>
    <col min="1" max="1" width="12" customWidth="1"/>
    <col min="2" max="2" width="28.1640625" customWidth="1"/>
  </cols>
  <sheetData>
    <row r="2" spans="1:5" ht="15">
      <c r="A2" s="31" t="s">
        <v>395</v>
      </c>
      <c r="B2" s="31"/>
      <c r="C2" s="31"/>
      <c r="D2" s="31"/>
      <c r="E2" s="31"/>
    </row>
    <row r="3" spans="1:5" ht="15">
      <c r="A3" s="31"/>
      <c r="B3" s="31"/>
      <c r="C3" s="31"/>
      <c r="D3" s="31"/>
      <c r="E3" s="31"/>
    </row>
    <row r="4" spans="1:5" ht="15">
      <c r="A4" s="32" t="s">
        <v>1</v>
      </c>
      <c r="B4" s="33" t="s">
        <v>6</v>
      </c>
      <c r="C4" s="33" t="s">
        <v>3</v>
      </c>
      <c r="D4" s="33" t="s">
        <v>4</v>
      </c>
      <c r="E4" s="33" t="s">
        <v>5</v>
      </c>
    </row>
    <row r="5" spans="1:5">
      <c r="A5" s="9"/>
      <c r="B5" s="310" t="s">
        <v>418</v>
      </c>
      <c r="C5" s="9"/>
      <c r="D5" s="9"/>
      <c r="E5" s="9">
        <v>25</v>
      </c>
    </row>
    <row r="6" spans="1:5">
      <c r="A6" s="21">
        <v>43315</v>
      </c>
      <c r="B6" s="429" t="s">
        <v>406</v>
      </c>
      <c r="C6" s="9">
        <v>3</v>
      </c>
      <c r="D6" s="9"/>
      <c r="E6" s="26">
        <f>E5+C6-D6</f>
        <v>28</v>
      </c>
    </row>
    <row r="7" spans="1:5">
      <c r="A7" s="9"/>
      <c r="B7" s="9"/>
      <c r="C7" s="9"/>
      <c r="D7" s="9"/>
      <c r="E7" s="9"/>
    </row>
    <row r="8" spans="1:5">
      <c r="A8" s="9"/>
      <c r="B8" s="9"/>
      <c r="C8" s="9"/>
      <c r="D8" s="9"/>
      <c r="E8" s="9"/>
    </row>
    <row r="9" spans="1:5">
      <c r="A9" s="9"/>
      <c r="B9" s="9"/>
      <c r="C9" s="9"/>
      <c r="D9" s="9"/>
      <c r="E9" s="9"/>
    </row>
    <row r="10" spans="1:5">
      <c r="A10" s="9"/>
      <c r="B10" s="9"/>
      <c r="C10" s="9"/>
      <c r="D10" s="9"/>
      <c r="E10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activeCell="D9" sqref="D9"/>
    </sheetView>
  </sheetViews>
  <sheetFormatPr baseColWidth="10" defaultColWidth="9" defaultRowHeight="14" x14ac:dyDescent="0"/>
  <cols>
    <col min="1" max="1" width="14.5" customWidth="1"/>
    <col min="2" max="2" width="24.5" customWidth="1"/>
  </cols>
  <sheetData>
    <row r="1" spans="1:5" ht="15">
      <c r="A1" s="18" t="s">
        <v>396</v>
      </c>
      <c r="B1" s="18"/>
      <c r="C1" s="18"/>
      <c r="D1" s="18"/>
      <c r="E1" s="18"/>
    </row>
    <row r="2" spans="1:5" ht="15">
      <c r="A2" s="19"/>
      <c r="B2" s="19"/>
      <c r="C2" s="19"/>
      <c r="D2" s="19"/>
      <c r="E2" s="19"/>
    </row>
    <row r="3" spans="1:5" ht="15">
      <c r="A3" s="20" t="s">
        <v>1</v>
      </c>
      <c r="B3" s="20" t="s">
        <v>6</v>
      </c>
      <c r="C3" s="20" t="s">
        <v>3</v>
      </c>
      <c r="D3" s="20" t="s">
        <v>4</v>
      </c>
      <c r="E3" s="20" t="s">
        <v>5</v>
      </c>
    </row>
    <row r="4" spans="1:5">
      <c r="A4" s="9"/>
      <c r="B4" s="310" t="s">
        <v>418</v>
      </c>
      <c r="C4" s="9"/>
      <c r="D4" s="9"/>
      <c r="E4" s="9">
        <v>4600</v>
      </c>
    </row>
    <row r="5" spans="1:5">
      <c r="A5" s="375" t="s">
        <v>586</v>
      </c>
      <c r="B5" s="375" t="s">
        <v>10</v>
      </c>
      <c r="C5" s="9">
        <v>1000</v>
      </c>
      <c r="D5" s="9"/>
      <c r="E5" s="9">
        <f>E4+C5-D5</f>
        <v>5600</v>
      </c>
    </row>
    <row r="6" spans="1:5">
      <c r="A6" s="608" t="s">
        <v>834</v>
      </c>
      <c r="B6" s="375" t="s">
        <v>10</v>
      </c>
      <c r="C6" s="9">
        <v>1000</v>
      </c>
      <c r="D6" s="9"/>
      <c r="E6" s="9">
        <f t="shared" ref="E6:E7" si="0">E5+C6-D6</f>
        <v>6600</v>
      </c>
    </row>
    <row r="7" spans="1:5">
      <c r="A7" s="608" t="s">
        <v>834</v>
      </c>
      <c r="B7" s="608" t="s">
        <v>836</v>
      </c>
      <c r="C7" s="9"/>
      <c r="D7" s="9">
        <v>1000</v>
      </c>
      <c r="E7" s="9">
        <f t="shared" si="0"/>
        <v>5600</v>
      </c>
    </row>
    <row r="8" spans="1:5">
      <c r="A8" s="42">
        <v>43195</v>
      </c>
      <c r="B8" s="9" t="s">
        <v>10</v>
      </c>
      <c r="C8" s="9"/>
      <c r="D8" s="9">
        <v>1000</v>
      </c>
      <c r="E8" s="9"/>
    </row>
    <row r="9" spans="1:5">
      <c r="A9" s="9"/>
      <c r="B9" s="9"/>
      <c r="C9" s="9"/>
      <c r="D9" s="9"/>
      <c r="E9" s="9"/>
    </row>
    <row r="10" spans="1:5">
      <c r="A10" s="9"/>
      <c r="B10" s="9"/>
      <c r="C10" s="9"/>
      <c r="D10" s="9"/>
      <c r="E10" s="9"/>
    </row>
    <row r="11" spans="1:5">
      <c r="A11" s="9"/>
      <c r="B11" s="9"/>
      <c r="C11" s="9"/>
      <c r="D11" s="9"/>
      <c r="E11" s="9"/>
    </row>
    <row r="12" spans="1:5">
      <c r="A12" s="9"/>
      <c r="B12" s="9"/>
      <c r="C12" s="9"/>
      <c r="D12" s="9"/>
      <c r="E12" s="9"/>
    </row>
    <row r="13" spans="1:5">
      <c r="A13" s="9"/>
      <c r="B13" s="9"/>
      <c r="C13" s="9"/>
      <c r="D13" s="9"/>
      <c r="E13" s="9"/>
    </row>
    <row r="14" spans="1:5">
      <c r="A14" s="9"/>
      <c r="B14" s="9"/>
      <c r="C14" s="9"/>
      <c r="D14" s="9"/>
      <c r="E14" s="9"/>
    </row>
    <row r="15" spans="1:5">
      <c r="A15" s="9"/>
      <c r="B15" s="9"/>
      <c r="C15" s="9"/>
      <c r="D15" s="9"/>
      <c r="E15" s="9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selection activeCell="B10" sqref="B10"/>
    </sheetView>
  </sheetViews>
  <sheetFormatPr baseColWidth="10" defaultColWidth="9" defaultRowHeight="14" x14ac:dyDescent="0"/>
  <cols>
    <col min="1" max="1" width="14.5" customWidth="1"/>
    <col min="2" max="2" width="24.5" customWidth="1"/>
  </cols>
  <sheetData>
    <row r="1" spans="1:5" ht="15">
      <c r="A1" s="18" t="s">
        <v>673</v>
      </c>
      <c r="B1" s="18"/>
      <c r="C1" s="18"/>
      <c r="D1" s="18"/>
      <c r="E1" s="18"/>
    </row>
    <row r="2" spans="1:5" ht="15">
      <c r="A2" s="19"/>
      <c r="B2" s="19"/>
      <c r="C2" s="19"/>
      <c r="D2" s="19"/>
      <c r="E2" s="19"/>
    </row>
    <row r="3" spans="1:5" ht="15">
      <c r="A3" s="20" t="s">
        <v>1</v>
      </c>
      <c r="B3" s="20" t="s">
        <v>6</v>
      </c>
      <c r="C3" s="20" t="s">
        <v>3</v>
      </c>
      <c r="D3" s="20" t="s">
        <v>4</v>
      </c>
      <c r="E3" s="20" t="s">
        <v>5</v>
      </c>
    </row>
    <row r="4" spans="1:5">
      <c r="A4" s="9"/>
      <c r="B4" s="310"/>
      <c r="C4" s="9"/>
      <c r="D4" s="9"/>
      <c r="E4" s="9"/>
    </row>
    <row r="5" spans="1:5">
      <c r="A5" s="21">
        <v>43253</v>
      </c>
      <c r="B5" s="9" t="s">
        <v>9</v>
      </c>
      <c r="C5" s="9">
        <v>310</v>
      </c>
      <c r="D5" s="9"/>
      <c r="E5" s="9"/>
    </row>
    <row r="6" spans="1:5">
      <c r="A6" s="21">
        <v>43375</v>
      </c>
      <c r="B6" s="422" t="s">
        <v>626</v>
      </c>
      <c r="C6" s="9">
        <v>310</v>
      </c>
      <c r="D6" s="9"/>
      <c r="E6" s="9"/>
    </row>
    <row r="7" spans="1:5">
      <c r="A7" s="457" t="s">
        <v>669</v>
      </c>
      <c r="B7" s="457" t="s">
        <v>674</v>
      </c>
      <c r="C7" s="9"/>
      <c r="D7" s="9">
        <v>600</v>
      </c>
      <c r="E7" s="9"/>
    </row>
    <row r="8" spans="1:5">
      <c r="A8" s="656" t="s">
        <v>733</v>
      </c>
      <c r="B8" s="656" t="s">
        <v>10</v>
      </c>
      <c r="C8" s="9">
        <v>600</v>
      </c>
      <c r="D8" s="9"/>
      <c r="E8" s="9"/>
    </row>
    <row r="9" spans="1:5">
      <c r="A9" s="9"/>
      <c r="B9" s="9"/>
      <c r="C9" s="9"/>
      <c r="D9" s="9"/>
      <c r="E9" s="9"/>
    </row>
    <row r="10" spans="1:5">
      <c r="A10" s="9"/>
      <c r="B10" s="9"/>
      <c r="C10" s="9"/>
      <c r="D10" s="9"/>
      <c r="E10" s="9"/>
    </row>
    <row r="11" spans="1:5">
      <c r="A11" s="9"/>
      <c r="B11" s="9"/>
      <c r="C11" s="9"/>
      <c r="D11" s="9"/>
      <c r="E11" s="9"/>
    </row>
    <row r="12" spans="1:5">
      <c r="A12" s="9"/>
      <c r="B12" s="9"/>
      <c r="C12" s="9"/>
      <c r="D12" s="9"/>
      <c r="E12" s="9"/>
    </row>
    <row r="13" spans="1:5">
      <c r="A13" s="9"/>
      <c r="B13" s="9"/>
      <c r="C13" s="9"/>
      <c r="D13" s="9"/>
      <c r="E13" s="9"/>
    </row>
    <row r="14" spans="1:5">
      <c r="A14" s="9"/>
      <c r="B14" s="9"/>
      <c r="C14" s="9"/>
      <c r="D14" s="9"/>
      <c r="E14" s="9"/>
    </row>
    <row r="15" spans="1:5">
      <c r="A15" s="9"/>
      <c r="B15" s="9"/>
      <c r="C15" s="9"/>
      <c r="D15" s="9"/>
      <c r="E15" s="9"/>
    </row>
    <row r="16" spans="1:5">
      <c r="A16" s="9"/>
      <c r="B16" s="9"/>
      <c r="C16" s="9"/>
      <c r="D16" s="9"/>
      <c r="E16" s="9"/>
    </row>
    <row r="17" spans="1:5">
      <c r="A17" s="9"/>
      <c r="B17" s="9"/>
      <c r="C17" s="9"/>
      <c r="D17" s="9"/>
      <c r="E17" s="9"/>
    </row>
    <row r="18" spans="1:5">
      <c r="A18" s="9"/>
      <c r="B18" s="9"/>
      <c r="C18" s="9"/>
      <c r="D18" s="9"/>
      <c r="E18" s="9"/>
    </row>
  </sheetData>
  <pageMargins left="0.69930555555555596" right="0.69930555555555596" top="0.75" bottom="0.75" header="0.3" footer="0.3"/>
  <pageSetup paperSize="9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>
      <selection activeCell="C7" sqref="C7"/>
    </sheetView>
  </sheetViews>
  <sheetFormatPr baseColWidth="10" defaultColWidth="9" defaultRowHeight="14" x14ac:dyDescent="0"/>
  <cols>
    <col min="1" max="1" width="12.5" style="1" customWidth="1"/>
    <col min="2" max="2" width="27.6640625" style="1" customWidth="1"/>
    <col min="3" max="5" width="9" style="1"/>
  </cols>
  <sheetData>
    <row r="1" spans="1:5">
      <c r="A1" s="2" t="s">
        <v>397</v>
      </c>
      <c r="B1" s="2"/>
      <c r="C1" s="2"/>
      <c r="D1" s="2"/>
      <c r="E1" s="2"/>
    </row>
    <row r="2" spans="1:5">
      <c r="A2" s="2"/>
      <c r="B2" s="3"/>
      <c r="C2" s="2"/>
      <c r="D2" s="2"/>
      <c r="E2" s="2"/>
    </row>
    <row r="3" spans="1:5">
      <c r="A3" s="4" t="s">
        <v>1</v>
      </c>
      <c r="B3" s="4" t="s">
        <v>6</v>
      </c>
      <c r="C3" s="4" t="s">
        <v>3</v>
      </c>
      <c r="D3" s="4" t="s">
        <v>4</v>
      </c>
      <c r="E3" s="4" t="s">
        <v>5</v>
      </c>
    </row>
    <row r="4" spans="1:5">
      <c r="A4" s="7"/>
      <c r="B4" s="310" t="s">
        <v>418</v>
      </c>
      <c r="C4" s="7"/>
      <c r="D4" s="7"/>
      <c r="E4" s="7">
        <v>737</v>
      </c>
    </row>
    <row r="5" spans="1:5">
      <c r="A5" s="664" t="s">
        <v>878</v>
      </c>
      <c r="B5" s="664" t="s">
        <v>880</v>
      </c>
      <c r="C5" s="7"/>
      <c r="D5" s="7"/>
      <c r="E5" s="7"/>
    </row>
    <row r="6" spans="1:5">
      <c r="A6" s="7"/>
      <c r="B6" s="664" t="s">
        <v>881</v>
      </c>
      <c r="C6" s="7">
        <v>25</v>
      </c>
      <c r="D6" s="7"/>
      <c r="E6" s="7"/>
    </row>
    <row r="7" spans="1:5">
      <c r="A7" s="7"/>
      <c r="B7" s="7"/>
      <c r="C7" s="7"/>
      <c r="D7" s="7"/>
      <c r="E7" s="7"/>
    </row>
    <row r="8" spans="1:5">
      <c r="A8" s="7"/>
      <c r="B8" s="7"/>
      <c r="C8" s="7"/>
      <c r="D8" s="7"/>
      <c r="E8" s="7"/>
    </row>
    <row r="9" spans="1:5">
      <c r="A9" s="7"/>
      <c r="B9" s="7"/>
      <c r="C9" s="7"/>
      <c r="D9" s="7"/>
      <c r="E9" s="7"/>
    </row>
    <row r="10" spans="1:5">
      <c r="A10" s="7"/>
      <c r="B10" s="7"/>
      <c r="C10" s="7"/>
      <c r="D10" s="7"/>
      <c r="E10" s="7"/>
    </row>
    <row r="11" spans="1:5">
      <c r="A11" s="7"/>
      <c r="B11" s="7"/>
      <c r="C11" s="7"/>
      <c r="D11" s="7"/>
      <c r="E11" s="7"/>
    </row>
    <row r="12" spans="1:5">
      <c r="A12" s="7"/>
      <c r="B12" s="7"/>
      <c r="C12" s="7"/>
      <c r="D12" s="7"/>
      <c r="E12" s="7"/>
    </row>
    <row r="13" spans="1:5">
      <c r="A13" s="7"/>
      <c r="B13" s="7"/>
      <c r="C13" s="7"/>
      <c r="D13" s="7"/>
      <c r="E13" s="7"/>
    </row>
    <row r="14" spans="1:5">
      <c r="A14" s="7"/>
      <c r="B14" s="7"/>
      <c r="C14" s="7"/>
      <c r="D14" s="7"/>
      <c r="E14" s="7"/>
    </row>
    <row r="15" spans="1:5">
      <c r="A15" s="7"/>
      <c r="B15" s="7"/>
      <c r="C15" s="7"/>
      <c r="D15" s="7"/>
      <c r="E15" s="7"/>
    </row>
    <row r="16" spans="1:5">
      <c r="A16" s="17"/>
      <c r="B16" s="17"/>
      <c r="C16" s="17"/>
      <c r="D16" s="17"/>
      <c r="E16" s="17"/>
    </row>
    <row r="18" spans="1:5">
      <c r="A18" s="2" t="s">
        <v>398</v>
      </c>
      <c r="B18" s="2"/>
    </row>
    <row r="20" spans="1:5">
      <c r="A20" s="4" t="s">
        <v>1</v>
      </c>
      <c r="B20" s="4" t="s">
        <v>6</v>
      </c>
      <c r="C20" s="4" t="s">
        <v>3</v>
      </c>
      <c r="D20" s="4" t="s">
        <v>4</v>
      </c>
      <c r="E20" s="4" t="s">
        <v>5</v>
      </c>
    </row>
    <row r="21" spans="1:5">
      <c r="A21" s="5"/>
      <c r="B21" s="310" t="s">
        <v>418</v>
      </c>
      <c r="C21" s="6"/>
      <c r="D21" s="6"/>
      <c r="E21" s="7">
        <v>0</v>
      </c>
    </row>
    <row r="22" spans="1:5">
      <c r="A22" s="7"/>
      <c r="B22" s="7"/>
      <c r="C22" s="7"/>
      <c r="D22" s="7"/>
      <c r="E22" s="7"/>
    </row>
    <row r="23" spans="1:5">
      <c r="A23" s="7"/>
      <c r="B23" s="7"/>
      <c r="C23" s="7"/>
      <c r="D23" s="7"/>
      <c r="E23" s="7"/>
    </row>
    <row r="24" spans="1:5">
      <c r="A24" s="7"/>
      <c r="B24" s="7"/>
      <c r="C24" s="7"/>
      <c r="D24" s="7"/>
      <c r="E24" s="7"/>
    </row>
    <row r="27" spans="1:5">
      <c r="A27" s="2" t="s">
        <v>765</v>
      </c>
    </row>
    <row r="29" spans="1:5">
      <c r="A29" s="4" t="s">
        <v>1</v>
      </c>
      <c r="B29" s="4" t="s">
        <v>6</v>
      </c>
      <c r="C29" s="4" t="s">
        <v>3</v>
      </c>
      <c r="D29" s="4" t="s">
        <v>4</v>
      </c>
      <c r="E29" s="4" t="s">
        <v>5</v>
      </c>
    </row>
    <row r="30" spans="1:5">
      <c r="A30" s="5"/>
      <c r="B30" s="310" t="s">
        <v>418</v>
      </c>
      <c r="C30" s="6">
        <v>50</v>
      </c>
      <c r="D30" s="6"/>
      <c r="E30" s="7">
        <v>50</v>
      </c>
    </row>
    <row r="31" spans="1:5">
      <c r="A31" s="7"/>
      <c r="B31" s="7"/>
      <c r="C31" s="7"/>
      <c r="D31" s="7"/>
      <c r="E31" s="7"/>
    </row>
    <row r="32" spans="1:5">
      <c r="A32" s="7"/>
      <c r="B32" s="7"/>
      <c r="C32" s="7"/>
      <c r="D32" s="7"/>
      <c r="E32" s="7"/>
    </row>
    <row r="33" spans="1:5">
      <c r="A33" s="7"/>
      <c r="B33" s="7"/>
      <c r="C33" s="7"/>
      <c r="D33" s="7"/>
      <c r="E33" s="7"/>
    </row>
  </sheetData>
  <pageMargins left="0.69930555555555596" right="0.69930555555555596" top="0.75" bottom="0.75" header="0.3" footer="0.3"/>
  <pageSetup paperSize="9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sqref="A1:E11"/>
    </sheetView>
  </sheetViews>
  <sheetFormatPr baseColWidth="10" defaultColWidth="9" defaultRowHeight="14" x14ac:dyDescent="0"/>
  <cols>
    <col min="1" max="1" width="12.5" style="1" customWidth="1"/>
    <col min="2" max="2" width="27.6640625" style="1" customWidth="1"/>
    <col min="3" max="5" width="9" style="1"/>
  </cols>
  <sheetData>
    <row r="1" spans="1:5">
      <c r="A1" s="2" t="s">
        <v>399</v>
      </c>
      <c r="B1" s="2"/>
      <c r="C1" s="2"/>
      <c r="D1" s="2"/>
      <c r="E1" s="2"/>
    </row>
    <row r="2" spans="1:5">
      <c r="A2" s="2"/>
      <c r="B2" s="3"/>
      <c r="C2" s="2"/>
      <c r="D2" s="2"/>
      <c r="E2" s="2"/>
    </row>
    <row r="3" spans="1:5">
      <c r="A3" s="4" t="s">
        <v>1</v>
      </c>
      <c r="B3" s="4" t="s">
        <v>6</v>
      </c>
      <c r="C3" s="4" t="s">
        <v>3</v>
      </c>
      <c r="D3" s="4" t="s">
        <v>4</v>
      </c>
      <c r="E3" s="4" t="s">
        <v>5</v>
      </c>
    </row>
    <row r="4" spans="1:5" ht="15">
      <c r="A4" s="8"/>
      <c r="B4" s="8" t="s">
        <v>418</v>
      </c>
      <c r="C4" s="6"/>
      <c r="D4" s="6"/>
      <c r="E4" s="7">
        <v>0</v>
      </c>
    </row>
    <row r="5" spans="1:5">
      <c r="A5" s="9"/>
      <c r="B5" s="9"/>
      <c r="C5" s="7"/>
      <c r="D5" s="7"/>
      <c r="E5" s="7"/>
    </row>
    <row r="6" spans="1:5">
      <c r="A6" s="9"/>
      <c r="B6" s="9"/>
      <c r="C6" s="7"/>
      <c r="D6" s="7"/>
      <c r="E6" s="7"/>
    </row>
    <row r="7" spans="1:5">
      <c r="A7" s="7"/>
      <c r="B7" s="7"/>
      <c r="C7" s="7"/>
      <c r="D7" s="7"/>
      <c r="E7" s="7"/>
    </row>
    <row r="8" spans="1:5">
      <c r="A8" s="7"/>
      <c r="B8" s="7"/>
      <c r="C8" s="7"/>
      <c r="D8" s="7"/>
      <c r="E8" s="7"/>
    </row>
    <row r="9" spans="1:5">
      <c r="A9" s="7"/>
      <c r="B9" s="7"/>
      <c r="C9" s="7"/>
      <c r="D9" s="7"/>
      <c r="E9" s="7"/>
    </row>
    <row r="10" spans="1:5">
      <c r="A10" s="7"/>
      <c r="B10" s="7"/>
      <c r="C10" s="7"/>
      <c r="D10" s="7"/>
      <c r="E10" s="7"/>
    </row>
    <row r="11" spans="1:5">
      <c r="A11" s="7"/>
      <c r="B11" s="7"/>
      <c r="C11" s="7"/>
      <c r="D11" s="7"/>
      <c r="E11" s="7"/>
    </row>
  </sheetData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sqref="A1:E3"/>
    </sheetView>
  </sheetViews>
  <sheetFormatPr baseColWidth="10" defaultColWidth="8.83203125" defaultRowHeight="14" x14ac:dyDescent="0"/>
  <cols>
    <col min="1" max="1" width="11.1640625" customWidth="1"/>
    <col min="2" max="2" width="16.1640625" customWidth="1"/>
  </cols>
  <sheetData>
    <row r="1" spans="1:5">
      <c r="A1" s="2" t="s">
        <v>652</v>
      </c>
      <c r="B1" s="2"/>
      <c r="C1" s="2"/>
      <c r="D1" s="2"/>
      <c r="E1" s="2"/>
    </row>
    <row r="2" spans="1:5">
      <c r="A2" s="2"/>
      <c r="B2" s="3"/>
      <c r="C2" s="2"/>
      <c r="D2" s="2"/>
      <c r="E2" s="2"/>
    </row>
    <row r="3" spans="1:5">
      <c r="A3" s="4" t="s">
        <v>1</v>
      </c>
      <c r="B3" s="4" t="s">
        <v>6</v>
      </c>
      <c r="C3" s="4" t="s">
        <v>3</v>
      </c>
      <c r="D3" s="4" t="s">
        <v>4</v>
      </c>
      <c r="E3" s="4" t="s">
        <v>5</v>
      </c>
    </row>
    <row r="4" spans="1:5">
      <c r="A4" s="444" t="s">
        <v>644</v>
      </c>
      <c r="B4" s="444" t="s">
        <v>653</v>
      </c>
      <c r="C4" s="7">
        <v>600</v>
      </c>
      <c r="D4" s="7"/>
      <c r="E4" s="7"/>
    </row>
    <row r="5" spans="1:5">
      <c r="A5" s="684" t="s">
        <v>898</v>
      </c>
      <c r="B5" s="444" t="s">
        <v>653</v>
      </c>
      <c r="C5" s="7">
        <v>20</v>
      </c>
      <c r="D5" s="7"/>
      <c r="E5" s="7"/>
    </row>
    <row r="6" spans="1:5">
      <c r="A6" s="7"/>
      <c r="B6" s="7"/>
      <c r="C6" s="7"/>
      <c r="D6" s="7"/>
      <c r="E6" s="7"/>
    </row>
    <row r="7" spans="1:5">
      <c r="A7" s="7"/>
      <c r="B7" s="7"/>
      <c r="C7" s="7"/>
      <c r="D7" s="7"/>
      <c r="E7" s="7"/>
    </row>
    <row r="8" spans="1:5">
      <c r="A8" s="7"/>
      <c r="B8" s="7"/>
      <c r="C8" s="7"/>
      <c r="D8" s="7"/>
      <c r="E8" s="7"/>
    </row>
    <row r="9" spans="1:5">
      <c r="A9" s="7"/>
      <c r="B9" s="7"/>
      <c r="C9" s="7"/>
      <c r="D9" s="7"/>
      <c r="E9" s="7"/>
    </row>
    <row r="10" spans="1:5">
      <c r="A10" s="7"/>
      <c r="B10" s="7"/>
      <c r="C10" s="7"/>
      <c r="D10" s="7"/>
      <c r="E10" s="7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A4" sqref="A4:B4"/>
    </sheetView>
  </sheetViews>
  <sheetFormatPr baseColWidth="10" defaultColWidth="8.83203125" defaultRowHeight="14" x14ac:dyDescent="0"/>
  <cols>
    <col min="1" max="1" width="10.6640625" customWidth="1"/>
    <col min="2" max="2" width="14.83203125" customWidth="1"/>
  </cols>
  <sheetData>
    <row r="1" spans="1:5">
      <c r="A1" s="2" t="s">
        <v>927</v>
      </c>
      <c r="B1" s="2"/>
      <c r="C1" s="2"/>
      <c r="D1" s="2"/>
      <c r="E1" s="2"/>
    </row>
    <row r="2" spans="1:5">
      <c r="A2" s="2"/>
      <c r="B2" s="3"/>
      <c r="C2" s="2"/>
      <c r="D2" s="2"/>
      <c r="E2" s="2"/>
    </row>
    <row r="3" spans="1:5">
      <c r="A3" s="4" t="s">
        <v>1</v>
      </c>
      <c r="B3" s="4" t="s">
        <v>6</v>
      </c>
      <c r="C3" s="4" t="s">
        <v>3</v>
      </c>
      <c r="D3" s="4" t="s">
        <v>4</v>
      </c>
      <c r="E3" s="4" t="s">
        <v>5</v>
      </c>
    </row>
    <row r="4" spans="1:5">
      <c r="A4" s="21">
        <v>43165</v>
      </c>
      <c r="B4" s="708" t="s">
        <v>928</v>
      </c>
      <c r="C4" s="9"/>
      <c r="D4" s="9">
        <v>105</v>
      </c>
      <c r="E4" s="9"/>
    </row>
    <row r="5" spans="1:5">
      <c r="A5" s="9"/>
      <c r="B5" s="9"/>
      <c r="C5" s="9"/>
      <c r="D5" s="9"/>
      <c r="E5" s="9"/>
    </row>
    <row r="6" spans="1:5">
      <c r="A6" s="9"/>
      <c r="B6" s="9"/>
      <c r="C6" s="9"/>
      <c r="D6" s="9"/>
      <c r="E6" s="9"/>
    </row>
    <row r="7" spans="1:5">
      <c r="A7" s="9"/>
      <c r="B7" s="9"/>
      <c r="C7" s="9"/>
      <c r="D7" s="9"/>
      <c r="E7" s="9"/>
    </row>
    <row r="8" spans="1:5">
      <c r="A8" s="9"/>
      <c r="B8" s="9"/>
      <c r="C8" s="9"/>
      <c r="D8" s="9"/>
      <c r="E8" s="9"/>
    </row>
    <row r="9" spans="1:5">
      <c r="A9" s="9"/>
      <c r="B9" s="9"/>
      <c r="C9" s="9"/>
      <c r="D9" s="9"/>
      <c r="E9" s="9"/>
    </row>
    <row r="10" spans="1:5">
      <c r="A10" s="9"/>
      <c r="B10" s="9"/>
      <c r="C10" s="9"/>
      <c r="D10" s="9"/>
      <c r="E10" s="9"/>
    </row>
    <row r="11" spans="1:5">
      <c r="A11" s="9"/>
      <c r="B11" s="9"/>
      <c r="C11" s="9"/>
      <c r="D11" s="9"/>
      <c r="E11" s="9"/>
    </row>
    <row r="12" spans="1:5">
      <c r="A12" s="9"/>
      <c r="B12" s="9"/>
      <c r="C12" s="9"/>
      <c r="D12" s="9"/>
      <c r="E12" s="9"/>
    </row>
    <row r="13" spans="1:5">
      <c r="A13" s="9"/>
      <c r="B13" s="9"/>
      <c r="C13" s="9"/>
      <c r="D13" s="9"/>
      <c r="E13" s="9"/>
    </row>
    <row r="14" spans="1:5">
      <c r="A14" s="9"/>
      <c r="B14" s="9"/>
      <c r="C14" s="9"/>
      <c r="D14" s="9"/>
      <c r="E14" s="9"/>
    </row>
    <row r="15" spans="1:5">
      <c r="A15" s="9"/>
      <c r="B15" s="9"/>
      <c r="C15" s="9"/>
      <c r="D15" s="9"/>
      <c r="E15" s="9"/>
    </row>
    <row r="16" spans="1:5">
      <c r="A16" s="9"/>
      <c r="B16" s="9"/>
      <c r="C16" s="9"/>
      <c r="D16" s="9"/>
      <c r="E16" s="9"/>
    </row>
    <row r="17" spans="1:5">
      <c r="A17" s="9"/>
      <c r="B17" s="9"/>
      <c r="C17" s="9"/>
      <c r="D17" s="9"/>
      <c r="E17" s="9"/>
    </row>
    <row r="18" spans="1:5">
      <c r="A18" s="9"/>
      <c r="B18" s="9"/>
      <c r="C18" s="9"/>
      <c r="D18" s="9"/>
      <c r="E18" s="9"/>
    </row>
    <row r="19" spans="1:5">
      <c r="A19" s="9"/>
      <c r="B19" s="9"/>
      <c r="C19" s="9"/>
      <c r="D19" s="9"/>
      <c r="E19" s="9"/>
    </row>
    <row r="20" spans="1:5">
      <c r="A20" s="9"/>
      <c r="B20" s="9"/>
      <c r="C20" s="9"/>
      <c r="D20" s="9"/>
      <c r="E20" s="9"/>
    </row>
    <row r="21" spans="1:5">
      <c r="A21" s="9"/>
      <c r="B21" s="9"/>
      <c r="C21" s="9"/>
      <c r="D21" s="9"/>
      <c r="E21" s="9"/>
    </row>
    <row r="22" spans="1:5">
      <c r="A22" s="9"/>
      <c r="B22" s="9"/>
      <c r="C22" s="9"/>
      <c r="D22" s="9"/>
      <c r="E22" s="9"/>
    </row>
    <row r="23" spans="1:5">
      <c r="A23" s="9"/>
      <c r="B23" s="9"/>
      <c r="C23" s="9"/>
      <c r="D23" s="9"/>
      <c r="E23" s="9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262</vt:i4>
      </vt:variant>
    </vt:vector>
  </HeadingPairs>
  <TitlesOfParts>
    <vt:vector size="262" baseType="lpstr">
      <vt:lpstr>MF 190(DTF101A)</vt:lpstr>
      <vt:lpstr>MF170(DTF101)</vt:lpstr>
      <vt:lpstr>MF150</vt:lpstr>
      <vt:lpstr>LD120</vt:lpstr>
      <vt:lpstr>LD90(STF90)</vt:lpstr>
      <vt:lpstr>LD50</vt:lpstr>
      <vt:lpstr>CB220(301A)</vt:lpstr>
      <vt:lpstr>CB193</vt:lpstr>
      <vt:lpstr>CB185</vt:lpstr>
      <vt:lpstr>CB172(173)</vt:lpstr>
      <vt:lpstr>CB 205</vt:lpstr>
      <vt:lpstr>CB136</vt:lpstr>
      <vt:lpstr>JOIN PIN</vt:lpstr>
      <vt:lpstr>JB 60</vt:lpstr>
      <vt:lpstr>UHEAD 60</vt:lpstr>
      <vt:lpstr>JB40</vt:lpstr>
      <vt:lpstr>UH40</vt:lpstr>
      <vt:lpstr>TIANG.TANGGA</vt:lpstr>
      <vt:lpstr>STAIR</vt:lpstr>
      <vt:lpstr>CAT WALK</vt:lpstr>
      <vt:lpstr>PIPA SUPORT</vt:lpstr>
      <vt:lpstr>SWIVEL CLAMP</vt:lpstr>
      <vt:lpstr>PIPE 1 M</vt:lpstr>
      <vt:lpstr>PIPE 2 M</vt:lpstr>
      <vt:lpstr>PIPE 3 M</vt:lpstr>
      <vt:lpstr>PIPE 4 M</vt:lpstr>
      <vt:lpstr>PIPE 5 M</vt:lpstr>
      <vt:lpstr>PIPE 6 M</vt:lpstr>
      <vt:lpstr>HB</vt:lpstr>
      <vt:lpstr>RODA</vt:lpstr>
      <vt:lpstr>UH 85</vt:lpstr>
      <vt:lpstr>JB PCH 85CM</vt:lpstr>
      <vt:lpstr>JB 55CM</vt:lpstr>
      <vt:lpstr>BODY HARNESS</vt:lpstr>
      <vt:lpstr>PIPA PROF SAPOT</vt:lpstr>
      <vt:lpstr>KSB TIE YOKE</vt:lpstr>
      <vt:lpstr>WINGNUT</vt:lpstr>
      <vt:lpstr>TIE ROD</vt:lpstr>
      <vt:lpstr>TIE ROD 1 M</vt:lpstr>
      <vt:lpstr>TIE ROD 1.5</vt:lpstr>
      <vt:lpstr>TIE ROD 70CM</vt:lpstr>
      <vt:lpstr>TIE ROD 20CM</vt:lpstr>
      <vt:lpstr>TIE ROD 30</vt:lpstr>
      <vt:lpstr>TIE ROD 40</vt:lpstr>
      <vt:lpstr>TIE ROD 50</vt:lpstr>
      <vt:lpstr>TIE ROD 60</vt:lpstr>
      <vt:lpstr>TIE ROD 80</vt:lpstr>
      <vt:lpstr>TIE ROD 120</vt:lpstr>
      <vt:lpstr>TIE ROD 15X17X130</vt:lpstr>
      <vt:lpstr>TIE ROD 15X17X160</vt:lpstr>
      <vt:lpstr>TIE ROD 15X17X140</vt:lpstr>
      <vt:lpstr>TIE ROD 15X17X190</vt:lpstr>
      <vt:lpstr>HOLLOW40X10X3</vt:lpstr>
      <vt:lpstr>HOLLOW40X10X6</vt:lpstr>
      <vt:lpstr>HOLLOW60X60X3.5</vt:lpstr>
      <vt:lpstr>HOLLOW40X80X1</vt:lpstr>
      <vt:lpstr>HOLLOW40X80X3</vt:lpstr>
      <vt:lpstr>HOLLOW40X80X1.5</vt:lpstr>
      <vt:lpstr>HOLLOW40X80X2.5</vt:lpstr>
      <vt:lpstr>HOLLOW 50X50X6</vt:lpstr>
      <vt:lpstr>HOLLOW 50X50X2</vt:lpstr>
      <vt:lpstr>HOLLOW 50X50X2.1</vt:lpstr>
      <vt:lpstr>HOLLOW 50X50X3</vt:lpstr>
      <vt:lpstr>HOLLOW 50X50X3.5</vt:lpstr>
      <vt:lpstr>HOLLOW 5X5X4</vt:lpstr>
      <vt:lpstr>HOLLOW 50X50X2.5</vt:lpstr>
      <vt:lpstr>HOLLO 50X50X1.8</vt:lpstr>
      <vt:lpstr>HOLLOW 50X50X1.5</vt:lpstr>
      <vt:lpstr>HOLLOW 50X50X1</vt:lpstr>
      <vt:lpstr>HOLLOW 50X50X5</vt:lpstr>
      <vt:lpstr>HOLLOW 4X6X8</vt:lpstr>
      <vt:lpstr>HOLLOW 40X60X9</vt:lpstr>
      <vt:lpstr>HOLLOW 40X60X7</vt:lpstr>
      <vt:lpstr>HOLLOW 40X60X7.7</vt:lpstr>
      <vt:lpstr>HOLLOW 40X60X6</vt:lpstr>
      <vt:lpstr>HOLLOW 40X60X5</vt:lpstr>
      <vt:lpstr>HOLLOW 40X60X4</vt:lpstr>
      <vt:lpstr>HOLLOW 40X60X2.5</vt:lpstr>
      <vt:lpstr>HOLLOW 40X60X2</vt:lpstr>
      <vt:lpstr>HOLLOW 40X60X2.3</vt:lpstr>
      <vt:lpstr>HOLLOW40X60X3</vt:lpstr>
      <vt:lpstr>HOLLOW40X60X3.5</vt:lpstr>
      <vt:lpstr>HOLLO40X60X1</vt:lpstr>
      <vt:lpstr>HOLLOW 40X60X120</vt:lpstr>
      <vt:lpstr>HOLOW 40X60X130</vt:lpstr>
      <vt:lpstr>HOLLOW 40X60X170</vt:lpstr>
      <vt:lpstr>HOLLOW 40X60X115</vt:lpstr>
      <vt:lpstr>HOLLOW40X60X1.5</vt:lpstr>
      <vt:lpstr>RANGKA HOLLO 40X60</vt:lpstr>
      <vt:lpstr>HOLLOW 50x10x3</vt:lpstr>
      <vt:lpstr>HOLLO 50.10.2,5</vt:lpstr>
      <vt:lpstr>HOLLO 50X10X2</vt:lpstr>
      <vt:lpstr>HOLLOW5X10X1.5</vt:lpstr>
      <vt:lpstr>HOLLOW5X10X1</vt:lpstr>
      <vt:lpstr>HOLLOW5X10X4DD</vt:lpstr>
      <vt:lpstr>HOLLO5X10X4</vt:lpstr>
      <vt:lpstr>HOLLO5X10X6</vt:lpstr>
      <vt:lpstr>VERTICAL STANDAR 2,5M</vt:lpstr>
      <vt:lpstr>VERTICAL STANDART 2 M</vt:lpstr>
      <vt:lpstr>VERTICAL STAND 0.5M-50CM</vt:lpstr>
      <vt:lpstr>VERTICAL STAND. 1M</vt:lpstr>
      <vt:lpstr>VERTICAL STAND 1.5M</vt:lpstr>
      <vt:lpstr>LEDGEAR 1829</vt:lpstr>
      <vt:lpstr>LEDGER 1524</vt:lpstr>
      <vt:lpstr>LEDGER 1219</vt:lpstr>
      <vt:lpstr>LEDGER 0915M</vt:lpstr>
      <vt:lpstr>SIKU 40-4</vt:lpstr>
      <vt:lpstr>SBB</vt:lpstr>
      <vt:lpstr>SIKU-SBB 55X50</vt:lpstr>
      <vt:lpstr>SBB-55X55</vt:lpstr>
      <vt:lpstr>SIKU-SBB 50X50</vt:lpstr>
      <vt:lpstr>SIKU-SBB 40X40X3</vt:lpstr>
      <vt:lpstr>SIKU-SBB 40X40X6</vt:lpstr>
      <vt:lpstr>SIKU-SBB45X50</vt:lpstr>
      <vt:lpstr>SBB-60X55</vt:lpstr>
      <vt:lpstr>SIKU-SBB 60X65</vt:lpstr>
      <vt:lpstr>SIKU-SBB 60X60</vt:lpstr>
      <vt:lpstr>SIKU-SBB 30X30</vt:lpstr>
      <vt:lpstr>SIKU-SBB 35X35</vt:lpstr>
      <vt:lpstr>SIKU-SBB 30X35</vt:lpstr>
      <vt:lpstr>SIKU-SBB 45X45</vt:lpstr>
      <vt:lpstr>SBB.70X50</vt:lpstr>
      <vt:lpstr>SIKU-SBB 70X70</vt:lpstr>
      <vt:lpstr>SIKU-SBB75X75</vt:lpstr>
      <vt:lpstr>SBB-40X50</vt:lpstr>
      <vt:lpstr>SIKU-SBB 40X45</vt:lpstr>
      <vt:lpstr>TIE BAR 1M</vt:lpstr>
      <vt:lpstr>TIE BAR 1.5M</vt:lpstr>
      <vt:lpstr>TIE BAR 1.2M</vt:lpstr>
      <vt:lpstr>TIE BAR ASSEMBLY 40</vt:lpstr>
      <vt:lpstr>TIE BAR 90</vt:lpstr>
      <vt:lpstr>TIE BAR 60+WING NUT</vt:lpstr>
      <vt:lpstr>TIE BAR 60</vt:lpstr>
      <vt:lpstr>TIE BAR 50</vt:lpstr>
      <vt:lpstr>TIE BAR 80</vt:lpstr>
      <vt:lpstr>TIE BAR 70</vt:lpstr>
      <vt:lpstr>TIE BAR 30</vt:lpstr>
      <vt:lpstr>TRIGER BRACE 2.75</vt:lpstr>
      <vt:lpstr>U-PLATE PCH 8MM</vt:lpstr>
      <vt:lpstr>UNP80X600</vt:lpstr>
      <vt:lpstr>UNP100-600CM</vt:lpstr>
      <vt:lpstr>D.P COUPLER</vt:lpstr>
      <vt:lpstr>VERTICAL BEAM</vt:lpstr>
      <vt:lpstr>BRACKET PERYMETER</vt:lpstr>
      <vt:lpstr>CANTILEVER 0.915</vt:lpstr>
      <vt:lpstr>SURI-SURI 40.60.1.5</vt:lpstr>
      <vt:lpstr>SURI-SURI40.60.2</vt:lpstr>
      <vt:lpstr>SURI-SURI 50X10X1.5</vt:lpstr>
      <vt:lpstr>SURI-SURI 50x10x2M</vt:lpstr>
      <vt:lpstr>SURI"2KAYU</vt:lpstr>
      <vt:lpstr>SURI-SURI KAYU 1.5M</vt:lpstr>
      <vt:lpstr>PRIMER BEAM 2M</vt:lpstr>
      <vt:lpstr>PRIMER BEAM 3 M</vt:lpstr>
      <vt:lpstr>PHENOLIC 15X4X8</vt:lpstr>
      <vt:lpstr>BAUT L+MUR </vt:lpstr>
      <vt:lpstr>BAUT </vt:lpstr>
      <vt:lpstr>BAUT+MUR</vt:lpstr>
      <vt:lpstr>WASHER</vt:lpstr>
      <vt:lpstr>angkur+mur+washer</vt:lpstr>
      <vt:lpstr>ADJUST BEAM BRASE 1</vt:lpstr>
      <vt:lpstr>ADJUSTABLE 2</vt:lpstr>
      <vt:lpstr>ADJUST BEAM BRASE 3</vt:lpstr>
      <vt:lpstr>STILL WALLER 122</vt:lpstr>
      <vt:lpstr>STILL WALLER 5</vt:lpstr>
      <vt:lpstr>STILL WALLER 3</vt:lpstr>
      <vt:lpstr>STILL WALLER 356</vt:lpstr>
      <vt:lpstr>STILL WALLER 478</vt:lpstr>
      <vt:lpstr>STILL WALLER 173</vt:lpstr>
      <vt:lpstr>STIIL WALER 174</vt:lpstr>
      <vt:lpstr>STILL WALLER 117</vt:lpstr>
      <vt:lpstr>STILL WALLER 234</vt:lpstr>
      <vt:lpstr>STIIL WALLER 235</vt:lpstr>
      <vt:lpstr>STILL WALLER 100</vt:lpstr>
      <vt:lpstr>CUTTING W.14"</vt:lpstr>
      <vt:lpstr>CW.700X1400</vt:lpstr>
      <vt:lpstr>CW.67X172</vt:lpstr>
      <vt:lpstr>C.W.650.700</vt:lpstr>
      <vt:lpstr>CW.800X1100</vt:lpstr>
      <vt:lpstr>COLOM WALLER 80X80</vt:lpstr>
      <vt:lpstr>C.W.170X80</vt:lpstr>
      <vt:lpstr>C.W.70X100</vt:lpstr>
      <vt:lpstr>C.W.700X1755</vt:lpstr>
      <vt:lpstr>CW 750X1755</vt:lpstr>
      <vt:lpstr>CW.500X700</vt:lpstr>
      <vt:lpstr>C.W.70X55</vt:lpstr>
      <vt:lpstr>C.W.75X150</vt:lpstr>
      <vt:lpstr>C.W.70X150</vt:lpstr>
      <vt:lpstr>C.W.750X220</vt:lpstr>
      <vt:lpstr>CW.70X220</vt:lpstr>
      <vt:lpstr>CW.70X120</vt:lpstr>
      <vt:lpstr>COLOM WALLER 700X700</vt:lpstr>
      <vt:lpstr>COLUMN WALLER 700X1300</vt:lpstr>
      <vt:lpstr>COLUM WALLER 750.1000</vt:lpstr>
      <vt:lpstr>CW 750X1700</vt:lpstr>
      <vt:lpstr>COLUMN WALLER 700X1800</vt:lpstr>
      <vt:lpstr>CW 70.63</vt:lpstr>
      <vt:lpstr>CW.700X920</vt:lpstr>
      <vt:lpstr>CW.70X90</vt:lpstr>
      <vt:lpstr>CW 63 X 63</vt:lpstr>
      <vt:lpstr>COLOM WELLER 60X60</vt:lpstr>
      <vt:lpstr>COLOM WELER 50X50</vt:lpstr>
      <vt:lpstr>C.W.900.1200</vt:lpstr>
      <vt:lpstr>C.W 90X110</vt:lpstr>
      <vt:lpstr>COLOUM WALLER 90X90</vt:lpstr>
      <vt:lpstr>COLOM WELLER 70X375</vt:lpstr>
      <vt:lpstr>CW 70X345</vt:lpstr>
      <vt:lpstr>COLOUM WALLER 1100X1100</vt:lpstr>
      <vt:lpstr>COLOM WALLER 1000X1000</vt:lpstr>
      <vt:lpstr>C.W.100X55</vt:lpstr>
      <vt:lpstr>C.W 1000.650</vt:lpstr>
      <vt:lpstr>C.W.108.80</vt:lpstr>
      <vt:lpstr>C.W.1000.800</vt:lpstr>
      <vt:lpstr>C.W.600.900</vt:lpstr>
      <vt:lpstr>C.W.150.80</vt:lpstr>
      <vt:lpstr>C.W.1200.800</vt:lpstr>
      <vt:lpstr>CW.400X800</vt:lpstr>
      <vt:lpstr>C.W40X20</vt:lpstr>
      <vt:lpstr>CW.400X400</vt:lpstr>
      <vt:lpstr>COLOUM WALLER 40X100</vt:lpstr>
      <vt:lpstr>COLOUM WALLER 40X150</vt:lpstr>
      <vt:lpstr>COLOUM WELLER</vt:lpstr>
      <vt:lpstr>CW.700X1100</vt:lpstr>
      <vt:lpstr>V.W.Z.117</vt:lpstr>
      <vt:lpstr>V.W.L.117</vt:lpstr>
      <vt:lpstr>V.W.117.36</vt:lpstr>
      <vt:lpstr>TIE YORK</vt:lpstr>
      <vt:lpstr>WEDGE HP</vt:lpstr>
      <vt:lpstr>WADGE K</vt:lpstr>
      <vt:lpstr>WEDGE KZ</vt:lpstr>
      <vt:lpstr>BAJILEADGEAR</vt:lpstr>
      <vt:lpstr>BASE-PALTE</vt:lpstr>
      <vt:lpstr>COUNER COUPLING</vt:lpstr>
      <vt:lpstr>COUNER COUPLING 630 X 630</vt:lpstr>
      <vt:lpstr>COUNER COUPLING 65X65</vt:lpstr>
      <vt:lpstr>C.COUP.1M</vt:lpstr>
      <vt:lpstr>COUPLING 1.5M</vt:lpstr>
      <vt:lpstr>C.COUP.750X1700</vt:lpstr>
      <vt:lpstr>CNP 75X35 161.25</vt:lpstr>
      <vt:lpstr>CNP125X50X32X400</vt:lpstr>
      <vt:lpstr>CNP125X3500</vt:lpstr>
      <vt:lpstr>COLOUM MN WILLING</vt:lpstr>
      <vt:lpstr>STILL COUPLING 1 M</vt:lpstr>
      <vt:lpstr>COUPLING ELEMENT </vt:lpstr>
      <vt:lpstr>BESI DRAT 0.2CM</vt:lpstr>
      <vt:lpstr>BOLT+NUT12X200</vt:lpstr>
      <vt:lpstr>BOLT+NUT12X70</vt:lpstr>
      <vt:lpstr>PHENOLIC18X4X8</vt:lpstr>
      <vt:lpstr>Kewel (clamp beam)</vt:lpstr>
      <vt:lpstr>SCAFFOLJECK</vt:lpstr>
      <vt:lpstr>FORM TIE D-300MM</vt:lpstr>
      <vt:lpstr>NUT 12</vt:lpstr>
      <vt:lpstr>PLASTIC CONE 12X40</vt:lpstr>
      <vt:lpstr>ULTRA RING</vt:lpstr>
      <vt:lpstr>SEPARATOR B 12-300MM</vt:lpstr>
      <vt:lpstr>STAIR COLOM</vt:lpstr>
      <vt:lpstr>CATWALK COLOM</vt:lpstr>
      <vt:lpstr>LOCK PEN</vt:lpstr>
      <vt:lpstr>MUR JACK.32.d</vt:lpstr>
      <vt:lpstr>BESI SIKU 6-3 M</vt:lpstr>
      <vt:lpstr>PAPANASHIBA</vt:lpstr>
      <vt:lpstr>HANDLE</vt:lpstr>
      <vt:lpstr>KALENG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Bryan</cp:lastModifiedBy>
  <cp:lastPrinted>2018-05-16T03:04:11Z</cp:lastPrinted>
  <dcterms:created xsi:type="dcterms:W3CDTF">2016-01-06T09:27:00Z</dcterms:created>
  <dcterms:modified xsi:type="dcterms:W3CDTF">2018-06-07T17:11:35Z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1033-10.2.0.5934</vt:lpwstr>
  </property>
</Properties>
</file>