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s/Desktop/PPA DATA 2024/"/>
    </mc:Choice>
  </mc:AlternateContent>
  <xr:revisionPtr revIDLastSave="0" documentId="13_ncr:1_{A184BC7C-912A-7442-B899-914A51833B57}" xr6:coauthVersionLast="36" xr6:coauthVersionMax="36" xr10:uidLastSave="{00000000-0000-0000-0000-000000000000}"/>
  <bookViews>
    <workbookView xWindow="5380" yWindow="460" windowWidth="12640" windowHeight="13300" firstSheet="80" activeTab="84" xr2:uid="{B34BB438-2016-AC4E-BCD0-2C61572E686F}"/>
  </bookViews>
  <sheets>
    <sheet name="MF 190" sheetId="1" r:id="rId1"/>
    <sheet name="MF 170" sheetId="2" r:id="rId2"/>
    <sheet name="MF 150" sheetId="3" r:id="rId3"/>
    <sheet name="LF 120" sheetId="4" r:id="rId4"/>
    <sheet name="LF 90" sheetId="5" r:id="rId5"/>
    <sheet name="LF 50" sheetId="6" r:id="rId6"/>
    <sheet name="CB 220" sheetId="7" r:id="rId7"/>
    <sheet name="CB 205" sheetId="8" r:id="rId8"/>
    <sheet name="CB 193" sheetId="9" r:id="rId9"/>
    <sheet name="CB 185" sheetId="16" r:id="rId10"/>
    <sheet name="CB 172" sheetId="10" r:id="rId11"/>
    <sheet name="CB 136" sheetId="11" r:id="rId12"/>
    <sheet name="JB 60" sheetId="12" r:id="rId13"/>
    <sheet name="UH 60" sheetId="13" r:id="rId14"/>
    <sheet name="JB 40" sheetId="27" r:id="rId15"/>
    <sheet name="UH 40" sheetId="28" r:id="rId16"/>
    <sheet name="JB 85 PCH" sheetId="14" r:id="rId17"/>
    <sheet name="UHEAD 85" sheetId="88" r:id="rId18"/>
    <sheet name="UH 40 PCH" sheetId="89" r:id="rId19"/>
    <sheet name="JB 55 PCH" sheetId="15" r:id="rId20"/>
    <sheet name="UH 55 PCH" sheetId="17" r:id="rId21"/>
    <sheet name="JB 60 PCH" sheetId="18" r:id="rId22"/>
    <sheet name="UH 60 PCH" sheetId="19" r:id="rId23"/>
    <sheet name="SWIVEL CLAMP" sheetId="20" r:id="rId24"/>
    <sheet name="FIXED CLAMP" sheetId="21" r:id="rId25"/>
    <sheet name="BEAM CLAMP" sheetId="22" r:id="rId26"/>
    <sheet name="JOINPIN" sheetId="23" r:id="rId27"/>
    <sheet name="CATWALK" sheetId="24" r:id="rId28"/>
    <sheet name="ASIBA 1.6M" sheetId="25" r:id="rId29"/>
    <sheet name="ASIBA 2 M" sheetId="26" r:id="rId30"/>
    <sheet name="TANGGA 170" sheetId="29" r:id="rId31"/>
    <sheet name="TANGGA 190" sheetId="30" r:id="rId32"/>
    <sheet name="PIPA 6" sheetId="31" r:id="rId33"/>
    <sheet name="PIPA 4" sheetId="34" r:id="rId34"/>
    <sheet name="PIPA 3.75" sheetId="35" r:id="rId35"/>
    <sheet name="PIPA 3" sheetId="36" r:id="rId36"/>
    <sheet name="PIPA 2" sheetId="37" r:id="rId37"/>
    <sheet name="PIPA 1" sheetId="93" r:id="rId38"/>
    <sheet name="PIPE SUPPORT" sheetId="38" r:id="rId39"/>
    <sheet name="RODA" sheetId="40" r:id="rId40"/>
    <sheet name="TANGGA PCH" sheetId="41" r:id="rId41"/>
    <sheet name="RAILING PCH" sheetId="42" r:id="rId42"/>
    <sheet name="LEDGER 0.6 RL" sheetId="47" r:id="rId43"/>
    <sheet name="LEDGER 0.9 RL" sheetId="43" r:id="rId44"/>
    <sheet name="LEDGER 1.2 RL" sheetId="44" r:id="rId45"/>
    <sheet name="LEDGER 1.8 RL" sheetId="94" r:id="rId46"/>
    <sheet name="VERTICAL 2 RL" sheetId="45" r:id="rId47"/>
    <sheet name="JOINER" sheetId="115" r:id="rId48"/>
    <sheet name="LEDGER 0.5 PCH" sheetId="87" r:id="rId49"/>
    <sheet name="LEDGER 0.6 PCH" sheetId="46" r:id="rId50"/>
    <sheet name="LEDGER 0.9 PCH" sheetId="39" r:id="rId51"/>
    <sheet name="LEDGER 1.2 PCH" sheetId="48" r:id="rId52"/>
    <sheet name="LEDGER 1.5 PCH" sheetId="49" r:id="rId53"/>
    <sheet name="LEDGER 1.8 PCH" sheetId="32" r:id="rId54"/>
    <sheet name="VERTICAL 0.5 PCH" sheetId="50" r:id="rId55"/>
    <sheet name="VERTICAL 1 PCH" sheetId="51" r:id="rId56"/>
    <sheet name="VERTICAL 1.5 PCH" sheetId="52" r:id="rId57"/>
    <sheet name="VERTICAL 2 PCH" sheetId="53" r:id="rId58"/>
    <sheet name="TIEROD 0.6M" sheetId="95" r:id="rId59"/>
    <sheet name="TIEROD 1 M" sheetId="57" r:id="rId60"/>
    <sheet name="TIEROD 1.2 M" sheetId="103" r:id="rId61"/>
    <sheet name="TIEROD 1.5 M" sheetId="58" r:id="rId62"/>
    <sheet name="TIEROD 2 M" sheetId="85" r:id="rId63"/>
    <sheet name="TIEBAR 40" sheetId="59" r:id="rId64"/>
    <sheet name="TIEBAR 50" sheetId="54" r:id="rId65"/>
    <sheet name="TIEBAR 60" sheetId="55" r:id="rId66"/>
    <sheet name="TIEBAR 70" sheetId="60" r:id="rId67"/>
    <sheet name="TIEBAR 80" sheetId="61" r:id="rId68"/>
    <sheet name="TIEBAR 100" sheetId="65" r:id="rId69"/>
    <sheet name="WINGNUT" sheetId="62" r:id="rId70"/>
    <sheet name="HORRY BEAM" sheetId="63" r:id="rId71"/>
    <sheet name="H4X4X6" sheetId="104" r:id="rId72"/>
    <sheet name="H 5X5X1.2" sheetId="66" r:id="rId73"/>
    <sheet name="H 5X5X1.5" sheetId="67" r:id="rId74"/>
    <sheet name="H 5X5X2" sheetId="68" r:id="rId75"/>
    <sheet name="H 5X5X2.5" sheetId="64" r:id="rId76"/>
    <sheet name="H 5X5X3" sheetId="56" r:id="rId77"/>
    <sheet name="H 5X5X6" sheetId="33" r:id="rId78"/>
    <sheet name="H 4X6X1.25" sheetId="69" r:id="rId79"/>
    <sheet name="H 4X6X1.5" sheetId="70" r:id="rId80"/>
    <sheet name="H 4X6X2" sheetId="71" r:id="rId81"/>
    <sheet name="H 4X6X2.5" sheetId="72" r:id="rId82"/>
    <sheet name="H 4X6X3" sheetId="75" r:id="rId83"/>
    <sheet name="H 4X6X3.5" sheetId="76" r:id="rId84"/>
    <sheet name="H 4X6X4" sheetId="77" r:id="rId85"/>
    <sheet name="H 4X6X6" sheetId="78" r:id="rId86"/>
    <sheet name="H 5X10X1.5" sheetId="73" r:id="rId87"/>
    <sheet name="H 5X10X2" sheetId="86" r:id="rId88"/>
    <sheet name="H 5X10X2.5" sheetId="112" r:id="rId89"/>
    <sheet name="H 5X10X3" sheetId="79" r:id="rId90"/>
    <sheet name="H 5X10X4" sheetId="80" r:id="rId91"/>
    <sheet name="SURI SURI 4X6X1" sheetId="114" r:id="rId92"/>
    <sheet name="SURI SURI 4X6X1.5" sheetId="81" r:id="rId93"/>
    <sheet name="SURI SURI 4X6X2" sheetId="82" r:id="rId94"/>
    <sheet name="SURI SURI 5X10X1.5" sheetId="83" r:id="rId95"/>
    <sheet name="SURI SURI 5X10X2" sheetId="84" r:id="rId96"/>
    <sheet name="KAWEL" sheetId="74" r:id="rId97"/>
    <sheet name="SIKU 30X35" sheetId="102" r:id="rId98"/>
    <sheet name="SIKU 35X35" sheetId="90" r:id="rId99"/>
    <sheet name="SIKU 40X40" sheetId="110" r:id="rId100"/>
    <sheet name="SIKU 40X45" sheetId="101" r:id="rId101"/>
    <sheet name="SIKU 45X45" sheetId="111" r:id="rId102"/>
    <sheet name="SIKU 45X 50" sheetId="116" r:id="rId103"/>
    <sheet name="SIKU 50X50" sheetId="96" r:id="rId104"/>
    <sheet name="SIKU 60X60" sheetId="97" r:id="rId105"/>
    <sheet name="PUSH PULL 1M" sheetId="98" r:id="rId106"/>
    <sheet name="PUSH PULL 2M" sheetId="99" r:id="rId107"/>
    <sheet name="PUSH PULL 3" sheetId="113" r:id="rId108"/>
    <sheet name="SW 1170" sheetId="105" r:id="rId109"/>
    <sheet name="SW 1730" sheetId="106" r:id="rId110"/>
    <sheet name="SW 2340" sheetId="107" r:id="rId111"/>
    <sheet name="SW 3560" sheetId="100" r:id="rId112"/>
    <sheet name="SW 4680" sheetId="108" r:id="rId113"/>
    <sheet name="COUPLING 1M" sheetId="109" r:id="rId114"/>
    <sheet name="CNP 125X3.5 M" sheetId="91" r:id="rId115"/>
    <sheet name="Sheet3" sheetId="92" r:id="rId11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51" l="1"/>
  <c r="E20" i="51" s="1"/>
  <c r="E21" i="51" s="1"/>
  <c r="E22" i="51" s="1"/>
  <c r="E23" i="51" s="1"/>
  <c r="E24" i="51" s="1"/>
  <c r="E25" i="51" s="1"/>
  <c r="E26" i="51" s="1"/>
  <c r="E18" i="51"/>
  <c r="E28" i="36"/>
  <c r="E29" i="36" s="1"/>
  <c r="E30" i="36" s="1"/>
  <c r="E31" i="36" s="1"/>
  <c r="E32" i="36" s="1"/>
  <c r="E33" i="36" s="1"/>
  <c r="E35" i="36" s="1"/>
  <c r="E36" i="36" s="1"/>
  <c r="E37" i="36" s="1"/>
  <c r="E27" i="36"/>
  <c r="E123" i="12" l="1"/>
  <c r="E124" i="12" s="1"/>
  <c r="E125" i="12" s="1"/>
  <c r="E126" i="12" s="1"/>
  <c r="E127" i="12" s="1"/>
  <c r="E128" i="12" s="1"/>
  <c r="E129" i="12" s="1"/>
  <c r="E131" i="12" s="1"/>
  <c r="E132" i="12" s="1"/>
  <c r="E133" i="12" s="1"/>
  <c r="E134" i="12" s="1"/>
  <c r="E122" i="12"/>
  <c r="E121" i="12"/>
  <c r="C92" i="7" l="1"/>
  <c r="E49" i="20" l="1"/>
  <c r="E50" i="20" s="1"/>
  <c r="E51" i="20" s="1"/>
  <c r="E52" i="20" s="1"/>
  <c r="E53" i="20" s="1"/>
  <c r="E48" i="20"/>
  <c r="E47" i="20"/>
  <c r="E66" i="9" l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65" i="9"/>
  <c r="E11" i="81" l="1"/>
  <c r="E12" i="81" s="1"/>
  <c r="E13" i="81" s="1"/>
  <c r="E14" i="81" s="1"/>
  <c r="E10" i="81"/>
  <c r="E9" i="81"/>
  <c r="E5" i="68" l="1"/>
  <c r="E4" i="68"/>
  <c r="E8" i="70" l="1"/>
  <c r="E9" i="70" s="1"/>
  <c r="E7" i="70"/>
  <c r="C10" i="82" l="1"/>
  <c r="E11" i="80"/>
  <c r="E13" i="79"/>
  <c r="E15" i="50"/>
  <c r="E24" i="39"/>
  <c r="E26" i="20" l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25" i="20"/>
  <c r="E26" i="36"/>
  <c r="E64" i="9" l="1"/>
  <c r="E63" i="9"/>
  <c r="E10" i="29" l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9" i="29"/>
  <c r="E8" i="29"/>
  <c r="C8" i="99" l="1"/>
  <c r="E53" i="9" l="1"/>
  <c r="E54" i="9" s="1"/>
  <c r="E55" i="9" s="1"/>
  <c r="E56" i="9" s="1"/>
  <c r="E57" i="9" s="1"/>
  <c r="E58" i="9" s="1"/>
  <c r="E59" i="9" s="1"/>
  <c r="E60" i="9" s="1"/>
  <c r="E61" i="9" s="1"/>
  <c r="E62" i="9" s="1"/>
  <c r="E52" i="9"/>
  <c r="E21" i="36" l="1"/>
  <c r="E22" i="36" s="1"/>
  <c r="E23" i="36" s="1"/>
  <c r="E24" i="36" s="1"/>
  <c r="E20" i="36"/>
  <c r="E17" i="31" l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16" i="31"/>
  <c r="E8" i="88" l="1"/>
  <c r="E7" i="88"/>
  <c r="E6" i="18"/>
  <c r="E7" i="18" s="1"/>
  <c r="E5" i="18"/>
  <c r="E8" i="15"/>
  <c r="E9" i="15" s="1"/>
  <c r="E10" i="15" s="1"/>
  <c r="E11" i="15" s="1"/>
  <c r="E7" i="15"/>
  <c r="E5" i="45"/>
  <c r="E6" i="45" s="1"/>
  <c r="E7" i="45" s="1"/>
  <c r="E4" i="45"/>
  <c r="E10" i="75"/>
  <c r="E11" i="75" s="1"/>
  <c r="E12" i="75" s="1"/>
  <c r="E13" i="75" s="1"/>
  <c r="E14" i="75" s="1"/>
  <c r="E15" i="75" s="1"/>
  <c r="E16" i="75" s="1"/>
  <c r="E17" i="75" s="1"/>
  <c r="E18" i="75" s="1"/>
  <c r="E19" i="75" s="1"/>
  <c r="E20" i="75" s="1"/>
  <c r="E21" i="75" s="1"/>
  <c r="E22" i="75" s="1"/>
  <c r="E23" i="75" s="1"/>
  <c r="E24" i="75" s="1"/>
  <c r="E9" i="75"/>
  <c r="E7" i="56"/>
  <c r="E8" i="56" s="1"/>
  <c r="E9" i="56" s="1"/>
  <c r="E10" i="56" s="1"/>
  <c r="E11" i="56" s="1"/>
  <c r="E12" i="56" s="1"/>
  <c r="E6" i="56"/>
  <c r="E46" i="9" l="1"/>
  <c r="E47" i="9" s="1"/>
  <c r="E48" i="9" s="1"/>
  <c r="E49" i="9" s="1"/>
  <c r="E50" i="9" s="1"/>
  <c r="E51" i="9" s="1"/>
  <c r="E45" i="9"/>
  <c r="E6" i="40"/>
  <c r="E7" i="40" s="1"/>
  <c r="E8" i="40" s="1"/>
  <c r="E9" i="40" s="1"/>
  <c r="E10" i="40" s="1"/>
  <c r="E11" i="40" s="1"/>
  <c r="E5" i="40"/>
  <c r="E71" i="23" l="1"/>
  <c r="E72" i="23" s="1"/>
  <c r="E73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70" i="23"/>
  <c r="E69" i="23"/>
  <c r="E68" i="12"/>
  <c r="E69" i="12" s="1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E105" i="12" s="1"/>
  <c r="E106" i="12" s="1"/>
  <c r="E107" i="12" s="1"/>
  <c r="E108" i="12" s="1"/>
  <c r="E109" i="12" s="1"/>
  <c r="E110" i="12" s="1"/>
  <c r="E111" i="12" s="1"/>
  <c r="E112" i="12" s="1"/>
  <c r="E113" i="12" s="1"/>
  <c r="E114" i="12" s="1"/>
  <c r="E115" i="12" s="1"/>
  <c r="E116" i="12" s="1"/>
  <c r="E117" i="12" s="1"/>
  <c r="E118" i="12" s="1"/>
  <c r="E119" i="12" s="1"/>
  <c r="E120" i="12" s="1"/>
  <c r="E67" i="12"/>
  <c r="E42" i="9" l="1"/>
  <c r="E43" i="9" s="1"/>
  <c r="E44" i="9" s="1"/>
  <c r="E41" i="9"/>
  <c r="E33" i="9" l="1"/>
  <c r="E34" i="9" s="1"/>
  <c r="E35" i="9" s="1"/>
  <c r="E36" i="9" s="1"/>
  <c r="E37" i="9" s="1"/>
  <c r="E38" i="9" s="1"/>
  <c r="E39" i="9" s="1"/>
  <c r="E40" i="9" s="1"/>
  <c r="E32" i="9"/>
  <c r="E31" i="9"/>
  <c r="E21" i="30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20" i="30"/>
  <c r="E9" i="62"/>
  <c r="E10" i="62" s="1"/>
  <c r="E11" i="62" s="1"/>
  <c r="E12" i="62" s="1"/>
  <c r="E13" i="62" s="1"/>
  <c r="E14" i="62" s="1"/>
  <c r="E15" i="62" s="1"/>
  <c r="E16" i="62" s="1"/>
  <c r="E17" i="62" s="1"/>
  <c r="E18" i="62" s="1"/>
  <c r="E19" i="62" s="1"/>
  <c r="E20" i="62" s="1"/>
  <c r="E21" i="62" s="1"/>
  <c r="E22" i="62" s="1"/>
  <c r="E23" i="62" s="1"/>
  <c r="E8" i="62"/>
  <c r="E9" i="57"/>
  <c r="E10" i="57" s="1"/>
  <c r="E11" i="57" s="1"/>
  <c r="E12" i="57" s="1"/>
  <c r="E13" i="57" s="1"/>
  <c r="E14" i="57" s="1"/>
  <c r="E15" i="57" s="1"/>
  <c r="E16" i="57" s="1"/>
  <c r="E17" i="57" s="1"/>
  <c r="E18" i="57" s="1"/>
  <c r="E19" i="57" s="1"/>
  <c r="E20" i="57" s="1"/>
  <c r="E8" i="57"/>
  <c r="E53" i="23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52" i="23"/>
  <c r="E51" i="23"/>
  <c r="E14" i="37"/>
  <c r="E15" i="37" s="1"/>
  <c r="E16" i="37" s="1"/>
  <c r="E17" i="37" s="1"/>
  <c r="E18" i="37" s="1"/>
  <c r="E19" i="37" s="1"/>
  <c r="E20" i="37" s="1"/>
  <c r="E21" i="37" s="1"/>
  <c r="E22" i="37" s="1"/>
  <c r="E23" i="37" s="1"/>
  <c r="E13" i="37"/>
  <c r="E10" i="36"/>
  <c r="E11" i="36" s="1"/>
  <c r="E12" i="36" s="1"/>
  <c r="E13" i="36" s="1"/>
  <c r="E14" i="36" s="1"/>
  <c r="E15" i="36" s="1"/>
  <c r="E16" i="36" s="1"/>
  <c r="E17" i="36" s="1"/>
  <c r="E18" i="36" s="1"/>
  <c r="E19" i="36" s="1"/>
  <c r="E9" i="36"/>
  <c r="E13" i="21"/>
  <c r="E14" i="21" s="1"/>
  <c r="E15" i="21" s="1"/>
  <c r="E16" i="21" s="1"/>
  <c r="E17" i="21" s="1"/>
  <c r="E18" i="21" s="1"/>
  <c r="E19" i="21" s="1"/>
  <c r="E20" i="21" s="1"/>
  <c r="E21" i="21" s="1"/>
  <c r="E22" i="21" s="1"/>
  <c r="E12" i="21"/>
  <c r="E53" i="24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56" i="12"/>
  <c r="E57" i="12" s="1"/>
  <c r="E59" i="12" s="1"/>
  <c r="E60" i="12" s="1"/>
  <c r="E61" i="12" s="1"/>
  <c r="E62" i="12" s="1"/>
  <c r="E63" i="12" s="1"/>
  <c r="E64" i="12" s="1"/>
  <c r="E65" i="12" s="1"/>
  <c r="E66" i="12" s="1"/>
  <c r="E55" i="12"/>
  <c r="E39" i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38" i="1"/>
  <c r="E43" i="24" l="1"/>
  <c r="E44" i="24" s="1"/>
  <c r="E45" i="24" s="1"/>
  <c r="E46" i="24" s="1"/>
  <c r="E47" i="24" s="1"/>
  <c r="E48" i="24" s="1"/>
  <c r="E49" i="24" s="1"/>
  <c r="E50" i="24" s="1"/>
  <c r="E51" i="24" s="1"/>
  <c r="E52" i="24" s="1"/>
  <c r="E42" i="24"/>
  <c r="E11" i="19" l="1"/>
  <c r="E10" i="19"/>
  <c r="E11" i="17"/>
  <c r="E12" i="17" s="1"/>
  <c r="E10" i="17"/>
  <c r="E14" i="52"/>
  <c r="E13" i="52"/>
  <c r="E14" i="51"/>
  <c r="E15" i="51" s="1"/>
  <c r="E16" i="51" s="1"/>
  <c r="E17" i="51" s="1"/>
  <c r="E13" i="51"/>
  <c r="E14" i="30" l="1"/>
  <c r="E15" i="30" s="1"/>
  <c r="E16" i="30" s="1"/>
  <c r="E17" i="30" s="1"/>
  <c r="E18" i="30" s="1"/>
  <c r="E19" i="30" s="1"/>
  <c r="E13" i="30"/>
  <c r="C13" i="48" l="1"/>
  <c r="E38" i="24" l="1"/>
  <c r="E39" i="24" s="1"/>
  <c r="E40" i="24" s="1"/>
  <c r="E41" i="24" s="1"/>
  <c r="E37" i="24"/>
  <c r="E51" i="12"/>
  <c r="E52" i="12" s="1"/>
  <c r="E53" i="12" s="1"/>
  <c r="E54" i="12" s="1"/>
  <c r="E50" i="12"/>
  <c r="E15" i="31" l="1"/>
  <c r="E48" i="12" l="1"/>
  <c r="E49" i="12" s="1"/>
  <c r="E47" i="12"/>
  <c r="E33" i="7" l="1"/>
  <c r="E5" i="83" l="1"/>
  <c r="E6" i="83"/>
  <c r="E7" i="83" s="1"/>
  <c r="E8" i="83" s="1"/>
  <c r="E4" i="83"/>
  <c r="E5" i="81"/>
  <c r="E6" i="81" s="1"/>
  <c r="E7" i="81" s="1"/>
  <c r="E8" i="81" s="1"/>
  <c r="E4" i="81"/>
  <c r="E48" i="23" l="1"/>
  <c r="E49" i="23" s="1"/>
  <c r="E50" i="23" s="1"/>
  <c r="E47" i="23"/>
  <c r="E8" i="48" l="1"/>
  <c r="E9" i="48" s="1"/>
  <c r="E10" i="48" s="1"/>
  <c r="E11" i="48" s="1"/>
  <c r="E12" i="48" s="1"/>
  <c r="E13" i="48" s="1"/>
  <c r="E14" i="48" s="1"/>
  <c r="E7" i="48"/>
  <c r="E12" i="52"/>
  <c r="E44" i="12" l="1"/>
  <c r="E45" i="12" s="1"/>
  <c r="E46" i="12" s="1"/>
  <c r="E43" i="12"/>
  <c r="C46" i="1"/>
  <c r="E35" i="24"/>
  <c r="E36" i="24"/>
  <c r="E34" i="24"/>
  <c r="E41" i="12" l="1"/>
  <c r="E42" i="12" s="1"/>
  <c r="E40" i="12"/>
  <c r="E40" i="23"/>
  <c r="E41" i="23" s="1"/>
  <c r="E42" i="23" s="1"/>
  <c r="E43" i="23" s="1"/>
  <c r="E44" i="23" s="1"/>
  <c r="E45" i="23" s="1"/>
  <c r="E46" i="23" s="1"/>
  <c r="E39" i="23"/>
  <c r="C11" i="39" l="1"/>
  <c r="E38" i="12" l="1"/>
  <c r="E39" i="12" s="1"/>
  <c r="E37" i="12"/>
  <c r="E5" i="17" l="1"/>
  <c r="E6" i="17" s="1"/>
  <c r="E7" i="17" s="1"/>
  <c r="E8" i="17" s="1"/>
  <c r="E9" i="17" s="1"/>
  <c r="E4" i="17"/>
  <c r="E5" i="19"/>
  <c r="E6" i="19" s="1"/>
  <c r="E7" i="19" s="1"/>
  <c r="E8" i="19" s="1"/>
  <c r="E9" i="19" s="1"/>
  <c r="E4" i="19"/>
  <c r="E4" i="18"/>
  <c r="E5" i="15"/>
  <c r="E6" i="15" s="1"/>
  <c r="E4" i="15"/>
  <c r="E5" i="88"/>
  <c r="E6" i="88" s="1"/>
  <c r="E4" i="88"/>
  <c r="E36" i="12" l="1"/>
  <c r="E35" i="12"/>
  <c r="E4" i="3"/>
  <c r="E5" i="3" s="1"/>
  <c r="E6" i="3" s="1"/>
  <c r="E7" i="3" s="1"/>
  <c r="E8" i="3" s="1"/>
  <c r="E9" i="3" s="1"/>
  <c r="E10" i="3" s="1"/>
  <c r="E11" i="3" s="1"/>
  <c r="E12" i="3" s="1"/>
  <c r="E13" i="3" s="1"/>
  <c r="E38" i="23"/>
  <c r="E5" i="79" l="1"/>
  <c r="E6" i="79" s="1"/>
  <c r="E4" i="79"/>
  <c r="E5" i="73"/>
  <c r="E6" i="73" s="1"/>
  <c r="E7" i="73" s="1"/>
  <c r="E4" i="73"/>
  <c r="E5" i="72"/>
  <c r="E4" i="72"/>
  <c r="E5" i="71"/>
  <c r="E4" i="71"/>
  <c r="E5" i="70"/>
  <c r="E6" i="70" s="1"/>
  <c r="E4" i="70"/>
  <c r="E5" i="75"/>
  <c r="E6" i="75" s="1"/>
  <c r="E7" i="75" s="1"/>
  <c r="E8" i="75" s="1"/>
  <c r="E4" i="75"/>
  <c r="E5" i="56" l="1"/>
  <c r="E4" i="56"/>
  <c r="E5" i="14" l="1"/>
  <c r="E6" i="14" s="1"/>
  <c r="E7" i="14" s="1"/>
  <c r="E8" i="14" s="1"/>
  <c r="E9" i="14" s="1"/>
  <c r="E10" i="14" s="1"/>
  <c r="E11" i="14" s="1"/>
  <c r="E4" i="14"/>
  <c r="E9" i="53"/>
  <c r="E10" i="53" s="1"/>
  <c r="E11" i="53" s="1"/>
  <c r="E12" i="53" s="1"/>
  <c r="E13" i="53" s="1"/>
  <c r="E14" i="53" s="1"/>
  <c r="E8" i="53"/>
  <c r="E10" i="52"/>
  <c r="E11" i="52" s="1"/>
  <c r="E9" i="52"/>
  <c r="E10" i="51"/>
  <c r="E11" i="51" s="1"/>
  <c r="E12" i="51" s="1"/>
  <c r="E9" i="51"/>
  <c r="E6" i="50"/>
  <c r="E7" i="49"/>
  <c r="E6" i="39"/>
  <c r="E7" i="39" s="1"/>
  <c r="E8" i="39" s="1"/>
  <c r="E9" i="39" s="1"/>
  <c r="E10" i="39" s="1"/>
  <c r="E11" i="39" s="1"/>
  <c r="E12" i="39" s="1"/>
  <c r="E13" i="39" s="1"/>
  <c r="E14" i="39" s="1"/>
  <c r="E15" i="39" s="1"/>
  <c r="E16" i="39" s="1"/>
  <c r="E17" i="39" s="1"/>
  <c r="E5" i="39"/>
  <c r="E4" i="39"/>
  <c r="E5" i="46"/>
  <c r="E6" i="46" s="1"/>
  <c r="E7" i="46" s="1"/>
  <c r="E4" i="46"/>
  <c r="E30" i="24" l="1"/>
  <c r="E31" i="24" s="1"/>
  <c r="E32" i="24" s="1"/>
  <c r="E33" i="24" s="1"/>
  <c r="E29" i="24"/>
  <c r="E28" i="24"/>
  <c r="E24" i="24"/>
  <c r="E25" i="24" s="1"/>
  <c r="E26" i="24" s="1"/>
  <c r="E27" i="24" s="1"/>
  <c r="E23" i="24"/>
  <c r="E14" i="31"/>
  <c r="E33" i="12" l="1"/>
  <c r="E34" i="12" s="1"/>
  <c r="E32" i="12"/>
  <c r="E21" i="20"/>
  <c r="E22" i="20" s="1"/>
  <c r="E23" i="20" s="1"/>
  <c r="E24" i="20" s="1"/>
  <c r="E20" i="20"/>
  <c r="E4" i="34" l="1"/>
  <c r="E4" i="31"/>
  <c r="E5" i="31"/>
  <c r="E6" i="31" s="1"/>
  <c r="E7" i="31" s="1"/>
  <c r="E8" i="31" s="1"/>
  <c r="E9" i="31" s="1"/>
  <c r="E10" i="31" s="1"/>
  <c r="E11" i="31" s="1"/>
  <c r="E12" i="31" s="1"/>
  <c r="E13" i="31" s="1"/>
  <c r="E5" i="30"/>
  <c r="E6" i="30" s="1"/>
  <c r="E7" i="30" s="1"/>
  <c r="E8" i="30" s="1"/>
  <c r="E9" i="30" s="1"/>
  <c r="E10" i="30" s="1"/>
  <c r="E4" i="30"/>
  <c r="E5" i="29"/>
  <c r="E6" i="29" s="1"/>
  <c r="E7" i="29" s="1"/>
  <c r="E4" i="29"/>
  <c r="E19" i="20"/>
  <c r="E18" i="20"/>
  <c r="E4" i="13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5" i="12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4" i="36"/>
  <c r="E5" i="36" s="1"/>
  <c r="E6" i="36" s="1"/>
  <c r="E7" i="36" s="1"/>
  <c r="E11" i="24" l="1"/>
  <c r="E12" i="24" s="1"/>
  <c r="E13" i="24" s="1"/>
  <c r="E14" i="24" s="1"/>
  <c r="E15" i="24" s="1"/>
  <c r="E16" i="24" s="1"/>
  <c r="E17" i="24" s="1"/>
  <c r="E18" i="24" s="1"/>
  <c r="E19" i="24" s="1"/>
  <c r="E20" i="24" s="1"/>
  <c r="E10" i="24"/>
  <c r="E8" i="37"/>
  <c r="E9" i="37" s="1"/>
  <c r="E10" i="37" s="1"/>
  <c r="E11" i="37" s="1"/>
  <c r="E12" i="37" s="1"/>
  <c r="E7" i="37"/>
  <c r="E4" i="5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5" i="21"/>
  <c r="E6" i="21" s="1"/>
  <c r="E7" i="21" s="1"/>
  <c r="E8" i="21" s="1"/>
  <c r="E9" i="21" s="1"/>
  <c r="E10" i="21" s="1"/>
  <c r="E4" i="21"/>
  <c r="E4" i="20"/>
  <c r="E5" i="20" s="1"/>
  <c r="E6" i="20" s="1"/>
  <c r="E7" i="20" s="1"/>
  <c r="E8" i="20" s="1"/>
  <c r="E9" i="20" s="1"/>
  <c r="E10" i="20" s="1"/>
  <c r="E11" i="20" s="1"/>
  <c r="E12" i="20" s="1"/>
  <c r="E13" i="20" s="1"/>
  <c r="E14" i="20" s="1"/>
  <c r="E15" i="20" s="1"/>
  <c r="E16" i="20" s="1"/>
  <c r="E17" i="20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2" i="2" s="1"/>
  <c r="E63" i="2" s="1"/>
  <c r="E64" i="2" s="1"/>
  <c r="E65" i="2" s="1"/>
  <c r="E66" i="2" s="1"/>
  <c r="E68" i="2" s="1"/>
  <c r="E69" i="2" s="1"/>
  <c r="E70" i="2" s="1"/>
  <c r="E71" i="2" s="1"/>
  <c r="E73" i="2" s="1"/>
  <c r="E74" i="2" s="1"/>
  <c r="E34" i="7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5" i="49" l="1"/>
  <c r="E4" i="49"/>
  <c r="E5" i="48"/>
  <c r="E4" i="48"/>
  <c r="E4" i="50"/>
  <c r="E4" i="9" l="1"/>
  <c r="E5" i="9" s="1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18" i="7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17" i="7"/>
  <c r="E6" i="52" l="1"/>
  <c r="E5" i="52"/>
  <c r="E5" i="51"/>
  <c r="E6" i="51" s="1"/>
  <c r="E4" i="51"/>
  <c r="E13" i="7" l="1"/>
  <c r="E14" i="7" s="1"/>
  <c r="E15" i="7" s="1"/>
  <c r="E16" i="7" s="1"/>
  <c r="E12" i="7"/>
  <c r="E5" i="23" l="1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6" i="24" l="1"/>
  <c r="E7" i="24" s="1"/>
  <c r="E5" i="24"/>
  <c r="E7" i="7" l="1"/>
  <c r="E8" i="7" s="1"/>
  <c r="E9" i="7" s="1"/>
  <c r="E10" i="7" s="1"/>
  <c r="E11" i="7" s="1"/>
  <c r="E6" i="7"/>
  <c r="E5" i="7"/>
  <c r="E5" i="53" l="1"/>
</calcChain>
</file>

<file path=xl/sharedStrings.xml><?xml version="1.0" encoding="utf-8"?>
<sst xmlns="http://schemas.openxmlformats.org/spreadsheetml/2006/main" count="2302" uniqueCount="327">
  <si>
    <t>MF 190</t>
  </si>
  <si>
    <t>STOK 31/12/2023</t>
  </si>
  <si>
    <t>MF 170</t>
  </si>
  <si>
    <t>MF 150</t>
  </si>
  <si>
    <t>LF 120</t>
  </si>
  <si>
    <t>STOK PER 31/12/2023</t>
  </si>
  <si>
    <t>LF 90</t>
  </si>
  <si>
    <t>LF 50</t>
  </si>
  <si>
    <t>CB 220</t>
  </si>
  <si>
    <t>CB 205</t>
  </si>
  <si>
    <t>STOK PER 31/12/23</t>
  </si>
  <si>
    <t>CB 193</t>
  </si>
  <si>
    <t>CB 185</t>
  </si>
  <si>
    <t>JACK BASE 60</t>
  </si>
  <si>
    <t>UHEAD JACK 60</t>
  </si>
  <si>
    <t>SWIVEL CLAMP</t>
  </si>
  <si>
    <t>STOK PER 31 DES 2023</t>
  </si>
  <si>
    <t>BARU 400, BEKAS140</t>
  </si>
  <si>
    <t>FIXED CLAMP</t>
  </si>
  <si>
    <t>BEAM CLAMP</t>
  </si>
  <si>
    <t>JOINPIN</t>
  </si>
  <si>
    <t>CATWALK</t>
  </si>
  <si>
    <t>ASIBA 1.6M</t>
  </si>
  <si>
    <t>ASIBA 2 M</t>
  </si>
  <si>
    <t>TANGGA 170</t>
  </si>
  <si>
    <t>TANGGA 190</t>
  </si>
  <si>
    <t>PIPA 6</t>
  </si>
  <si>
    <t>PIPA 4</t>
  </si>
  <si>
    <t>PIPA 3.75</t>
  </si>
  <si>
    <t>PIPA 3</t>
  </si>
  <si>
    <t>PIPA 2</t>
  </si>
  <si>
    <t>PIPE SUPPORT</t>
  </si>
  <si>
    <t>RODA</t>
  </si>
  <si>
    <t>TANGGA PCH</t>
  </si>
  <si>
    <t>RAILING PCH</t>
  </si>
  <si>
    <t>HOLLOW 5X5X1.2</t>
  </si>
  <si>
    <t>HOLLOW 5X5X1.5</t>
  </si>
  <si>
    <t>HOLLOW 5X5X2</t>
  </si>
  <si>
    <t>HOLLOW 5X5X2.5</t>
  </si>
  <si>
    <t>HOLOW 5X5X3</t>
  </si>
  <si>
    <t>HOLLOW 5X5X6</t>
  </si>
  <si>
    <t>HOLLOW 4X6X2</t>
  </si>
  <si>
    <t>HOLLOW 4X6X2.5</t>
  </si>
  <si>
    <t>HOLLOW 4X6X3</t>
  </si>
  <si>
    <t>BU LALA JL KUTA</t>
  </si>
  <si>
    <t>MASUK</t>
  </si>
  <si>
    <t>KELUAR</t>
  </si>
  <si>
    <t>STOK</t>
  </si>
  <si>
    <t>STOK PER 31 DES 2024</t>
  </si>
  <si>
    <t>ACSET SIERRA</t>
  </si>
  <si>
    <t>WINGNUT</t>
  </si>
  <si>
    <t>MIZARTINDO BELI</t>
  </si>
  <si>
    <t>BU LALA TBP P4/40</t>
  </si>
  <si>
    <t>TBP PURI</t>
  </si>
  <si>
    <t>TIEROD 1M</t>
  </si>
  <si>
    <t xml:space="preserve">MASUK </t>
  </si>
  <si>
    <t>MIZARTIND0 BELI</t>
  </si>
  <si>
    <t>BU FENNY JL BANGKA</t>
  </si>
  <si>
    <t>BU LALA JL BANGKA</t>
  </si>
  <si>
    <t>FEBRI RETUR SEWA</t>
  </si>
  <si>
    <t>IDK NARUMI</t>
  </si>
  <si>
    <t>VERTICAL 1.5 PCH</t>
  </si>
  <si>
    <t>VERTICAL 2 PCH</t>
  </si>
  <si>
    <t>SISAKAN 56 ADA KELEBIHAN PROYEK TPI</t>
  </si>
  <si>
    <t>INTERDESIGN SUMARECON</t>
  </si>
  <si>
    <t>20 BUAT JPO, 20 BUAT ACSET AHM</t>
  </si>
  <si>
    <t>CONCREATE TRIMARAN</t>
  </si>
  <si>
    <t>CONCREAT TRIMARAN</t>
  </si>
  <si>
    <t>CONCREATE SIMPRUG</t>
  </si>
  <si>
    <t>82 KELEBIHAN KOWIS</t>
  </si>
  <si>
    <t>ACSET AHM</t>
  </si>
  <si>
    <t>DK NARUMI</t>
  </si>
  <si>
    <t>IBU LALA JL KUTA</t>
  </si>
  <si>
    <t>ACSET ASYA SENTARIUM</t>
  </si>
  <si>
    <t>TEKNOMETAL BELI</t>
  </si>
  <si>
    <t>TIEROD 2M</t>
  </si>
  <si>
    <t>MIZARTINDO</t>
  </si>
  <si>
    <t>ACSET ELEVEE</t>
  </si>
  <si>
    <t>IMP BELI</t>
  </si>
  <si>
    <t>TBP ELLIPSE</t>
  </si>
  <si>
    <t>31 BARU</t>
  </si>
  <si>
    <t>INDONAKANO EBARA</t>
  </si>
  <si>
    <t>INDONAKANO NARUMI</t>
  </si>
  <si>
    <t>3 PATAH LAS</t>
  </si>
  <si>
    <t>BPK ADRIN JL RIMBA</t>
  </si>
  <si>
    <t>BPK ADRIAN JL RIMBA</t>
  </si>
  <si>
    <t>TBP CSHQ</t>
  </si>
  <si>
    <t>HOLLOW 5X10X3</t>
  </si>
  <si>
    <t>TBP PIM2</t>
  </si>
  <si>
    <t>HOLLOW 5X10X2</t>
  </si>
  <si>
    <t>STOK PER 31 DES 23</t>
  </si>
  <si>
    <t>TBP PURI PIM2</t>
  </si>
  <si>
    <t>HOLLOW 5X10X1.5</t>
  </si>
  <si>
    <t>STOK PER 31 DES23</t>
  </si>
  <si>
    <t>HOLLOW 4X6X1.5</t>
  </si>
  <si>
    <t>HOLLOW 5 X10X4</t>
  </si>
  <si>
    <t>SURI SURI 5X10X2</t>
  </si>
  <si>
    <t>SURI SURI 5X10X1.5</t>
  </si>
  <si>
    <t>STOKPER 31 DES 23</t>
  </si>
  <si>
    <t>TBP PURI PIM 2</t>
  </si>
  <si>
    <t>IDEA MANDIRI CIKANDE</t>
  </si>
  <si>
    <t>1 PATAH MUR1/2</t>
  </si>
  <si>
    <t>SISA STOK BARU</t>
  </si>
  <si>
    <t>JAGAT ANTASARI</t>
  </si>
  <si>
    <t>LEDGER 12 PCH</t>
  </si>
  <si>
    <t>LEDGER 0.9 PCH</t>
  </si>
  <si>
    <t>LEDGER 0.6 PCH</t>
  </si>
  <si>
    <t>LEDGER 0.5 PCH</t>
  </si>
  <si>
    <t>TBP PURI/ PIM2</t>
  </si>
  <si>
    <t>VERTICAL 1 PCH</t>
  </si>
  <si>
    <t>TBP PURI/PIM2</t>
  </si>
  <si>
    <t>JACKBASE 40</t>
  </si>
  <si>
    <t>UHEAD JACK 40</t>
  </si>
  <si>
    <t>JACK BASE 85</t>
  </si>
  <si>
    <t>UHEAD JACK 85</t>
  </si>
  <si>
    <t>JACK BASE 55 PCH</t>
  </si>
  <si>
    <t>JACK BASE 60 PCH</t>
  </si>
  <si>
    <t>UHEAD 40 PCH</t>
  </si>
  <si>
    <t>UHEAD 55 OCH</t>
  </si>
  <si>
    <t>UHEAD 60 PCH</t>
  </si>
  <si>
    <t>LEDGER 1.5 PCH</t>
  </si>
  <si>
    <t>LEDGER 1.8 PCH</t>
  </si>
  <si>
    <t>VERTICA 0.5 PCH</t>
  </si>
  <si>
    <t>LEDGER 0.6 RINGLOCK</t>
  </si>
  <si>
    <t>LEDGER 90 RINGLOCK</t>
  </si>
  <si>
    <t>LEDGER 1.2 RINGLOCK</t>
  </si>
  <si>
    <t>VERTICAL 2 RINGLOCK</t>
  </si>
  <si>
    <t>TBP NOVOTEL BSD</t>
  </si>
  <si>
    <t>TBP NOVOTEL</t>
  </si>
  <si>
    <t>HARTAM CARWHEEL</t>
  </si>
  <si>
    <t>TBP MARRIOT</t>
  </si>
  <si>
    <t>TPI BLITAR</t>
  </si>
  <si>
    <t>KAWEL</t>
  </si>
  <si>
    <t>BELI BAHAN DARI MEGA BAJA</t>
  </si>
  <si>
    <t>INDONAKANO ESR</t>
  </si>
  <si>
    <t>TBP URBAN FOREST</t>
  </si>
  <si>
    <t>BUAT DARI BELI BAHAN MEGA BAJA</t>
  </si>
  <si>
    <t>PIPA 1M</t>
  </si>
  <si>
    <t>INNOTECH AHM</t>
  </si>
  <si>
    <t>INNNOTECH AHM</t>
  </si>
  <si>
    <t>TBP ADR</t>
  </si>
  <si>
    <t>SURI SURI 4X6X2</t>
  </si>
  <si>
    <t>SUI SURI4X6X1.5</t>
  </si>
  <si>
    <t>INDONAKANO PECGI</t>
  </si>
  <si>
    <t>IBU LALA TPB P4/40</t>
  </si>
  <si>
    <t>BU LALA TPB P4/40</t>
  </si>
  <si>
    <t>BPK AMOS PSB 15</t>
  </si>
  <si>
    <t>TBP JPO BSD</t>
  </si>
  <si>
    <t>TBP CIKAL</t>
  </si>
  <si>
    <t>LEDGER 1.8 RINGLOCK</t>
  </si>
  <si>
    <t>SISA PER 31 DES 2023</t>
  </si>
  <si>
    <t>STOK 11/1 MALAM WA YANTO= 290</t>
  </si>
  <si>
    <t>JAGAT KIIC</t>
  </si>
  <si>
    <t>JAGAT MOYA</t>
  </si>
  <si>
    <t>TIEROD 0.6M</t>
  </si>
  <si>
    <t>WA YANTO KE ENDI 12/1/24 = 346</t>
  </si>
  <si>
    <t>WA YANTO KE ENDI 12/1/24 = 430</t>
  </si>
  <si>
    <t>HARUSNYA 440</t>
  </si>
  <si>
    <t>WA YANTO KE ENDI 12/1/24 = 965</t>
  </si>
  <si>
    <t>HARUNYS 1108</t>
  </si>
  <si>
    <t>WA YANTO KE ENDI 12/1/24 = 61</t>
  </si>
  <si>
    <t>WA YANTO KE ENDI 12/1/24 = 4043</t>
  </si>
  <si>
    <t>BU LALA THE MOZART</t>
  </si>
  <si>
    <t>BU LALA JL KUTA INDAH 50</t>
  </si>
  <si>
    <t>INTERDESGIN SUMARECON</t>
  </si>
  <si>
    <t>TBP PLTU SUMBANGSEL</t>
  </si>
  <si>
    <t>SYAIFUL - BELI</t>
  </si>
  <si>
    <t>SYAIFUL- SEWA</t>
  </si>
  <si>
    <t>ACSET ADM</t>
  </si>
  <si>
    <t>SIKU 35X35</t>
  </si>
  <si>
    <t>SIKU 50X50</t>
  </si>
  <si>
    <t>SIKU 60X60</t>
  </si>
  <si>
    <t>TBP PURI PIM</t>
  </si>
  <si>
    <t>PUSH PULL 1M</t>
  </si>
  <si>
    <t>PUSH PULL 2M</t>
  </si>
  <si>
    <t>STEEL WALLER 3560</t>
  </si>
  <si>
    <t>TBP PLTU SUMBANGSEL'</t>
  </si>
  <si>
    <t>CNP 125 X3.5M</t>
  </si>
  <si>
    <t>JAGAT SUMARECON</t>
  </si>
  <si>
    <t>JAGAT CIJAYANTI SENTUL</t>
  </si>
  <si>
    <t>TBP GRAHA CISSIE</t>
  </si>
  <si>
    <t>TBP CIPLAZ GARUT</t>
  </si>
  <si>
    <t>16/1/24	TBP PURI PIM2</t>
  </si>
  <si>
    <t>SIKU 40X45</t>
  </si>
  <si>
    <t>SIKU 30X35</t>
  </si>
  <si>
    <t>WA WARDI 18/1 SORE STOK 129</t>
  </si>
  <si>
    <t>TARSIM UTK DICAT</t>
  </si>
  <si>
    <t>TARSIM UTK DIPOTONG JADI LEDGER 0.9</t>
  </si>
  <si>
    <t>TARSIM UTK CONTOH</t>
  </si>
  <si>
    <t>POTONGAN PIPA LAS TARSIM</t>
  </si>
  <si>
    <t>ACSET ELEVEE JUAL</t>
  </si>
  <si>
    <t>TBP MAGGIORE</t>
  </si>
  <si>
    <t>INDONAKANO SMII</t>
  </si>
  <si>
    <t>BPK SUKANDI THE MOZART</t>
  </si>
  <si>
    <t>HOLLOW 4X6X4</t>
  </si>
  <si>
    <t>STOK SD 31 DES S023</t>
  </si>
  <si>
    <t>BELI C PRESSED IMP =1000</t>
  </si>
  <si>
    <t>POTONGAN LEDGER 1.8 LAS TARSIM</t>
  </si>
  <si>
    <t>TARSIM SDH CAT</t>
  </si>
  <si>
    <t>TIEROD 1.2M</t>
  </si>
  <si>
    <t>MEGA BAJA</t>
  </si>
  <si>
    <t>BU LALA DANAU PERMAI C1/24</t>
  </si>
  <si>
    <t>BU LALA DANAU PERMAI C 1/24</t>
  </si>
  <si>
    <t>SYAIFUL - SEWA</t>
  </si>
  <si>
    <t>CONCREATE DCOVE 10</t>
  </si>
  <si>
    <t>NRC NAVAPARK</t>
  </si>
  <si>
    <t>ACSET GENOVA</t>
  </si>
  <si>
    <t>KARMELINDO DSO</t>
  </si>
  <si>
    <t>KELEBIHAN TBP CIBUBUR</t>
  </si>
  <si>
    <t>JAGAT THE BARN</t>
  </si>
  <si>
    <t>TARSIM SDH CAT 3 SJ</t>
  </si>
  <si>
    <t>TBP GRAND WISATA</t>
  </si>
  <si>
    <t>TIEORD 1.5M</t>
  </si>
  <si>
    <t>TBP LIVING WORLD KOWIS</t>
  </si>
  <si>
    <t>TARSIM BELI</t>
  </si>
  <si>
    <t>TARSIM SERVIS CAT</t>
  </si>
  <si>
    <t>TAKENAKA HM SAMPOERNA</t>
  </si>
  <si>
    <t xml:space="preserve">TEKNOMETAL </t>
  </si>
  <si>
    <t>TEKNOMETAL</t>
  </si>
  <si>
    <t>ALIA DIGITAL PRINTEX JUAL</t>
  </si>
  <si>
    <t>H 4X4X6</t>
  </si>
  <si>
    <t>ALIA DIGITAL PRINTEX</t>
  </si>
  <si>
    <t>JAGAT KIIC KARAWANG</t>
  </si>
  <si>
    <t>BPK DANIEL CV BGS JUAL</t>
  </si>
  <si>
    <t>HARTAM SUCACO</t>
  </si>
  <si>
    <t>JAGAT BUARAN</t>
  </si>
  <si>
    <t>TBP TABANAN BALI</t>
  </si>
  <si>
    <t>TBP LIVING KOWIS CIBUBUR</t>
  </si>
  <si>
    <t>BU MANLY BPR</t>
  </si>
  <si>
    <t>TBP NHJS</t>
  </si>
  <si>
    <t>BU LALA KEBAGUSAN NO 48</t>
  </si>
  <si>
    <t>NRC RECKITT</t>
  </si>
  <si>
    <t>JAGAT KII KARAWANG</t>
  </si>
  <si>
    <t>BU YENTI DIAMOND GOLF 39</t>
  </si>
  <si>
    <t>TARSIM UTK SERVIS</t>
  </si>
  <si>
    <t>TARSIM SDH SERVIS</t>
  </si>
  <si>
    <t>BU LALA JL KANO2 U3/3</t>
  </si>
  <si>
    <t>STEEL WALLER 1170</t>
  </si>
  <si>
    <t>STEEL WALLER 1730</t>
  </si>
  <si>
    <t>STEEL WALLER 2340</t>
  </si>
  <si>
    <t>STEEL WALLER 4780</t>
  </si>
  <si>
    <t>POTONGAN PIPA LAS DI GUDANG</t>
  </si>
  <si>
    <t>COUPLING 1M</t>
  </si>
  <si>
    <t>SIKU 40X40</t>
  </si>
  <si>
    <t>SIKU 45X45</t>
  </si>
  <si>
    <t xml:space="preserve">IBU JENNY DUTA NIAGA </t>
  </si>
  <si>
    <t>BU JENNY DUTA NIAGA</t>
  </si>
  <si>
    <t>SBS THE SMITH</t>
  </si>
  <si>
    <t>BPK EDDY PATRA KUNINGAN</t>
  </si>
  <si>
    <t>H 5X10X2.5</t>
  </si>
  <si>
    <t>TBP PLTU SUMBANGSEL AFKIR</t>
  </si>
  <si>
    <t>PUSH PULL 3</t>
  </si>
  <si>
    <t>ANDRE JUAL</t>
  </si>
  <si>
    <t>JUAL ANDRE</t>
  </si>
  <si>
    <t>BU LALA JL MALUKU</t>
  </si>
  <si>
    <t>TBP LIVING WORLD KOWIS CIBUBUR</t>
  </si>
  <si>
    <t>SURI SURI 4X6X1</t>
  </si>
  <si>
    <t>SABUK KOLOM</t>
  </si>
  <si>
    <t>BU LALA SENAYAN C 18</t>
  </si>
  <si>
    <t>BU LALA SENAYAN C18</t>
  </si>
  <si>
    <t>TARSIM UTK TUKAR</t>
  </si>
  <si>
    <t>JAGAT CIJAYANTI</t>
  </si>
  <si>
    <t>BU LALA KATAMARAN PIK</t>
  </si>
  <si>
    <t>TARSIM TUKARAN UHEAD</t>
  </si>
  <si>
    <t>116 SAMBUNGAN</t>
  </si>
  <si>
    <t>TOKPED</t>
  </si>
  <si>
    <t>TBP PLTU</t>
  </si>
  <si>
    <t>TBPP URBAN FOREST</t>
  </si>
  <si>
    <t>ACSAET GENOVA</t>
  </si>
  <si>
    <t>TARSIM UTK DISERVIS</t>
  </si>
  <si>
    <t>BU LALA JL TANJUNG</t>
  </si>
  <si>
    <t>BU  LALA JL TANJUNG</t>
  </si>
  <si>
    <t>BU LALA JL KANO U3/3</t>
  </si>
  <si>
    <t>BU LALA JL KEMANG RAYA</t>
  </si>
  <si>
    <t>BU LALA DUTA NIAGA TM17</t>
  </si>
  <si>
    <t>KUS BELI</t>
  </si>
  <si>
    <t>POTONG MF 190 MENJADI 170</t>
  </si>
  <si>
    <t>MURINDA PEPSICO</t>
  </si>
  <si>
    <t>POTONG MENJADI MF 170</t>
  </si>
  <si>
    <t>SISA INI BATANG KECIL MUR 30</t>
  </si>
  <si>
    <t>TARSIM</t>
  </si>
  <si>
    <t>HARTAM CAR WHEEL</t>
  </si>
  <si>
    <t>ACSET ASYA</t>
  </si>
  <si>
    <t>MURINDA CIKANDE</t>
  </si>
  <si>
    <t>208 SAMBUNGAN</t>
  </si>
  <si>
    <t>JOINER</t>
  </si>
  <si>
    <t>STOK 31/12</t>
  </si>
  <si>
    <t>TBP NJHS</t>
  </si>
  <si>
    <t>JAGAT EKA HOSPITAL BSD</t>
  </si>
  <si>
    <t>IBU LALA JL MALUKU</t>
  </si>
  <si>
    <t xml:space="preserve">TEKNOMETAL BELI </t>
  </si>
  <si>
    <t>TEKNOMETAL BEI</t>
  </si>
  <si>
    <t>IBU LALA JL TANJUNG</t>
  </si>
  <si>
    <t>BU LALA/ BU STEPHANIE KERAWANG</t>
  </si>
  <si>
    <t>TBPP GRAND WISATA</t>
  </si>
  <si>
    <t>BU LALA KEMBANG MURNI K1</t>
  </si>
  <si>
    <t>GLOBAL SUMARECON</t>
  </si>
  <si>
    <t>IDEA MANDIRI WAREHOUSE</t>
  </si>
  <si>
    <t>INDONAKANO OAJ</t>
  </si>
  <si>
    <t>TBP MAGGIORE DIP</t>
  </si>
  <si>
    <t>TBP LIVIN KOTA WISATA CIBUBUR</t>
  </si>
  <si>
    <t>JAGAT KIC</t>
  </si>
  <si>
    <t>SYAIFUL SEWA</t>
  </si>
  <si>
    <t>SYAIFUL RETUR SEWA</t>
  </si>
  <si>
    <t>BPK ANDRE KUSUMA KAPUK</t>
  </si>
  <si>
    <t>BPK ANDRE KUSUMA KAPUK ATAS SAJA</t>
  </si>
  <si>
    <t>KATANYA STOK GUDANG NOL</t>
  </si>
  <si>
    <t>BU LALA KEMBANG MURNI</t>
  </si>
  <si>
    <t>NRC CARTENZ</t>
  </si>
  <si>
    <t>BU LALA JL KUTA NO 50</t>
  </si>
  <si>
    <t>BATANG KECIL ENDI</t>
  </si>
  <si>
    <t>RC NAVAPARK</t>
  </si>
  <si>
    <t>BPK ANDRE KAPUK</t>
  </si>
  <si>
    <t>BU LALA INTERCONGB1/12</t>
  </si>
  <si>
    <t>BU LALA INTERCON GB1/12</t>
  </si>
  <si>
    <t>HABIS DIJUAL ENDI</t>
  </si>
  <si>
    <t>BPK ANDRE KUSUMA KAPUK 2 SJ</t>
  </si>
  <si>
    <t>BPK ANDRE KUSUMA KAPUK 2SJ</t>
  </si>
  <si>
    <t>INDONAKANO SMII - JAGAT KIIC</t>
  </si>
  <si>
    <t>TBP MAGGIORE 2 SJ</t>
  </si>
  <si>
    <t>SIKU45X50</t>
  </si>
  <si>
    <t>ACET SIERRA</t>
  </si>
  <si>
    <t xml:space="preserve">BPK ANDRE KUSUMA KAPUK </t>
  </si>
  <si>
    <t>INTERDESIGN BEKASI</t>
  </si>
  <si>
    <t>BU LALA JL  PINANG MERAH</t>
  </si>
  <si>
    <t>BPK WIMBANO GEDUNG HIJAU</t>
  </si>
  <si>
    <t>BU LALA KERAWANG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</si>
</sst>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" fontId="0" fillId="0" borderId="0" xfId="0" applyNumberFormat="1"/>
    <xf numFmtId="14" fontId="1" fillId="0" borderId="0" xfId="0" applyNumberFormat="1" applyFont="1"/>
    <xf numFmtId="0" fontId="1" fillId="0" borderId="0" xfId="0" applyFont="1"/>
    <xf numFmtId="16" fontId="1" fillId="0" borderId="0" xfId="0" applyNumberFormat="1" applyFont="1"/>
    <xf numFmtId="0" fontId="2" fillId="0" borderId="0" xfId="0" applyFont="1"/>
    <xf numFmtId="16" fontId="0" fillId="2" borderId="0" xfId="0" applyNumberFormat="1" applyFill="1"/>
    <xf numFmtId="0" fontId="0" fillId="2" borderId="0" xfId="0" applyFill="1"/>
    <xf numFmtId="16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0" borderId="0" xfId="0" applyNumberFormat="1"/>
    <xf numFmtId="0" fontId="2" fillId="3" borderId="0" xfId="0" applyFont="1" applyFill="1"/>
    <xf numFmtId="0" fontId="0" fillId="3" borderId="0" xfId="0" applyFill="1"/>
    <xf numFmtId="1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9C5E-9A00-F64D-B032-825629823F48}">
  <dimension ref="A1:E191"/>
  <sheetViews>
    <sheetView topLeftCell="A173" workbookViewId="0">
      <selection activeCell="C192" sqref="C192"/>
    </sheetView>
  </sheetViews>
  <sheetFormatPr baseColWidth="10" defaultRowHeight="16" x14ac:dyDescent="0.2"/>
  <cols>
    <col min="2" max="2" width="35.83203125" customWidth="1"/>
  </cols>
  <sheetData>
    <row r="1" spans="1:5" x14ac:dyDescent="0.2">
      <c r="A1" t="s">
        <v>0</v>
      </c>
    </row>
    <row r="3" spans="1:5" x14ac:dyDescent="0.2">
      <c r="B3" t="s">
        <v>1</v>
      </c>
      <c r="E3">
        <v>3000</v>
      </c>
    </row>
    <row r="4" spans="1:5" x14ac:dyDescent="0.2">
      <c r="A4" s="2">
        <v>45294</v>
      </c>
      <c r="B4" t="s">
        <v>68</v>
      </c>
      <c r="C4">
        <v>60</v>
      </c>
      <c r="E4">
        <f>E3+C4-D4</f>
        <v>3060</v>
      </c>
    </row>
    <row r="5" spans="1:5" x14ac:dyDescent="0.2">
      <c r="A5" s="2">
        <v>45297</v>
      </c>
      <c r="B5" t="s">
        <v>103</v>
      </c>
      <c r="C5">
        <v>10</v>
      </c>
      <c r="E5">
        <f t="shared" ref="E5:E20" si="0">E4+C5-D5</f>
        <v>3070</v>
      </c>
    </row>
    <row r="6" spans="1:5" x14ac:dyDescent="0.2">
      <c r="A6" s="2">
        <v>45298</v>
      </c>
      <c r="B6" t="s">
        <v>222</v>
      </c>
      <c r="D6">
        <v>200</v>
      </c>
      <c r="E6">
        <f t="shared" si="0"/>
        <v>2870</v>
      </c>
    </row>
    <row r="7" spans="1:5" x14ac:dyDescent="0.2">
      <c r="A7" s="2">
        <v>45299</v>
      </c>
      <c r="B7" t="s">
        <v>128</v>
      </c>
      <c r="C7">
        <v>34</v>
      </c>
      <c r="E7">
        <f t="shared" si="0"/>
        <v>2904</v>
      </c>
    </row>
    <row r="8" spans="1:5" x14ac:dyDescent="0.2">
      <c r="A8" s="2">
        <v>45300</v>
      </c>
      <c r="B8" t="s">
        <v>134</v>
      </c>
      <c r="D8">
        <v>270</v>
      </c>
      <c r="E8">
        <f t="shared" si="0"/>
        <v>2634</v>
      </c>
    </row>
    <row r="9" spans="1:5" x14ac:dyDescent="0.2">
      <c r="A9" s="2">
        <v>45300</v>
      </c>
      <c r="B9" t="s">
        <v>82</v>
      </c>
      <c r="C9">
        <v>80</v>
      </c>
      <c r="E9">
        <f t="shared" si="0"/>
        <v>2714</v>
      </c>
    </row>
    <row r="10" spans="1:5" x14ac:dyDescent="0.2">
      <c r="A10" s="2">
        <v>45301</v>
      </c>
      <c r="B10" t="s">
        <v>140</v>
      </c>
      <c r="D10">
        <v>50</v>
      </c>
      <c r="E10">
        <f t="shared" si="0"/>
        <v>2664</v>
      </c>
    </row>
    <row r="11" spans="1:5" x14ac:dyDescent="0.2">
      <c r="A11" s="2">
        <v>45301</v>
      </c>
      <c r="B11" t="s">
        <v>148</v>
      </c>
      <c r="C11">
        <v>72</v>
      </c>
      <c r="E11">
        <f t="shared" si="0"/>
        <v>2736</v>
      </c>
    </row>
    <row r="12" spans="1:5" x14ac:dyDescent="0.2">
      <c r="A12" s="2">
        <v>45302</v>
      </c>
      <c r="B12" t="s">
        <v>134</v>
      </c>
      <c r="D12">
        <v>260</v>
      </c>
      <c r="E12">
        <f t="shared" si="0"/>
        <v>2476</v>
      </c>
    </row>
    <row r="13" spans="1:5" x14ac:dyDescent="0.2">
      <c r="A13" s="2">
        <v>45303</v>
      </c>
      <c r="B13" t="s">
        <v>68</v>
      </c>
      <c r="C13">
        <v>22</v>
      </c>
      <c r="E13">
        <f t="shared" si="0"/>
        <v>2498</v>
      </c>
    </row>
    <row r="14" spans="1:5" x14ac:dyDescent="0.2">
      <c r="A14" s="2">
        <v>45303</v>
      </c>
      <c r="B14" t="s">
        <v>82</v>
      </c>
      <c r="C14">
        <v>41</v>
      </c>
      <c r="E14">
        <f t="shared" si="0"/>
        <v>2539</v>
      </c>
    </row>
    <row r="15" spans="1:5" x14ac:dyDescent="0.2">
      <c r="A15" s="2">
        <v>45304</v>
      </c>
      <c r="B15" t="s">
        <v>53</v>
      </c>
      <c r="D15">
        <v>90</v>
      </c>
      <c r="E15">
        <f t="shared" si="0"/>
        <v>2449</v>
      </c>
    </row>
    <row r="16" spans="1:5" x14ac:dyDescent="0.2">
      <c r="A16" s="2">
        <v>45304</v>
      </c>
      <c r="B16" t="s">
        <v>134</v>
      </c>
      <c r="D16">
        <v>145</v>
      </c>
      <c r="E16">
        <f t="shared" si="0"/>
        <v>2304</v>
      </c>
    </row>
    <row r="17" spans="1:5" x14ac:dyDescent="0.2">
      <c r="A17" s="2">
        <v>45304</v>
      </c>
      <c r="B17" t="s">
        <v>140</v>
      </c>
      <c r="D17">
        <v>50</v>
      </c>
      <c r="E17">
        <f t="shared" si="0"/>
        <v>2254</v>
      </c>
    </row>
    <row r="18" spans="1:5" x14ac:dyDescent="0.2">
      <c r="A18" s="2">
        <v>45304</v>
      </c>
      <c r="B18" t="s">
        <v>168</v>
      </c>
      <c r="C18">
        <v>85</v>
      </c>
      <c r="E18">
        <f t="shared" si="0"/>
        <v>2339</v>
      </c>
    </row>
    <row r="19" spans="1:5" x14ac:dyDescent="0.2">
      <c r="A19" s="2">
        <v>45305</v>
      </c>
      <c r="B19" t="s">
        <v>49</v>
      </c>
      <c r="D19">
        <v>40</v>
      </c>
      <c r="E19">
        <f t="shared" si="0"/>
        <v>2299</v>
      </c>
    </row>
    <row r="20" spans="1:5" x14ac:dyDescent="0.2">
      <c r="A20" s="2">
        <v>45306</v>
      </c>
      <c r="B20" t="s">
        <v>140</v>
      </c>
      <c r="D20">
        <v>100</v>
      </c>
      <c r="E20">
        <f t="shared" si="0"/>
        <v>2199</v>
      </c>
    </row>
    <row r="21" spans="1:5" x14ac:dyDescent="0.2">
      <c r="A21" s="2">
        <v>45306</v>
      </c>
      <c r="B21" t="s">
        <v>53</v>
      </c>
      <c r="D21">
        <v>80</v>
      </c>
      <c r="E21">
        <f>E20+C21-D21</f>
        <v>2119</v>
      </c>
    </row>
    <row r="22" spans="1:5" x14ac:dyDescent="0.2">
      <c r="A22" s="2">
        <v>45306</v>
      </c>
      <c r="B22" t="s">
        <v>66</v>
      </c>
      <c r="C22">
        <v>10</v>
      </c>
      <c r="E22">
        <f t="shared" ref="E22:E25" si="1">E21+C22-D22</f>
        <v>2129</v>
      </c>
    </row>
    <row r="23" spans="1:5" x14ac:dyDescent="0.2">
      <c r="A23" s="2">
        <v>45307</v>
      </c>
      <c r="B23" t="s">
        <v>181</v>
      </c>
      <c r="C23">
        <v>62</v>
      </c>
      <c r="E23">
        <f t="shared" si="1"/>
        <v>2191</v>
      </c>
    </row>
    <row r="24" spans="1:5" x14ac:dyDescent="0.2">
      <c r="A24" s="2">
        <v>45307</v>
      </c>
      <c r="B24" t="s">
        <v>186</v>
      </c>
      <c r="D24">
        <v>220</v>
      </c>
      <c r="E24">
        <f t="shared" si="1"/>
        <v>1971</v>
      </c>
    </row>
    <row r="25" spans="1:5" x14ac:dyDescent="0.2">
      <c r="A25" s="2">
        <v>45307</v>
      </c>
      <c r="B25" t="s">
        <v>179</v>
      </c>
      <c r="D25">
        <v>100</v>
      </c>
      <c r="E25">
        <f t="shared" si="1"/>
        <v>1871</v>
      </c>
    </row>
    <row r="26" spans="1:5" x14ac:dyDescent="0.2">
      <c r="A26" s="2">
        <v>45308</v>
      </c>
      <c r="B26" t="s">
        <v>168</v>
      </c>
      <c r="C26">
        <v>40</v>
      </c>
      <c r="E26">
        <f>E25+C26-D26</f>
        <v>1911</v>
      </c>
    </row>
    <row r="27" spans="1:5" x14ac:dyDescent="0.2">
      <c r="A27" s="2">
        <v>45308</v>
      </c>
      <c r="B27" t="s">
        <v>134</v>
      </c>
      <c r="D27">
        <v>40</v>
      </c>
      <c r="E27">
        <f t="shared" ref="E27:E37" si="2">E26+C27-D27</f>
        <v>1871</v>
      </c>
    </row>
    <row r="28" spans="1:5" x14ac:dyDescent="0.2">
      <c r="A28" s="2">
        <v>45308</v>
      </c>
      <c r="B28" t="s">
        <v>168</v>
      </c>
      <c r="C28">
        <v>9</v>
      </c>
      <c r="E28">
        <f t="shared" si="2"/>
        <v>1880</v>
      </c>
    </row>
    <row r="29" spans="1:5" x14ac:dyDescent="0.2">
      <c r="A29" s="2">
        <v>45309</v>
      </c>
      <c r="B29" t="s">
        <v>134</v>
      </c>
      <c r="D29">
        <v>115</v>
      </c>
      <c r="E29">
        <f t="shared" si="2"/>
        <v>1765</v>
      </c>
    </row>
    <row r="30" spans="1:5" x14ac:dyDescent="0.2">
      <c r="A30" s="2">
        <v>45309</v>
      </c>
      <c r="B30" t="s">
        <v>198</v>
      </c>
      <c r="C30">
        <v>220</v>
      </c>
      <c r="E30">
        <f t="shared" si="2"/>
        <v>1985</v>
      </c>
    </row>
    <row r="31" spans="1:5" x14ac:dyDescent="0.2">
      <c r="A31" s="2">
        <v>45309</v>
      </c>
      <c r="B31" t="s">
        <v>134</v>
      </c>
      <c r="D31">
        <v>218</v>
      </c>
      <c r="E31">
        <f t="shared" si="2"/>
        <v>1767</v>
      </c>
    </row>
    <row r="32" spans="1:5" x14ac:dyDescent="0.2">
      <c r="A32" s="2">
        <v>45309</v>
      </c>
      <c r="B32" t="s">
        <v>192</v>
      </c>
      <c r="D32">
        <v>40</v>
      </c>
      <c r="E32">
        <f t="shared" si="2"/>
        <v>1727</v>
      </c>
    </row>
    <row r="33" spans="1:5" x14ac:dyDescent="0.2">
      <c r="A33" s="2">
        <v>45309</v>
      </c>
      <c r="B33" t="s">
        <v>186</v>
      </c>
      <c r="D33">
        <v>135</v>
      </c>
      <c r="E33">
        <f t="shared" si="2"/>
        <v>1592</v>
      </c>
    </row>
    <row r="34" spans="1:5" x14ac:dyDescent="0.2">
      <c r="A34" s="2">
        <v>45310</v>
      </c>
      <c r="B34" t="s">
        <v>198</v>
      </c>
      <c r="C34">
        <v>135</v>
      </c>
      <c r="E34">
        <f t="shared" si="2"/>
        <v>1727</v>
      </c>
    </row>
    <row r="35" spans="1:5" x14ac:dyDescent="0.2">
      <c r="A35" s="2">
        <v>45310</v>
      </c>
      <c r="B35" t="s">
        <v>186</v>
      </c>
      <c r="D35">
        <v>120</v>
      </c>
      <c r="E35">
        <f t="shared" si="2"/>
        <v>1607</v>
      </c>
    </row>
    <row r="36" spans="1:5" x14ac:dyDescent="0.2">
      <c r="A36" s="2">
        <v>45310</v>
      </c>
      <c r="B36" t="s">
        <v>145</v>
      </c>
      <c r="D36">
        <v>50</v>
      </c>
      <c r="E36">
        <f t="shared" si="2"/>
        <v>1557</v>
      </c>
    </row>
    <row r="37" spans="1:5" x14ac:dyDescent="0.2">
      <c r="A37" s="5">
        <v>45310</v>
      </c>
      <c r="B37" s="4" t="s">
        <v>181</v>
      </c>
      <c r="C37">
        <v>35</v>
      </c>
      <c r="E37">
        <f t="shared" si="2"/>
        <v>1592</v>
      </c>
    </row>
    <row r="38" spans="1:5" x14ac:dyDescent="0.2">
      <c r="A38" s="2">
        <v>45311</v>
      </c>
      <c r="B38" t="s">
        <v>134</v>
      </c>
      <c r="D38">
        <v>150</v>
      </c>
      <c r="E38">
        <f>E37+C38-D38</f>
        <v>1442</v>
      </c>
    </row>
    <row r="39" spans="1:5" x14ac:dyDescent="0.2">
      <c r="A39" s="2">
        <v>45311</v>
      </c>
      <c r="B39" t="s">
        <v>145</v>
      </c>
      <c r="D39">
        <v>50</v>
      </c>
      <c r="E39">
        <f t="shared" ref="E39:E65" si="3">E38+C39-D39</f>
        <v>1392</v>
      </c>
    </row>
    <row r="40" spans="1:5" x14ac:dyDescent="0.2">
      <c r="A40" s="2">
        <v>45311</v>
      </c>
      <c r="B40" t="s">
        <v>186</v>
      </c>
      <c r="D40">
        <v>340</v>
      </c>
      <c r="E40">
        <f t="shared" si="3"/>
        <v>1052</v>
      </c>
    </row>
    <row r="41" spans="1:5" x14ac:dyDescent="0.2">
      <c r="A41" s="2">
        <v>45311</v>
      </c>
      <c r="B41" t="s">
        <v>191</v>
      </c>
      <c r="C41">
        <v>110</v>
      </c>
      <c r="E41">
        <f t="shared" si="3"/>
        <v>1162</v>
      </c>
    </row>
    <row r="42" spans="1:5" x14ac:dyDescent="0.2">
      <c r="A42" s="2">
        <v>45311</v>
      </c>
      <c r="B42" t="s">
        <v>207</v>
      </c>
      <c r="C42">
        <v>36</v>
      </c>
      <c r="E42">
        <f t="shared" si="3"/>
        <v>1198</v>
      </c>
    </row>
    <row r="43" spans="1:5" x14ac:dyDescent="0.2">
      <c r="A43" s="2">
        <v>45313</v>
      </c>
      <c r="B43" t="s">
        <v>186</v>
      </c>
      <c r="D43">
        <v>500</v>
      </c>
      <c r="E43">
        <f t="shared" si="3"/>
        <v>698</v>
      </c>
    </row>
    <row r="44" spans="1:5" x14ac:dyDescent="0.2">
      <c r="A44" s="2">
        <v>45313</v>
      </c>
      <c r="B44" t="s">
        <v>192</v>
      </c>
      <c r="D44">
        <v>23</v>
      </c>
      <c r="E44">
        <f t="shared" si="3"/>
        <v>675</v>
      </c>
    </row>
    <row r="45" spans="1:5" x14ac:dyDescent="0.2">
      <c r="A45" s="2">
        <v>45313</v>
      </c>
      <c r="B45" t="s">
        <v>209</v>
      </c>
      <c r="C45">
        <v>65</v>
      </c>
      <c r="E45">
        <f t="shared" si="3"/>
        <v>740</v>
      </c>
    </row>
    <row r="46" spans="1:5" x14ac:dyDescent="0.2">
      <c r="A46" s="2">
        <v>45313</v>
      </c>
      <c r="B46" t="s">
        <v>210</v>
      </c>
      <c r="C46">
        <f>160+95+120</f>
        <v>375</v>
      </c>
      <c r="E46">
        <f t="shared" si="3"/>
        <v>1115</v>
      </c>
    </row>
    <row r="47" spans="1:5" x14ac:dyDescent="0.2">
      <c r="A47" s="2">
        <v>45314</v>
      </c>
      <c r="B47" t="s">
        <v>145</v>
      </c>
      <c r="D47">
        <v>80</v>
      </c>
      <c r="E47">
        <f t="shared" si="3"/>
        <v>1035</v>
      </c>
    </row>
    <row r="48" spans="1:5" x14ac:dyDescent="0.2">
      <c r="A48" s="2">
        <v>45315</v>
      </c>
      <c r="B48" t="s">
        <v>215</v>
      </c>
      <c r="C48">
        <v>15</v>
      </c>
      <c r="E48">
        <f t="shared" si="3"/>
        <v>1050</v>
      </c>
    </row>
    <row r="49" spans="1:5" x14ac:dyDescent="0.2">
      <c r="A49" s="2">
        <v>45315</v>
      </c>
      <c r="B49" t="s">
        <v>215</v>
      </c>
      <c r="C49">
        <v>85</v>
      </c>
      <c r="E49">
        <f t="shared" si="3"/>
        <v>1135</v>
      </c>
    </row>
    <row r="50" spans="1:5" x14ac:dyDescent="0.2">
      <c r="A50" s="2">
        <v>45316</v>
      </c>
      <c r="B50" t="s">
        <v>148</v>
      </c>
      <c r="D50">
        <v>40</v>
      </c>
      <c r="E50">
        <f t="shared" si="3"/>
        <v>1095</v>
      </c>
    </row>
    <row r="51" spans="1:5" x14ac:dyDescent="0.2">
      <c r="A51" s="2">
        <v>45316</v>
      </c>
      <c r="B51" t="s">
        <v>218</v>
      </c>
      <c r="C51">
        <v>149</v>
      </c>
      <c r="E51">
        <f t="shared" si="3"/>
        <v>1244</v>
      </c>
    </row>
    <row r="52" spans="1:5" x14ac:dyDescent="0.2">
      <c r="A52" s="2">
        <v>45317</v>
      </c>
      <c r="B52" s="4" t="s">
        <v>219</v>
      </c>
      <c r="D52">
        <v>149</v>
      </c>
      <c r="E52">
        <f t="shared" si="3"/>
        <v>1095</v>
      </c>
    </row>
    <row r="53" spans="1:5" x14ac:dyDescent="0.2">
      <c r="A53" s="2">
        <v>45317</v>
      </c>
      <c r="B53" t="s">
        <v>145</v>
      </c>
      <c r="D53">
        <v>70</v>
      </c>
      <c r="E53">
        <f t="shared" si="3"/>
        <v>1025</v>
      </c>
    </row>
    <row r="54" spans="1:5" x14ac:dyDescent="0.2">
      <c r="A54" s="2">
        <v>45320</v>
      </c>
      <c r="B54" t="s">
        <v>82</v>
      </c>
      <c r="C54">
        <v>84</v>
      </c>
      <c r="E54">
        <f t="shared" si="3"/>
        <v>1109</v>
      </c>
    </row>
    <row r="55" spans="1:5" x14ac:dyDescent="0.2">
      <c r="A55" s="2">
        <v>45320</v>
      </c>
      <c r="B55" t="s">
        <v>225</v>
      </c>
      <c r="D55">
        <v>60</v>
      </c>
      <c r="E55">
        <f t="shared" si="3"/>
        <v>1049</v>
      </c>
    </row>
    <row r="56" spans="1:5" x14ac:dyDescent="0.2">
      <c r="A56" s="2">
        <v>45321</v>
      </c>
      <c r="B56" t="s">
        <v>227</v>
      </c>
      <c r="C56">
        <v>22</v>
      </c>
      <c r="E56">
        <f t="shared" si="3"/>
        <v>1071</v>
      </c>
    </row>
    <row r="57" spans="1:5" x14ac:dyDescent="0.2">
      <c r="A57" s="2">
        <v>45321</v>
      </c>
      <c r="B57" t="s">
        <v>79</v>
      </c>
      <c r="C57">
        <v>291</v>
      </c>
      <c r="E57">
        <f t="shared" si="3"/>
        <v>1362</v>
      </c>
    </row>
    <row r="58" spans="1:5" x14ac:dyDescent="0.2">
      <c r="A58" s="5">
        <v>45322</v>
      </c>
      <c r="B58" s="4" t="s">
        <v>228</v>
      </c>
      <c r="D58">
        <v>24</v>
      </c>
      <c r="E58">
        <f t="shared" si="3"/>
        <v>1338</v>
      </c>
    </row>
    <row r="59" spans="1:5" x14ac:dyDescent="0.2">
      <c r="A59" s="2">
        <v>45322</v>
      </c>
      <c r="B59" t="s">
        <v>191</v>
      </c>
      <c r="C59">
        <v>55</v>
      </c>
      <c r="E59">
        <f t="shared" si="3"/>
        <v>1393</v>
      </c>
    </row>
    <row r="60" spans="1:5" x14ac:dyDescent="0.2">
      <c r="A60" s="2">
        <v>45322</v>
      </c>
      <c r="B60" t="s">
        <v>191</v>
      </c>
      <c r="C60">
        <v>60</v>
      </c>
      <c r="E60">
        <f t="shared" si="3"/>
        <v>1453</v>
      </c>
    </row>
    <row r="61" spans="1:5" x14ac:dyDescent="0.2">
      <c r="A61" s="2">
        <v>45323</v>
      </c>
      <c r="B61" t="s">
        <v>103</v>
      </c>
      <c r="D61">
        <v>30</v>
      </c>
      <c r="E61">
        <f t="shared" si="3"/>
        <v>1423</v>
      </c>
    </row>
    <row r="62" spans="1:5" x14ac:dyDescent="0.2">
      <c r="A62" s="2">
        <v>45323</v>
      </c>
      <c r="B62" t="s">
        <v>168</v>
      </c>
      <c r="C62">
        <v>90</v>
      </c>
      <c r="E62">
        <f t="shared" si="3"/>
        <v>1513</v>
      </c>
    </row>
    <row r="63" spans="1:5" x14ac:dyDescent="0.2">
      <c r="A63" s="2">
        <v>45323</v>
      </c>
      <c r="B63" t="s">
        <v>181</v>
      </c>
      <c r="C63">
        <v>64</v>
      </c>
      <c r="E63">
        <f t="shared" si="3"/>
        <v>1577</v>
      </c>
    </row>
    <row r="64" spans="1:5" x14ac:dyDescent="0.2">
      <c r="A64" s="2">
        <v>45324</v>
      </c>
      <c r="B64" t="s">
        <v>82</v>
      </c>
      <c r="C64">
        <v>64</v>
      </c>
      <c r="E64">
        <f t="shared" si="3"/>
        <v>1641</v>
      </c>
    </row>
    <row r="65" spans="1:5" x14ac:dyDescent="0.2">
      <c r="A65" s="2">
        <v>45325</v>
      </c>
      <c r="B65" t="s">
        <v>222</v>
      </c>
      <c r="D65">
        <v>8</v>
      </c>
      <c r="E65">
        <f t="shared" si="3"/>
        <v>1633</v>
      </c>
    </row>
    <row r="66" spans="1:5" x14ac:dyDescent="0.2">
      <c r="A66" s="2">
        <v>45325</v>
      </c>
      <c r="B66" t="s">
        <v>191</v>
      </c>
      <c r="C66">
        <v>22</v>
      </c>
      <c r="E66">
        <f>E65+C66-D66</f>
        <v>1655</v>
      </c>
    </row>
    <row r="67" spans="1:5" x14ac:dyDescent="0.2">
      <c r="A67" s="2">
        <v>45327</v>
      </c>
      <c r="B67" t="s">
        <v>234</v>
      </c>
      <c r="D67">
        <v>500</v>
      </c>
      <c r="E67">
        <f t="shared" ref="E67:E78" si="4">E66+C67-D67</f>
        <v>1155</v>
      </c>
    </row>
    <row r="68" spans="1:5" x14ac:dyDescent="0.2">
      <c r="A68" s="2">
        <v>45327</v>
      </c>
      <c r="B68" t="s">
        <v>235</v>
      </c>
      <c r="C68">
        <v>298</v>
      </c>
      <c r="E68">
        <f t="shared" si="4"/>
        <v>1453</v>
      </c>
    </row>
    <row r="69" spans="1:5" x14ac:dyDescent="0.2">
      <c r="A69" s="2">
        <v>45327</v>
      </c>
      <c r="B69" t="s">
        <v>138</v>
      </c>
      <c r="C69">
        <v>22</v>
      </c>
      <c r="E69">
        <f t="shared" si="4"/>
        <v>1475</v>
      </c>
    </row>
    <row r="70" spans="1:5" x14ac:dyDescent="0.2">
      <c r="A70" s="2">
        <v>45328</v>
      </c>
      <c r="B70" t="s">
        <v>91</v>
      </c>
      <c r="D70">
        <v>90</v>
      </c>
      <c r="E70">
        <f t="shared" si="4"/>
        <v>1385</v>
      </c>
    </row>
    <row r="71" spans="1:5" x14ac:dyDescent="0.2">
      <c r="A71" s="2">
        <v>45328</v>
      </c>
      <c r="B71" t="s">
        <v>209</v>
      </c>
      <c r="C71">
        <v>76</v>
      </c>
      <c r="E71">
        <f t="shared" si="4"/>
        <v>1461</v>
      </c>
    </row>
    <row r="72" spans="1:5" x14ac:dyDescent="0.2">
      <c r="A72" s="2">
        <v>45328</v>
      </c>
      <c r="B72" t="s">
        <v>70</v>
      </c>
      <c r="C72">
        <v>25</v>
      </c>
      <c r="E72">
        <f t="shared" si="4"/>
        <v>1486</v>
      </c>
    </row>
    <row r="73" spans="1:5" x14ac:dyDescent="0.2">
      <c r="A73" s="2">
        <v>45328</v>
      </c>
      <c r="B73" t="s">
        <v>81</v>
      </c>
      <c r="C73">
        <v>3</v>
      </c>
      <c r="E73">
        <f t="shared" si="4"/>
        <v>1489</v>
      </c>
    </row>
    <row r="74" spans="1:5" x14ac:dyDescent="0.2">
      <c r="A74" s="2">
        <v>45328</v>
      </c>
      <c r="B74" t="s">
        <v>191</v>
      </c>
      <c r="C74">
        <v>23</v>
      </c>
      <c r="E74">
        <f t="shared" si="4"/>
        <v>1512</v>
      </c>
    </row>
    <row r="75" spans="1:5" x14ac:dyDescent="0.2">
      <c r="A75" s="2">
        <v>45328</v>
      </c>
      <c r="B75" t="s">
        <v>191</v>
      </c>
      <c r="C75">
        <v>65</v>
      </c>
      <c r="E75">
        <f t="shared" si="4"/>
        <v>1577</v>
      </c>
    </row>
    <row r="76" spans="1:5" x14ac:dyDescent="0.2">
      <c r="A76" s="2">
        <v>45329</v>
      </c>
      <c r="B76" t="s">
        <v>91</v>
      </c>
      <c r="D76">
        <v>310</v>
      </c>
      <c r="E76">
        <f t="shared" si="4"/>
        <v>1267</v>
      </c>
    </row>
    <row r="77" spans="1:5" x14ac:dyDescent="0.2">
      <c r="A77" s="2">
        <v>45329</v>
      </c>
      <c r="B77" t="s">
        <v>140</v>
      </c>
      <c r="D77">
        <v>60</v>
      </c>
      <c r="E77">
        <f t="shared" si="4"/>
        <v>1207</v>
      </c>
    </row>
    <row r="78" spans="1:5" x14ac:dyDescent="0.2">
      <c r="A78" s="2">
        <v>45329</v>
      </c>
      <c r="B78" t="s">
        <v>318</v>
      </c>
      <c r="C78">
        <v>85</v>
      </c>
      <c r="D78">
        <v>85</v>
      </c>
      <c r="E78">
        <f t="shared" si="4"/>
        <v>1207</v>
      </c>
    </row>
    <row r="79" spans="1:5" x14ac:dyDescent="0.2">
      <c r="A79" s="2">
        <v>45329</v>
      </c>
      <c r="B79" t="s">
        <v>191</v>
      </c>
      <c r="C79">
        <v>55</v>
      </c>
      <c r="E79">
        <f>E78+C79-D79</f>
        <v>1262</v>
      </c>
    </row>
    <row r="80" spans="1:5" x14ac:dyDescent="0.2">
      <c r="A80" s="2">
        <v>45329</v>
      </c>
      <c r="B80" t="s">
        <v>68</v>
      </c>
      <c r="C80">
        <v>56</v>
      </c>
      <c r="E80">
        <f t="shared" ref="E80:E93" si="5">E79+C80-D80</f>
        <v>1318</v>
      </c>
    </row>
    <row r="81" spans="1:5" x14ac:dyDescent="0.2">
      <c r="A81" s="2">
        <v>45331</v>
      </c>
      <c r="B81" t="s">
        <v>192</v>
      </c>
      <c r="C81">
        <v>26</v>
      </c>
      <c r="E81">
        <f t="shared" si="5"/>
        <v>1344</v>
      </c>
    </row>
    <row r="82" spans="1:5" x14ac:dyDescent="0.2">
      <c r="A82" s="2">
        <v>45331</v>
      </c>
      <c r="B82" t="s">
        <v>225</v>
      </c>
      <c r="D82">
        <v>26</v>
      </c>
      <c r="E82">
        <f t="shared" si="5"/>
        <v>1318</v>
      </c>
    </row>
    <row r="83" spans="1:5" x14ac:dyDescent="0.2">
      <c r="A83" s="2">
        <v>45331</v>
      </c>
      <c r="B83" t="s">
        <v>70</v>
      </c>
      <c r="C83">
        <v>59</v>
      </c>
      <c r="E83">
        <f t="shared" si="5"/>
        <v>1377</v>
      </c>
    </row>
    <row r="84" spans="1:5" x14ac:dyDescent="0.2">
      <c r="A84" s="2">
        <v>45334</v>
      </c>
      <c r="B84" t="s">
        <v>211</v>
      </c>
      <c r="C84">
        <v>41</v>
      </c>
      <c r="E84">
        <f t="shared" si="5"/>
        <v>1418</v>
      </c>
    </row>
    <row r="85" spans="1:5" x14ac:dyDescent="0.2">
      <c r="A85" s="2">
        <v>45335</v>
      </c>
      <c r="B85" t="s">
        <v>70</v>
      </c>
      <c r="C85">
        <v>52</v>
      </c>
      <c r="E85">
        <f t="shared" si="5"/>
        <v>1470</v>
      </c>
    </row>
    <row r="86" spans="1:5" x14ac:dyDescent="0.2">
      <c r="A86" s="2">
        <v>45335</v>
      </c>
      <c r="B86" t="s">
        <v>227</v>
      </c>
      <c r="C86">
        <v>86</v>
      </c>
      <c r="E86">
        <f t="shared" si="5"/>
        <v>1556</v>
      </c>
    </row>
    <row r="87" spans="1:5" x14ac:dyDescent="0.2">
      <c r="A87" s="2">
        <v>45335</v>
      </c>
      <c r="B87" t="s">
        <v>181</v>
      </c>
      <c r="C87">
        <v>57</v>
      </c>
      <c r="E87">
        <f t="shared" si="5"/>
        <v>1613</v>
      </c>
    </row>
    <row r="88" spans="1:5" x14ac:dyDescent="0.2">
      <c r="A88" s="2">
        <v>45337</v>
      </c>
      <c r="B88" t="s">
        <v>234</v>
      </c>
      <c r="D88">
        <v>126</v>
      </c>
      <c r="E88">
        <f t="shared" si="5"/>
        <v>1487</v>
      </c>
    </row>
    <row r="89" spans="1:5" x14ac:dyDescent="0.2">
      <c r="A89" s="2">
        <v>45337</v>
      </c>
      <c r="B89" t="s">
        <v>234</v>
      </c>
      <c r="C89">
        <v>160</v>
      </c>
      <c r="E89">
        <f t="shared" si="5"/>
        <v>1647</v>
      </c>
    </row>
    <row r="90" spans="1:5" x14ac:dyDescent="0.2">
      <c r="A90" s="2">
        <v>45337</v>
      </c>
      <c r="B90" t="s">
        <v>222</v>
      </c>
      <c r="C90">
        <v>85</v>
      </c>
      <c r="E90">
        <f t="shared" si="5"/>
        <v>1732</v>
      </c>
    </row>
    <row r="91" spans="1:5" x14ac:dyDescent="0.2">
      <c r="A91" s="2">
        <v>45337</v>
      </c>
      <c r="B91" t="s">
        <v>148</v>
      </c>
      <c r="C91">
        <v>55</v>
      </c>
      <c r="E91">
        <f t="shared" si="5"/>
        <v>1787</v>
      </c>
    </row>
    <row r="92" spans="1:5" x14ac:dyDescent="0.2">
      <c r="A92" s="2">
        <v>45338</v>
      </c>
      <c r="B92" t="s">
        <v>68</v>
      </c>
      <c r="C92">
        <v>100</v>
      </c>
      <c r="E92">
        <f t="shared" si="5"/>
        <v>1887</v>
      </c>
    </row>
    <row r="93" spans="1:5" x14ac:dyDescent="0.2">
      <c r="A93" s="2">
        <v>45338</v>
      </c>
      <c r="B93" t="s">
        <v>179</v>
      </c>
      <c r="D93">
        <v>100</v>
      </c>
      <c r="E93">
        <f t="shared" si="5"/>
        <v>1787</v>
      </c>
    </row>
    <row r="94" spans="1:5" x14ac:dyDescent="0.2">
      <c r="A94" s="2">
        <v>45338</v>
      </c>
      <c r="B94" t="s">
        <v>192</v>
      </c>
      <c r="C94">
        <v>2</v>
      </c>
      <c r="E94">
        <f>E93+C94-D94</f>
        <v>1789</v>
      </c>
    </row>
    <row r="95" spans="1:5" x14ac:dyDescent="0.2">
      <c r="A95" s="2">
        <v>45338</v>
      </c>
      <c r="B95" t="s">
        <v>211</v>
      </c>
      <c r="C95">
        <v>10</v>
      </c>
      <c r="E95">
        <f t="shared" ref="E95:E114" si="6">E94+C95-D95</f>
        <v>1799</v>
      </c>
    </row>
    <row r="96" spans="1:5" x14ac:dyDescent="0.2">
      <c r="A96" s="2">
        <v>45339</v>
      </c>
      <c r="B96" t="s">
        <v>179</v>
      </c>
      <c r="D96">
        <v>80</v>
      </c>
      <c r="E96">
        <f t="shared" si="6"/>
        <v>1719</v>
      </c>
    </row>
    <row r="97" spans="1:5" x14ac:dyDescent="0.2">
      <c r="A97" s="2">
        <v>45339</v>
      </c>
      <c r="B97" t="s">
        <v>235</v>
      </c>
      <c r="C97">
        <v>17</v>
      </c>
      <c r="E97">
        <f t="shared" si="6"/>
        <v>1736</v>
      </c>
    </row>
    <row r="98" spans="1:5" x14ac:dyDescent="0.2">
      <c r="A98" s="2">
        <v>45339</v>
      </c>
      <c r="B98" t="s">
        <v>235</v>
      </c>
      <c r="C98">
        <v>125</v>
      </c>
      <c r="E98">
        <f t="shared" si="6"/>
        <v>1861</v>
      </c>
    </row>
    <row r="99" spans="1:5" x14ac:dyDescent="0.2">
      <c r="A99" s="2">
        <v>45341</v>
      </c>
      <c r="B99" t="s">
        <v>266</v>
      </c>
      <c r="D99">
        <v>310</v>
      </c>
      <c r="E99">
        <f t="shared" si="6"/>
        <v>1551</v>
      </c>
    </row>
    <row r="100" spans="1:5" x14ac:dyDescent="0.2">
      <c r="A100" s="2">
        <v>45341</v>
      </c>
      <c r="B100" t="s">
        <v>225</v>
      </c>
      <c r="D100">
        <v>14</v>
      </c>
      <c r="E100">
        <f t="shared" si="6"/>
        <v>1537</v>
      </c>
    </row>
    <row r="101" spans="1:5" x14ac:dyDescent="0.2">
      <c r="A101" s="2">
        <v>45341</v>
      </c>
      <c r="B101" t="s">
        <v>70</v>
      </c>
      <c r="C101">
        <v>15</v>
      </c>
      <c r="E101">
        <f t="shared" si="6"/>
        <v>1552</v>
      </c>
    </row>
    <row r="102" spans="1:5" x14ac:dyDescent="0.2">
      <c r="A102" s="2">
        <v>45342</v>
      </c>
      <c r="B102" t="s">
        <v>270</v>
      </c>
      <c r="D102">
        <v>52</v>
      </c>
      <c r="E102">
        <f t="shared" si="6"/>
        <v>1500</v>
      </c>
    </row>
    <row r="103" spans="1:5" x14ac:dyDescent="0.2">
      <c r="A103" s="2">
        <v>45342</v>
      </c>
      <c r="B103" t="s">
        <v>270</v>
      </c>
      <c r="D103">
        <v>150</v>
      </c>
      <c r="E103">
        <f t="shared" si="6"/>
        <v>1350</v>
      </c>
    </row>
    <row r="104" spans="1:5" x14ac:dyDescent="0.2">
      <c r="A104" s="2">
        <v>45342</v>
      </c>
      <c r="B104" t="s">
        <v>181</v>
      </c>
      <c r="C104">
        <v>101</v>
      </c>
      <c r="E104">
        <f t="shared" si="6"/>
        <v>1451</v>
      </c>
    </row>
    <row r="105" spans="1:5" x14ac:dyDescent="0.2">
      <c r="A105" s="2">
        <v>45342</v>
      </c>
      <c r="B105" t="s">
        <v>68</v>
      </c>
      <c r="C105">
        <v>52</v>
      </c>
      <c r="E105">
        <f t="shared" si="6"/>
        <v>1503</v>
      </c>
    </row>
    <row r="106" spans="1:5" x14ac:dyDescent="0.2">
      <c r="A106" s="2">
        <v>45342</v>
      </c>
      <c r="B106" t="s">
        <v>70</v>
      </c>
      <c r="C106">
        <v>8</v>
      </c>
      <c r="E106">
        <f t="shared" si="6"/>
        <v>1511</v>
      </c>
    </row>
    <row r="107" spans="1:5" x14ac:dyDescent="0.2">
      <c r="A107" s="2">
        <v>45343</v>
      </c>
      <c r="B107" t="s">
        <v>272</v>
      </c>
      <c r="D107">
        <v>50</v>
      </c>
      <c r="E107">
        <f t="shared" si="6"/>
        <v>1461</v>
      </c>
    </row>
    <row r="108" spans="1:5" x14ac:dyDescent="0.2">
      <c r="A108" s="2">
        <v>45343</v>
      </c>
      <c r="B108" t="s">
        <v>274</v>
      </c>
      <c r="D108">
        <v>20</v>
      </c>
      <c r="E108">
        <f t="shared" si="6"/>
        <v>1441</v>
      </c>
    </row>
    <row r="109" spans="1:5" x14ac:dyDescent="0.2">
      <c r="A109" s="5">
        <v>45343</v>
      </c>
      <c r="B109" s="4" t="s">
        <v>270</v>
      </c>
      <c r="D109">
        <v>100</v>
      </c>
      <c r="E109">
        <f t="shared" si="6"/>
        <v>1341</v>
      </c>
    </row>
    <row r="110" spans="1:5" x14ac:dyDescent="0.2">
      <c r="A110" s="2">
        <v>45343</v>
      </c>
      <c r="B110" t="s">
        <v>225</v>
      </c>
      <c r="D110">
        <v>228</v>
      </c>
      <c r="E110">
        <f t="shared" si="6"/>
        <v>1113</v>
      </c>
    </row>
    <row r="111" spans="1:5" x14ac:dyDescent="0.2">
      <c r="A111" s="2">
        <v>45343</v>
      </c>
      <c r="B111" t="s">
        <v>266</v>
      </c>
      <c r="D111">
        <v>440</v>
      </c>
      <c r="E111">
        <f t="shared" si="6"/>
        <v>673</v>
      </c>
    </row>
    <row r="112" spans="1:5" x14ac:dyDescent="0.2">
      <c r="A112" s="2">
        <v>45343</v>
      </c>
      <c r="B112" t="s">
        <v>68</v>
      </c>
      <c r="C112">
        <v>84</v>
      </c>
      <c r="E112">
        <f t="shared" si="6"/>
        <v>757</v>
      </c>
    </row>
    <row r="113" spans="1:5" x14ac:dyDescent="0.2">
      <c r="A113" s="2">
        <v>45343</v>
      </c>
      <c r="B113" t="s">
        <v>68</v>
      </c>
      <c r="C113">
        <v>100</v>
      </c>
      <c r="E113">
        <f t="shared" si="6"/>
        <v>857</v>
      </c>
    </row>
    <row r="114" spans="1:5" x14ac:dyDescent="0.2">
      <c r="A114" s="2">
        <v>45343</v>
      </c>
      <c r="B114" s="4" t="s">
        <v>227</v>
      </c>
      <c r="C114">
        <v>91</v>
      </c>
      <c r="E114">
        <f t="shared" si="6"/>
        <v>948</v>
      </c>
    </row>
    <row r="115" spans="1:5" x14ac:dyDescent="0.2">
      <c r="A115" s="2">
        <v>45343</v>
      </c>
      <c r="B115" t="s">
        <v>181</v>
      </c>
      <c r="C115">
        <v>62</v>
      </c>
      <c r="E115">
        <f>E114+C115-D115</f>
        <v>1010</v>
      </c>
    </row>
    <row r="116" spans="1:5" x14ac:dyDescent="0.2">
      <c r="A116" s="5">
        <v>45343</v>
      </c>
      <c r="B116" s="4" t="s">
        <v>209</v>
      </c>
      <c r="C116">
        <v>40</v>
      </c>
      <c r="E116">
        <f t="shared" ref="E116:E126" si="7">E115+C116-D116</f>
        <v>1050</v>
      </c>
    </row>
    <row r="117" spans="1:5" x14ac:dyDescent="0.2">
      <c r="A117" s="2">
        <v>45344</v>
      </c>
      <c r="B117" t="s">
        <v>82</v>
      </c>
      <c r="C117">
        <v>68</v>
      </c>
      <c r="E117">
        <f t="shared" si="7"/>
        <v>1118</v>
      </c>
    </row>
    <row r="118" spans="1:5" x14ac:dyDescent="0.2">
      <c r="A118" s="2">
        <v>45344</v>
      </c>
      <c r="B118" s="4" t="s">
        <v>225</v>
      </c>
      <c r="D118">
        <v>68</v>
      </c>
      <c r="E118">
        <f t="shared" si="7"/>
        <v>1050</v>
      </c>
    </row>
    <row r="119" spans="1:5" x14ac:dyDescent="0.2">
      <c r="A119" s="2">
        <v>45344</v>
      </c>
      <c r="B119" t="s">
        <v>278</v>
      </c>
      <c r="D119">
        <v>80</v>
      </c>
      <c r="E119">
        <f t="shared" si="7"/>
        <v>970</v>
      </c>
    </row>
    <row r="120" spans="1:5" x14ac:dyDescent="0.2">
      <c r="A120" s="2">
        <v>45344</v>
      </c>
      <c r="B120" s="4" t="s">
        <v>270</v>
      </c>
      <c r="D120">
        <v>55</v>
      </c>
      <c r="E120">
        <f t="shared" si="7"/>
        <v>915</v>
      </c>
    </row>
    <row r="121" spans="1:5" x14ac:dyDescent="0.2">
      <c r="A121" s="2">
        <v>45344</v>
      </c>
      <c r="B121" t="s">
        <v>235</v>
      </c>
      <c r="C121">
        <v>134</v>
      </c>
      <c r="E121">
        <f t="shared" si="7"/>
        <v>1049</v>
      </c>
    </row>
    <row r="122" spans="1:5" x14ac:dyDescent="0.2">
      <c r="A122" s="2">
        <v>45344</v>
      </c>
      <c r="B122" s="4" t="s">
        <v>68</v>
      </c>
      <c r="C122">
        <v>55</v>
      </c>
      <c r="E122">
        <f t="shared" si="7"/>
        <v>1104</v>
      </c>
    </row>
    <row r="123" spans="1:5" x14ac:dyDescent="0.2">
      <c r="A123" s="2">
        <v>45345</v>
      </c>
      <c r="B123" t="s">
        <v>272</v>
      </c>
      <c r="D123">
        <v>100</v>
      </c>
      <c r="E123">
        <f t="shared" si="7"/>
        <v>1004</v>
      </c>
    </row>
    <row r="124" spans="1:5" x14ac:dyDescent="0.2">
      <c r="A124" s="2">
        <v>45345</v>
      </c>
      <c r="B124" s="4" t="s">
        <v>224</v>
      </c>
      <c r="D124">
        <v>50</v>
      </c>
      <c r="E124">
        <f t="shared" si="7"/>
        <v>954</v>
      </c>
    </row>
    <row r="125" spans="1:5" x14ac:dyDescent="0.2">
      <c r="A125" s="2">
        <v>45345</v>
      </c>
      <c r="B125" t="s">
        <v>209</v>
      </c>
      <c r="C125">
        <v>82</v>
      </c>
      <c r="E125">
        <f t="shared" si="7"/>
        <v>1036</v>
      </c>
    </row>
    <row r="126" spans="1:5" x14ac:dyDescent="0.2">
      <c r="A126" s="2">
        <v>45345</v>
      </c>
      <c r="B126" s="4" t="s">
        <v>280</v>
      </c>
      <c r="C126">
        <v>124</v>
      </c>
      <c r="E126">
        <f t="shared" si="7"/>
        <v>1160</v>
      </c>
    </row>
    <row r="127" spans="1:5" x14ac:dyDescent="0.2">
      <c r="A127" s="2">
        <v>45346</v>
      </c>
      <c r="B127" t="s">
        <v>281</v>
      </c>
      <c r="D127">
        <v>100</v>
      </c>
      <c r="E127">
        <f>E126+C127-D127</f>
        <v>1060</v>
      </c>
    </row>
    <row r="128" spans="1:5" x14ac:dyDescent="0.2">
      <c r="A128" s="2">
        <v>45346</v>
      </c>
      <c r="B128" s="4" t="s">
        <v>181</v>
      </c>
      <c r="C128">
        <v>163</v>
      </c>
      <c r="E128">
        <f t="shared" ref="E128:E136" si="8">E127+C128-D128</f>
        <v>1223</v>
      </c>
    </row>
    <row r="129" spans="1:5" x14ac:dyDescent="0.2">
      <c r="A129" s="2">
        <v>45346</v>
      </c>
      <c r="B129" t="s">
        <v>278</v>
      </c>
      <c r="D129">
        <v>12</v>
      </c>
      <c r="E129">
        <f t="shared" si="8"/>
        <v>1211</v>
      </c>
    </row>
    <row r="130" spans="1:5" x14ac:dyDescent="0.2">
      <c r="A130" s="2">
        <v>45348</v>
      </c>
      <c r="B130" s="4" t="s">
        <v>234</v>
      </c>
      <c r="D130">
        <v>280</v>
      </c>
      <c r="E130">
        <f t="shared" si="8"/>
        <v>931</v>
      </c>
    </row>
    <row r="131" spans="1:5" x14ac:dyDescent="0.2">
      <c r="A131" s="2">
        <v>45348</v>
      </c>
      <c r="B131" t="s">
        <v>191</v>
      </c>
      <c r="C131">
        <v>58</v>
      </c>
      <c r="E131">
        <f t="shared" si="8"/>
        <v>989</v>
      </c>
    </row>
    <row r="132" spans="1:5" x14ac:dyDescent="0.2">
      <c r="A132" s="2">
        <v>45348</v>
      </c>
      <c r="B132" s="4" t="s">
        <v>229</v>
      </c>
      <c r="C132">
        <v>17</v>
      </c>
      <c r="E132">
        <f t="shared" si="8"/>
        <v>1006</v>
      </c>
    </row>
    <row r="133" spans="1:5" x14ac:dyDescent="0.2">
      <c r="A133" s="2">
        <v>45348</v>
      </c>
      <c r="B133" t="s">
        <v>235</v>
      </c>
      <c r="C133">
        <v>117</v>
      </c>
      <c r="E133">
        <f t="shared" si="8"/>
        <v>1123</v>
      </c>
    </row>
    <row r="134" spans="1:5" x14ac:dyDescent="0.2">
      <c r="A134" s="2">
        <v>45348</v>
      </c>
      <c r="B134" s="4" t="s">
        <v>235</v>
      </c>
      <c r="C134">
        <v>127</v>
      </c>
      <c r="E134">
        <f t="shared" si="8"/>
        <v>1250</v>
      </c>
    </row>
    <row r="135" spans="1:5" x14ac:dyDescent="0.2">
      <c r="A135" s="2">
        <v>45349</v>
      </c>
      <c r="B135" s="4" t="s">
        <v>288</v>
      </c>
      <c r="D135">
        <v>60</v>
      </c>
      <c r="E135">
        <f t="shared" si="8"/>
        <v>1190</v>
      </c>
    </row>
    <row r="136" spans="1:5" x14ac:dyDescent="0.2">
      <c r="A136" s="2">
        <v>45349</v>
      </c>
      <c r="B136" s="4" t="s">
        <v>135</v>
      </c>
      <c r="D136">
        <v>10</v>
      </c>
      <c r="E136">
        <f t="shared" si="8"/>
        <v>1180</v>
      </c>
    </row>
    <row r="137" spans="1:5" x14ac:dyDescent="0.2">
      <c r="A137" s="2">
        <v>45349</v>
      </c>
      <c r="B137" s="4" t="s">
        <v>272</v>
      </c>
      <c r="D137">
        <v>50</v>
      </c>
      <c r="E137">
        <f>E136+C137-D137</f>
        <v>1130</v>
      </c>
    </row>
    <row r="138" spans="1:5" x14ac:dyDescent="0.2">
      <c r="A138" s="2">
        <v>45349</v>
      </c>
      <c r="B138" s="4" t="s">
        <v>211</v>
      </c>
      <c r="C138">
        <v>54</v>
      </c>
      <c r="E138">
        <f t="shared" ref="E138:E152" si="9">E137+C138-D138</f>
        <v>1184</v>
      </c>
    </row>
    <row r="139" spans="1:5" x14ac:dyDescent="0.2">
      <c r="A139" s="2">
        <v>45350</v>
      </c>
      <c r="B139" s="4" t="s">
        <v>292</v>
      </c>
      <c r="D139">
        <v>40</v>
      </c>
      <c r="E139">
        <f t="shared" si="9"/>
        <v>1144</v>
      </c>
    </row>
    <row r="140" spans="1:5" x14ac:dyDescent="0.2">
      <c r="A140" s="2">
        <v>45350</v>
      </c>
      <c r="B140" s="4" t="s">
        <v>293</v>
      </c>
      <c r="C140">
        <v>30</v>
      </c>
      <c r="E140">
        <f t="shared" si="9"/>
        <v>1174</v>
      </c>
    </row>
    <row r="141" spans="1:5" x14ac:dyDescent="0.2">
      <c r="A141" s="2">
        <v>45350</v>
      </c>
      <c r="B141" s="4" t="s">
        <v>79</v>
      </c>
      <c r="C141">
        <v>118</v>
      </c>
      <c r="E141">
        <f t="shared" si="9"/>
        <v>1292</v>
      </c>
    </row>
    <row r="142" spans="1:5" x14ac:dyDescent="0.2">
      <c r="A142" s="2">
        <v>45350</v>
      </c>
      <c r="B142" s="4" t="s">
        <v>79</v>
      </c>
      <c r="C142">
        <v>85</v>
      </c>
      <c r="E142">
        <f t="shared" si="9"/>
        <v>1377</v>
      </c>
    </row>
    <row r="143" spans="1:5" x14ac:dyDescent="0.2">
      <c r="A143" s="2">
        <v>45350</v>
      </c>
      <c r="B143" s="4" t="s">
        <v>135</v>
      </c>
      <c r="C143">
        <v>10</v>
      </c>
      <c r="E143">
        <f t="shared" si="9"/>
        <v>1387</v>
      </c>
    </row>
    <row r="144" spans="1:5" x14ac:dyDescent="0.2">
      <c r="A144" s="2">
        <v>45350</v>
      </c>
      <c r="B144" s="4" t="s">
        <v>211</v>
      </c>
      <c r="C144">
        <v>17</v>
      </c>
      <c r="E144">
        <f t="shared" si="9"/>
        <v>1404</v>
      </c>
    </row>
    <row r="145" spans="1:5" x14ac:dyDescent="0.2">
      <c r="A145" s="2">
        <v>45350</v>
      </c>
      <c r="B145" s="4" t="s">
        <v>209</v>
      </c>
      <c r="C145">
        <v>47</v>
      </c>
      <c r="E145">
        <f t="shared" si="9"/>
        <v>1451</v>
      </c>
    </row>
    <row r="146" spans="1:5" x14ac:dyDescent="0.2">
      <c r="A146" s="5">
        <v>45350</v>
      </c>
      <c r="B146" s="4" t="s">
        <v>168</v>
      </c>
      <c r="C146">
        <v>95</v>
      </c>
      <c r="E146">
        <f t="shared" si="9"/>
        <v>1546</v>
      </c>
    </row>
    <row r="147" spans="1:5" x14ac:dyDescent="0.2">
      <c r="A147" s="2">
        <v>45351</v>
      </c>
      <c r="B147" s="4" t="s">
        <v>295</v>
      </c>
      <c r="D147">
        <v>30</v>
      </c>
      <c r="E147">
        <f t="shared" si="9"/>
        <v>1516</v>
      </c>
    </row>
    <row r="148" spans="1:5" x14ac:dyDescent="0.2">
      <c r="A148" s="2">
        <v>45351</v>
      </c>
      <c r="B148" s="4" t="s">
        <v>68</v>
      </c>
      <c r="C148">
        <v>38</v>
      </c>
      <c r="E148">
        <f t="shared" si="9"/>
        <v>1554</v>
      </c>
    </row>
    <row r="149" spans="1:5" x14ac:dyDescent="0.2">
      <c r="A149" s="2">
        <v>45351</v>
      </c>
      <c r="B149" s="4" t="s">
        <v>296</v>
      </c>
      <c r="C149">
        <v>350</v>
      </c>
      <c r="E149">
        <f t="shared" si="9"/>
        <v>1904</v>
      </c>
    </row>
    <row r="150" spans="1:5" x14ac:dyDescent="0.2">
      <c r="A150" s="2">
        <v>45351</v>
      </c>
      <c r="B150" s="4" t="s">
        <v>79</v>
      </c>
      <c r="C150">
        <v>43</v>
      </c>
      <c r="E150">
        <f t="shared" si="9"/>
        <v>1947</v>
      </c>
    </row>
    <row r="151" spans="1:5" x14ac:dyDescent="0.2">
      <c r="A151" s="2">
        <v>45351</v>
      </c>
      <c r="B151" s="4" t="s">
        <v>79</v>
      </c>
      <c r="C151">
        <v>56</v>
      </c>
      <c r="E151">
        <f t="shared" si="9"/>
        <v>2003</v>
      </c>
    </row>
    <row r="152" spans="1:5" x14ac:dyDescent="0.2">
      <c r="A152" s="2">
        <v>45352</v>
      </c>
      <c r="B152" s="4" t="s">
        <v>225</v>
      </c>
      <c r="D152">
        <v>30</v>
      </c>
      <c r="E152">
        <f t="shared" si="9"/>
        <v>1973</v>
      </c>
    </row>
    <row r="153" spans="1:5" x14ac:dyDescent="0.2">
      <c r="A153" s="2">
        <v>45352</v>
      </c>
      <c r="B153" s="4" t="s">
        <v>298</v>
      </c>
      <c r="C153">
        <v>30</v>
      </c>
      <c r="E153">
        <f>E152+C153-D153</f>
        <v>2003</v>
      </c>
    </row>
    <row r="154" spans="1:5" x14ac:dyDescent="0.2">
      <c r="A154" s="2">
        <v>45352</v>
      </c>
      <c r="B154" s="4" t="s">
        <v>79</v>
      </c>
      <c r="C154">
        <v>80</v>
      </c>
      <c r="E154">
        <f t="shared" ref="E154:E164" si="10">E153+C154-D154</f>
        <v>2083</v>
      </c>
    </row>
    <row r="155" spans="1:5" x14ac:dyDescent="0.2">
      <c r="A155" s="2">
        <v>45353</v>
      </c>
      <c r="B155" s="4" t="s">
        <v>225</v>
      </c>
      <c r="D155">
        <v>88</v>
      </c>
      <c r="E155">
        <f t="shared" si="10"/>
        <v>1995</v>
      </c>
    </row>
    <row r="156" spans="1:5" x14ac:dyDescent="0.2">
      <c r="A156" s="2">
        <v>45353</v>
      </c>
      <c r="B156" s="4" t="s">
        <v>79</v>
      </c>
      <c r="C156">
        <v>28</v>
      </c>
      <c r="E156">
        <f t="shared" si="10"/>
        <v>2023</v>
      </c>
    </row>
    <row r="157" spans="1:5" x14ac:dyDescent="0.2">
      <c r="A157" s="2">
        <v>45355</v>
      </c>
      <c r="B157" s="4" t="s">
        <v>140</v>
      </c>
      <c r="D157">
        <v>150</v>
      </c>
      <c r="E157">
        <f t="shared" si="10"/>
        <v>1873</v>
      </c>
    </row>
    <row r="158" spans="1:5" x14ac:dyDescent="0.2">
      <c r="A158" s="2">
        <v>45355</v>
      </c>
      <c r="B158" s="4" t="s">
        <v>82</v>
      </c>
      <c r="C158">
        <v>83</v>
      </c>
      <c r="E158">
        <f t="shared" si="10"/>
        <v>1956</v>
      </c>
    </row>
    <row r="159" spans="1:5" x14ac:dyDescent="0.2">
      <c r="A159" s="2">
        <v>45355</v>
      </c>
      <c r="B159" s="4" t="s">
        <v>82</v>
      </c>
      <c r="C159">
        <v>21</v>
      </c>
      <c r="E159">
        <f t="shared" si="10"/>
        <v>1977</v>
      </c>
    </row>
    <row r="160" spans="1:5" x14ac:dyDescent="0.2">
      <c r="A160" s="2">
        <v>45355</v>
      </c>
      <c r="B160" s="4" t="s">
        <v>211</v>
      </c>
      <c r="C160">
        <v>44</v>
      </c>
      <c r="E160">
        <f t="shared" si="10"/>
        <v>2021</v>
      </c>
    </row>
    <row r="161" spans="1:5" x14ac:dyDescent="0.2">
      <c r="A161" s="2">
        <v>45356</v>
      </c>
      <c r="B161" s="4" t="s">
        <v>79</v>
      </c>
      <c r="C161">
        <v>114</v>
      </c>
      <c r="E161">
        <f t="shared" si="10"/>
        <v>2135</v>
      </c>
    </row>
    <row r="162" spans="1:5" x14ac:dyDescent="0.2">
      <c r="A162" s="2">
        <v>45357</v>
      </c>
      <c r="B162" s="4" t="s">
        <v>181</v>
      </c>
      <c r="C162">
        <v>130</v>
      </c>
      <c r="E162">
        <f t="shared" si="10"/>
        <v>2265</v>
      </c>
    </row>
    <row r="163" spans="1:5" x14ac:dyDescent="0.2">
      <c r="A163" s="2">
        <v>45358</v>
      </c>
      <c r="B163" s="4" t="s">
        <v>135</v>
      </c>
      <c r="D163">
        <v>100</v>
      </c>
      <c r="E163">
        <f t="shared" si="10"/>
        <v>2165</v>
      </c>
    </row>
    <row r="164" spans="1:5" x14ac:dyDescent="0.2">
      <c r="A164" s="2">
        <v>45358</v>
      </c>
      <c r="B164" s="4" t="s">
        <v>135</v>
      </c>
      <c r="D164">
        <v>100</v>
      </c>
      <c r="E164">
        <f t="shared" si="10"/>
        <v>2065</v>
      </c>
    </row>
    <row r="165" spans="1:5" x14ac:dyDescent="0.2">
      <c r="A165" s="2">
        <v>45358</v>
      </c>
      <c r="B165" s="4" t="s">
        <v>79</v>
      </c>
      <c r="C165">
        <v>46</v>
      </c>
    </row>
    <row r="166" spans="1:5" x14ac:dyDescent="0.2">
      <c r="A166" s="2">
        <v>45358</v>
      </c>
      <c r="B166" s="4" t="s">
        <v>70</v>
      </c>
      <c r="C166">
        <v>58</v>
      </c>
    </row>
    <row r="167" spans="1:5" x14ac:dyDescent="0.2">
      <c r="A167" s="2">
        <v>45359</v>
      </c>
      <c r="B167" s="4" t="s">
        <v>295</v>
      </c>
      <c r="C167">
        <v>30</v>
      </c>
    </row>
    <row r="168" spans="1:5" x14ac:dyDescent="0.2">
      <c r="A168" s="2">
        <v>45360</v>
      </c>
      <c r="B168" s="4" t="s">
        <v>135</v>
      </c>
      <c r="D168">
        <v>100</v>
      </c>
    </row>
    <row r="169" spans="1:5" x14ac:dyDescent="0.2">
      <c r="A169" s="2">
        <v>45360</v>
      </c>
      <c r="B169" s="4" t="s">
        <v>82</v>
      </c>
      <c r="C169">
        <v>65</v>
      </c>
    </row>
    <row r="170" spans="1:5" x14ac:dyDescent="0.2">
      <c r="A170" s="2">
        <v>45361</v>
      </c>
      <c r="B170" s="4" t="s">
        <v>304</v>
      </c>
      <c r="D170">
        <v>89</v>
      </c>
    </row>
    <row r="171" spans="1:5" x14ac:dyDescent="0.2">
      <c r="A171" s="2">
        <v>45364</v>
      </c>
      <c r="B171" s="4" t="s">
        <v>274</v>
      </c>
      <c r="C171">
        <v>20</v>
      </c>
    </row>
    <row r="172" spans="1:5" x14ac:dyDescent="0.2">
      <c r="A172" s="2">
        <v>45365</v>
      </c>
      <c r="B172" s="4" t="s">
        <v>222</v>
      </c>
      <c r="D172">
        <v>125</v>
      </c>
    </row>
    <row r="173" spans="1:5" x14ac:dyDescent="0.2">
      <c r="A173" s="2">
        <v>45365</v>
      </c>
      <c r="B173" s="4" t="s">
        <v>211</v>
      </c>
      <c r="C173">
        <v>23</v>
      </c>
    </row>
    <row r="174" spans="1:5" x14ac:dyDescent="0.2">
      <c r="A174" s="5">
        <v>45365</v>
      </c>
      <c r="B174" s="4" t="s">
        <v>211</v>
      </c>
      <c r="C174">
        <v>29</v>
      </c>
    </row>
    <row r="175" spans="1:5" x14ac:dyDescent="0.2">
      <c r="A175" s="2">
        <v>45365</v>
      </c>
      <c r="B175" s="4" t="s">
        <v>70</v>
      </c>
      <c r="C175">
        <v>55</v>
      </c>
    </row>
    <row r="176" spans="1:5" x14ac:dyDescent="0.2">
      <c r="A176" s="2">
        <v>45365</v>
      </c>
      <c r="B176" s="4" t="s">
        <v>68</v>
      </c>
      <c r="C176">
        <v>70</v>
      </c>
    </row>
    <row r="177" spans="1:4" x14ac:dyDescent="0.2">
      <c r="A177" s="2">
        <v>45365</v>
      </c>
      <c r="B177" s="4" t="s">
        <v>79</v>
      </c>
      <c r="C177">
        <v>66</v>
      </c>
    </row>
    <row r="178" spans="1:4" x14ac:dyDescent="0.2">
      <c r="A178" s="2">
        <v>45366</v>
      </c>
      <c r="B178" s="4" t="s">
        <v>103</v>
      </c>
      <c r="D178">
        <v>50</v>
      </c>
    </row>
    <row r="179" spans="1:4" x14ac:dyDescent="0.2">
      <c r="A179" s="2">
        <v>45366</v>
      </c>
      <c r="B179" s="4" t="s">
        <v>304</v>
      </c>
      <c r="D179">
        <v>60</v>
      </c>
    </row>
    <row r="180" spans="1:4" x14ac:dyDescent="0.2">
      <c r="A180" s="2">
        <v>45366</v>
      </c>
      <c r="B180" s="4" t="s">
        <v>82</v>
      </c>
      <c r="C180">
        <v>45</v>
      </c>
    </row>
    <row r="181" spans="1:4" x14ac:dyDescent="0.2">
      <c r="A181" s="2">
        <v>45366</v>
      </c>
      <c r="B181" s="4" t="s">
        <v>168</v>
      </c>
      <c r="C181">
        <v>68</v>
      </c>
    </row>
    <row r="182" spans="1:4" x14ac:dyDescent="0.2">
      <c r="A182" s="2">
        <v>45366</v>
      </c>
      <c r="B182" s="4" t="s">
        <v>79</v>
      </c>
      <c r="C182">
        <v>58</v>
      </c>
    </row>
    <row r="183" spans="1:4" x14ac:dyDescent="0.2">
      <c r="A183" s="2">
        <v>45366</v>
      </c>
      <c r="B183" s="4" t="s">
        <v>181</v>
      </c>
      <c r="C183">
        <v>105</v>
      </c>
    </row>
    <row r="184" spans="1:4" x14ac:dyDescent="0.2">
      <c r="A184" s="2">
        <v>45367</v>
      </c>
      <c r="B184" s="4" t="s">
        <v>49</v>
      </c>
      <c r="D184">
        <v>45</v>
      </c>
    </row>
    <row r="185" spans="1:4" x14ac:dyDescent="0.2">
      <c r="A185" s="2">
        <v>45367</v>
      </c>
      <c r="B185" s="4" t="s">
        <v>66</v>
      </c>
      <c r="C185">
        <v>48</v>
      </c>
    </row>
    <row r="186" spans="1:4" x14ac:dyDescent="0.2">
      <c r="A186" s="2">
        <v>45367</v>
      </c>
      <c r="B186" s="4" t="s">
        <v>304</v>
      </c>
      <c r="D186">
        <v>48</v>
      </c>
    </row>
    <row r="187" spans="1:4" x14ac:dyDescent="0.2">
      <c r="A187" s="2">
        <v>45369</v>
      </c>
      <c r="B187" s="4" t="s">
        <v>49</v>
      </c>
      <c r="D187">
        <v>100</v>
      </c>
    </row>
    <row r="188" spans="1:4" x14ac:dyDescent="0.2">
      <c r="A188" s="2">
        <v>45370</v>
      </c>
      <c r="B188" s="4" t="s">
        <v>49</v>
      </c>
      <c r="D188">
        <v>50</v>
      </c>
    </row>
    <row r="189" spans="1:4" x14ac:dyDescent="0.2">
      <c r="A189" s="2">
        <v>45370</v>
      </c>
      <c r="B189" s="4" t="s">
        <v>325</v>
      </c>
      <c r="D189">
        <v>24</v>
      </c>
    </row>
    <row r="190" spans="1:4" x14ac:dyDescent="0.2">
      <c r="A190" s="2">
        <v>45370</v>
      </c>
      <c r="B190" s="4" t="s">
        <v>70</v>
      </c>
      <c r="C190">
        <v>18</v>
      </c>
    </row>
    <row r="191" spans="1:4" x14ac:dyDescent="0.2">
      <c r="A191" s="2">
        <v>45370</v>
      </c>
      <c r="B191" s="4" t="s">
        <v>82</v>
      </c>
      <c r="C19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A51A-85F8-B041-B835-A025B57C92AE}">
  <dimension ref="A1:E112"/>
  <sheetViews>
    <sheetView topLeftCell="A101" workbookViewId="0">
      <selection activeCell="C113" sqref="C113"/>
    </sheetView>
  </sheetViews>
  <sheetFormatPr baseColWidth="10" defaultRowHeight="16" x14ac:dyDescent="0.2"/>
  <cols>
    <col min="2" max="2" width="33.5" customWidth="1"/>
  </cols>
  <sheetData>
    <row r="1" spans="1:5" x14ac:dyDescent="0.2">
      <c r="A1" t="s">
        <v>2</v>
      </c>
    </row>
    <row r="3" spans="1:5" x14ac:dyDescent="0.2">
      <c r="C3" t="s">
        <v>45</v>
      </c>
      <c r="D3" t="s">
        <v>46</v>
      </c>
      <c r="E3" t="s">
        <v>47</v>
      </c>
    </row>
    <row r="4" spans="1:5" x14ac:dyDescent="0.2">
      <c r="B4" t="s">
        <v>1</v>
      </c>
      <c r="E4">
        <v>400</v>
      </c>
    </row>
    <row r="5" spans="1:5" x14ac:dyDescent="0.2">
      <c r="A5" s="1">
        <v>45294</v>
      </c>
      <c r="B5" t="s">
        <v>64</v>
      </c>
      <c r="C5">
        <v>71</v>
      </c>
      <c r="E5">
        <f>E4+C5-D5</f>
        <v>471</v>
      </c>
    </row>
    <row r="6" spans="1:5" x14ac:dyDescent="0.2">
      <c r="A6" s="2">
        <v>45295</v>
      </c>
      <c r="B6" t="s">
        <v>72</v>
      </c>
      <c r="D6">
        <v>80</v>
      </c>
      <c r="E6">
        <f t="shared" ref="E6:E25" si="0">E5+C6-D6</f>
        <v>391</v>
      </c>
    </row>
    <row r="7" spans="1:5" x14ac:dyDescent="0.2">
      <c r="A7" s="2">
        <v>45295</v>
      </c>
      <c r="B7" t="s">
        <v>73</v>
      </c>
      <c r="C7">
        <v>54</v>
      </c>
      <c r="E7">
        <f t="shared" si="0"/>
        <v>445</v>
      </c>
    </row>
    <row r="8" spans="1:5" x14ac:dyDescent="0.2">
      <c r="A8" s="2">
        <v>45296</v>
      </c>
      <c r="B8" t="s">
        <v>57</v>
      </c>
      <c r="C8">
        <v>19</v>
      </c>
      <c r="E8">
        <f t="shared" si="0"/>
        <v>464</v>
      </c>
    </row>
    <row r="9" spans="1:5" x14ac:dyDescent="0.2">
      <c r="A9" s="2">
        <v>45296</v>
      </c>
      <c r="B9" t="s">
        <v>84</v>
      </c>
      <c r="C9">
        <v>60</v>
      </c>
      <c r="E9">
        <f t="shared" si="0"/>
        <v>524</v>
      </c>
    </row>
    <row r="10" spans="1:5" x14ac:dyDescent="0.2">
      <c r="A10" s="2">
        <v>45296</v>
      </c>
      <c r="B10" t="s">
        <v>81</v>
      </c>
      <c r="C10">
        <v>12</v>
      </c>
      <c r="E10">
        <f t="shared" si="0"/>
        <v>536</v>
      </c>
    </row>
    <row r="11" spans="1:5" x14ac:dyDescent="0.2">
      <c r="A11" s="2">
        <v>45297</v>
      </c>
      <c r="B11" t="s">
        <v>44</v>
      </c>
      <c r="D11">
        <v>50</v>
      </c>
      <c r="E11">
        <f t="shared" si="0"/>
        <v>486</v>
      </c>
    </row>
    <row r="12" spans="1:5" x14ac:dyDescent="0.2">
      <c r="A12" s="2">
        <v>45300</v>
      </c>
      <c r="B12" t="s">
        <v>82</v>
      </c>
      <c r="D12">
        <v>80</v>
      </c>
      <c r="E12">
        <f t="shared" si="0"/>
        <v>406</v>
      </c>
    </row>
    <row r="13" spans="1:5" x14ac:dyDescent="0.2">
      <c r="A13" s="2">
        <v>45300</v>
      </c>
      <c r="B13" t="s">
        <v>138</v>
      </c>
      <c r="C13">
        <v>71</v>
      </c>
      <c r="E13">
        <f t="shared" si="0"/>
        <v>477</v>
      </c>
    </row>
    <row r="14" spans="1:5" x14ac:dyDescent="0.2">
      <c r="A14" s="2">
        <v>45301</v>
      </c>
      <c r="B14" t="s">
        <v>143</v>
      </c>
      <c r="D14">
        <v>60</v>
      </c>
      <c r="E14">
        <f t="shared" si="0"/>
        <v>417</v>
      </c>
    </row>
    <row r="15" spans="1:5" x14ac:dyDescent="0.2">
      <c r="A15" s="2">
        <v>45301</v>
      </c>
      <c r="B15" t="s">
        <v>146</v>
      </c>
      <c r="D15">
        <v>60</v>
      </c>
      <c r="E15">
        <f t="shared" si="0"/>
        <v>357</v>
      </c>
    </row>
    <row r="16" spans="1:5" x14ac:dyDescent="0.2">
      <c r="A16" s="2">
        <v>45302</v>
      </c>
      <c r="B16" t="s">
        <v>82</v>
      </c>
      <c r="D16">
        <v>45</v>
      </c>
      <c r="E16">
        <f t="shared" si="0"/>
        <v>312</v>
      </c>
    </row>
    <row r="17" spans="1:5" x14ac:dyDescent="0.2">
      <c r="A17" s="2">
        <v>45303</v>
      </c>
      <c r="B17" t="s">
        <v>82</v>
      </c>
      <c r="D17">
        <v>100</v>
      </c>
      <c r="E17">
        <f t="shared" si="0"/>
        <v>212</v>
      </c>
    </row>
    <row r="18" spans="1:5" x14ac:dyDescent="0.2">
      <c r="A18" s="2">
        <v>45303</v>
      </c>
      <c r="B18" t="s">
        <v>146</v>
      </c>
      <c r="D18">
        <v>20</v>
      </c>
      <c r="E18">
        <f t="shared" si="0"/>
        <v>192</v>
      </c>
    </row>
    <row r="19" spans="1:5" x14ac:dyDescent="0.2">
      <c r="A19" s="2">
        <v>45303</v>
      </c>
      <c r="B19" t="s">
        <v>68</v>
      </c>
      <c r="C19">
        <v>110</v>
      </c>
      <c r="E19">
        <f t="shared" si="0"/>
        <v>302</v>
      </c>
    </row>
    <row r="20" spans="1:5" x14ac:dyDescent="0.2">
      <c r="A20" s="2">
        <v>45303</v>
      </c>
      <c r="B20" t="s">
        <v>146</v>
      </c>
      <c r="D20">
        <v>110</v>
      </c>
      <c r="E20">
        <f t="shared" si="0"/>
        <v>192</v>
      </c>
    </row>
    <row r="21" spans="1:5" x14ac:dyDescent="0.2">
      <c r="A21" s="2">
        <v>45303</v>
      </c>
      <c r="B21" t="s">
        <v>64</v>
      </c>
      <c r="C21">
        <v>78</v>
      </c>
      <c r="E21">
        <f t="shared" si="0"/>
        <v>270</v>
      </c>
    </row>
    <row r="22" spans="1:5" x14ac:dyDescent="0.2">
      <c r="A22" s="2">
        <v>45303</v>
      </c>
      <c r="B22" t="s">
        <v>82</v>
      </c>
      <c r="C22">
        <v>5</v>
      </c>
      <c r="E22">
        <f t="shared" si="0"/>
        <v>275</v>
      </c>
    </row>
    <row r="23" spans="1:5" x14ac:dyDescent="0.2">
      <c r="A23" s="2">
        <v>45304</v>
      </c>
      <c r="B23" t="s">
        <v>82</v>
      </c>
      <c r="D23">
        <v>40</v>
      </c>
      <c r="E23">
        <f t="shared" si="0"/>
        <v>235</v>
      </c>
    </row>
    <row r="24" spans="1:5" x14ac:dyDescent="0.2">
      <c r="A24" s="2">
        <v>45304</v>
      </c>
      <c r="B24" t="s">
        <v>146</v>
      </c>
      <c r="D24">
        <v>10</v>
      </c>
      <c r="E24">
        <f t="shared" si="0"/>
        <v>225</v>
      </c>
    </row>
    <row r="25" spans="1:5" x14ac:dyDescent="0.2">
      <c r="A25" s="2">
        <v>45306</v>
      </c>
      <c r="B25" t="s">
        <v>66</v>
      </c>
      <c r="C25">
        <v>8</v>
      </c>
      <c r="E25">
        <f t="shared" si="0"/>
        <v>233</v>
      </c>
    </row>
    <row r="26" spans="1:5" x14ac:dyDescent="0.2">
      <c r="A26" s="2">
        <v>45308</v>
      </c>
      <c r="B26" t="s">
        <v>168</v>
      </c>
      <c r="C26">
        <v>32</v>
      </c>
      <c r="E26">
        <f>E25+C26-D26</f>
        <v>265</v>
      </c>
    </row>
    <row r="27" spans="1:5" x14ac:dyDescent="0.2">
      <c r="A27" s="2">
        <v>45308</v>
      </c>
      <c r="B27" t="s">
        <v>138</v>
      </c>
      <c r="C27">
        <v>19</v>
      </c>
      <c r="E27">
        <f t="shared" ref="E27:E30" si="1">E26+C27-D27</f>
        <v>284</v>
      </c>
    </row>
    <row r="28" spans="1:5" x14ac:dyDescent="0.2">
      <c r="A28" s="2">
        <v>45309</v>
      </c>
      <c r="B28" t="s">
        <v>146</v>
      </c>
      <c r="D28">
        <v>60</v>
      </c>
      <c r="E28">
        <f t="shared" si="1"/>
        <v>224</v>
      </c>
    </row>
    <row r="29" spans="1:5" x14ac:dyDescent="0.2">
      <c r="A29" s="2">
        <v>45310</v>
      </c>
      <c r="B29" t="s">
        <v>202</v>
      </c>
      <c r="D29">
        <v>10</v>
      </c>
      <c r="E29">
        <f t="shared" si="1"/>
        <v>214</v>
      </c>
    </row>
    <row r="30" spans="1:5" x14ac:dyDescent="0.2">
      <c r="A30" s="2">
        <v>45311</v>
      </c>
      <c r="B30" t="s">
        <v>186</v>
      </c>
      <c r="D30">
        <v>50</v>
      </c>
      <c r="E30">
        <f t="shared" si="1"/>
        <v>164</v>
      </c>
    </row>
    <row r="31" spans="1:5" x14ac:dyDescent="0.2">
      <c r="A31" s="2">
        <v>45311</v>
      </c>
      <c r="B31" t="s">
        <v>64</v>
      </c>
      <c r="C31">
        <v>57</v>
      </c>
      <c r="E31">
        <f>E30+C31-D31</f>
        <v>221</v>
      </c>
    </row>
    <row r="32" spans="1:5" x14ac:dyDescent="0.2">
      <c r="A32" s="2">
        <v>45313</v>
      </c>
      <c r="B32" t="s">
        <v>146</v>
      </c>
      <c r="D32">
        <v>40</v>
      </c>
      <c r="E32">
        <f t="shared" ref="E32:E39" si="2">E31+C32-D32</f>
        <v>181</v>
      </c>
    </row>
    <row r="33" spans="1:5" x14ac:dyDescent="0.2">
      <c r="A33" s="2">
        <v>45314</v>
      </c>
      <c r="B33" t="s">
        <v>202</v>
      </c>
      <c r="C33">
        <v>10</v>
      </c>
      <c r="E33">
        <f t="shared" si="2"/>
        <v>191</v>
      </c>
    </row>
    <row r="34" spans="1:5" x14ac:dyDescent="0.2">
      <c r="A34" s="2">
        <v>45318</v>
      </c>
      <c r="B34" t="s">
        <v>224</v>
      </c>
      <c r="D34">
        <v>40</v>
      </c>
      <c r="E34">
        <f t="shared" si="2"/>
        <v>151</v>
      </c>
    </row>
    <row r="35" spans="1:5" x14ac:dyDescent="0.2">
      <c r="A35" s="2">
        <v>45318</v>
      </c>
      <c r="B35" t="s">
        <v>68</v>
      </c>
      <c r="C35">
        <v>50</v>
      </c>
      <c r="E35">
        <f t="shared" si="2"/>
        <v>201</v>
      </c>
    </row>
    <row r="36" spans="1:5" x14ac:dyDescent="0.2">
      <c r="A36" s="2">
        <v>45322</v>
      </c>
      <c r="B36" t="s">
        <v>228</v>
      </c>
      <c r="D36">
        <v>40</v>
      </c>
      <c r="E36">
        <f t="shared" si="2"/>
        <v>161</v>
      </c>
    </row>
    <row r="37" spans="1:5" x14ac:dyDescent="0.2">
      <c r="A37" s="2">
        <v>45323</v>
      </c>
      <c r="B37" t="s">
        <v>168</v>
      </c>
      <c r="C37">
        <v>2</v>
      </c>
      <c r="E37">
        <f t="shared" si="2"/>
        <v>163</v>
      </c>
    </row>
    <row r="38" spans="1:5" x14ac:dyDescent="0.2">
      <c r="A38" s="2">
        <v>45325</v>
      </c>
      <c r="B38" t="s">
        <v>233</v>
      </c>
      <c r="D38">
        <v>50</v>
      </c>
      <c r="E38">
        <f t="shared" si="2"/>
        <v>113</v>
      </c>
    </row>
    <row r="39" spans="1:5" x14ac:dyDescent="0.2">
      <c r="A39" s="2">
        <v>45327</v>
      </c>
      <c r="B39" t="s">
        <v>138</v>
      </c>
      <c r="C39">
        <v>18</v>
      </c>
      <c r="E39">
        <f t="shared" si="2"/>
        <v>131</v>
      </c>
    </row>
    <row r="40" spans="1:5" x14ac:dyDescent="0.2">
      <c r="A40" s="2">
        <v>45328</v>
      </c>
      <c r="B40" t="s">
        <v>245</v>
      </c>
      <c r="D40">
        <v>20</v>
      </c>
      <c r="E40">
        <f>E39+C40-D40</f>
        <v>111</v>
      </c>
    </row>
    <row r="41" spans="1:5" x14ac:dyDescent="0.2">
      <c r="A41" s="2">
        <v>45328</v>
      </c>
      <c r="B41" t="s">
        <v>247</v>
      </c>
      <c r="C41">
        <v>6</v>
      </c>
      <c r="E41">
        <f t="shared" ref="E41:E48" si="3">E40+C41-D41</f>
        <v>117</v>
      </c>
    </row>
    <row r="42" spans="1:5" x14ac:dyDescent="0.2">
      <c r="A42" s="2">
        <v>45328</v>
      </c>
      <c r="B42" t="s">
        <v>70</v>
      </c>
      <c r="C42">
        <v>59</v>
      </c>
      <c r="E42">
        <f t="shared" si="3"/>
        <v>176</v>
      </c>
    </row>
    <row r="43" spans="1:5" x14ac:dyDescent="0.2">
      <c r="A43" s="2">
        <v>45328</v>
      </c>
      <c r="B43" t="s">
        <v>81</v>
      </c>
      <c r="C43">
        <v>17</v>
      </c>
      <c r="E43">
        <f t="shared" si="3"/>
        <v>193</v>
      </c>
    </row>
    <row r="44" spans="1:5" x14ac:dyDescent="0.2">
      <c r="A44" s="2">
        <v>45329</v>
      </c>
      <c r="B44" t="s">
        <v>91</v>
      </c>
      <c r="D44">
        <v>30</v>
      </c>
      <c r="E44">
        <f t="shared" si="3"/>
        <v>163</v>
      </c>
    </row>
    <row r="45" spans="1:5" x14ac:dyDescent="0.2">
      <c r="A45" s="2">
        <v>45329</v>
      </c>
      <c r="B45" t="s">
        <v>258</v>
      </c>
      <c r="D45">
        <v>75</v>
      </c>
      <c r="E45">
        <f t="shared" si="3"/>
        <v>88</v>
      </c>
    </row>
    <row r="46" spans="1:5" x14ac:dyDescent="0.2">
      <c r="A46" s="2">
        <v>45329</v>
      </c>
      <c r="B46" t="s">
        <v>191</v>
      </c>
      <c r="C46">
        <v>60</v>
      </c>
      <c r="E46">
        <f t="shared" si="3"/>
        <v>148</v>
      </c>
    </row>
    <row r="47" spans="1:5" x14ac:dyDescent="0.2">
      <c r="A47" s="2">
        <v>45329</v>
      </c>
      <c r="B47" t="s">
        <v>68</v>
      </c>
      <c r="C47">
        <v>30</v>
      </c>
      <c r="E47">
        <f t="shared" si="3"/>
        <v>178</v>
      </c>
    </row>
    <row r="48" spans="1:5" x14ac:dyDescent="0.2">
      <c r="A48" s="2">
        <v>45331</v>
      </c>
      <c r="B48" t="s">
        <v>70</v>
      </c>
      <c r="C48">
        <v>32</v>
      </c>
      <c r="E48">
        <f t="shared" si="3"/>
        <v>210</v>
      </c>
    </row>
    <row r="49" spans="1:5" x14ac:dyDescent="0.2">
      <c r="A49" s="2">
        <v>45334</v>
      </c>
      <c r="B49" t="s">
        <v>103</v>
      </c>
      <c r="D49">
        <v>95</v>
      </c>
      <c r="E49">
        <f>E48+C49-D49</f>
        <v>115</v>
      </c>
    </row>
    <row r="50" spans="1:5" x14ac:dyDescent="0.2">
      <c r="A50" s="2">
        <v>45334</v>
      </c>
      <c r="B50" t="s">
        <v>235</v>
      </c>
      <c r="C50">
        <v>49</v>
      </c>
      <c r="E50">
        <f t="shared" ref="E50:E56" si="4">E49+C50-D50</f>
        <v>164</v>
      </c>
    </row>
    <row r="51" spans="1:5" x14ac:dyDescent="0.2">
      <c r="A51" s="2">
        <v>45334</v>
      </c>
      <c r="B51" t="s">
        <v>211</v>
      </c>
      <c r="C51">
        <v>7</v>
      </c>
      <c r="E51">
        <f t="shared" si="4"/>
        <v>171</v>
      </c>
    </row>
    <row r="52" spans="1:5" x14ac:dyDescent="0.2">
      <c r="A52" s="2">
        <v>45335</v>
      </c>
      <c r="B52" t="s">
        <v>254</v>
      </c>
      <c r="D52">
        <v>50</v>
      </c>
      <c r="E52">
        <f t="shared" si="4"/>
        <v>121</v>
      </c>
    </row>
    <row r="53" spans="1:5" x14ac:dyDescent="0.2">
      <c r="A53" s="2">
        <v>45335</v>
      </c>
      <c r="B53" t="s">
        <v>70</v>
      </c>
      <c r="C53">
        <v>27</v>
      </c>
      <c r="E53">
        <f t="shared" si="4"/>
        <v>148</v>
      </c>
    </row>
    <row r="54" spans="1:5" x14ac:dyDescent="0.2">
      <c r="A54" s="2">
        <v>45337</v>
      </c>
      <c r="B54" t="s">
        <v>129</v>
      </c>
      <c r="C54">
        <v>19</v>
      </c>
      <c r="E54">
        <f t="shared" si="4"/>
        <v>167</v>
      </c>
    </row>
    <row r="55" spans="1:5" x14ac:dyDescent="0.2">
      <c r="A55" s="2">
        <v>45338</v>
      </c>
      <c r="B55" t="s">
        <v>258</v>
      </c>
      <c r="D55">
        <v>50</v>
      </c>
      <c r="E55">
        <f t="shared" si="4"/>
        <v>117</v>
      </c>
    </row>
    <row r="56" spans="1:5" x14ac:dyDescent="0.2">
      <c r="A56" s="2">
        <v>45338</v>
      </c>
      <c r="B56" t="s">
        <v>233</v>
      </c>
      <c r="D56">
        <v>50</v>
      </c>
      <c r="E56">
        <f t="shared" si="4"/>
        <v>67</v>
      </c>
    </row>
    <row r="57" spans="1:5" x14ac:dyDescent="0.2">
      <c r="A57" s="2">
        <v>45338</v>
      </c>
      <c r="B57" t="s">
        <v>192</v>
      </c>
      <c r="C57">
        <v>2</v>
      </c>
      <c r="E57">
        <f>E56+C57-D57</f>
        <v>69</v>
      </c>
    </row>
    <row r="58" spans="1:5" x14ac:dyDescent="0.2">
      <c r="A58" s="2">
        <v>45338</v>
      </c>
      <c r="B58" t="s">
        <v>211</v>
      </c>
      <c r="C58">
        <v>2</v>
      </c>
      <c r="E58">
        <f t="shared" ref="E58:E74" si="5">E57+C58-D58</f>
        <v>71</v>
      </c>
    </row>
    <row r="59" spans="1:5" x14ac:dyDescent="0.2">
      <c r="A59" s="2">
        <v>45339</v>
      </c>
      <c r="B59" t="s">
        <v>206</v>
      </c>
      <c r="C59">
        <v>17</v>
      </c>
      <c r="E59">
        <f t="shared" si="5"/>
        <v>88</v>
      </c>
    </row>
    <row r="60" spans="1:5" x14ac:dyDescent="0.2">
      <c r="A60" s="2">
        <v>45341</v>
      </c>
      <c r="B60" t="s">
        <v>254</v>
      </c>
      <c r="D60">
        <v>36</v>
      </c>
      <c r="E60">
        <f t="shared" si="5"/>
        <v>52</v>
      </c>
    </row>
    <row r="61" spans="1:5" x14ac:dyDescent="0.2">
      <c r="A61" s="2">
        <v>45341</v>
      </c>
      <c r="B61" t="s">
        <v>254</v>
      </c>
      <c r="D61">
        <v>11</v>
      </c>
      <c r="E61">
        <v>45</v>
      </c>
    </row>
    <row r="62" spans="1:5" x14ac:dyDescent="0.2">
      <c r="A62" s="2">
        <v>45341</v>
      </c>
      <c r="B62" t="s">
        <v>206</v>
      </c>
      <c r="C62">
        <v>11</v>
      </c>
      <c r="E62">
        <f t="shared" si="5"/>
        <v>56</v>
      </c>
    </row>
    <row r="63" spans="1:5" x14ac:dyDescent="0.2">
      <c r="A63" s="2">
        <v>45341</v>
      </c>
      <c r="B63" t="s">
        <v>70</v>
      </c>
      <c r="C63">
        <v>10</v>
      </c>
      <c r="E63">
        <f t="shared" si="5"/>
        <v>66</v>
      </c>
    </row>
    <row r="64" spans="1:5" x14ac:dyDescent="0.2">
      <c r="A64" s="2">
        <v>45342</v>
      </c>
      <c r="B64" t="s">
        <v>269</v>
      </c>
      <c r="D64">
        <v>120</v>
      </c>
      <c r="E64">
        <f t="shared" si="5"/>
        <v>-54</v>
      </c>
    </row>
    <row r="65" spans="1:5" x14ac:dyDescent="0.2">
      <c r="A65" s="2">
        <v>45342</v>
      </c>
      <c r="B65" t="s">
        <v>68</v>
      </c>
      <c r="C65">
        <v>45</v>
      </c>
      <c r="E65">
        <f t="shared" si="5"/>
        <v>-9</v>
      </c>
    </row>
    <row r="66" spans="1:5" x14ac:dyDescent="0.2">
      <c r="A66" s="2">
        <v>45342</v>
      </c>
      <c r="B66" t="s">
        <v>70</v>
      </c>
      <c r="C66">
        <v>32</v>
      </c>
      <c r="E66">
        <f t="shared" si="5"/>
        <v>23</v>
      </c>
    </row>
    <row r="67" spans="1:5" x14ac:dyDescent="0.2">
      <c r="A67" s="2">
        <v>45343</v>
      </c>
      <c r="B67" t="s">
        <v>258</v>
      </c>
      <c r="D67">
        <v>75</v>
      </c>
      <c r="E67">
        <v>120</v>
      </c>
    </row>
    <row r="68" spans="1:5" x14ac:dyDescent="0.2">
      <c r="A68" s="2">
        <v>45343</v>
      </c>
      <c r="B68" t="s">
        <v>276</v>
      </c>
      <c r="E68">
        <f t="shared" si="5"/>
        <v>120</v>
      </c>
    </row>
    <row r="69" spans="1:5" x14ac:dyDescent="0.2">
      <c r="A69" s="2">
        <v>45343</v>
      </c>
      <c r="B69" t="s">
        <v>82</v>
      </c>
      <c r="D69">
        <v>80</v>
      </c>
      <c r="E69">
        <f t="shared" si="5"/>
        <v>40</v>
      </c>
    </row>
    <row r="70" spans="1:5" x14ac:dyDescent="0.2">
      <c r="A70" s="2">
        <v>45344</v>
      </c>
      <c r="B70" t="s">
        <v>269</v>
      </c>
      <c r="D70">
        <v>100</v>
      </c>
      <c r="E70">
        <f t="shared" si="5"/>
        <v>-60</v>
      </c>
    </row>
    <row r="71" spans="1:5" x14ac:dyDescent="0.2">
      <c r="A71" s="2">
        <v>45346</v>
      </c>
      <c r="B71" t="s">
        <v>276</v>
      </c>
      <c r="C71">
        <v>120</v>
      </c>
      <c r="E71">
        <f t="shared" si="5"/>
        <v>60</v>
      </c>
    </row>
    <row r="72" spans="1:5" x14ac:dyDescent="0.2">
      <c r="A72" s="2">
        <v>45346</v>
      </c>
      <c r="B72" t="s">
        <v>82</v>
      </c>
      <c r="D72">
        <v>120</v>
      </c>
      <c r="E72">
        <v>7</v>
      </c>
    </row>
    <row r="73" spans="1:5" x14ac:dyDescent="0.2">
      <c r="A73" s="2">
        <v>45346</v>
      </c>
      <c r="B73" t="s">
        <v>73</v>
      </c>
      <c r="C73">
        <v>54</v>
      </c>
      <c r="E73">
        <f t="shared" si="5"/>
        <v>61</v>
      </c>
    </row>
    <row r="74" spans="1:5" x14ac:dyDescent="0.2">
      <c r="A74" s="2">
        <v>45346</v>
      </c>
      <c r="B74" t="s">
        <v>254</v>
      </c>
      <c r="D74">
        <v>44</v>
      </c>
      <c r="E74">
        <f t="shared" si="5"/>
        <v>17</v>
      </c>
    </row>
    <row r="75" spans="1:5" x14ac:dyDescent="0.2">
      <c r="A75" s="2">
        <v>45348</v>
      </c>
      <c r="B75" t="s">
        <v>254</v>
      </c>
      <c r="D75">
        <v>40</v>
      </c>
    </row>
    <row r="76" spans="1:5" x14ac:dyDescent="0.2">
      <c r="A76" s="2">
        <v>45349</v>
      </c>
      <c r="B76" t="s">
        <v>211</v>
      </c>
      <c r="C76">
        <v>7</v>
      </c>
    </row>
    <row r="77" spans="1:5" x14ac:dyDescent="0.2">
      <c r="A77" s="2">
        <v>45350</v>
      </c>
      <c r="B77" t="s">
        <v>235</v>
      </c>
      <c r="C77">
        <v>116</v>
      </c>
    </row>
    <row r="78" spans="1:5" x14ac:dyDescent="0.2">
      <c r="A78" s="2">
        <v>45350</v>
      </c>
      <c r="B78" t="s">
        <v>44</v>
      </c>
      <c r="D78">
        <v>116</v>
      </c>
    </row>
    <row r="79" spans="1:5" x14ac:dyDescent="0.2">
      <c r="A79" s="2">
        <v>45350</v>
      </c>
      <c r="B79" t="s">
        <v>211</v>
      </c>
      <c r="C79">
        <v>9</v>
      </c>
    </row>
    <row r="80" spans="1:5" x14ac:dyDescent="0.2">
      <c r="A80" s="5">
        <v>45350</v>
      </c>
      <c r="B80" s="4" t="s">
        <v>168</v>
      </c>
      <c r="C80">
        <v>16</v>
      </c>
    </row>
    <row r="81" spans="1:4" x14ac:dyDescent="0.2">
      <c r="A81" s="2">
        <v>45351</v>
      </c>
      <c r="B81" t="s">
        <v>68</v>
      </c>
      <c r="C81">
        <v>32</v>
      </c>
    </row>
    <row r="82" spans="1:4" x14ac:dyDescent="0.2">
      <c r="A82" s="2">
        <v>45352</v>
      </c>
      <c r="B82" t="s">
        <v>44</v>
      </c>
      <c r="D82">
        <v>84</v>
      </c>
    </row>
    <row r="83" spans="1:4" x14ac:dyDescent="0.2">
      <c r="A83" s="2">
        <v>45352</v>
      </c>
      <c r="B83" t="s">
        <v>299</v>
      </c>
      <c r="C83">
        <v>130</v>
      </c>
    </row>
    <row r="84" spans="1:4" x14ac:dyDescent="0.2">
      <c r="A84" s="2">
        <v>45353</v>
      </c>
      <c r="B84" t="s">
        <v>168</v>
      </c>
      <c r="D84">
        <v>1</v>
      </c>
    </row>
    <row r="85" spans="1:4" x14ac:dyDescent="0.2">
      <c r="A85" s="5">
        <v>45353</v>
      </c>
      <c r="B85" s="4" t="s">
        <v>79</v>
      </c>
      <c r="C85">
        <v>20</v>
      </c>
    </row>
    <row r="86" spans="1:4" x14ac:dyDescent="0.2">
      <c r="A86" s="2">
        <v>45353</v>
      </c>
      <c r="B86" t="s">
        <v>82</v>
      </c>
      <c r="D86">
        <v>90</v>
      </c>
    </row>
    <row r="87" spans="1:4" x14ac:dyDescent="0.2">
      <c r="A87" s="2">
        <v>45355</v>
      </c>
      <c r="B87" t="s">
        <v>211</v>
      </c>
      <c r="C87">
        <v>13</v>
      </c>
    </row>
    <row r="88" spans="1:4" x14ac:dyDescent="0.2">
      <c r="A88" s="2">
        <v>45356</v>
      </c>
      <c r="B88" t="s">
        <v>82</v>
      </c>
      <c r="D88">
        <v>75</v>
      </c>
    </row>
    <row r="89" spans="1:4" x14ac:dyDescent="0.2">
      <c r="A89" s="2">
        <v>45357</v>
      </c>
      <c r="B89" t="s">
        <v>82</v>
      </c>
      <c r="D89">
        <v>130</v>
      </c>
    </row>
    <row r="90" spans="1:4" x14ac:dyDescent="0.2">
      <c r="A90" s="2">
        <v>45358</v>
      </c>
      <c r="B90" t="s">
        <v>70</v>
      </c>
      <c r="C90">
        <v>25</v>
      </c>
    </row>
    <row r="91" spans="1:4" x14ac:dyDescent="0.2">
      <c r="A91" s="2">
        <v>45359</v>
      </c>
      <c r="B91" t="s">
        <v>304</v>
      </c>
      <c r="D91">
        <v>75</v>
      </c>
    </row>
    <row r="92" spans="1:4" x14ac:dyDescent="0.2">
      <c r="A92" s="5">
        <v>45359</v>
      </c>
      <c r="B92" s="4" t="s">
        <v>304</v>
      </c>
      <c r="D92">
        <v>25</v>
      </c>
    </row>
    <row r="93" spans="1:4" x14ac:dyDescent="0.2">
      <c r="A93" s="2">
        <v>45360</v>
      </c>
      <c r="B93" t="s">
        <v>44</v>
      </c>
      <c r="C93">
        <v>65</v>
      </c>
    </row>
    <row r="94" spans="1:4" x14ac:dyDescent="0.2">
      <c r="A94" s="2">
        <v>45360</v>
      </c>
      <c r="B94" t="s">
        <v>304</v>
      </c>
      <c r="D94">
        <v>85</v>
      </c>
    </row>
    <row r="95" spans="1:4" x14ac:dyDescent="0.2">
      <c r="A95" s="2">
        <v>45363</v>
      </c>
      <c r="B95" t="s">
        <v>138</v>
      </c>
      <c r="C95">
        <v>45</v>
      </c>
    </row>
    <row r="96" spans="1:4" x14ac:dyDescent="0.2">
      <c r="A96" s="2">
        <v>45364</v>
      </c>
      <c r="B96" t="s">
        <v>103</v>
      </c>
      <c r="D96">
        <v>50</v>
      </c>
    </row>
    <row r="97" spans="1:4" x14ac:dyDescent="0.2">
      <c r="A97" s="2">
        <v>45364</v>
      </c>
      <c r="B97" s="4" t="s">
        <v>274</v>
      </c>
      <c r="C97">
        <v>20</v>
      </c>
    </row>
    <row r="98" spans="1:4" x14ac:dyDescent="0.2">
      <c r="A98" s="2">
        <v>45365</v>
      </c>
      <c r="B98" s="4" t="s">
        <v>211</v>
      </c>
      <c r="C98">
        <v>4</v>
      </c>
    </row>
    <row r="99" spans="1:4" x14ac:dyDescent="0.2">
      <c r="A99" s="5">
        <v>45365</v>
      </c>
      <c r="B99" s="4" t="s">
        <v>211</v>
      </c>
      <c r="C99">
        <v>17</v>
      </c>
    </row>
    <row r="100" spans="1:4" x14ac:dyDescent="0.2">
      <c r="A100" s="5">
        <v>45365</v>
      </c>
      <c r="B100" s="4" t="s">
        <v>70</v>
      </c>
      <c r="C100">
        <v>49</v>
      </c>
    </row>
    <row r="101" spans="1:4" x14ac:dyDescent="0.2">
      <c r="A101" s="2">
        <v>45365</v>
      </c>
      <c r="B101" s="4" t="s">
        <v>235</v>
      </c>
      <c r="C101">
        <v>100</v>
      </c>
    </row>
    <row r="102" spans="1:4" x14ac:dyDescent="0.2">
      <c r="A102" s="2">
        <v>45365</v>
      </c>
      <c r="B102" s="4" t="s">
        <v>235</v>
      </c>
      <c r="C102">
        <v>3</v>
      </c>
    </row>
    <row r="103" spans="1:4" x14ac:dyDescent="0.2">
      <c r="A103" s="2">
        <v>45366</v>
      </c>
      <c r="B103" s="4" t="s">
        <v>82</v>
      </c>
      <c r="D103">
        <v>100</v>
      </c>
    </row>
    <row r="104" spans="1:4" x14ac:dyDescent="0.2">
      <c r="A104" s="2">
        <v>45366</v>
      </c>
      <c r="B104" s="4" t="s">
        <v>313</v>
      </c>
      <c r="D104">
        <v>50</v>
      </c>
    </row>
    <row r="105" spans="1:4" x14ac:dyDescent="0.2">
      <c r="A105" s="2">
        <v>45367</v>
      </c>
      <c r="B105" s="4" t="s">
        <v>82</v>
      </c>
      <c r="D105">
        <v>100</v>
      </c>
    </row>
    <row r="106" spans="1:4" x14ac:dyDescent="0.2">
      <c r="A106" s="2">
        <v>45369</v>
      </c>
      <c r="B106" s="4" t="s">
        <v>270</v>
      </c>
      <c r="C106">
        <v>80</v>
      </c>
    </row>
    <row r="107" spans="1:4" x14ac:dyDescent="0.2">
      <c r="A107" s="2">
        <v>45369</v>
      </c>
      <c r="B107" s="4" t="s">
        <v>103</v>
      </c>
      <c r="D107">
        <v>80</v>
      </c>
    </row>
    <row r="108" spans="1:4" x14ac:dyDescent="0.2">
      <c r="A108" s="2">
        <v>45369</v>
      </c>
      <c r="B108" s="4" t="s">
        <v>299</v>
      </c>
      <c r="C108">
        <v>121</v>
      </c>
    </row>
    <row r="109" spans="1:4" x14ac:dyDescent="0.2">
      <c r="A109" s="2">
        <v>45370</v>
      </c>
      <c r="B109" s="4" t="s">
        <v>82</v>
      </c>
      <c r="D109">
        <v>150</v>
      </c>
    </row>
    <row r="110" spans="1:4" x14ac:dyDescent="0.2">
      <c r="A110" s="2">
        <v>45370</v>
      </c>
      <c r="B110" s="4" t="s">
        <v>324</v>
      </c>
      <c r="D110">
        <v>6</v>
      </c>
    </row>
    <row r="111" spans="1:4" x14ac:dyDescent="0.2">
      <c r="A111" s="2">
        <v>45370</v>
      </c>
      <c r="B111" s="4" t="s">
        <v>299</v>
      </c>
      <c r="C111">
        <v>86</v>
      </c>
    </row>
    <row r="112" spans="1:4" x14ac:dyDescent="0.2">
      <c r="A112" s="2">
        <v>45370</v>
      </c>
      <c r="B112" s="4" t="s">
        <v>70</v>
      </c>
      <c r="C11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40E9-3882-9545-BB4C-33B0C52129A0}">
  <dimension ref="A1:E13"/>
  <sheetViews>
    <sheetView workbookViewId="0">
      <selection activeCell="E23" sqref="E23"/>
    </sheetView>
  </sheetViews>
  <sheetFormatPr baseColWidth="10" defaultRowHeight="16" x14ac:dyDescent="0.2"/>
  <cols>
    <col min="2" max="2" width="20.1640625" customWidth="1"/>
  </cols>
  <sheetData>
    <row r="1" spans="1:5" x14ac:dyDescent="0.2">
      <c r="A1" t="s">
        <v>3</v>
      </c>
    </row>
    <row r="3" spans="1:5" x14ac:dyDescent="0.2">
      <c r="B3" t="s">
        <v>1</v>
      </c>
      <c r="E3">
        <v>241</v>
      </c>
    </row>
    <row r="4" spans="1:5" x14ac:dyDescent="0.2">
      <c r="A4" s="2">
        <v>45308</v>
      </c>
      <c r="B4" t="s">
        <v>168</v>
      </c>
      <c r="C4">
        <v>9</v>
      </c>
      <c r="E4">
        <f>E3+C4-D4</f>
        <v>250</v>
      </c>
    </row>
    <row r="5" spans="1:5" x14ac:dyDescent="0.2">
      <c r="A5" s="2">
        <v>45310</v>
      </c>
      <c r="B5" t="s">
        <v>145</v>
      </c>
      <c r="D5">
        <v>50</v>
      </c>
      <c r="E5">
        <f>E4+C5-D5</f>
        <v>200</v>
      </c>
    </row>
    <row r="6" spans="1:5" x14ac:dyDescent="0.2">
      <c r="A6" s="2">
        <v>45311</v>
      </c>
      <c r="B6" t="s">
        <v>145</v>
      </c>
      <c r="D6">
        <v>50</v>
      </c>
      <c r="E6">
        <f t="shared" ref="E6:E13" si="0">E5+C6-D6</f>
        <v>150</v>
      </c>
    </row>
    <row r="7" spans="1:5" x14ac:dyDescent="0.2">
      <c r="A7" s="2">
        <v>45313</v>
      </c>
      <c r="B7" t="s">
        <v>145</v>
      </c>
      <c r="D7">
        <v>80</v>
      </c>
      <c r="E7">
        <f t="shared" si="0"/>
        <v>70</v>
      </c>
    </row>
    <row r="8" spans="1:5" x14ac:dyDescent="0.2">
      <c r="A8" s="2">
        <v>45314</v>
      </c>
      <c r="B8" t="s">
        <v>145</v>
      </c>
      <c r="D8">
        <v>20</v>
      </c>
      <c r="E8">
        <f t="shared" si="0"/>
        <v>50</v>
      </c>
    </row>
    <row r="9" spans="1:5" x14ac:dyDescent="0.2">
      <c r="A9" s="2">
        <v>45316</v>
      </c>
      <c r="B9" t="s">
        <v>145</v>
      </c>
      <c r="D9">
        <v>50</v>
      </c>
      <c r="E9">
        <f t="shared" si="0"/>
        <v>0</v>
      </c>
    </row>
    <row r="10" spans="1:5" x14ac:dyDescent="0.2">
      <c r="A10" s="2">
        <v>45323</v>
      </c>
      <c r="B10" t="s">
        <v>168</v>
      </c>
      <c r="C10">
        <v>1</v>
      </c>
      <c r="E10">
        <f t="shared" si="0"/>
        <v>1</v>
      </c>
    </row>
    <row r="11" spans="1:5" x14ac:dyDescent="0.2">
      <c r="A11" s="5">
        <v>45350</v>
      </c>
      <c r="B11" s="4" t="s">
        <v>168</v>
      </c>
      <c r="C11">
        <v>1</v>
      </c>
      <c r="E11">
        <f t="shared" si="0"/>
        <v>2</v>
      </c>
    </row>
    <row r="12" spans="1:5" x14ac:dyDescent="0.2">
      <c r="E12">
        <f t="shared" si="0"/>
        <v>2</v>
      </c>
    </row>
    <row r="13" spans="1:5" x14ac:dyDescent="0.2">
      <c r="E13">
        <f t="shared" si="0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3A3F-5665-564A-85E3-F4B9626B03DD}">
  <dimension ref="A1:E3"/>
  <sheetViews>
    <sheetView workbookViewId="0">
      <selection activeCell="E4" sqref="E4"/>
    </sheetView>
  </sheetViews>
  <sheetFormatPr baseColWidth="10" defaultRowHeight="16" x14ac:dyDescent="0.2"/>
  <cols>
    <col min="2" max="2" width="23" customWidth="1"/>
  </cols>
  <sheetData>
    <row r="1" spans="1:5" x14ac:dyDescent="0.2">
      <c r="A1" t="s">
        <v>4</v>
      </c>
    </row>
    <row r="3" spans="1:5" x14ac:dyDescent="0.2">
      <c r="B3" t="s">
        <v>5</v>
      </c>
      <c r="E3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7741-353B-E445-A9A7-87FCEB3C0830}">
  <dimension ref="A1:E78"/>
  <sheetViews>
    <sheetView topLeftCell="A61" workbookViewId="0">
      <selection activeCell="C79" sqref="C79"/>
    </sheetView>
  </sheetViews>
  <sheetFormatPr baseColWidth="10" defaultRowHeight="16" x14ac:dyDescent="0.2"/>
  <cols>
    <col min="2" max="2" width="27.83203125" customWidth="1"/>
  </cols>
  <sheetData>
    <row r="1" spans="1:5" x14ac:dyDescent="0.2">
      <c r="A1" t="s">
        <v>6</v>
      </c>
    </row>
    <row r="3" spans="1:5" x14ac:dyDescent="0.2">
      <c r="B3" t="s">
        <v>5</v>
      </c>
      <c r="E3">
        <v>583</v>
      </c>
    </row>
    <row r="4" spans="1:5" x14ac:dyDescent="0.2">
      <c r="A4" s="1">
        <v>45293</v>
      </c>
      <c r="B4" t="s">
        <v>44</v>
      </c>
      <c r="D4">
        <v>50</v>
      </c>
      <c r="E4">
        <f>E3+C4-D4</f>
        <v>533</v>
      </c>
    </row>
    <row r="5" spans="1:5" x14ac:dyDescent="0.2">
      <c r="A5" s="1">
        <v>45294</v>
      </c>
      <c r="B5" t="s">
        <v>64</v>
      </c>
      <c r="C5">
        <v>6</v>
      </c>
      <c r="E5">
        <f t="shared" ref="E5:E17" si="0">E4+C5-D5</f>
        <v>539</v>
      </c>
    </row>
    <row r="6" spans="1:5" x14ac:dyDescent="0.2">
      <c r="A6" s="2">
        <v>45294</v>
      </c>
      <c r="B6" t="s">
        <v>66</v>
      </c>
      <c r="C6">
        <v>56</v>
      </c>
      <c r="E6">
        <f t="shared" si="0"/>
        <v>595</v>
      </c>
    </row>
    <row r="7" spans="1:5" x14ac:dyDescent="0.2">
      <c r="A7" s="2">
        <v>45296</v>
      </c>
      <c r="B7" t="s">
        <v>85</v>
      </c>
      <c r="C7">
        <v>16</v>
      </c>
      <c r="E7">
        <f t="shared" si="0"/>
        <v>611</v>
      </c>
    </row>
    <row r="8" spans="1:5" x14ac:dyDescent="0.2">
      <c r="A8" s="2">
        <v>45299</v>
      </c>
      <c r="B8" t="s">
        <v>128</v>
      </c>
      <c r="C8">
        <v>27</v>
      </c>
      <c r="E8">
        <f t="shared" si="0"/>
        <v>638</v>
      </c>
    </row>
    <row r="9" spans="1:5" x14ac:dyDescent="0.2">
      <c r="A9" s="2">
        <v>45299</v>
      </c>
      <c r="B9" t="s">
        <v>129</v>
      </c>
      <c r="D9">
        <v>50</v>
      </c>
      <c r="E9">
        <f t="shared" si="0"/>
        <v>588</v>
      </c>
    </row>
    <row r="10" spans="1:5" x14ac:dyDescent="0.2">
      <c r="A10" s="2">
        <v>45299</v>
      </c>
      <c r="B10" t="s">
        <v>85</v>
      </c>
      <c r="C10">
        <v>24</v>
      </c>
      <c r="E10">
        <f t="shared" si="0"/>
        <v>612</v>
      </c>
    </row>
    <row r="11" spans="1:5" x14ac:dyDescent="0.2">
      <c r="A11" s="2">
        <v>45300</v>
      </c>
      <c r="B11" t="s">
        <v>81</v>
      </c>
      <c r="C11">
        <v>10</v>
      </c>
      <c r="E11">
        <f t="shared" si="0"/>
        <v>622</v>
      </c>
    </row>
    <row r="12" spans="1:5" x14ac:dyDescent="0.2">
      <c r="A12" s="2">
        <v>45300</v>
      </c>
      <c r="B12" t="s">
        <v>138</v>
      </c>
      <c r="C12">
        <v>27</v>
      </c>
      <c r="E12">
        <f t="shared" si="0"/>
        <v>649</v>
      </c>
    </row>
    <row r="13" spans="1:5" x14ac:dyDescent="0.2">
      <c r="A13" s="5">
        <v>45301</v>
      </c>
      <c r="B13" s="4" t="s">
        <v>143</v>
      </c>
      <c r="D13">
        <v>12</v>
      </c>
      <c r="E13">
        <f t="shared" si="0"/>
        <v>637</v>
      </c>
    </row>
    <row r="14" spans="1:5" x14ac:dyDescent="0.2">
      <c r="A14" s="2">
        <v>45303</v>
      </c>
      <c r="B14" t="s">
        <v>68</v>
      </c>
      <c r="C14">
        <v>57</v>
      </c>
      <c r="E14">
        <f t="shared" si="0"/>
        <v>694</v>
      </c>
    </row>
    <row r="15" spans="1:5" x14ac:dyDescent="0.2">
      <c r="A15" s="2">
        <v>45303</v>
      </c>
      <c r="B15" t="s">
        <v>162</v>
      </c>
      <c r="D15">
        <v>20</v>
      </c>
      <c r="E15">
        <f t="shared" si="0"/>
        <v>674</v>
      </c>
    </row>
    <row r="16" spans="1:5" x14ac:dyDescent="0.2">
      <c r="A16" s="2">
        <v>45303</v>
      </c>
      <c r="B16" t="s">
        <v>64</v>
      </c>
      <c r="C16">
        <v>12</v>
      </c>
      <c r="E16">
        <f t="shared" si="0"/>
        <v>686</v>
      </c>
    </row>
    <row r="17" spans="1:5" x14ac:dyDescent="0.2">
      <c r="A17" s="2">
        <v>45305</v>
      </c>
      <c r="B17" t="s">
        <v>49</v>
      </c>
      <c r="D17">
        <v>40</v>
      </c>
      <c r="E17">
        <f t="shared" si="0"/>
        <v>646</v>
      </c>
    </row>
    <row r="18" spans="1:5" x14ac:dyDescent="0.2">
      <c r="A18" s="2">
        <v>45306</v>
      </c>
      <c r="B18" t="s">
        <v>66</v>
      </c>
      <c r="C18">
        <v>18</v>
      </c>
      <c r="E18">
        <f>E17+C18-D18</f>
        <v>664</v>
      </c>
    </row>
    <row r="19" spans="1:5" x14ac:dyDescent="0.2">
      <c r="A19" s="2">
        <v>45308</v>
      </c>
      <c r="B19" t="s">
        <v>168</v>
      </c>
      <c r="C19">
        <v>10</v>
      </c>
      <c r="E19">
        <f t="shared" ref="E19:E25" si="1">E18+C19-D19</f>
        <v>674</v>
      </c>
    </row>
    <row r="20" spans="1:5" x14ac:dyDescent="0.2">
      <c r="A20" s="2">
        <v>45308</v>
      </c>
      <c r="B20" t="s">
        <v>138</v>
      </c>
      <c r="C20">
        <v>7</v>
      </c>
      <c r="E20">
        <f t="shared" si="1"/>
        <v>681</v>
      </c>
    </row>
    <row r="21" spans="1:5" x14ac:dyDescent="0.2">
      <c r="A21" s="2">
        <v>45309</v>
      </c>
      <c r="B21" t="s">
        <v>192</v>
      </c>
      <c r="D21">
        <v>2</v>
      </c>
      <c r="E21">
        <f t="shared" si="1"/>
        <v>679</v>
      </c>
    </row>
    <row r="22" spans="1:5" x14ac:dyDescent="0.2">
      <c r="A22" s="2">
        <v>45309</v>
      </c>
      <c r="B22" t="s">
        <v>162</v>
      </c>
      <c r="D22">
        <v>180</v>
      </c>
      <c r="E22">
        <f t="shared" si="1"/>
        <v>499</v>
      </c>
    </row>
    <row r="23" spans="1:5" x14ac:dyDescent="0.2">
      <c r="A23" s="2">
        <v>45309</v>
      </c>
      <c r="B23" t="s">
        <v>146</v>
      </c>
      <c r="D23">
        <v>30</v>
      </c>
      <c r="E23">
        <f t="shared" si="1"/>
        <v>469</v>
      </c>
    </row>
    <row r="24" spans="1:5" x14ac:dyDescent="0.2">
      <c r="A24" s="5">
        <v>45310</v>
      </c>
      <c r="B24" s="4" t="s">
        <v>202</v>
      </c>
      <c r="D24">
        <v>2</v>
      </c>
      <c r="E24">
        <f t="shared" si="1"/>
        <v>467</v>
      </c>
    </row>
    <row r="25" spans="1:5" x14ac:dyDescent="0.2">
      <c r="A25" s="2">
        <v>45310</v>
      </c>
      <c r="B25" t="s">
        <v>181</v>
      </c>
      <c r="C25">
        <v>6</v>
      </c>
      <c r="E25">
        <f t="shared" si="1"/>
        <v>473</v>
      </c>
    </row>
    <row r="26" spans="1:5" x14ac:dyDescent="0.2">
      <c r="A26" s="2">
        <v>45311</v>
      </c>
      <c r="B26" t="s">
        <v>64</v>
      </c>
      <c r="C26">
        <v>13</v>
      </c>
      <c r="E26">
        <f>E25+C26-D26</f>
        <v>486</v>
      </c>
    </row>
    <row r="27" spans="1:5" x14ac:dyDescent="0.2">
      <c r="A27" s="2">
        <v>45311</v>
      </c>
      <c r="B27" t="s">
        <v>207</v>
      </c>
      <c r="C27">
        <v>7</v>
      </c>
      <c r="E27">
        <f t="shared" ref="E27:E43" si="2">E26+C27-D27</f>
        <v>493</v>
      </c>
    </row>
    <row r="28" spans="1:5" x14ac:dyDescent="0.2">
      <c r="A28" s="5">
        <v>45313</v>
      </c>
      <c r="B28" s="4" t="s">
        <v>146</v>
      </c>
      <c r="D28">
        <v>70</v>
      </c>
      <c r="E28">
        <f t="shared" si="2"/>
        <v>423</v>
      </c>
    </row>
    <row r="29" spans="1:5" x14ac:dyDescent="0.2">
      <c r="A29" s="2">
        <v>45314</v>
      </c>
      <c r="B29" t="s">
        <v>202</v>
      </c>
      <c r="C29">
        <v>2</v>
      </c>
      <c r="E29">
        <f t="shared" si="2"/>
        <v>425</v>
      </c>
    </row>
    <row r="30" spans="1:5" x14ac:dyDescent="0.2">
      <c r="A30" s="2">
        <v>45316</v>
      </c>
      <c r="B30" t="s">
        <v>218</v>
      </c>
      <c r="C30">
        <v>149</v>
      </c>
      <c r="E30">
        <f t="shared" si="2"/>
        <v>574</v>
      </c>
    </row>
    <row r="31" spans="1:5" x14ac:dyDescent="0.2">
      <c r="A31" s="2">
        <v>45317</v>
      </c>
      <c r="B31" s="4" t="s">
        <v>219</v>
      </c>
      <c r="D31">
        <v>149</v>
      </c>
      <c r="E31">
        <f t="shared" si="2"/>
        <v>425</v>
      </c>
    </row>
    <row r="32" spans="1:5" x14ac:dyDescent="0.2">
      <c r="A32" s="2">
        <v>45318</v>
      </c>
      <c r="B32" s="4" t="s">
        <v>217</v>
      </c>
      <c r="C32">
        <v>60</v>
      </c>
      <c r="E32">
        <f t="shared" si="2"/>
        <v>485</v>
      </c>
    </row>
    <row r="33" spans="1:5" x14ac:dyDescent="0.2">
      <c r="A33" s="2">
        <v>45318</v>
      </c>
      <c r="B33" s="4" t="s">
        <v>223</v>
      </c>
      <c r="D33">
        <v>60</v>
      </c>
      <c r="E33">
        <f t="shared" si="2"/>
        <v>425</v>
      </c>
    </row>
    <row r="34" spans="1:5" x14ac:dyDescent="0.2">
      <c r="A34" s="2">
        <v>45318</v>
      </c>
      <c r="B34" s="4" t="s">
        <v>68</v>
      </c>
      <c r="C34">
        <v>30</v>
      </c>
      <c r="E34">
        <f t="shared" si="2"/>
        <v>455</v>
      </c>
    </row>
    <row r="35" spans="1:5" x14ac:dyDescent="0.2">
      <c r="A35" s="5">
        <v>45322</v>
      </c>
      <c r="B35" s="4" t="s">
        <v>228</v>
      </c>
      <c r="D35">
        <v>60</v>
      </c>
      <c r="E35">
        <f t="shared" si="2"/>
        <v>395</v>
      </c>
    </row>
    <row r="36" spans="1:5" x14ac:dyDescent="0.2">
      <c r="A36" s="5">
        <v>45323</v>
      </c>
      <c r="B36" s="4" t="s">
        <v>181</v>
      </c>
      <c r="C36">
        <v>15</v>
      </c>
      <c r="E36">
        <f t="shared" si="2"/>
        <v>410</v>
      </c>
    </row>
    <row r="37" spans="1:5" x14ac:dyDescent="0.2">
      <c r="A37" s="2">
        <v>45324</v>
      </c>
      <c r="B37" s="4" t="s">
        <v>82</v>
      </c>
      <c r="C37">
        <v>12</v>
      </c>
      <c r="E37">
        <f t="shared" si="2"/>
        <v>422</v>
      </c>
    </row>
    <row r="38" spans="1:5" x14ac:dyDescent="0.2">
      <c r="A38" s="5">
        <v>45325</v>
      </c>
      <c r="B38" s="4" t="s">
        <v>233</v>
      </c>
      <c r="D38">
        <v>50</v>
      </c>
      <c r="E38">
        <f t="shared" si="2"/>
        <v>372</v>
      </c>
    </row>
    <row r="39" spans="1:5" x14ac:dyDescent="0.2">
      <c r="A39" s="2">
        <v>45327</v>
      </c>
      <c r="B39" s="4" t="s">
        <v>233</v>
      </c>
      <c r="D39">
        <v>100</v>
      </c>
      <c r="E39">
        <f t="shared" si="2"/>
        <v>272</v>
      </c>
    </row>
    <row r="40" spans="1:5" x14ac:dyDescent="0.2">
      <c r="A40" s="2">
        <v>45327</v>
      </c>
      <c r="B40" s="4" t="s">
        <v>138</v>
      </c>
      <c r="C40">
        <v>18</v>
      </c>
      <c r="E40">
        <f t="shared" si="2"/>
        <v>290</v>
      </c>
    </row>
    <row r="41" spans="1:5" x14ac:dyDescent="0.2">
      <c r="A41" s="2">
        <v>45328</v>
      </c>
      <c r="B41" s="4" t="s">
        <v>247</v>
      </c>
      <c r="C41">
        <v>2</v>
      </c>
      <c r="E41">
        <f t="shared" si="2"/>
        <v>292</v>
      </c>
    </row>
    <row r="42" spans="1:5" x14ac:dyDescent="0.2">
      <c r="A42" s="5">
        <v>45328</v>
      </c>
      <c r="B42" s="4" t="s">
        <v>81</v>
      </c>
      <c r="C42">
        <v>13</v>
      </c>
      <c r="E42">
        <f t="shared" si="2"/>
        <v>305</v>
      </c>
    </row>
    <row r="43" spans="1:5" x14ac:dyDescent="0.2">
      <c r="A43" s="2">
        <v>45329</v>
      </c>
      <c r="B43" s="4" t="s">
        <v>68</v>
      </c>
      <c r="C43">
        <v>14</v>
      </c>
      <c r="E43">
        <f t="shared" si="2"/>
        <v>319</v>
      </c>
    </row>
    <row r="44" spans="1:5" x14ac:dyDescent="0.2">
      <c r="A44" s="2">
        <v>45335</v>
      </c>
      <c r="B44" s="4" t="s">
        <v>181</v>
      </c>
      <c r="C44">
        <v>4</v>
      </c>
      <c r="E44">
        <f>E43+C44-D44</f>
        <v>323</v>
      </c>
    </row>
    <row r="45" spans="1:5" x14ac:dyDescent="0.2">
      <c r="A45" s="2">
        <v>45337</v>
      </c>
      <c r="B45" s="4" t="s">
        <v>129</v>
      </c>
      <c r="C45">
        <v>41</v>
      </c>
      <c r="E45">
        <f t="shared" ref="E45:E54" si="3">E44+C45-D45</f>
        <v>364</v>
      </c>
    </row>
    <row r="46" spans="1:5" x14ac:dyDescent="0.2">
      <c r="A46" s="5">
        <v>45338</v>
      </c>
      <c r="B46" s="4" t="s">
        <v>192</v>
      </c>
      <c r="C46">
        <v>10</v>
      </c>
      <c r="E46">
        <f t="shared" si="3"/>
        <v>374</v>
      </c>
    </row>
    <row r="47" spans="1:5" x14ac:dyDescent="0.2">
      <c r="A47" s="2">
        <v>45341</v>
      </c>
      <c r="B47" s="4" t="s">
        <v>206</v>
      </c>
      <c r="C47">
        <v>58</v>
      </c>
      <c r="E47">
        <f t="shared" si="3"/>
        <v>432</v>
      </c>
    </row>
    <row r="48" spans="1:5" x14ac:dyDescent="0.2">
      <c r="A48" s="5">
        <v>45343</v>
      </c>
      <c r="B48" s="4" t="s">
        <v>227</v>
      </c>
      <c r="C48">
        <v>10</v>
      </c>
      <c r="E48">
        <f t="shared" si="3"/>
        <v>442</v>
      </c>
    </row>
    <row r="49" spans="1:5" x14ac:dyDescent="0.2">
      <c r="A49" s="2">
        <v>45344</v>
      </c>
      <c r="B49" s="4" t="s">
        <v>254</v>
      </c>
      <c r="D49">
        <v>100</v>
      </c>
      <c r="E49">
        <f t="shared" si="3"/>
        <v>342</v>
      </c>
    </row>
    <row r="50" spans="1:5" x14ac:dyDescent="0.2">
      <c r="A50" s="2">
        <v>45346</v>
      </c>
      <c r="B50" s="4" t="s">
        <v>282</v>
      </c>
      <c r="C50">
        <v>4</v>
      </c>
      <c r="E50">
        <f t="shared" si="3"/>
        <v>346</v>
      </c>
    </row>
    <row r="51" spans="1:5" x14ac:dyDescent="0.2">
      <c r="A51" s="2">
        <v>45346</v>
      </c>
      <c r="B51" s="4" t="s">
        <v>181</v>
      </c>
      <c r="C51">
        <v>4</v>
      </c>
      <c r="E51">
        <f t="shared" si="3"/>
        <v>350</v>
      </c>
    </row>
    <row r="52" spans="1:5" x14ac:dyDescent="0.2">
      <c r="A52" s="2">
        <v>45349</v>
      </c>
      <c r="B52" s="4" t="s">
        <v>289</v>
      </c>
      <c r="D52">
        <v>50</v>
      </c>
      <c r="E52">
        <f t="shared" si="3"/>
        <v>300</v>
      </c>
    </row>
    <row r="53" spans="1:5" x14ac:dyDescent="0.2">
      <c r="A53" s="5">
        <v>45350</v>
      </c>
      <c r="B53" s="4" t="s">
        <v>168</v>
      </c>
      <c r="C53">
        <v>12</v>
      </c>
      <c r="E53">
        <f t="shared" si="3"/>
        <v>312</v>
      </c>
    </row>
    <row r="54" spans="1:5" x14ac:dyDescent="0.2">
      <c r="A54" s="2">
        <v>45351</v>
      </c>
      <c r="B54" s="4" t="s">
        <v>79</v>
      </c>
      <c r="C54">
        <v>12</v>
      </c>
      <c r="E54">
        <f t="shared" si="3"/>
        <v>324</v>
      </c>
    </row>
    <row r="55" spans="1:5" x14ac:dyDescent="0.2">
      <c r="A55" s="2">
        <v>45352</v>
      </c>
      <c r="B55" s="4" t="s">
        <v>79</v>
      </c>
      <c r="C55">
        <v>31</v>
      </c>
      <c r="E55">
        <f>E54+C55-D55</f>
        <v>355</v>
      </c>
    </row>
    <row r="56" spans="1:5" x14ac:dyDescent="0.2">
      <c r="A56" s="2">
        <v>45353</v>
      </c>
      <c r="B56" s="4" t="s">
        <v>79</v>
      </c>
      <c r="C56">
        <v>8</v>
      </c>
      <c r="E56">
        <f t="shared" ref="E56:E64" si="4">E55+C56-D56</f>
        <v>363</v>
      </c>
    </row>
    <row r="57" spans="1:5" x14ac:dyDescent="0.2">
      <c r="A57" s="2">
        <v>45355</v>
      </c>
      <c r="B57" s="4" t="s">
        <v>304</v>
      </c>
      <c r="D57">
        <v>145</v>
      </c>
      <c r="E57">
        <f t="shared" si="4"/>
        <v>218</v>
      </c>
    </row>
    <row r="58" spans="1:5" x14ac:dyDescent="0.2">
      <c r="A58" s="5">
        <v>45355</v>
      </c>
      <c r="B58" s="4" t="s">
        <v>82</v>
      </c>
      <c r="C58">
        <v>10</v>
      </c>
      <c r="E58">
        <f t="shared" si="4"/>
        <v>228</v>
      </c>
    </row>
    <row r="59" spans="1:5" x14ac:dyDescent="0.2">
      <c r="A59" s="2">
        <v>45356</v>
      </c>
      <c r="B59" s="4" t="s">
        <v>304</v>
      </c>
      <c r="D59">
        <v>30</v>
      </c>
      <c r="E59">
        <f t="shared" si="4"/>
        <v>198</v>
      </c>
    </row>
    <row r="60" spans="1:5" x14ac:dyDescent="0.2">
      <c r="A60" s="2">
        <v>45356</v>
      </c>
      <c r="B60" s="4" t="s">
        <v>82</v>
      </c>
      <c r="C60">
        <v>50</v>
      </c>
      <c r="E60">
        <f t="shared" si="4"/>
        <v>248</v>
      </c>
    </row>
    <row r="61" spans="1:5" x14ac:dyDescent="0.2">
      <c r="A61" s="2">
        <v>45357</v>
      </c>
      <c r="B61" s="4" t="s">
        <v>181</v>
      </c>
      <c r="C61">
        <v>10</v>
      </c>
      <c r="E61">
        <f t="shared" si="4"/>
        <v>258</v>
      </c>
    </row>
    <row r="62" spans="1:5" x14ac:dyDescent="0.2">
      <c r="A62" s="2">
        <v>45358</v>
      </c>
      <c r="B62" s="4" t="s">
        <v>44</v>
      </c>
      <c r="D62">
        <v>30</v>
      </c>
      <c r="E62">
        <f t="shared" si="4"/>
        <v>228</v>
      </c>
    </row>
    <row r="63" spans="1:5" x14ac:dyDescent="0.2">
      <c r="A63" s="2">
        <v>45358</v>
      </c>
      <c r="B63" s="4" t="s">
        <v>79</v>
      </c>
      <c r="C63">
        <v>14</v>
      </c>
      <c r="E63">
        <f t="shared" si="4"/>
        <v>242</v>
      </c>
    </row>
    <row r="64" spans="1:5" x14ac:dyDescent="0.2">
      <c r="A64" s="5">
        <v>45359</v>
      </c>
      <c r="B64" s="4" t="s">
        <v>304</v>
      </c>
      <c r="D64">
        <v>140</v>
      </c>
      <c r="E64">
        <f t="shared" si="4"/>
        <v>102</v>
      </c>
    </row>
    <row r="65" spans="1:4" x14ac:dyDescent="0.2">
      <c r="A65" s="2">
        <v>45363</v>
      </c>
      <c r="B65" s="4" t="s">
        <v>138</v>
      </c>
      <c r="C65">
        <v>2</v>
      </c>
    </row>
    <row r="66" spans="1:4" x14ac:dyDescent="0.2">
      <c r="A66" s="2">
        <v>45364</v>
      </c>
      <c r="B66" s="4" t="s">
        <v>103</v>
      </c>
      <c r="D66">
        <v>80</v>
      </c>
    </row>
    <row r="67" spans="1:4" x14ac:dyDescent="0.2">
      <c r="A67" s="5">
        <v>45365</v>
      </c>
      <c r="B67" s="4" t="s">
        <v>70</v>
      </c>
      <c r="C67">
        <v>55</v>
      </c>
    </row>
    <row r="68" spans="1:4" x14ac:dyDescent="0.2">
      <c r="A68" s="2">
        <v>45365</v>
      </c>
      <c r="B68" s="4" t="s">
        <v>79</v>
      </c>
      <c r="C68">
        <v>26</v>
      </c>
    </row>
    <row r="69" spans="1:4" x14ac:dyDescent="0.2">
      <c r="A69" s="2">
        <v>45366</v>
      </c>
      <c r="B69" s="4" t="s">
        <v>103</v>
      </c>
      <c r="D69">
        <v>60</v>
      </c>
    </row>
    <row r="70" spans="1:4" x14ac:dyDescent="0.2">
      <c r="A70" s="2">
        <v>45366</v>
      </c>
      <c r="B70" s="4" t="s">
        <v>304</v>
      </c>
      <c r="D70">
        <v>30</v>
      </c>
    </row>
    <row r="71" spans="1:4" x14ac:dyDescent="0.2">
      <c r="A71" s="2">
        <v>45366</v>
      </c>
      <c r="B71" s="4" t="s">
        <v>82</v>
      </c>
      <c r="C71">
        <v>40</v>
      </c>
    </row>
    <row r="72" spans="1:4" x14ac:dyDescent="0.2">
      <c r="A72" s="2">
        <v>45366</v>
      </c>
      <c r="B72" s="4" t="s">
        <v>168</v>
      </c>
      <c r="C72">
        <v>32</v>
      </c>
    </row>
    <row r="73" spans="1:4" x14ac:dyDescent="0.2">
      <c r="A73" s="2">
        <v>45366</v>
      </c>
      <c r="B73" s="4" t="s">
        <v>79</v>
      </c>
      <c r="C73">
        <v>27</v>
      </c>
    </row>
    <row r="74" spans="1:4" x14ac:dyDescent="0.2">
      <c r="A74" s="2">
        <v>45366</v>
      </c>
      <c r="B74" s="4" t="s">
        <v>79</v>
      </c>
      <c r="C74">
        <v>9</v>
      </c>
    </row>
    <row r="75" spans="1:4" x14ac:dyDescent="0.2">
      <c r="A75" s="2">
        <v>45367</v>
      </c>
      <c r="B75" s="4" t="s">
        <v>304</v>
      </c>
      <c r="D75">
        <v>40</v>
      </c>
    </row>
    <row r="76" spans="1:4" x14ac:dyDescent="0.2">
      <c r="A76" s="2">
        <v>45367</v>
      </c>
      <c r="B76" s="4" t="s">
        <v>82</v>
      </c>
      <c r="C76">
        <v>10</v>
      </c>
    </row>
    <row r="77" spans="1:4" x14ac:dyDescent="0.2">
      <c r="A77" s="5">
        <v>45370</v>
      </c>
      <c r="B77" s="4" t="s">
        <v>324</v>
      </c>
      <c r="D77">
        <v>2</v>
      </c>
    </row>
    <row r="78" spans="1:4" x14ac:dyDescent="0.2">
      <c r="A78" s="2">
        <v>45370</v>
      </c>
      <c r="B78" s="4" t="s">
        <v>299</v>
      </c>
      <c r="C7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2CE7-0DDD-2E4E-977D-42DA14B5016F}">
  <dimension ref="A1:E7"/>
  <sheetViews>
    <sheetView workbookViewId="0">
      <selection activeCell="C7" sqref="C7"/>
    </sheetView>
  </sheetViews>
  <sheetFormatPr baseColWidth="10" defaultRowHeight="16" x14ac:dyDescent="0.2"/>
  <cols>
    <col min="2" max="2" width="20.33203125" customWidth="1"/>
  </cols>
  <sheetData>
    <row r="1" spans="1:5" x14ac:dyDescent="0.2">
      <c r="A1" t="s">
        <v>7</v>
      </c>
    </row>
    <row r="3" spans="1:5" x14ac:dyDescent="0.2">
      <c r="B3" t="s">
        <v>5</v>
      </c>
      <c r="E3">
        <v>24</v>
      </c>
    </row>
    <row r="4" spans="1:5" x14ac:dyDescent="0.2">
      <c r="A4" s="1">
        <v>45295</v>
      </c>
      <c r="B4" t="s">
        <v>60</v>
      </c>
      <c r="D4">
        <v>24</v>
      </c>
      <c r="E4">
        <v>0</v>
      </c>
    </row>
    <row r="5" spans="1:5" x14ac:dyDescent="0.2">
      <c r="A5" s="5">
        <v>45338</v>
      </c>
      <c r="B5" s="4" t="s">
        <v>192</v>
      </c>
      <c r="C5">
        <v>4</v>
      </c>
    </row>
    <row r="6" spans="1:5" x14ac:dyDescent="0.2">
      <c r="A6" s="5">
        <v>45357</v>
      </c>
      <c r="B6" s="4" t="s">
        <v>82</v>
      </c>
      <c r="C6">
        <v>4</v>
      </c>
    </row>
    <row r="7" spans="1:5" x14ac:dyDescent="0.2">
      <c r="A7" s="2">
        <v>45366</v>
      </c>
      <c r="B7" t="s">
        <v>82</v>
      </c>
      <c r="C7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7520-933B-D74E-BD51-AF7D1FC7A952}">
  <dimension ref="A1:F243"/>
  <sheetViews>
    <sheetView topLeftCell="A226" workbookViewId="0">
      <selection activeCell="C244" sqref="C244"/>
    </sheetView>
  </sheetViews>
  <sheetFormatPr baseColWidth="10" defaultRowHeight="16" x14ac:dyDescent="0.2"/>
  <cols>
    <col min="2" max="2" width="34.83203125" customWidth="1"/>
  </cols>
  <sheetData>
    <row r="1" spans="1:5" x14ac:dyDescent="0.2">
      <c r="A1" t="s">
        <v>8</v>
      </c>
    </row>
    <row r="3" spans="1:5" x14ac:dyDescent="0.2">
      <c r="C3" t="s">
        <v>45</v>
      </c>
      <c r="D3" t="s">
        <v>46</v>
      </c>
      <c r="E3" t="s">
        <v>47</v>
      </c>
    </row>
    <row r="4" spans="1:5" x14ac:dyDescent="0.2">
      <c r="B4" t="s">
        <v>5</v>
      </c>
      <c r="E4">
        <v>22</v>
      </c>
    </row>
    <row r="5" spans="1:5" x14ac:dyDescent="0.2">
      <c r="A5" s="1">
        <v>45293</v>
      </c>
      <c r="B5" t="s">
        <v>44</v>
      </c>
      <c r="D5">
        <v>20</v>
      </c>
      <c r="E5">
        <f>E4+C5-D5</f>
        <v>2</v>
      </c>
    </row>
    <row r="6" spans="1:5" x14ac:dyDescent="0.2">
      <c r="A6" s="1">
        <v>45294</v>
      </c>
      <c r="B6" t="s">
        <v>64</v>
      </c>
      <c r="C6">
        <v>126</v>
      </c>
      <c r="E6">
        <f t="shared" ref="E6:E11" si="0">E5+C6-D6</f>
        <v>128</v>
      </c>
    </row>
    <row r="7" spans="1:5" x14ac:dyDescent="0.2">
      <c r="A7" s="2">
        <v>45294</v>
      </c>
      <c r="B7" t="s">
        <v>66</v>
      </c>
      <c r="C7">
        <v>81</v>
      </c>
      <c r="E7">
        <f t="shared" si="0"/>
        <v>209</v>
      </c>
    </row>
    <row r="8" spans="1:5" x14ac:dyDescent="0.2">
      <c r="A8" s="2">
        <v>45295</v>
      </c>
      <c r="B8" t="s">
        <v>44</v>
      </c>
      <c r="D8">
        <v>80</v>
      </c>
      <c r="E8">
        <f t="shared" si="0"/>
        <v>129</v>
      </c>
    </row>
    <row r="9" spans="1:5" x14ac:dyDescent="0.2">
      <c r="A9" s="2">
        <v>45295</v>
      </c>
      <c r="B9" t="s">
        <v>73</v>
      </c>
      <c r="C9">
        <v>79</v>
      </c>
      <c r="E9">
        <f t="shared" si="0"/>
        <v>208</v>
      </c>
    </row>
    <row r="10" spans="1:5" x14ac:dyDescent="0.2">
      <c r="A10" s="2">
        <v>45296</v>
      </c>
      <c r="B10" t="s">
        <v>57</v>
      </c>
      <c r="C10">
        <v>40</v>
      </c>
      <c r="E10">
        <f t="shared" si="0"/>
        <v>248</v>
      </c>
    </row>
    <row r="11" spans="1:5" x14ac:dyDescent="0.2">
      <c r="A11" s="2">
        <v>45296</v>
      </c>
      <c r="B11" t="s">
        <v>81</v>
      </c>
      <c r="C11">
        <v>10</v>
      </c>
      <c r="E11">
        <f t="shared" si="0"/>
        <v>258</v>
      </c>
    </row>
    <row r="12" spans="1:5" x14ac:dyDescent="0.2">
      <c r="A12" s="2">
        <v>45297</v>
      </c>
      <c r="B12" t="s">
        <v>44</v>
      </c>
      <c r="D12">
        <v>50</v>
      </c>
      <c r="E12" s="6">
        <f>E11+C12-D12</f>
        <v>208</v>
      </c>
    </row>
    <row r="13" spans="1:5" x14ac:dyDescent="0.2">
      <c r="A13" s="2">
        <v>45297</v>
      </c>
      <c r="B13" t="s">
        <v>103</v>
      </c>
      <c r="C13" s="6">
        <v>23</v>
      </c>
      <c r="E13">
        <f t="shared" ref="E13:E16" si="1">E12+C13-D13</f>
        <v>231</v>
      </c>
    </row>
    <row r="14" spans="1:5" x14ac:dyDescent="0.2">
      <c r="A14" s="5">
        <v>45298</v>
      </c>
      <c r="B14" s="4" t="s">
        <v>222</v>
      </c>
      <c r="D14" s="6">
        <v>200</v>
      </c>
      <c r="E14">
        <f t="shared" si="1"/>
        <v>31</v>
      </c>
    </row>
    <row r="15" spans="1:5" x14ac:dyDescent="0.2">
      <c r="A15" s="2">
        <v>45299</v>
      </c>
      <c r="B15" t="s">
        <v>127</v>
      </c>
      <c r="C15" s="6">
        <v>81</v>
      </c>
      <c r="E15">
        <f t="shared" si="1"/>
        <v>112</v>
      </c>
    </row>
    <row r="16" spans="1:5" x14ac:dyDescent="0.2">
      <c r="A16" s="2">
        <v>45299</v>
      </c>
      <c r="B16" t="s">
        <v>222</v>
      </c>
      <c r="D16" s="6">
        <v>100</v>
      </c>
      <c r="E16">
        <f t="shared" si="1"/>
        <v>12</v>
      </c>
    </row>
    <row r="17" spans="1:5" x14ac:dyDescent="0.2">
      <c r="A17" s="2">
        <v>45299</v>
      </c>
      <c r="B17" t="s">
        <v>85</v>
      </c>
      <c r="C17" s="6">
        <v>5</v>
      </c>
      <c r="E17">
        <f>E16+C17-D17</f>
        <v>17</v>
      </c>
    </row>
    <row r="18" spans="1:5" x14ac:dyDescent="0.2">
      <c r="A18" s="2">
        <v>45300</v>
      </c>
      <c r="B18" t="s">
        <v>81</v>
      </c>
      <c r="C18" s="6">
        <v>62</v>
      </c>
      <c r="E18">
        <f t="shared" ref="E18:E29" si="2">E17+C18-D18</f>
        <v>79</v>
      </c>
    </row>
    <row r="19" spans="1:5" x14ac:dyDescent="0.2">
      <c r="A19" s="2">
        <v>45300</v>
      </c>
      <c r="B19" t="s">
        <v>78</v>
      </c>
      <c r="C19" s="6">
        <v>260</v>
      </c>
      <c r="E19">
        <f t="shared" si="2"/>
        <v>339</v>
      </c>
    </row>
    <row r="20" spans="1:5" x14ac:dyDescent="0.2">
      <c r="A20" s="2">
        <v>45300</v>
      </c>
      <c r="B20" t="s">
        <v>134</v>
      </c>
      <c r="D20" s="6">
        <v>270</v>
      </c>
      <c r="E20">
        <f t="shared" si="2"/>
        <v>69</v>
      </c>
    </row>
    <row r="21" spans="1:5" x14ac:dyDescent="0.2">
      <c r="A21" s="2">
        <v>45300</v>
      </c>
      <c r="B21" t="s">
        <v>82</v>
      </c>
      <c r="D21" s="6">
        <v>50</v>
      </c>
      <c r="E21">
        <f t="shared" si="2"/>
        <v>19</v>
      </c>
    </row>
    <row r="22" spans="1:5" x14ac:dyDescent="0.2">
      <c r="A22" s="2">
        <v>45300</v>
      </c>
      <c r="B22" t="s">
        <v>139</v>
      </c>
      <c r="C22" s="6">
        <v>53</v>
      </c>
      <c r="E22">
        <f t="shared" si="2"/>
        <v>72</v>
      </c>
    </row>
    <row r="23" spans="1:5" x14ac:dyDescent="0.2">
      <c r="A23" s="2">
        <v>45301</v>
      </c>
      <c r="B23" t="s">
        <v>78</v>
      </c>
      <c r="C23" s="6">
        <v>220</v>
      </c>
      <c r="E23">
        <f t="shared" si="2"/>
        <v>292</v>
      </c>
    </row>
    <row r="24" spans="1:5" x14ac:dyDescent="0.2">
      <c r="A24" s="2">
        <v>45301</v>
      </c>
      <c r="B24" t="s">
        <v>143</v>
      </c>
      <c r="D24" s="6">
        <v>60</v>
      </c>
      <c r="E24">
        <f t="shared" si="2"/>
        <v>232</v>
      </c>
    </row>
    <row r="25" spans="1:5" x14ac:dyDescent="0.2">
      <c r="A25" s="2">
        <v>45301</v>
      </c>
      <c r="B25" t="s">
        <v>148</v>
      </c>
      <c r="C25" s="6">
        <v>50</v>
      </c>
      <c r="E25">
        <f t="shared" si="2"/>
        <v>282</v>
      </c>
    </row>
    <row r="26" spans="1:5" x14ac:dyDescent="0.2">
      <c r="A26" s="2">
        <v>45301</v>
      </c>
      <c r="B26" t="s">
        <v>140</v>
      </c>
      <c r="D26" s="6">
        <v>50</v>
      </c>
      <c r="E26">
        <f t="shared" si="2"/>
        <v>232</v>
      </c>
    </row>
    <row r="27" spans="1:5" x14ac:dyDescent="0.2">
      <c r="A27" s="2">
        <v>45301</v>
      </c>
      <c r="B27" t="s">
        <v>146</v>
      </c>
      <c r="D27" s="6">
        <v>60</v>
      </c>
      <c r="E27">
        <f t="shared" si="2"/>
        <v>172</v>
      </c>
    </row>
    <row r="28" spans="1:5" x14ac:dyDescent="0.2">
      <c r="A28" s="5">
        <v>45301</v>
      </c>
      <c r="B28" s="4" t="s">
        <v>147</v>
      </c>
      <c r="D28" s="6">
        <v>4</v>
      </c>
      <c r="E28">
        <f t="shared" si="2"/>
        <v>168</v>
      </c>
    </row>
    <row r="29" spans="1:5" x14ac:dyDescent="0.2">
      <c r="A29" s="2">
        <v>45301</v>
      </c>
      <c r="B29" t="s">
        <v>148</v>
      </c>
      <c r="C29" s="6">
        <v>3</v>
      </c>
      <c r="D29" s="6"/>
      <c r="E29">
        <f t="shared" si="2"/>
        <v>171</v>
      </c>
    </row>
    <row r="30" spans="1:5" x14ac:dyDescent="0.2">
      <c r="A30" s="2">
        <v>45302</v>
      </c>
      <c r="B30" t="s">
        <v>78</v>
      </c>
      <c r="C30" s="6">
        <v>670</v>
      </c>
      <c r="E30">
        <f>E29+C30-D30</f>
        <v>841</v>
      </c>
    </row>
    <row r="31" spans="1:5" x14ac:dyDescent="0.2">
      <c r="A31" s="2">
        <v>45302</v>
      </c>
      <c r="B31" t="s">
        <v>134</v>
      </c>
      <c r="D31" s="6">
        <v>300</v>
      </c>
      <c r="E31">
        <f t="shared" ref="E31:E32" si="3">E30+C31-D31</f>
        <v>541</v>
      </c>
    </row>
    <row r="32" spans="1:5" x14ac:dyDescent="0.2">
      <c r="A32" s="7">
        <v>45302</v>
      </c>
      <c r="B32" s="8" t="s">
        <v>153</v>
      </c>
      <c r="C32" s="11">
        <v>85</v>
      </c>
      <c r="D32" s="8"/>
      <c r="E32">
        <f t="shared" si="3"/>
        <v>626</v>
      </c>
    </row>
    <row r="33" spans="1:5" x14ac:dyDescent="0.2">
      <c r="A33" s="9">
        <v>45302</v>
      </c>
      <c r="B33" s="10" t="s">
        <v>82</v>
      </c>
      <c r="C33" s="8"/>
      <c r="D33" s="11">
        <v>88</v>
      </c>
      <c r="E33">
        <f>626-85</f>
        <v>541</v>
      </c>
    </row>
    <row r="34" spans="1:5" x14ac:dyDescent="0.2">
      <c r="A34" s="2">
        <v>45303</v>
      </c>
      <c r="B34" t="s">
        <v>64</v>
      </c>
      <c r="C34" s="6">
        <v>105</v>
      </c>
      <c r="E34">
        <f>E33+C34-D34</f>
        <v>646</v>
      </c>
    </row>
    <row r="35" spans="1:5" x14ac:dyDescent="0.2">
      <c r="A35" s="2">
        <v>45303</v>
      </c>
      <c r="B35" t="s">
        <v>78</v>
      </c>
      <c r="C35" s="6">
        <v>130</v>
      </c>
      <c r="E35">
        <f t="shared" ref="E35:E38" si="4">E34+C35-D35</f>
        <v>776</v>
      </c>
    </row>
    <row r="36" spans="1:5" x14ac:dyDescent="0.2">
      <c r="A36" s="2">
        <v>45303</v>
      </c>
      <c r="B36" t="s">
        <v>44</v>
      </c>
      <c r="D36" s="6">
        <v>100</v>
      </c>
      <c r="E36">
        <f t="shared" si="4"/>
        <v>676</v>
      </c>
    </row>
    <row r="37" spans="1:5" x14ac:dyDescent="0.2">
      <c r="A37" s="2">
        <v>45303</v>
      </c>
      <c r="B37" t="s">
        <v>146</v>
      </c>
      <c r="D37">
        <v>20</v>
      </c>
      <c r="E37">
        <f t="shared" si="4"/>
        <v>656</v>
      </c>
    </row>
    <row r="38" spans="1:5" x14ac:dyDescent="0.2">
      <c r="A38" s="2">
        <v>45304</v>
      </c>
      <c r="B38" t="s">
        <v>53</v>
      </c>
      <c r="D38">
        <v>90</v>
      </c>
      <c r="E38">
        <f t="shared" si="4"/>
        <v>566</v>
      </c>
    </row>
    <row r="39" spans="1:5" x14ac:dyDescent="0.2">
      <c r="A39" s="2">
        <v>45304</v>
      </c>
      <c r="B39" t="s">
        <v>134</v>
      </c>
      <c r="D39" s="6">
        <v>150</v>
      </c>
      <c r="E39">
        <f>E38+C39-D39</f>
        <v>416</v>
      </c>
    </row>
    <row r="40" spans="1:5" x14ac:dyDescent="0.2">
      <c r="A40" s="2">
        <v>45304</v>
      </c>
      <c r="B40" t="s">
        <v>140</v>
      </c>
      <c r="D40" s="6">
        <v>50</v>
      </c>
      <c r="E40">
        <f t="shared" ref="E40:E43" si="5">E39+C40-D40</f>
        <v>366</v>
      </c>
    </row>
    <row r="41" spans="1:5" x14ac:dyDescent="0.2">
      <c r="A41" s="2">
        <v>45304</v>
      </c>
      <c r="B41" t="s">
        <v>146</v>
      </c>
      <c r="D41" s="6">
        <v>120</v>
      </c>
      <c r="E41">
        <f t="shared" si="5"/>
        <v>246</v>
      </c>
    </row>
    <row r="42" spans="1:5" x14ac:dyDescent="0.2">
      <c r="A42" s="2">
        <v>45304</v>
      </c>
      <c r="B42" t="s">
        <v>168</v>
      </c>
      <c r="C42" s="6">
        <v>85</v>
      </c>
      <c r="E42">
        <f t="shared" si="5"/>
        <v>331</v>
      </c>
    </row>
    <row r="43" spans="1:5" x14ac:dyDescent="0.2">
      <c r="A43" s="2">
        <v>45305</v>
      </c>
      <c r="B43" t="s">
        <v>49</v>
      </c>
      <c r="D43" s="6">
        <v>80</v>
      </c>
      <c r="E43">
        <f t="shared" si="5"/>
        <v>251</v>
      </c>
    </row>
    <row r="44" spans="1:5" x14ac:dyDescent="0.2">
      <c r="A44" s="2">
        <v>45306</v>
      </c>
      <c r="B44" t="s">
        <v>140</v>
      </c>
      <c r="D44">
        <v>100</v>
      </c>
      <c r="E44">
        <f>E43+C44-D44</f>
        <v>151</v>
      </c>
    </row>
    <row r="45" spans="1:5" x14ac:dyDescent="0.2">
      <c r="A45" s="2">
        <v>45306</v>
      </c>
      <c r="B45" t="s">
        <v>53</v>
      </c>
      <c r="D45" s="6">
        <v>80</v>
      </c>
      <c r="E45">
        <f>E44+C45-D45</f>
        <v>71</v>
      </c>
    </row>
    <row r="46" spans="1:5" x14ac:dyDescent="0.2">
      <c r="A46" s="2">
        <v>45306</v>
      </c>
      <c r="B46" t="s">
        <v>178</v>
      </c>
      <c r="C46" s="6">
        <v>760</v>
      </c>
      <c r="E46">
        <f t="shared" ref="E46:E50" si="6">E45+C46-D46</f>
        <v>831</v>
      </c>
    </row>
    <row r="47" spans="1:5" x14ac:dyDescent="0.2">
      <c r="A47" s="2">
        <v>45306</v>
      </c>
      <c r="B47" t="s">
        <v>66</v>
      </c>
      <c r="C47" s="6">
        <v>14</v>
      </c>
      <c r="E47">
        <f t="shared" si="6"/>
        <v>845</v>
      </c>
    </row>
    <row r="48" spans="1:5" x14ac:dyDescent="0.2">
      <c r="A48" s="2">
        <v>45307</v>
      </c>
      <c r="B48" t="s">
        <v>180</v>
      </c>
      <c r="D48" s="6">
        <v>50</v>
      </c>
      <c r="E48">
        <f t="shared" si="6"/>
        <v>795</v>
      </c>
    </row>
    <row r="49" spans="1:5" x14ac:dyDescent="0.2">
      <c r="A49" s="2">
        <v>45307</v>
      </c>
      <c r="B49" t="s">
        <v>179</v>
      </c>
      <c r="D49" s="6">
        <v>180</v>
      </c>
      <c r="E49">
        <f t="shared" si="6"/>
        <v>615</v>
      </c>
    </row>
    <row r="50" spans="1:5" x14ac:dyDescent="0.2">
      <c r="A50" s="2">
        <v>45307</v>
      </c>
      <c r="B50" t="s">
        <v>91</v>
      </c>
      <c r="D50" s="6">
        <v>152</v>
      </c>
      <c r="E50">
        <f t="shared" si="6"/>
        <v>463</v>
      </c>
    </row>
    <row r="51" spans="1:5" x14ac:dyDescent="0.2">
      <c r="A51" s="2">
        <v>45307</v>
      </c>
      <c r="B51" t="s">
        <v>181</v>
      </c>
      <c r="C51" s="6">
        <v>177</v>
      </c>
      <c r="E51">
        <f>E50+C51-D51</f>
        <v>640</v>
      </c>
    </row>
    <row r="52" spans="1:5" x14ac:dyDescent="0.2">
      <c r="A52" s="2">
        <v>45308</v>
      </c>
      <c r="B52" t="s">
        <v>168</v>
      </c>
      <c r="C52" s="6">
        <v>62</v>
      </c>
      <c r="E52">
        <f t="shared" ref="E52:E55" si="7">E51+C52-D52</f>
        <v>702</v>
      </c>
    </row>
    <row r="53" spans="1:5" x14ac:dyDescent="0.2">
      <c r="A53" s="2">
        <v>45308</v>
      </c>
      <c r="B53" t="s">
        <v>134</v>
      </c>
      <c r="D53" s="6">
        <v>62</v>
      </c>
      <c r="E53">
        <f t="shared" si="7"/>
        <v>640</v>
      </c>
    </row>
    <row r="54" spans="1:5" x14ac:dyDescent="0.2">
      <c r="A54" s="2">
        <v>45308</v>
      </c>
      <c r="B54" t="s">
        <v>168</v>
      </c>
      <c r="C54" s="6">
        <v>43</v>
      </c>
      <c r="E54">
        <f t="shared" si="7"/>
        <v>683</v>
      </c>
    </row>
    <row r="55" spans="1:5" x14ac:dyDescent="0.2">
      <c r="A55" s="2">
        <v>45308</v>
      </c>
      <c r="B55" t="s">
        <v>139</v>
      </c>
      <c r="C55" s="6">
        <v>21</v>
      </c>
      <c r="E55">
        <f t="shared" si="7"/>
        <v>704</v>
      </c>
    </row>
    <row r="56" spans="1:5" x14ac:dyDescent="0.2">
      <c r="A56" s="2">
        <v>45309</v>
      </c>
      <c r="B56" t="s">
        <v>134</v>
      </c>
      <c r="D56" s="12">
        <v>150</v>
      </c>
      <c r="E56">
        <f>E55+C56-D56</f>
        <v>554</v>
      </c>
    </row>
    <row r="57" spans="1:5" x14ac:dyDescent="0.2">
      <c r="A57" s="2">
        <v>45309</v>
      </c>
      <c r="B57" t="s">
        <v>134</v>
      </c>
      <c r="D57" s="6">
        <v>300</v>
      </c>
      <c r="E57">
        <f>E56+C57-D57</f>
        <v>254</v>
      </c>
    </row>
    <row r="58" spans="1:5" x14ac:dyDescent="0.2">
      <c r="A58" s="2">
        <v>45309</v>
      </c>
      <c r="B58" t="s">
        <v>192</v>
      </c>
      <c r="D58" s="6">
        <v>40</v>
      </c>
      <c r="E58">
        <f t="shared" ref="E58:E65" si="8">E57+C58-D58</f>
        <v>214</v>
      </c>
    </row>
    <row r="59" spans="1:5" x14ac:dyDescent="0.2">
      <c r="A59" s="2">
        <v>45309</v>
      </c>
      <c r="B59" t="s">
        <v>191</v>
      </c>
      <c r="D59" s="6">
        <v>66</v>
      </c>
      <c r="E59">
        <f t="shared" si="8"/>
        <v>148</v>
      </c>
    </row>
    <row r="60" spans="1:5" x14ac:dyDescent="0.2">
      <c r="A60" s="2">
        <v>45309</v>
      </c>
      <c r="B60" t="s">
        <v>146</v>
      </c>
      <c r="D60" s="6">
        <v>60</v>
      </c>
      <c r="E60">
        <f t="shared" si="8"/>
        <v>88</v>
      </c>
    </row>
    <row r="61" spans="1:5" x14ac:dyDescent="0.2">
      <c r="B61" t="s">
        <v>185</v>
      </c>
      <c r="E61">
        <v>129</v>
      </c>
    </row>
    <row r="62" spans="1:5" x14ac:dyDescent="0.2">
      <c r="A62" s="2">
        <v>45310</v>
      </c>
      <c r="B62" t="s">
        <v>78</v>
      </c>
      <c r="C62" s="14">
        <v>500</v>
      </c>
      <c r="E62">
        <v>629</v>
      </c>
    </row>
    <row r="63" spans="1:5" x14ac:dyDescent="0.2">
      <c r="A63" s="2">
        <v>45310</v>
      </c>
      <c r="B63" t="s">
        <v>145</v>
      </c>
      <c r="C63" s="6"/>
      <c r="D63" s="6">
        <v>100</v>
      </c>
      <c r="E63">
        <f t="shared" si="8"/>
        <v>529</v>
      </c>
    </row>
    <row r="64" spans="1:5" x14ac:dyDescent="0.2">
      <c r="A64" s="2">
        <v>45310</v>
      </c>
      <c r="B64" t="s">
        <v>202</v>
      </c>
      <c r="C64" s="6"/>
      <c r="D64" s="6">
        <v>10</v>
      </c>
      <c r="E64">
        <f t="shared" si="8"/>
        <v>519</v>
      </c>
    </row>
    <row r="65" spans="1:5" x14ac:dyDescent="0.2">
      <c r="A65" s="5">
        <v>45310</v>
      </c>
      <c r="B65" s="4" t="s">
        <v>181</v>
      </c>
      <c r="C65" s="14">
        <v>70</v>
      </c>
      <c r="D65" s="6"/>
      <c r="E65">
        <f t="shared" si="8"/>
        <v>589</v>
      </c>
    </row>
    <row r="66" spans="1:5" x14ac:dyDescent="0.2">
      <c r="A66" s="2">
        <v>45311</v>
      </c>
      <c r="B66" t="s">
        <v>134</v>
      </c>
      <c r="C66" s="6"/>
      <c r="D66" s="6">
        <v>388</v>
      </c>
      <c r="E66">
        <f>E65+C66-D66</f>
        <v>201</v>
      </c>
    </row>
    <row r="67" spans="1:5" x14ac:dyDescent="0.2">
      <c r="A67" s="2">
        <v>45311</v>
      </c>
      <c r="B67" t="s">
        <v>145</v>
      </c>
      <c r="C67" s="6"/>
      <c r="D67" s="6">
        <v>100</v>
      </c>
      <c r="E67">
        <f t="shared" ref="E67:E69" si="9">E66+C67-D67</f>
        <v>101</v>
      </c>
    </row>
    <row r="68" spans="1:5" x14ac:dyDescent="0.2">
      <c r="A68" s="2">
        <v>45311</v>
      </c>
      <c r="B68" t="s">
        <v>64</v>
      </c>
      <c r="C68" s="6">
        <v>46</v>
      </c>
      <c r="D68" s="6"/>
      <c r="E68">
        <f t="shared" si="9"/>
        <v>147</v>
      </c>
    </row>
    <row r="69" spans="1:5" x14ac:dyDescent="0.2">
      <c r="A69" s="2">
        <v>45311</v>
      </c>
      <c r="B69" t="s">
        <v>207</v>
      </c>
      <c r="C69" s="6">
        <v>20</v>
      </c>
      <c r="D69" s="6"/>
      <c r="E69">
        <f t="shared" si="9"/>
        <v>167</v>
      </c>
    </row>
    <row r="70" spans="1:5" x14ac:dyDescent="0.2">
      <c r="A70" s="2">
        <v>45311</v>
      </c>
      <c r="B70" t="s">
        <v>207</v>
      </c>
      <c r="C70" s="6">
        <v>40</v>
      </c>
      <c r="D70" s="6"/>
      <c r="E70">
        <f>E69+C70-D70</f>
        <v>207</v>
      </c>
    </row>
    <row r="71" spans="1:5" x14ac:dyDescent="0.2">
      <c r="A71" s="2">
        <v>45313</v>
      </c>
      <c r="B71" t="s">
        <v>146</v>
      </c>
      <c r="C71" s="6"/>
      <c r="D71" s="6">
        <v>40</v>
      </c>
      <c r="E71">
        <f>E70+C71-D71</f>
        <v>167</v>
      </c>
    </row>
    <row r="72" spans="1:5" x14ac:dyDescent="0.2">
      <c r="A72" s="2">
        <v>45313</v>
      </c>
      <c r="B72" t="s">
        <v>145</v>
      </c>
      <c r="C72" s="6"/>
      <c r="D72" s="6">
        <v>80</v>
      </c>
      <c r="E72">
        <f t="shared" ref="E72:E77" si="10">E71+C72-D72</f>
        <v>87</v>
      </c>
    </row>
    <row r="73" spans="1:5" x14ac:dyDescent="0.2">
      <c r="A73" s="2">
        <v>45313</v>
      </c>
      <c r="B73" t="s">
        <v>192</v>
      </c>
      <c r="C73" s="6"/>
      <c r="D73" s="6">
        <v>20</v>
      </c>
      <c r="E73">
        <f t="shared" si="10"/>
        <v>67</v>
      </c>
    </row>
    <row r="74" spans="1:5" x14ac:dyDescent="0.2">
      <c r="A74" s="2">
        <v>45313</v>
      </c>
      <c r="B74" t="s">
        <v>209</v>
      </c>
      <c r="C74">
        <v>170</v>
      </c>
      <c r="E74" s="15">
        <f t="shared" si="10"/>
        <v>237</v>
      </c>
    </row>
    <row r="75" spans="1:5" x14ac:dyDescent="0.2">
      <c r="A75" s="16">
        <v>45314</v>
      </c>
      <c r="B75" s="15" t="s">
        <v>145</v>
      </c>
      <c r="C75" s="14"/>
      <c r="D75" s="14">
        <v>100</v>
      </c>
      <c r="E75">
        <f t="shared" si="10"/>
        <v>137</v>
      </c>
    </row>
    <row r="76" spans="1:5" x14ac:dyDescent="0.2">
      <c r="A76" s="2">
        <v>45314</v>
      </c>
      <c r="B76" t="s">
        <v>202</v>
      </c>
      <c r="C76" s="6">
        <v>10</v>
      </c>
      <c r="D76" s="6"/>
      <c r="E76">
        <f t="shared" si="10"/>
        <v>147</v>
      </c>
    </row>
    <row r="77" spans="1:5" x14ac:dyDescent="0.2">
      <c r="A77" s="2">
        <v>45314</v>
      </c>
      <c r="B77" t="s">
        <v>78</v>
      </c>
      <c r="C77" s="6">
        <v>200</v>
      </c>
      <c r="D77" s="6"/>
      <c r="E77">
        <f t="shared" si="10"/>
        <v>347</v>
      </c>
    </row>
    <row r="78" spans="1:5" x14ac:dyDescent="0.2">
      <c r="A78" s="5">
        <v>45315</v>
      </c>
      <c r="B78" s="4" t="s">
        <v>213</v>
      </c>
      <c r="C78" s="4">
        <v>35</v>
      </c>
      <c r="E78">
        <f>E77+C78-D78</f>
        <v>382</v>
      </c>
    </row>
    <row r="79" spans="1:5" x14ac:dyDescent="0.2">
      <c r="A79" s="2">
        <v>45316</v>
      </c>
      <c r="B79" t="s">
        <v>148</v>
      </c>
      <c r="D79">
        <v>40</v>
      </c>
      <c r="E79">
        <f t="shared" ref="E79:E87" si="11">E78+C79-D79</f>
        <v>342</v>
      </c>
    </row>
    <row r="80" spans="1:5" x14ac:dyDescent="0.2">
      <c r="A80" s="2">
        <v>45316</v>
      </c>
      <c r="B80" t="s">
        <v>145</v>
      </c>
      <c r="D80">
        <v>50</v>
      </c>
      <c r="E80">
        <f t="shared" si="11"/>
        <v>292</v>
      </c>
    </row>
    <row r="81" spans="1:5" x14ac:dyDescent="0.2">
      <c r="A81" s="2">
        <v>45316</v>
      </c>
      <c r="B81" t="s">
        <v>218</v>
      </c>
      <c r="C81">
        <v>100</v>
      </c>
      <c r="E81">
        <f t="shared" si="11"/>
        <v>392</v>
      </c>
    </row>
    <row r="82" spans="1:5" x14ac:dyDescent="0.2">
      <c r="A82" s="2">
        <v>45316</v>
      </c>
      <c r="B82" t="s">
        <v>218</v>
      </c>
      <c r="C82">
        <v>149</v>
      </c>
      <c r="E82">
        <f t="shared" si="11"/>
        <v>541</v>
      </c>
    </row>
    <row r="83" spans="1:5" x14ac:dyDescent="0.2">
      <c r="A83" s="2">
        <v>45317</v>
      </c>
      <c r="B83" s="4" t="s">
        <v>219</v>
      </c>
      <c r="D83">
        <v>149</v>
      </c>
      <c r="E83">
        <f t="shared" si="11"/>
        <v>392</v>
      </c>
    </row>
    <row r="84" spans="1:5" x14ac:dyDescent="0.2">
      <c r="A84" s="2">
        <v>45317</v>
      </c>
      <c r="B84" t="s">
        <v>145</v>
      </c>
      <c r="D84">
        <v>170</v>
      </c>
      <c r="E84">
        <f t="shared" si="11"/>
        <v>222</v>
      </c>
    </row>
    <row r="85" spans="1:5" x14ac:dyDescent="0.2">
      <c r="A85" s="5">
        <v>45317</v>
      </c>
      <c r="B85" s="4" t="s">
        <v>211</v>
      </c>
      <c r="C85">
        <v>29</v>
      </c>
      <c r="E85">
        <f t="shared" si="11"/>
        <v>251</v>
      </c>
    </row>
    <row r="86" spans="1:5" x14ac:dyDescent="0.2">
      <c r="A86" s="2">
        <v>45318</v>
      </c>
      <c r="B86" t="s">
        <v>224</v>
      </c>
      <c r="D86">
        <v>40</v>
      </c>
      <c r="E86">
        <f t="shared" si="11"/>
        <v>211</v>
      </c>
    </row>
    <row r="87" spans="1:5" x14ac:dyDescent="0.2">
      <c r="A87" s="2">
        <v>45318</v>
      </c>
      <c r="B87" s="4" t="s">
        <v>68</v>
      </c>
      <c r="C87">
        <v>100</v>
      </c>
      <c r="E87">
        <f t="shared" si="11"/>
        <v>311</v>
      </c>
    </row>
    <row r="88" spans="1:5" x14ac:dyDescent="0.2">
      <c r="A88" s="5">
        <v>45320</v>
      </c>
      <c r="B88" s="4" t="s">
        <v>82</v>
      </c>
      <c r="C88">
        <v>84</v>
      </c>
      <c r="E88">
        <f>E87+C88-D88</f>
        <v>395</v>
      </c>
    </row>
    <row r="89" spans="1:5" x14ac:dyDescent="0.2">
      <c r="A89" s="5">
        <v>45320</v>
      </c>
      <c r="B89" s="4" t="s">
        <v>225</v>
      </c>
      <c r="D89">
        <v>84</v>
      </c>
      <c r="E89">
        <f t="shared" ref="E89:E92" si="12">E88+C89-D89</f>
        <v>311</v>
      </c>
    </row>
    <row r="90" spans="1:5" x14ac:dyDescent="0.2">
      <c r="A90" s="2">
        <v>45321</v>
      </c>
      <c r="B90" s="4" t="s">
        <v>226</v>
      </c>
      <c r="D90">
        <v>30</v>
      </c>
      <c r="E90" s="15">
        <f t="shared" si="12"/>
        <v>281</v>
      </c>
    </row>
    <row r="91" spans="1:5" x14ac:dyDescent="0.2">
      <c r="A91" s="16">
        <v>45322</v>
      </c>
      <c r="B91" s="15" t="s">
        <v>228</v>
      </c>
      <c r="C91" s="15"/>
      <c r="D91" s="15">
        <v>40</v>
      </c>
      <c r="E91">
        <f t="shared" si="12"/>
        <v>241</v>
      </c>
    </row>
    <row r="92" spans="1:5" x14ac:dyDescent="0.2">
      <c r="A92" s="2">
        <v>45322</v>
      </c>
      <c r="B92" s="4" t="s">
        <v>191</v>
      </c>
      <c r="C92">
        <f>145+120</f>
        <v>265</v>
      </c>
      <c r="E92">
        <f t="shared" si="12"/>
        <v>506</v>
      </c>
    </row>
    <row r="93" spans="1:5" x14ac:dyDescent="0.2">
      <c r="A93" s="2">
        <v>45323</v>
      </c>
      <c r="B93" s="4" t="s">
        <v>147</v>
      </c>
      <c r="D93">
        <v>140</v>
      </c>
      <c r="E93">
        <f>E92+C93-D93</f>
        <v>366</v>
      </c>
    </row>
    <row r="94" spans="1:5" x14ac:dyDescent="0.2">
      <c r="A94" s="2">
        <v>45323</v>
      </c>
      <c r="B94" s="4" t="s">
        <v>103</v>
      </c>
      <c r="D94">
        <v>70</v>
      </c>
      <c r="E94">
        <f t="shared" ref="E94:E102" si="13">E93+C94-D94</f>
        <v>296</v>
      </c>
    </row>
    <row r="95" spans="1:5" x14ac:dyDescent="0.2">
      <c r="A95" s="2">
        <v>45323</v>
      </c>
      <c r="B95" t="s">
        <v>168</v>
      </c>
      <c r="C95">
        <v>117</v>
      </c>
      <c r="E95">
        <f t="shared" si="13"/>
        <v>413</v>
      </c>
    </row>
    <row r="96" spans="1:5" x14ac:dyDescent="0.2">
      <c r="A96" s="5">
        <v>45323</v>
      </c>
      <c r="B96" s="4" t="s">
        <v>181</v>
      </c>
      <c r="C96">
        <v>150</v>
      </c>
      <c r="E96">
        <f t="shared" si="13"/>
        <v>563</v>
      </c>
    </row>
    <row r="97" spans="1:5" x14ac:dyDescent="0.2">
      <c r="A97" s="5">
        <v>45323</v>
      </c>
      <c r="B97" s="4" t="s">
        <v>131</v>
      </c>
      <c r="C97">
        <v>45</v>
      </c>
      <c r="E97">
        <f t="shared" si="13"/>
        <v>608</v>
      </c>
    </row>
    <row r="98" spans="1:5" x14ac:dyDescent="0.2">
      <c r="A98" s="2">
        <v>45325</v>
      </c>
      <c r="B98" s="4" t="s">
        <v>222</v>
      </c>
      <c r="D98">
        <v>260</v>
      </c>
      <c r="E98">
        <f t="shared" si="13"/>
        <v>348</v>
      </c>
    </row>
    <row r="99" spans="1:5" x14ac:dyDescent="0.2">
      <c r="A99" s="2">
        <v>45325</v>
      </c>
      <c r="B99" t="s">
        <v>233</v>
      </c>
      <c r="D99">
        <v>100</v>
      </c>
      <c r="E99">
        <f t="shared" si="13"/>
        <v>248</v>
      </c>
    </row>
    <row r="100" spans="1:5" x14ac:dyDescent="0.2">
      <c r="A100" s="2">
        <v>45327</v>
      </c>
      <c r="B100" s="4" t="s">
        <v>233</v>
      </c>
      <c r="D100">
        <v>80</v>
      </c>
      <c r="E100">
        <f t="shared" si="13"/>
        <v>168</v>
      </c>
    </row>
    <row r="101" spans="1:5" x14ac:dyDescent="0.2">
      <c r="A101" s="2">
        <v>45327</v>
      </c>
      <c r="B101" s="4" t="s">
        <v>138</v>
      </c>
      <c r="C101">
        <v>74</v>
      </c>
      <c r="E101">
        <f t="shared" si="13"/>
        <v>242</v>
      </c>
    </row>
    <row r="102" spans="1:5" x14ac:dyDescent="0.2">
      <c r="A102" s="2">
        <v>45328</v>
      </c>
      <c r="B102" s="4" t="s">
        <v>78</v>
      </c>
      <c r="C102">
        <v>100</v>
      </c>
      <c r="E102">
        <f t="shared" si="13"/>
        <v>342</v>
      </c>
    </row>
    <row r="103" spans="1:5" x14ac:dyDescent="0.2">
      <c r="A103" s="2">
        <v>45328</v>
      </c>
      <c r="B103" s="4" t="s">
        <v>91</v>
      </c>
      <c r="D103">
        <v>100</v>
      </c>
      <c r="E103">
        <f>E102+C103-D103</f>
        <v>242</v>
      </c>
    </row>
    <row r="104" spans="1:5" x14ac:dyDescent="0.2">
      <c r="A104" s="2">
        <v>45328</v>
      </c>
      <c r="B104" s="4" t="s">
        <v>246</v>
      </c>
      <c r="D104">
        <v>20</v>
      </c>
      <c r="E104">
        <f t="shared" ref="E104:E112" si="14">E103+C104-D104</f>
        <v>222</v>
      </c>
    </row>
    <row r="105" spans="1:5" x14ac:dyDescent="0.2">
      <c r="A105" s="2">
        <v>45328</v>
      </c>
      <c r="B105" s="4" t="s">
        <v>247</v>
      </c>
      <c r="C105">
        <v>6</v>
      </c>
      <c r="E105" s="6">
        <f t="shared" si="14"/>
        <v>228</v>
      </c>
    </row>
    <row r="106" spans="1:5" x14ac:dyDescent="0.2">
      <c r="A106" s="2">
        <v>45328</v>
      </c>
      <c r="B106" s="4" t="s">
        <v>209</v>
      </c>
      <c r="C106">
        <v>155</v>
      </c>
      <c r="E106">
        <f t="shared" si="14"/>
        <v>383</v>
      </c>
    </row>
    <row r="107" spans="1:5" x14ac:dyDescent="0.2">
      <c r="A107" s="2">
        <v>45328</v>
      </c>
      <c r="B107" s="4" t="s">
        <v>70</v>
      </c>
      <c r="C107">
        <v>13</v>
      </c>
      <c r="E107">
        <f t="shared" si="14"/>
        <v>396</v>
      </c>
    </row>
    <row r="108" spans="1:5" x14ac:dyDescent="0.2">
      <c r="A108" s="5">
        <v>45328</v>
      </c>
      <c r="B108" s="4" t="s">
        <v>81</v>
      </c>
      <c r="C108">
        <v>44</v>
      </c>
      <c r="E108">
        <f t="shared" si="14"/>
        <v>440</v>
      </c>
    </row>
    <row r="109" spans="1:5" x14ac:dyDescent="0.2">
      <c r="A109" s="2">
        <v>45329</v>
      </c>
      <c r="B109" s="4" t="s">
        <v>78</v>
      </c>
      <c r="C109">
        <v>100</v>
      </c>
      <c r="E109" s="6">
        <f t="shared" si="14"/>
        <v>540</v>
      </c>
    </row>
    <row r="110" spans="1:5" x14ac:dyDescent="0.2">
      <c r="A110" s="2">
        <v>45329</v>
      </c>
      <c r="B110" s="4" t="s">
        <v>53</v>
      </c>
      <c r="D110">
        <v>300</v>
      </c>
      <c r="E110">
        <f t="shared" si="14"/>
        <v>240</v>
      </c>
    </row>
    <row r="111" spans="1:5" x14ac:dyDescent="0.2">
      <c r="A111" s="2">
        <v>45329</v>
      </c>
      <c r="B111" s="4" t="s">
        <v>103</v>
      </c>
      <c r="D111">
        <v>150</v>
      </c>
      <c r="E111">
        <f t="shared" si="14"/>
        <v>90</v>
      </c>
    </row>
    <row r="112" spans="1:5" x14ac:dyDescent="0.2">
      <c r="A112" s="2">
        <v>45329</v>
      </c>
      <c r="B112" s="4" t="s">
        <v>140</v>
      </c>
      <c r="D112">
        <v>60</v>
      </c>
      <c r="E112">
        <f t="shared" si="14"/>
        <v>30</v>
      </c>
    </row>
    <row r="113" spans="1:6" x14ac:dyDescent="0.2">
      <c r="A113" s="2">
        <v>45329</v>
      </c>
      <c r="B113" s="4" t="s">
        <v>191</v>
      </c>
      <c r="C113">
        <v>69</v>
      </c>
      <c r="E113">
        <f>E112+C113-D113</f>
        <v>99</v>
      </c>
    </row>
    <row r="114" spans="1:6" x14ac:dyDescent="0.2">
      <c r="A114" s="2">
        <v>45329</v>
      </c>
      <c r="B114" s="4" t="s">
        <v>192</v>
      </c>
      <c r="C114">
        <v>98</v>
      </c>
      <c r="E114">
        <f t="shared" ref="E114:E126" si="15">E113+C114-D114</f>
        <v>197</v>
      </c>
    </row>
    <row r="115" spans="1:6" x14ac:dyDescent="0.2">
      <c r="A115" s="2"/>
      <c r="B115" s="4"/>
      <c r="E115">
        <f t="shared" si="15"/>
        <v>197</v>
      </c>
    </row>
    <row r="116" spans="1:6" x14ac:dyDescent="0.2">
      <c r="A116" s="2">
        <v>45329</v>
      </c>
      <c r="B116" s="4" t="s">
        <v>68</v>
      </c>
      <c r="C116">
        <v>260</v>
      </c>
      <c r="E116">
        <f t="shared" si="15"/>
        <v>457</v>
      </c>
    </row>
    <row r="117" spans="1:6" x14ac:dyDescent="0.2">
      <c r="A117" s="2">
        <v>45329</v>
      </c>
      <c r="B117" s="4" t="s">
        <v>259</v>
      </c>
      <c r="D117">
        <v>75</v>
      </c>
      <c r="E117">
        <f t="shared" si="15"/>
        <v>382</v>
      </c>
    </row>
    <row r="118" spans="1:6" x14ac:dyDescent="0.2">
      <c r="A118" s="2">
        <v>45329</v>
      </c>
      <c r="B118" s="4" t="s">
        <v>222</v>
      </c>
      <c r="D118">
        <v>98</v>
      </c>
      <c r="E118">
        <f t="shared" si="15"/>
        <v>284</v>
      </c>
    </row>
    <row r="119" spans="1:6" x14ac:dyDescent="0.2">
      <c r="A119" s="2">
        <v>45331</v>
      </c>
      <c r="B119" s="4" t="s">
        <v>225</v>
      </c>
      <c r="D119">
        <v>9</v>
      </c>
      <c r="E119">
        <f t="shared" si="15"/>
        <v>275</v>
      </c>
    </row>
    <row r="120" spans="1:6" x14ac:dyDescent="0.2">
      <c r="A120" s="2">
        <v>45331</v>
      </c>
      <c r="B120" s="4" t="s">
        <v>70</v>
      </c>
      <c r="C120">
        <v>28</v>
      </c>
      <c r="E120">
        <f t="shared" si="15"/>
        <v>303</v>
      </c>
    </row>
    <row r="121" spans="1:6" x14ac:dyDescent="0.2">
      <c r="A121" s="2">
        <v>45331</v>
      </c>
      <c r="B121" s="4" t="s">
        <v>192</v>
      </c>
      <c r="C121">
        <v>9</v>
      </c>
      <c r="E121">
        <f t="shared" si="15"/>
        <v>312</v>
      </c>
    </row>
    <row r="122" spans="1:6" x14ac:dyDescent="0.2">
      <c r="A122" s="2">
        <v>45334</v>
      </c>
      <c r="B122" s="4" t="s">
        <v>66</v>
      </c>
      <c r="C122">
        <v>21</v>
      </c>
      <c r="E122">
        <f t="shared" si="15"/>
        <v>333</v>
      </c>
    </row>
    <row r="123" spans="1:6" x14ac:dyDescent="0.2">
      <c r="A123" s="2">
        <v>45335</v>
      </c>
      <c r="B123" s="4" t="s">
        <v>254</v>
      </c>
      <c r="D123">
        <v>50</v>
      </c>
      <c r="E123">
        <f t="shared" si="15"/>
        <v>283</v>
      </c>
    </row>
    <row r="124" spans="1:6" x14ac:dyDescent="0.2">
      <c r="A124" s="2">
        <v>45335</v>
      </c>
      <c r="B124" s="4" t="s">
        <v>70</v>
      </c>
      <c r="C124">
        <v>18</v>
      </c>
      <c r="E124">
        <f t="shared" si="15"/>
        <v>301</v>
      </c>
    </row>
    <row r="125" spans="1:6" x14ac:dyDescent="0.2">
      <c r="A125" s="2">
        <v>45335</v>
      </c>
      <c r="B125" s="4" t="s">
        <v>70</v>
      </c>
      <c r="C125">
        <v>33</v>
      </c>
      <c r="E125">
        <f t="shared" si="15"/>
        <v>334</v>
      </c>
    </row>
    <row r="126" spans="1:6" x14ac:dyDescent="0.2">
      <c r="A126" s="2">
        <v>45335</v>
      </c>
      <c r="B126" s="4" t="s">
        <v>213</v>
      </c>
      <c r="C126">
        <v>100</v>
      </c>
      <c r="E126">
        <f t="shared" si="15"/>
        <v>434</v>
      </c>
    </row>
    <row r="127" spans="1:6" x14ac:dyDescent="0.2">
      <c r="A127" s="2">
        <v>45335</v>
      </c>
      <c r="B127" s="4" t="s">
        <v>181</v>
      </c>
      <c r="C127">
        <v>130</v>
      </c>
      <c r="E127">
        <f>E126+C127-D127</f>
        <v>564</v>
      </c>
      <c r="F127" t="s">
        <v>264</v>
      </c>
    </row>
    <row r="128" spans="1:6" x14ac:dyDescent="0.2">
      <c r="A128" s="2">
        <v>45337</v>
      </c>
      <c r="B128" t="s">
        <v>129</v>
      </c>
      <c r="C128">
        <v>20</v>
      </c>
      <c r="E128">
        <f t="shared" ref="E128:E138" si="16">E127+C128-D128</f>
        <v>584</v>
      </c>
    </row>
    <row r="129" spans="1:5" x14ac:dyDescent="0.2">
      <c r="A129" s="2">
        <v>45337</v>
      </c>
      <c r="B129" s="4" t="s">
        <v>222</v>
      </c>
      <c r="C129">
        <v>98</v>
      </c>
      <c r="E129">
        <f t="shared" si="16"/>
        <v>682</v>
      </c>
    </row>
    <row r="130" spans="1:5" x14ac:dyDescent="0.2">
      <c r="A130" s="2">
        <v>45337</v>
      </c>
      <c r="B130" s="4" t="s">
        <v>148</v>
      </c>
      <c r="C130">
        <v>125</v>
      </c>
      <c r="E130">
        <f t="shared" si="16"/>
        <v>807</v>
      </c>
    </row>
    <row r="131" spans="1:5" x14ac:dyDescent="0.2">
      <c r="A131" s="2">
        <v>45337</v>
      </c>
      <c r="B131" s="4" t="s">
        <v>314</v>
      </c>
      <c r="D131">
        <v>100</v>
      </c>
      <c r="E131">
        <f t="shared" si="16"/>
        <v>707</v>
      </c>
    </row>
    <row r="132" spans="1:5" x14ac:dyDescent="0.2">
      <c r="A132" s="2">
        <v>45338</v>
      </c>
      <c r="B132" s="4" t="s">
        <v>259</v>
      </c>
      <c r="D132">
        <v>50</v>
      </c>
      <c r="E132">
        <f t="shared" si="16"/>
        <v>657</v>
      </c>
    </row>
    <row r="133" spans="1:5" x14ac:dyDescent="0.2">
      <c r="A133" s="2">
        <v>45338</v>
      </c>
      <c r="B133" s="4" t="s">
        <v>68</v>
      </c>
      <c r="C133">
        <v>150</v>
      </c>
      <c r="E133">
        <f t="shared" si="16"/>
        <v>807</v>
      </c>
    </row>
    <row r="134" spans="1:5" x14ac:dyDescent="0.2">
      <c r="A134" s="2">
        <v>45338</v>
      </c>
      <c r="B134" s="4" t="s">
        <v>179</v>
      </c>
      <c r="D134">
        <v>150</v>
      </c>
      <c r="E134">
        <f t="shared" si="16"/>
        <v>657</v>
      </c>
    </row>
    <row r="135" spans="1:5" x14ac:dyDescent="0.2">
      <c r="A135" s="2">
        <v>45338</v>
      </c>
      <c r="B135" s="4" t="s">
        <v>233</v>
      </c>
      <c r="D135">
        <v>50</v>
      </c>
      <c r="E135">
        <f t="shared" si="16"/>
        <v>607</v>
      </c>
    </row>
    <row r="136" spans="1:5" x14ac:dyDescent="0.2">
      <c r="A136" s="5">
        <v>45338</v>
      </c>
      <c r="B136" s="4" t="s">
        <v>192</v>
      </c>
      <c r="C136">
        <v>2</v>
      </c>
      <c r="E136">
        <f t="shared" si="16"/>
        <v>609</v>
      </c>
    </row>
    <row r="137" spans="1:5" x14ac:dyDescent="0.2">
      <c r="A137" s="2">
        <v>45338</v>
      </c>
      <c r="B137" t="s">
        <v>211</v>
      </c>
      <c r="C137">
        <v>340</v>
      </c>
      <c r="E137">
        <f t="shared" si="16"/>
        <v>949</v>
      </c>
    </row>
    <row r="138" spans="1:5" x14ac:dyDescent="0.2">
      <c r="A138" s="2">
        <v>45339</v>
      </c>
      <c r="B138" s="4" t="s">
        <v>179</v>
      </c>
      <c r="D138">
        <v>100</v>
      </c>
      <c r="E138">
        <f t="shared" si="16"/>
        <v>849</v>
      </c>
    </row>
    <row r="139" spans="1:5" x14ac:dyDescent="0.2">
      <c r="A139" s="2">
        <v>45341</v>
      </c>
      <c r="B139" s="4" t="s">
        <v>266</v>
      </c>
      <c r="D139">
        <v>220</v>
      </c>
      <c r="E139">
        <f>E138+C139-D139</f>
        <v>629</v>
      </c>
    </row>
    <row r="140" spans="1:5" x14ac:dyDescent="0.2">
      <c r="A140" s="2">
        <v>45341</v>
      </c>
      <c r="B140" s="4" t="s">
        <v>254</v>
      </c>
      <c r="D140">
        <v>36</v>
      </c>
      <c r="E140">
        <f t="shared" ref="E140:E152" si="17">E139+C140-D140</f>
        <v>593</v>
      </c>
    </row>
    <row r="141" spans="1:5" x14ac:dyDescent="0.2">
      <c r="A141" s="2">
        <v>45341</v>
      </c>
      <c r="B141" s="4" t="s">
        <v>254</v>
      </c>
      <c r="D141">
        <v>450</v>
      </c>
      <c r="E141">
        <f t="shared" si="17"/>
        <v>143</v>
      </c>
    </row>
    <row r="142" spans="1:5" x14ac:dyDescent="0.2">
      <c r="A142" s="2">
        <v>45341</v>
      </c>
      <c r="B142" s="4" t="s">
        <v>206</v>
      </c>
      <c r="C142">
        <v>380</v>
      </c>
      <c r="E142">
        <f t="shared" si="17"/>
        <v>523</v>
      </c>
    </row>
    <row r="143" spans="1:5" x14ac:dyDescent="0.2">
      <c r="A143" s="2">
        <v>45342</v>
      </c>
      <c r="B143" s="4" t="s">
        <v>270</v>
      </c>
      <c r="D143">
        <v>150</v>
      </c>
      <c r="E143">
        <f t="shared" si="17"/>
        <v>373</v>
      </c>
    </row>
    <row r="144" spans="1:5" x14ac:dyDescent="0.2">
      <c r="A144" s="2">
        <v>45342</v>
      </c>
      <c r="B144" s="4" t="s">
        <v>270</v>
      </c>
      <c r="D144">
        <v>150</v>
      </c>
      <c r="E144">
        <f t="shared" si="17"/>
        <v>223</v>
      </c>
    </row>
    <row r="145" spans="1:6" x14ac:dyDescent="0.2">
      <c r="A145" s="2">
        <v>45342</v>
      </c>
      <c r="B145" s="4" t="s">
        <v>181</v>
      </c>
      <c r="C145">
        <v>260</v>
      </c>
      <c r="E145">
        <f t="shared" si="17"/>
        <v>483</v>
      </c>
    </row>
    <row r="146" spans="1:6" x14ac:dyDescent="0.2">
      <c r="A146" s="2">
        <v>45342</v>
      </c>
      <c r="B146" s="4" t="s">
        <v>68</v>
      </c>
      <c r="C146">
        <v>150</v>
      </c>
      <c r="E146">
        <f t="shared" si="17"/>
        <v>633</v>
      </c>
    </row>
    <row r="147" spans="1:6" x14ac:dyDescent="0.2">
      <c r="A147" s="2">
        <v>45342</v>
      </c>
      <c r="B147" s="4" t="s">
        <v>70</v>
      </c>
      <c r="C147">
        <v>25</v>
      </c>
      <c r="E147">
        <f t="shared" si="17"/>
        <v>658</v>
      </c>
    </row>
    <row r="148" spans="1:6" x14ac:dyDescent="0.2">
      <c r="A148" s="2">
        <v>45343</v>
      </c>
      <c r="B148" t="s">
        <v>272</v>
      </c>
      <c r="D148">
        <v>50</v>
      </c>
      <c r="E148">
        <f t="shared" si="17"/>
        <v>608</v>
      </c>
    </row>
    <row r="149" spans="1:6" x14ac:dyDescent="0.2">
      <c r="A149" s="5">
        <v>45343</v>
      </c>
      <c r="B149" s="4" t="s">
        <v>274</v>
      </c>
      <c r="D149">
        <v>20</v>
      </c>
      <c r="E149">
        <f t="shared" si="17"/>
        <v>588</v>
      </c>
    </row>
    <row r="150" spans="1:6" x14ac:dyDescent="0.2">
      <c r="A150" s="5">
        <v>45343</v>
      </c>
      <c r="B150" s="4" t="s">
        <v>270</v>
      </c>
      <c r="D150">
        <v>100</v>
      </c>
      <c r="E150">
        <f t="shared" si="17"/>
        <v>488</v>
      </c>
    </row>
    <row r="151" spans="1:6" x14ac:dyDescent="0.2">
      <c r="A151" s="2">
        <v>45343</v>
      </c>
      <c r="B151" s="4" t="s">
        <v>259</v>
      </c>
      <c r="D151">
        <v>75</v>
      </c>
      <c r="E151">
        <f t="shared" si="17"/>
        <v>413</v>
      </c>
    </row>
    <row r="152" spans="1:6" x14ac:dyDescent="0.2">
      <c r="A152" s="2">
        <v>45343</v>
      </c>
      <c r="B152" t="s">
        <v>225</v>
      </c>
      <c r="D152">
        <v>336</v>
      </c>
      <c r="E152">
        <f t="shared" si="17"/>
        <v>77</v>
      </c>
    </row>
    <row r="153" spans="1:6" x14ac:dyDescent="0.2">
      <c r="A153" s="5">
        <v>45343</v>
      </c>
      <c r="B153" s="4" t="s">
        <v>227</v>
      </c>
      <c r="C153">
        <v>151</v>
      </c>
      <c r="E153">
        <f>E152+C153-D153</f>
        <v>228</v>
      </c>
    </row>
    <row r="154" spans="1:6" x14ac:dyDescent="0.2">
      <c r="A154" s="2">
        <v>45343</v>
      </c>
      <c r="B154" t="s">
        <v>181</v>
      </c>
      <c r="C154">
        <v>30</v>
      </c>
      <c r="E154">
        <f t="shared" ref="E154:E161" si="18">E153+C154-D154</f>
        <v>258</v>
      </c>
      <c r="F154" t="s">
        <v>284</v>
      </c>
    </row>
    <row r="155" spans="1:6" x14ac:dyDescent="0.2">
      <c r="A155" s="5">
        <v>45343</v>
      </c>
      <c r="B155" s="4" t="s">
        <v>209</v>
      </c>
      <c r="C155">
        <v>155</v>
      </c>
      <c r="E155">
        <f t="shared" si="18"/>
        <v>413</v>
      </c>
    </row>
    <row r="156" spans="1:6" x14ac:dyDescent="0.2">
      <c r="A156" s="2">
        <v>45343</v>
      </c>
      <c r="B156" t="s">
        <v>68</v>
      </c>
      <c r="C156">
        <v>100</v>
      </c>
      <c r="E156">
        <f t="shared" si="18"/>
        <v>513</v>
      </c>
    </row>
    <row r="157" spans="1:6" x14ac:dyDescent="0.2">
      <c r="A157" s="2">
        <v>45344</v>
      </c>
      <c r="B157" t="s">
        <v>270</v>
      </c>
      <c r="D157">
        <v>20</v>
      </c>
      <c r="E157">
        <f t="shared" si="18"/>
        <v>493</v>
      </c>
    </row>
    <row r="158" spans="1:6" x14ac:dyDescent="0.2">
      <c r="A158" s="2">
        <v>45344</v>
      </c>
      <c r="B158" s="4" t="s">
        <v>68</v>
      </c>
      <c r="C158">
        <v>20</v>
      </c>
      <c r="E158">
        <f t="shared" si="18"/>
        <v>513</v>
      </c>
    </row>
    <row r="159" spans="1:6" x14ac:dyDescent="0.2">
      <c r="A159" s="2">
        <v>45345</v>
      </c>
      <c r="B159" t="s">
        <v>205</v>
      </c>
      <c r="D159">
        <v>200</v>
      </c>
      <c r="E159">
        <f t="shared" si="18"/>
        <v>313</v>
      </c>
    </row>
    <row r="160" spans="1:6" x14ac:dyDescent="0.2">
      <c r="A160" s="2">
        <v>45345</v>
      </c>
      <c r="B160" s="4" t="s">
        <v>209</v>
      </c>
      <c r="C160">
        <v>150</v>
      </c>
      <c r="E160">
        <f t="shared" si="18"/>
        <v>463</v>
      </c>
    </row>
    <row r="161" spans="1:5" x14ac:dyDescent="0.2">
      <c r="A161" s="2">
        <v>45345</v>
      </c>
      <c r="B161" s="4" t="s">
        <v>272</v>
      </c>
      <c r="D161">
        <v>150</v>
      </c>
      <c r="E161">
        <f t="shared" si="18"/>
        <v>313</v>
      </c>
    </row>
    <row r="162" spans="1:5" x14ac:dyDescent="0.2">
      <c r="A162" s="2">
        <v>45345</v>
      </c>
      <c r="B162" t="s">
        <v>224</v>
      </c>
      <c r="D162">
        <v>100</v>
      </c>
      <c r="E162">
        <f>E161+C162-D162</f>
        <v>213</v>
      </c>
    </row>
    <row r="163" spans="1:5" x14ac:dyDescent="0.2">
      <c r="A163" s="2">
        <v>45346</v>
      </c>
      <c r="B163" s="4" t="s">
        <v>129</v>
      </c>
      <c r="D163">
        <v>100</v>
      </c>
      <c r="E163">
        <f t="shared" ref="E163:E172" si="19">E162+C163-D163</f>
        <v>113</v>
      </c>
    </row>
    <row r="164" spans="1:5" x14ac:dyDescent="0.2">
      <c r="A164" s="2">
        <v>45346</v>
      </c>
      <c r="B164" s="4" t="s">
        <v>73</v>
      </c>
      <c r="C164">
        <v>11</v>
      </c>
      <c r="E164">
        <f t="shared" si="19"/>
        <v>124</v>
      </c>
    </row>
    <row r="165" spans="1:5" x14ac:dyDescent="0.2">
      <c r="A165" s="2">
        <v>45346</v>
      </c>
      <c r="B165" s="4" t="s">
        <v>181</v>
      </c>
      <c r="C165">
        <v>240</v>
      </c>
      <c r="E165">
        <f t="shared" si="19"/>
        <v>364</v>
      </c>
    </row>
    <row r="166" spans="1:5" x14ac:dyDescent="0.2">
      <c r="A166" s="5">
        <v>45348</v>
      </c>
      <c r="B166" s="4" t="s">
        <v>168</v>
      </c>
      <c r="C166" s="4">
        <v>86</v>
      </c>
      <c r="D166" s="4"/>
      <c r="E166">
        <f t="shared" si="19"/>
        <v>450</v>
      </c>
    </row>
    <row r="167" spans="1:5" x14ac:dyDescent="0.2">
      <c r="A167" s="5">
        <v>45348</v>
      </c>
      <c r="B167" s="4" t="s">
        <v>225</v>
      </c>
      <c r="C167" s="4"/>
      <c r="D167" s="4">
        <v>78</v>
      </c>
      <c r="E167">
        <f t="shared" si="19"/>
        <v>372</v>
      </c>
    </row>
    <row r="168" spans="1:5" x14ac:dyDescent="0.2">
      <c r="A168" s="2">
        <v>45348</v>
      </c>
      <c r="B168" t="s">
        <v>191</v>
      </c>
      <c r="C168">
        <v>180</v>
      </c>
      <c r="E168">
        <f t="shared" si="19"/>
        <v>552</v>
      </c>
    </row>
    <row r="169" spans="1:5" x14ac:dyDescent="0.2">
      <c r="A169" s="2">
        <v>45348</v>
      </c>
      <c r="B169" s="4" t="s">
        <v>287</v>
      </c>
      <c r="C169">
        <v>129</v>
      </c>
      <c r="E169">
        <f t="shared" si="19"/>
        <v>681</v>
      </c>
    </row>
    <row r="170" spans="1:5" x14ac:dyDescent="0.2">
      <c r="A170" s="2">
        <v>45349</v>
      </c>
      <c r="B170" s="4" t="s">
        <v>179</v>
      </c>
      <c r="D170">
        <v>100</v>
      </c>
      <c r="E170">
        <f t="shared" si="19"/>
        <v>581</v>
      </c>
    </row>
    <row r="171" spans="1:5" x14ac:dyDescent="0.2">
      <c r="A171" s="2">
        <v>45349</v>
      </c>
      <c r="B171" s="4" t="s">
        <v>205</v>
      </c>
      <c r="D171">
        <v>100</v>
      </c>
      <c r="E171">
        <f t="shared" si="19"/>
        <v>481</v>
      </c>
    </row>
    <row r="172" spans="1:5" x14ac:dyDescent="0.2">
      <c r="A172" s="2">
        <v>45349</v>
      </c>
      <c r="B172" s="4" t="s">
        <v>288</v>
      </c>
      <c r="D172">
        <v>100</v>
      </c>
      <c r="E172">
        <f t="shared" si="19"/>
        <v>381</v>
      </c>
    </row>
    <row r="173" spans="1:5" x14ac:dyDescent="0.2">
      <c r="A173" s="2">
        <v>45349</v>
      </c>
      <c r="B173" s="4" t="s">
        <v>135</v>
      </c>
      <c r="D173">
        <v>12</v>
      </c>
      <c r="E173">
        <f>E172+C173-D173</f>
        <v>369</v>
      </c>
    </row>
    <row r="174" spans="1:5" x14ac:dyDescent="0.2">
      <c r="A174" s="2">
        <v>45349</v>
      </c>
      <c r="B174" s="4" t="s">
        <v>254</v>
      </c>
      <c r="D174">
        <v>64</v>
      </c>
      <c r="E174">
        <f t="shared" ref="E174:E184" si="20">E173+C174-D174</f>
        <v>305</v>
      </c>
    </row>
    <row r="175" spans="1:5" x14ac:dyDescent="0.2">
      <c r="A175" s="2">
        <v>45349</v>
      </c>
      <c r="B175" s="4" t="s">
        <v>227</v>
      </c>
      <c r="C175">
        <v>105</v>
      </c>
      <c r="E175">
        <f t="shared" si="20"/>
        <v>410</v>
      </c>
    </row>
    <row r="176" spans="1:5" x14ac:dyDescent="0.2">
      <c r="A176" s="2">
        <v>45350</v>
      </c>
      <c r="B176" s="4" t="s">
        <v>270</v>
      </c>
      <c r="D176">
        <v>42</v>
      </c>
      <c r="E176">
        <f t="shared" si="20"/>
        <v>368</v>
      </c>
    </row>
    <row r="177" spans="1:5" x14ac:dyDescent="0.2">
      <c r="A177" s="5">
        <v>45350</v>
      </c>
      <c r="B177" s="4" t="s">
        <v>293</v>
      </c>
      <c r="C177">
        <v>30</v>
      </c>
      <c r="E177">
        <f t="shared" si="20"/>
        <v>398</v>
      </c>
    </row>
    <row r="178" spans="1:5" x14ac:dyDescent="0.2">
      <c r="A178" s="2">
        <v>45350</v>
      </c>
      <c r="B178" s="4" t="s">
        <v>79</v>
      </c>
      <c r="C178">
        <v>131</v>
      </c>
      <c r="E178">
        <f t="shared" si="20"/>
        <v>529</v>
      </c>
    </row>
    <row r="179" spans="1:5" x14ac:dyDescent="0.2">
      <c r="A179" s="2">
        <v>45350</v>
      </c>
      <c r="B179" s="4" t="s">
        <v>135</v>
      </c>
      <c r="C179">
        <v>12</v>
      </c>
      <c r="E179">
        <f t="shared" si="20"/>
        <v>541</v>
      </c>
    </row>
    <row r="180" spans="1:5" x14ac:dyDescent="0.2">
      <c r="A180" s="2">
        <v>45350</v>
      </c>
      <c r="B180" s="4" t="s">
        <v>211</v>
      </c>
      <c r="C180">
        <v>142</v>
      </c>
      <c r="E180">
        <f t="shared" si="20"/>
        <v>683</v>
      </c>
    </row>
    <row r="181" spans="1:5" x14ac:dyDescent="0.2">
      <c r="A181" s="5">
        <v>45350</v>
      </c>
      <c r="B181" s="4" t="s">
        <v>209</v>
      </c>
      <c r="C181">
        <v>200</v>
      </c>
      <c r="E181">
        <f t="shared" si="20"/>
        <v>883</v>
      </c>
    </row>
    <row r="182" spans="1:5" x14ac:dyDescent="0.2">
      <c r="A182" s="5">
        <v>45350</v>
      </c>
      <c r="B182" s="4" t="s">
        <v>168</v>
      </c>
      <c r="C182">
        <v>34</v>
      </c>
      <c r="E182">
        <f t="shared" si="20"/>
        <v>917</v>
      </c>
    </row>
    <row r="183" spans="1:5" x14ac:dyDescent="0.2">
      <c r="A183" s="2">
        <v>45351</v>
      </c>
      <c r="B183" s="4" t="s">
        <v>266</v>
      </c>
      <c r="D183">
        <v>500</v>
      </c>
      <c r="E183">
        <f t="shared" si="20"/>
        <v>417</v>
      </c>
    </row>
    <row r="184" spans="1:5" x14ac:dyDescent="0.2">
      <c r="A184" s="2">
        <v>45351</v>
      </c>
      <c r="B184" s="4" t="s">
        <v>179</v>
      </c>
      <c r="D184">
        <v>210</v>
      </c>
      <c r="E184">
        <f t="shared" si="20"/>
        <v>207</v>
      </c>
    </row>
    <row r="185" spans="1:5" x14ac:dyDescent="0.2">
      <c r="A185" s="5">
        <v>45351</v>
      </c>
      <c r="B185" s="4" t="s">
        <v>295</v>
      </c>
      <c r="D185">
        <v>30</v>
      </c>
      <c r="E185">
        <f>E184+C185-D185</f>
        <v>177</v>
      </c>
    </row>
    <row r="186" spans="1:5" x14ac:dyDescent="0.2">
      <c r="A186" s="2">
        <v>45351</v>
      </c>
      <c r="B186" s="4" t="s">
        <v>296</v>
      </c>
      <c r="C186">
        <v>474</v>
      </c>
      <c r="E186">
        <f t="shared" ref="E186:E191" si="21">E185+C186-D186</f>
        <v>651</v>
      </c>
    </row>
    <row r="187" spans="1:5" x14ac:dyDescent="0.2">
      <c r="A187" s="2">
        <v>45351</v>
      </c>
      <c r="B187" s="4" t="s">
        <v>79</v>
      </c>
      <c r="C187">
        <v>44</v>
      </c>
      <c r="E187">
        <f t="shared" si="21"/>
        <v>695</v>
      </c>
    </row>
    <row r="188" spans="1:5" x14ac:dyDescent="0.2">
      <c r="A188" s="2">
        <v>45351</v>
      </c>
      <c r="B188" s="4" t="s">
        <v>79</v>
      </c>
      <c r="C188">
        <v>150</v>
      </c>
      <c r="E188">
        <f t="shared" si="21"/>
        <v>845</v>
      </c>
    </row>
    <row r="189" spans="1:5" x14ac:dyDescent="0.2">
      <c r="A189" s="2">
        <v>45352</v>
      </c>
      <c r="B189" s="4" t="s">
        <v>225</v>
      </c>
      <c r="D189">
        <v>30</v>
      </c>
      <c r="E189">
        <f t="shared" si="21"/>
        <v>815</v>
      </c>
    </row>
    <row r="190" spans="1:5" x14ac:dyDescent="0.2">
      <c r="A190" s="2">
        <v>45352</v>
      </c>
      <c r="B190" s="4" t="s">
        <v>44</v>
      </c>
      <c r="D190">
        <v>400</v>
      </c>
      <c r="E190">
        <f t="shared" si="21"/>
        <v>415</v>
      </c>
    </row>
    <row r="191" spans="1:5" x14ac:dyDescent="0.2">
      <c r="A191" s="5">
        <v>45352</v>
      </c>
      <c r="B191" s="4" t="s">
        <v>298</v>
      </c>
      <c r="C191">
        <v>30</v>
      </c>
      <c r="E191">
        <f t="shared" si="21"/>
        <v>445</v>
      </c>
    </row>
    <row r="192" spans="1:5" x14ac:dyDescent="0.2">
      <c r="A192" s="2">
        <v>45352</v>
      </c>
      <c r="B192" s="4" t="s">
        <v>299</v>
      </c>
      <c r="C192">
        <v>150</v>
      </c>
      <c r="E192">
        <f>E191+C192-D192</f>
        <v>595</v>
      </c>
    </row>
    <row r="193" spans="1:5" x14ac:dyDescent="0.2">
      <c r="A193" s="5">
        <v>45352</v>
      </c>
      <c r="B193" s="4" t="s">
        <v>79</v>
      </c>
      <c r="C193">
        <v>168</v>
      </c>
      <c r="E193">
        <f t="shared" ref="E193:E195" si="22">E192+C193-D193</f>
        <v>763</v>
      </c>
    </row>
    <row r="194" spans="1:5" x14ac:dyDescent="0.2">
      <c r="A194" s="2">
        <v>45352</v>
      </c>
      <c r="B194" s="4" t="s">
        <v>180</v>
      </c>
      <c r="C194">
        <v>50</v>
      </c>
      <c r="E194">
        <f t="shared" si="22"/>
        <v>813</v>
      </c>
    </row>
    <row r="195" spans="1:5" x14ac:dyDescent="0.2">
      <c r="A195" s="2">
        <v>45353</v>
      </c>
      <c r="B195" s="4" t="s">
        <v>225</v>
      </c>
      <c r="D195">
        <v>317</v>
      </c>
      <c r="E195">
        <f t="shared" si="22"/>
        <v>496</v>
      </c>
    </row>
    <row r="196" spans="1:5" x14ac:dyDescent="0.2">
      <c r="A196" s="5">
        <v>45353</v>
      </c>
      <c r="B196" s="4" t="s">
        <v>79</v>
      </c>
      <c r="C196">
        <v>68</v>
      </c>
      <c r="E196">
        <f>E195+C196-D196</f>
        <v>564</v>
      </c>
    </row>
    <row r="197" spans="1:5" x14ac:dyDescent="0.2">
      <c r="A197" s="2">
        <v>45355</v>
      </c>
      <c r="B197" s="4" t="s">
        <v>82</v>
      </c>
      <c r="D197">
        <v>100</v>
      </c>
      <c r="E197">
        <f t="shared" ref="E197:E206" si="23">E196+C197-D197</f>
        <v>464</v>
      </c>
    </row>
    <row r="198" spans="1:5" x14ac:dyDescent="0.2">
      <c r="A198" s="2">
        <v>45355</v>
      </c>
      <c r="B198" s="4" t="s">
        <v>140</v>
      </c>
      <c r="D198">
        <v>150</v>
      </c>
      <c r="E198">
        <f t="shared" si="23"/>
        <v>314</v>
      </c>
    </row>
    <row r="199" spans="1:5" x14ac:dyDescent="0.2">
      <c r="A199" s="2">
        <v>45355</v>
      </c>
      <c r="B199" s="4" t="s">
        <v>211</v>
      </c>
      <c r="C199">
        <v>23</v>
      </c>
      <c r="E199">
        <f t="shared" si="23"/>
        <v>337</v>
      </c>
    </row>
    <row r="200" spans="1:5" x14ac:dyDescent="0.2">
      <c r="A200" s="2">
        <v>45356</v>
      </c>
      <c r="B200" s="4" t="s">
        <v>82</v>
      </c>
      <c r="D200">
        <v>80</v>
      </c>
      <c r="E200">
        <f t="shared" si="23"/>
        <v>257</v>
      </c>
    </row>
    <row r="201" spans="1:5" x14ac:dyDescent="0.2">
      <c r="A201" s="2">
        <v>45357</v>
      </c>
      <c r="B201" s="4" t="s">
        <v>181</v>
      </c>
      <c r="C201">
        <v>180</v>
      </c>
      <c r="E201">
        <f t="shared" si="23"/>
        <v>437</v>
      </c>
    </row>
    <row r="202" spans="1:5" x14ac:dyDescent="0.2">
      <c r="A202" s="2">
        <v>45357</v>
      </c>
      <c r="B202" s="4" t="s">
        <v>82</v>
      </c>
      <c r="D202">
        <v>160</v>
      </c>
      <c r="E202">
        <f t="shared" si="23"/>
        <v>277</v>
      </c>
    </row>
    <row r="203" spans="1:5" x14ac:dyDescent="0.2">
      <c r="A203" s="2">
        <v>45358</v>
      </c>
      <c r="B203" s="4" t="s">
        <v>135</v>
      </c>
      <c r="D203">
        <v>100</v>
      </c>
      <c r="E203">
        <f t="shared" si="23"/>
        <v>177</v>
      </c>
    </row>
    <row r="204" spans="1:5" x14ac:dyDescent="0.2">
      <c r="A204" s="2">
        <v>45358</v>
      </c>
      <c r="B204" s="4" t="s">
        <v>135</v>
      </c>
      <c r="D204">
        <v>180</v>
      </c>
      <c r="E204">
        <f t="shared" si="23"/>
        <v>-3</v>
      </c>
    </row>
    <row r="205" spans="1:5" x14ac:dyDescent="0.2">
      <c r="A205" s="2">
        <v>45358</v>
      </c>
      <c r="B205" s="4" t="s">
        <v>78</v>
      </c>
      <c r="C205">
        <v>100</v>
      </c>
      <c r="E205">
        <f t="shared" si="23"/>
        <v>97</v>
      </c>
    </row>
    <row r="206" spans="1:5" x14ac:dyDescent="0.2">
      <c r="A206" s="2">
        <v>45358</v>
      </c>
      <c r="B206" s="4" t="s">
        <v>79</v>
      </c>
      <c r="C206">
        <v>90</v>
      </c>
      <c r="E206" s="6">
        <f t="shared" si="23"/>
        <v>187</v>
      </c>
    </row>
    <row r="207" spans="1:5" x14ac:dyDescent="0.2">
      <c r="A207" s="2">
        <v>45359</v>
      </c>
      <c r="B207" t="s">
        <v>304</v>
      </c>
      <c r="D207">
        <v>75</v>
      </c>
      <c r="E207">
        <f>E206+C207-D207</f>
        <v>112</v>
      </c>
    </row>
    <row r="208" spans="1:5" x14ac:dyDescent="0.2">
      <c r="A208" s="5">
        <v>45359</v>
      </c>
      <c r="B208" s="4" t="s">
        <v>304</v>
      </c>
      <c r="D208">
        <v>25</v>
      </c>
      <c r="E208">
        <f t="shared" ref="E208:E222" si="24">E207+C208-D208</f>
        <v>87</v>
      </c>
    </row>
    <row r="209" spans="1:5" x14ac:dyDescent="0.2">
      <c r="A209" s="2">
        <v>45359</v>
      </c>
      <c r="B209" s="4" t="s">
        <v>74</v>
      </c>
      <c r="C209">
        <v>300</v>
      </c>
      <c r="E209">
        <f t="shared" si="24"/>
        <v>387</v>
      </c>
    </row>
    <row r="210" spans="1:5" x14ac:dyDescent="0.2">
      <c r="A210" s="2">
        <v>45359</v>
      </c>
      <c r="B210" s="4" t="s">
        <v>295</v>
      </c>
      <c r="C210">
        <v>30</v>
      </c>
      <c r="E210">
        <f t="shared" si="24"/>
        <v>417</v>
      </c>
    </row>
    <row r="211" spans="1:5" x14ac:dyDescent="0.2">
      <c r="A211" s="2">
        <v>45360</v>
      </c>
      <c r="B211" s="4" t="s">
        <v>135</v>
      </c>
      <c r="D211">
        <v>20</v>
      </c>
      <c r="E211">
        <f t="shared" si="24"/>
        <v>397</v>
      </c>
    </row>
    <row r="212" spans="1:5" x14ac:dyDescent="0.2">
      <c r="A212" s="2">
        <v>45360</v>
      </c>
      <c r="B212" s="4" t="s">
        <v>205</v>
      </c>
      <c r="D212">
        <v>50</v>
      </c>
      <c r="E212">
        <f t="shared" si="24"/>
        <v>347</v>
      </c>
    </row>
    <row r="213" spans="1:5" x14ac:dyDescent="0.2">
      <c r="A213" s="2">
        <v>45360</v>
      </c>
      <c r="B213" s="4" t="s">
        <v>74</v>
      </c>
      <c r="C213">
        <v>200</v>
      </c>
      <c r="E213">
        <f t="shared" si="24"/>
        <v>547</v>
      </c>
    </row>
    <row r="214" spans="1:5" x14ac:dyDescent="0.2">
      <c r="A214" s="2">
        <v>45360</v>
      </c>
      <c r="B214" s="4" t="s">
        <v>309</v>
      </c>
      <c r="C214">
        <v>250</v>
      </c>
      <c r="E214">
        <f t="shared" si="24"/>
        <v>797</v>
      </c>
    </row>
    <row r="215" spans="1:5" x14ac:dyDescent="0.2">
      <c r="A215" s="2">
        <v>45360</v>
      </c>
      <c r="B215" s="4" t="s">
        <v>304</v>
      </c>
      <c r="D215">
        <v>270</v>
      </c>
      <c r="E215">
        <f t="shared" si="24"/>
        <v>527</v>
      </c>
    </row>
    <row r="216" spans="1:5" x14ac:dyDescent="0.2">
      <c r="A216" s="2">
        <v>45361</v>
      </c>
      <c r="B216" s="4" t="s">
        <v>304</v>
      </c>
      <c r="D216">
        <v>200</v>
      </c>
      <c r="E216">
        <f t="shared" si="24"/>
        <v>327</v>
      </c>
    </row>
    <row r="217" spans="1:5" x14ac:dyDescent="0.2">
      <c r="A217" s="2">
        <v>45364</v>
      </c>
      <c r="B217" s="4" t="s">
        <v>103</v>
      </c>
      <c r="D217">
        <v>50</v>
      </c>
      <c r="E217">
        <f t="shared" si="24"/>
        <v>277</v>
      </c>
    </row>
    <row r="218" spans="1:5" x14ac:dyDescent="0.2">
      <c r="A218" s="2">
        <v>45364</v>
      </c>
      <c r="B218" s="4" t="s">
        <v>311</v>
      </c>
      <c r="D218">
        <v>50</v>
      </c>
      <c r="E218">
        <f t="shared" si="24"/>
        <v>227</v>
      </c>
    </row>
    <row r="219" spans="1:5" x14ac:dyDescent="0.2">
      <c r="A219" s="5">
        <v>45364</v>
      </c>
      <c r="B219" s="4" t="s">
        <v>274</v>
      </c>
      <c r="C219">
        <v>40</v>
      </c>
      <c r="E219">
        <f t="shared" si="24"/>
        <v>267</v>
      </c>
    </row>
    <row r="220" spans="1:5" x14ac:dyDescent="0.2">
      <c r="A220" s="5">
        <v>45365</v>
      </c>
      <c r="B220" s="4" t="s">
        <v>211</v>
      </c>
      <c r="C220">
        <v>22</v>
      </c>
      <c r="E220">
        <f t="shared" si="24"/>
        <v>289</v>
      </c>
    </row>
    <row r="221" spans="1:5" x14ac:dyDescent="0.2">
      <c r="A221" s="5">
        <v>45365</v>
      </c>
      <c r="B221" s="4" t="s">
        <v>211</v>
      </c>
      <c r="C221">
        <v>37</v>
      </c>
      <c r="E221">
        <f t="shared" si="24"/>
        <v>326</v>
      </c>
    </row>
    <row r="222" spans="1:5" x14ac:dyDescent="0.2">
      <c r="A222" s="2">
        <v>45365</v>
      </c>
      <c r="B222" s="4" t="s">
        <v>70</v>
      </c>
      <c r="C222">
        <v>172</v>
      </c>
      <c r="E222">
        <f t="shared" si="24"/>
        <v>498</v>
      </c>
    </row>
    <row r="223" spans="1:5" x14ac:dyDescent="0.2">
      <c r="A223" s="2">
        <v>45366</v>
      </c>
      <c r="B223" s="4" t="s">
        <v>82</v>
      </c>
      <c r="D223">
        <v>100</v>
      </c>
      <c r="E223">
        <f>E222+C223-D223</f>
        <v>398</v>
      </c>
    </row>
    <row r="224" spans="1:5" x14ac:dyDescent="0.2">
      <c r="A224" s="2">
        <v>45366</v>
      </c>
      <c r="B224" s="4" t="s">
        <v>304</v>
      </c>
      <c r="D224">
        <v>60</v>
      </c>
      <c r="E224">
        <f t="shared" ref="E224:E236" si="25">E223+C224-D224</f>
        <v>338</v>
      </c>
    </row>
    <row r="225" spans="1:5" x14ac:dyDescent="0.2">
      <c r="A225" s="2">
        <v>45366</v>
      </c>
      <c r="B225" s="4" t="s">
        <v>314</v>
      </c>
      <c r="D225">
        <v>50</v>
      </c>
      <c r="E225">
        <f t="shared" si="25"/>
        <v>288</v>
      </c>
    </row>
    <row r="226" spans="1:5" x14ac:dyDescent="0.2">
      <c r="A226" s="2">
        <v>45366</v>
      </c>
      <c r="B226" s="4" t="s">
        <v>168</v>
      </c>
      <c r="C226">
        <v>90</v>
      </c>
      <c r="E226">
        <f t="shared" si="25"/>
        <v>378</v>
      </c>
    </row>
    <row r="227" spans="1:5" x14ac:dyDescent="0.2">
      <c r="A227" s="2">
        <v>45366</v>
      </c>
      <c r="B227" s="4" t="s">
        <v>79</v>
      </c>
      <c r="C227">
        <v>141</v>
      </c>
      <c r="E227">
        <f t="shared" si="25"/>
        <v>519</v>
      </c>
    </row>
    <row r="228" spans="1:5" x14ac:dyDescent="0.2">
      <c r="A228" s="2">
        <v>45366</v>
      </c>
      <c r="B228" s="4" t="s">
        <v>79</v>
      </c>
      <c r="C228">
        <v>130</v>
      </c>
      <c r="E228">
        <f t="shared" si="25"/>
        <v>649</v>
      </c>
    </row>
    <row r="229" spans="1:5" x14ac:dyDescent="0.2">
      <c r="A229" s="2">
        <v>45366</v>
      </c>
      <c r="B229" s="4" t="s">
        <v>181</v>
      </c>
      <c r="C229">
        <v>113</v>
      </c>
      <c r="E229">
        <f t="shared" si="25"/>
        <v>762</v>
      </c>
    </row>
    <row r="230" spans="1:5" x14ac:dyDescent="0.2">
      <c r="A230" s="2">
        <v>45367</v>
      </c>
      <c r="B230" s="4" t="s">
        <v>49</v>
      </c>
      <c r="D230">
        <v>50</v>
      </c>
      <c r="E230">
        <f t="shared" si="25"/>
        <v>712</v>
      </c>
    </row>
    <row r="231" spans="1:5" x14ac:dyDescent="0.2">
      <c r="A231" s="2">
        <v>45367</v>
      </c>
      <c r="B231" s="4" t="s">
        <v>82</v>
      </c>
      <c r="D231">
        <v>100</v>
      </c>
      <c r="E231">
        <f t="shared" si="25"/>
        <v>612</v>
      </c>
    </row>
    <row r="232" spans="1:5" x14ac:dyDescent="0.2">
      <c r="A232" s="2">
        <v>45367</v>
      </c>
      <c r="B232" s="4" t="s">
        <v>66</v>
      </c>
      <c r="C232">
        <v>100</v>
      </c>
      <c r="E232">
        <f t="shared" si="25"/>
        <v>712</v>
      </c>
    </row>
    <row r="233" spans="1:5" x14ac:dyDescent="0.2">
      <c r="A233" s="2">
        <v>45367</v>
      </c>
      <c r="B233" s="4" t="s">
        <v>304</v>
      </c>
      <c r="D233">
        <v>141</v>
      </c>
      <c r="E233">
        <f t="shared" si="25"/>
        <v>571</v>
      </c>
    </row>
    <row r="234" spans="1:5" x14ac:dyDescent="0.2">
      <c r="A234" s="2">
        <v>45369</v>
      </c>
      <c r="B234" s="4" t="s">
        <v>49</v>
      </c>
      <c r="D234">
        <v>100</v>
      </c>
      <c r="E234">
        <f t="shared" si="25"/>
        <v>471</v>
      </c>
    </row>
    <row r="235" spans="1:5" x14ac:dyDescent="0.2">
      <c r="A235" s="2">
        <v>45369</v>
      </c>
      <c r="B235" s="4" t="s">
        <v>103</v>
      </c>
      <c r="D235">
        <v>100</v>
      </c>
      <c r="E235">
        <f t="shared" si="25"/>
        <v>371</v>
      </c>
    </row>
    <row r="236" spans="1:5" x14ac:dyDescent="0.2">
      <c r="A236" s="2">
        <v>45369</v>
      </c>
      <c r="B236" s="4" t="s">
        <v>304</v>
      </c>
      <c r="D236">
        <v>200</v>
      </c>
      <c r="E236">
        <f t="shared" si="25"/>
        <v>171</v>
      </c>
    </row>
    <row r="237" spans="1:5" x14ac:dyDescent="0.2">
      <c r="A237" s="2">
        <v>45369</v>
      </c>
      <c r="B237" s="4" t="s">
        <v>299</v>
      </c>
      <c r="C237">
        <v>213</v>
      </c>
    </row>
    <row r="238" spans="1:5" x14ac:dyDescent="0.2">
      <c r="A238" s="2">
        <v>45370</v>
      </c>
      <c r="B238" s="4" t="s">
        <v>82</v>
      </c>
      <c r="D238">
        <v>150</v>
      </c>
    </row>
    <row r="239" spans="1:5" x14ac:dyDescent="0.2">
      <c r="A239" s="2">
        <v>45370</v>
      </c>
      <c r="B239" s="4" t="s">
        <v>304</v>
      </c>
      <c r="D239">
        <v>50</v>
      </c>
    </row>
    <row r="240" spans="1:5" x14ac:dyDescent="0.2">
      <c r="A240" s="5">
        <v>45370</v>
      </c>
      <c r="B240" s="4" t="s">
        <v>324</v>
      </c>
      <c r="D240">
        <v>6</v>
      </c>
    </row>
    <row r="241" spans="1:4" x14ac:dyDescent="0.2">
      <c r="A241" s="5">
        <v>45370</v>
      </c>
      <c r="B241" s="4" t="s">
        <v>325</v>
      </c>
      <c r="D241">
        <v>24</v>
      </c>
    </row>
    <row r="242" spans="1:4" x14ac:dyDescent="0.2">
      <c r="A242" s="2">
        <v>45370</v>
      </c>
      <c r="B242" s="4" t="s">
        <v>78</v>
      </c>
      <c r="C242">
        <v>300</v>
      </c>
    </row>
    <row r="243" spans="1:4" x14ac:dyDescent="0.2">
      <c r="A243" s="5">
        <v>45370</v>
      </c>
      <c r="B243" s="4" t="s">
        <v>299</v>
      </c>
      <c r="C243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8842-4A97-C149-A798-B10F76DA7403}">
  <dimension ref="A1:E3"/>
  <sheetViews>
    <sheetView workbookViewId="0">
      <selection activeCell="E3" sqref="E3"/>
    </sheetView>
  </sheetViews>
  <sheetFormatPr baseColWidth="10" defaultRowHeight="16" x14ac:dyDescent="0.2"/>
  <cols>
    <col min="2" max="2" width="20.5" customWidth="1"/>
  </cols>
  <sheetData>
    <row r="1" spans="1:5" x14ac:dyDescent="0.2">
      <c r="A1" t="s">
        <v>9</v>
      </c>
    </row>
    <row r="3" spans="1:5" x14ac:dyDescent="0.2">
      <c r="B3" t="s">
        <v>10</v>
      </c>
      <c r="E3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939D-5A59-044A-B7E1-7FB1ADED90D5}">
  <dimension ref="A1:E84"/>
  <sheetViews>
    <sheetView topLeftCell="A62" workbookViewId="0">
      <selection activeCell="D84" sqref="D84"/>
    </sheetView>
  </sheetViews>
  <sheetFormatPr baseColWidth="10" defaultRowHeight="16" x14ac:dyDescent="0.2"/>
  <cols>
    <col min="2" max="2" width="37.6640625" customWidth="1"/>
  </cols>
  <sheetData>
    <row r="1" spans="1:5" x14ac:dyDescent="0.2">
      <c r="A1" t="s">
        <v>11</v>
      </c>
    </row>
    <row r="3" spans="1:5" x14ac:dyDescent="0.2">
      <c r="B3" t="s">
        <v>10</v>
      </c>
      <c r="E3">
        <v>163</v>
      </c>
    </row>
    <row r="4" spans="1:5" x14ac:dyDescent="0.2">
      <c r="A4" s="1">
        <v>45293</v>
      </c>
      <c r="B4" t="s">
        <v>44</v>
      </c>
      <c r="D4">
        <v>50</v>
      </c>
      <c r="E4">
        <f>E3+C4-D4</f>
        <v>113</v>
      </c>
    </row>
    <row r="5" spans="1:5" x14ac:dyDescent="0.2">
      <c r="A5" s="2">
        <v>45294</v>
      </c>
      <c r="B5" t="s">
        <v>67</v>
      </c>
      <c r="C5">
        <v>48</v>
      </c>
      <c r="E5">
        <f t="shared" ref="E5:E13" si="0">E4+C5-D5</f>
        <v>161</v>
      </c>
    </row>
    <row r="6" spans="1:5" x14ac:dyDescent="0.2">
      <c r="A6" s="2">
        <v>45296</v>
      </c>
      <c r="B6" t="s">
        <v>57</v>
      </c>
      <c r="C6">
        <v>34</v>
      </c>
      <c r="E6">
        <f t="shared" si="0"/>
        <v>195</v>
      </c>
    </row>
    <row r="7" spans="1:5" x14ac:dyDescent="0.2">
      <c r="A7" s="2">
        <v>45297</v>
      </c>
      <c r="B7" t="s">
        <v>103</v>
      </c>
      <c r="C7">
        <v>17</v>
      </c>
      <c r="E7">
        <f t="shared" si="0"/>
        <v>212</v>
      </c>
    </row>
    <row r="8" spans="1:5" x14ac:dyDescent="0.2">
      <c r="A8" s="2">
        <v>45299</v>
      </c>
      <c r="B8" t="s">
        <v>128</v>
      </c>
      <c r="C8">
        <v>38</v>
      </c>
      <c r="E8">
        <f t="shared" si="0"/>
        <v>250</v>
      </c>
    </row>
    <row r="9" spans="1:5" x14ac:dyDescent="0.2">
      <c r="A9" s="2">
        <v>45299</v>
      </c>
      <c r="B9" t="s">
        <v>85</v>
      </c>
      <c r="C9">
        <v>20</v>
      </c>
      <c r="E9">
        <f t="shared" si="0"/>
        <v>270</v>
      </c>
    </row>
    <row r="10" spans="1:5" x14ac:dyDescent="0.2">
      <c r="A10" s="5">
        <v>45300</v>
      </c>
      <c r="B10" s="4" t="s">
        <v>82</v>
      </c>
      <c r="D10">
        <v>150</v>
      </c>
      <c r="E10">
        <f t="shared" si="0"/>
        <v>120</v>
      </c>
    </row>
    <row r="11" spans="1:5" x14ac:dyDescent="0.2">
      <c r="A11" s="2">
        <v>45300</v>
      </c>
      <c r="B11" t="s">
        <v>81</v>
      </c>
      <c r="C11">
        <v>18</v>
      </c>
      <c r="E11">
        <f t="shared" si="0"/>
        <v>138</v>
      </c>
    </row>
    <row r="12" spans="1:5" x14ac:dyDescent="0.2">
      <c r="A12" s="2">
        <v>45300</v>
      </c>
      <c r="B12" t="s">
        <v>138</v>
      </c>
      <c r="C12">
        <v>7</v>
      </c>
      <c r="E12">
        <f t="shared" si="0"/>
        <v>145</v>
      </c>
    </row>
    <row r="13" spans="1:5" x14ac:dyDescent="0.2">
      <c r="A13" s="5">
        <v>45301</v>
      </c>
      <c r="B13" s="4" t="s">
        <v>143</v>
      </c>
      <c r="D13">
        <v>12</v>
      </c>
      <c r="E13">
        <f t="shared" si="0"/>
        <v>133</v>
      </c>
    </row>
    <row r="14" spans="1:5" x14ac:dyDescent="0.2">
      <c r="A14" s="2">
        <v>45302</v>
      </c>
      <c r="B14" t="s">
        <v>82</v>
      </c>
      <c r="D14">
        <v>50</v>
      </c>
      <c r="E14">
        <f>E13+C14-D14</f>
        <v>83</v>
      </c>
    </row>
    <row r="15" spans="1:5" x14ac:dyDescent="0.2">
      <c r="A15" s="2">
        <v>45303</v>
      </c>
      <c r="B15" t="s">
        <v>164</v>
      </c>
      <c r="C15">
        <v>9</v>
      </c>
      <c r="E15">
        <f t="shared" ref="E15:E18" si="1">E14+C15-D15</f>
        <v>92</v>
      </c>
    </row>
    <row r="16" spans="1:5" x14ac:dyDescent="0.2">
      <c r="A16" s="2">
        <v>45303</v>
      </c>
      <c r="B16" t="s">
        <v>193</v>
      </c>
      <c r="D16">
        <v>22</v>
      </c>
      <c r="E16">
        <f t="shared" si="1"/>
        <v>70</v>
      </c>
    </row>
    <row r="17" spans="1:5" x14ac:dyDescent="0.2">
      <c r="A17" s="2">
        <v>45303</v>
      </c>
      <c r="B17" t="s">
        <v>163</v>
      </c>
      <c r="D17">
        <v>50</v>
      </c>
      <c r="E17">
        <f t="shared" si="1"/>
        <v>20</v>
      </c>
    </row>
    <row r="18" spans="1:5" x14ac:dyDescent="0.2">
      <c r="A18" s="2">
        <v>45306</v>
      </c>
      <c r="B18" t="s">
        <v>67</v>
      </c>
      <c r="C18">
        <v>19</v>
      </c>
      <c r="E18">
        <f t="shared" si="1"/>
        <v>39</v>
      </c>
    </row>
    <row r="19" spans="1:5" x14ac:dyDescent="0.2">
      <c r="A19" s="2">
        <v>45308</v>
      </c>
      <c r="B19" t="s">
        <v>168</v>
      </c>
      <c r="C19">
        <v>59</v>
      </c>
      <c r="E19">
        <f>E18+C19-D19</f>
        <v>98</v>
      </c>
    </row>
    <row r="20" spans="1:5" x14ac:dyDescent="0.2">
      <c r="A20" s="2">
        <v>45308</v>
      </c>
      <c r="B20" t="s">
        <v>138</v>
      </c>
      <c r="C20">
        <v>3</v>
      </c>
      <c r="E20">
        <f t="shared" ref="E20:E23" si="2">E19+C20-D20</f>
        <v>101</v>
      </c>
    </row>
    <row r="21" spans="1:5" x14ac:dyDescent="0.2">
      <c r="A21" s="2">
        <v>45309</v>
      </c>
      <c r="B21" t="s">
        <v>146</v>
      </c>
      <c r="D21">
        <v>30</v>
      </c>
      <c r="E21">
        <f t="shared" si="2"/>
        <v>71</v>
      </c>
    </row>
    <row r="22" spans="1:5" x14ac:dyDescent="0.2">
      <c r="A22" s="2">
        <v>45309</v>
      </c>
      <c r="B22" t="s">
        <v>78</v>
      </c>
      <c r="C22">
        <v>138</v>
      </c>
      <c r="E22">
        <f t="shared" si="2"/>
        <v>209</v>
      </c>
    </row>
    <row r="23" spans="1:5" x14ac:dyDescent="0.2">
      <c r="A23" s="2">
        <v>45309</v>
      </c>
      <c r="B23" t="s">
        <v>162</v>
      </c>
      <c r="D23">
        <v>178</v>
      </c>
      <c r="E23">
        <f t="shared" si="2"/>
        <v>31</v>
      </c>
    </row>
    <row r="24" spans="1:5" x14ac:dyDescent="0.2">
      <c r="A24" s="2">
        <v>45309</v>
      </c>
      <c r="B24" t="s">
        <v>192</v>
      </c>
      <c r="D24">
        <v>2</v>
      </c>
      <c r="E24">
        <f>E23+C24-D24</f>
        <v>29</v>
      </c>
    </row>
    <row r="25" spans="1:5" x14ac:dyDescent="0.2">
      <c r="A25" s="5">
        <v>45310</v>
      </c>
      <c r="B25" s="4" t="s">
        <v>202</v>
      </c>
      <c r="D25">
        <v>2</v>
      </c>
      <c r="E25">
        <f>E24+C25-D25</f>
        <v>27</v>
      </c>
    </row>
    <row r="26" spans="1:5" x14ac:dyDescent="0.2">
      <c r="A26" s="5">
        <v>45310</v>
      </c>
      <c r="B26" s="4" t="s">
        <v>181</v>
      </c>
      <c r="C26">
        <v>10</v>
      </c>
      <c r="E26">
        <f t="shared" ref="E26:E30" si="3">E25+C26-D26</f>
        <v>37</v>
      </c>
    </row>
    <row r="27" spans="1:5" x14ac:dyDescent="0.2">
      <c r="A27" s="5">
        <v>45311</v>
      </c>
      <c r="B27" s="4" t="s">
        <v>64</v>
      </c>
      <c r="C27">
        <v>7</v>
      </c>
      <c r="E27">
        <f t="shared" si="3"/>
        <v>44</v>
      </c>
    </row>
    <row r="28" spans="1:5" x14ac:dyDescent="0.2">
      <c r="A28" s="2">
        <v>45311</v>
      </c>
      <c r="B28" s="4" t="s">
        <v>207</v>
      </c>
      <c r="C28">
        <v>10</v>
      </c>
      <c r="E28">
        <f t="shared" si="3"/>
        <v>54</v>
      </c>
    </row>
    <row r="29" spans="1:5" x14ac:dyDescent="0.2">
      <c r="A29" s="5">
        <v>45313</v>
      </c>
      <c r="B29" s="4" t="s">
        <v>146</v>
      </c>
      <c r="D29">
        <v>54</v>
      </c>
      <c r="E29">
        <f t="shared" si="3"/>
        <v>0</v>
      </c>
    </row>
    <row r="30" spans="1:5" x14ac:dyDescent="0.2">
      <c r="A30" s="2">
        <v>45314</v>
      </c>
      <c r="B30" s="4" t="s">
        <v>202</v>
      </c>
      <c r="C30">
        <v>2</v>
      </c>
      <c r="E30">
        <f t="shared" si="3"/>
        <v>2</v>
      </c>
    </row>
    <row r="31" spans="1:5" x14ac:dyDescent="0.2">
      <c r="A31" s="2">
        <v>45316</v>
      </c>
      <c r="B31" s="4" t="s">
        <v>217</v>
      </c>
      <c r="C31">
        <v>16</v>
      </c>
      <c r="E31">
        <f>E30+C31-D31</f>
        <v>18</v>
      </c>
    </row>
    <row r="32" spans="1:5" x14ac:dyDescent="0.2">
      <c r="A32" s="2">
        <v>45316</v>
      </c>
      <c r="B32" s="4" t="s">
        <v>217</v>
      </c>
      <c r="C32">
        <v>149</v>
      </c>
      <c r="E32">
        <f t="shared" ref="E32:E40" si="4">E31+C32-D32</f>
        <v>167</v>
      </c>
    </row>
    <row r="33" spans="1:5" x14ac:dyDescent="0.2">
      <c r="A33" s="2">
        <v>45317</v>
      </c>
      <c r="B33" s="4" t="s">
        <v>219</v>
      </c>
      <c r="D33">
        <v>149</v>
      </c>
      <c r="E33">
        <f t="shared" si="4"/>
        <v>18</v>
      </c>
    </row>
    <row r="34" spans="1:5" x14ac:dyDescent="0.2">
      <c r="A34" s="2">
        <v>45318</v>
      </c>
      <c r="B34" s="4" t="s">
        <v>146</v>
      </c>
      <c r="D34">
        <v>16</v>
      </c>
      <c r="E34">
        <f t="shared" si="4"/>
        <v>2</v>
      </c>
    </row>
    <row r="35" spans="1:5" x14ac:dyDescent="0.2">
      <c r="A35" s="2">
        <v>45318</v>
      </c>
      <c r="B35" s="4" t="s">
        <v>217</v>
      </c>
      <c r="C35">
        <v>60</v>
      </c>
      <c r="E35">
        <f t="shared" si="4"/>
        <v>62</v>
      </c>
    </row>
    <row r="36" spans="1:5" x14ac:dyDescent="0.2">
      <c r="A36" s="2">
        <v>45318</v>
      </c>
      <c r="B36" s="4" t="s">
        <v>223</v>
      </c>
      <c r="D36">
        <v>60</v>
      </c>
      <c r="E36">
        <f t="shared" si="4"/>
        <v>2</v>
      </c>
    </row>
    <row r="37" spans="1:5" x14ac:dyDescent="0.2">
      <c r="A37" s="2">
        <v>45323</v>
      </c>
      <c r="B37" s="4" t="s">
        <v>168</v>
      </c>
      <c r="C37">
        <v>8</v>
      </c>
      <c r="E37">
        <f t="shared" si="4"/>
        <v>10</v>
      </c>
    </row>
    <row r="38" spans="1:5" x14ac:dyDescent="0.2">
      <c r="A38" s="2">
        <v>45324</v>
      </c>
      <c r="B38" s="4" t="s">
        <v>82</v>
      </c>
      <c r="C38">
        <v>2</v>
      </c>
      <c r="E38">
        <f t="shared" si="4"/>
        <v>12</v>
      </c>
    </row>
    <row r="39" spans="1:5" x14ac:dyDescent="0.2">
      <c r="A39" s="2">
        <v>45327</v>
      </c>
      <c r="B39" s="4" t="s">
        <v>138</v>
      </c>
      <c r="C39">
        <v>8</v>
      </c>
      <c r="E39">
        <f t="shared" si="4"/>
        <v>20</v>
      </c>
    </row>
    <row r="40" spans="1:5" x14ac:dyDescent="0.2">
      <c r="A40" s="2">
        <v>45328</v>
      </c>
      <c r="B40" s="4" t="s">
        <v>247</v>
      </c>
      <c r="C40">
        <v>2</v>
      </c>
      <c r="E40">
        <f t="shared" si="4"/>
        <v>22</v>
      </c>
    </row>
    <row r="41" spans="1:5" x14ac:dyDescent="0.2">
      <c r="A41" s="5">
        <v>45328</v>
      </c>
      <c r="B41" s="4" t="s">
        <v>81</v>
      </c>
      <c r="C41">
        <v>2</v>
      </c>
      <c r="E41">
        <f>E40+C41-D41</f>
        <v>24</v>
      </c>
    </row>
    <row r="42" spans="1:5" x14ac:dyDescent="0.2">
      <c r="A42" s="2">
        <v>45331</v>
      </c>
      <c r="B42" s="4" t="s">
        <v>192</v>
      </c>
      <c r="C42">
        <v>9</v>
      </c>
      <c r="E42">
        <f t="shared" ref="E42:E44" si="5">E41+C42-D42</f>
        <v>33</v>
      </c>
    </row>
    <row r="43" spans="1:5" x14ac:dyDescent="0.2">
      <c r="A43" s="2">
        <v>45331</v>
      </c>
      <c r="B43" s="4" t="s">
        <v>225</v>
      </c>
      <c r="D43">
        <v>9</v>
      </c>
      <c r="E43">
        <f t="shared" si="5"/>
        <v>24</v>
      </c>
    </row>
    <row r="44" spans="1:5" x14ac:dyDescent="0.2">
      <c r="A44" s="2">
        <v>45331</v>
      </c>
      <c r="B44" s="4" t="s">
        <v>70</v>
      </c>
      <c r="C44">
        <v>3</v>
      </c>
      <c r="E44">
        <f t="shared" si="5"/>
        <v>27</v>
      </c>
    </row>
    <row r="45" spans="1:5" x14ac:dyDescent="0.2">
      <c r="A45" s="2">
        <v>45334</v>
      </c>
      <c r="B45" s="4" t="s">
        <v>66</v>
      </c>
      <c r="C45">
        <v>18</v>
      </c>
      <c r="E45">
        <f>E44+C45-D45</f>
        <v>45</v>
      </c>
    </row>
    <row r="46" spans="1:5" x14ac:dyDescent="0.2">
      <c r="A46" s="2">
        <v>45335</v>
      </c>
      <c r="B46" s="4" t="s">
        <v>78</v>
      </c>
      <c r="C46">
        <v>10</v>
      </c>
      <c r="E46">
        <f t="shared" ref="E46:E51" si="6">E45+C46-D46</f>
        <v>55</v>
      </c>
    </row>
    <row r="47" spans="1:5" x14ac:dyDescent="0.2">
      <c r="A47" s="2">
        <v>45335</v>
      </c>
      <c r="B47" s="4" t="s">
        <v>226</v>
      </c>
      <c r="D47">
        <v>50</v>
      </c>
      <c r="E47">
        <f t="shared" si="6"/>
        <v>5</v>
      </c>
    </row>
    <row r="48" spans="1:5" x14ac:dyDescent="0.2">
      <c r="A48" s="2">
        <v>45335</v>
      </c>
      <c r="B48" s="4" t="s">
        <v>70</v>
      </c>
      <c r="C48">
        <v>7</v>
      </c>
      <c r="E48">
        <f t="shared" si="6"/>
        <v>12</v>
      </c>
    </row>
    <row r="49" spans="1:5" x14ac:dyDescent="0.2">
      <c r="A49" s="2">
        <v>45338</v>
      </c>
      <c r="B49" s="4" t="s">
        <v>233</v>
      </c>
      <c r="D49">
        <v>10</v>
      </c>
      <c r="E49">
        <f t="shared" si="6"/>
        <v>2</v>
      </c>
    </row>
    <row r="50" spans="1:5" x14ac:dyDescent="0.2">
      <c r="A50" s="5">
        <v>45338</v>
      </c>
      <c r="B50" s="4" t="s">
        <v>192</v>
      </c>
      <c r="C50">
        <v>2</v>
      </c>
      <c r="E50">
        <f t="shared" si="6"/>
        <v>4</v>
      </c>
    </row>
    <row r="51" spans="1:5" x14ac:dyDescent="0.2">
      <c r="A51" s="2">
        <v>45341</v>
      </c>
      <c r="B51" s="4" t="s">
        <v>206</v>
      </c>
      <c r="C51">
        <v>19</v>
      </c>
      <c r="E51">
        <f t="shared" si="6"/>
        <v>23</v>
      </c>
    </row>
    <row r="52" spans="1:5" x14ac:dyDescent="0.2">
      <c r="A52" s="2">
        <v>45344</v>
      </c>
      <c r="B52" s="4" t="s">
        <v>254</v>
      </c>
      <c r="D52">
        <v>22</v>
      </c>
      <c r="E52">
        <f>E51+C52-D52</f>
        <v>1</v>
      </c>
    </row>
    <row r="53" spans="1:5" x14ac:dyDescent="0.2">
      <c r="A53" s="2">
        <v>45345</v>
      </c>
      <c r="B53" s="4" t="s">
        <v>78</v>
      </c>
      <c r="C53">
        <v>77</v>
      </c>
      <c r="E53">
        <f t="shared" ref="E53:E62" si="7">E52+C53-D53</f>
        <v>78</v>
      </c>
    </row>
    <row r="54" spans="1:5" x14ac:dyDescent="0.2">
      <c r="A54" s="2">
        <v>45346</v>
      </c>
      <c r="B54" s="4" t="s">
        <v>73</v>
      </c>
      <c r="C54">
        <v>18</v>
      </c>
      <c r="E54">
        <f t="shared" si="7"/>
        <v>96</v>
      </c>
    </row>
    <row r="55" spans="1:5" x14ac:dyDescent="0.2">
      <c r="A55" s="2">
        <v>45346</v>
      </c>
      <c r="B55" s="4" t="s">
        <v>254</v>
      </c>
      <c r="D55">
        <v>17</v>
      </c>
      <c r="E55">
        <f t="shared" si="7"/>
        <v>79</v>
      </c>
    </row>
    <row r="56" spans="1:5" x14ac:dyDescent="0.2">
      <c r="A56" s="2">
        <v>45346</v>
      </c>
      <c r="B56" s="4" t="s">
        <v>181</v>
      </c>
      <c r="C56">
        <v>20</v>
      </c>
      <c r="E56">
        <f t="shared" si="7"/>
        <v>99</v>
      </c>
    </row>
    <row r="57" spans="1:5" x14ac:dyDescent="0.2">
      <c r="A57" s="2">
        <v>45348</v>
      </c>
      <c r="B57" s="4" t="s">
        <v>254</v>
      </c>
      <c r="D57">
        <v>62</v>
      </c>
      <c r="E57">
        <f t="shared" si="7"/>
        <v>37</v>
      </c>
    </row>
    <row r="58" spans="1:5" x14ac:dyDescent="0.2">
      <c r="A58" s="2">
        <v>45348</v>
      </c>
      <c r="B58" s="4" t="s">
        <v>168</v>
      </c>
      <c r="C58">
        <v>14</v>
      </c>
      <c r="E58">
        <f t="shared" si="7"/>
        <v>51</v>
      </c>
    </row>
    <row r="59" spans="1:5" x14ac:dyDescent="0.2">
      <c r="A59" s="2">
        <v>45349</v>
      </c>
      <c r="B59" s="4" t="s">
        <v>254</v>
      </c>
      <c r="D59">
        <v>50</v>
      </c>
      <c r="E59">
        <f t="shared" si="7"/>
        <v>1</v>
      </c>
    </row>
    <row r="60" spans="1:5" x14ac:dyDescent="0.2">
      <c r="A60" s="2">
        <v>45350</v>
      </c>
      <c r="B60" s="4" t="s">
        <v>290</v>
      </c>
      <c r="C60">
        <v>50</v>
      </c>
      <c r="E60">
        <f t="shared" si="7"/>
        <v>51</v>
      </c>
    </row>
    <row r="61" spans="1:5" x14ac:dyDescent="0.2">
      <c r="A61" s="2">
        <v>45350</v>
      </c>
      <c r="B61" s="4" t="s">
        <v>78</v>
      </c>
      <c r="C61">
        <v>40</v>
      </c>
      <c r="E61">
        <f t="shared" si="7"/>
        <v>91</v>
      </c>
    </row>
    <row r="62" spans="1:5" x14ac:dyDescent="0.2">
      <c r="A62" s="2">
        <v>45350</v>
      </c>
      <c r="B62" s="4" t="s">
        <v>135</v>
      </c>
      <c r="D62">
        <v>12</v>
      </c>
      <c r="E62">
        <f t="shared" si="7"/>
        <v>79</v>
      </c>
    </row>
    <row r="63" spans="1:5" x14ac:dyDescent="0.2">
      <c r="A63" s="2">
        <v>45350</v>
      </c>
      <c r="B63" s="4" t="s">
        <v>79</v>
      </c>
      <c r="C63">
        <v>28</v>
      </c>
      <c r="E63">
        <f>E62+C63-D63</f>
        <v>107</v>
      </c>
    </row>
    <row r="64" spans="1:5" x14ac:dyDescent="0.2">
      <c r="A64" s="5">
        <v>45350</v>
      </c>
      <c r="B64" s="4" t="s">
        <v>168</v>
      </c>
      <c r="C64">
        <v>45</v>
      </c>
      <c r="E64">
        <f>E63+C64-D64</f>
        <v>152</v>
      </c>
    </row>
    <row r="65" spans="1:5" x14ac:dyDescent="0.2">
      <c r="A65" s="2">
        <v>45351</v>
      </c>
      <c r="B65" s="4" t="s">
        <v>254</v>
      </c>
      <c r="D65">
        <v>55</v>
      </c>
      <c r="E65">
        <f>E64+C65-D65</f>
        <v>97</v>
      </c>
    </row>
    <row r="66" spans="1:5" x14ac:dyDescent="0.2">
      <c r="A66" s="2">
        <v>45351</v>
      </c>
      <c r="B66" s="4" t="s">
        <v>296</v>
      </c>
      <c r="C66">
        <v>146</v>
      </c>
      <c r="E66">
        <f t="shared" ref="E66:E76" si="8">E65+C66-D66</f>
        <v>243</v>
      </c>
    </row>
    <row r="67" spans="1:5" x14ac:dyDescent="0.2">
      <c r="A67" s="2">
        <v>45351</v>
      </c>
      <c r="B67" s="4" t="s">
        <v>79</v>
      </c>
      <c r="C67">
        <v>19</v>
      </c>
      <c r="E67">
        <f t="shared" si="8"/>
        <v>262</v>
      </c>
    </row>
    <row r="68" spans="1:5" x14ac:dyDescent="0.2">
      <c r="A68" s="2">
        <v>45352</v>
      </c>
      <c r="B68" s="4" t="s">
        <v>205</v>
      </c>
      <c r="D68">
        <v>50</v>
      </c>
      <c r="E68">
        <f t="shared" si="8"/>
        <v>212</v>
      </c>
    </row>
    <row r="69" spans="1:5" x14ac:dyDescent="0.2">
      <c r="A69" s="5">
        <v>45352</v>
      </c>
      <c r="B69" s="4" t="s">
        <v>79</v>
      </c>
      <c r="C69">
        <v>18</v>
      </c>
      <c r="E69">
        <f t="shared" si="8"/>
        <v>230</v>
      </c>
    </row>
    <row r="70" spans="1:5" x14ac:dyDescent="0.2">
      <c r="A70" s="5">
        <v>45353</v>
      </c>
      <c r="B70" s="4" t="s">
        <v>79</v>
      </c>
      <c r="C70">
        <v>106</v>
      </c>
      <c r="E70">
        <f t="shared" si="8"/>
        <v>336</v>
      </c>
    </row>
    <row r="71" spans="1:5" x14ac:dyDescent="0.2">
      <c r="A71" s="2">
        <v>45355</v>
      </c>
      <c r="B71" s="4" t="s">
        <v>82</v>
      </c>
      <c r="C71">
        <v>70</v>
      </c>
      <c r="E71">
        <f t="shared" si="8"/>
        <v>406</v>
      </c>
    </row>
    <row r="72" spans="1:5" x14ac:dyDescent="0.2">
      <c r="A72" s="2">
        <v>45357</v>
      </c>
      <c r="B72" s="4" t="s">
        <v>82</v>
      </c>
      <c r="C72">
        <v>24</v>
      </c>
      <c r="E72">
        <f t="shared" si="8"/>
        <v>430</v>
      </c>
    </row>
    <row r="73" spans="1:5" x14ac:dyDescent="0.2">
      <c r="A73" s="2">
        <v>45358</v>
      </c>
      <c r="B73" s="4" t="s">
        <v>44</v>
      </c>
      <c r="D73">
        <v>60</v>
      </c>
      <c r="E73">
        <f t="shared" si="8"/>
        <v>370</v>
      </c>
    </row>
    <row r="74" spans="1:5" x14ac:dyDescent="0.2">
      <c r="A74" s="5">
        <v>45359</v>
      </c>
      <c r="B74" s="4" t="s">
        <v>304</v>
      </c>
      <c r="D74">
        <v>280</v>
      </c>
      <c r="E74">
        <f t="shared" si="8"/>
        <v>90</v>
      </c>
    </row>
    <row r="75" spans="1:5" x14ac:dyDescent="0.2">
      <c r="A75" s="5">
        <v>45363</v>
      </c>
      <c r="B75" s="4" t="s">
        <v>304</v>
      </c>
      <c r="D75">
        <v>50</v>
      </c>
      <c r="E75">
        <f t="shared" si="8"/>
        <v>40</v>
      </c>
    </row>
    <row r="76" spans="1:5" x14ac:dyDescent="0.2">
      <c r="A76" s="2">
        <v>45365</v>
      </c>
      <c r="B76" s="4" t="s">
        <v>70</v>
      </c>
      <c r="C76">
        <v>18</v>
      </c>
      <c r="E76">
        <f t="shared" si="8"/>
        <v>58</v>
      </c>
    </row>
    <row r="77" spans="1:5" x14ac:dyDescent="0.2">
      <c r="A77" s="2">
        <v>45366</v>
      </c>
      <c r="B77" s="4" t="s">
        <v>304</v>
      </c>
      <c r="D77">
        <v>30</v>
      </c>
      <c r="E77">
        <f>E76+C77-D77</f>
        <v>28</v>
      </c>
    </row>
    <row r="78" spans="1:5" x14ac:dyDescent="0.2">
      <c r="A78" s="2">
        <v>45366</v>
      </c>
      <c r="B78" s="4" t="s">
        <v>82</v>
      </c>
      <c r="C78">
        <v>100</v>
      </c>
      <c r="E78">
        <f t="shared" ref="E78:E84" si="9">E77+C78-D78</f>
        <v>128</v>
      </c>
    </row>
    <row r="79" spans="1:5" x14ac:dyDescent="0.2">
      <c r="A79" s="2">
        <v>45366</v>
      </c>
      <c r="B79" s="4" t="s">
        <v>79</v>
      </c>
      <c r="C79">
        <v>36</v>
      </c>
      <c r="E79">
        <f t="shared" si="9"/>
        <v>164</v>
      </c>
    </row>
    <row r="80" spans="1:5" x14ac:dyDescent="0.2">
      <c r="A80" s="2">
        <v>45366</v>
      </c>
      <c r="B80" s="4" t="s">
        <v>79</v>
      </c>
      <c r="C80">
        <v>20</v>
      </c>
      <c r="E80">
        <f t="shared" si="9"/>
        <v>184</v>
      </c>
    </row>
    <row r="81" spans="1:5" x14ac:dyDescent="0.2">
      <c r="A81" s="2">
        <v>45366</v>
      </c>
      <c r="B81" s="4" t="s">
        <v>181</v>
      </c>
      <c r="C81">
        <v>10</v>
      </c>
      <c r="E81">
        <f t="shared" si="9"/>
        <v>194</v>
      </c>
    </row>
    <row r="82" spans="1:5" x14ac:dyDescent="0.2">
      <c r="A82" s="2">
        <v>45367</v>
      </c>
      <c r="B82" s="4" t="s">
        <v>49</v>
      </c>
      <c r="D82">
        <v>100</v>
      </c>
      <c r="E82">
        <f t="shared" si="9"/>
        <v>94</v>
      </c>
    </row>
    <row r="83" spans="1:5" x14ac:dyDescent="0.2">
      <c r="A83" s="5">
        <v>45370</v>
      </c>
      <c r="B83" s="4" t="s">
        <v>324</v>
      </c>
      <c r="D83">
        <v>2</v>
      </c>
      <c r="E83">
        <f t="shared" si="9"/>
        <v>92</v>
      </c>
    </row>
    <row r="84" spans="1:5" x14ac:dyDescent="0.2">
      <c r="E84">
        <f t="shared" si="9"/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DA59-9BA6-DC47-AE4E-696F2021BF9B}">
  <dimension ref="A1:E6"/>
  <sheetViews>
    <sheetView workbookViewId="0">
      <selection activeCell="C6" sqref="C6"/>
    </sheetView>
  </sheetViews>
  <sheetFormatPr baseColWidth="10" defaultRowHeight="16" x14ac:dyDescent="0.2"/>
  <cols>
    <col min="2" max="2" width="22" customWidth="1"/>
  </cols>
  <sheetData>
    <row r="1" spans="1:5" x14ac:dyDescent="0.2">
      <c r="A1" t="s">
        <v>12</v>
      </c>
    </row>
    <row r="3" spans="1:5" x14ac:dyDescent="0.2">
      <c r="B3" t="s">
        <v>10</v>
      </c>
      <c r="E3">
        <v>0</v>
      </c>
    </row>
    <row r="4" spans="1:5" x14ac:dyDescent="0.2">
      <c r="A4" s="2">
        <v>45295</v>
      </c>
      <c r="B4" t="s">
        <v>60</v>
      </c>
      <c r="D4">
        <v>24</v>
      </c>
    </row>
    <row r="5" spans="1:5" x14ac:dyDescent="0.2">
      <c r="A5" s="2">
        <v>45357</v>
      </c>
      <c r="B5" t="s">
        <v>82</v>
      </c>
      <c r="C5">
        <v>1</v>
      </c>
    </row>
    <row r="6" spans="1:5" x14ac:dyDescent="0.2">
      <c r="A6" s="2">
        <v>45366</v>
      </c>
      <c r="B6" t="s">
        <v>82</v>
      </c>
      <c r="C6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9A89-C646-5E40-A6DB-E6A3ABC005B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3449-B084-684B-A63D-DF51D9AE06C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6D67-212A-F84B-8CF4-CBA279FD69E1}">
  <dimension ref="A1:G137"/>
  <sheetViews>
    <sheetView topLeftCell="A122" workbookViewId="0">
      <selection activeCell="C138" sqref="C138"/>
    </sheetView>
  </sheetViews>
  <sheetFormatPr baseColWidth="10" defaultRowHeight="16" x14ac:dyDescent="0.2"/>
  <cols>
    <col min="2" max="2" width="36.83203125" customWidth="1"/>
  </cols>
  <sheetData>
    <row r="1" spans="1:7" x14ac:dyDescent="0.2">
      <c r="A1" t="s">
        <v>13</v>
      </c>
    </row>
    <row r="3" spans="1:7" x14ac:dyDescent="0.2">
      <c r="C3" t="s">
        <v>45</v>
      </c>
      <c r="D3" t="s">
        <v>46</v>
      </c>
    </row>
    <row r="4" spans="1:7" x14ac:dyDescent="0.2">
      <c r="B4" t="s">
        <v>10</v>
      </c>
      <c r="E4">
        <v>432</v>
      </c>
    </row>
    <row r="5" spans="1:7" x14ac:dyDescent="0.2">
      <c r="A5" s="1">
        <v>45293</v>
      </c>
      <c r="B5" t="s">
        <v>44</v>
      </c>
      <c r="D5">
        <v>173</v>
      </c>
      <c r="E5">
        <f>E4+C5-D5</f>
        <v>259</v>
      </c>
    </row>
    <row r="6" spans="1:7" x14ac:dyDescent="0.2">
      <c r="A6" s="1">
        <v>45293</v>
      </c>
      <c r="B6" t="s">
        <v>57</v>
      </c>
      <c r="C6">
        <v>175</v>
      </c>
      <c r="E6">
        <f t="shared" ref="E6:E31" si="0">E5+C6-D6</f>
        <v>434</v>
      </c>
    </row>
    <row r="7" spans="1:7" x14ac:dyDescent="0.2">
      <c r="A7" s="1">
        <v>45294</v>
      </c>
      <c r="B7" t="s">
        <v>59</v>
      </c>
      <c r="D7">
        <v>202</v>
      </c>
      <c r="E7">
        <f t="shared" si="0"/>
        <v>232</v>
      </c>
    </row>
    <row r="8" spans="1:7" x14ac:dyDescent="0.2">
      <c r="A8" s="2">
        <v>45294</v>
      </c>
      <c r="B8" t="s">
        <v>68</v>
      </c>
      <c r="C8">
        <v>150</v>
      </c>
      <c r="E8">
        <f t="shared" si="0"/>
        <v>382</v>
      </c>
      <c r="F8" s="6" t="s">
        <v>69</v>
      </c>
      <c r="G8" s="6"/>
    </row>
    <row r="9" spans="1:7" x14ac:dyDescent="0.2">
      <c r="A9" s="2">
        <v>45295</v>
      </c>
      <c r="B9" t="s">
        <v>60</v>
      </c>
      <c r="D9">
        <v>115</v>
      </c>
      <c r="E9">
        <f t="shared" si="0"/>
        <v>267</v>
      </c>
    </row>
    <row r="10" spans="1:7" x14ac:dyDescent="0.2">
      <c r="A10" s="2">
        <v>45295</v>
      </c>
      <c r="B10" t="s">
        <v>59</v>
      </c>
      <c r="D10">
        <v>35</v>
      </c>
      <c r="E10">
        <f t="shared" si="0"/>
        <v>232</v>
      </c>
    </row>
    <row r="11" spans="1:7" x14ac:dyDescent="0.2">
      <c r="A11" s="2">
        <v>45296</v>
      </c>
      <c r="B11" t="s">
        <v>57</v>
      </c>
      <c r="C11">
        <v>110</v>
      </c>
      <c r="E11">
        <f t="shared" si="0"/>
        <v>342</v>
      </c>
    </row>
    <row r="12" spans="1:7" x14ac:dyDescent="0.2">
      <c r="A12" s="2">
        <v>45296</v>
      </c>
      <c r="B12" t="s">
        <v>85</v>
      </c>
      <c r="C12">
        <v>10</v>
      </c>
      <c r="E12">
        <f t="shared" si="0"/>
        <v>352</v>
      </c>
    </row>
    <row r="13" spans="1:7" x14ac:dyDescent="0.2">
      <c r="A13" s="5">
        <v>45298</v>
      </c>
      <c r="B13" s="4" t="s">
        <v>222</v>
      </c>
      <c r="D13">
        <v>170</v>
      </c>
      <c r="E13">
        <f t="shared" si="0"/>
        <v>182</v>
      </c>
    </row>
    <row r="14" spans="1:7" x14ac:dyDescent="0.2">
      <c r="A14" s="2">
        <v>45299</v>
      </c>
      <c r="B14" t="s">
        <v>85</v>
      </c>
      <c r="C14">
        <v>35</v>
      </c>
      <c r="E14">
        <f t="shared" si="0"/>
        <v>217</v>
      </c>
    </row>
    <row r="15" spans="1:7" x14ac:dyDescent="0.2">
      <c r="A15" s="2">
        <v>45300</v>
      </c>
      <c r="B15" t="s">
        <v>59</v>
      </c>
      <c r="D15">
        <v>65</v>
      </c>
      <c r="E15">
        <f t="shared" si="0"/>
        <v>152</v>
      </c>
    </row>
    <row r="16" spans="1:7" x14ac:dyDescent="0.2">
      <c r="A16" s="5">
        <v>45301</v>
      </c>
      <c r="B16" s="4" t="s">
        <v>143</v>
      </c>
      <c r="D16">
        <v>50</v>
      </c>
      <c r="E16">
        <f t="shared" si="0"/>
        <v>102</v>
      </c>
    </row>
    <row r="17" spans="1:5" x14ac:dyDescent="0.2">
      <c r="A17" s="2">
        <v>45301</v>
      </c>
      <c r="B17" t="s">
        <v>140</v>
      </c>
      <c r="D17">
        <v>50</v>
      </c>
      <c r="E17">
        <f t="shared" si="0"/>
        <v>52</v>
      </c>
    </row>
    <row r="18" spans="1:5" x14ac:dyDescent="0.2">
      <c r="A18" s="5">
        <v>45302</v>
      </c>
      <c r="B18" s="4" t="s">
        <v>82</v>
      </c>
      <c r="D18">
        <v>48</v>
      </c>
      <c r="E18">
        <f t="shared" si="0"/>
        <v>4</v>
      </c>
    </row>
    <row r="19" spans="1:5" x14ac:dyDescent="0.2">
      <c r="A19" s="5">
        <v>45302</v>
      </c>
      <c r="B19" s="4" t="s">
        <v>153</v>
      </c>
      <c r="C19">
        <v>110</v>
      </c>
      <c r="E19">
        <f t="shared" si="0"/>
        <v>114</v>
      </c>
    </row>
    <row r="20" spans="1:5" x14ac:dyDescent="0.2">
      <c r="A20" s="5">
        <v>45302</v>
      </c>
      <c r="B20" s="4" t="s">
        <v>82</v>
      </c>
      <c r="D20">
        <v>110</v>
      </c>
      <c r="E20">
        <f t="shared" si="0"/>
        <v>4</v>
      </c>
    </row>
    <row r="21" spans="1:5" x14ac:dyDescent="0.2">
      <c r="A21" s="2">
        <v>45303</v>
      </c>
      <c r="B21" s="4" t="s">
        <v>68</v>
      </c>
      <c r="C21">
        <v>30</v>
      </c>
      <c r="E21">
        <f t="shared" si="0"/>
        <v>34</v>
      </c>
    </row>
    <row r="22" spans="1:5" x14ac:dyDescent="0.2">
      <c r="A22" s="2">
        <v>45303</v>
      </c>
      <c r="B22" s="4" t="s">
        <v>64</v>
      </c>
      <c r="C22">
        <v>4</v>
      </c>
      <c r="E22">
        <f t="shared" si="0"/>
        <v>38</v>
      </c>
    </row>
    <row r="23" spans="1:5" x14ac:dyDescent="0.2">
      <c r="A23" s="2">
        <v>45303</v>
      </c>
      <c r="B23" s="4" t="s">
        <v>166</v>
      </c>
      <c r="C23">
        <v>115</v>
      </c>
      <c r="E23">
        <f t="shared" si="0"/>
        <v>153</v>
      </c>
    </row>
    <row r="24" spans="1:5" x14ac:dyDescent="0.2">
      <c r="A24" s="2">
        <v>45304</v>
      </c>
      <c r="B24" s="4" t="s">
        <v>59</v>
      </c>
      <c r="D24">
        <v>115</v>
      </c>
      <c r="E24">
        <f t="shared" si="0"/>
        <v>38</v>
      </c>
    </row>
    <row r="25" spans="1:5" x14ac:dyDescent="0.2">
      <c r="A25" s="2">
        <v>45304</v>
      </c>
      <c r="B25" s="4" t="s">
        <v>167</v>
      </c>
      <c r="C25">
        <v>200</v>
      </c>
      <c r="E25">
        <f t="shared" si="0"/>
        <v>238</v>
      </c>
    </row>
    <row r="26" spans="1:5" x14ac:dyDescent="0.2">
      <c r="A26" s="2">
        <v>45304</v>
      </c>
      <c r="B26" s="4" t="s">
        <v>82</v>
      </c>
      <c r="D26">
        <v>30</v>
      </c>
      <c r="E26">
        <f t="shared" si="0"/>
        <v>208</v>
      </c>
    </row>
    <row r="27" spans="1:5" x14ac:dyDescent="0.2">
      <c r="A27" s="2">
        <v>45304</v>
      </c>
      <c r="B27" s="4" t="s">
        <v>91</v>
      </c>
      <c r="D27">
        <v>48</v>
      </c>
      <c r="E27">
        <f t="shared" si="0"/>
        <v>160</v>
      </c>
    </row>
    <row r="28" spans="1:5" x14ac:dyDescent="0.2">
      <c r="A28" s="2">
        <v>45304</v>
      </c>
      <c r="B28" s="4" t="s">
        <v>140</v>
      </c>
      <c r="D28">
        <v>20</v>
      </c>
      <c r="E28">
        <f t="shared" si="0"/>
        <v>140</v>
      </c>
    </row>
    <row r="29" spans="1:5" x14ac:dyDescent="0.2">
      <c r="A29" s="2">
        <v>45305</v>
      </c>
      <c r="B29" s="4" t="s">
        <v>49</v>
      </c>
      <c r="D29">
        <v>80</v>
      </c>
      <c r="E29">
        <f t="shared" si="0"/>
        <v>60</v>
      </c>
    </row>
    <row r="30" spans="1:5" x14ac:dyDescent="0.2">
      <c r="A30" s="2">
        <v>45306</v>
      </c>
      <c r="B30" s="4" t="s">
        <v>140</v>
      </c>
      <c r="D30">
        <v>60</v>
      </c>
      <c r="E30">
        <f t="shared" si="0"/>
        <v>0</v>
      </c>
    </row>
    <row r="31" spans="1:5" x14ac:dyDescent="0.2">
      <c r="A31" s="2">
        <v>45306</v>
      </c>
      <c r="B31" s="4" t="s">
        <v>91</v>
      </c>
      <c r="C31">
        <v>21</v>
      </c>
      <c r="E31">
        <f t="shared" si="0"/>
        <v>21</v>
      </c>
    </row>
    <row r="32" spans="1:5" x14ac:dyDescent="0.2">
      <c r="A32" s="3">
        <v>45307</v>
      </c>
      <c r="B32" s="4" t="s">
        <v>91</v>
      </c>
      <c r="C32">
        <v>8</v>
      </c>
      <c r="E32">
        <f>E31+C32-D32</f>
        <v>29</v>
      </c>
    </row>
    <row r="33" spans="1:7" x14ac:dyDescent="0.2">
      <c r="A33" s="2">
        <v>45307</v>
      </c>
      <c r="B33" s="4" t="s">
        <v>44</v>
      </c>
      <c r="D33">
        <v>21</v>
      </c>
      <c r="E33">
        <f t="shared" ref="E33:E34" si="1">E32+C33-D33</f>
        <v>8</v>
      </c>
    </row>
    <row r="34" spans="1:7" x14ac:dyDescent="0.2">
      <c r="A34" s="2">
        <v>45308</v>
      </c>
      <c r="B34" s="4" t="s">
        <v>138</v>
      </c>
      <c r="C34">
        <v>39</v>
      </c>
      <c r="E34">
        <f t="shared" si="1"/>
        <v>47</v>
      </c>
    </row>
    <row r="35" spans="1:7" x14ac:dyDescent="0.2">
      <c r="A35" s="2">
        <v>45308</v>
      </c>
      <c r="B35" s="4" t="s">
        <v>91</v>
      </c>
      <c r="C35">
        <v>30</v>
      </c>
      <c r="E35">
        <f>E34+C35-D35</f>
        <v>77</v>
      </c>
    </row>
    <row r="36" spans="1:7" x14ac:dyDescent="0.2">
      <c r="A36" s="2">
        <v>45309</v>
      </c>
      <c r="B36" s="4" t="s">
        <v>192</v>
      </c>
      <c r="D36">
        <v>8</v>
      </c>
      <c r="E36">
        <f>E35+C36-D36</f>
        <v>69</v>
      </c>
    </row>
    <row r="37" spans="1:7" x14ac:dyDescent="0.2">
      <c r="A37" s="2">
        <v>45310</v>
      </c>
      <c r="B37" t="s">
        <v>145</v>
      </c>
      <c r="D37">
        <v>40</v>
      </c>
      <c r="E37">
        <f>E36+C37-D37</f>
        <v>29</v>
      </c>
    </row>
    <row r="38" spans="1:7" x14ac:dyDescent="0.2">
      <c r="A38" s="2">
        <v>45310</v>
      </c>
      <c r="B38" s="4" t="s">
        <v>203</v>
      </c>
      <c r="C38">
        <v>200</v>
      </c>
      <c r="E38">
        <f t="shared" ref="E38:E39" si="2">E37+C38-D38</f>
        <v>229</v>
      </c>
    </row>
    <row r="39" spans="1:7" x14ac:dyDescent="0.2">
      <c r="A39" s="5">
        <v>45310</v>
      </c>
      <c r="B39" s="4" t="s">
        <v>181</v>
      </c>
      <c r="C39">
        <v>74</v>
      </c>
      <c r="E39">
        <f t="shared" si="2"/>
        <v>303</v>
      </c>
    </row>
    <row r="40" spans="1:7" x14ac:dyDescent="0.2">
      <c r="A40" s="2">
        <v>45311</v>
      </c>
      <c r="B40" t="s">
        <v>145</v>
      </c>
      <c r="D40">
        <v>100</v>
      </c>
      <c r="E40">
        <f>E39+C40-D40</f>
        <v>203</v>
      </c>
    </row>
    <row r="41" spans="1:7" x14ac:dyDescent="0.2">
      <c r="A41" s="5">
        <v>45311</v>
      </c>
      <c r="B41" s="4" t="s">
        <v>64</v>
      </c>
      <c r="C41">
        <v>22</v>
      </c>
      <c r="E41">
        <f t="shared" ref="E41:E42" si="3">E40+C41-D41</f>
        <v>225</v>
      </c>
    </row>
    <row r="42" spans="1:7" x14ac:dyDescent="0.2">
      <c r="A42" s="2">
        <v>45311</v>
      </c>
      <c r="B42" s="4" t="s">
        <v>207</v>
      </c>
      <c r="C42">
        <v>6</v>
      </c>
      <c r="E42">
        <f t="shared" si="3"/>
        <v>231</v>
      </c>
    </row>
    <row r="43" spans="1:7" x14ac:dyDescent="0.2">
      <c r="A43" s="2">
        <v>45313</v>
      </c>
      <c r="B43" s="4" t="s">
        <v>145</v>
      </c>
      <c r="D43">
        <v>100</v>
      </c>
      <c r="E43">
        <f>E42+C43-D43</f>
        <v>131</v>
      </c>
    </row>
    <row r="44" spans="1:7" x14ac:dyDescent="0.2">
      <c r="A44" s="2">
        <v>45313</v>
      </c>
      <c r="B44" s="4" t="s">
        <v>192</v>
      </c>
      <c r="D44">
        <v>12</v>
      </c>
      <c r="E44">
        <f t="shared" ref="E44:E46" si="4">E43+C44-D44</f>
        <v>119</v>
      </c>
    </row>
    <row r="45" spans="1:7" x14ac:dyDescent="0.2">
      <c r="A45" s="5">
        <v>45313</v>
      </c>
      <c r="B45" s="4" t="s">
        <v>209</v>
      </c>
      <c r="C45">
        <v>40</v>
      </c>
      <c r="E45">
        <f t="shared" si="4"/>
        <v>159</v>
      </c>
    </row>
    <row r="46" spans="1:7" x14ac:dyDescent="0.2">
      <c r="A46" s="2">
        <v>45314</v>
      </c>
      <c r="B46" s="4" t="s">
        <v>145</v>
      </c>
      <c r="D46">
        <v>139</v>
      </c>
      <c r="E46">
        <f t="shared" si="4"/>
        <v>20</v>
      </c>
      <c r="F46">
        <v>-82</v>
      </c>
      <c r="G46" t="s">
        <v>208</v>
      </c>
    </row>
    <row r="47" spans="1:7" x14ac:dyDescent="0.2">
      <c r="A47" s="2">
        <v>45314</v>
      </c>
      <c r="B47" s="4" t="s">
        <v>91</v>
      </c>
      <c r="C47">
        <v>85</v>
      </c>
      <c r="E47">
        <f>E46+C47-D47</f>
        <v>105</v>
      </c>
    </row>
    <row r="48" spans="1:7" x14ac:dyDescent="0.2">
      <c r="A48" s="2">
        <v>45314</v>
      </c>
      <c r="B48" s="4" t="s">
        <v>91</v>
      </c>
      <c r="C48">
        <v>105</v>
      </c>
      <c r="E48">
        <f t="shared" ref="E48:E49" si="5">E47+C48-D48</f>
        <v>210</v>
      </c>
    </row>
    <row r="49" spans="1:5" x14ac:dyDescent="0.2">
      <c r="A49" s="2">
        <v>45314</v>
      </c>
      <c r="B49" s="4" t="s">
        <v>91</v>
      </c>
      <c r="C49">
        <v>22</v>
      </c>
      <c r="E49">
        <f t="shared" si="5"/>
        <v>232</v>
      </c>
    </row>
    <row r="50" spans="1:5" x14ac:dyDescent="0.2">
      <c r="A50" s="2">
        <v>45315</v>
      </c>
      <c r="B50" s="4" t="s">
        <v>213</v>
      </c>
      <c r="D50">
        <v>82</v>
      </c>
      <c r="E50">
        <f>E49+C50-D50</f>
        <v>150</v>
      </c>
    </row>
    <row r="51" spans="1:5" x14ac:dyDescent="0.2">
      <c r="A51" s="2">
        <v>45316</v>
      </c>
      <c r="B51" s="4" t="s">
        <v>148</v>
      </c>
      <c r="D51">
        <v>30</v>
      </c>
      <c r="E51">
        <f t="shared" ref="E51:E54" si="6">E50+C51-D51</f>
        <v>120</v>
      </c>
    </row>
    <row r="52" spans="1:5" x14ac:dyDescent="0.2">
      <c r="A52" s="2">
        <v>45316</v>
      </c>
      <c r="B52" s="4" t="s">
        <v>145</v>
      </c>
      <c r="D52">
        <v>100</v>
      </c>
      <c r="E52">
        <f t="shared" si="6"/>
        <v>20</v>
      </c>
    </row>
    <row r="53" spans="1:5" x14ac:dyDescent="0.2">
      <c r="A53" s="2">
        <v>45316</v>
      </c>
      <c r="B53" s="4" t="s">
        <v>218</v>
      </c>
      <c r="C53">
        <v>298</v>
      </c>
      <c r="E53">
        <f t="shared" si="6"/>
        <v>318</v>
      </c>
    </row>
    <row r="54" spans="1:5" x14ac:dyDescent="0.2">
      <c r="A54" s="2">
        <v>45317</v>
      </c>
      <c r="B54" s="4" t="s">
        <v>219</v>
      </c>
      <c r="D54">
        <v>298</v>
      </c>
      <c r="E54">
        <f t="shared" si="6"/>
        <v>20</v>
      </c>
    </row>
    <row r="55" spans="1:5" x14ac:dyDescent="0.2">
      <c r="A55" s="2">
        <v>45317</v>
      </c>
      <c r="B55" s="4" t="s">
        <v>145</v>
      </c>
      <c r="D55">
        <v>240</v>
      </c>
      <c r="E55">
        <f>E54+C55-D55</f>
        <v>-220</v>
      </c>
    </row>
    <row r="56" spans="1:5" x14ac:dyDescent="0.2">
      <c r="A56" s="2">
        <v>45317</v>
      </c>
      <c r="B56" s="4" t="s">
        <v>82</v>
      </c>
      <c r="C56">
        <v>50</v>
      </c>
      <c r="E56">
        <f t="shared" ref="E56:E66" si="7">E55+C56-D56</f>
        <v>-170</v>
      </c>
    </row>
    <row r="57" spans="1:5" x14ac:dyDescent="0.2">
      <c r="A57" s="2">
        <v>45317</v>
      </c>
      <c r="B57" s="4" t="s">
        <v>225</v>
      </c>
      <c r="D57">
        <v>50</v>
      </c>
      <c r="E57">
        <f t="shared" si="7"/>
        <v>-220</v>
      </c>
    </row>
    <row r="58" spans="1:5" x14ac:dyDescent="0.2">
      <c r="A58" s="5">
        <v>45321</v>
      </c>
      <c r="B58" s="4" t="s">
        <v>91</v>
      </c>
      <c r="C58">
        <v>1</v>
      </c>
      <c r="E58">
        <v>1</v>
      </c>
    </row>
    <row r="59" spans="1:5" x14ac:dyDescent="0.2">
      <c r="A59" s="2">
        <v>45322</v>
      </c>
      <c r="B59" s="4" t="s">
        <v>79</v>
      </c>
      <c r="C59">
        <v>350</v>
      </c>
      <c r="E59">
        <f t="shared" si="7"/>
        <v>351</v>
      </c>
    </row>
    <row r="60" spans="1:5" x14ac:dyDescent="0.2">
      <c r="A60" s="2">
        <v>45323</v>
      </c>
      <c r="B60" s="4" t="s">
        <v>168</v>
      </c>
      <c r="C60">
        <v>135</v>
      </c>
      <c r="E60">
        <f t="shared" si="7"/>
        <v>486</v>
      </c>
    </row>
    <row r="61" spans="1:5" x14ac:dyDescent="0.2">
      <c r="A61" s="5">
        <v>45323</v>
      </c>
      <c r="B61" s="4" t="s">
        <v>181</v>
      </c>
      <c r="C61">
        <v>29</v>
      </c>
      <c r="E61">
        <f t="shared" si="7"/>
        <v>515</v>
      </c>
    </row>
    <row r="62" spans="1:5" x14ac:dyDescent="0.2">
      <c r="A62" s="2">
        <v>45325</v>
      </c>
      <c r="B62" s="4" t="s">
        <v>232</v>
      </c>
      <c r="D62">
        <v>64</v>
      </c>
      <c r="E62">
        <f t="shared" si="7"/>
        <v>451</v>
      </c>
    </row>
    <row r="63" spans="1:5" x14ac:dyDescent="0.2">
      <c r="A63" s="5">
        <v>45325</v>
      </c>
      <c r="B63" s="4" t="s">
        <v>233</v>
      </c>
      <c r="D63">
        <v>100</v>
      </c>
      <c r="E63">
        <f t="shared" si="7"/>
        <v>351</v>
      </c>
    </row>
    <row r="64" spans="1:5" x14ac:dyDescent="0.2">
      <c r="A64" s="2">
        <v>45327</v>
      </c>
      <c r="B64" s="4" t="s">
        <v>233</v>
      </c>
      <c r="D64">
        <v>200</v>
      </c>
      <c r="E64">
        <f t="shared" si="7"/>
        <v>151</v>
      </c>
    </row>
    <row r="65" spans="1:5" x14ac:dyDescent="0.2">
      <c r="A65" s="1">
        <v>45328</v>
      </c>
      <c r="B65" s="4" t="s">
        <v>85</v>
      </c>
      <c r="D65">
        <v>145</v>
      </c>
      <c r="E65">
        <f t="shared" si="7"/>
        <v>6</v>
      </c>
    </row>
    <row r="66" spans="1:5" x14ac:dyDescent="0.2">
      <c r="A66" s="2">
        <v>45328</v>
      </c>
      <c r="B66" s="4" t="s">
        <v>246</v>
      </c>
      <c r="D66">
        <v>4</v>
      </c>
      <c r="E66">
        <f t="shared" si="7"/>
        <v>2</v>
      </c>
    </row>
    <row r="67" spans="1:5" x14ac:dyDescent="0.2">
      <c r="A67" s="2">
        <v>45328</v>
      </c>
      <c r="B67" s="4" t="s">
        <v>203</v>
      </c>
      <c r="C67">
        <v>200</v>
      </c>
      <c r="E67">
        <f>E66+C67-D67</f>
        <v>202</v>
      </c>
    </row>
    <row r="68" spans="1:5" x14ac:dyDescent="0.2">
      <c r="A68" s="2">
        <v>45328</v>
      </c>
      <c r="B68" s="4" t="s">
        <v>191</v>
      </c>
      <c r="C68">
        <v>17</v>
      </c>
      <c r="E68">
        <f t="shared" ref="E68:E75" si="8">E67+C68-D68</f>
        <v>219</v>
      </c>
    </row>
    <row r="69" spans="1:5" x14ac:dyDescent="0.2">
      <c r="A69" s="2">
        <v>45328</v>
      </c>
      <c r="B69" s="4" t="s">
        <v>191</v>
      </c>
      <c r="C69">
        <v>24</v>
      </c>
      <c r="E69">
        <f t="shared" si="8"/>
        <v>243</v>
      </c>
    </row>
    <row r="70" spans="1:5" x14ac:dyDescent="0.2">
      <c r="A70" s="5">
        <v>45329</v>
      </c>
      <c r="B70" s="4" t="s">
        <v>91</v>
      </c>
      <c r="D70">
        <v>100</v>
      </c>
      <c r="E70">
        <f t="shared" si="8"/>
        <v>143</v>
      </c>
    </row>
    <row r="71" spans="1:5" x14ac:dyDescent="0.2">
      <c r="A71" s="5">
        <v>45329</v>
      </c>
      <c r="B71" s="4" t="s">
        <v>263</v>
      </c>
      <c r="C71">
        <v>131</v>
      </c>
      <c r="E71">
        <f t="shared" si="8"/>
        <v>274</v>
      </c>
    </row>
    <row r="72" spans="1:5" x14ac:dyDescent="0.2">
      <c r="A72" s="5">
        <v>45329</v>
      </c>
      <c r="B72" s="4" t="s">
        <v>258</v>
      </c>
      <c r="D72">
        <v>100</v>
      </c>
      <c r="E72">
        <f t="shared" si="8"/>
        <v>174</v>
      </c>
    </row>
    <row r="73" spans="1:5" x14ac:dyDescent="0.2">
      <c r="A73" s="2">
        <v>45329</v>
      </c>
      <c r="B73" s="4" t="s">
        <v>192</v>
      </c>
      <c r="C73">
        <v>20</v>
      </c>
      <c r="E73">
        <f t="shared" si="8"/>
        <v>194</v>
      </c>
    </row>
    <row r="74" spans="1:5" x14ac:dyDescent="0.2">
      <c r="A74" s="5">
        <v>45331</v>
      </c>
      <c r="B74" s="4" t="s">
        <v>192</v>
      </c>
      <c r="C74">
        <v>17</v>
      </c>
      <c r="E74">
        <f t="shared" si="8"/>
        <v>211</v>
      </c>
    </row>
    <row r="75" spans="1:5" x14ac:dyDescent="0.2">
      <c r="A75" s="5">
        <v>45331</v>
      </c>
      <c r="B75" s="4" t="s">
        <v>225</v>
      </c>
      <c r="D75">
        <v>17</v>
      </c>
      <c r="E75">
        <f t="shared" si="8"/>
        <v>194</v>
      </c>
    </row>
    <row r="76" spans="1:5" x14ac:dyDescent="0.2">
      <c r="A76" s="2">
        <v>45334</v>
      </c>
      <c r="B76" s="4" t="s">
        <v>85</v>
      </c>
      <c r="D76">
        <v>67</v>
      </c>
      <c r="E76">
        <f>E75+C76-D76</f>
        <v>127</v>
      </c>
    </row>
    <row r="77" spans="1:5" x14ac:dyDescent="0.2">
      <c r="A77" s="2">
        <v>45335</v>
      </c>
      <c r="B77" s="4" t="s">
        <v>181</v>
      </c>
      <c r="C77">
        <v>131</v>
      </c>
      <c r="E77">
        <f t="shared" ref="E77:E78" si="9">E76+C77-D77</f>
        <v>258</v>
      </c>
    </row>
    <row r="78" spans="1:5" x14ac:dyDescent="0.2">
      <c r="A78" s="5">
        <v>45337</v>
      </c>
      <c r="B78" s="4" t="s">
        <v>129</v>
      </c>
      <c r="C78">
        <v>143</v>
      </c>
      <c r="E78">
        <f t="shared" si="9"/>
        <v>401</v>
      </c>
    </row>
    <row r="79" spans="1:5" x14ac:dyDescent="0.2">
      <c r="A79" s="2">
        <v>45337</v>
      </c>
      <c r="B79" s="4" t="s">
        <v>148</v>
      </c>
      <c r="C79">
        <v>15</v>
      </c>
      <c r="E79">
        <f>E78+C79-D79</f>
        <v>416</v>
      </c>
    </row>
    <row r="80" spans="1:5" x14ac:dyDescent="0.2">
      <c r="A80" s="2">
        <v>45338</v>
      </c>
      <c r="B80" s="4" t="s">
        <v>263</v>
      </c>
      <c r="C80">
        <v>290</v>
      </c>
      <c r="E80">
        <f t="shared" ref="E80:E90" si="10">E79+C80-D80</f>
        <v>706</v>
      </c>
    </row>
    <row r="81" spans="1:5" x14ac:dyDescent="0.2">
      <c r="A81" s="2">
        <v>45341</v>
      </c>
      <c r="B81" s="4" t="s">
        <v>258</v>
      </c>
      <c r="D81">
        <v>300</v>
      </c>
      <c r="E81">
        <f t="shared" si="10"/>
        <v>406</v>
      </c>
    </row>
    <row r="82" spans="1:5" x14ac:dyDescent="0.2">
      <c r="A82" s="2">
        <v>45341</v>
      </c>
      <c r="B82" s="4" t="s">
        <v>203</v>
      </c>
      <c r="D82">
        <v>410</v>
      </c>
      <c r="E82">
        <v>0</v>
      </c>
    </row>
    <row r="83" spans="1:5" x14ac:dyDescent="0.2">
      <c r="A83" s="2">
        <v>45341</v>
      </c>
      <c r="B83" s="4" t="s">
        <v>268</v>
      </c>
      <c r="C83">
        <v>10</v>
      </c>
      <c r="E83">
        <f t="shared" si="10"/>
        <v>10</v>
      </c>
    </row>
    <row r="84" spans="1:5" x14ac:dyDescent="0.2">
      <c r="A84" s="2">
        <v>45342</v>
      </c>
      <c r="B84" s="4" t="s">
        <v>181</v>
      </c>
      <c r="C84">
        <v>36</v>
      </c>
      <c r="E84">
        <f t="shared" si="10"/>
        <v>46</v>
      </c>
    </row>
    <row r="85" spans="1:5" x14ac:dyDescent="0.2">
      <c r="A85" s="2">
        <v>45342</v>
      </c>
      <c r="B85" s="4" t="s">
        <v>70</v>
      </c>
      <c r="C85">
        <v>27</v>
      </c>
      <c r="E85">
        <f t="shared" si="10"/>
        <v>73</v>
      </c>
    </row>
    <row r="86" spans="1:5" x14ac:dyDescent="0.2">
      <c r="A86" s="5">
        <v>45342</v>
      </c>
      <c r="B86" s="4" t="s">
        <v>91</v>
      </c>
      <c r="C86">
        <v>10</v>
      </c>
      <c r="E86">
        <f t="shared" si="10"/>
        <v>83</v>
      </c>
    </row>
    <row r="87" spans="1:5" x14ac:dyDescent="0.2">
      <c r="A87" s="2">
        <v>45342</v>
      </c>
      <c r="B87" s="4" t="s">
        <v>91</v>
      </c>
      <c r="C87">
        <v>18</v>
      </c>
      <c r="E87">
        <f t="shared" si="10"/>
        <v>101</v>
      </c>
    </row>
    <row r="88" spans="1:5" x14ac:dyDescent="0.2">
      <c r="A88" s="5">
        <v>45343</v>
      </c>
      <c r="B88" s="4" t="s">
        <v>274</v>
      </c>
      <c r="D88">
        <v>4</v>
      </c>
      <c r="E88">
        <f t="shared" si="10"/>
        <v>97</v>
      </c>
    </row>
    <row r="89" spans="1:5" x14ac:dyDescent="0.2">
      <c r="A89" s="5">
        <v>45343</v>
      </c>
      <c r="B89" s="4" t="s">
        <v>209</v>
      </c>
      <c r="C89">
        <v>7</v>
      </c>
      <c r="E89">
        <f t="shared" si="10"/>
        <v>104</v>
      </c>
    </row>
    <row r="90" spans="1:5" x14ac:dyDescent="0.2">
      <c r="A90" s="5">
        <v>45344</v>
      </c>
      <c r="B90" s="4" t="s">
        <v>263</v>
      </c>
      <c r="C90" s="4">
        <v>211</v>
      </c>
      <c r="D90" s="4"/>
      <c r="E90">
        <f t="shared" si="10"/>
        <v>315</v>
      </c>
    </row>
    <row r="91" spans="1:5" x14ac:dyDescent="0.2">
      <c r="A91" s="5">
        <v>45344</v>
      </c>
      <c r="B91" s="4" t="s">
        <v>254</v>
      </c>
      <c r="C91" s="4"/>
      <c r="D91" s="4">
        <v>100</v>
      </c>
      <c r="E91">
        <f>E90+C91-D91</f>
        <v>215</v>
      </c>
    </row>
    <row r="92" spans="1:5" x14ac:dyDescent="0.2">
      <c r="A92" s="5">
        <v>45344</v>
      </c>
      <c r="B92" s="4" t="s">
        <v>270</v>
      </c>
      <c r="C92" s="4"/>
      <c r="D92" s="4">
        <v>200</v>
      </c>
      <c r="E92">
        <f t="shared" ref="E92:E97" si="11">E91+C92-D92</f>
        <v>15</v>
      </c>
    </row>
    <row r="93" spans="1:5" x14ac:dyDescent="0.2">
      <c r="A93" s="5">
        <v>45346</v>
      </c>
      <c r="B93" s="4" t="s">
        <v>129</v>
      </c>
      <c r="C93" s="4"/>
      <c r="D93" s="4">
        <v>24</v>
      </c>
      <c r="E93">
        <f t="shared" si="11"/>
        <v>-9</v>
      </c>
    </row>
    <row r="94" spans="1:5" x14ac:dyDescent="0.2">
      <c r="A94" s="5">
        <v>45346</v>
      </c>
      <c r="B94" s="4" t="s">
        <v>181</v>
      </c>
      <c r="C94" s="4">
        <v>40</v>
      </c>
      <c r="D94" s="4"/>
      <c r="E94">
        <v>40</v>
      </c>
    </row>
    <row r="95" spans="1:5" x14ac:dyDescent="0.2">
      <c r="A95" s="5">
        <v>45348</v>
      </c>
      <c r="B95" s="4" t="s">
        <v>254</v>
      </c>
      <c r="C95" s="4"/>
      <c r="D95" s="4">
        <v>40</v>
      </c>
      <c r="E95">
        <f t="shared" si="11"/>
        <v>0</v>
      </c>
    </row>
    <row r="96" spans="1:5" x14ac:dyDescent="0.2">
      <c r="A96" s="5">
        <v>45348</v>
      </c>
      <c r="B96" s="4" t="s">
        <v>168</v>
      </c>
      <c r="C96" s="4">
        <v>43</v>
      </c>
      <c r="D96" s="4"/>
      <c r="E96">
        <f t="shared" si="11"/>
        <v>43</v>
      </c>
    </row>
    <row r="97" spans="1:5" x14ac:dyDescent="0.2">
      <c r="A97" s="2">
        <v>45350</v>
      </c>
      <c r="B97" s="4" t="s">
        <v>293</v>
      </c>
      <c r="C97" s="4">
        <v>50</v>
      </c>
      <c r="D97" s="4"/>
      <c r="E97">
        <f t="shared" si="11"/>
        <v>93</v>
      </c>
    </row>
    <row r="98" spans="1:5" x14ac:dyDescent="0.2">
      <c r="A98" s="5">
        <v>45350</v>
      </c>
      <c r="B98" s="4" t="s">
        <v>129</v>
      </c>
      <c r="C98" s="4"/>
      <c r="D98" s="4">
        <v>43</v>
      </c>
      <c r="E98">
        <f>E97+C98-D98</f>
        <v>50</v>
      </c>
    </row>
    <row r="99" spans="1:5" x14ac:dyDescent="0.2">
      <c r="A99" s="5">
        <v>45350</v>
      </c>
      <c r="B99" s="4" t="s">
        <v>91</v>
      </c>
      <c r="C99" s="4">
        <v>33</v>
      </c>
      <c r="D99" s="4"/>
      <c r="E99">
        <f t="shared" ref="E99:E109" si="12">E98+C99-D99</f>
        <v>83</v>
      </c>
    </row>
    <row r="100" spans="1:5" x14ac:dyDescent="0.2">
      <c r="A100" s="5">
        <v>45351</v>
      </c>
      <c r="B100" s="4" t="s">
        <v>103</v>
      </c>
      <c r="C100" s="4"/>
      <c r="D100" s="4">
        <v>50</v>
      </c>
      <c r="E100">
        <f t="shared" si="12"/>
        <v>33</v>
      </c>
    </row>
    <row r="101" spans="1:5" x14ac:dyDescent="0.2">
      <c r="A101" s="2">
        <v>45351</v>
      </c>
      <c r="B101" s="4" t="s">
        <v>254</v>
      </c>
      <c r="D101">
        <v>60</v>
      </c>
      <c r="E101">
        <f t="shared" si="12"/>
        <v>-27</v>
      </c>
    </row>
    <row r="102" spans="1:5" x14ac:dyDescent="0.2">
      <c r="A102" s="2">
        <v>45351</v>
      </c>
      <c r="B102" s="4" t="s">
        <v>179</v>
      </c>
      <c r="C102">
        <v>10</v>
      </c>
      <c r="E102">
        <f t="shared" si="12"/>
        <v>-17</v>
      </c>
    </row>
    <row r="103" spans="1:5" x14ac:dyDescent="0.2">
      <c r="A103" s="2">
        <v>45351</v>
      </c>
      <c r="B103" s="4" t="s">
        <v>296</v>
      </c>
      <c r="C103">
        <v>894</v>
      </c>
      <c r="E103">
        <f t="shared" si="12"/>
        <v>877</v>
      </c>
    </row>
    <row r="104" spans="1:5" x14ac:dyDescent="0.2">
      <c r="A104" s="2">
        <v>45352</v>
      </c>
      <c r="B104" s="4" t="s">
        <v>129</v>
      </c>
      <c r="D104">
        <v>131</v>
      </c>
      <c r="E104">
        <f t="shared" si="12"/>
        <v>746</v>
      </c>
    </row>
    <row r="105" spans="1:5" x14ac:dyDescent="0.2">
      <c r="A105" s="2">
        <v>45352</v>
      </c>
      <c r="B105" s="4" t="s">
        <v>44</v>
      </c>
      <c r="D105">
        <v>50</v>
      </c>
      <c r="E105">
        <f t="shared" si="12"/>
        <v>696</v>
      </c>
    </row>
    <row r="106" spans="1:5" x14ac:dyDescent="0.2">
      <c r="A106" s="2">
        <v>45353</v>
      </c>
      <c r="B106" s="4" t="s">
        <v>225</v>
      </c>
      <c r="D106">
        <v>43</v>
      </c>
      <c r="E106">
        <f t="shared" si="12"/>
        <v>653</v>
      </c>
    </row>
    <row r="107" spans="1:5" x14ac:dyDescent="0.2">
      <c r="A107" s="2">
        <v>45353</v>
      </c>
      <c r="B107" s="4" t="s">
        <v>303</v>
      </c>
      <c r="D107">
        <v>400</v>
      </c>
      <c r="E107">
        <f t="shared" si="12"/>
        <v>253</v>
      </c>
    </row>
    <row r="108" spans="1:5" x14ac:dyDescent="0.2">
      <c r="A108" s="2">
        <v>45355</v>
      </c>
      <c r="B108" s="4" t="s">
        <v>203</v>
      </c>
      <c r="C108">
        <v>599</v>
      </c>
      <c r="E108">
        <f t="shared" si="12"/>
        <v>852</v>
      </c>
    </row>
    <row r="109" spans="1:5" x14ac:dyDescent="0.2">
      <c r="A109" s="5">
        <v>45355</v>
      </c>
      <c r="B109" s="4" t="s">
        <v>140</v>
      </c>
      <c r="D109">
        <v>200</v>
      </c>
      <c r="E109">
        <f t="shared" si="12"/>
        <v>652</v>
      </c>
    </row>
    <row r="110" spans="1:5" x14ac:dyDescent="0.2">
      <c r="A110" s="5">
        <v>45355</v>
      </c>
      <c r="B110" s="4" t="s">
        <v>304</v>
      </c>
      <c r="D110">
        <v>253</v>
      </c>
      <c r="E110">
        <f>E109+C110-D110</f>
        <v>399</v>
      </c>
    </row>
    <row r="111" spans="1:5" x14ac:dyDescent="0.2">
      <c r="A111" s="5">
        <v>45355</v>
      </c>
      <c r="B111" s="4" t="s">
        <v>82</v>
      </c>
      <c r="C111">
        <v>100</v>
      </c>
      <c r="E111">
        <f t="shared" ref="E111:E120" si="13">E110+C111-D111</f>
        <v>499</v>
      </c>
    </row>
    <row r="112" spans="1:5" x14ac:dyDescent="0.2">
      <c r="A112" s="5">
        <v>45355</v>
      </c>
      <c r="B112" s="4" t="s">
        <v>82</v>
      </c>
      <c r="C112">
        <v>60</v>
      </c>
      <c r="E112">
        <f t="shared" si="13"/>
        <v>559</v>
      </c>
    </row>
    <row r="113" spans="1:5" x14ac:dyDescent="0.2">
      <c r="A113" s="2">
        <v>45355</v>
      </c>
      <c r="B113" s="4" t="s">
        <v>81</v>
      </c>
      <c r="C113">
        <v>5</v>
      </c>
      <c r="E113">
        <f t="shared" si="13"/>
        <v>564</v>
      </c>
    </row>
    <row r="114" spans="1:5" x14ac:dyDescent="0.2">
      <c r="A114" s="5">
        <v>45356</v>
      </c>
      <c r="B114" s="4" t="s">
        <v>304</v>
      </c>
      <c r="D114">
        <v>350</v>
      </c>
      <c r="E114">
        <f t="shared" si="13"/>
        <v>214</v>
      </c>
    </row>
    <row r="115" spans="1:5" x14ac:dyDescent="0.2">
      <c r="A115" s="2">
        <v>45356</v>
      </c>
      <c r="B115" s="4" t="s">
        <v>82</v>
      </c>
      <c r="C115">
        <v>25</v>
      </c>
      <c r="E115">
        <f t="shared" si="13"/>
        <v>239</v>
      </c>
    </row>
    <row r="116" spans="1:5" x14ac:dyDescent="0.2">
      <c r="A116" s="2">
        <v>45357</v>
      </c>
      <c r="B116" s="4" t="s">
        <v>304</v>
      </c>
      <c r="D116">
        <v>232</v>
      </c>
      <c r="E116">
        <f t="shared" si="13"/>
        <v>7</v>
      </c>
    </row>
    <row r="117" spans="1:5" x14ac:dyDescent="0.2">
      <c r="A117" s="2">
        <v>45357</v>
      </c>
      <c r="B117" s="4" t="s">
        <v>181</v>
      </c>
      <c r="C117">
        <v>19</v>
      </c>
      <c r="E117">
        <f t="shared" si="13"/>
        <v>26</v>
      </c>
    </row>
    <row r="118" spans="1:5" x14ac:dyDescent="0.2">
      <c r="A118" s="2">
        <v>45358</v>
      </c>
      <c r="B118" s="4" t="s">
        <v>135</v>
      </c>
      <c r="D118">
        <v>25</v>
      </c>
      <c r="E118">
        <f t="shared" si="13"/>
        <v>1</v>
      </c>
    </row>
    <row r="119" spans="1:5" x14ac:dyDescent="0.2">
      <c r="A119" s="2">
        <v>45358</v>
      </c>
      <c r="B119" s="4" t="s">
        <v>166</v>
      </c>
      <c r="C119">
        <v>40</v>
      </c>
      <c r="E119">
        <f t="shared" si="13"/>
        <v>41</v>
      </c>
    </row>
    <row r="120" spans="1:5" x14ac:dyDescent="0.2">
      <c r="A120" s="2">
        <v>45358</v>
      </c>
      <c r="B120" s="4" t="s">
        <v>70</v>
      </c>
      <c r="C120">
        <v>53</v>
      </c>
      <c r="E120">
        <f t="shared" si="13"/>
        <v>94</v>
      </c>
    </row>
    <row r="121" spans="1:5" x14ac:dyDescent="0.2">
      <c r="A121" s="2">
        <v>45360</v>
      </c>
      <c r="B121" s="4" t="s">
        <v>135</v>
      </c>
      <c r="D121">
        <v>35</v>
      </c>
      <c r="E121">
        <f>E120+C121-D121</f>
        <v>59</v>
      </c>
    </row>
    <row r="122" spans="1:5" x14ac:dyDescent="0.2">
      <c r="A122" s="2">
        <v>45360</v>
      </c>
      <c r="B122" s="4" t="s">
        <v>308</v>
      </c>
      <c r="D122">
        <v>55</v>
      </c>
      <c r="E122">
        <f t="shared" ref="E122:E134" si="14">E121+C122-D122</f>
        <v>4</v>
      </c>
    </row>
    <row r="123" spans="1:5" x14ac:dyDescent="0.2">
      <c r="A123" s="2">
        <v>45360</v>
      </c>
      <c r="B123" s="4" t="s">
        <v>74</v>
      </c>
      <c r="C123">
        <v>200</v>
      </c>
      <c r="E123">
        <f t="shared" si="14"/>
        <v>204</v>
      </c>
    </row>
    <row r="124" spans="1:5" x14ac:dyDescent="0.2">
      <c r="A124" s="2">
        <v>45361</v>
      </c>
      <c r="B124" s="4" t="s">
        <v>304</v>
      </c>
      <c r="D124">
        <v>200</v>
      </c>
      <c r="E124">
        <f t="shared" si="14"/>
        <v>4</v>
      </c>
    </row>
    <row r="125" spans="1:5" x14ac:dyDescent="0.2">
      <c r="A125" s="5">
        <v>45364</v>
      </c>
      <c r="B125" s="4" t="s">
        <v>274</v>
      </c>
      <c r="C125">
        <v>8</v>
      </c>
      <c r="E125">
        <f t="shared" si="14"/>
        <v>12</v>
      </c>
    </row>
    <row r="126" spans="1:5" x14ac:dyDescent="0.2">
      <c r="A126" s="2">
        <v>45364</v>
      </c>
      <c r="B126" s="4" t="s">
        <v>103</v>
      </c>
      <c r="D126">
        <v>44</v>
      </c>
      <c r="E126">
        <f t="shared" si="14"/>
        <v>-32</v>
      </c>
    </row>
    <row r="127" spans="1:5" x14ac:dyDescent="0.2">
      <c r="A127" s="5">
        <v>45365</v>
      </c>
      <c r="B127" s="4" t="s">
        <v>70</v>
      </c>
      <c r="C127">
        <v>11</v>
      </c>
      <c r="E127">
        <f t="shared" si="14"/>
        <v>-21</v>
      </c>
    </row>
    <row r="128" spans="1:5" x14ac:dyDescent="0.2">
      <c r="A128" s="2">
        <v>45366</v>
      </c>
      <c r="B128" s="4" t="s">
        <v>168</v>
      </c>
      <c r="C128">
        <v>30</v>
      </c>
      <c r="E128">
        <f t="shared" si="14"/>
        <v>9</v>
      </c>
    </row>
    <row r="129" spans="1:5" x14ac:dyDescent="0.2">
      <c r="A129" s="2">
        <v>45367</v>
      </c>
      <c r="B129" s="4" t="s">
        <v>225</v>
      </c>
      <c r="D129">
        <v>43</v>
      </c>
      <c r="E129">
        <f t="shared" si="14"/>
        <v>-34</v>
      </c>
    </row>
    <row r="130" spans="1:5" x14ac:dyDescent="0.2">
      <c r="A130" s="2">
        <v>45367</v>
      </c>
      <c r="B130" s="4" t="s">
        <v>166</v>
      </c>
      <c r="C130">
        <v>200</v>
      </c>
      <c r="E130">
        <v>200</v>
      </c>
    </row>
    <row r="131" spans="1:5" x14ac:dyDescent="0.2">
      <c r="A131" s="2">
        <v>45369</v>
      </c>
      <c r="B131" s="4" t="s">
        <v>49</v>
      </c>
      <c r="D131">
        <v>100</v>
      </c>
      <c r="E131">
        <f t="shared" si="14"/>
        <v>100</v>
      </c>
    </row>
    <row r="132" spans="1:5" x14ac:dyDescent="0.2">
      <c r="A132" s="2">
        <v>45369</v>
      </c>
      <c r="B132" s="4" t="s">
        <v>304</v>
      </c>
      <c r="D132">
        <v>50</v>
      </c>
      <c r="E132">
        <f t="shared" si="14"/>
        <v>50</v>
      </c>
    </row>
    <row r="133" spans="1:5" x14ac:dyDescent="0.2">
      <c r="A133" s="2">
        <v>45369</v>
      </c>
      <c r="B133" s="4" t="s">
        <v>299</v>
      </c>
      <c r="C133">
        <v>6</v>
      </c>
      <c r="E133">
        <f t="shared" si="14"/>
        <v>56</v>
      </c>
    </row>
    <row r="134" spans="1:5" x14ac:dyDescent="0.2">
      <c r="A134" s="2">
        <v>45370</v>
      </c>
      <c r="B134" s="4" t="s">
        <v>135</v>
      </c>
      <c r="D134">
        <v>53</v>
      </c>
      <c r="E134">
        <f t="shared" si="14"/>
        <v>3</v>
      </c>
    </row>
    <row r="135" spans="1:5" x14ac:dyDescent="0.2">
      <c r="A135" s="2">
        <v>45370</v>
      </c>
      <c r="B135" s="4" t="s">
        <v>304</v>
      </c>
      <c r="D135">
        <v>9</v>
      </c>
    </row>
    <row r="136" spans="1:5" x14ac:dyDescent="0.2">
      <c r="A136" s="5">
        <v>45370</v>
      </c>
      <c r="B136" s="4" t="s">
        <v>325</v>
      </c>
      <c r="D136">
        <v>4</v>
      </c>
    </row>
    <row r="137" spans="1:5" x14ac:dyDescent="0.2">
      <c r="A137" s="2">
        <v>45370</v>
      </c>
      <c r="B137" s="4" t="s">
        <v>293</v>
      </c>
      <c r="C137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D541-9CC0-0144-93D7-F9A1FADC11AA}">
  <dimension ref="A1:F92"/>
  <sheetViews>
    <sheetView topLeftCell="A69" workbookViewId="0">
      <selection activeCell="C93" sqref="C93"/>
    </sheetView>
  </sheetViews>
  <sheetFormatPr baseColWidth="10" defaultRowHeight="16" x14ac:dyDescent="0.2"/>
  <cols>
    <col min="2" max="2" width="27.5" customWidth="1"/>
  </cols>
  <sheetData>
    <row r="1" spans="1:6" x14ac:dyDescent="0.2">
      <c r="A1" t="s">
        <v>14</v>
      </c>
    </row>
    <row r="3" spans="1:6" x14ac:dyDescent="0.2">
      <c r="B3" t="s">
        <v>5</v>
      </c>
      <c r="E3">
        <v>654</v>
      </c>
    </row>
    <row r="4" spans="1:6" x14ac:dyDescent="0.2">
      <c r="A4" s="1">
        <v>45293</v>
      </c>
      <c r="B4" t="s">
        <v>44</v>
      </c>
      <c r="D4">
        <v>250</v>
      </c>
      <c r="E4">
        <f t="shared" ref="E4:E44" si="0">E3+C4-D4</f>
        <v>404</v>
      </c>
    </row>
    <row r="5" spans="1:6" x14ac:dyDescent="0.2">
      <c r="A5" s="1">
        <v>45293</v>
      </c>
      <c r="B5" t="s">
        <v>58</v>
      </c>
      <c r="C5">
        <v>100</v>
      </c>
      <c r="E5">
        <f t="shared" si="0"/>
        <v>504</v>
      </c>
    </row>
    <row r="6" spans="1:6" x14ac:dyDescent="0.2">
      <c r="A6" s="2">
        <v>45294</v>
      </c>
      <c r="B6" t="s">
        <v>66</v>
      </c>
      <c r="C6">
        <v>220</v>
      </c>
      <c r="E6">
        <f t="shared" si="0"/>
        <v>724</v>
      </c>
    </row>
    <row r="7" spans="1:6" x14ac:dyDescent="0.2">
      <c r="A7" s="2">
        <v>45294</v>
      </c>
      <c r="B7" t="s">
        <v>68</v>
      </c>
      <c r="C7">
        <v>150</v>
      </c>
      <c r="E7">
        <f t="shared" si="0"/>
        <v>874</v>
      </c>
    </row>
    <row r="8" spans="1:6" x14ac:dyDescent="0.2">
      <c r="A8" s="2">
        <v>45295</v>
      </c>
      <c r="B8" t="s">
        <v>60</v>
      </c>
      <c r="D8">
        <v>150</v>
      </c>
      <c r="E8">
        <f t="shared" si="0"/>
        <v>724</v>
      </c>
    </row>
    <row r="9" spans="1:6" x14ac:dyDescent="0.2">
      <c r="A9" s="2">
        <v>45296</v>
      </c>
      <c r="B9" t="s">
        <v>57</v>
      </c>
      <c r="C9">
        <v>77</v>
      </c>
      <c r="E9">
        <f t="shared" si="0"/>
        <v>801</v>
      </c>
      <c r="F9" t="s">
        <v>83</v>
      </c>
    </row>
    <row r="10" spans="1:6" x14ac:dyDescent="0.2">
      <c r="A10" s="2">
        <v>45296</v>
      </c>
      <c r="B10" t="s">
        <v>85</v>
      </c>
      <c r="C10">
        <v>145</v>
      </c>
      <c r="E10">
        <f t="shared" si="0"/>
        <v>946</v>
      </c>
    </row>
    <row r="11" spans="1:6" x14ac:dyDescent="0.2">
      <c r="A11" s="2">
        <v>45296</v>
      </c>
      <c r="B11" t="s">
        <v>100</v>
      </c>
      <c r="C11">
        <v>80</v>
      </c>
      <c r="E11">
        <f t="shared" si="0"/>
        <v>1026</v>
      </c>
      <c r="F11" t="s">
        <v>101</v>
      </c>
    </row>
    <row r="12" spans="1:6" x14ac:dyDescent="0.2">
      <c r="A12" s="2">
        <v>45299</v>
      </c>
      <c r="B12" t="s">
        <v>129</v>
      </c>
      <c r="D12">
        <v>50</v>
      </c>
      <c r="E12">
        <f t="shared" si="0"/>
        <v>976</v>
      </c>
    </row>
    <row r="13" spans="1:6" x14ac:dyDescent="0.2">
      <c r="A13" s="2">
        <v>45300</v>
      </c>
      <c r="B13" t="s">
        <v>81</v>
      </c>
      <c r="C13">
        <v>6</v>
      </c>
      <c r="E13">
        <f t="shared" si="0"/>
        <v>982</v>
      </c>
    </row>
    <row r="14" spans="1:6" x14ac:dyDescent="0.2">
      <c r="A14" s="5">
        <v>45301</v>
      </c>
      <c r="B14" s="4" t="s">
        <v>146</v>
      </c>
      <c r="D14">
        <v>200</v>
      </c>
      <c r="E14">
        <f t="shared" si="0"/>
        <v>782</v>
      </c>
    </row>
    <row r="15" spans="1:6" x14ac:dyDescent="0.2">
      <c r="A15" s="2">
        <v>45303</v>
      </c>
      <c r="B15" t="s">
        <v>68</v>
      </c>
      <c r="C15">
        <v>50</v>
      </c>
      <c r="E15">
        <f t="shared" si="0"/>
        <v>832</v>
      </c>
    </row>
    <row r="16" spans="1:6" x14ac:dyDescent="0.2">
      <c r="A16" s="2">
        <v>45306</v>
      </c>
      <c r="B16" t="s">
        <v>91</v>
      </c>
      <c r="C16">
        <v>22</v>
      </c>
      <c r="E16">
        <f t="shared" si="0"/>
        <v>854</v>
      </c>
    </row>
    <row r="17" spans="1:5" x14ac:dyDescent="0.2">
      <c r="A17" s="2">
        <v>45306</v>
      </c>
      <c r="B17" t="s">
        <v>66</v>
      </c>
      <c r="C17">
        <v>138</v>
      </c>
      <c r="E17">
        <f t="shared" si="0"/>
        <v>992</v>
      </c>
    </row>
    <row r="18" spans="1:5" x14ac:dyDescent="0.2">
      <c r="A18" s="2">
        <v>45307</v>
      </c>
      <c r="B18" t="s">
        <v>44</v>
      </c>
      <c r="D18">
        <v>50</v>
      </c>
      <c r="E18">
        <f t="shared" si="0"/>
        <v>942</v>
      </c>
    </row>
    <row r="19" spans="1:5" x14ac:dyDescent="0.2">
      <c r="A19" s="2">
        <v>45307</v>
      </c>
      <c r="B19" t="s">
        <v>131</v>
      </c>
      <c r="D19">
        <v>10</v>
      </c>
      <c r="E19">
        <f t="shared" si="0"/>
        <v>932</v>
      </c>
    </row>
    <row r="20" spans="1:5" x14ac:dyDescent="0.2">
      <c r="A20" s="2">
        <v>45308</v>
      </c>
      <c r="B20" t="s">
        <v>138</v>
      </c>
      <c r="C20">
        <v>68</v>
      </c>
      <c r="E20">
        <f t="shared" si="0"/>
        <v>1000</v>
      </c>
    </row>
    <row r="21" spans="1:5" x14ac:dyDescent="0.2">
      <c r="A21" s="2">
        <v>45308</v>
      </c>
      <c r="B21" t="s">
        <v>91</v>
      </c>
      <c r="C21">
        <v>36</v>
      </c>
      <c r="E21">
        <f t="shared" si="0"/>
        <v>1036</v>
      </c>
    </row>
    <row r="22" spans="1:5" x14ac:dyDescent="0.2">
      <c r="A22" s="2">
        <v>45310</v>
      </c>
      <c r="B22" t="s">
        <v>145</v>
      </c>
      <c r="D22">
        <v>100</v>
      </c>
      <c r="E22">
        <f t="shared" si="0"/>
        <v>936</v>
      </c>
    </row>
    <row r="23" spans="1:5" x14ac:dyDescent="0.2">
      <c r="A23" s="2">
        <v>45310</v>
      </c>
      <c r="B23" t="s">
        <v>204</v>
      </c>
      <c r="C23">
        <v>50</v>
      </c>
      <c r="E23">
        <f t="shared" si="0"/>
        <v>986</v>
      </c>
    </row>
    <row r="24" spans="1:5" x14ac:dyDescent="0.2">
      <c r="A24" s="2">
        <v>45311</v>
      </c>
      <c r="B24" t="s">
        <v>145</v>
      </c>
      <c r="D24">
        <v>98</v>
      </c>
      <c r="E24">
        <f t="shared" si="0"/>
        <v>888</v>
      </c>
    </row>
    <row r="25" spans="1:5" x14ac:dyDescent="0.2">
      <c r="A25" s="2">
        <v>45313</v>
      </c>
      <c r="B25" t="s">
        <v>44</v>
      </c>
      <c r="D25">
        <v>30</v>
      </c>
      <c r="E25">
        <f t="shared" si="0"/>
        <v>858</v>
      </c>
    </row>
    <row r="26" spans="1:5" x14ac:dyDescent="0.2">
      <c r="A26" s="2">
        <v>45313</v>
      </c>
      <c r="B26" t="s">
        <v>145</v>
      </c>
      <c r="D26">
        <v>300</v>
      </c>
      <c r="E26">
        <f t="shared" si="0"/>
        <v>558</v>
      </c>
    </row>
    <row r="27" spans="1:5" x14ac:dyDescent="0.2">
      <c r="A27" s="2">
        <v>45314</v>
      </c>
      <c r="B27" t="s">
        <v>145</v>
      </c>
      <c r="D27">
        <v>100</v>
      </c>
      <c r="E27">
        <f t="shared" si="0"/>
        <v>458</v>
      </c>
    </row>
    <row r="28" spans="1:5" x14ac:dyDescent="0.2">
      <c r="A28" s="2">
        <v>45314</v>
      </c>
      <c r="B28" t="s">
        <v>91</v>
      </c>
      <c r="C28">
        <v>78</v>
      </c>
      <c r="E28">
        <f t="shared" si="0"/>
        <v>536</v>
      </c>
    </row>
    <row r="29" spans="1:5" x14ac:dyDescent="0.2">
      <c r="A29" s="2">
        <v>45316</v>
      </c>
      <c r="B29" t="s">
        <v>145</v>
      </c>
      <c r="D29">
        <v>100</v>
      </c>
      <c r="E29">
        <f t="shared" si="0"/>
        <v>436</v>
      </c>
    </row>
    <row r="30" spans="1:5" x14ac:dyDescent="0.2">
      <c r="A30" s="2">
        <v>45317</v>
      </c>
      <c r="B30" s="4" t="s">
        <v>219</v>
      </c>
      <c r="D30">
        <v>298</v>
      </c>
      <c r="E30">
        <f t="shared" si="0"/>
        <v>138</v>
      </c>
    </row>
    <row r="31" spans="1:5" x14ac:dyDescent="0.2">
      <c r="A31" s="2">
        <v>45317</v>
      </c>
      <c r="B31" t="s">
        <v>145</v>
      </c>
      <c r="D31">
        <v>86</v>
      </c>
      <c r="E31">
        <f t="shared" si="0"/>
        <v>52</v>
      </c>
    </row>
    <row r="32" spans="1:5" x14ac:dyDescent="0.2">
      <c r="A32" s="5">
        <v>45317</v>
      </c>
      <c r="B32" s="4" t="s">
        <v>211</v>
      </c>
      <c r="C32">
        <v>110</v>
      </c>
      <c r="E32">
        <f t="shared" si="0"/>
        <v>162</v>
      </c>
    </row>
    <row r="33" spans="1:5" x14ac:dyDescent="0.2">
      <c r="A33" s="2">
        <v>45318</v>
      </c>
      <c r="B33" t="s">
        <v>68</v>
      </c>
      <c r="C33">
        <v>250</v>
      </c>
      <c r="E33">
        <f t="shared" si="0"/>
        <v>412</v>
      </c>
    </row>
    <row r="34" spans="1:5" x14ac:dyDescent="0.2">
      <c r="A34" s="2">
        <v>45320</v>
      </c>
      <c r="B34" s="4" t="s">
        <v>82</v>
      </c>
      <c r="C34">
        <v>50</v>
      </c>
      <c r="E34">
        <f t="shared" si="0"/>
        <v>462</v>
      </c>
    </row>
    <row r="35" spans="1:5" x14ac:dyDescent="0.2">
      <c r="A35" s="5">
        <v>45321</v>
      </c>
      <c r="B35" s="4" t="s">
        <v>91</v>
      </c>
      <c r="C35">
        <v>4</v>
      </c>
      <c r="E35">
        <f t="shared" si="0"/>
        <v>466</v>
      </c>
    </row>
    <row r="36" spans="1:5" x14ac:dyDescent="0.2">
      <c r="A36" s="2">
        <v>45323</v>
      </c>
      <c r="B36" s="4" t="s">
        <v>168</v>
      </c>
      <c r="C36">
        <v>20</v>
      </c>
      <c r="E36">
        <f t="shared" si="0"/>
        <v>486</v>
      </c>
    </row>
    <row r="37" spans="1:5" x14ac:dyDescent="0.2">
      <c r="A37" s="2">
        <v>45323</v>
      </c>
      <c r="B37" s="4" t="s">
        <v>211</v>
      </c>
      <c r="C37">
        <v>56</v>
      </c>
      <c r="E37">
        <f t="shared" si="0"/>
        <v>542</v>
      </c>
    </row>
    <row r="38" spans="1:5" x14ac:dyDescent="0.2">
      <c r="A38" s="2">
        <v>45324</v>
      </c>
      <c r="B38" s="4" t="s">
        <v>82</v>
      </c>
      <c r="C38">
        <v>91</v>
      </c>
      <c r="E38">
        <f t="shared" si="0"/>
        <v>633</v>
      </c>
    </row>
    <row r="39" spans="1:5" x14ac:dyDescent="0.2">
      <c r="A39" s="5">
        <v>45325</v>
      </c>
      <c r="B39" s="4" t="s">
        <v>233</v>
      </c>
      <c r="D39">
        <v>300</v>
      </c>
      <c r="E39">
        <f t="shared" si="0"/>
        <v>333</v>
      </c>
    </row>
    <row r="40" spans="1:5" x14ac:dyDescent="0.2">
      <c r="A40" s="2">
        <v>45328</v>
      </c>
      <c r="B40" s="4" t="s">
        <v>191</v>
      </c>
      <c r="C40">
        <v>30</v>
      </c>
      <c r="E40">
        <f t="shared" si="0"/>
        <v>363</v>
      </c>
    </row>
    <row r="41" spans="1:5" x14ac:dyDescent="0.2">
      <c r="A41" s="2">
        <v>45329</v>
      </c>
      <c r="B41" s="4" t="s">
        <v>260</v>
      </c>
      <c r="D41">
        <v>131</v>
      </c>
      <c r="E41">
        <f t="shared" si="0"/>
        <v>232</v>
      </c>
    </row>
    <row r="42" spans="1:5" x14ac:dyDescent="0.2">
      <c r="A42" s="2">
        <v>45329</v>
      </c>
      <c r="B42" s="4" t="s">
        <v>258</v>
      </c>
      <c r="D42">
        <v>300</v>
      </c>
      <c r="E42">
        <f t="shared" si="0"/>
        <v>-68</v>
      </c>
    </row>
    <row r="43" spans="1:5" x14ac:dyDescent="0.2">
      <c r="A43" s="2">
        <v>45329</v>
      </c>
      <c r="B43" s="4" t="s">
        <v>211</v>
      </c>
      <c r="C43">
        <v>55</v>
      </c>
      <c r="E43">
        <f t="shared" si="0"/>
        <v>-13</v>
      </c>
    </row>
    <row r="44" spans="1:5" x14ac:dyDescent="0.2">
      <c r="A44" s="2">
        <v>45334</v>
      </c>
      <c r="B44" s="4" t="s">
        <v>85</v>
      </c>
      <c r="D44">
        <v>123</v>
      </c>
      <c r="E44">
        <f t="shared" si="0"/>
        <v>-136</v>
      </c>
    </row>
    <row r="45" spans="1:5" x14ac:dyDescent="0.2">
      <c r="A45" s="2">
        <v>45334</v>
      </c>
      <c r="B45" s="4" t="s">
        <v>66</v>
      </c>
      <c r="C45">
        <v>45</v>
      </c>
      <c r="E45">
        <v>0</v>
      </c>
    </row>
    <row r="46" spans="1:5" x14ac:dyDescent="0.2">
      <c r="A46" s="2">
        <v>45335</v>
      </c>
      <c r="B46" s="4" t="s">
        <v>135</v>
      </c>
      <c r="D46">
        <v>200</v>
      </c>
      <c r="E46">
        <v>0</v>
      </c>
    </row>
    <row r="47" spans="1:5" x14ac:dyDescent="0.2">
      <c r="A47" s="5">
        <v>45337</v>
      </c>
      <c r="B47" s="4" t="s">
        <v>129</v>
      </c>
      <c r="C47">
        <v>205</v>
      </c>
      <c r="E47">
        <f t="shared" ref="E47:E59" si="1">E46+C47-D47</f>
        <v>205</v>
      </c>
    </row>
    <row r="48" spans="1:5" x14ac:dyDescent="0.2">
      <c r="A48" s="2">
        <v>45338</v>
      </c>
      <c r="B48" s="4" t="s">
        <v>258</v>
      </c>
      <c r="D48">
        <v>100</v>
      </c>
      <c r="E48">
        <f t="shared" si="1"/>
        <v>105</v>
      </c>
    </row>
    <row r="49" spans="1:6" x14ac:dyDescent="0.2">
      <c r="A49" s="2">
        <v>45338</v>
      </c>
      <c r="B49" s="4" t="s">
        <v>68</v>
      </c>
      <c r="C49">
        <v>400</v>
      </c>
      <c r="E49">
        <f t="shared" si="1"/>
        <v>505</v>
      </c>
    </row>
    <row r="50" spans="1:6" x14ac:dyDescent="0.2">
      <c r="A50" s="2">
        <v>45338</v>
      </c>
      <c r="B50" s="4" t="s">
        <v>260</v>
      </c>
      <c r="D50">
        <v>290</v>
      </c>
      <c r="E50">
        <f t="shared" si="1"/>
        <v>215</v>
      </c>
    </row>
    <row r="51" spans="1:6" x14ac:dyDescent="0.2">
      <c r="A51" s="2">
        <v>45338</v>
      </c>
      <c r="B51" s="4" t="s">
        <v>211</v>
      </c>
      <c r="C51">
        <v>48</v>
      </c>
      <c r="E51">
        <f t="shared" si="1"/>
        <v>263</v>
      </c>
    </row>
    <row r="52" spans="1:6" x14ac:dyDescent="0.2">
      <c r="A52" s="2">
        <v>45341</v>
      </c>
      <c r="B52" s="4" t="s">
        <v>206</v>
      </c>
      <c r="C52">
        <v>27</v>
      </c>
      <c r="E52">
        <f t="shared" si="1"/>
        <v>290</v>
      </c>
    </row>
    <row r="53" spans="1:6" x14ac:dyDescent="0.2">
      <c r="A53" s="2">
        <v>45342</v>
      </c>
      <c r="B53" s="4" t="s">
        <v>270</v>
      </c>
      <c r="D53">
        <v>100</v>
      </c>
      <c r="E53">
        <f t="shared" si="1"/>
        <v>190</v>
      </c>
    </row>
    <row r="54" spans="1:6" x14ac:dyDescent="0.2">
      <c r="A54" s="2">
        <v>45342</v>
      </c>
      <c r="B54" s="4" t="s">
        <v>68</v>
      </c>
      <c r="C54">
        <v>100</v>
      </c>
      <c r="E54">
        <f t="shared" si="1"/>
        <v>290</v>
      </c>
    </row>
    <row r="55" spans="1:6" x14ac:dyDescent="0.2">
      <c r="A55" s="5">
        <v>45342</v>
      </c>
      <c r="B55" s="4" t="s">
        <v>91</v>
      </c>
      <c r="C55">
        <v>15</v>
      </c>
      <c r="E55">
        <f t="shared" si="1"/>
        <v>305</v>
      </c>
    </row>
    <row r="56" spans="1:6" x14ac:dyDescent="0.2">
      <c r="A56" s="5">
        <v>45342</v>
      </c>
      <c r="B56" s="4" t="s">
        <v>91</v>
      </c>
      <c r="C56">
        <v>23</v>
      </c>
      <c r="E56">
        <f t="shared" si="1"/>
        <v>328</v>
      </c>
    </row>
    <row r="57" spans="1:6" x14ac:dyDescent="0.2">
      <c r="A57" s="5">
        <v>45343</v>
      </c>
      <c r="B57" s="4" t="s">
        <v>272</v>
      </c>
      <c r="D57">
        <v>200</v>
      </c>
      <c r="E57">
        <f t="shared" si="1"/>
        <v>128</v>
      </c>
    </row>
    <row r="58" spans="1:6" x14ac:dyDescent="0.2">
      <c r="A58" s="5">
        <v>45343</v>
      </c>
      <c r="B58" s="4" t="s">
        <v>270</v>
      </c>
      <c r="D58">
        <v>100</v>
      </c>
      <c r="E58">
        <f t="shared" si="1"/>
        <v>28</v>
      </c>
    </row>
    <row r="59" spans="1:6" x14ac:dyDescent="0.2">
      <c r="A59" s="2">
        <v>45343</v>
      </c>
      <c r="B59" s="4" t="s">
        <v>68</v>
      </c>
      <c r="C59">
        <v>300</v>
      </c>
      <c r="E59">
        <f t="shared" si="1"/>
        <v>328</v>
      </c>
      <c r="F59" t="s">
        <v>279</v>
      </c>
    </row>
    <row r="60" spans="1:6" x14ac:dyDescent="0.2">
      <c r="A60" s="2">
        <v>45343</v>
      </c>
      <c r="B60" s="4" t="s">
        <v>68</v>
      </c>
      <c r="C60">
        <v>100</v>
      </c>
    </row>
    <row r="61" spans="1:6" x14ac:dyDescent="0.2">
      <c r="A61" s="2">
        <v>45344</v>
      </c>
      <c r="B61" s="4" t="s">
        <v>254</v>
      </c>
      <c r="D61">
        <v>200</v>
      </c>
    </row>
    <row r="62" spans="1:6" x14ac:dyDescent="0.2">
      <c r="A62" s="2">
        <v>45344</v>
      </c>
      <c r="B62" s="4" t="s">
        <v>260</v>
      </c>
      <c r="D62">
        <v>211</v>
      </c>
    </row>
    <row r="63" spans="1:6" x14ac:dyDescent="0.2">
      <c r="A63" s="2">
        <v>45344</v>
      </c>
      <c r="B63" s="4" t="s">
        <v>68</v>
      </c>
      <c r="C63">
        <v>100</v>
      </c>
    </row>
    <row r="64" spans="1:6" x14ac:dyDescent="0.2">
      <c r="A64" s="5">
        <v>45348</v>
      </c>
      <c r="B64" s="4" t="s">
        <v>211</v>
      </c>
      <c r="C64">
        <v>53</v>
      </c>
    </row>
    <row r="65" spans="1:4" x14ac:dyDescent="0.2">
      <c r="A65" s="2">
        <v>45348</v>
      </c>
      <c r="B65" s="4" t="s">
        <v>229</v>
      </c>
      <c r="C65">
        <v>9</v>
      </c>
    </row>
    <row r="66" spans="1:4" x14ac:dyDescent="0.2">
      <c r="A66" s="2">
        <v>45348</v>
      </c>
      <c r="B66" s="4" t="s">
        <v>168</v>
      </c>
      <c r="C66">
        <v>23</v>
      </c>
    </row>
    <row r="67" spans="1:4" x14ac:dyDescent="0.2">
      <c r="A67" s="2">
        <v>45349</v>
      </c>
      <c r="B67" s="4" t="s">
        <v>254</v>
      </c>
      <c r="D67">
        <v>25</v>
      </c>
    </row>
    <row r="68" spans="1:4" x14ac:dyDescent="0.2">
      <c r="A68" s="2">
        <v>45350</v>
      </c>
      <c r="B68" s="4" t="s">
        <v>82</v>
      </c>
      <c r="C68">
        <v>120</v>
      </c>
    </row>
    <row r="69" spans="1:4" x14ac:dyDescent="0.2">
      <c r="A69" s="5">
        <v>45350</v>
      </c>
      <c r="B69" s="4" t="s">
        <v>91</v>
      </c>
      <c r="C69">
        <v>64</v>
      </c>
    </row>
    <row r="70" spans="1:4" x14ac:dyDescent="0.2">
      <c r="A70" s="2">
        <v>45351</v>
      </c>
      <c r="B70" s="4" t="s">
        <v>68</v>
      </c>
      <c r="D70">
        <v>100</v>
      </c>
    </row>
    <row r="71" spans="1:4" x14ac:dyDescent="0.2">
      <c r="A71" s="2">
        <v>45351</v>
      </c>
      <c r="B71" s="4" t="s">
        <v>254</v>
      </c>
      <c r="D71">
        <v>100</v>
      </c>
    </row>
    <row r="72" spans="1:4" x14ac:dyDescent="0.2">
      <c r="A72" s="2">
        <v>45352</v>
      </c>
      <c r="B72" s="4" t="s">
        <v>44</v>
      </c>
      <c r="D72">
        <v>140</v>
      </c>
    </row>
    <row r="73" spans="1:4" x14ac:dyDescent="0.2">
      <c r="A73" s="2">
        <v>45353</v>
      </c>
      <c r="B73" s="4" t="s">
        <v>302</v>
      </c>
      <c r="C73">
        <v>100</v>
      </c>
    </row>
    <row r="74" spans="1:4" x14ac:dyDescent="0.2">
      <c r="A74" s="2">
        <v>45353</v>
      </c>
      <c r="B74" s="4" t="s">
        <v>254</v>
      </c>
      <c r="D74">
        <v>100</v>
      </c>
    </row>
    <row r="75" spans="1:4" x14ac:dyDescent="0.2">
      <c r="A75" s="5">
        <v>45355</v>
      </c>
      <c r="B75" s="4" t="s">
        <v>82</v>
      </c>
      <c r="C75">
        <v>100</v>
      </c>
    </row>
    <row r="76" spans="1:4" x14ac:dyDescent="0.2">
      <c r="A76" s="5">
        <v>45355</v>
      </c>
      <c r="B76" s="4" t="s">
        <v>82</v>
      </c>
      <c r="C76">
        <v>80</v>
      </c>
    </row>
    <row r="77" spans="1:4" x14ac:dyDescent="0.2">
      <c r="A77" s="2">
        <v>45355</v>
      </c>
      <c r="B77" s="4" t="s">
        <v>81</v>
      </c>
      <c r="C77">
        <v>1</v>
      </c>
    </row>
    <row r="78" spans="1:4" x14ac:dyDescent="0.2">
      <c r="A78" s="5">
        <v>45356</v>
      </c>
      <c r="B78" s="4" t="s">
        <v>304</v>
      </c>
      <c r="D78">
        <v>180</v>
      </c>
    </row>
    <row r="79" spans="1:4" x14ac:dyDescent="0.2">
      <c r="A79" s="2">
        <v>45356</v>
      </c>
      <c r="B79" s="4" t="s">
        <v>82</v>
      </c>
      <c r="C79">
        <v>135</v>
      </c>
    </row>
    <row r="80" spans="1:4" x14ac:dyDescent="0.2">
      <c r="A80" s="2">
        <v>45356</v>
      </c>
      <c r="B80" s="4" t="s">
        <v>211</v>
      </c>
      <c r="C80">
        <v>100</v>
      </c>
    </row>
    <row r="81" spans="1:6" x14ac:dyDescent="0.2">
      <c r="A81" s="2">
        <v>45357</v>
      </c>
      <c r="B81" s="4" t="s">
        <v>304</v>
      </c>
      <c r="D81">
        <v>260</v>
      </c>
    </row>
    <row r="82" spans="1:6" x14ac:dyDescent="0.2">
      <c r="A82" s="2">
        <v>45359</v>
      </c>
      <c r="B82" s="4" t="s">
        <v>211</v>
      </c>
      <c r="C82">
        <v>75</v>
      </c>
      <c r="F82" t="s">
        <v>315</v>
      </c>
    </row>
    <row r="83" spans="1:6" x14ac:dyDescent="0.2">
      <c r="A83" s="2">
        <v>45360</v>
      </c>
      <c r="B83" s="4" t="s">
        <v>310</v>
      </c>
      <c r="D83">
        <v>123</v>
      </c>
      <c r="E83">
        <v>127</v>
      </c>
    </row>
    <row r="84" spans="1:6" x14ac:dyDescent="0.2">
      <c r="A84" s="2">
        <v>45363</v>
      </c>
      <c r="B84" s="4" t="s">
        <v>304</v>
      </c>
      <c r="D84">
        <v>77</v>
      </c>
    </row>
    <row r="85" spans="1:6" x14ac:dyDescent="0.2">
      <c r="A85" s="2">
        <v>45365</v>
      </c>
      <c r="B85" s="4" t="s">
        <v>304</v>
      </c>
      <c r="D85">
        <v>45</v>
      </c>
    </row>
    <row r="86" spans="1:6" x14ac:dyDescent="0.2">
      <c r="A86" s="2">
        <v>45366</v>
      </c>
      <c r="B86" s="4" t="s">
        <v>82</v>
      </c>
      <c r="C86">
        <v>127</v>
      </c>
    </row>
    <row r="87" spans="1:6" x14ac:dyDescent="0.2">
      <c r="A87" s="2">
        <v>45367</v>
      </c>
      <c r="B87" s="4" t="s">
        <v>49</v>
      </c>
      <c r="D87">
        <v>103</v>
      </c>
    </row>
    <row r="88" spans="1:6" x14ac:dyDescent="0.2">
      <c r="A88" s="2">
        <v>45367</v>
      </c>
      <c r="B88" s="4" t="s">
        <v>66</v>
      </c>
      <c r="C88">
        <v>8</v>
      </c>
    </row>
    <row r="89" spans="1:6" x14ac:dyDescent="0.2">
      <c r="A89" s="2">
        <v>45367</v>
      </c>
      <c r="B89" s="4" t="s">
        <v>304</v>
      </c>
      <c r="D89">
        <v>32</v>
      </c>
    </row>
    <row r="90" spans="1:6" x14ac:dyDescent="0.2">
      <c r="A90" s="2">
        <v>45369</v>
      </c>
      <c r="B90" s="4" t="s">
        <v>270</v>
      </c>
      <c r="C90">
        <v>200</v>
      </c>
    </row>
    <row r="91" spans="1:6" x14ac:dyDescent="0.2">
      <c r="A91" s="2">
        <v>45370</v>
      </c>
      <c r="B91" s="4" t="s">
        <v>304</v>
      </c>
      <c r="D91">
        <v>233</v>
      </c>
    </row>
    <row r="92" spans="1:6" x14ac:dyDescent="0.2">
      <c r="A92" s="2">
        <v>45370</v>
      </c>
      <c r="B92" s="4" t="s">
        <v>326</v>
      </c>
      <c r="C92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0B87-28DB-B34F-ACEF-1BDC37AE0F0A}">
  <dimension ref="A1:E3"/>
  <sheetViews>
    <sheetView workbookViewId="0">
      <selection activeCell="E4" sqref="E4"/>
    </sheetView>
  </sheetViews>
  <sheetFormatPr baseColWidth="10" defaultRowHeight="16" x14ac:dyDescent="0.2"/>
  <cols>
    <col min="2" max="2" width="24.1640625" customWidth="1"/>
  </cols>
  <sheetData>
    <row r="1" spans="1:5" x14ac:dyDescent="0.2">
      <c r="A1" t="s">
        <v>111</v>
      </c>
    </row>
    <row r="3" spans="1:5" x14ac:dyDescent="0.2">
      <c r="B3" t="s">
        <v>16</v>
      </c>
      <c r="E3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6FE8-E588-E645-8C2E-4A115FDB195E}">
  <dimension ref="A1:E4"/>
  <sheetViews>
    <sheetView workbookViewId="0">
      <selection activeCell="C5" sqref="C5"/>
    </sheetView>
  </sheetViews>
  <sheetFormatPr baseColWidth="10" defaultRowHeight="16" x14ac:dyDescent="0.2"/>
  <cols>
    <col min="2" max="2" width="22.1640625" customWidth="1"/>
  </cols>
  <sheetData>
    <row r="1" spans="1:5" x14ac:dyDescent="0.2">
      <c r="A1" t="s">
        <v>112</v>
      </c>
    </row>
    <row r="3" spans="1:5" x14ac:dyDescent="0.2">
      <c r="B3" s="4" t="s">
        <v>16</v>
      </c>
      <c r="E3">
        <v>206</v>
      </c>
    </row>
    <row r="4" spans="1:5" x14ac:dyDescent="0.2">
      <c r="A4" s="2">
        <v>45308</v>
      </c>
      <c r="B4" t="s">
        <v>138</v>
      </c>
      <c r="C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DB74-E693-6047-8320-4CAD1B5D1714}">
  <dimension ref="A1:E16"/>
  <sheetViews>
    <sheetView workbookViewId="0">
      <selection activeCell="D21" sqref="D21"/>
    </sheetView>
  </sheetViews>
  <sheetFormatPr baseColWidth="10" defaultRowHeight="16" x14ac:dyDescent="0.2"/>
  <cols>
    <col min="2" max="2" width="22.6640625" customWidth="1"/>
  </cols>
  <sheetData>
    <row r="1" spans="1:5" x14ac:dyDescent="0.2">
      <c r="A1" t="s">
        <v>113</v>
      </c>
    </row>
    <row r="3" spans="1:5" x14ac:dyDescent="0.2">
      <c r="B3" s="4" t="s">
        <v>16</v>
      </c>
      <c r="E3">
        <v>193</v>
      </c>
    </row>
    <row r="4" spans="1:5" x14ac:dyDescent="0.2">
      <c r="A4" s="1">
        <v>45299</v>
      </c>
      <c r="B4" t="s">
        <v>130</v>
      </c>
      <c r="D4">
        <v>44</v>
      </c>
      <c r="E4">
        <f>E3+C4-D4</f>
        <v>149</v>
      </c>
    </row>
    <row r="5" spans="1:5" x14ac:dyDescent="0.2">
      <c r="A5" s="1">
        <v>45306</v>
      </c>
      <c r="B5" t="s">
        <v>91</v>
      </c>
      <c r="C5">
        <v>142</v>
      </c>
      <c r="E5">
        <f t="shared" ref="E5:E11" si="0">E4+C5-D5</f>
        <v>291</v>
      </c>
    </row>
    <row r="6" spans="1:5" x14ac:dyDescent="0.2">
      <c r="A6" s="1">
        <v>45307</v>
      </c>
      <c r="B6" t="s">
        <v>91</v>
      </c>
      <c r="C6">
        <v>71</v>
      </c>
      <c r="E6">
        <f t="shared" si="0"/>
        <v>362</v>
      </c>
    </row>
    <row r="7" spans="1:5" x14ac:dyDescent="0.2">
      <c r="A7" s="2">
        <v>45308</v>
      </c>
      <c r="B7" t="s">
        <v>91</v>
      </c>
      <c r="C7">
        <v>133</v>
      </c>
      <c r="E7">
        <f t="shared" si="0"/>
        <v>495</v>
      </c>
    </row>
    <row r="8" spans="1:5" x14ac:dyDescent="0.2">
      <c r="A8" s="2">
        <v>45314</v>
      </c>
      <c r="B8" t="s">
        <v>91</v>
      </c>
      <c r="C8">
        <v>39</v>
      </c>
      <c r="E8">
        <f t="shared" si="0"/>
        <v>534</v>
      </c>
    </row>
    <row r="9" spans="1:5" x14ac:dyDescent="0.2">
      <c r="A9" s="2">
        <v>45320</v>
      </c>
      <c r="B9" t="s">
        <v>91</v>
      </c>
      <c r="C9">
        <v>80</v>
      </c>
      <c r="E9">
        <f t="shared" si="0"/>
        <v>614</v>
      </c>
    </row>
    <row r="10" spans="1:5" x14ac:dyDescent="0.2">
      <c r="A10" s="5">
        <v>45323</v>
      </c>
      <c r="B10" s="4" t="s">
        <v>131</v>
      </c>
      <c r="C10">
        <v>1</v>
      </c>
      <c r="E10">
        <f t="shared" si="0"/>
        <v>615</v>
      </c>
    </row>
    <row r="11" spans="1:5" x14ac:dyDescent="0.2">
      <c r="A11" s="5">
        <v>45342</v>
      </c>
      <c r="B11" s="4" t="s">
        <v>91</v>
      </c>
      <c r="C11">
        <v>17</v>
      </c>
      <c r="E11">
        <f t="shared" si="0"/>
        <v>632</v>
      </c>
    </row>
    <row r="12" spans="1:5" x14ac:dyDescent="0.2">
      <c r="A12" s="5">
        <v>45350</v>
      </c>
      <c r="B12" s="4" t="s">
        <v>91</v>
      </c>
      <c r="C12">
        <v>37</v>
      </c>
    </row>
    <row r="13" spans="1:5" x14ac:dyDescent="0.2">
      <c r="A13" s="2">
        <v>45355</v>
      </c>
      <c r="B13" s="4" t="s">
        <v>130</v>
      </c>
      <c r="C13">
        <v>7</v>
      </c>
    </row>
    <row r="14" spans="1:5" x14ac:dyDescent="0.2">
      <c r="A14" s="2">
        <v>45359</v>
      </c>
      <c r="B14" s="4" t="s">
        <v>130</v>
      </c>
      <c r="C14">
        <v>31</v>
      </c>
    </row>
    <row r="15" spans="1:5" x14ac:dyDescent="0.2">
      <c r="A15" s="2">
        <v>45369</v>
      </c>
      <c r="B15" s="4" t="s">
        <v>130</v>
      </c>
      <c r="C15">
        <v>3</v>
      </c>
    </row>
    <row r="16" spans="1:5" x14ac:dyDescent="0.2">
      <c r="A16" s="5">
        <v>45370</v>
      </c>
      <c r="B16" s="4" t="s">
        <v>91</v>
      </c>
      <c r="C16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D685-075C-5349-993B-5AE569B8C577}">
  <dimension ref="A1:E11"/>
  <sheetViews>
    <sheetView workbookViewId="0">
      <selection activeCell="A11" sqref="A11:B11"/>
    </sheetView>
  </sheetViews>
  <sheetFormatPr baseColWidth="10" defaultRowHeight="16" x14ac:dyDescent="0.2"/>
  <cols>
    <col min="2" max="2" width="21.1640625" customWidth="1"/>
  </cols>
  <sheetData>
    <row r="1" spans="1:5" x14ac:dyDescent="0.2">
      <c r="A1" t="s">
        <v>114</v>
      </c>
    </row>
    <row r="3" spans="1:5" x14ac:dyDescent="0.2">
      <c r="B3" t="s">
        <v>16</v>
      </c>
      <c r="E3">
        <v>162</v>
      </c>
    </row>
    <row r="4" spans="1:5" x14ac:dyDescent="0.2">
      <c r="A4" s="1">
        <v>45306</v>
      </c>
      <c r="B4" t="s">
        <v>91</v>
      </c>
      <c r="C4">
        <v>163</v>
      </c>
      <c r="E4">
        <f>E3+C4-D4</f>
        <v>325</v>
      </c>
    </row>
    <row r="5" spans="1:5" x14ac:dyDescent="0.2">
      <c r="A5" s="1">
        <v>45307</v>
      </c>
      <c r="B5" t="s">
        <v>91</v>
      </c>
      <c r="C5">
        <v>66</v>
      </c>
      <c r="E5">
        <f t="shared" ref="E5:E6" si="0">E4+C5-D5</f>
        <v>391</v>
      </c>
    </row>
    <row r="6" spans="1:5" x14ac:dyDescent="0.2">
      <c r="A6" s="2">
        <v>45308</v>
      </c>
      <c r="B6" t="s">
        <v>91</v>
      </c>
      <c r="C6">
        <v>88</v>
      </c>
      <c r="E6">
        <f t="shared" si="0"/>
        <v>479</v>
      </c>
    </row>
    <row r="7" spans="1:5" x14ac:dyDescent="0.2">
      <c r="A7" s="2">
        <v>45314</v>
      </c>
      <c r="B7" t="s">
        <v>91</v>
      </c>
      <c r="C7">
        <v>3</v>
      </c>
      <c r="E7">
        <f>E6+C7-D7</f>
        <v>482</v>
      </c>
    </row>
    <row r="8" spans="1:5" x14ac:dyDescent="0.2">
      <c r="A8" s="2">
        <v>45320</v>
      </c>
      <c r="B8" t="s">
        <v>91</v>
      </c>
      <c r="C8">
        <v>47</v>
      </c>
      <c r="E8">
        <f>E7+C8-D8</f>
        <v>529</v>
      </c>
    </row>
    <row r="9" spans="1:5" x14ac:dyDescent="0.2">
      <c r="A9" s="5">
        <v>45342</v>
      </c>
      <c r="B9" s="4" t="s">
        <v>91</v>
      </c>
      <c r="C9">
        <v>8</v>
      </c>
    </row>
    <row r="10" spans="1:5" x14ac:dyDescent="0.2">
      <c r="A10" s="5">
        <v>45350</v>
      </c>
      <c r="B10" s="4" t="s">
        <v>91</v>
      </c>
      <c r="C10">
        <v>29</v>
      </c>
    </row>
    <row r="11" spans="1:5" x14ac:dyDescent="0.2">
      <c r="A11" s="5">
        <v>45370</v>
      </c>
      <c r="B11" s="4" t="s">
        <v>91</v>
      </c>
      <c r="C11">
        <v>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4036-B232-6049-96A5-2142085363F6}">
  <dimension ref="A1:E3"/>
  <sheetViews>
    <sheetView workbookViewId="0">
      <selection activeCell="E4" sqref="E4"/>
    </sheetView>
  </sheetViews>
  <sheetFormatPr baseColWidth="10" defaultRowHeight="16" x14ac:dyDescent="0.2"/>
  <cols>
    <col min="2" max="2" width="22.1640625" customWidth="1"/>
  </cols>
  <sheetData>
    <row r="1" spans="1:5" x14ac:dyDescent="0.2">
      <c r="A1" t="s">
        <v>117</v>
      </c>
    </row>
    <row r="3" spans="1:5" x14ac:dyDescent="0.2">
      <c r="B3" t="s">
        <v>16</v>
      </c>
      <c r="E3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3414-A7D0-F04F-AD5F-ABA0AFD54E6E}">
  <dimension ref="A1:E17"/>
  <sheetViews>
    <sheetView workbookViewId="0">
      <selection activeCell="E22" sqref="E22"/>
    </sheetView>
  </sheetViews>
  <sheetFormatPr baseColWidth="10" defaultRowHeight="16" x14ac:dyDescent="0.2"/>
  <cols>
    <col min="2" max="2" width="28.1640625" customWidth="1"/>
  </cols>
  <sheetData>
    <row r="1" spans="1:5" x14ac:dyDescent="0.2">
      <c r="A1" t="s">
        <v>115</v>
      </c>
    </row>
    <row r="3" spans="1:5" x14ac:dyDescent="0.2">
      <c r="B3" s="4" t="s">
        <v>16</v>
      </c>
      <c r="E3">
        <v>921</v>
      </c>
    </row>
    <row r="4" spans="1:5" x14ac:dyDescent="0.2">
      <c r="A4" s="1">
        <v>45300</v>
      </c>
      <c r="B4" t="s">
        <v>140</v>
      </c>
      <c r="C4">
        <v>27</v>
      </c>
      <c r="E4">
        <f>E3+C4-D4</f>
        <v>948</v>
      </c>
    </row>
    <row r="5" spans="1:5" x14ac:dyDescent="0.2">
      <c r="A5" s="1">
        <v>45306</v>
      </c>
      <c r="B5" t="s">
        <v>91</v>
      </c>
      <c r="C5">
        <v>4</v>
      </c>
      <c r="E5">
        <f t="shared" ref="E5:E6" si="0">E4+C5-D5</f>
        <v>952</v>
      </c>
    </row>
    <row r="6" spans="1:5" x14ac:dyDescent="0.2">
      <c r="A6" s="1">
        <v>45308</v>
      </c>
      <c r="B6" t="s">
        <v>91</v>
      </c>
      <c r="C6">
        <v>14</v>
      </c>
      <c r="E6">
        <f t="shared" si="0"/>
        <v>966</v>
      </c>
    </row>
    <row r="7" spans="1:5" x14ac:dyDescent="0.2">
      <c r="A7" s="2">
        <v>45315</v>
      </c>
      <c r="B7" t="s">
        <v>140</v>
      </c>
      <c r="C7">
        <v>8</v>
      </c>
      <c r="E7">
        <f>E6+C7-D7</f>
        <v>974</v>
      </c>
    </row>
    <row r="8" spans="1:5" x14ac:dyDescent="0.2">
      <c r="A8" s="3">
        <v>45317</v>
      </c>
      <c r="B8" s="4" t="s">
        <v>131</v>
      </c>
      <c r="C8">
        <v>11</v>
      </c>
      <c r="E8">
        <f t="shared" ref="E8:E11" si="1">E7+C8-D8</f>
        <v>985</v>
      </c>
    </row>
    <row r="9" spans="1:5" x14ac:dyDescent="0.2">
      <c r="A9" s="5">
        <v>45321</v>
      </c>
      <c r="B9" s="4" t="s">
        <v>91</v>
      </c>
      <c r="C9">
        <v>104</v>
      </c>
      <c r="E9">
        <f t="shared" si="1"/>
        <v>1089</v>
      </c>
    </row>
    <row r="10" spans="1:5" x14ac:dyDescent="0.2">
      <c r="A10" s="5">
        <v>45323</v>
      </c>
      <c r="B10" s="4" t="s">
        <v>131</v>
      </c>
      <c r="C10">
        <v>3</v>
      </c>
      <c r="E10">
        <f t="shared" si="1"/>
        <v>1092</v>
      </c>
    </row>
    <row r="11" spans="1:5" x14ac:dyDescent="0.2">
      <c r="A11" s="2">
        <v>45334</v>
      </c>
      <c r="B11" s="4" t="s">
        <v>216</v>
      </c>
      <c r="C11">
        <v>100</v>
      </c>
      <c r="E11">
        <f t="shared" si="1"/>
        <v>1192</v>
      </c>
    </row>
    <row r="12" spans="1:5" x14ac:dyDescent="0.2">
      <c r="A12" s="5">
        <v>45342</v>
      </c>
      <c r="B12" s="4" t="s">
        <v>91</v>
      </c>
      <c r="C12">
        <v>12</v>
      </c>
    </row>
    <row r="13" spans="1:5" x14ac:dyDescent="0.2">
      <c r="A13" s="5">
        <v>45342</v>
      </c>
      <c r="B13" s="4" t="s">
        <v>91</v>
      </c>
      <c r="C13">
        <v>91</v>
      </c>
    </row>
    <row r="14" spans="1:5" x14ac:dyDescent="0.2">
      <c r="A14" s="5">
        <v>45350</v>
      </c>
      <c r="B14" s="4" t="s">
        <v>91</v>
      </c>
      <c r="C14">
        <v>31</v>
      </c>
    </row>
    <row r="15" spans="1:5" x14ac:dyDescent="0.2">
      <c r="A15" s="5">
        <v>45353</v>
      </c>
      <c r="B15" s="4" t="s">
        <v>140</v>
      </c>
      <c r="C15">
        <v>11</v>
      </c>
    </row>
    <row r="16" spans="1:5" x14ac:dyDescent="0.2">
      <c r="A16" s="2">
        <v>45364</v>
      </c>
      <c r="B16" s="4" t="s">
        <v>266</v>
      </c>
      <c r="C16">
        <v>158</v>
      </c>
    </row>
    <row r="17" spans="1:3" x14ac:dyDescent="0.2">
      <c r="A17" s="5">
        <v>45370</v>
      </c>
      <c r="B17" s="4" t="s">
        <v>91</v>
      </c>
      <c r="C1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5DE8-7B8C-2F4B-B839-633D425E6DA5}">
  <dimension ref="A1:E17"/>
  <sheetViews>
    <sheetView workbookViewId="0">
      <selection activeCell="C17" sqref="C17"/>
    </sheetView>
  </sheetViews>
  <sheetFormatPr baseColWidth="10" defaultRowHeight="16" x14ac:dyDescent="0.2"/>
  <cols>
    <col min="2" max="2" width="29.5" customWidth="1"/>
  </cols>
  <sheetData>
    <row r="1" spans="1:5" x14ac:dyDescent="0.2">
      <c r="A1" t="s">
        <v>118</v>
      </c>
    </row>
    <row r="3" spans="1:5" x14ac:dyDescent="0.2">
      <c r="B3" t="s">
        <v>16</v>
      </c>
      <c r="E3">
        <v>79</v>
      </c>
    </row>
    <row r="4" spans="1:5" x14ac:dyDescent="0.2">
      <c r="A4" s="2">
        <v>45299</v>
      </c>
      <c r="B4" t="s">
        <v>131</v>
      </c>
      <c r="C4">
        <v>225</v>
      </c>
      <c r="E4">
        <f>E3+C4-D4</f>
        <v>304</v>
      </c>
    </row>
    <row r="5" spans="1:5" x14ac:dyDescent="0.2">
      <c r="A5" s="2">
        <v>45300</v>
      </c>
      <c r="B5" t="s">
        <v>140</v>
      </c>
      <c r="C5">
        <v>16</v>
      </c>
      <c r="E5">
        <f t="shared" ref="E5:E9" si="0">E4+C5-D5</f>
        <v>320</v>
      </c>
    </row>
    <row r="6" spans="1:5" x14ac:dyDescent="0.2">
      <c r="A6" s="1">
        <v>45306</v>
      </c>
      <c r="B6" t="s">
        <v>91</v>
      </c>
      <c r="C6">
        <v>26</v>
      </c>
      <c r="E6">
        <f t="shared" si="0"/>
        <v>346</v>
      </c>
    </row>
    <row r="7" spans="1:5" x14ac:dyDescent="0.2">
      <c r="A7" s="3">
        <v>45307</v>
      </c>
      <c r="B7" s="4" t="s">
        <v>91</v>
      </c>
      <c r="C7">
        <v>14</v>
      </c>
      <c r="E7">
        <f t="shared" si="0"/>
        <v>360</v>
      </c>
    </row>
    <row r="8" spans="1:5" x14ac:dyDescent="0.2">
      <c r="A8" s="2">
        <v>45308</v>
      </c>
      <c r="B8" t="s">
        <v>138</v>
      </c>
      <c r="C8">
        <v>1</v>
      </c>
      <c r="E8">
        <f t="shared" si="0"/>
        <v>361</v>
      </c>
    </row>
    <row r="9" spans="1:5" x14ac:dyDescent="0.2">
      <c r="A9" s="2">
        <v>45308</v>
      </c>
      <c r="B9" t="s">
        <v>91</v>
      </c>
      <c r="C9">
        <v>52</v>
      </c>
      <c r="E9">
        <f t="shared" si="0"/>
        <v>413</v>
      </c>
    </row>
    <row r="10" spans="1:5" x14ac:dyDescent="0.2">
      <c r="A10" s="2">
        <v>45315</v>
      </c>
      <c r="B10" t="s">
        <v>140</v>
      </c>
      <c r="C10">
        <v>13</v>
      </c>
      <c r="E10">
        <f>E9+C10-D10</f>
        <v>426</v>
      </c>
    </row>
    <row r="11" spans="1:5" x14ac:dyDescent="0.2">
      <c r="A11" s="3">
        <v>45317</v>
      </c>
      <c r="B11" s="4" t="s">
        <v>131</v>
      </c>
      <c r="C11">
        <v>181</v>
      </c>
      <c r="E11">
        <f t="shared" ref="E11:E12" si="1">E10+C11-D11</f>
        <v>607</v>
      </c>
    </row>
    <row r="12" spans="1:5" x14ac:dyDescent="0.2">
      <c r="A12" s="5">
        <v>45321</v>
      </c>
      <c r="B12" s="4" t="s">
        <v>91</v>
      </c>
      <c r="C12">
        <v>100</v>
      </c>
      <c r="E12">
        <f t="shared" si="1"/>
        <v>707</v>
      </c>
    </row>
    <row r="13" spans="1:5" x14ac:dyDescent="0.2">
      <c r="A13" s="5">
        <v>45342</v>
      </c>
      <c r="B13" s="4" t="s">
        <v>91</v>
      </c>
      <c r="C13">
        <v>56</v>
      </c>
    </row>
    <row r="14" spans="1:5" x14ac:dyDescent="0.2">
      <c r="A14" s="5">
        <v>45350</v>
      </c>
      <c r="B14" s="4" t="s">
        <v>91</v>
      </c>
      <c r="C14">
        <v>46</v>
      </c>
    </row>
    <row r="15" spans="1:5" x14ac:dyDescent="0.2">
      <c r="A15" s="5">
        <v>45353</v>
      </c>
      <c r="B15" s="4" t="s">
        <v>140</v>
      </c>
      <c r="C15">
        <v>8</v>
      </c>
    </row>
    <row r="16" spans="1:5" x14ac:dyDescent="0.2">
      <c r="A16" s="5">
        <v>45357</v>
      </c>
      <c r="B16" s="4" t="s">
        <v>216</v>
      </c>
      <c r="C16">
        <v>100</v>
      </c>
    </row>
    <row r="17" spans="1:3" x14ac:dyDescent="0.2">
      <c r="A17" s="2">
        <v>45365</v>
      </c>
      <c r="B17" s="4" t="s">
        <v>216</v>
      </c>
      <c r="C17">
        <v>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91B3-83A0-B24A-95D7-8A9E81D7D946}">
  <dimension ref="A1:E11"/>
  <sheetViews>
    <sheetView workbookViewId="0">
      <selection activeCell="E11" sqref="E11"/>
    </sheetView>
  </sheetViews>
  <sheetFormatPr baseColWidth="10" defaultRowHeight="16" x14ac:dyDescent="0.2"/>
  <cols>
    <col min="2" max="2" width="25" customWidth="1"/>
  </cols>
  <sheetData>
    <row r="1" spans="1:5" x14ac:dyDescent="0.2">
      <c r="A1" t="s">
        <v>116</v>
      </c>
    </row>
    <row r="3" spans="1:5" x14ac:dyDescent="0.2">
      <c r="B3" s="4" t="s">
        <v>16</v>
      </c>
      <c r="E3">
        <v>136</v>
      </c>
    </row>
    <row r="4" spans="1:5" x14ac:dyDescent="0.2">
      <c r="A4" s="2">
        <v>45299</v>
      </c>
      <c r="B4" t="s">
        <v>131</v>
      </c>
      <c r="C4">
        <v>67</v>
      </c>
      <c r="E4">
        <f>E3+C4-D4</f>
        <v>203</v>
      </c>
    </row>
    <row r="5" spans="1:5" x14ac:dyDescent="0.2">
      <c r="A5" s="2">
        <v>45315</v>
      </c>
      <c r="B5" t="s">
        <v>140</v>
      </c>
      <c r="C5">
        <v>20</v>
      </c>
      <c r="E5">
        <f>E4+C5-D5</f>
        <v>223</v>
      </c>
    </row>
    <row r="6" spans="1:5" x14ac:dyDescent="0.2">
      <c r="A6" s="3">
        <v>45317</v>
      </c>
      <c r="B6" s="4" t="s">
        <v>131</v>
      </c>
      <c r="C6">
        <v>8</v>
      </c>
      <c r="E6">
        <f t="shared" ref="E6:E7" si="0">E5+C6-D6</f>
        <v>231</v>
      </c>
    </row>
    <row r="7" spans="1:5" x14ac:dyDescent="0.2">
      <c r="A7" s="5">
        <v>45321</v>
      </c>
      <c r="B7" s="4" t="s">
        <v>91</v>
      </c>
      <c r="C7">
        <v>2</v>
      </c>
      <c r="E7">
        <f t="shared" si="0"/>
        <v>233</v>
      </c>
    </row>
    <row r="8" spans="1:5" x14ac:dyDescent="0.2">
      <c r="A8" s="5">
        <v>45342</v>
      </c>
      <c r="B8" s="4" t="s">
        <v>91</v>
      </c>
      <c r="C8">
        <v>3</v>
      </c>
    </row>
    <row r="9" spans="1:5" x14ac:dyDescent="0.2">
      <c r="A9" s="5">
        <v>45350</v>
      </c>
      <c r="B9" s="4" t="s">
        <v>91</v>
      </c>
      <c r="C9">
        <v>8</v>
      </c>
    </row>
    <row r="10" spans="1:5" x14ac:dyDescent="0.2">
      <c r="A10" s="5">
        <v>45353</v>
      </c>
      <c r="B10" s="4" t="s">
        <v>140</v>
      </c>
      <c r="C10">
        <v>32</v>
      </c>
    </row>
    <row r="11" spans="1:5" x14ac:dyDescent="0.2">
      <c r="A11" s="2">
        <v>45364</v>
      </c>
      <c r="B11" s="4" t="s">
        <v>266</v>
      </c>
      <c r="C11">
        <v>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419-BF8F-5F47-83BD-FC1EE5EBC1D1}">
  <dimension ref="A1:E13"/>
  <sheetViews>
    <sheetView workbookViewId="0">
      <selection activeCell="A13" sqref="A13:B13"/>
    </sheetView>
  </sheetViews>
  <sheetFormatPr baseColWidth="10" defaultRowHeight="16" x14ac:dyDescent="0.2"/>
  <cols>
    <col min="2" max="2" width="23.1640625" customWidth="1"/>
  </cols>
  <sheetData>
    <row r="1" spans="1:5" x14ac:dyDescent="0.2">
      <c r="A1" t="s">
        <v>119</v>
      </c>
    </row>
    <row r="3" spans="1:5" x14ac:dyDescent="0.2">
      <c r="B3" s="4" t="s">
        <v>16</v>
      </c>
      <c r="E3">
        <v>120</v>
      </c>
    </row>
    <row r="4" spans="1:5" x14ac:dyDescent="0.2">
      <c r="A4" s="2">
        <v>45299</v>
      </c>
      <c r="B4" t="s">
        <v>131</v>
      </c>
      <c r="C4">
        <v>28</v>
      </c>
      <c r="E4">
        <f>E3+C4-D4</f>
        <v>148</v>
      </c>
    </row>
    <row r="5" spans="1:5" x14ac:dyDescent="0.2">
      <c r="A5" s="1">
        <v>45306</v>
      </c>
      <c r="B5" t="s">
        <v>172</v>
      </c>
      <c r="C5">
        <v>6</v>
      </c>
      <c r="E5">
        <f t="shared" ref="E5:E9" si="0">E4+C5-D5</f>
        <v>154</v>
      </c>
    </row>
    <row r="6" spans="1:5" x14ac:dyDescent="0.2">
      <c r="A6" s="3">
        <v>45307</v>
      </c>
      <c r="B6" s="4" t="s">
        <v>91</v>
      </c>
      <c r="C6">
        <v>28</v>
      </c>
      <c r="E6">
        <f t="shared" si="0"/>
        <v>182</v>
      </c>
    </row>
    <row r="7" spans="1:5" x14ac:dyDescent="0.2">
      <c r="A7" s="2">
        <v>45307</v>
      </c>
      <c r="B7" t="s">
        <v>131</v>
      </c>
      <c r="D7">
        <v>16</v>
      </c>
      <c r="E7">
        <f t="shared" si="0"/>
        <v>166</v>
      </c>
    </row>
    <row r="8" spans="1:5" x14ac:dyDescent="0.2">
      <c r="A8" s="2">
        <v>45308</v>
      </c>
      <c r="B8" t="s">
        <v>138</v>
      </c>
      <c r="C8">
        <v>4</v>
      </c>
      <c r="E8">
        <f t="shared" si="0"/>
        <v>170</v>
      </c>
    </row>
    <row r="9" spans="1:5" x14ac:dyDescent="0.2">
      <c r="A9" s="2">
        <v>45308</v>
      </c>
      <c r="B9" t="s">
        <v>91</v>
      </c>
      <c r="C9">
        <v>37</v>
      </c>
      <c r="E9">
        <f t="shared" si="0"/>
        <v>207</v>
      </c>
    </row>
    <row r="10" spans="1:5" x14ac:dyDescent="0.2">
      <c r="A10" s="2">
        <v>45315</v>
      </c>
      <c r="B10" t="s">
        <v>140</v>
      </c>
      <c r="C10">
        <v>33</v>
      </c>
      <c r="E10">
        <f>E9+C10-D10</f>
        <v>240</v>
      </c>
    </row>
    <row r="11" spans="1:5" x14ac:dyDescent="0.2">
      <c r="A11" s="5">
        <v>45321</v>
      </c>
      <c r="B11" s="4" t="s">
        <v>91</v>
      </c>
      <c r="C11">
        <v>30</v>
      </c>
      <c r="E11">
        <f>E10+C11-D11</f>
        <v>270</v>
      </c>
    </row>
    <row r="12" spans="1:5" x14ac:dyDescent="0.2">
      <c r="A12" s="5">
        <v>45350</v>
      </c>
      <c r="B12" s="4" t="s">
        <v>91</v>
      </c>
      <c r="C12">
        <v>37</v>
      </c>
    </row>
    <row r="13" spans="1:5" x14ac:dyDescent="0.2">
      <c r="A13" s="5">
        <v>45353</v>
      </c>
      <c r="B13" s="4" t="s">
        <v>140</v>
      </c>
      <c r="C13">
        <v>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D68F-76DB-864D-93B5-3B2BB3F6C47C}">
  <dimension ref="A1:F56"/>
  <sheetViews>
    <sheetView topLeftCell="A33" workbookViewId="0">
      <selection activeCell="D57" sqref="D57"/>
    </sheetView>
  </sheetViews>
  <sheetFormatPr baseColWidth="10" defaultRowHeight="16" x14ac:dyDescent="0.2"/>
  <cols>
    <col min="2" max="2" width="26.33203125" customWidth="1"/>
  </cols>
  <sheetData>
    <row r="1" spans="1:6" x14ac:dyDescent="0.2">
      <c r="A1" t="s">
        <v>15</v>
      </c>
    </row>
    <row r="3" spans="1:6" x14ac:dyDescent="0.2">
      <c r="B3" t="s">
        <v>16</v>
      </c>
      <c r="E3">
        <v>648</v>
      </c>
      <c r="F3" t="s">
        <v>17</v>
      </c>
    </row>
    <row r="4" spans="1:6" x14ac:dyDescent="0.2">
      <c r="A4" s="2">
        <v>45295</v>
      </c>
      <c r="B4" t="s">
        <v>71</v>
      </c>
      <c r="D4">
        <v>280</v>
      </c>
      <c r="E4">
        <f>E3+C4-D4</f>
        <v>368</v>
      </c>
    </row>
    <row r="5" spans="1:6" x14ac:dyDescent="0.2">
      <c r="A5" s="2">
        <v>45296</v>
      </c>
      <c r="B5" t="s">
        <v>81</v>
      </c>
      <c r="C5">
        <v>140</v>
      </c>
      <c r="E5">
        <f t="shared" ref="E5:E17" si="0">E4+C5-D5</f>
        <v>508</v>
      </c>
    </row>
    <row r="6" spans="1:6" x14ac:dyDescent="0.2">
      <c r="A6" s="5">
        <v>45300</v>
      </c>
      <c r="B6" s="4" t="s">
        <v>82</v>
      </c>
      <c r="D6">
        <v>500</v>
      </c>
      <c r="E6">
        <f t="shared" si="0"/>
        <v>8</v>
      </c>
    </row>
    <row r="7" spans="1:6" x14ac:dyDescent="0.2">
      <c r="A7" s="2">
        <v>45300</v>
      </c>
      <c r="B7" t="s">
        <v>138</v>
      </c>
      <c r="C7">
        <v>430</v>
      </c>
      <c r="E7">
        <f t="shared" si="0"/>
        <v>438</v>
      </c>
    </row>
    <row r="8" spans="1:6" x14ac:dyDescent="0.2">
      <c r="A8" s="2">
        <v>45301</v>
      </c>
      <c r="B8" t="s">
        <v>78</v>
      </c>
      <c r="C8">
        <v>150</v>
      </c>
      <c r="E8">
        <f t="shared" si="0"/>
        <v>588</v>
      </c>
    </row>
    <row r="9" spans="1:6" x14ac:dyDescent="0.2">
      <c r="A9" s="5">
        <v>45301</v>
      </c>
      <c r="B9" s="4" t="s">
        <v>143</v>
      </c>
      <c r="D9">
        <v>150</v>
      </c>
      <c r="E9">
        <f t="shared" si="0"/>
        <v>438</v>
      </c>
    </row>
    <row r="10" spans="1:6" x14ac:dyDescent="0.2">
      <c r="A10" s="2">
        <v>45301</v>
      </c>
      <c r="B10" t="s">
        <v>78</v>
      </c>
      <c r="C10">
        <v>200</v>
      </c>
      <c r="E10">
        <f t="shared" si="0"/>
        <v>638</v>
      </c>
    </row>
    <row r="11" spans="1:6" x14ac:dyDescent="0.2">
      <c r="A11" s="2">
        <v>45301</v>
      </c>
      <c r="B11" t="s">
        <v>77</v>
      </c>
      <c r="D11">
        <v>200</v>
      </c>
      <c r="E11">
        <f t="shared" si="0"/>
        <v>438</v>
      </c>
    </row>
    <row r="12" spans="1:6" x14ac:dyDescent="0.2">
      <c r="A12" s="5">
        <v>45302</v>
      </c>
      <c r="B12" s="4" t="s">
        <v>82</v>
      </c>
      <c r="D12">
        <v>360</v>
      </c>
      <c r="E12">
        <f t="shared" si="0"/>
        <v>78</v>
      </c>
    </row>
    <row r="13" spans="1:6" x14ac:dyDescent="0.2">
      <c r="A13" s="2">
        <v>45302</v>
      </c>
      <c r="B13" t="s">
        <v>82</v>
      </c>
      <c r="C13">
        <v>62</v>
      </c>
      <c r="E13">
        <f t="shared" si="0"/>
        <v>140</v>
      </c>
    </row>
    <row r="14" spans="1:6" x14ac:dyDescent="0.2">
      <c r="A14" s="2">
        <v>45303</v>
      </c>
      <c r="B14" t="s">
        <v>64</v>
      </c>
      <c r="C14">
        <v>360</v>
      </c>
      <c r="E14">
        <f t="shared" si="0"/>
        <v>500</v>
      </c>
    </row>
    <row r="15" spans="1:6" x14ac:dyDescent="0.2">
      <c r="A15" s="2">
        <v>45303</v>
      </c>
      <c r="B15" t="s">
        <v>82</v>
      </c>
      <c r="D15">
        <v>350</v>
      </c>
      <c r="E15">
        <f t="shared" si="0"/>
        <v>150</v>
      </c>
    </row>
    <row r="16" spans="1:6" x14ac:dyDescent="0.2">
      <c r="A16" s="2">
        <v>45304</v>
      </c>
      <c r="B16" t="s">
        <v>140</v>
      </c>
      <c r="D16">
        <v>150</v>
      </c>
      <c r="E16">
        <f t="shared" si="0"/>
        <v>0</v>
      </c>
    </row>
    <row r="17" spans="1:5" x14ac:dyDescent="0.2">
      <c r="A17" s="2">
        <v>45304</v>
      </c>
      <c r="B17" t="s">
        <v>168</v>
      </c>
      <c r="C17">
        <v>500</v>
      </c>
      <c r="E17">
        <f t="shared" si="0"/>
        <v>500</v>
      </c>
    </row>
    <row r="18" spans="1:5" x14ac:dyDescent="0.2">
      <c r="A18" s="2">
        <v>45305</v>
      </c>
      <c r="B18" t="s">
        <v>49</v>
      </c>
      <c r="D18">
        <v>100</v>
      </c>
      <c r="E18">
        <f>E17+C18-D18</f>
        <v>400</v>
      </c>
    </row>
    <row r="19" spans="1:5" x14ac:dyDescent="0.2">
      <c r="A19" s="2">
        <v>45306</v>
      </c>
      <c r="B19" t="s">
        <v>140</v>
      </c>
      <c r="D19">
        <v>150</v>
      </c>
      <c r="E19">
        <f>E18+C19-D19</f>
        <v>250</v>
      </c>
    </row>
    <row r="20" spans="1:5" x14ac:dyDescent="0.2">
      <c r="A20" s="2">
        <v>45308</v>
      </c>
      <c r="B20" t="s">
        <v>70</v>
      </c>
      <c r="D20">
        <v>40</v>
      </c>
      <c r="E20">
        <f>E19+C20-D20</f>
        <v>210</v>
      </c>
    </row>
    <row r="21" spans="1:5" x14ac:dyDescent="0.2">
      <c r="A21" s="2">
        <v>45308</v>
      </c>
      <c r="B21" t="s">
        <v>168</v>
      </c>
      <c r="C21">
        <v>7</v>
      </c>
      <c r="E21">
        <f t="shared" ref="E21:E24" si="1">E20+C21-D21</f>
        <v>217</v>
      </c>
    </row>
    <row r="22" spans="1:5" x14ac:dyDescent="0.2">
      <c r="A22" s="2">
        <v>45308</v>
      </c>
      <c r="B22" t="s">
        <v>138</v>
      </c>
      <c r="C22">
        <v>20</v>
      </c>
      <c r="E22">
        <f t="shared" si="1"/>
        <v>237</v>
      </c>
    </row>
    <row r="23" spans="1:5" x14ac:dyDescent="0.2">
      <c r="A23" s="2">
        <v>45309</v>
      </c>
      <c r="B23" t="s">
        <v>192</v>
      </c>
      <c r="D23">
        <v>100</v>
      </c>
      <c r="E23">
        <f t="shared" si="1"/>
        <v>137</v>
      </c>
    </row>
    <row r="24" spans="1:5" x14ac:dyDescent="0.2">
      <c r="A24" s="2">
        <v>45310</v>
      </c>
      <c r="B24" t="s">
        <v>145</v>
      </c>
      <c r="D24">
        <v>135</v>
      </c>
      <c r="E24">
        <f t="shared" si="1"/>
        <v>2</v>
      </c>
    </row>
    <row r="25" spans="1:5" x14ac:dyDescent="0.2">
      <c r="A25" s="5">
        <v>45311</v>
      </c>
      <c r="B25" s="4" t="s">
        <v>64</v>
      </c>
      <c r="C25">
        <v>104</v>
      </c>
      <c r="E25">
        <f>E24+C25-D25</f>
        <v>106</v>
      </c>
    </row>
    <row r="26" spans="1:5" x14ac:dyDescent="0.2">
      <c r="A26" s="2">
        <v>45311</v>
      </c>
      <c r="B26" t="s">
        <v>207</v>
      </c>
      <c r="C26">
        <v>16</v>
      </c>
      <c r="E26">
        <f t="shared" ref="E26:E46" si="2">E25+C26-D26</f>
        <v>122</v>
      </c>
    </row>
    <row r="27" spans="1:5" x14ac:dyDescent="0.2">
      <c r="A27" s="2">
        <v>45313</v>
      </c>
      <c r="B27" t="s">
        <v>192</v>
      </c>
      <c r="D27">
        <v>40</v>
      </c>
      <c r="E27">
        <f t="shared" si="2"/>
        <v>82</v>
      </c>
    </row>
    <row r="28" spans="1:5" x14ac:dyDescent="0.2">
      <c r="A28" s="2">
        <v>45320</v>
      </c>
      <c r="B28" t="s">
        <v>82</v>
      </c>
      <c r="C28">
        <v>146</v>
      </c>
      <c r="E28">
        <f t="shared" si="2"/>
        <v>228</v>
      </c>
    </row>
    <row r="29" spans="1:5" x14ac:dyDescent="0.2">
      <c r="A29" s="2">
        <v>45321</v>
      </c>
      <c r="B29" t="s">
        <v>227</v>
      </c>
      <c r="C29">
        <v>3</v>
      </c>
      <c r="E29">
        <f t="shared" si="2"/>
        <v>231</v>
      </c>
    </row>
    <row r="30" spans="1:5" x14ac:dyDescent="0.2">
      <c r="A30" s="2">
        <v>45321</v>
      </c>
      <c r="B30" t="s">
        <v>79</v>
      </c>
      <c r="C30">
        <v>670</v>
      </c>
      <c r="E30">
        <f t="shared" si="2"/>
        <v>901</v>
      </c>
    </row>
    <row r="31" spans="1:5" x14ac:dyDescent="0.2">
      <c r="A31" s="2">
        <v>45323</v>
      </c>
      <c r="B31" t="s">
        <v>168</v>
      </c>
      <c r="C31">
        <v>1049</v>
      </c>
      <c r="E31">
        <f t="shared" si="2"/>
        <v>1950</v>
      </c>
    </row>
    <row r="32" spans="1:5" x14ac:dyDescent="0.2">
      <c r="A32" s="3">
        <v>45324</v>
      </c>
      <c r="B32" s="4" t="s">
        <v>82</v>
      </c>
      <c r="D32">
        <v>500</v>
      </c>
      <c r="E32">
        <f t="shared" si="2"/>
        <v>1450</v>
      </c>
    </row>
    <row r="33" spans="1:5" x14ac:dyDescent="0.2">
      <c r="A33" s="1">
        <v>45331</v>
      </c>
      <c r="B33" t="s">
        <v>192</v>
      </c>
      <c r="C33">
        <v>77</v>
      </c>
      <c r="E33">
        <f t="shared" si="2"/>
        <v>1527</v>
      </c>
    </row>
    <row r="34" spans="1:5" x14ac:dyDescent="0.2">
      <c r="A34" s="2">
        <v>45341</v>
      </c>
      <c r="B34" t="s">
        <v>267</v>
      </c>
      <c r="D34">
        <v>300</v>
      </c>
      <c r="E34">
        <f t="shared" si="2"/>
        <v>1227</v>
      </c>
    </row>
    <row r="35" spans="1:5" x14ac:dyDescent="0.2">
      <c r="A35" s="5">
        <v>45341</v>
      </c>
      <c r="B35" s="4" t="s">
        <v>99</v>
      </c>
      <c r="D35">
        <v>200</v>
      </c>
      <c r="E35">
        <f t="shared" si="2"/>
        <v>1027</v>
      </c>
    </row>
    <row r="36" spans="1:5" x14ac:dyDescent="0.2">
      <c r="A36" s="5">
        <v>45343</v>
      </c>
      <c r="B36" s="4" t="s">
        <v>274</v>
      </c>
      <c r="D36">
        <v>2</v>
      </c>
      <c r="E36">
        <f t="shared" si="2"/>
        <v>1025</v>
      </c>
    </row>
    <row r="37" spans="1:5" x14ac:dyDescent="0.2">
      <c r="A37" s="2">
        <v>45344</v>
      </c>
      <c r="B37" s="4" t="s">
        <v>277</v>
      </c>
      <c r="D37">
        <v>300</v>
      </c>
      <c r="E37">
        <f t="shared" si="2"/>
        <v>725</v>
      </c>
    </row>
    <row r="38" spans="1:5" x14ac:dyDescent="0.2">
      <c r="A38" s="2">
        <v>45348</v>
      </c>
      <c r="B38" s="4" t="s">
        <v>229</v>
      </c>
      <c r="C38">
        <v>300</v>
      </c>
      <c r="E38">
        <f t="shared" si="2"/>
        <v>1025</v>
      </c>
    </row>
    <row r="39" spans="1:5" x14ac:dyDescent="0.2">
      <c r="A39" s="5">
        <v>45349</v>
      </c>
      <c r="B39" s="4" t="s">
        <v>135</v>
      </c>
      <c r="D39">
        <v>300</v>
      </c>
      <c r="E39">
        <f t="shared" si="2"/>
        <v>725</v>
      </c>
    </row>
    <row r="40" spans="1:5" x14ac:dyDescent="0.2">
      <c r="A40" s="2">
        <v>45350</v>
      </c>
      <c r="B40" s="4" t="s">
        <v>205</v>
      </c>
      <c r="D40">
        <v>200</v>
      </c>
      <c r="E40">
        <f t="shared" si="2"/>
        <v>525</v>
      </c>
    </row>
    <row r="41" spans="1:5" x14ac:dyDescent="0.2">
      <c r="A41" s="5">
        <v>45350</v>
      </c>
      <c r="B41" s="4" t="s">
        <v>168</v>
      </c>
      <c r="C41">
        <v>26</v>
      </c>
      <c r="E41">
        <f t="shared" si="2"/>
        <v>551</v>
      </c>
    </row>
    <row r="42" spans="1:5" x14ac:dyDescent="0.2">
      <c r="A42" s="2">
        <v>45351</v>
      </c>
      <c r="B42" s="4" t="s">
        <v>79</v>
      </c>
      <c r="C42">
        <v>236</v>
      </c>
      <c r="E42">
        <f t="shared" si="2"/>
        <v>787</v>
      </c>
    </row>
    <row r="43" spans="1:5" x14ac:dyDescent="0.2">
      <c r="A43" s="5">
        <v>45352</v>
      </c>
      <c r="B43" s="4" t="s">
        <v>298</v>
      </c>
      <c r="C43">
        <v>72</v>
      </c>
      <c r="E43">
        <f t="shared" si="2"/>
        <v>859</v>
      </c>
    </row>
    <row r="44" spans="1:5" x14ac:dyDescent="0.2">
      <c r="A44" s="5">
        <v>45352</v>
      </c>
      <c r="B44" s="4" t="s">
        <v>299</v>
      </c>
      <c r="C44">
        <v>13</v>
      </c>
      <c r="E44">
        <f t="shared" si="2"/>
        <v>872</v>
      </c>
    </row>
    <row r="45" spans="1:5" x14ac:dyDescent="0.2">
      <c r="A45" s="2">
        <v>45355</v>
      </c>
      <c r="B45" s="4" t="s">
        <v>81</v>
      </c>
      <c r="C45">
        <v>205</v>
      </c>
      <c r="E45">
        <f t="shared" si="2"/>
        <v>1077</v>
      </c>
    </row>
    <row r="46" spans="1:5" x14ac:dyDescent="0.2">
      <c r="A46" s="2">
        <v>45356</v>
      </c>
      <c r="B46" s="4" t="s">
        <v>82</v>
      </c>
      <c r="C46">
        <v>287</v>
      </c>
      <c r="E46">
        <f t="shared" si="2"/>
        <v>1364</v>
      </c>
    </row>
    <row r="47" spans="1:5" x14ac:dyDescent="0.2">
      <c r="A47" s="2">
        <v>45358</v>
      </c>
      <c r="B47" s="4" t="s">
        <v>49</v>
      </c>
      <c r="D47">
        <v>630</v>
      </c>
      <c r="E47">
        <f>E46+C47-D47</f>
        <v>734</v>
      </c>
    </row>
    <row r="48" spans="1:5" x14ac:dyDescent="0.2">
      <c r="A48" s="2">
        <v>45360</v>
      </c>
      <c r="B48" s="4" t="s">
        <v>308</v>
      </c>
      <c r="D48">
        <v>400</v>
      </c>
      <c r="E48">
        <f t="shared" ref="E48:E53" si="3">E47+C48-D48</f>
        <v>334</v>
      </c>
    </row>
    <row r="49" spans="1:5" x14ac:dyDescent="0.2">
      <c r="A49" s="2">
        <v>45360</v>
      </c>
      <c r="B49" s="4" t="s">
        <v>82</v>
      </c>
      <c r="C49">
        <v>100</v>
      </c>
      <c r="E49">
        <f t="shared" si="3"/>
        <v>434</v>
      </c>
    </row>
    <row r="50" spans="1:5" x14ac:dyDescent="0.2">
      <c r="A50" s="2">
        <v>45364</v>
      </c>
      <c r="B50" s="4" t="s">
        <v>205</v>
      </c>
      <c r="D50">
        <v>200</v>
      </c>
      <c r="E50">
        <f t="shared" si="3"/>
        <v>234</v>
      </c>
    </row>
    <row r="51" spans="1:5" x14ac:dyDescent="0.2">
      <c r="A51" s="5">
        <v>45364</v>
      </c>
      <c r="B51" s="4" t="s">
        <v>274</v>
      </c>
      <c r="C51">
        <v>2</v>
      </c>
      <c r="E51">
        <f t="shared" si="3"/>
        <v>236</v>
      </c>
    </row>
    <row r="52" spans="1:5" x14ac:dyDescent="0.2">
      <c r="A52" s="5">
        <v>45365</v>
      </c>
      <c r="B52" s="4" t="s">
        <v>70</v>
      </c>
      <c r="C52">
        <v>49</v>
      </c>
      <c r="E52">
        <f t="shared" si="3"/>
        <v>285</v>
      </c>
    </row>
    <row r="53" spans="1:5" x14ac:dyDescent="0.2">
      <c r="A53" s="2">
        <v>45366</v>
      </c>
      <c r="B53" s="4" t="s">
        <v>82</v>
      </c>
      <c r="C53">
        <v>247</v>
      </c>
      <c r="E53">
        <f t="shared" si="3"/>
        <v>532</v>
      </c>
    </row>
    <row r="54" spans="1:5" x14ac:dyDescent="0.2">
      <c r="A54" s="2">
        <v>45367</v>
      </c>
      <c r="B54" s="4" t="s">
        <v>82</v>
      </c>
      <c r="C54">
        <v>121</v>
      </c>
    </row>
    <row r="55" spans="1:5" x14ac:dyDescent="0.2">
      <c r="A55" s="2">
        <v>45369</v>
      </c>
      <c r="B55" s="4" t="s">
        <v>299</v>
      </c>
      <c r="C55">
        <v>83</v>
      </c>
    </row>
    <row r="56" spans="1:5" x14ac:dyDescent="0.2">
      <c r="A56" s="5">
        <v>45370</v>
      </c>
      <c r="B56" s="4" t="s">
        <v>325</v>
      </c>
      <c r="D56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6BB3-0DF7-E146-A1AC-3A24A3D849AA}">
  <dimension ref="A1:E31"/>
  <sheetViews>
    <sheetView topLeftCell="A9" workbookViewId="0">
      <selection activeCell="B32" sqref="B32"/>
    </sheetView>
  </sheetViews>
  <sheetFormatPr baseColWidth="10" defaultRowHeight="16" x14ac:dyDescent="0.2"/>
  <cols>
    <col min="2" max="2" width="22.6640625" customWidth="1"/>
  </cols>
  <sheetData>
    <row r="1" spans="1:5" x14ac:dyDescent="0.2">
      <c r="A1" t="s">
        <v>18</v>
      </c>
    </row>
    <row r="3" spans="1:5" x14ac:dyDescent="0.2">
      <c r="B3" t="s">
        <v>16</v>
      </c>
      <c r="E3">
        <v>24</v>
      </c>
    </row>
    <row r="4" spans="1:5" x14ac:dyDescent="0.2">
      <c r="A4" s="2">
        <v>45296</v>
      </c>
      <c r="B4" t="s">
        <v>81</v>
      </c>
      <c r="C4">
        <v>226</v>
      </c>
      <c r="E4">
        <f>E3+C4-D4</f>
        <v>250</v>
      </c>
    </row>
    <row r="5" spans="1:5" x14ac:dyDescent="0.2">
      <c r="A5" s="5">
        <v>45298</v>
      </c>
      <c r="B5" s="4" t="s">
        <v>222</v>
      </c>
      <c r="D5">
        <v>250</v>
      </c>
      <c r="E5">
        <f t="shared" ref="E5:E10" si="0">E4+C5-D5</f>
        <v>0</v>
      </c>
    </row>
    <row r="6" spans="1:5" x14ac:dyDescent="0.2">
      <c r="A6" s="2">
        <v>45300</v>
      </c>
      <c r="B6" t="s">
        <v>78</v>
      </c>
      <c r="C6">
        <v>300</v>
      </c>
      <c r="E6">
        <f t="shared" si="0"/>
        <v>300</v>
      </c>
    </row>
    <row r="7" spans="1:5" x14ac:dyDescent="0.2">
      <c r="A7" s="2">
        <v>45301</v>
      </c>
      <c r="B7" t="s">
        <v>78</v>
      </c>
      <c r="C7">
        <v>100</v>
      </c>
      <c r="E7">
        <f t="shared" si="0"/>
        <v>400</v>
      </c>
    </row>
    <row r="8" spans="1:5" x14ac:dyDescent="0.2">
      <c r="A8" s="5">
        <v>45301</v>
      </c>
      <c r="B8" s="4" t="s">
        <v>143</v>
      </c>
      <c r="D8">
        <v>100</v>
      </c>
      <c r="E8">
        <f t="shared" si="0"/>
        <v>300</v>
      </c>
    </row>
    <row r="9" spans="1:5" x14ac:dyDescent="0.2">
      <c r="A9" s="2">
        <v>45301</v>
      </c>
      <c r="B9" t="s">
        <v>77</v>
      </c>
      <c r="D9">
        <v>300</v>
      </c>
      <c r="E9">
        <f t="shared" si="0"/>
        <v>0</v>
      </c>
    </row>
    <row r="10" spans="1:5" x14ac:dyDescent="0.2">
      <c r="A10" s="2">
        <v>45304</v>
      </c>
      <c r="B10" t="s">
        <v>168</v>
      </c>
      <c r="C10">
        <v>200</v>
      </c>
      <c r="E10">
        <f t="shared" si="0"/>
        <v>200</v>
      </c>
    </row>
    <row r="11" spans="1:5" x14ac:dyDescent="0.2">
      <c r="A11" s="2">
        <v>45305</v>
      </c>
      <c r="B11" t="s">
        <v>49</v>
      </c>
      <c r="D11">
        <v>100</v>
      </c>
      <c r="E11">
        <v>100</v>
      </c>
    </row>
    <row r="12" spans="1:5" x14ac:dyDescent="0.2">
      <c r="A12" s="2">
        <v>45308</v>
      </c>
      <c r="B12" t="s">
        <v>70</v>
      </c>
      <c r="D12">
        <v>50</v>
      </c>
      <c r="E12">
        <f>E11+C12-D12</f>
        <v>50</v>
      </c>
    </row>
    <row r="13" spans="1:5" x14ac:dyDescent="0.2">
      <c r="A13" s="2">
        <v>45320</v>
      </c>
      <c r="B13" t="s">
        <v>82</v>
      </c>
      <c r="C13">
        <v>5</v>
      </c>
      <c r="E13">
        <f t="shared" ref="E13:E22" si="1">E12+C13-D13</f>
        <v>55</v>
      </c>
    </row>
    <row r="14" spans="1:5" x14ac:dyDescent="0.2">
      <c r="A14" s="5">
        <v>45321</v>
      </c>
      <c r="B14" s="4" t="s">
        <v>79</v>
      </c>
      <c r="C14">
        <v>105</v>
      </c>
      <c r="E14">
        <f t="shared" si="1"/>
        <v>160</v>
      </c>
    </row>
    <row r="15" spans="1:5" x14ac:dyDescent="0.2">
      <c r="A15" s="5">
        <v>45322</v>
      </c>
      <c r="B15" s="4" t="s">
        <v>228</v>
      </c>
      <c r="D15">
        <v>160</v>
      </c>
      <c r="E15">
        <f t="shared" si="1"/>
        <v>0</v>
      </c>
    </row>
    <row r="16" spans="1:5" x14ac:dyDescent="0.2">
      <c r="A16" s="2">
        <v>45323</v>
      </c>
      <c r="B16" t="s">
        <v>168</v>
      </c>
      <c r="C16">
        <v>321</v>
      </c>
      <c r="E16">
        <f t="shared" si="1"/>
        <v>321</v>
      </c>
    </row>
    <row r="17" spans="1:5" x14ac:dyDescent="0.2">
      <c r="A17" s="1">
        <v>45324</v>
      </c>
      <c r="B17" t="s">
        <v>79</v>
      </c>
      <c r="D17">
        <v>105</v>
      </c>
      <c r="E17">
        <f t="shared" si="1"/>
        <v>216</v>
      </c>
    </row>
    <row r="18" spans="1:5" x14ac:dyDescent="0.2">
      <c r="A18" s="2">
        <v>45325</v>
      </c>
      <c r="B18" t="s">
        <v>222</v>
      </c>
      <c r="D18">
        <v>38</v>
      </c>
      <c r="E18">
        <f t="shared" si="1"/>
        <v>178</v>
      </c>
    </row>
    <row r="19" spans="1:5" x14ac:dyDescent="0.2">
      <c r="A19" s="5">
        <v>45331</v>
      </c>
      <c r="B19" s="4" t="s">
        <v>192</v>
      </c>
      <c r="C19">
        <v>30</v>
      </c>
      <c r="E19">
        <f t="shared" si="1"/>
        <v>208</v>
      </c>
    </row>
    <row r="20" spans="1:5" x14ac:dyDescent="0.2">
      <c r="A20" s="5">
        <v>45331</v>
      </c>
      <c r="B20" s="4" t="s">
        <v>225</v>
      </c>
      <c r="D20">
        <v>30</v>
      </c>
      <c r="E20">
        <f t="shared" si="1"/>
        <v>178</v>
      </c>
    </row>
    <row r="21" spans="1:5" x14ac:dyDescent="0.2">
      <c r="A21" s="2">
        <v>45341</v>
      </c>
      <c r="B21" t="s">
        <v>225</v>
      </c>
      <c r="C21">
        <v>30</v>
      </c>
      <c r="E21">
        <f t="shared" si="1"/>
        <v>208</v>
      </c>
    </row>
    <row r="22" spans="1:5" x14ac:dyDescent="0.2">
      <c r="A22" s="2">
        <v>45343</v>
      </c>
      <c r="B22" t="s">
        <v>275</v>
      </c>
      <c r="C22">
        <v>100</v>
      </c>
      <c r="E22">
        <f t="shared" si="1"/>
        <v>308</v>
      </c>
    </row>
    <row r="23" spans="1:5" x14ac:dyDescent="0.2">
      <c r="A23" s="2">
        <v>45344</v>
      </c>
      <c r="B23" t="s">
        <v>277</v>
      </c>
      <c r="D23">
        <v>300</v>
      </c>
      <c r="E23">
        <v>0</v>
      </c>
    </row>
    <row r="24" spans="1:5" x14ac:dyDescent="0.2">
      <c r="A24" s="2">
        <v>45346</v>
      </c>
      <c r="B24" t="s">
        <v>51</v>
      </c>
      <c r="C24">
        <v>1000</v>
      </c>
    </row>
    <row r="25" spans="1:5" x14ac:dyDescent="0.2">
      <c r="A25" s="2">
        <v>45346</v>
      </c>
      <c r="B25" t="s">
        <v>283</v>
      </c>
      <c r="D25">
        <v>1000</v>
      </c>
    </row>
    <row r="26" spans="1:5" x14ac:dyDescent="0.2">
      <c r="A26" s="2">
        <v>45355</v>
      </c>
      <c r="B26" t="s">
        <v>81</v>
      </c>
      <c r="C26" s="13">
        <v>121</v>
      </c>
    </row>
    <row r="27" spans="1:5" x14ac:dyDescent="0.2">
      <c r="A27" s="2">
        <v>45356</v>
      </c>
      <c r="B27" t="s">
        <v>82</v>
      </c>
      <c r="C27" s="13">
        <v>19</v>
      </c>
    </row>
    <row r="28" spans="1:5" x14ac:dyDescent="0.2">
      <c r="A28" s="2">
        <v>45359</v>
      </c>
      <c r="B28" t="s">
        <v>222</v>
      </c>
      <c r="D28">
        <v>100</v>
      </c>
    </row>
    <row r="29" spans="1:5" x14ac:dyDescent="0.2">
      <c r="A29" s="5">
        <v>45365</v>
      </c>
      <c r="B29" s="4" t="s">
        <v>70</v>
      </c>
      <c r="C29">
        <v>57</v>
      </c>
    </row>
    <row r="30" spans="1:5" x14ac:dyDescent="0.2">
      <c r="A30" s="2">
        <v>45366</v>
      </c>
      <c r="B30" t="s">
        <v>82</v>
      </c>
      <c r="C30">
        <v>6</v>
      </c>
    </row>
    <row r="31" spans="1:5" x14ac:dyDescent="0.2">
      <c r="A31" s="2">
        <v>45367</v>
      </c>
      <c r="B31" t="s">
        <v>82</v>
      </c>
      <c r="C31"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4CA0-7119-BA45-B313-223F8FC43B72}">
  <dimension ref="A1:E3"/>
  <sheetViews>
    <sheetView workbookViewId="0">
      <selection activeCell="E4" sqref="E4"/>
    </sheetView>
  </sheetViews>
  <sheetFormatPr baseColWidth="10" defaultRowHeight="16" x14ac:dyDescent="0.2"/>
  <cols>
    <col min="2" max="2" width="21.6640625" customWidth="1"/>
  </cols>
  <sheetData>
    <row r="1" spans="1:5" x14ac:dyDescent="0.2">
      <c r="A1" t="s">
        <v>19</v>
      </c>
    </row>
    <row r="3" spans="1:5" x14ac:dyDescent="0.2">
      <c r="B3" t="s">
        <v>16</v>
      </c>
      <c r="E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4DA7-37A8-EA4D-982E-B5E02F94AE11}">
  <dimension ref="A1:F174"/>
  <sheetViews>
    <sheetView topLeftCell="A157" workbookViewId="0">
      <selection activeCell="C175" sqref="C175"/>
    </sheetView>
  </sheetViews>
  <sheetFormatPr baseColWidth="10" defaultRowHeight="16" x14ac:dyDescent="0.2"/>
  <cols>
    <col min="2" max="2" width="38.6640625" customWidth="1"/>
  </cols>
  <sheetData>
    <row r="1" spans="1:5" x14ac:dyDescent="0.2">
      <c r="A1" t="s">
        <v>20</v>
      </c>
    </row>
    <row r="3" spans="1:5" x14ac:dyDescent="0.2">
      <c r="C3" t="s">
        <v>45</v>
      </c>
      <c r="D3" t="s">
        <v>46</v>
      </c>
      <c r="E3" t="s">
        <v>47</v>
      </c>
    </row>
    <row r="4" spans="1:5" x14ac:dyDescent="0.2">
      <c r="B4" t="s">
        <v>16</v>
      </c>
      <c r="E4">
        <v>321</v>
      </c>
    </row>
    <row r="5" spans="1:5" x14ac:dyDescent="0.2">
      <c r="A5" s="1">
        <v>45293</v>
      </c>
      <c r="B5" t="s">
        <v>44</v>
      </c>
      <c r="D5">
        <v>230</v>
      </c>
      <c r="E5">
        <f>E4+C5-D5</f>
        <v>91</v>
      </c>
    </row>
    <row r="6" spans="1:5" x14ac:dyDescent="0.2">
      <c r="A6" s="2">
        <v>45295</v>
      </c>
      <c r="B6" t="s">
        <v>44</v>
      </c>
      <c r="D6">
        <v>75</v>
      </c>
      <c r="E6">
        <f t="shared" ref="E6:E9" si="0">E5+C6-D6</f>
        <v>16</v>
      </c>
    </row>
    <row r="7" spans="1:5" x14ac:dyDescent="0.2">
      <c r="A7" s="2">
        <v>45295</v>
      </c>
      <c r="B7" t="s">
        <v>73</v>
      </c>
      <c r="C7">
        <v>60</v>
      </c>
      <c r="E7">
        <f t="shared" si="0"/>
        <v>76</v>
      </c>
    </row>
    <row r="8" spans="1:5" x14ac:dyDescent="0.2">
      <c r="A8" s="2">
        <v>45296</v>
      </c>
      <c r="B8" t="s">
        <v>57</v>
      </c>
      <c r="C8">
        <v>50</v>
      </c>
      <c r="E8">
        <f t="shared" si="0"/>
        <v>126</v>
      </c>
    </row>
    <row r="9" spans="1:5" x14ac:dyDescent="0.2">
      <c r="A9" s="2">
        <v>45296</v>
      </c>
      <c r="B9" t="s">
        <v>81</v>
      </c>
      <c r="C9">
        <v>180</v>
      </c>
      <c r="E9">
        <f t="shared" si="0"/>
        <v>306</v>
      </c>
    </row>
    <row r="10" spans="1:5" x14ac:dyDescent="0.2">
      <c r="A10" s="2">
        <v>45299</v>
      </c>
      <c r="B10" t="s">
        <v>85</v>
      </c>
      <c r="C10">
        <v>200</v>
      </c>
      <c r="E10">
        <f>E9+C10-D10</f>
        <v>506</v>
      </c>
    </row>
    <row r="11" spans="1:5" x14ac:dyDescent="0.2">
      <c r="A11" s="5">
        <v>45300</v>
      </c>
      <c r="B11" s="4" t="s">
        <v>82</v>
      </c>
      <c r="D11">
        <v>200</v>
      </c>
      <c r="E11">
        <f t="shared" ref="E11:E18" si="1">E10+C11-D11</f>
        <v>306</v>
      </c>
    </row>
    <row r="12" spans="1:5" x14ac:dyDescent="0.2">
      <c r="A12" s="2">
        <v>45300</v>
      </c>
      <c r="B12" t="s">
        <v>138</v>
      </c>
      <c r="C12">
        <v>65</v>
      </c>
      <c r="E12">
        <f t="shared" si="1"/>
        <v>371</v>
      </c>
    </row>
    <row r="13" spans="1:5" x14ac:dyDescent="0.2">
      <c r="A13" s="2">
        <v>45301</v>
      </c>
      <c r="B13" t="s">
        <v>78</v>
      </c>
      <c r="C13">
        <v>150</v>
      </c>
      <c r="E13">
        <f t="shared" si="1"/>
        <v>521</v>
      </c>
    </row>
    <row r="14" spans="1:5" x14ac:dyDescent="0.2">
      <c r="A14" s="5">
        <v>45301</v>
      </c>
      <c r="B14" s="4" t="s">
        <v>143</v>
      </c>
      <c r="D14">
        <v>160</v>
      </c>
      <c r="E14">
        <f t="shared" si="1"/>
        <v>361</v>
      </c>
    </row>
    <row r="15" spans="1:5" x14ac:dyDescent="0.2">
      <c r="A15" s="2">
        <v>45301</v>
      </c>
      <c r="B15" t="s">
        <v>140</v>
      </c>
      <c r="D15">
        <v>100</v>
      </c>
      <c r="E15">
        <f t="shared" si="1"/>
        <v>261</v>
      </c>
    </row>
    <row r="16" spans="1:5" x14ac:dyDescent="0.2">
      <c r="A16" s="5">
        <v>45301</v>
      </c>
      <c r="B16" s="4" t="s">
        <v>146</v>
      </c>
      <c r="D16">
        <v>120</v>
      </c>
      <c r="E16">
        <f t="shared" si="1"/>
        <v>141</v>
      </c>
    </row>
    <row r="17" spans="1:5" x14ac:dyDescent="0.2">
      <c r="A17" s="5">
        <v>45301</v>
      </c>
      <c r="B17" s="4" t="s">
        <v>147</v>
      </c>
      <c r="D17">
        <v>4</v>
      </c>
      <c r="E17">
        <f t="shared" si="1"/>
        <v>137</v>
      </c>
    </row>
    <row r="18" spans="1:5" x14ac:dyDescent="0.2">
      <c r="A18" s="2">
        <v>45301</v>
      </c>
      <c r="B18" s="4" t="s">
        <v>78</v>
      </c>
      <c r="C18">
        <v>400</v>
      </c>
      <c r="E18">
        <f t="shared" si="1"/>
        <v>537</v>
      </c>
    </row>
    <row r="19" spans="1:5" x14ac:dyDescent="0.2">
      <c r="A19" s="2">
        <v>45302</v>
      </c>
      <c r="B19" s="4" t="s">
        <v>78</v>
      </c>
      <c r="C19">
        <v>300</v>
      </c>
      <c r="E19">
        <f>E18+C19-D19</f>
        <v>837</v>
      </c>
    </row>
    <row r="20" spans="1:5" x14ac:dyDescent="0.2">
      <c r="A20" s="2">
        <v>45302</v>
      </c>
      <c r="B20" s="4" t="s">
        <v>140</v>
      </c>
      <c r="D20">
        <v>200</v>
      </c>
      <c r="E20">
        <f t="shared" ref="E20:E22" si="2">E19+C20-D20</f>
        <v>637</v>
      </c>
    </row>
    <row r="21" spans="1:5" x14ac:dyDescent="0.2">
      <c r="A21" s="5">
        <v>45302</v>
      </c>
      <c r="B21" s="4" t="s">
        <v>82</v>
      </c>
      <c r="D21">
        <v>300</v>
      </c>
      <c r="E21">
        <f t="shared" si="2"/>
        <v>337</v>
      </c>
    </row>
    <row r="22" spans="1:5" x14ac:dyDescent="0.2">
      <c r="B22" t="s">
        <v>151</v>
      </c>
      <c r="E22">
        <f t="shared" si="2"/>
        <v>337</v>
      </c>
    </row>
    <row r="23" spans="1:5" x14ac:dyDescent="0.2">
      <c r="A23" s="2">
        <v>45303</v>
      </c>
      <c r="B23" t="s">
        <v>64</v>
      </c>
      <c r="C23">
        <v>468</v>
      </c>
      <c r="E23">
        <f>E22+C23-D23</f>
        <v>805</v>
      </c>
    </row>
    <row r="24" spans="1:5" x14ac:dyDescent="0.2">
      <c r="A24" s="2">
        <v>45303</v>
      </c>
      <c r="B24" s="4" t="s">
        <v>82</v>
      </c>
      <c r="D24">
        <v>400</v>
      </c>
      <c r="E24">
        <f t="shared" ref="E24:E29" si="3">E23+C24-D24</f>
        <v>405</v>
      </c>
    </row>
    <row r="25" spans="1:5" x14ac:dyDescent="0.2">
      <c r="A25" s="2">
        <v>45303</v>
      </c>
      <c r="B25" s="4" t="s">
        <v>146</v>
      </c>
      <c r="D25">
        <v>40</v>
      </c>
      <c r="E25">
        <f t="shared" si="3"/>
        <v>365</v>
      </c>
    </row>
    <row r="26" spans="1:5" x14ac:dyDescent="0.2">
      <c r="A26" s="2">
        <v>45303</v>
      </c>
      <c r="B26" t="s">
        <v>162</v>
      </c>
      <c r="D26">
        <v>44</v>
      </c>
      <c r="E26">
        <f t="shared" si="3"/>
        <v>321</v>
      </c>
    </row>
    <row r="27" spans="1:5" x14ac:dyDescent="0.2">
      <c r="A27" s="2">
        <v>45304</v>
      </c>
      <c r="B27" t="s">
        <v>53</v>
      </c>
      <c r="D27">
        <v>50</v>
      </c>
      <c r="E27">
        <f t="shared" si="3"/>
        <v>271</v>
      </c>
    </row>
    <row r="28" spans="1:5" x14ac:dyDescent="0.2">
      <c r="A28" s="2">
        <v>45304</v>
      </c>
      <c r="B28" t="s">
        <v>146</v>
      </c>
      <c r="D28">
        <v>240</v>
      </c>
      <c r="E28">
        <f t="shared" si="3"/>
        <v>31</v>
      </c>
    </row>
    <row r="29" spans="1:5" x14ac:dyDescent="0.2">
      <c r="A29" s="2">
        <v>45304</v>
      </c>
      <c r="B29" t="s">
        <v>168</v>
      </c>
      <c r="C29">
        <v>300</v>
      </c>
      <c r="E29">
        <f t="shared" si="3"/>
        <v>331</v>
      </c>
    </row>
    <row r="30" spans="1:5" x14ac:dyDescent="0.2">
      <c r="A30" s="2">
        <v>45305</v>
      </c>
      <c r="B30" t="s">
        <v>49</v>
      </c>
      <c r="D30">
        <v>80</v>
      </c>
      <c r="E30">
        <f>E29+C30-D30</f>
        <v>251</v>
      </c>
    </row>
    <row r="31" spans="1:5" x14ac:dyDescent="0.2">
      <c r="A31" s="2">
        <v>45306</v>
      </c>
      <c r="B31" t="s">
        <v>53</v>
      </c>
      <c r="D31">
        <v>100</v>
      </c>
      <c r="E31">
        <f>E30+C31-D31</f>
        <v>151</v>
      </c>
    </row>
    <row r="32" spans="1:5" x14ac:dyDescent="0.2">
      <c r="A32" s="2">
        <v>45307</v>
      </c>
      <c r="B32" t="s">
        <v>181</v>
      </c>
      <c r="C32">
        <v>236</v>
      </c>
      <c r="E32">
        <f>E31+C32-D32</f>
        <v>387</v>
      </c>
    </row>
    <row r="33" spans="1:5" x14ac:dyDescent="0.2">
      <c r="A33" s="2">
        <v>45307</v>
      </c>
      <c r="B33" t="s">
        <v>91</v>
      </c>
      <c r="D33">
        <v>138</v>
      </c>
      <c r="E33">
        <f t="shared" ref="E33:E37" si="4">E32+C33-D33</f>
        <v>249</v>
      </c>
    </row>
    <row r="34" spans="1:5" x14ac:dyDescent="0.2">
      <c r="A34" s="2">
        <v>45308</v>
      </c>
      <c r="B34" t="s">
        <v>168</v>
      </c>
      <c r="C34">
        <v>10</v>
      </c>
      <c r="E34">
        <f t="shared" si="4"/>
        <v>259</v>
      </c>
    </row>
    <row r="35" spans="1:5" x14ac:dyDescent="0.2">
      <c r="A35" s="2">
        <v>45308</v>
      </c>
      <c r="B35" t="s">
        <v>138</v>
      </c>
      <c r="C35">
        <v>27</v>
      </c>
      <c r="E35">
        <f t="shared" si="4"/>
        <v>286</v>
      </c>
    </row>
    <row r="36" spans="1:5" x14ac:dyDescent="0.2">
      <c r="A36" s="2">
        <v>45309</v>
      </c>
      <c r="B36" t="s">
        <v>192</v>
      </c>
      <c r="D36">
        <v>30</v>
      </c>
      <c r="E36">
        <f t="shared" si="4"/>
        <v>256</v>
      </c>
    </row>
    <row r="37" spans="1:5" x14ac:dyDescent="0.2">
      <c r="A37" s="2">
        <v>45309</v>
      </c>
      <c r="B37" t="s">
        <v>162</v>
      </c>
      <c r="D37">
        <v>156</v>
      </c>
      <c r="E37">
        <f t="shared" si="4"/>
        <v>100</v>
      </c>
    </row>
    <row r="38" spans="1:5" x14ac:dyDescent="0.2">
      <c r="A38" s="2">
        <v>45309</v>
      </c>
      <c r="B38" t="s">
        <v>146</v>
      </c>
      <c r="D38">
        <v>100</v>
      </c>
      <c r="E38">
        <f>E37+C38-D38</f>
        <v>0</v>
      </c>
    </row>
    <row r="39" spans="1:5" x14ac:dyDescent="0.2">
      <c r="A39" s="2">
        <v>45310</v>
      </c>
      <c r="B39" t="s">
        <v>78</v>
      </c>
      <c r="C39">
        <v>500</v>
      </c>
      <c r="E39">
        <f>E38+C39-D39</f>
        <v>500</v>
      </c>
    </row>
    <row r="40" spans="1:5" x14ac:dyDescent="0.2">
      <c r="A40" s="2">
        <v>45310</v>
      </c>
      <c r="B40" t="s">
        <v>145</v>
      </c>
      <c r="D40">
        <v>200</v>
      </c>
      <c r="E40">
        <f t="shared" ref="E40:E46" si="5">E39+C40-D40</f>
        <v>300</v>
      </c>
    </row>
    <row r="41" spans="1:5" x14ac:dyDescent="0.2">
      <c r="A41" s="5">
        <v>45310</v>
      </c>
      <c r="B41" s="4" t="s">
        <v>202</v>
      </c>
      <c r="D41">
        <v>20</v>
      </c>
      <c r="E41">
        <f t="shared" si="5"/>
        <v>280</v>
      </c>
    </row>
    <row r="42" spans="1:5" x14ac:dyDescent="0.2">
      <c r="A42" s="5">
        <v>45310</v>
      </c>
      <c r="B42" s="4" t="s">
        <v>181</v>
      </c>
      <c r="C42">
        <v>116</v>
      </c>
      <c r="E42">
        <f t="shared" si="5"/>
        <v>396</v>
      </c>
    </row>
    <row r="43" spans="1:5" x14ac:dyDescent="0.2">
      <c r="A43" s="2">
        <v>45311</v>
      </c>
      <c r="B43" t="s">
        <v>64</v>
      </c>
      <c r="C43">
        <v>129</v>
      </c>
      <c r="E43">
        <f t="shared" si="5"/>
        <v>525</v>
      </c>
    </row>
    <row r="44" spans="1:5" x14ac:dyDescent="0.2">
      <c r="A44" s="2">
        <v>45311</v>
      </c>
      <c r="B44" t="s">
        <v>191</v>
      </c>
      <c r="C44">
        <v>2</v>
      </c>
      <c r="E44">
        <f t="shared" si="5"/>
        <v>527</v>
      </c>
    </row>
    <row r="45" spans="1:5" x14ac:dyDescent="0.2">
      <c r="A45" s="2">
        <v>45311</v>
      </c>
      <c r="B45" t="s">
        <v>207</v>
      </c>
      <c r="C45">
        <v>2</v>
      </c>
      <c r="E45">
        <f t="shared" si="5"/>
        <v>529</v>
      </c>
    </row>
    <row r="46" spans="1:5" x14ac:dyDescent="0.2">
      <c r="A46" s="2">
        <v>45311</v>
      </c>
      <c r="B46" t="s">
        <v>207</v>
      </c>
      <c r="C46">
        <v>34</v>
      </c>
      <c r="E46">
        <f t="shared" si="5"/>
        <v>563</v>
      </c>
    </row>
    <row r="47" spans="1:5" x14ac:dyDescent="0.2">
      <c r="A47" s="5">
        <v>45313</v>
      </c>
      <c r="B47" s="4" t="s">
        <v>146</v>
      </c>
      <c r="D47">
        <v>100</v>
      </c>
      <c r="E47">
        <f>E46+C47-D47</f>
        <v>463</v>
      </c>
    </row>
    <row r="48" spans="1:5" x14ac:dyDescent="0.2">
      <c r="A48" s="2">
        <v>45313</v>
      </c>
      <c r="B48" t="s">
        <v>145</v>
      </c>
      <c r="D48">
        <v>400</v>
      </c>
      <c r="E48">
        <f t="shared" ref="E48:E50" si="6">E47+C48-D48</f>
        <v>63</v>
      </c>
    </row>
    <row r="49" spans="1:5" x14ac:dyDescent="0.2">
      <c r="A49" s="2">
        <v>45313</v>
      </c>
      <c r="B49" t="s">
        <v>192</v>
      </c>
      <c r="D49">
        <v>40</v>
      </c>
      <c r="E49">
        <f t="shared" si="6"/>
        <v>23</v>
      </c>
    </row>
    <row r="50" spans="1:5" x14ac:dyDescent="0.2">
      <c r="A50" s="2">
        <v>45314</v>
      </c>
      <c r="B50" t="s">
        <v>202</v>
      </c>
      <c r="C50">
        <v>20</v>
      </c>
      <c r="E50">
        <f t="shared" si="6"/>
        <v>43</v>
      </c>
    </row>
    <row r="51" spans="1:5" x14ac:dyDescent="0.2">
      <c r="A51" s="2">
        <v>45315</v>
      </c>
      <c r="B51" t="s">
        <v>213</v>
      </c>
      <c r="C51">
        <v>318</v>
      </c>
      <c r="E51">
        <f>E50+C51-D51</f>
        <v>361</v>
      </c>
    </row>
    <row r="52" spans="1:5" x14ac:dyDescent="0.2">
      <c r="A52" s="2">
        <v>45316</v>
      </c>
      <c r="B52" t="s">
        <v>145</v>
      </c>
      <c r="D52">
        <v>100</v>
      </c>
      <c r="E52">
        <f t="shared" ref="E52:E68" si="7">E51+C52-D52</f>
        <v>261</v>
      </c>
    </row>
    <row r="53" spans="1:5" x14ac:dyDescent="0.2">
      <c r="A53" s="2">
        <v>45316</v>
      </c>
      <c r="B53" t="s">
        <v>218</v>
      </c>
      <c r="C53">
        <v>298</v>
      </c>
      <c r="E53">
        <f t="shared" si="7"/>
        <v>559</v>
      </c>
    </row>
    <row r="54" spans="1:5" x14ac:dyDescent="0.2">
      <c r="A54" s="2">
        <v>45317</v>
      </c>
      <c r="B54" t="s">
        <v>219</v>
      </c>
      <c r="D54">
        <v>298</v>
      </c>
      <c r="E54">
        <f t="shared" si="7"/>
        <v>261</v>
      </c>
    </row>
    <row r="55" spans="1:5" x14ac:dyDescent="0.2">
      <c r="A55" s="2">
        <v>45317</v>
      </c>
      <c r="B55" t="s">
        <v>145</v>
      </c>
      <c r="D55">
        <v>240</v>
      </c>
      <c r="E55">
        <f t="shared" si="7"/>
        <v>21</v>
      </c>
    </row>
    <row r="56" spans="1:5" x14ac:dyDescent="0.2">
      <c r="A56" s="5">
        <v>45318</v>
      </c>
      <c r="B56" s="4" t="s">
        <v>217</v>
      </c>
      <c r="C56">
        <v>120</v>
      </c>
      <c r="E56">
        <f t="shared" si="7"/>
        <v>141</v>
      </c>
    </row>
    <row r="57" spans="1:5" x14ac:dyDescent="0.2">
      <c r="A57" s="5">
        <v>45318</v>
      </c>
      <c r="B57" s="4" t="s">
        <v>223</v>
      </c>
      <c r="D57">
        <v>120</v>
      </c>
      <c r="E57">
        <f t="shared" si="7"/>
        <v>21</v>
      </c>
    </row>
    <row r="58" spans="1:5" x14ac:dyDescent="0.2">
      <c r="A58" s="2">
        <v>45318</v>
      </c>
      <c r="B58" t="s">
        <v>224</v>
      </c>
      <c r="D58">
        <v>50</v>
      </c>
      <c r="E58">
        <f t="shared" si="7"/>
        <v>-29</v>
      </c>
    </row>
    <row r="59" spans="1:5" x14ac:dyDescent="0.2">
      <c r="A59" s="2">
        <v>45321</v>
      </c>
      <c r="B59" t="s">
        <v>138</v>
      </c>
      <c r="C59">
        <v>677</v>
      </c>
      <c r="E59">
        <f t="shared" si="7"/>
        <v>648</v>
      </c>
    </row>
    <row r="60" spans="1:5" x14ac:dyDescent="0.2">
      <c r="A60" s="2">
        <v>45321</v>
      </c>
      <c r="B60" t="s">
        <v>227</v>
      </c>
      <c r="C60">
        <v>1</v>
      </c>
      <c r="E60">
        <f t="shared" si="7"/>
        <v>649</v>
      </c>
    </row>
    <row r="61" spans="1:5" x14ac:dyDescent="0.2">
      <c r="A61" s="5">
        <v>45322</v>
      </c>
      <c r="B61" s="4" t="s">
        <v>228</v>
      </c>
      <c r="D61">
        <v>60</v>
      </c>
      <c r="E61">
        <f t="shared" si="7"/>
        <v>589</v>
      </c>
    </row>
    <row r="62" spans="1:5" x14ac:dyDescent="0.2">
      <c r="A62" s="2">
        <v>45323</v>
      </c>
      <c r="B62" t="s">
        <v>147</v>
      </c>
      <c r="D62">
        <v>186</v>
      </c>
      <c r="E62">
        <f t="shared" si="7"/>
        <v>403</v>
      </c>
    </row>
    <row r="63" spans="1:5" x14ac:dyDescent="0.2">
      <c r="A63" s="2">
        <v>45323</v>
      </c>
      <c r="B63" t="s">
        <v>168</v>
      </c>
      <c r="C63">
        <v>9</v>
      </c>
      <c r="E63">
        <f t="shared" si="7"/>
        <v>412</v>
      </c>
    </row>
    <row r="64" spans="1:5" x14ac:dyDescent="0.2">
      <c r="A64" s="5">
        <v>45323</v>
      </c>
      <c r="B64" s="4" t="s">
        <v>181</v>
      </c>
      <c r="C64">
        <v>200</v>
      </c>
      <c r="E64">
        <f t="shared" si="7"/>
        <v>612</v>
      </c>
    </row>
    <row r="65" spans="1:5" x14ac:dyDescent="0.2">
      <c r="A65" s="2">
        <v>45325</v>
      </c>
      <c r="B65" t="s">
        <v>191</v>
      </c>
      <c r="C65">
        <v>11</v>
      </c>
      <c r="E65">
        <f t="shared" si="7"/>
        <v>623</v>
      </c>
    </row>
    <row r="66" spans="1:5" x14ac:dyDescent="0.2">
      <c r="A66" s="2">
        <v>45328</v>
      </c>
      <c r="B66" t="s">
        <v>91</v>
      </c>
      <c r="D66">
        <v>100</v>
      </c>
      <c r="E66">
        <f t="shared" si="7"/>
        <v>523</v>
      </c>
    </row>
    <row r="67" spans="1:5" x14ac:dyDescent="0.2">
      <c r="A67" s="2">
        <v>45328</v>
      </c>
      <c r="B67" t="s">
        <v>246</v>
      </c>
      <c r="D67">
        <v>40</v>
      </c>
      <c r="E67">
        <f t="shared" si="7"/>
        <v>483</v>
      </c>
    </row>
    <row r="68" spans="1:5" x14ac:dyDescent="0.2">
      <c r="A68" s="2">
        <v>45328</v>
      </c>
      <c r="B68" t="s">
        <v>247</v>
      </c>
      <c r="C68">
        <v>8</v>
      </c>
      <c r="E68">
        <f t="shared" si="7"/>
        <v>491</v>
      </c>
    </row>
    <row r="69" spans="1:5" x14ac:dyDescent="0.2">
      <c r="A69" s="2">
        <v>45328</v>
      </c>
      <c r="B69" t="s">
        <v>191</v>
      </c>
      <c r="C69">
        <v>50</v>
      </c>
      <c r="E69">
        <f>E68+C69-D69</f>
        <v>541</v>
      </c>
    </row>
    <row r="70" spans="1:5" x14ac:dyDescent="0.2">
      <c r="A70" s="2">
        <v>45328</v>
      </c>
      <c r="B70" t="s">
        <v>191</v>
      </c>
      <c r="C70">
        <v>112</v>
      </c>
      <c r="E70">
        <f t="shared" ref="E70:E79" si="8">E69+C70-D70</f>
        <v>653</v>
      </c>
    </row>
    <row r="71" spans="1:5" x14ac:dyDescent="0.2">
      <c r="A71" s="5">
        <v>45329</v>
      </c>
      <c r="B71" s="4" t="s">
        <v>91</v>
      </c>
      <c r="D71">
        <v>550</v>
      </c>
      <c r="E71">
        <f t="shared" si="8"/>
        <v>103</v>
      </c>
    </row>
    <row r="72" spans="1:5" x14ac:dyDescent="0.2">
      <c r="A72" s="5">
        <v>45329</v>
      </c>
      <c r="B72" s="4" t="s">
        <v>140</v>
      </c>
      <c r="D72">
        <v>60</v>
      </c>
      <c r="E72">
        <f t="shared" si="8"/>
        <v>43</v>
      </c>
    </row>
    <row r="73" spans="1:5" x14ac:dyDescent="0.2">
      <c r="A73" s="5">
        <v>45329</v>
      </c>
      <c r="B73" s="4" t="s">
        <v>258</v>
      </c>
      <c r="D73">
        <v>150</v>
      </c>
      <c r="E73">
        <f t="shared" si="8"/>
        <v>-107</v>
      </c>
    </row>
    <row r="74" spans="1:5" x14ac:dyDescent="0.2">
      <c r="A74" s="5">
        <v>45331</v>
      </c>
      <c r="B74" s="4" t="s">
        <v>192</v>
      </c>
      <c r="C74">
        <v>160</v>
      </c>
      <c r="E74">
        <v>160</v>
      </c>
    </row>
    <row r="75" spans="1:5" x14ac:dyDescent="0.2">
      <c r="A75" s="5">
        <v>45331</v>
      </c>
      <c r="B75" s="4" t="s">
        <v>225</v>
      </c>
      <c r="D75">
        <v>160</v>
      </c>
      <c r="E75">
        <f t="shared" si="8"/>
        <v>0</v>
      </c>
    </row>
    <row r="76" spans="1:5" x14ac:dyDescent="0.2">
      <c r="A76" s="2">
        <v>45334</v>
      </c>
      <c r="B76" t="s">
        <v>211</v>
      </c>
      <c r="C76">
        <v>100</v>
      </c>
      <c r="E76">
        <f t="shared" si="8"/>
        <v>100</v>
      </c>
    </row>
    <row r="77" spans="1:5" x14ac:dyDescent="0.2">
      <c r="A77" s="2">
        <v>45335</v>
      </c>
      <c r="B77" t="s">
        <v>254</v>
      </c>
      <c r="D77">
        <v>100</v>
      </c>
      <c r="E77">
        <f t="shared" si="8"/>
        <v>0</v>
      </c>
    </row>
    <row r="78" spans="1:5" x14ac:dyDescent="0.2">
      <c r="A78" s="2">
        <v>45335</v>
      </c>
      <c r="B78" t="s">
        <v>225</v>
      </c>
      <c r="C78">
        <v>160</v>
      </c>
      <c r="E78">
        <f t="shared" si="8"/>
        <v>160</v>
      </c>
    </row>
    <row r="79" spans="1:5" x14ac:dyDescent="0.2">
      <c r="A79" s="2">
        <v>45335</v>
      </c>
      <c r="B79" t="s">
        <v>181</v>
      </c>
      <c r="C79">
        <v>290</v>
      </c>
      <c r="E79">
        <f t="shared" si="8"/>
        <v>450</v>
      </c>
    </row>
    <row r="80" spans="1:5" x14ac:dyDescent="0.2">
      <c r="A80" s="2">
        <v>45337</v>
      </c>
      <c r="B80" t="s">
        <v>314</v>
      </c>
      <c r="D80">
        <v>100</v>
      </c>
      <c r="E80">
        <f>E79+C80-D80</f>
        <v>350</v>
      </c>
    </row>
    <row r="81" spans="1:5" x14ac:dyDescent="0.2">
      <c r="A81" s="2">
        <v>45337</v>
      </c>
      <c r="B81" t="s">
        <v>129</v>
      </c>
      <c r="C81">
        <v>40</v>
      </c>
      <c r="E81">
        <f t="shared" ref="E81:E87" si="9">E80+C81-D81</f>
        <v>390</v>
      </c>
    </row>
    <row r="82" spans="1:5" x14ac:dyDescent="0.2">
      <c r="A82" s="2">
        <v>45337</v>
      </c>
      <c r="B82" t="s">
        <v>148</v>
      </c>
      <c r="C82">
        <v>38</v>
      </c>
      <c r="E82">
        <f t="shared" si="9"/>
        <v>428</v>
      </c>
    </row>
    <row r="83" spans="1:5" x14ac:dyDescent="0.2">
      <c r="A83" s="2">
        <v>45338</v>
      </c>
      <c r="B83" t="s">
        <v>258</v>
      </c>
      <c r="D83">
        <v>100</v>
      </c>
      <c r="E83">
        <f t="shared" si="9"/>
        <v>328</v>
      </c>
    </row>
    <row r="84" spans="1:5" x14ac:dyDescent="0.2">
      <c r="A84" s="2">
        <v>45338</v>
      </c>
      <c r="B84" t="s">
        <v>233</v>
      </c>
      <c r="D84">
        <v>150</v>
      </c>
      <c r="E84">
        <f t="shared" si="9"/>
        <v>178</v>
      </c>
    </row>
    <row r="85" spans="1:5" x14ac:dyDescent="0.2">
      <c r="A85" s="2">
        <v>45338</v>
      </c>
      <c r="B85" t="s">
        <v>262</v>
      </c>
      <c r="D85">
        <v>300</v>
      </c>
      <c r="E85">
        <f t="shared" si="9"/>
        <v>-122</v>
      </c>
    </row>
    <row r="86" spans="1:5" x14ac:dyDescent="0.2">
      <c r="A86" s="2">
        <v>45338</v>
      </c>
      <c r="B86" t="s">
        <v>68</v>
      </c>
      <c r="C86">
        <v>100</v>
      </c>
      <c r="E86">
        <f t="shared" si="9"/>
        <v>-22</v>
      </c>
    </row>
    <row r="87" spans="1:5" x14ac:dyDescent="0.2">
      <c r="A87" s="2">
        <v>45338</v>
      </c>
      <c r="B87" t="s">
        <v>68</v>
      </c>
      <c r="C87">
        <v>450</v>
      </c>
      <c r="E87">
        <f t="shared" si="9"/>
        <v>428</v>
      </c>
    </row>
    <row r="88" spans="1:5" x14ac:dyDescent="0.2">
      <c r="A88" s="5">
        <v>45338</v>
      </c>
      <c r="B88" s="4" t="s">
        <v>192</v>
      </c>
      <c r="C88">
        <v>96</v>
      </c>
      <c r="E88">
        <f>E87+C88-D88</f>
        <v>524</v>
      </c>
    </row>
    <row r="89" spans="1:5" x14ac:dyDescent="0.2">
      <c r="A89" s="2">
        <v>45341</v>
      </c>
      <c r="B89" t="s">
        <v>218</v>
      </c>
      <c r="C89">
        <v>3500</v>
      </c>
      <c r="E89">
        <f t="shared" ref="E89:E107" si="10">E88+C89-D89</f>
        <v>4024</v>
      </c>
    </row>
    <row r="90" spans="1:5" x14ac:dyDescent="0.2">
      <c r="A90" s="2">
        <v>45341</v>
      </c>
      <c r="B90" t="s">
        <v>266</v>
      </c>
      <c r="D90">
        <v>3000</v>
      </c>
      <c r="E90">
        <f t="shared" si="10"/>
        <v>1024</v>
      </c>
    </row>
    <row r="91" spans="1:5" x14ac:dyDescent="0.2">
      <c r="A91" s="2">
        <v>19.2</v>
      </c>
      <c r="B91" t="s">
        <v>254</v>
      </c>
      <c r="D91">
        <v>72</v>
      </c>
      <c r="E91">
        <f t="shared" si="10"/>
        <v>952</v>
      </c>
    </row>
    <row r="92" spans="1:5" x14ac:dyDescent="0.2">
      <c r="A92" s="2">
        <v>45341</v>
      </c>
      <c r="B92" t="s">
        <v>254</v>
      </c>
      <c r="D92">
        <v>400</v>
      </c>
      <c r="E92">
        <f t="shared" si="10"/>
        <v>552</v>
      </c>
    </row>
    <row r="93" spans="1:5" x14ac:dyDescent="0.2">
      <c r="A93" s="2">
        <v>45341</v>
      </c>
      <c r="B93" t="s">
        <v>258</v>
      </c>
      <c r="D93">
        <v>150</v>
      </c>
      <c r="E93">
        <f t="shared" si="10"/>
        <v>402</v>
      </c>
    </row>
    <row r="94" spans="1:5" x14ac:dyDescent="0.2">
      <c r="A94" s="2">
        <v>45342</v>
      </c>
      <c r="B94" t="s">
        <v>271</v>
      </c>
      <c r="D94">
        <v>300</v>
      </c>
      <c r="E94">
        <f t="shared" si="10"/>
        <v>102</v>
      </c>
    </row>
    <row r="95" spans="1:5" x14ac:dyDescent="0.2">
      <c r="A95" s="2">
        <v>45342</v>
      </c>
      <c r="B95" t="s">
        <v>181</v>
      </c>
      <c r="C95">
        <v>201</v>
      </c>
      <c r="E95">
        <f t="shared" si="10"/>
        <v>303</v>
      </c>
    </row>
    <row r="96" spans="1:5" x14ac:dyDescent="0.2">
      <c r="A96" s="2">
        <v>45342</v>
      </c>
      <c r="B96" t="s">
        <v>70</v>
      </c>
      <c r="C96">
        <v>200</v>
      </c>
      <c r="E96">
        <f t="shared" si="10"/>
        <v>503</v>
      </c>
    </row>
    <row r="97" spans="1:5" x14ac:dyDescent="0.2">
      <c r="A97" s="5">
        <v>45343</v>
      </c>
      <c r="B97" s="4" t="s">
        <v>272</v>
      </c>
      <c r="D97">
        <v>100</v>
      </c>
      <c r="E97">
        <f t="shared" si="10"/>
        <v>403</v>
      </c>
    </row>
    <row r="98" spans="1:5" x14ac:dyDescent="0.2">
      <c r="A98" s="5">
        <v>45343</v>
      </c>
      <c r="B98" s="4" t="s">
        <v>274</v>
      </c>
      <c r="D98">
        <v>40</v>
      </c>
      <c r="E98">
        <f t="shared" si="10"/>
        <v>363</v>
      </c>
    </row>
    <row r="99" spans="1:5" x14ac:dyDescent="0.2">
      <c r="A99" s="5">
        <v>45343</v>
      </c>
      <c r="B99" s="4" t="s">
        <v>227</v>
      </c>
      <c r="C99">
        <v>260</v>
      </c>
      <c r="E99">
        <f t="shared" si="10"/>
        <v>623</v>
      </c>
    </row>
    <row r="100" spans="1:5" x14ac:dyDescent="0.2">
      <c r="A100" s="5">
        <v>45343</v>
      </c>
      <c r="B100" s="4" t="s">
        <v>209</v>
      </c>
      <c r="C100">
        <v>40</v>
      </c>
      <c r="E100">
        <f t="shared" si="10"/>
        <v>663</v>
      </c>
    </row>
    <row r="101" spans="1:5" x14ac:dyDescent="0.2">
      <c r="A101" s="2">
        <v>45344</v>
      </c>
      <c r="B101" s="4" t="s">
        <v>82</v>
      </c>
      <c r="C101">
        <v>10</v>
      </c>
      <c r="E101">
        <f t="shared" si="10"/>
        <v>673</v>
      </c>
    </row>
    <row r="102" spans="1:5" x14ac:dyDescent="0.2">
      <c r="A102" s="2">
        <v>45344</v>
      </c>
      <c r="B102" s="4" t="s">
        <v>225</v>
      </c>
      <c r="D102">
        <v>10</v>
      </c>
      <c r="E102">
        <f t="shared" si="10"/>
        <v>663</v>
      </c>
    </row>
    <row r="103" spans="1:5" x14ac:dyDescent="0.2">
      <c r="A103" s="2">
        <v>45344</v>
      </c>
      <c r="B103" s="4" t="s">
        <v>270</v>
      </c>
      <c r="D103">
        <v>100</v>
      </c>
      <c r="E103">
        <f t="shared" si="10"/>
        <v>563</v>
      </c>
    </row>
    <row r="104" spans="1:5" x14ac:dyDescent="0.2">
      <c r="A104" s="2">
        <v>45344</v>
      </c>
      <c r="B104" s="4" t="s">
        <v>68</v>
      </c>
      <c r="C104">
        <v>100</v>
      </c>
      <c r="E104">
        <f t="shared" si="10"/>
        <v>663</v>
      </c>
    </row>
    <row r="105" spans="1:5" x14ac:dyDescent="0.2">
      <c r="A105" s="2">
        <v>45345</v>
      </c>
      <c r="B105" s="4" t="s">
        <v>272</v>
      </c>
      <c r="D105">
        <v>100</v>
      </c>
      <c r="E105">
        <f t="shared" si="10"/>
        <v>563</v>
      </c>
    </row>
    <row r="106" spans="1:5" x14ac:dyDescent="0.2">
      <c r="A106" s="2">
        <v>45345</v>
      </c>
      <c r="B106" s="4" t="s">
        <v>209</v>
      </c>
      <c r="C106">
        <v>50</v>
      </c>
      <c r="E106">
        <f t="shared" si="10"/>
        <v>613</v>
      </c>
    </row>
    <row r="107" spans="1:5" x14ac:dyDescent="0.2">
      <c r="A107" s="2">
        <v>45346</v>
      </c>
      <c r="B107" s="4" t="s">
        <v>73</v>
      </c>
      <c r="C107">
        <v>47</v>
      </c>
      <c r="E107">
        <f t="shared" si="10"/>
        <v>660</v>
      </c>
    </row>
    <row r="108" spans="1:5" x14ac:dyDescent="0.2">
      <c r="A108" s="2">
        <v>45346</v>
      </c>
      <c r="B108" s="4" t="s">
        <v>181</v>
      </c>
      <c r="C108">
        <v>200</v>
      </c>
      <c r="E108">
        <f>E107+C108-D108</f>
        <v>860</v>
      </c>
    </row>
    <row r="109" spans="1:5" x14ac:dyDescent="0.2">
      <c r="A109" s="2">
        <v>45348</v>
      </c>
      <c r="B109" s="4" t="s">
        <v>205</v>
      </c>
      <c r="D109">
        <v>200</v>
      </c>
      <c r="E109">
        <f t="shared" ref="E109:E116" si="11">E108+C109-D109</f>
        <v>660</v>
      </c>
    </row>
    <row r="110" spans="1:5" x14ac:dyDescent="0.2">
      <c r="A110" s="2">
        <v>45348</v>
      </c>
      <c r="B110" s="4" t="s">
        <v>229</v>
      </c>
      <c r="C110">
        <v>97</v>
      </c>
      <c r="E110">
        <f t="shared" si="11"/>
        <v>757</v>
      </c>
    </row>
    <row r="111" spans="1:5" x14ac:dyDescent="0.2">
      <c r="A111" s="2">
        <v>45348</v>
      </c>
      <c r="B111" s="4" t="s">
        <v>225</v>
      </c>
      <c r="C111">
        <v>10</v>
      </c>
      <c r="E111">
        <f t="shared" si="11"/>
        <v>767</v>
      </c>
    </row>
    <row r="112" spans="1:5" x14ac:dyDescent="0.2">
      <c r="A112" s="2">
        <v>45349</v>
      </c>
      <c r="B112" s="4" t="s">
        <v>254</v>
      </c>
      <c r="D112">
        <v>28</v>
      </c>
      <c r="E112">
        <f t="shared" si="11"/>
        <v>739</v>
      </c>
    </row>
    <row r="113" spans="1:5" x14ac:dyDescent="0.2">
      <c r="A113" s="2">
        <v>45349</v>
      </c>
      <c r="B113" s="4" t="s">
        <v>227</v>
      </c>
      <c r="C113">
        <v>137</v>
      </c>
      <c r="E113">
        <f t="shared" si="11"/>
        <v>876</v>
      </c>
    </row>
    <row r="114" spans="1:5" x14ac:dyDescent="0.2">
      <c r="A114" s="2">
        <v>45350</v>
      </c>
      <c r="B114" s="4" t="s">
        <v>291</v>
      </c>
      <c r="C114">
        <v>200</v>
      </c>
      <c r="E114">
        <f t="shared" si="11"/>
        <v>1076</v>
      </c>
    </row>
    <row r="115" spans="1:5" x14ac:dyDescent="0.2">
      <c r="A115" s="2">
        <v>45350</v>
      </c>
      <c r="B115" s="4" t="s">
        <v>270</v>
      </c>
      <c r="D115">
        <v>60</v>
      </c>
      <c r="E115">
        <f t="shared" si="11"/>
        <v>1016</v>
      </c>
    </row>
    <row r="116" spans="1:5" x14ac:dyDescent="0.2">
      <c r="A116" s="5">
        <v>45350</v>
      </c>
      <c r="B116" s="4" t="s">
        <v>293</v>
      </c>
      <c r="C116">
        <v>60</v>
      </c>
      <c r="E116">
        <f t="shared" si="11"/>
        <v>1076</v>
      </c>
    </row>
    <row r="117" spans="1:5" x14ac:dyDescent="0.2">
      <c r="A117" s="2">
        <v>45350</v>
      </c>
      <c r="B117" s="4" t="s">
        <v>79</v>
      </c>
      <c r="C117">
        <v>243</v>
      </c>
      <c r="E117">
        <f>E116+C117-D117</f>
        <v>1319</v>
      </c>
    </row>
    <row r="118" spans="1:5" x14ac:dyDescent="0.2">
      <c r="A118" s="2">
        <v>45350</v>
      </c>
      <c r="B118" s="4" t="s">
        <v>79</v>
      </c>
      <c r="C118">
        <v>130</v>
      </c>
      <c r="E118">
        <f t="shared" ref="E118:E132" si="12">E117+C118-D118</f>
        <v>1449</v>
      </c>
    </row>
    <row r="119" spans="1:5" x14ac:dyDescent="0.2">
      <c r="A119" s="5">
        <v>45350</v>
      </c>
      <c r="B119" s="4" t="s">
        <v>209</v>
      </c>
      <c r="C119">
        <v>130</v>
      </c>
      <c r="E119">
        <f t="shared" si="12"/>
        <v>1579</v>
      </c>
    </row>
    <row r="120" spans="1:5" x14ac:dyDescent="0.2">
      <c r="A120" s="5">
        <v>45350</v>
      </c>
      <c r="B120" s="4" t="s">
        <v>168</v>
      </c>
      <c r="C120">
        <v>9</v>
      </c>
      <c r="E120">
        <f t="shared" si="12"/>
        <v>1588</v>
      </c>
    </row>
    <row r="121" spans="1:5" x14ac:dyDescent="0.2">
      <c r="A121" s="2">
        <v>45351</v>
      </c>
      <c r="B121" s="4" t="s">
        <v>205</v>
      </c>
      <c r="D121">
        <v>200</v>
      </c>
      <c r="E121">
        <f t="shared" si="12"/>
        <v>1388</v>
      </c>
    </row>
    <row r="122" spans="1:5" x14ac:dyDescent="0.2">
      <c r="A122" s="5">
        <v>45351</v>
      </c>
      <c r="B122" s="4" t="s">
        <v>295</v>
      </c>
      <c r="D122">
        <v>60</v>
      </c>
      <c r="E122">
        <f t="shared" si="12"/>
        <v>1328</v>
      </c>
    </row>
    <row r="123" spans="1:5" x14ac:dyDescent="0.2">
      <c r="A123" s="2">
        <v>45351</v>
      </c>
      <c r="B123" s="4" t="s">
        <v>68</v>
      </c>
      <c r="C123">
        <v>132</v>
      </c>
      <c r="E123">
        <f t="shared" si="12"/>
        <v>1460</v>
      </c>
    </row>
    <row r="124" spans="1:5" x14ac:dyDescent="0.2">
      <c r="A124" s="2">
        <v>45351</v>
      </c>
      <c r="B124" s="4" t="s">
        <v>79</v>
      </c>
      <c r="C124">
        <v>100</v>
      </c>
      <c r="E124">
        <f t="shared" si="12"/>
        <v>1560</v>
      </c>
    </row>
    <row r="125" spans="1:5" x14ac:dyDescent="0.2">
      <c r="A125" s="2">
        <v>45352</v>
      </c>
      <c r="B125" s="4" t="s">
        <v>205</v>
      </c>
      <c r="D125">
        <v>200</v>
      </c>
      <c r="E125">
        <f t="shared" si="12"/>
        <v>1360</v>
      </c>
    </row>
    <row r="126" spans="1:5" x14ac:dyDescent="0.2">
      <c r="A126" s="2">
        <v>45352</v>
      </c>
      <c r="B126" s="4" t="s">
        <v>44</v>
      </c>
      <c r="D126">
        <v>300</v>
      </c>
      <c r="E126">
        <f t="shared" si="12"/>
        <v>1060</v>
      </c>
    </row>
    <row r="127" spans="1:5" x14ac:dyDescent="0.2">
      <c r="A127" s="5">
        <v>45352</v>
      </c>
      <c r="B127" s="4" t="s">
        <v>298</v>
      </c>
      <c r="C127">
        <v>12</v>
      </c>
      <c r="E127">
        <f t="shared" si="12"/>
        <v>1072</v>
      </c>
    </row>
    <row r="128" spans="1:5" x14ac:dyDescent="0.2">
      <c r="A128" s="5">
        <v>45352</v>
      </c>
      <c r="B128" s="4" t="s">
        <v>299</v>
      </c>
      <c r="C128">
        <v>136</v>
      </c>
      <c r="E128">
        <f t="shared" si="12"/>
        <v>1208</v>
      </c>
    </row>
    <row r="129" spans="1:6" x14ac:dyDescent="0.2">
      <c r="A129" s="5">
        <v>45352</v>
      </c>
      <c r="B129" s="4" t="s">
        <v>79</v>
      </c>
      <c r="C129">
        <v>95</v>
      </c>
      <c r="E129">
        <f t="shared" si="12"/>
        <v>1303</v>
      </c>
    </row>
    <row r="130" spans="1:6" x14ac:dyDescent="0.2">
      <c r="A130" s="2">
        <v>45355</v>
      </c>
      <c r="B130" s="4" t="s">
        <v>140</v>
      </c>
      <c r="D130">
        <v>200</v>
      </c>
      <c r="E130">
        <f t="shared" si="12"/>
        <v>1103</v>
      </c>
    </row>
    <row r="131" spans="1:6" x14ac:dyDescent="0.2">
      <c r="A131" s="2">
        <v>45355</v>
      </c>
      <c r="B131" s="4" t="s">
        <v>304</v>
      </c>
      <c r="D131">
        <v>200</v>
      </c>
      <c r="E131">
        <f t="shared" si="12"/>
        <v>903</v>
      </c>
    </row>
    <row r="132" spans="1:6" x14ac:dyDescent="0.2">
      <c r="A132" s="5">
        <v>45355</v>
      </c>
      <c r="B132" s="4" t="s">
        <v>82</v>
      </c>
      <c r="C132">
        <v>10</v>
      </c>
      <c r="E132">
        <f t="shared" si="12"/>
        <v>913</v>
      </c>
    </row>
    <row r="133" spans="1:6" x14ac:dyDescent="0.2">
      <c r="A133" s="2">
        <v>45355</v>
      </c>
      <c r="B133" s="4" t="s">
        <v>211</v>
      </c>
      <c r="C133">
        <v>205</v>
      </c>
      <c r="E133">
        <f>E132+C133-D133</f>
        <v>1118</v>
      </c>
    </row>
    <row r="134" spans="1:6" x14ac:dyDescent="0.2">
      <c r="A134" s="5">
        <v>45356</v>
      </c>
      <c r="B134" s="4" t="s">
        <v>304</v>
      </c>
      <c r="D134">
        <v>300</v>
      </c>
      <c r="E134">
        <f t="shared" ref="E134:E147" si="13">E133+C134-D134</f>
        <v>818</v>
      </c>
    </row>
    <row r="135" spans="1:6" x14ac:dyDescent="0.2">
      <c r="A135" s="2">
        <v>45356</v>
      </c>
      <c r="B135" s="4" t="s">
        <v>82</v>
      </c>
      <c r="C135">
        <v>15</v>
      </c>
      <c r="E135">
        <f t="shared" si="13"/>
        <v>833</v>
      </c>
    </row>
    <row r="136" spans="1:6" x14ac:dyDescent="0.2">
      <c r="A136" s="2">
        <v>45357</v>
      </c>
      <c r="B136" s="4" t="s">
        <v>181</v>
      </c>
      <c r="C136">
        <v>166</v>
      </c>
      <c r="E136">
        <f t="shared" si="13"/>
        <v>999</v>
      </c>
      <c r="F136" t="s">
        <v>306</v>
      </c>
    </row>
    <row r="137" spans="1:6" x14ac:dyDescent="0.2">
      <c r="A137" s="2">
        <v>45358</v>
      </c>
      <c r="B137" s="4" t="s">
        <v>135</v>
      </c>
      <c r="D137">
        <v>200</v>
      </c>
      <c r="E137">
        <f t="shared" si="13"/>
        <v>799</v>
      </c>
    </row>
    <row r="138" spans="1:6" x14ac:dyDescent="0.2">
      <c r="A138" s="2">
        <v>45358</v>
      </c>
      <c r="B138" s="4" t="s">
        <v>135</v>
      </c>
      <c r="D138">
        <v>200</v>
      </c>
      <c r="E138">
        <f t="shared" si="13"/>
        <v>599</v>
      </c>
    </row>
    <row r="139" spans="1:6" x14ac:dyDescent="0.2">
      <c r="A139" s="2">
        <v>45358</v>
      </c>
      <c r="B139" s="4" t="s">
        <v>79</v>
      </c>
      <c r="C139">
        <v>3</v>
      </c>
      <c r="E139">
        <f t="shared" si="13"/>
        <v>602</v>
      </c>
    </row>
    <row r="140" spans="1:6" x14ac:dyDescent="0.2">
      <c r="A140" s="5">
        <v>45359</v>
      </c>
      <c r="B140" s="4" t="s">
        <v>304</v>
      </c>
      <c r="D140">
        <v>200</v>
      </c>
      <c r="E140">
        <f t="shared" si="13"/>
        <v>402</v>
      </c>
    </row>
    <row r="141" spans="1:6" x14ac:dyDescent="0.2">
      <c r="A141" s="5">
        <v>45359</v>
      </c>
      <c r="B141" s="4" t="s">
        <v>304</v>
      </c>
      <c r="D141">
        <v>150</v>
      </c>
      <c r="E141">
        <f t="shared" si="13"/>
        <v>252</v>
      </c>
    </row>
    <row r="142" spans="1:6" x14ac:dyDescent="0.2">
      <c r="A142" s="2">
        <v>45330</v>
      </c>
      <c r="B142" s="4" t="s">
        <v>214</v>
      </c>
      <c r="C142">
        <v>1000</v>
      </c>
      <c r="E142">
        <f t="shared" si="13"/>
        <v>1252</v>
      </c>
    </row>
    <row r="143" spans="1:6" x14ac:dyDescent="0.2">
      <c r="A143" s="2">
        <v>45330</v>
      </c>
      <c r="B143" s="4" t="s">
        <v>74</v>
      </c>
      <c r="C143">
        <v>200</v>
      </c>
      <c r="E143">
        <f t="shared" si="13"/>
        <v>1452</v>
      </c>
    </row>
    <row r="144" spans="1:6" x14ac:dyDescent="0.2">
      <c r="A144" s="2">
        <v>45359</v>
      </c>
      <c r="B144" s="4" t="s">
        <v>295</v>
      </c>
      <c r="C144">
        <v>60</v>
      </c>
      <c r="E144">
        <f t="shared" si="13"/>
        <v>1512</v>
      </c>
    </row>
    <row r="145" spans="1:5" x14ac:dyDescent="0.2">
      <c r="A145" s="2">
        <v>45360</v>
      </c>
      <c r="B145" s="4" t="s">
        <v>135</v>
      </c>
      <c r="D145">
        <v>200</v>
      </c>
      <c r="E145">
        <f t="shared" si="13"/>
        <v>1312</v>
      </c>
    </row>
    <row r="146" spans="1:5" x14ac:dyDescent="0.2">
      <c r="A146" s="2">
        <v>45360</v>
      </c>
      <c r="B146" s="4" t="s">
        <v>205</v>
      </c>
      <c r="D146">
        <v>100</v>
      </c>
      <c r="E146">
        <f t="shared" si="13"/>
        <v>1212</v>
      </c>
    </row>
    <row r="147" spans="1:5" x14ac:dyDescent="0.2">
      <c r="A147" s="2">
        <v>45360</v>
      </c>
      <c r="B147" s="4" t="s">
        <v>304</v>
      </c>
      <c r="D147">
        <v>100</v>
      </c>
      <c r="E147">
        <f t="shared" si="13"/>
        <v>1112</v>
      </c>
    </row>
    <row r="148" spans="1:5" x14ac:dyDescent="0.2">
      <c r="A148" s="2">
        <v>45361</v>
      </c>
      <c r="B148" s="4" t="s">
        <v>304</v>
      </c>
      <c r="D148">
        <v>700</v>
      </c>
    </row>
    <row r="149" spans="1:5" x14ac:dyDescent="0.2">
      <c r="A149" s="2">
        <v>45364</v>
      </c>
      <c r="B149" s="4" t="s">
        <v>103</v>
      </c>
      <c r="D149">
        <v>200</v>
      </c>
    </row>
    <row r="150" spans="1:5" x14ac:dyDescent="0.2">
      <c r="A150" s="2">
        <v>45364</v>
      </c>
      <c r="B150" s="4" t="s">
        <v>205</v>
      </c>
      <c r="D150">
        <v>100</v>
      </c>
    </row>
    <row r="151" spans="1:5" x14ac:dyDescent="0.2">
      <c r="A151" s="5">
        <v>45364</v>
      </c>
      <c r="B151" s="4" t="s">
        <v>274</v>
      </c>
      <c r="C151">
        <v>75</v>
      </c>
    </row>
    <row r="152" spans="1:5" x14ac:dyDescent="0.2">
      <c r="A152" s="2">
        <v>45365</v>
      </c>
      <c r="B152" s="4" t="s">
        <v>304</v>
      </c>
      <c r="D152">
        <v>100</v>
      </c>
    </row>
    <row r="153" spans="1:5" x14ac:dyDescent="0.2">
      <c r="A153" s="5">
        <v>45365</v>
      </c>
      <c r="B153" s="4" t="s">
        <v>70</v>
      </c>
      <c r="C153">
        <v>65</v>
      </c>
    </row>
    <row r="154" spans="1:5" x14ac:dyDescent="0.2">
      <c r="A154" s="2">
        <v>45365</v>
      </c>
      <c r="B154" s="4" t="s">
        <v>68</v>
      </c>
      <c r="C154">
        <v>80</v>
      </c>
    </row>
    <row r="155" spans="1:5" x14ac:dyDescent="0.2">
      <c r="A155" s="2">
        <v>45366</v>
      </c>
      <c r="B155" s="4" t="s">
        <v>304</v>
      </c>
      <c r="D155">
        <v>200</v>
      </c>
    </row>
    <row r="156" spans="1:5" x14ac:dyDescent="0.2">
      <c r="A156" s="2">
        <v>45366</v>
      </c>
      <c r="B156" s="4" t="s">
        <v>314</v>
      </c>
      <c r="D156">
        <v>100</v>
      </c>
    </row>
    <row r="157" spans="1:5" x14ac:dyDescent="0.2">
      <c r="A157" s="2">
        <v>45366</v>
      </c>
      <c r="B157" s="4" t="s">
        <v>168</v>
      </c>
      <c r="C157">
        <v>4</v>
      </c>
    </row>
    <row r="158" spans="1:5" x14ac:dyDescent="0.2">
      <c r="A158" s="2">
        <v>45366</v>
      </c>
      <c r="B158" s="4" t="s">
        <v>74</v>
      </c>
      <c r="C158">
        <v>1500</v>
      </c>
    </row>
    <row r="159" spans="1:5" x14ac:dyDescent="0.2">
      <c r="A159" s="2">
        <v>45366</v>
      </c>
      <c r="B159" s="4" t="s">
        <v>79</v>
      </c>
      <c r="C159">
        <v>620</v>
      </c>
    </row>
    <row r="160" spans="1:5" x14ac:dyDescent="0.2">
      <c r="A160" s="2">
        <v>45366</v>
      </c>
      <c r="B160" s="4" t="s">
        <v>181</v>
      </c>
      <c r="C160">
        <v>162</v>
      </c>
    </row>
    <row r="161" spans="1:4" x14ac:dyDescent="0.2">
      <c r="A161" s="2">
        <v>45367</v>
      </c>
      <c r="B161" s="4" t="s">
        <v>49</v>
      </c>
      <c r="D161">
        <v>185</v>
      </c>
    </row>
    <row r="162" spans="1:4" x14ac:dyDescent="0.2">
      <c r="A162" s="2">
        <v>45369</v>
      </c>
      <c r="B162" s="4" t="s">
        <v>321</v>
      </c>
      <c r="D162">
        <v>200</v>
      </c>
    </row>
    <row r="163" spans="1:4" x14ac:dyDescent="0.2">
      <c r="A163" s="5">
        <v>45369</v>
      </c>
      <c r="B163" s="4" t="s">
        <v>270</v>
      </c>
      <c r="C163">
        <v>200</v>
      </c>
    </row>
    <row r="164" spans="1:4" x14ac:dyDescent="0.2">
      <c r="A164" s="5">
        <v>45369</v>
      </c>
      <c r="B164" s="4" t="s">
        <v>103</v>
      </c>
      <c r="D164">
        <v>522</v>
      </c>
    </row>
    <row r="165" spans="1:4" x14ac:dyDescent="0.2">
      <c r="A165" s="2">
        <v>45369</v>
      </c>
      <c r="B165" s="4" t="s">
        <v>304</v>
      </c>
      <c r="D165">
        <v>500</v>
      </c>
    </row>
    <row r="166" spans="1:4" x14ac:dyDescent="0.2">
      <c r="A166" s="2">
        <v>45369</v>
      </c>
      <c r="B166" s="4" t="s">
        <v>299</v>
      </c>
      <c r="C166">
        <v>167</v>
      </c>
    </row>
    <row r="167" spans="1:4" x14ac:dyDescent="0.2">
      <c r="A167" s="2">
        <v>45370</v>
      </c>
      <c r="B167" s="4" t="s">
        <v>49</v>
      </c>
      <c r="D167">
        <v>500</v>
      </c>
    </row>
    <row r="168" spans="1:4" x14ac:dyDescent="0.2">
      <c r="A168" s="2">
        <v>45370</v>
      </c>
      <c r="B168" s="4" t="s">
        <v>82</v>
      </c>
      <c r="D168">
        <v>150</v>
      </c>
    </row>
    <row r="169" spans="1:4" x14ac:dyDescent="0.2">
      <c r="A169" s="2">
        <v>45370</v>
      </c>
      <c r="B169" s="4" t="s">
        <v>323</v>
      </c>
      <c r="D169">
        <v>35</v>
      </c>
    </row>
    <row r="170" spans="1:4" x14ac:dyDescent="0.2">
      <c r="A170" s="2">
        <v>45370</v>
      </c>
      <c r="B170" s="4" t="s">
        <v>205</v>
      </c>
      <c r="D170">
        <v>300</v>
      </c>
    </row>
    <row r="171" spans="1:4" x14ac:dyDescent="0.2">
      <c r="A171" s="2">
        <v>45370</v>
      </c>
      <c r="B171" s="4" t="s">
        <v>100</v>
      </c>
      <c r="D171">
        <v>40</v>
      </c>
    </row>
    <row r="172" spans="1:4" x14ac:dyDescent="0.2">
      <c r="A172" s="5">
        <v>45370</v>
      </c>
      <c r="B172" s="4" t="s">
        <v>324</v>
      </c>
      <c r="D172">
        <v>12</v>
      </c>
    </row>
    <row r="173" spans="1:4" x14ac:dyDescent="0.2">
      <c r="A173" s="5">
        <v>45370</v>
      </c>
      <c r="B173" s="4" t="s">
        <v>325</v>
      </c>
      <c r="D173">
        <v>40</v>
      </c>
    </row>
    <row r="174" spans="1:4" x14ac:dyDescent="0.2">
      <c r="A174" s="5">
        <v>45370</v>
      </c>
      <c r="B174" s="4" t="s">
        <v>299</v>
      </c>
      <c r="C174">
        <v>116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9EBC-DAFF-684C-A5FA-6BBE381D9CE9}">
  <dimension ref="A1:F163"/>
  <sheetViews>
    <sheetView topLeftCell="A147" workbookViewId="0">
      <selection activeCell="D168" sqref="D168"/>
    </sheetView>
  </sheetViews>
  <sheetFormatPr baseColWidth="10" defaultRowHeight="16" x14ac:dyDescent="0.2"/>
  <cols>
    <col min="2" max="2" width="29.6640625" customWidth="1"/>
    <col min="3" max="3" width="13.1640625" customWidth="1"/>
  </cols>
  <sheetData>
    <row r="1" spans="1:6" x14ac:dyDescent="0.2">
      <c r="A1" t="s">
        <v>21</v>
      </c>
    </row>
    <row r="2" spans="1:6" x14ac:dyDescent="0.2">
      <c r="C2" t="s">
        <v>45</v>
      </c>
      <c r="D2" t="s">
        <v>46</v>
      </c>
      <c r="E2" t="s">
        <v>47</v>
      </c>
    </row>
    <row r="3" spans="1:6" x14ac:dyDescent="0.2">
      <c r="B3" t="s">
        <v>16</v>
      </c>
      <c r="E3">
        <v>15</v>
      </c>
    </row>
    <row r="4" spans="1:6" x14ac:dyDescent="0.2">
      <c r="A4" s="1">
        <v>45294</v>
      </c>
      <c r="B4" t="s">
        <v>64</v>
      </c>
      <c r="C4">
        <v>50</v>
      </c>
      <c r="E4">
        <v>65</v>
      </c>
      <c r="F4" t="s">
        <v>65</v>
      </c>
    </row>
    <row r="5" spans="1:6" x14ac:dyDescent="0.2">
      <c r="A5" s="2">
        <v>45295</v>
      </c>
      <c r="B5" t="s">
        <v>70</v>
      </c>
      <c r="D5">
        <v>20</v>
      </c>
      <c r="E5">
        <f>E4+C5-D5</f>
        <v>45</v>
      </c>
    </row>
    <row r="6" spans="1:6" x14ac:dyDescent="0.2">
      <c r="A6" s="2">
        <v>45296</v>
      </c>
      <c r="B6" t="s">
        <v>86</v>
      </c>
      <c r="C6">
        <v>12</v>
      </c>
      <c r="E6">
        <f t="shared" ref="E6:E7" si="0">E5+C6-D6</f>
        <v>57</v>
      </c>
    </row>
    <row r="7" spans="1:6" x14ac:dyDescent="0.2">
      <c r="A7" s="2">
        <v>45296</v>
      </c>
      <c r="B7" t="s">
        <v>81</v>
      </c>
      <c r="C7">
        <v>18</v>
      </c>
      <c r="E7">
        <f t="shared" si="0"/>
        <v>75</v>
      </c>
    </row>
    <row r="8" spans="1:6" x14ac:dyDescent="0.2">
      <c r="A8" s="5">
        <v>45298</v>
      </c>
      <c r="B8" s="4" t="s">
        <v>222</v>
      </c>
      <c r="D8">
        <v>75</v>
      </c>
      <c r="E8">
        <v>0</v>
      </c>
    </row>
    <row r="9" spans="1:6" x14ac:dyDescent="0.2">
      <c r="A9" s="2">
        <v>45301</v>
      </c>
      <c r="B9" t="s">
        <v>78</v>
      </c>
      <c r="C9">
        <v>40</v>
      </c>
      <c r="E9">
        <v>40</v>
      </c>
    </row>
    <row r="10" spans="1:6" x14ac:dyDescent="0.2">
      <c r="A10" s="5">
        <v>45301</v>
      </c>
      <c r="B10" s="4" t="s">
        <v>143</v>
      </c>
      <c r="D10">
        <v>20</v>
      </c>
      <c r="E10">
        <f>E9+C10-D10</f>
        <v>20</v>
      </c>
    </row>
    <row r="11" spans="1:6" x14ac:dyDescent="0.2">
      <c r="A11" s="2">
        <v>45301</v>
      </c>
      <c r="B11" t="s">
        <v>147</v>
      </c>
      <c r="D11">
        <v>20</v>
      </c>
      <c r="E11">
        <f t="shared" ref="E11:E20" si="1">E10+C11-D11</f>
        <v>0</v>
      </c>
    </row>
    <row r="12" spans="1:6" x14ac:dyDescent="0.2">
      <c r="A12" s="2">
        <v>45301</v>
      </c>
      <c r="B12" s="4" t="s">
        <v>128</v>
      </c>
      <c r="C12">
        <v>22</v>
      </c>
      <c r="E12">
        <f t="shared" si="1"/>
        <v>22</v>
      </c>
    </row>
    <row r="13" spans="1:6" x14ac:dyDescent="0.2">
      <c r="A13" s="2">
        <v>45302</v>
      </c>
      <c r="B13" t="s">
        <v>222</v>
      </c>
      <c r="D13">
        <v>22</v>
      </c>
      <c r="E13">
        <f t="shared" si="1"/>
        <v>0</v>
      </c>
    </row>
    <row r="14" spans="1:6" x14ac:dyDescent="0.2">
      <c r="A14" s="2">
        <v>45303</v>
      </c>
      <c r="B14" t="s">
        <v>64</v>
      </c>
      <c r="C14">
        <v>105</v>
      </c>
      <c r="E14">
        <f t="shared" si="1"/>
        <v>105</v>
      </c>
    </row>
    <row r="15" spans="1:6" x14ac:dyDescent="0.2">
      <c r="A15" s="2">
        <v>45303</v>
      </c>
      <c r="B15" s="4" t="s">
        <v>143</v>
      </c>
      <c r="D15">
        <v>20</v>
      </c>
      <c r="E15">
        <f t="shared" si="1"/>
        <v>85</v>
      </c>
    </row>
    <row r="16" spans="1:6" x14ac:dyDescent="0.2">
      <c r="A16" s="2">
        <v>45303</v>
      </c>
      <c r="B16" s="4" t="s">
        <v>78</v>
      </c>
      <c r="C16">
        <v>45</v>
      </c>
      <c r="E16">
        <f t="shared" si="1"/>
        <v>130</v>
      </c>
    </row>
    <row r="17" spans="1:5" x14ac:dyDescent="0.2">
      <c r="A17" s="2">
        <v>45303</v>
      </c>
      <c r="B17" s="4" t="s">
        <v>140</v>
      </c>
      <c r="D17">
        <v>50</v>
      </c>
      <c r="E17">
        <f t="shared" si="1"/>
        <v>80</v>
      </c>
    </row>
    <row r="18" spans="1:5" x14ac:dyDescent="0.2">
      <c r="A18" s="2">
        <v>45304</v>
      </c>
      <c r="B18" t="s">
        <v>53</v>
      </c>
      <c r="D18">
        <v>14</v>
      </c>
      <c r="E18">
        <f t="shared" si="1"/>
        <v>66</v>
      </c>
    </row>
    <row r="19" spans="1:5" x14ac:dyDescent="0.2">
      <c r="A19" s="2">
        <v>45304</v>
      </c>
      <c r="B19" s="4" t="s">
        <v>140</v>
      </c>
      <c r="D19">
        <v>20</v>
      </c>
      <c r="E19">
        <f t="shared" si="1"/>
        <v>46</v>
      </c>
    </row>
    <row r="20" spans="1:5" x14ac:dyDescent="0.2">
      <c r="A20" s="2">
        <v>45305</v>
      </c>
      <c r="B20" t="s">
        <v>49</v>
      </c>
      <c r="D20">
        <v>40</v>
      </c>
      <c r="E20">
        <f t="shared" si="1"/>
        <v>6</v>
      </c>
    </row>
    <row r="21" spans="1:5" x14ac:dyDescent="0.2">
      <c r="A21" s="2">
        <v>45306</v>
      </c>
      <c r="B21" s="4" t="s">
        <v>140</v>
      </c>
      <c r="D21">
        <v>6</v>
      </c>
      <c r="E21">
        <v>0</v>
      </c>
    </row>
    <row r="22" spans="1:5" x14ac:dyDescent="0.2">
      <c r="A22" s="2">
        <v>45306</v>
      </c>
      <c r="B22" t="s">
        <v>178</v>
      </c>
      <c r="C22">
        <v>21</v>
      </c>
      <c r="E22">
        <v>21</v>
      </c>
    </row>
    <row r="23" spans="1:5" x14ac:dyDescent="0.2">
      <c r="A23" s="2">
        <v>45307</v>
      </c>
      <c r="B23" s="4" t="s">
        <v>181</v>
      </c>
      <c r="C23">
        <v>54</v>
      </c>
      <c r="E23">
        <f>E22+C23-D23</f>
        <v>75</v>
      </c>
    </row>
    <row r="24" spans="1:5" x14ac:dyDescent="0.2">
      <c r="A24" s="2">
        <v>45308</v>
      </c>
      <c r="B24" t="s">
        <v>140</v>
      </c>
      <c r="D24">
        <v>55</v>
      </c>
      <c r="E24">
        <f t="shared" ref="E24:E27" si="2">E23+C24-D24</f>
        <v>20</v>
      </c>
    </row>
    <row r="25" spans="1:5" x14ac:dyDescent="0.2">
      <c r="A25" s="2">
        <v>45308</v>
      </c>
      <c r="B25" s="4" t="s">
        <v>70</v>
      </c>
      <c r="D25">
        <v>20</v>
      </c>
      <c r="E25">
        <f t="shared" si="2"/>
        <v>0</v>
      </c>
    </row>
    <row r="26" spans="1:5" x14ac:dyDescent="0.2">
      <c r="A26" s="2">
        <v>45308</v>
      </c>
      <c r="B26" t="s">
        <v>168</v>
      </c>
      <c r="C26">
        <v>90</v>
      </c>
      <c r="E26">
        <f t="shared" si="2"/>
        <v>90</v>
      </c>
    </row>
    <row r="27" spans="1:5" x14ac:dyDescent="0.2">
      <c r="A27" s="2">
        <v>45308</v>
      </c>
      <c r="B27" s="4" t="s">
        <v>168</v>
      </c>
      <c r="C27">
        <v>59</v>
      </c>
      <c r="E27">
        <f t="shared" si="2"/>
        <v>149</v>
      </c>
    </row>
    <row r="28" spans="1:5" x14ac:dyDescent="0.2">
      <c r="A28" s="2">
        <v>45309</v>
      </c>
      <c r="B28" t="s">
        <v>191</v>
      </c>
      <c r="D28">
        <v>25</v>
      </c>
      <c r="E28">
        <f>E27+C28-D28</f>
        <v>124</v>
      </c>
    </row>
    <row r="29" spans="1:5" x14ac:dyDescent="0.2">
      <c r="A29" s="2">
        <v>45309</v>
      </c>
      <c r="B29" s="4" t="s">
        <v>140</v>
      </c>
      <c r="D29">
        <v>50</v>
      </c>
      <c r="E29">
        <f t="shared" ref="E29:E33" si="3">E28+C29-D29</f>
        <v>74</v>
      </c>
    </row>
    <row r="30" spans="1:5" x14ac:dyDescent="0.2">
      <c r="A30" s="2">
        <v>45309</v>
      </c>
      <c r="B30" t="s">
        <v>192</v>
      </c>
      <c r="D30">
        <v>20</v>
      </c>
      <c r="E30">
        <f t="shared" si="3"/>
        <v>54</v>
      </c>
    </row>
    <row r="31" spans="1:5" x14ac:dyDescent="0.2">
      <c r="A31" s="5">
        <v>45310</v>
      </c>
      <c r="B31" s="4" t="s">
        <v>202</v>
      </c>
      <c r="D31">
        <v>5</v>
      </c>
      <c r="E31">
        <f t="shared" si="3"/>
        <v>49</v>
      </c>
    </row>
    <row r="32" spans="1:5" x14ac:dyDescent="0.2">
      <c r="A32" s="5">
        <v>45310</v>
      </c>
      <c r="B32" s="4" t="s">
        <v>181</v>
      </c>
      <c r="C32">
        <v>27</v>
      </c>
      <c r="E32">
        <f t="shared" si="3"/>
        <v>76</v>
      </c>
    </row>
    <row r="33" spans="1:5" x14ac:dyDescent="0.2">
      <c r="A33" s="2">
        <v>45311</v>
      </c>
      <c r="B33" s="4" t="s">
        <v>206</v>
      </c>
      <c r="D33">
        <v>15</v>
      </c>
      <c r="E33">
        <f t="shared" si="3"/>
        <v>61</v>
      </c>
    </row>
    <row r="34" spans="1:5" x14ac:dyDescent="0.2">
      <c r="A34" s="2">
        <v>45311</v>
      </c>
      <c r="B34" s="4" t="s">
        <v>64</v>
      </c>
      <c r="C34">
        <v>8</v>
      </c>
      <c r="E34">
        <f>E33+C34-D34</f>
        <v>69</v>
      </c>
    </row>
    <row r="35" spans="1:5" x14ac:dyDescent="0.2">
      <c r="A35" s="2">
        <v>45311</v>
      </c>
      <c r="B35" s="4" t="s">
        <v>207</v>
      </c>
      <c r="C35">
        <v>8</v>
      </c>
      <c r="E35">
        <f>E34+C35-D35</f>
        <v>77</v>
      </c>
    </row>
    <row r="36" spans="1:5" x14ac:dyDescent="0.2">
      <c r="A36" s="2">
        <v>45313</v>
      </c>
      <c r="B36" s="4" t="s">
        <v>53</v>
      </c>
      <c r="D36">
        <v>50</v>
      </c>
      <c r="E36">
        <f t="shared" ref="E36" si="4">E35+C36-D36</f>
        <v>27</v>
      </c>
    </row>
    <row r="37" spans="1:5" x14ac:dyDescent="0.2">
      <c r="A37" s="5">
        <v>45313</v>
      </c>
      <c r="B37" s="4" t="s">
        <v>209</v>
      </c>
      <c r="C37">
        <v>10</v>
      </c>
      <c r="E37">
        <f>E36+C37-D37</f>
        <v>37</v>
      </c>
    </row>
    <row r="38" spans="1:5" x14ac:dyDescent="0.2">
      <c r="A38" s="2">
        <v>45314</v>
      </c>
      <c r="B38" s="4" t="s">
        <v>202</v>
      </c>
      <c r="C38">
        <v>5</v>
      </c>
      <c r="E38">
        <f t="shared" ref="E38:E41" si="5">E37+C38-D38</f>
        <v>42</v>
      </c>
    </row>
    <row r="39" spans="1:5" x14ac:dyDescent="0.2">
      <c r="A39" s="2">
        <v>45315</v>
      </c>
      <c r="B39" s="4" t="s">
        <v>216</v>
      </c>
      <c r="C39">
        <v>163</v>
      </c>
      <c r="E39">
        <f t="shared" si="5"/>
        <v>205</v>
      </c>
    </row>
    <row r="40" spans="1:5" x14ac:dyDescent="0.2">
      <c r="A40" s="2">
        <v>45315</v>
      </c>
      <c r="B40" t="s">
        <v>213</v>
      </c>
      <c r="C40">
        <v>32</v>
      </c>
      <c r="E40">
        <f t="shared" si="5"/>
        <v>237</v>
      </c>
    </row>
    <row r="41" spans="1:5" x14ac:dyDescent="0.2">
      <c r="A41" s="2">
        <v>45316</v>
      </c>
      <c r="B41" s="4" t="s">
        <v>135</v>
      </c>
      <c r="D41">
        <v>80</v>
      </c>
      <c r="E41">
        <f t="shared" si="5"/>
        <v>157</v>
      </c>
    </row>
    <row r="42" spans="1:5" x14ac:dyDescent="0.2">
      <c r="A42" s="2">
        <v>45316</v>
      </c>
      <c r="B42" s="4" t="s">
        <v>78</v>
      </c>
      <c r="C42">
        <v>10</v>
      </c>
      <c r="E42">
        <f>E41+C42-D42</f>
        <v>167</v>
      </c>
    </row>
    <row r="43" spans="1:5" x14ac:dyDescent="0.2">
      <c r="A43" s="2">
        <v>45317</v>
      </c>
      <c r="B43" t="s">
        <v>219</v>
      </c>
      <c r="D43">
        <v>10</v>
      </c>
      <c r="E43">
        <f t="shared" ref="E43:E52" si="6">E42+C43-D43</f>
        <v>157</v>
      </c>
    </row>
    <row r="44" spans="1:5" x14ac:dyDescent="0.2">
      <c r="A44" s="2">
        <v>45317</v>
      </c>
      <c r="B44" s="4" t="s">
        <v>216</v>
      </c>
      <c r="C44">
        <v>103</v>
      </c>
      <c r="E44">
        <f t="shared" si="6"/>
        <v>260</v>
      </c>
    </row>
    <row r="45" spans="1:5" x14ac:dyDescent="0.2">
      <c r="A45" s="2">
        <v>45317</v>
      </c>
      <c r="B45" s="4" t="s">
        <v>222</v>
      </c>
      <c r="D45">
        <v>13</v>
      </c>
      <c r="E45">
        <f t="shared" si="6"/>
        <v>247</v>
      </c>
    </row>
    <row r="46" spans="1:5" x14ac:dyDescent="0.2">
      <c r="A46" s="3">
        <v>45317</v>
      </c>
      <c r="B46" s="4" t="s">
        <v>131</v>
      </c>
      <c r="C46">
        <v>8</v>
      </c>
      <c r="E46">
        <f t="shared" si="6"/>
        <v>255</v>
      </c>
    </row>
    <row r="47" spans="1:5" x14ac:dyDescent="0.2">
      <c r="A47" s="2">
        <v>45318</v>
      </c>
      <c r="B47" s="4" t="s">
        <v>224</v>
      </c>
      <c r="D47">
        <v>20</v>
      </c>
      <c r="E47">
        <f t="shared" si="6"/>
        <v>235</v>
      </c>
    </row>
    <row r="48" spans="1:5" x14ac:dyDescent="0.2">
      <c r="A48" s="5">
        <v>45320</v>
      </c>
      <c r="B48" s="4" t="s">
        <v>82</v>
      </c>
      <c r="C48">
        <v>20</v>
      </c>
      <c r="E48">
        <f t="shared" si="6"/>
        <v>255</v>
      </c>
    </row>
    <row r="49" spans="1:5" x14ac:dyDescent="0.2">
      <c r="A49" s="5">
        <v>45320</v>
      </c>
      <c r="B49" s="4" t="s">
        <v>225</v>
      </c>
      <c r="D49">
        <v>20</v>
      </c>
      <c r="E49">
        <f t="shared" si="6"/>
        <v>235</v>
      </c>
    </row>
    <row r="50" spans="1:5" x14ac:dyDescent="0.2">
      <c r="A50" s="5">
        <v>45321</v>
      </c>
      <c r="B50" s="4" t="s">
        <v>227</v>
      </c>
      <c r="C50">
        <v>12</v>
      </c>
      <c r="E50">
        <f t="shared" si="6"/>
        <v>247</v>
      </c>
    </row>
    <row r="51" spans="1:5" x14ac:dyDescent="0.2">
      <c r="A51" s="2">
        <v>45321</v>
      </c>
      <c r="B51" t="s">
        <v>79</v>
      </c>
      <c r="C51">
        <v>120</v>
      </c>
      <c r="E51">
        <f t="shared" si="6"/>
        <v>367</v>
      </c>
    </row>
    <row r="52" spans="1:5" x14ac:dyDescent="0.2">
      <c r="A52" s="2">
        <v>45322</v>
      </c>
      <c r="B52" s="4" t="s">
        <v>191</v>
      </c>
      <c r="C52">
        <v>10</v>
      </c>
      <c r="E52">
        <f t="shared" si="6"/>
        <v>377</v>
      </c>
    </row>
    <row r="53" spans="1:5" x14ac:dyDescent="0.2">
      <c r="A53" s="2">
        <v>45322</v>
      </c>
      <c r="B53" s="4" t="s">
        <v>191</v>
      </c>
      <c r="C53">
        <v>5</v>
      </c>
      <c r="E53">
        <f>E52+C53-D53</f>
        <v>382</v>
      </c>
    </row>
    <row r="54" spans="1:5" x14ac:dyDescent="0.2">
      <c r="A54" s="2">
        <v>45323</v>
      </c>
      <c r="B54" s="4" t="s">
        <v>147</v>
      </c>
      <c r="D54">
        <v>25</v>
      </c>
      <c r="E54">
        <f t="shared" ref="E54:E64" si="7">E53+C54-D54</f>
        <v>357</v>
      </c>
    </row>
    <row r="55" spans="1:5" x14ac:dyDescent="0.2">
      <c r="A55" s="2">
        <v>45323</v>
      </c>
      <c r="B55" s="4" t="s">
        <v>103</v>
      </c>
      <c r="D55">
        <v>50</v>
      </c>
      <c r="E55">
        <f t="shared" si="7"/>
        <v>307</v>
      </c>
    </row>
    <row r="56" spans="1:5" x14ac:dyDescent="0.2">
      <c r="A56" s="2">
        <v>45323</v>
      </c>
      <c r="B56" s="4" t="s">
        <v>168</v>
      </c>
      <c r="C56">
        <v>96</v>
      </c>
      <c r="E56">
        <f t="shared" si="7"/>
        <v>403</v>
      </c>
    </row>
    <row r="57" spans="1:5" x14ac:dyDescent="0.2">
      <c r="A57" s="2">
        <v>45323</v>
      </c>
      <c r="B57" s="4" t="s">
        <v>229</v>
      </c>
      <c r="C57">
        <v>94</v>
      </c>
      <c r="E57">
        <f t="shared" si="7"/>
        <v>497</v>
      </c>
    </row>
    <row r="58" spans="1:5" x14ac:dyDescent="0.2">
      <c r="A58" s="5">
        <v>45323</v>
      </c>
      <c r="B58" s="4" t="s">
        <v>181</v>
      </c>
      <c r="C58">
        <v>28</v>
      </c>
      <c r="E58">
        <f t="shared" si="7"/>
        <v>525</v>
      </c>
    </row>
    <row r="59" spans="1:5" x14ac:dyDescent="0.2">
      <c r="A59" s="1">
        <v>45324</v>
      </c>
      <c r="B59" s="4" t="s">
        <v>103</v>
      </c>
      <c r="D59">
        <v>55</v>
      </c>
      <c r="E59">
        <f t="shared" si="7"/>
        <v>470</v>
      </c>
    </row>
    <row r="60" spans="1:5" x14ac:dyDescent="0.2">
      <c r="A60" s="1">
        <v>45324</v>
      </c>
      <c r="B60" s="4" t="s">
        <v>147</v>
      </c>
      <c r="D60">
        <v>55</v>
      </c>
      <c r="E60">
        <f t="shared" si="7"/>
        <v>415</v>
      </c>
    </row>
    <row r="61" spans="1:5" x14ac:dyDescent="0.2">
      <c r="A61" s="1">
        <v>45324</v>
      </c>
      <c r="B61" s="4" t="s">
        <v>231</v>
      </c>
      <c r="D61">
        <v>40</v>
      </c>
      <c r="E61">
        <f t="shared" si="7"/>
        <v>375</v>
      </c>
    </row>
    <row r="62" spans="1:5" x14ac:dyDescent="0.2">
      <c r="A62" s="2">
        <v>45325</v>
      </c>
      <c r="B62" s="4" t="s">
        <v>222</v>
      </c>
      <c r="D62">
        <v>50</v>
      </c>
      <c r="E62">
        <f t="shared" si="7"/>
        <v>325</v>
      </c>
    </row>
    <row r="63" spans="1:5" x14ac:dyDescent="0.2">
      <c r="A63" s="2">
        <v>45294</v>
      </c>
      <c r="B63" s="4" t="s">
        <v>191</v>
      </c>
      <c r="C63">
        <v>112</v>
      </c>
      <c r="E63">
        <f t="shared" si="7"/>
        <v>437</v>
      </c>
    </row>
    <row r="64" spans="1:5" x14ac:dyDescent="0.2">
      <c r="A64" s="2">
        <v>45294</v>
      </c>
      <c r="B64" s="4" t="s">
        <v>191</v>
      </c>
      <c r="C64">
        <v>61</v>
      </c>
      <c r="E64">
        <f t="shared" si="7"/>
        <v>498</v>
      </c>
    </row>
    <row r="65" spans="1:5" x14ac:dyDescent="0.2">
      <c r="A65" s="2">
        <v>45327</v>
      </c>
      <c r="B65" s="4" t="s">
        <v>103</v>
      </c>
      <c r="C65">
        <v>4</v>
      </c>
      <c r="E65">
        <f>E64+C65-D65</f>
        <v>502</v>
      </c>
    </row>
    <row r="66" spans="1:5" x14ac:dyDescent="0.2">
      <c r="A66" s="2">
        <v>45328</v>
      </c>
      <c r="B66" s="4" t="s">
        <v>222</v>
      </c>
      <c r="D66">
        <v>60</v>
      </c>
      <c r="E66">
        <f t="shared" ref="E66:E72" si="8">E65+C66-D66</f>
        <v>442</v>
      </c>
    </row>
    <row r="67" spans="1:5" x14ac:dyDescent="0.2">
      <c r="A67" s="2">
        <v>45328</v>
      </c>
      <c r="B67" s="4" t="s">
        <v>91</v>
      </c>
      <c r="D67">
        <v>30</v>
      </c>
      <c r="E67">
        <f t="shared" si="8"/>
        <v>412</v>
      </c>
    </row>
    <row r="68" spans="1:5" x14ac:dyDescent="0.2">
      <c r="A68" s="2">
        <v>45328</v>
      </c>
      <c r="B68" s="4" t="s">
        <v>246</v>
      </c>
      <c r="D68">
        <v>3</v>
      </c>
      <c r="E68">
        <f t="shared" si="8"/>
        <v>409</v>
      </c>
    </row>
    <row r="69" spans="1:5" x14ac:dyDescent="0.2">
      <c r="A69" s="2">
        <v>45328</v>
      </c>
      <c r="B69" s="4" t="s">
        <v>247</v>
      </c>
      <c r="C69">
        <v>3</v>
      </c>
      <c r="E69">
        <f t="shared" si="8"/>
        <v>412</v>
      </c>
    </row>
    <row r="70" spans="1:5" x14ac:dyDescent="0.2">
      <c r="A70" s="2">
        <v>45328</v>
      </c>
      <c r="B70" s="4" t="s">
        <v>209</v>
      </c>
      <c r="C70">
        <v>20</v>
      </c>
      <c r="E70">
        <f t="shared" si="8"/>
        <v>432</v>
      </c>
    </row>
    <row r="71" spans="1:5" x14ac:dyDescent="0.2">
      <c r="A71" s="2">
        <v>45328</v>
      </c>
      <c r="B71" s="4" t="s">
        <v>78</v>
      </c>
      <c r="C71">
        <v>50</v>
      </c>
      <c r="E71">
        <f t="shared" si="8"/>
        <v>482</v>
      </c>
    </row>
    <row r="72" spans="1:5" x14ac:dyDescent="0.2">
      <c r="A72" s="5">
        <v>45328</v>
      </c>
      <c r="B72" s="4" t="s">
        <v>81</v>
      </c>
      <c r="C72">
        <v>15</v>
      </c>
      <c r="E72">
        <f t="shared" si="8"/>
        <v>497</v>
      </c>
    </row>
    <row r="73" spans="1:5" x14ac:dyDescent="0.2">
      <c r="A73" s="2">
        <v>45328</v>
      </c>
      <c r="B73" s="4" t="s">
        <v>191</v>
      </c>
      <c r="C73">
        <v>66</v>
      </c>
      <c r="E73">
        <f>E72+C73-D73</f>
        <v>563</v>
      </c>
    </row>
    <row r="74" spans="1:5" x14ac:dyDescent="0.2">
      <c r="A74" s="2">
        <v>45329</v>
      </c>
      <c r="B74" s="4" t="s">
        <v>91</v>
      </c>
      <c r="D74">
        <v>110</v>
      </c>
      <c r="E74">
        <f t="shared" ref="E74:E79" si="9">E73+C74-D74</f>
        <v>453</v>
      </c>
    </row>
    <row r="75" spans="1:5" x14ac:dyDescent="0.2">
      <c r="A75" s="2">
        <v>45329</v>
      </c>
      <c r="B75" s="4" t="s">
        <v>140</v>
      </c>
      <c r="D75">
        <v>50</v>
      </c>
      <c r="E75">
        <f t="shared" si="9"/>
        <v>403</v>
      </c>
    </row>
    <row r="76" spans="1:5" x14ac:dyDescent="0.2">
      <c r="A76" s="2">
        <v>45329</v>
      </c>
      <c r="B76" s="4" t="s">
        <v>192</v>
      </c>
      <c r="C76">
        <v>15</v>
      </c>
      <c r="E76">
        <f t="shared" si="9"/>
        <v>418</v>
      </c>
    </row>
    <row r="77" spans="1:5" x14ac:dyDescent="0.2">
      <c r="A77" s="2">
        <v>45329</v>
      </c>
      <c r="B77" s="4" t="s">
        <v>222</v>
      </c>
      <c r="D77">
        <v>15</v>
      </c>
      <c r="E77">
        <f t="shared" si="9"/>
        <v>403</v>
      </c>
    </row>
    <row r="78" spans="1:5" x14ac:dyDescent="0.2">
      <c r="A78" s="2">
        <v>45329</v>
      </c>
      <c r="B78" s="4" t="s">
        <v>319</v>
      </c>
      <c r="C78">
        <v>42</v>
      </c>
      <c r="E78">
        <f t="shared" si="9"/>
        <v>445</v>
      </c>
    </row>
    <row r="79" spans="1:5" x14ac:dyDescent="0.2">
      <c r="A79" s="2">
        <v>45331</v>
      </c>
      <c r="B79" s="4" t="s">
        <v>91</v>
      </c>
      <c r="D79">
        <v>165</v>
      </c>
      <c r="E79">
        <f t="shared" si="9"/>
        <v>280</v>
      </c>
    </row>
    <row r="80" spans="1:5" x14ac:dyDescent="0.2">
      <c r="A80" s="2">
        <v>45331</v>
      </c>
      <c r="B80" s="4" t="s">
        <v>192</v>
      </c>
      <c r="C80">
        <v>10</v>
      </c>
      <c r="E80">
        <f>E79+C80-D80</f>
        <v>290</v>
      </c>
    </row>
    <row r="81" spans="1:5" x14ac:dyDescent="0.2">
      <c r="A81" s="2">
        <v>45331</v>
      </c>
      <c r="B81" s="4" t="s">
        <v>225</v>
      </c>
      <c r="D81">
        <v>10</v>
      </c>
      <c r="E81">
        <f t="shared" ref="E81:E85" si="10">E80+C81-D81</f>
        <v>280</v>
      </c>
    </row>
    <row r="82" spans="1:5" x14ac:dyDescent="0.2">
      <c r="A82" s="2">
        <v>45331</v>
      </c>
      <c r="B82" s="4" t="s">
        <v>229</v>
      </c>
      <c r="C82">
        <v>2</v>
      </c>
      <c r="E82">
        <f t="shared" si="10"/>
        <v>282</v>
      </c>
    </row>
    <row r="83" spans="1:5" x14ac:dyDescent="0.2">
      <c r="A83" s="2">
        <v>45331</v>
      </c>
      <c r="B83" s="4" t="s">
        <v>70</v>
      </c>
      <c r="C83">
        <v>23</v>
      </c>
      <c r="E83">
        <f t="shared" si="10"/>
        <v>305</v>
      </c>
    </row>
    <row r="84" spans="1:5" x14ac:dyDescent="0.2">
      <c r="A84" s="2">
        <v>45334</v>
      </c>
      <c r="B84" s="4" t="s">
        <v>216</v>
      </c>
      <c r="C84">
        <v>50</v>
      </c>
      <c r="E84">
        <f t="shared" si="10"/>
        <v>355</v>
      </c>
    </row>
    <row r="85" spans="1:5" x14ac:dyDescent="0.2">
      <c r="A85" s="2">
        <v>45334</v>
      </c>
      <c r="B85" s="4" t="s">
        <v>211</v>
      </c>
      <c r="C85">
        <v>34</v>
      </c>
      <c r="E85">
        <f t="shared" si="10"/>
        <v>389</v>
      </c>
    </row>
    <row r="86" spans="1:5" x14ac:dyDescent="0.2">
      <c r="A86" s="2">
        <v>45335</v>
      </c>
      <c r="B86" s="4" t="s">
        <v>78</v>
      </c>
      <c r="C86">
        <v>10</v>
      </c>
      <c r="E86">
        <f>E85+C86-D86</f>
        <v>399</v>
      </c>
    </row>
    <row r="87" spans="1:5" x14ac:dyDescent="0.2">
      <c r="A87" s="2">
        <v>45335</v>
      </c>
      <c r="B87" s="4" t="s">
        <v>213</v>
      </c>
      <c r="C87">
        <v>71</v>
      </c>
      <c r="E87">
        <f t="shared" ref="E87:E96" si="11">E86+C87-D87</f>
        <v>470</v>
      </c>
    </row>
    <row r="88" spans="1:5" x14ac:dyDescent="0.2">
      <c r="A88" s="2">
        <v>45335</v>
      </c>
      <c r="B88" s="4" t="s">
        <v>181</v>
      </c>
      <c r="C88">
        <v>53</v>
      </c>
      <c r="E88">
        <f t="shared" si="11"/>
        <v>523</v>
      </c>
    </row>
    <row r="89" spans="1:5" x14ac:dyDescent="0.2">
      <c r="A89" s="2">
        <v>45337</v>
      </c>
      <c r="B89" s="4" t="s">
        <v>148</v>
      </c>
      <c r="C89">
        <v>25</v>
      </c>
      <c r="E89">
        <f t="shared" si="11"/>
        <v>548</v>
      </c>
    </row>
    <row r="90" spans="1:5" x14ac:dyDescent="0.2">
      <c r="A90" s="2">
        <v>45338</v>
      </c>
      <c r="B90" s="4" t="s">
        <v>229</v>
      </c>
      <c r="C90">
        <v>40</v>
      </c>
      <c r="E90">
        <f t="shared" si="11"/>
        <v>588</v>
      </c>
    </row>
    <row r="91" spans="1:5" x14ac:dyDescent="0.2">
      <c r="A91" s="5">
        <v>45338</v>
      </c>
      <c r="B91" s="4" t="s">
        <v>192</v>
      </c>
      <c r="C91">
        <v>21</v>
      </c>
      <c r="E91">
        <f t="shared" si="11"/>
        <v>609</v>
      </c>
    </row>
    <row r="92" spans="1:5" x14ac:dyDescent="0.2">
      <c r="A92" s="2">
        <v>45338</v>
      </c>
      <c r="B92" s="4" t="s">
        <v>211</v>
      </c>
      <c r="C92">
        <v>25</v>
      </c>
      <c r="E92">
        <f t="shared" si="11"/>
        <v>634</v>
      </c>
    </row>
    <row r="93" spans="1:5" x14ac:dyDescent="0.2">
      <c r="A93" s="2">
        <v>45339</v>
      </c>
      <c r="B93" s="4" t="s">
        <v>179</v>
      </c>
      <c r="D93">
        <v>70</v>
      </c>
      <c r="E93">
        <f t="shared" si="11"/>
        <v>564</v>
      </c>
    </row>
    <row r="94" spans="1:5" x14ac:dyDescent="0.2">
      <c r="A94" s="2">
        <v>45339</v>
      </c>
      <c r="B94" s="4" t="s">
        <v>206</v>
      </c>
      <c r="C94">
        <v>24</v>
      </c>
      <c r="E94">
        <f t="shared" si="11"/>
        <v>588</v>
      </c>
    </row>
    <row r="95" spans="1:5" x14ac:dyDescent="0.2">
      <c r="A95" s="2">
        <v>45341</v>
      </c>
      <c r="B95" s="4" t="s">
        <v>266</v>
      </c>
      <c r="D95">
        <v>150</v>
      </c>
      <c r="E95">
        <f t="shared" si="11"/>
        <v>438</v>
      </c>
    </row>
    <row r="96" spans="1:5" x14ac:dyDescent="0.2">
      <c r="A96" s="2">
        <v>45342</v>
      </c>
      <c r="B96" s="4" t="s">
        <v>229</v>
      </c>
      <c r="C96">
        <v>29</v>
      </c>
      <c r="E96">
        <f t="shared" si="11"/>
        <v>467</v>
      </c>
    </row>
    <row r="97" spans="1:5" x14ac:dyDescent="0.2">
      <c r="A97" s="2">
        <v>45342</v>
      </c>
      <c r="B97" s="4" t="s">
        <v>181</v>
      </c>
      <c r="C97">
        <v>90</v>
      </c>
      <c r="E97">
        <f>E96+C97-D97</f>
        <v>557</v>
      </c>
    </row>
    <row r="98" spans="1:5" x14ac:dyDescent="0.2">
      <c r="A98" s="2">
        <v>45342</v>
      </c>
      <c r="B98" s="4" t="s">
        <v>70</v>
      </c>
      <c r="C98">
        <v>16</v>
      </c>
      <c r="E98">
        <f t="shared" ref="E98:E101" si="12">E97+C98-D98</f>
        <v>573</v>
      </c>
    </row>
    <row r="99" spans="1:5" x14ac:dyDescent="0.2">
      <c r="A99" s="5">
        <v>45343</v>
      </c>
      <c r="B99" s="4" t="s">
        <v>274</v>
      </c>
      <c r="D99">
        <v>40</v>
      </c>
      <c r="E99">
        <f t="shared" si="12"/>
        <v>533</v>
      </c>
    </row>
    <row r="100" spans="1:5" x14ac:dyDescent="0.2">
      <c r="A100" s="5">
        <v>45343</v>
      </c>
      <c r="B100" s="4" t="s">
        <v>274</v>
      </c>
      <c r="D100">
        <v>3</v>
      </c>
      <c r="E100">
        <f t="shared" si="12"/>
        <v>530</v>
      </c>
    </row>
    <row r="101" spans="1:5" x14ac:dyDescent="0.2">
      <c r="A101" s="5">
        <v>45343</v>
      </c>
      <c r="B101" s="4" t="s">
        <v>225</v>
      </c>
      <c r="D101">
        <v>130</v>
      </c>
      <c r="E101">
        <f t="shared" si="12"/>
        <v>400</v>
      </c>
    </row>
    <row r="102" spans="1:5" x14ac:dyDescent="0.2">
      <c r="A102" s="2">
        <v>45343</v>
      </c>
      <c r="B102" s="4" t="s">
        <v>266</v>
      </c>
      <c r="D102">
        <v>115</v>
      </c>
      <c r="E102">
        <f>E101+C102-D102</f>
        <v>285</v>
      </c>
    </row>
    <row r="103" spans="1:5" x14ac:dyDescent="0.2">
      <c r="A103" s="2">
        <v>45343</v>
      </c>
      <c r="B103" s="4" t="s">
        <v>227</v>
      </c>
      <c r="C103">
        <v>99</v>
      </c>
      <c r="E103">
        <f t="shared" ref="E103:E111" si="13">E102+C103-D103</f>
        <v>384</v>
      </c>
    </row>
    <row r="104" spans="1:5" x14ac:dyDescent="0.2">
      <c r="A104" s="5">
        <v>45343</v>
      </c>
      <c r="B104" s="4" t="s">
        <v>181</v>
      </c>
      <c r="C104">
        <v>46</v>
      </c>
      <c r="E104">
        <f t="shared" si="13"/>
        <v>430</v>
      </c>
    </row>
    <row r="105" spans="1:5" x14ac:dyDescent="0.2">
      <c r="A105" s="2">
        <v>45345</v>
      </c>
      <c r="B105" s="4" t="s">
        <v>205</v>
      </c>
      <c r="D105">
        <v>150</v>
      </c>
      <c r="E105">
        <f t="shared" si="13"/>
        <v>280</v>
      </c>
    </row>
    <row r="106" spans="1:5" x14ac:dyDescent="0.2">
      <c r="A106" s="2">
        <v>45345</v>
      </c>
      <c r="B106" s="4" t="s">
        <v>209</v>
      </c>
      <c r="C106">
        <v>25</v>
      </c>
      <c r="E106">
        <f t="shared" si="13"/>
        <v>305</v>
      </c>
    </row>
    <row r="107" spans="1:5" x14ac:dyDescent="0.2">
      <c r="A107" s="2">
        <v>45346</v>
      </c>
      <c r="B107" s="4" t="s">
        <v>129</v>
      </c>
      <c r="D107">
        <v>100</v>
      </c>
      <c r="E107">
        <f t="shared" si="13"/>
        <v>205</v>
      </c>
    </row>
    <row r="108" spans="1:5" x14ac:dyDescent="0.2">
      <c r="A108" s="2">
        <v>45346</v>
      </c>
      <c r="B108" s="4" t="s">
        <v>181</v>
      </c>
      <c r="C108">
        <v>124</v>
      </c>
      <c r="E108">
        <f t="shared" si="13"/>
        <v>329</v>
      </c>
    </row>
    <row r="109" spans="1:5" x14ac:dyDescent="0.2">
      <c r="A109" s="2">
        <v>45348</v>
      </c>
      <c r="B109" s="4" t="s">
        <v>168</v>
      </c>
      <c r="C109">
        <v>12</v>
      </c>
      <c r="E109">
        <f t="shared" si="13"/>
        <v>341</v>
      </c>
    </row>
    <row r="110" spans="1:5" x14ac:dyDescent="0.2">
      <c r="A110" s="2">
        <v>45348</v>
      </c>
      <c r="B110" s="4" t="s">
        <v>225</v>
      </c>
      <c r="D110">
        <v>10</v>
      </c>
      <c r="E110">
        <f t="shared" si="13"/>
        <v>331</v>
      </c>
    </row>
    <row r="111" spans="1:5" x14ac:dyDescent="0.2">
      <c r="A111" s="2">
        <v>45348</v>
      </c>
      <c r="B111" s="4" t="s">
        <v>229</v>
      </c>
      <c r="C111">
        <v>20</v>
      </c>
      <c r="E111">
        <f t="shared" si="13"/>
        <v>351</v>
      </c>
    </row>
    <row r="112" spans="1:5" x14ac:dyDescent="0.2">
      <c r="A112" s="2">
        <v>45349</v>
      </c>
      <c r="B112" s="4" t="s">
        <v>179</v>
      </c>
      <c r="D112">
        <v>110</v>
      </c>
      <c r="E112">
        <f>E111+C112-D112</f>
        <v>241</v>
      </c>
    </row>
    <row r="113" spans="1:5" x14ac:dyDescent="0.2">
      <c r="A113" s="5">
        <v>45349</v>
      </c>
      <c r="B113" s="4" t="s">
        <v>288</v>
      </c>
      <c r="D113">
        <v>15</v>
      </c>
      <c r="E113">
        <f t="shared" ref="E113:E121" si="14">E112+C113-D113</f>
        <v>226</v>
      </c>
    </row>
    <row r="114" spans="1:5" x14ac:dyDescent="0.2">
      <c r="A114" s="2">
        <v>45349</v>
      </c>
      <c r="B114" s="4" t="s">
        <v>227</v>
      </c>
      <c r="C114">
        <v>61</v>
      </c>
      <c r="E114">
        <f t="shared" si="14"/>
        <v>287</v>
      </c>
    </row>
    <row r="115" spans="1:5" x14ac:dyDescent="0.2">
      <c r="A115" s="2">
        <v>45349</v>
      </c>
      <c r="B115" s="4" t="s">
        <v>211</v>
      </c>
      <c r="C115">
        <v>75</v>
      </c>
      <c r="E115">
        <f t="shared" si="14"/>
        <v>362</v>
      </c>
    </row>
    <row r="116" spans="1:5" x14ac:dyDescent="0.2">
      <c r="A116" s="2">
        <v>45349</v>
      </c>
      <c r="B116" s="4" t="s">
        <v>211</v>
      </c>
      <c r="C116">
        <v>25</v>
      </c>
      <c r="E116">
        <f t="shared" si="14"/>
        <v>387</v>
      </c>
    </row>
    <row r="117" spans="1:5" x14ac:dyDescent="0.2">
      <c r="A117" s="2">
        <v>45350</v>
      </c>
      <c r="B117" s="4" t="s">
        <v>205</v>
      </c>
      <c r="D117">
        <v>50</v>
      </c>
      <c r="E117">
        <f t="shared" si="14"/>
        <v>337</v>
      </c>
    </row>
    <row r="118" spans="1:5" x14ac:dyDescent="0.2">
      <c r="A118" s="2">
        <v>45350</v>
      </c>
      <c r="B118" s="4" t="s">
        <v>79</v>
      </c>
      <c r="C118">
        <v>56</v>
      </c>
      <c r="E118">
        <f t="shared" si="14"/>
        <v>393</v>
      </c>
    </row>
    <row r="119" spans="1:5" x14ac:dyDescent="0.2">
      <c r="A119" s="2">
        <v>45350</v>
      </c>
      <c r="B119" s="4" t="s">
        <v>79</v>
      </c>
      <c r="C119">
        <v>17</v>
      </c>
      <c r="E119">
        <f t="shared" si="14"/>
        <v>410</v>
      </c>
    </row>
    <row r="120" spans="1:5" x14ac:dyDescent="0.2">
      <c r="A120" s="2">
        <v>45350</v>
      </c>
      <c r="B120" s="4" t="s">
        <v>211</v>
      </c>
      <c r="C120">
        <v>13</v>
      </c>
      <c r="E120">
        <f t="shared" si="14"/>
        <v>423</v>
      </c>
    </row>
    <row r="121" spans="1:5" x14ac:dyDescent="0.2">
      <c r="A121" s="2">
        <v>45350</v>
      </c>
      <c r="B121" s="4" t="s">
        <v>209</v>
      </c>
      <c r="C121">
        <v>35</v>
      </c>
      <c r="E121">
        <f t="shared" si="14"/>
        <v>458</v>
      </c>
    </row>
    <row r="122" spans="1:5" x14ac:dyDescent="0.2">
      <c r="A122" s="5">
        <v>45350</v>
      </c>
      <c r="B122" s="4" t="s">
        <v>168</v>
      </c>
      <c r="C122">
        <v>62</v>
      </c>
      <c r="E122">
        <f>E121+C122-D122</f>
        <v>520</v>
      </c>
    </row>
    <row r="123" spans="1:5" x14ac:dyDescent="0.2">
      <c r="A123" s="2">
        <v>45351</v>
      </c>
      <c r="B123" s="4" t="s">
        <v>266</v>
      </c>
      <c r="D123">
        <v>30</v>
      </c>
      <c r="E123">
        <f t="shared" ref="E123:E128" si="15">E122+C123-D123</f>
        <v>490</v>
      </c>
    </row>
    <row r="124" spans="1:5" x14ac:dyDescent="0.2">
      <c r="A124" s="2">
        <v>45351</v>
      </c>
      <c r="B124" s="4" t="s">
        <v>103</v>
      </c>
      <c r="D124">
        <v>100</v>
      </c>
      <c r="E124">
        <f t="shared" si="15"/>
        <v>390</v>
      </c>
    </row>
    <row r="125" spans="1:5" x14ac:dyDescent="0.2">
      <c r="A125" s="2">
        <v>45351</v>
      </c>
      <c r="B125" s="4" t="s">
        <v>79</v>
      </c>
      <c r="C125">
        <v>31</v>
      </c>
      <c r="E125">
        <f t="shared" si="15"/>
        <v>421</v>
      </c>
    </row>
    <row r="126" spans="1:5" x14ac:dyDescent="0.2">
      <c r="A126" s="2">
        <v>45351</v>
      </c>
      <c r="B126" s="4" t="s">
        <v>79</v>
      </c>
      <c r="C126">
        <v>28</v>
      </c>
      <c r="E126">
        <f t="shared" si="15"/>
        <v>449</v>
      </c>
    </row>
    <row r="127" spans="1:5" x14ac:dyDescent="0.2">
      <c r="A127" s="2">
        <v>45352</v>
      </c>
      <c r="B127" s="4" t="s">
        <v>307</v>
      </c>
      <c r="D127">
        <v>2</v>
      </c>
      <c r="E127">
        <f t="shared" si="15"/>
        <v>447</v>
      </c>
    </row>
    <row r="128" spans="1:5" x14ac:dyDescent="0.2">
      <c r="A128" s="2">
        <v>45352</v>
      </c>
      <c r="B128" s="4" t="s">
        <v>300</v>
      </c>
      <c r="C128">
        <v>80</v>
      </c>
      <c r="E128">
        <f t="shared" si="15"/>
        <v>527</v>
      </c>
    </row>
    <row r="129" spans="1:5" x14ac:dyDescent="0.2">
      <c r="A129" s="5">
        <v>45352</v>
      </c>
      <c r="B129" s="4" t="s">
        <v>79</v>
      </c>
      <c r="C129">
        <v>84</v>
      </c>
      <c r="E129">
        <f>E128+C129-D129</f>
        <v>611</v>
      </c>
    </row>
    <row r="130" spans="1:5" x14ac:dyDescent="0.2">
      <c r="A130" s="2">
        <v>45352</v>
      </c>
      <c r="B130" s="4" t="s">
        <v>180</v>
      </c>
      <c r="C130">
        <v>180</v>
      </c>
      <c r="E130">
        <f t="shared" ref="E130:E139" si="16">E129+C130-D130</f>
        <v>791</v>
      </c>
    </row>
    <row r="131" spans="1:5" x14ac:dyDescent="0.2">
      <c r="A131" s="2">
        <v>45353</v>
      </c>
      <c r="B131" s="4" t="s">
        <v>225</v>
      </c>
      <c r="D131">
        <v>35</v>
      </c>
      <c r="E131">
        <f t="shared" si="16"/>
        <v>756</v>
      </c>
    </row>
    <row r="132" spans="1:5" x14ac:dyDescent="0.2">
      <c r="A132" s="2">
        <v>45353</v>
      </c>
      <c r="B132" s="4" t="s">
        <v>222</v>
      </c>
      <c r="D132">
        <v>50</v>
      </c>
      <c r="E132">
        <f t="shared" si="16"/>
        <v>706</v>
      </c>
    </row>
    <row r="133" spans="1:5" x14ac:dyDescent="0.2">
      <c r="A133" s="2">
        <v>45355</v>
      </c>
      <c r="B133" s="4" t="s">
        <v>82</v>
      </c>
      <c r="D133">
        <v>160</v>
      </c>
      <c r="E133">
        <f t="shared" si="16"/>
        <v>546</v>
      </c>
    </row>
    <row r="134" spans="1:5" x14ac:dyDescent="0.2">
      <c r="A134" s="5">
        <v>45355</v>
      </c>
      <c r="B134" s="4" t="s">
        <v>140</v>
      </c>
      <c r="D134">
        <v>60</v>
      </c>
      <c r="E134">
        <f t="shared" si="16"/>
        <v>486</v>
      </c>
    </row>
    <row r="135" spans="1:5" x14ac:dyDescent="0.2">
      <c r="A135" s="2">
        <v>45355</v>
      </c>
      <c r="B135" s="4" t="s">
        <v>211</v>
      </c>
      <c r="C135">
        <v>25</v>
      </c>
      <c r="E135">
        <f t="shared" si="16"/>
        <v>511</v>
      </c>
    </row>
    <row r="136" spans="1:5" x14ac:dyDescent="0.2">
      <c r="A136" s="2">
        <v>45356</v>
      </c>
      <c r="B136" s="4" t="s">
        <v>82</v>
      </c>
      <c r="D136">
        <v>200</v>
      </c>
      <c r="E136">
        <f t="shared" si="16"/>
        <v>311</v>
      </c>
    </row>
    <row r="137" spans="1:5" x14ac:dyDescent="0.2">
      <c r="A137" s="2">
        <v>45356</v>
      </c>
      <c r="B137" s="4" t="s">
        <v>79</v>
      </c>
      <c r="C137">
        <v>17</v>
      </c>
      <c r="E137">
        <f t="shared" si="16"/>
        <v>328</v>
      </c>
    </row>
    <row r="138" spans="1:5" x14ac:dyDescent="0.2">
      <c r="A138" s="2">
        <v>45357</v>
      </c>
      <c r="B138" s="4" t="s">
        <v>82</v>
      </c>
      <c r="D138">
        <v>265</v>
      </c>
      <c r="E138">
        <f t="shared" si="16"/>
        <v>63</v>
      </c>
    </row>
    <row r="139" spans="1:5" x14ac:dyDescent="0.2">
      <c r="A139" s="2">
        <v>45357</v>
      </c>
      <c r="B139" s="4" t="s">
        <v>216</v>
      </c>
      <c r="C139">
        <v>38</v>
      </c>
      <c r="E139">
        <f t="shared" si="16"/>
        <v>101</v>
      </c>
    </row>
    <row r="140" spans="1:5" x14ac:dyDescent="0.2">
      <c r="A140" s="2">
        <v>45357</v>
      </c>
      <c r="B140" s="4" t="s">
        <v>181</v>
      </c>
      <c r="C140">
        <v>101</v>
      </c>
      <c r="E140">
        <f>E139+C140-D140</f>
        <v>202</v>
      </c>
    </row>
    <row r="141" spans="1:5" x14ac:dyDescent="0.2">
      <c r="A141" s="2">
        <v>45358</v>
      </c>
      <c r="B141" s="4" t="s">
        <v>135</v>
      </c>
      <c r="D141">
        <v>60</v>
      </c>
      <c r="E141">
        <f t="shared" ref="E141:E148" si="17">E140+C141-D141</f>
        <v>142</v>
      </c>
    </row>
    <row r="142" spans="1:5" x14ac:dyDescent="0.2">
      <c r="A142" s="2">
        <v>45358</v>
      </c>
      <c r="B142" s="4" t="s">
        <v>79</v>
      </c>
      <c r="C142">
        <v>90</v>
      </c>
      <c r="E142">
        <f t="shared" si="17"/>
        <v>232</v>
      </c>
    </row>
    <row r="143" spans="1:5" x14ac:dyDescent="0.2">
      <c r="A143" s="2">
        <v>45359</v>
      </c>
      <c r="B143" s="4" t="s">
        <v>307</v>
      </c>
      <c r="C143">
        <v>2</v>
      </c>
      <c r="E143">
        <f t="shared" si="17"/>
        <v>234</v>
      </c>
    </row>
    <row r="144" spans="1:5" x14ac:dyDescent="0.2">
      <c r="A144" s="2">
        <v>45360</v>
      </c>
      <c r="B144" s="4" t="s">
        <v>205</v>
      </c>
      <c r="D144">
        <v>30</v>
      </c>
      <c r="E144">
        <f t="shared" si="17"/>
        <v>204</v>
      </c>
    </row>
    <row r="145" spans="1:5" x14ac:dyDescent="0.2">
      <c r="A145" s="2">
        <v>45364</v>
      </c>
      <c r="B145" s="4" t="s">
        <v>205</v>
      </c>
      <c r="D145">
        <v>200</v>
      </c>
      <c r="E145">
        <f t="shared" si="17"/>
        <v>4</v>
      </c>
    </row>
    <row r="146" spans="1:5" x14ac:dyDescent="0.2">
      <c r="A146" s="5">
        <v>45364</v>
      </c>
      <c r="B146" s="4" t="s">
        <v>274</v>
      </c>
      <c r="C146">
        <v>6</v>
      </c>
      <c r="E146">
        <f t="shared" si="17"/>
        <v>10</v>
      </c>
    </row>
    <row r="147" spans="1:5" x14ac:dyDescent="0.2">
      <c r="A147" s="2">
        <v>45365</v>
      </c>
      <c r="B147" s="4" t="s">
        <v>216</v>
      </c>
      <c r="C147">
        <v>28</v>
      </c>
      <c r="E147">
        <f t="shared" si="17"/>
        <v>38</v>
      </c>
    </row>
    <row r="148" spans="1:5" x14ac:dyDescent="0.2">
      <c r="A148" s="5">
        <v>45365</v>
      </c>
      <c r="B148" s="4" t="s">
        <v>211</v>
      </c>
      <c r="C148">
        <v>39</v>
      </c>
      <c r="E148">
        <f t="shared" si="17"/>
        <v>77</v>
      </c>
    </row>
    <row r="149" spans="1:5" x14ac:dyDescent="0.2">
      <c r="A149" s="5">
        <v>45365</v>
      </c>
      <c r="B149" s="4" t="s">
        <v>211</v>
      </c>
      <c r="C149">
        <v>16</v>
      </c>
    </row>
    <row r="150" spans="1:5" x14ac:dyDescent="0.2">
      <c r="A150" s="5">
        <v>45365</v>
      </c>
      <c r="B150" s="4" t="s">
        <v>70</v>
      </c>
      <c r="C150">
        <v>68</v>
      </c>
    </row>
    <row r="151" spans="1:5" x14ac:dyDescent="0.2">
      <c r="A151" s="2">
        <v>45365</v>
      </c>
      <c r="B151" s="4" t="s">
        <v>180</v>
      </c>
      <c r="C151">
        <v>20</v>
      </c>
    </row>
    <row r="152" spans="1:5" x14ac:dyDescent="0.2">
      <c r="A152" s="2">
        <v>45366</v>
      </c>
      <c r="B152" s="4" t="s">
        <v>82</v>
      </c>
      <c r="D152">
        <v>30</v>
      </c>
    </row>
    <row r="153" spans="1:5" x14ac:dyDescent="0.2">
      <c r="A153" s="2">
        <v>45366</v>
      </c>
      <c r="B153" s="4" t="s">
        <v>168</v>
      </c>
      <c r="C153">
        <v>10</v>
      </c>
    </row>
    <row r="154" spans="1:5" x14ac:dyDescent="0.2">
      <c r="A154" s="2">
        <v>45366</v>
      </c>
      <c r="B154" s="4" t="s">
        <v>181</v>
      </c>
      <c r="C154">
        <v>84</v>
      </c>
    </row>
    <row r="155" spans="1:5" x14ac:dyDescent="0.2">
      <c r="A155" s="2">
        <v>45367</v>
      </c>
      <c r="B155" s="4" t="s">
        <v>82</v>
      </c>
      <c r="D155">
        <v>100</v>
      </c>
    </row>
    <row r="156" spans="1:5" x14ac:dyDescent="0.2">
      <c r="A156" s="2">
        <v>45369</v>
      </c>
      <c r="B156" s="4" t="s">
        <v>299</v>
      </c>
      <c r="C156">
        <v>29</v>
      </c>
    </row>
    <row r="157" spans="1:5" x14ac:dyDescent="0.2">
      <c r="A157" s="2">
        <v>45370</v>
      </c>
      <c r="B157" s="4" t="s">
        <v>49</v>
      </c>
      <c r="D157">
        <v>30</v>
      </c>
    </row>
    <row r="158" spans="1:5" x14ac:dyDescent="0.2">
      <c r="A158" s="2">
        <v>45370</v>
      </c>
      <c r="B158" s="4" t="s">
        <v>82</v>
      </c>
      <c r="D158">
        <v>70</v>
      </c>
    </row>
    <row r="159" spans="1:5" x14ac:dyDescent="0.2">
      <c r="A159" s="2">
        <v>45370</v>
      </c>
      <c r="B159" s="4" t="s">
        <v>323</v>
      </c>
      <c r="D159">
        <v>15</v>
      </c>
    </row>
    <row r="160" spans="1:5" x14ac:dyDescent="0.2">
      <c r="A160" s="5">
        <v>45370</v>
      </c>
      <c r="B160" s="4" t="s">
        <v>324</v>
      </c>
      <c r="D160">
        <v>3</v>
      </c>
    </row>
    <row r="161" spans="1:4" x14ac:dyDescent="0.2">
      <c r="A161" s="5">
        <v>45370</v>
      </c>
      <c r="B161" s="4" t="s">
        <v>325</v>
      </c>
      <c r="D161">
        <v>4</v>
      </c>
    </row>
    <row r="162" spans="1:4" x14ac:dyDescent="0.2">
      <c r="A162" s="5">
        <v>45370</v>
      </c>
      <c r="B162" s="4" t="s">
        <v>299</v>
      </c>
      <c r="C162">
        <v>4</v>
      </c>
    </row>
    <row r="163" spans="1:4" x14ac:dyDescent="0.2">
      <c r="A163" s="5">
        <v>45370</v>
      </c>
      <c r="B163" s="4" t="s">
        <v>70</v>
      </c>
      <c r="C163">
        <v>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3C53-B25E-244D-B66B-760CE102240C}">
  <dimension ref="A1:E7"/>
  <sheetViews>
    <sheetView workbookViewId="0">
      <selection activeCell="E11" sqref="E11"/>
    </sheetView>
  </sheetViews>
  <sheetFormatPr baseColWidth="10" defaultRowHeight="16" x14ac:dyDescent="0.2"/>
  <cols>
    <col min="2" max="2" width="23" customWidth="1"/>
  </cols>
  <sheetData>
    <row r="1" spans="1:5" x14ac:dyDescent="0.2">
      <c r="A1" t="s">
        <v>22</v>
      </c>
    </row>
    <row r="3" spans="1:5" x14ac:dyDescent="0.2">
      <c r="B3" t="s">
        <v>16</v>
      </c>
      <c r="E3">
        <v>97</v>
      </c>
    </row>
    <row r="4" spans="1:5" x14ac:dyDescent="0.2">
      <c r="A4" s="1">
        <v>45299</v>
      </c>
      <c r="B4" t="s">
        <v>130</v>
      </c>
      <c r="D4">
        <v>40</v>
      </c>
      <c r="E4">
        <v>57</v>
      </c>
    </row>
    <row r="5" spans="1:5" x14ac:dyDescent="0.2">
      <c r="A5" s="2">
        <v>45345</v>
      </c>
      <c r="B5" t="s">
        <v>130</v>
      </c>
      <c r="C5">
        <v>26</v>
      </c>
    </row>
    <row r="6" spans="1:5" x14ac:dyDescent="0.2">
      <c r="A6" s="2">
        <v>45355</v>
      </c>
      <c r="B6" t="s">
        <v>130</v>
      </c>
      <c r="C6">
        <v>5</v>
      </c>
    </row>
    <row r="7" spans="1:5" x14ac:dyDescent="0.2">
      <c r="A7" s="2">
        <v>45359</v>
      </c>
      <c r="B7" t="s">
        <v>130</v>
      </c>
      <c r="C7">
        <v>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1968-CB50-834D-9148-46788054330B}">
  <dimension ref="A1:E5"/>
  <sheetViews>
    <sheetView workbookViewId="0">
      <selection activeCell="D6" sqref="D6"/>
    </sheetView>
  </sheetViews>
  <sheetFormatPr baseColWidth="10" defaultRowHeight="16" x14ac:dyDescent="0.2"/>
  <cols>
    <col min="2" max="2" width="24" customWidth="1"/>
  </cols>
  <sheetData>
    <row r="1" spans="1:5" x14ac:dyDescent="0.2">
      <c r="A1" t="s">
        <v>23</v>
      </c>
    </row>
    <row r="3" spans="1:5" x14ac:dyDescent="0.2">
      <c r="B3" t="s">
        <v>16</v>
      </c>
      <c r="E3">
        <v>0</v>
      </c>
    </row>
    <row r="4" spans="1:5" x14ac:dyDescent="0.2">
      <c r="A4" s="5">
        <v>45322</v>
      </c>
      <c r="B4" s="4" t="s">
        <v>216</v>
      </c>
      <c r="C4">
        <v>29</v>
      </c>
    </row>
    <row r="5" spans="1:5" x14ac:dyDescent="0.2">
      <c r="A5" s="2">
        <v>45359</v>
      </c>
      <c r="B5" t="s">
        <v>222</v>
      </c>
      <c r="D5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FA61-2465-5544-B29D-22945CAA6528}">
  <dimension ref="A1:E34"/>
  <sheetViews>
    <sheetView topLeftCell="A20" workbookViewId="0">
      <selection activeCell="E38" sqref="E38"/>
    </sheetView>
  </sheetViews>
  <sheetFormatPr baseColWidth="10" defaultRowHeight="16" x14ac:dyDescent="0.2"/>
  <cols>
    <col min="2" max="2" width="33.33203125" customWidth="1"/>
  </cols>
  <sheetData>
    <row r="1" spans="1:5" x14ac:dyDescent="0.2">
      <c r="A1" t="s">
        <v>24</v>
      </c>
    </row>
    <row r="2" spans="1:5" x14ac:dyDescent="0.2">
      <c r="C2" t="s">
        <v>45</v>
      </c>
      <c r="D2" t="s">
        <v>46</v>
      </c>
      <c r="E2" t="s">
        <v>47</v>
      </c>
    </row>
    <row r="3" spans="1:5" x14ac:dyDescent="0.2">
      <c r="B3" t="s">
        <v>16</v>
      </c>
      <c r="E3">
        <v>192</v>
      </c>
    </row>
    <row r="4" spans="1:5" x14ac:dyDescent="0.2">
      <c r="A4" s="1">
        <v>45294</v>
      </c>
      <c r="B4" t="s">
        <v>60</v>
      </c>
      <c r="D4">
        <v>60</v>
      </c>
      <c r="E4">
        <f>E3+C4-D4</f>
        <v>132</v>
      </c>
    </row>
    <row r="5" spans="1:5" x14ac:dyDescent="0.2">
      <c r="A5" s="2">
        <v>45295</v>
      </c>
      <c r="B5" t="s">
        <v>70</v>
      </c>
      <c r="D5">
        <v>33</v>
      </c>
      <c r="E5">
        <f t="shared" ref="E5:E7" si="0">E4+C5-D5</f>
        <v>99</v>
      </c>
    </row>
    <row r="6" spans="1:5" x14ac:dyDescent="0.2">
      <c r="A6" s="2">
        <v>45296</v>
      </c>
      <c r="B6" t="s">
        <v>81</v>
      </c>
      <c r="C6">
        <v>10</v>
      </c>
      <c r="E6">
        <f t="shared" si="0"/>
        <v>109</v>
      </c>
    </row>
    <row r="7" spans="1:5" x14ac:dyDescent="0.2">
      <c r="A7" s="5">
        <v>45301</v>
      </c>
      <c r="B7" s="4" t="s">
        <v>143</v>
      </c>
      <c r="D7">
        <v>10</v>
      </c>
      <c r="E7">
        <f t="shared" si="0"/>
        <v>99</v>
      </c>
    </row>
    <row r="8" spans="1:5" x14ac:dyDescent="0.2">
      <c r="A8" s="2">
        <v>45308</v>
      </c>
      <c r="B8" t="s">
        <v>168</v>
      </c>
      <c r="C8">
        <v>16</v>
      </c>
      <c r="E8">
        <f>E7+C8-D8</f>
        <v>115</v>
      </c>
    </row>
    <row r="9" spans="1:5" x14ac:dyDescent="0.2">
      <c r="A9" s="2">
        <v>45311</v>
      </c>
      <c r="B9" t="s">
        <v>207</v>
      </c>
      <c r="C9">
        <v>1</v>
      </c>
      <c r="E9">
        <f t="shared" ref="E9:E24" si="1">E8+C9-D9</f>
        <v>116</v>
      </c>
    </row>
    <row r="10" spans="1:5" x14ac:dyDescent="0.2">
      <c r="A10" s="2">
        <v>45323</v>
      </c>
      <c r="B10" t="s">
        <v>168</v>
      </c>
      <c r="C10">
        <v>23</v>
      </c>
      <c r="E10">
        <f t="shared" si="1"/>
        <v>139</v>
      </c>
    </row>
    <row r="11" spans="1:5" x14ac:dyDescent="0.2">
      <c r="A11" s="5">
        <v>45328</v>
      </c>
      <c r="B11" s="4" t="s">
        <v>81</v>
      </c>
      <c r="C11">
        <v>4</v>
      </c>
      <c r="E11">
        <f t="shared" si="1"/>
        <v>143</v>
      </c>
    </row>
    <row r="12" spans="1:5" x14ac:dyDescent="0.2">
      <c r="A12" s="2">
        <v>45335</v>
      </c>
      <c r="B12" t="s">
        <v>70</v>
      </c>
      <c r="C12">
        <v>35</v>
      </c>
      <c r="E12">
        <f t="shared" si="1"/>
        <v>178</v>
      </c>
    </row>
    <row r="13" spans="1:5" x14ac:dyDescent="0.2">
      <c r="A13" s="2">
        <v>45335</v>
      </c>
      <c r="B13" t="s">
        <v>70</v>
      </c>
      <c r="C13">
        <v>1</v>
      </c>
      <c r="E13">
        <f t="shared" si="1"/>
        <v>179</v>
      </c>
    </row>
    <row r="14" spans="1:5" x14ac:dyDescent="0.2">
      <c r="A14" s="2">
        <v>45335</v>
      </c>
      <c r="B14" t="s">
        <v>255</v>
      </c>
      <c r="C14">
        <v>6</v>
      </c>
      <c r="E14">
        <f t="shared" si="1"/>
        <v>185</v>
      </c>
    </row>
    <row r="15" spans="1:5" x14ac:dyDescent="0.2">
      <c r="A15" s="2">
        <v>45337</v>
      </c>
      <c r="B15" t="s">
        <v>70</v>
      </c>
      <c r="C15">
        <v>40</v>
      </c>
      <c r="E15">
        <f t="shared" si="1"/>
        <v>225</v>
      </c>
    </row>
    <row r="16" spans="1:5" x14ac:dyDescent="0.2">
      <c r="A16" s="2">
        <v>45339</v>
      </c>
      <c r="B16" t="s">
        <v>206</v>
      </c>
      <c r="C16">
        <v>18</v>
      </c>
      <c r="E16">
        <f t="shared" si="1"/>
        <v>243</v>
      </c>
    </row>
    <row r="17" spans="1:5" x14ac:dyDescent="0.2">
      <c r="A17" s="2">
        <v>45342</v>
      </c>
      <c r="B17" t="s">
        <v>181</v>
      </c>
      <c r="C17">
        <v>1</v>
      </c>
      <c r="E17">
        <f t="shared" si="1"/>
        <v>244</v>
      </c>
    </row>
    <row r="18" spans="1:5" x14ac:dyDescent="0.2">
      <c r="A18" s="2">
        <v>45342</v>
      </c>
      <c r="B18" t="s">
        <v>70</v>
      </c>
      <c r="C18">
        <v>7</v>
      </c>
      <c r="E18">
        <f t="shared" si="1"/>
        <v>251</v>
      </c>
    </row>
    <row r="19" spans="1:5" x14ac:dyDescent="0.2">
      <c r="A19" s="2">
        <v>45348</v>
      </c>
      <c r="B19" t="s">
        <v>168</v>
      </c>
      <c r="C19">
        <v>5</v>
      </c>
      <c r="E19">
        <f t="shared" si="1"/>
        <v>256</v>
      </c>
    </row>
    <row r="20" spans="1:5" x14ac:dyDescent="0.2">
      <c r="A20" s="2">
        <v>45349</v>
      </c>
      <c r="B20" t="s">
        <v>70</v>
      </c>
      <c r="C20">
        <v>6</v>
      </c>
      <c r="E20">
        <f t="shared" si="1"/>
        <v>262</v>
      </c>
    </row>
    <row r="21" spans="1:5" x14ac:dyDescent="0.2">
      <c r="A21" s="2">
        <v>45350</v>
      </c>
      <c r="B21" t="s">
        <v>294</v>
      </c>
      <c r="C21">
        <v>9</v>
      </c>
      <c r="E21">
        <f t="shared" si="1"/>
        <v>271</v>
      </c>
    </row>
    <row r="22" spans="1:5" x14ac:dyDescent="0.2">
      <c r="A22" s="2">
        <v>45352</v>
      </c>
      <c r="B22" t="s">
        <v>255</v>
      </c>
      <c r="D22">
        <v>6</v>
      </c>
      <c r="E22">
        <f t="shared" si="1"/>
        <v>265</v>
      </c>
    </row>
    <row r="23" spans="1:5" x14ac:dyDescent="0.2">
      <c r="A23" s="5">
        <v>45352</v>
      </c>
      <c r="B23" s="4" t="s">
        <v>299</v>
      </c>
      <c r="C23">
        <v>8</v>
      </c>
      <c r="E23">
        <f t="shared" si="1"/>
        <v>273</v>
      </c>
    </row>
    <row r="24" spans="1:5" x14ac:dyDescent="0.2">
      <c r="A24" s="2">
        <v>45355</v>
      </c>
      <c r="B24" t="s">
        <v>82</v>
      </c>
      <c r="D24">
        <v>24</v>
      </c>
      <c r="E24">
        <f t="shared" si="1"/>
        <v>249</v>
      </c>
    </row>
    <row r="25" spans="1:5" x14ac:dyDescent="0.2">
      <c r="A25" s="2">
        <v>45356</v>
      </c>
      <c r="B25" t="s">
        <v>82</v>
      </c>
      <c r="D25">
        <v>50</v>
      </c>
    </row>
    <row r="26" spans="1:5" x14ac:dyDescent="0.2">
      <c r="A26" s="2">
        <v>45357</v>
      </c>
      <c r="B26" t="s">
        <v>181</v>
      </c>
      <c r="C26">
        <v>1</v>
      </c>
    </row>
    <row r="27" spans="1:5" x14ac:dyDescent="0.2">
      <c r="A27" s="2">
        <v>45358</v>
      </c>
      <c r="B27" t="s">
        <v>70</v>
      </c>
      <c r="C27">
        <v>7</v>
      </c>
    </row>
    <row r="28" spans="1:5" x14ac:dyDescent="0.2">
      <c r="A28" s="5">
        <v>45365</v>
      </c>
      <c r="B28" s="4" t="s">
        <v>211</v>
      </c>
      <c r="C28">
        <v>6</v>
      </c>
    </row>
    <row r="29" spans="1:5" x14ac:dyDescent="0.2">
      <c r="A29" s="5">
        <v>45365</v>
      </c>
      <c r="B29" s="4" t="s">
        <v>70</v>
      </c>
      <c r="C29">
        <v>21</v>
      </c>
    </row>
    <row r="30" spans="1:5" x14ac:dyDescent="0.2">
      <c r="A30" s="2">
        <v>45366</v>
      </c>
      <c r="B30" t="s">
        <v>168</v>
      </c>
      <c r="C30">
        <v>7</v>
      </c>
    </row>
    <row r="31" spans="1:5" x14ac:dyDescent="0.2">
      <c r="A31" s="2">
        <v>45366</v>
      </c>
      <c r="B31" t="s">
        <v>79</v>
      </c>
      <c r="C31">
        <v>1</v>
      </c>
    </row>
    <row r="32" spans="1:5" x14ac:dyDescent="0.2">
      <c r="A32" s="2">
        <v>45367</v>
      </c>
      <c r="B32" t="s">
        <v>82</v>
      </c>
      <c r="C32">
        <v>60</v>
      </c>
    </row>
    <row r="33" spans="1:3" x14ac:dyDescent="0.2">
      <c r="A33" s="2">
        <v>45369</v>
      </c>
      <c r="B33" t="s">
        <v>299</v>
      </c>
      <c r="C33">
        <v>13</v>
      </c>
    </row>
    <row r="34" spans="1:3" x14ac:dyDescent="0.2">
      <c r="A34" s="5">
        <v>45370</v>
      </c>
      <c r="B34" s="4" t="s">
        <v>70</v>
      </c>
      <c r="C34">
        <v>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9ECB-1666-DB47-B068-F0A8570E62C8}">
  <dimension ref="A1:F75"/>
  <sheetViews>
    <sheetView topLeftCell="A60" workbookViewId="0">
      <selection activeCell="B76" sqref="B76"/>
    </sheetView>
  </sheetViews>
  <sheetFormatPr baseColWidth="10" defaultRowHeight="16" x14ac:dyDescent="0.2"/>
  <cols>
    <col min="2" max="2" width="28.33203125" customWidth="1"/>
  </cols>
  <sheetData>
    <row r="1" spans="1:6" x14ac:dyDescent="0.2">
      <c r="A1" t="s">
        <v>25</v>
      </c>
    </row>
    <row r="3" spans="1:6" x14ac:dyDescent="0.2">
      <c r="B3" t="s">
        <v>16</v>
      </c>
      <c r="E3">
        <v>2</v>
      </c>
    </row>
    <row r="4" spans="1:6" x14ac:dyDescent="0.2">
      <c r="A4" s="2">
        <v>45296</v>
      </c>
      <c r="B4" t="s">
        <v>78</v>
      </c>
      <c r="C4">
        <v>35</v>
      </c>
      <c r="E4">
        <f>E3+C4-D4</f>
        <v>37</v>
      </c>
    </row>
    <row r="5" spans="1:6" x14ac:dyDescent="0.2">
      <c r="A5" s="2">
        <v>45296</v>
      </c>
      <c r="B5" t="s">
        <v>79</v>
      </c>
      <c r="D5">
        <v>33</v>
      </c>
      <c r="E5">
        <f t="shared" ref="E5:E10" si="0">E4+C5-D5</f>
        <v>4</v>
      </c>
      <c r="F5" t="s">
        <v>80</v>
      </c>
    </row>
    <row r="6" spans="1:6" x14ac:dyDescent="0.2">
      <c r="A6" s="2">
        <v>45300</v>
      </c>
      <c r="B6" t="s">
        <v>82</v>
      </c>
      <c r="C6">
        <v>43</v>
      </c>
      <c r="E6">
        <f t="shared" si="0"/>
        <v>47</v>
      </c>
    </row>
    <row r="7" spans="1:6" x14ac:dyDescent="0.2">
      <c r="A7" s="2">
        <v>45301</v>
      </c>
      <c r="B7" t="s">
        <v>147</v>
      </c>
      <c r="D7">
        <v>4</v>
      </c>
      <c r="E7">
        <f t="shared" si="0"/>
        <v>43</v>
      </c>
    </row>
    <row r="8" spans="1:6" x14ac:dyDescent="0.2">
      <c r="A8" s="2">
        <v>45301</v>
      </c>
      <c r="B8" t="s">
        <v>128</v>
      </c>
      <c r="C8">
        <v>11</v>
      </c>
      <c r="E8">
        <f t="shared" si="0"/>
        <v>54</v>
      </c>
    </row>
    <row r="9" spans="1:6" x14ac:dyDescent="0.2">
      <c r="A9" s="2">
        <v>45302</v>
      </c>
      <c r="B9" t="s">
        <v>152</v>
      </c>
      <c r="D9">
        <v>45</v>
      </c>
      <c r="E9">
        <f t="shared" si="0"/>
        <v>9</v>
      </c>
    </row>
    <row r="10" spans="1:6" x14ac:dyDescent="0.2">
      <c r="A10" s="2">
        <v>45302</v>
      </c>
      <c r="B10" t="s">
        <v>140</v>
      </c>
      <c r="D10">
        <v>9</v>
      </c>
      <c r="E10">
        <f t="shared" si="0"/>
        <v>0</v>
      </c>
    </row>
    <row r="11" spans="1:6" x14ac:dyDescent="0.2">
      <c r="A11" s="2">
        <v>45307</v>
      </c>
      <c r="B11" t="s">
        <v>181</v>
      </c>
      <c r="C11">
        <v>14</v>
      </c>
      <c r="E11">
        <v>14</v>
      </c>
    </row>
    <row r="12" spans="1:6" x14ac:dyDescent="0.2">
      <c r="A12" s="2">
        <v>45308</v>
      </c>
      <c r="B12" t="s">
        <v>168</v>
      </c>
      <c r="C12">
        <v>17</v>
      </c>
      <c r="E12">
        <v>31</v>
      </c>
    </row>
    <row r="13" spans="1:6" x14ac:dyDescent="0.2">
      <c r="A13" s="2">
        <v>45309</v>
      </c>
      <c r="B13" t="s">
        <v>192</v>
      </c>
      <c r="D13">
        <v>10</v>
      </c>
      <c r="E13">
        <f>E12+C13-D13</f>
        <v>21</v>
      </c>
    </row>
    <row r="14" spans="1:6" x14ac:dyDescent="0.2">
      <c r="A14" s="5">
        <v>45310</v>
      </c>
      <c r="B14" s="4" t="s">
        <v>181</v>
      </c>
      <c r="C14">
        <v>3</v>
      </c>
      <c r="E14">
        <f t="shared" ref="E14:E19" si="1">E13+C14-D14</f>
        <v>24</v>
      </c>
    </row>
    <row r="15" spans="1:6" x14ac:dyDescent="0.2">
      <c r="A15" s="2">
        <v>45311</v>
      </c>
      <c r="B15" t="s">
        <v>207</v>
      </c>
      <c r="C15">
        <v>3</v>
      </c>
      <c r="E15">
        <f t="shared" si="1"/>
        <v>27</v>
      </c>
    </row>
    <row r="16" spans="1:6" x14ac:dyDescent="0.2">
      <c r="A16" s="2">
        <v>45315</v>
      </c>
      <c r="B16" t="s">
        <v>214</v>
      </c>
      <c r="C16">
        <v>2</v>
      </c>
      <c r="E16">
        <f t="shared" si="1"/>
        <v>29</v>
      </c>
    </row>
    <row r="17" spans="1:5" x14ac:dyDescent="0.2">
      <c r="A17" s="2">
        <v>45316</v>
      </c>
      <c r="B17" t="s">
        <v>192</v>
      </c>
      <c r="D17">
        <v>16</v>
      </c>
      <c r="E17">
        <f t="shared" si="1"/>
        <v>13</v>
      </c>
    </row>
    <row r="18" spans="1:5" x14ac:dyDescent="0.2">
      <c r="A18" s="2">
        <v>45317</v>
      </c>
      <c r="B18" s="4" t="s">
        <v>219</v>
      </c>
      <c r="D18">
        <v>2</v>
      </c>
      <c r="E18">
        <f t="shared" si="1"/>
        <v>11</v>
      </c>
    </row>
    <row r="19" spans="1:5" x14ac:dyDescent="0.2">
      <c r="A19" s="2">
        <v>45320</v>
      </c>
      <c r="B19" t="s">
        <v>82</v>
      </c>
      <c r="C19">
        <v>6</v>
      </c>
      <c r="E19">
        <f t="shared" si="1"/>
        <v>17</v>
      </c>
    </row>
    <row r="20" spans="1:5" x14ac:dyDescent="0.2">
      <c r="A20" s="2">
        <v>45321</v>
      </c>
      <c r="B20" t="s">
        <v>226</v>
      </c>
      <c r="D20">
        <v>15</v>
      </c>
      <c r="E20">
        <f>E19+C20-D20</f>
        <v>2</v>
      </c>
    </row>
    <row r="21" spans="1:5" x14ac:dyDescent="0.2">
      <c r="A21" s="5">
        <v>45321</v>
      </c>
      <c r="B21" s="4" t="s">
        <v>227</v>
      </c>
      <c r="C21">
        <v>20</v>
      </c>
      <c r="E21">
        <f t="shared" ref="E21:E31" si="2">E20+C21-D21</f>
        <v>22</v>
      </c>
    </row>
    <row r="22" spans="1:5" x14ac:dyDescent="0.2">
      <c r="A22" s="2">
        <v>45323</v>
      </c>
      <c r="B22" t="s">
        <v>147</v>
      </c>
      <c r="D22">
        <v>14</v>
      </c>
      <c r="E22">
        <f t="shared" si="2"/>
        <v>8</v>
      </c>
    </row>
    <row r="23" spans="1:5" x14ac:dyDescent="0.2">
      <c r="A23" s="2">
        <v>45323</v>
      </c>
      <c r="B23" t="s">
        <v>168</v>
      </c>
      <c r="C23">
        <v>20</v>
      </c>
      <c r="E23">
        <f t="shared" si="2"/>
        <v>28</v>
      </c>
    </row>
    <row r="24" spans="1:5" x14ac:dyDescent="0.2">
      <c r="A24" s="2">
        <v>45323</v>
      </c>
      <c r="B24" t="s">
        <v>78</v>
      </c>
      <c r="C24">
        <v>12</v>
      </c>
      <c r="E24">
        <f t="shared" si="2"/>
        <v>40</v>
      </c>
    </row>
    <row r="25" spans="1:5" x14ac:dyDescent="0.2">
      <c r="A25" s="5">
        <v>45323</v>
      </c>
      <c r="B25" s="4" t="s">
        <v>181</v>
      </c>
      <c r="C25">
        <v>8</v>
      </c>
      <c r="E25">
        <f t="shared" si="2"/>
        <v>48</v>
      </c>
    </row>
    <row r="26" spans="1:5" x14ac:dyDescent="0.2">
      <c r="A26" s="1">
        <v>45324</v>
      </c>
      <c r="B26" t="s">
        <v>103</v>
      </c>
      <c r="D26">
        <v>14</v>
      </c>
      <c r="E26">
        <f t="shared" si="2"/>
        <v>34</v>
      </c>
    </row>
    <row r="27" spans="1:5" x14ac:dyDescent="0.2">
      <c r="A27" s="1">
        <v>45324</v>
      </c>
      <c r="B27" t="s">
        <v>147</v>
      </c>
      <c r="D27">
        <v>10</v>
      </c>
      <c r="E27">
        <f t="shared" si="2"/>
        <v>24</v>
      </c>
    </row>
    <row r="28" spans="1:5" x14ac:dyDescent="0.2">
      <c r="A28" s="2">
        <v>45327</v>
      </c>
      <c r="B28" t="s">
        <v>103</v>
      </c>
      <c r="D28">
        <v>5</v>
      </c>
      <c r="E28">
        <f t="shared" si="2"/>
        <v>19</v>
      </c>
    </row>
    <row r="29" spans="1:5" x14ac:dyDescent="0.2">
      <c r="A29" s="2">
        <v>45328</v>
      </c>
      <c r="B29" t="s">
        <v>91</v>
      </c>
      <c r="D29">
        <v>16</v>
      </c>
      <c r="E29">
        <f t="shared" si="2"/>
        <v>3</v>
      </c>
    </row>
    <row r="30" spans="1:5" x14ac:dyDescent="0.2">
      <c r="A30" s="5">
        <v>45328</v>
      </c>
      <c r="B30" s="4" t="s">
        <v>81</v>
      </c>
      <c r="C30">
        <v>2</v>
      </c>
      <c r="E30">
        <f t="shared" si="2"/>
        <v>5</v>
      </c>
    </row>
    <row r="31" spans="1:5" x14ac:dyDescent="0.2">
      <c r="A31" s="2">
        <v>45329</v>
      </c>
      <c r="B31" t="s">
        <v>192</v>
      </c>
      <c r="C31">
        <v>11</v>
      </c>
      <c r="E31">
        <f t="shared" si="2"/>
        <v>16</v>
      </c>
    </row>
    <row r="32" spans="1:5" x14ac:dyDescent="0.2">
      <c r="A32" s="2">
        <v>45329</v>
      </c>
      <c r="B32" t="s">
        <v>152</v>
      </c>
      <c r="D32">
        <v>11</v>
      </c>
      <c r="E32">
        <f>E31+C32-D32</f>
        <v>5</v>
      </c>
    </row>
    <row r="33" spans="1:5" x14ac:dyDescent="0.2">
      <c r="A33" s="2">
        <v>45331</v>
      </c>
      <c r="B33" t="s">
        <v>192</v>
      </c>
      <c r="C33">
        <v>29</v>
      </c>
      <c r="E33">
        <f t="shared" ref="E33:E39" si="3">E32+C33-D33</f>
        <v>34</v>
      </c>
    </row>
    <row r="34" spans="1:5" x14ac:dyDescent="0.2">
      <c r="A34" s="2">
        <v>45335</v>
      </c>
      <c r="B34" t="s">
        <v>70</v>
      </c>
      <c r="C34">
        <v>29</v>
      </c>
      <c r="E34">
        <f t="shared" si="3"/>
        <v>63</v>
      </c>
    </row>
    <row r="35" spans="1:5" x14ac:dyDescent="0.2">
      <c r="A35" s="2">
        <v>45335</v>
      </c>
      <c r="B35" t="s">
        <v>70</v>
      </c>
      <c r="C35">
        <v>7</v>
      </c>
      <c r="E35">
        <f t="shared" si="3"/>
        <v>70</v>
      </c>
    </row>
    <row r="36" spans="1:5" x14ac:dyDescent="0.2">
      <c r="A36" s="2">
        <v>45335</v>
      </c>
      <c r="B36" t="s">
        <v>227</v>
      </c>
      <c r="C36">
        <v>26</v>
      </c>
      <c r="E36">
        <f t="shared" si="3"/>
        <v>96</v>
      </c>
    </row>
    <row r="37" spans="1:5" x14ac:dyDescent="0.2">
      <c r="A37" s="2">
        <v>45335</v>
      </c>
      <c r="B37" t="s">
        <v>181</v>
      </c>
      <c r="C37">
        <v>7</v>
      </c>
      <c r="E37">
        <f t="shared" si="3"/>
        <v>103</v>
      </c>
    </row>
    <row r="38" spans="1:5" x14ac:dyDescent="0.2">
      <c r="A38" s="2">
        <v>45337</v>
      </c>
      <c r="B38" t="s">
        <v>70</v>
      </c>
      <c r="C38">
        <v>20</v>
      </c>
      <c r="E38">
        <f t="shared" si="3"/>
        <v>123</v>
      </c>
    </row>
    <row r="39" spans="1:5" x14ac:dyDescent="0.2">
      <c r="A39" s="2">
        <v>45339</v>
      </c>
      <c r="B39" t="s">
        <v>206</v>
      </c>
      <c r="C39">
        <v>6</v>
      </c>
      <c r="E39">
        <f t="shared" si="3"/>
        <v>129</v>
      </c>
    </row>
    <row r="40" spans="1:5" x14ac:dyDescent="0.2">
      <c r="A40" s="2">
        <v>45341</v>
      </c>
      <c r="B40" t="s">
        <v>266</v>
      </c>
      <c r="D40">
        <v>50</v>
      </c>
      <c r="E40">
        <f>E39+C40-D40</f>
        <v>79</v>
      </c>
    </row>
    <row r="41" spans="1:5" x14ac:dyDescent="0.2">
      <c r="A41" s="2">
        <v>45341</v>
      </c>
      <c r="B41" t="s">
        <v>78</v>
      </c>
      <c r="C41">
        <v>20</v>
      </c>
      <c r="E41">
        <f t="shared" ref="E41:E48" si="4">E40+C41-D41</f>
        <v>99</v>
      </c>
    </row>
    <row r="42" spans="1:5" x14ac:dyDescent="0.2">
      <c r="A42" s="2">
        <v>45342</v>
      </c>
      <c r="B42" t="s">
        <v>181</v>
      </c>
      <c r="C42">
        <v>2</v>
      </c>
      <c r="E42">
        <f t="shared" si="4"/>
        <v>101</v>
      </c>
    </row>
    <row r="43" spans="1:5" x14ac:dyDescent="0.2">
      <c r="A43" s="2">
        <v>45342</v>
      </c>
      <c r="B43" t="s">
        <v>70</v>
      </c>
      <c r="C43">
        <v>2</v>
      </c>
      <c r="E43">
        <f t="shared" si="4"/>
        <v>103</v>
      </c>
    </row>
    <row r="44" spans="1:5" x14ac:dyDescent="0.2">
      <c r="A44" s="5">
        <v>45343</v>
      </c>
      <c r="B44" s="4" t="s">
        <v>225</v>
      </c>
      <c r="D44">
        <v>20</v>
      </c>
      <c r="E44">
        <f t="shared" si="4"/>
        <v>83</v>
      </c>
    </row>
    <row r="45" spans="1:5" x14ac:dyDescent="0.2">
      <c r="A45" s="2">
        <v>45343</v>
      </c>
      <c r="B45" t="s">
        <v>266</v>
      </c>
      <c r="D45">
        <v>30</v>
      </c>
      <c r="E45">
        <f t="shared" si="4"/>
        <v>53</v>
      </c>
    </row>
    <row r="46" spans="1:5" x14ac:dyDescent="0.2">
      <c r="A46" s="5">
        <v>45343</v>
      </c>
      <c r="B46" s="4" t="s">
        <v>227</v>
      </c>
      <c r="C46">
        <v>8</v>
      </c>
      <c r="E46">
        <f t="shared" si="4"/>
        <v>61</v>
      </c>
    </row>
    <row r="47" spans="1:5" x14ac:dyDescent="0.2">
      <c r="A47" s="2">
        <v>45346</v>
      </c>
      <c r="B47" t="s">
        <v>181</v>
      </c>
      <c r="C47">
        <v>11</v>
      </c>
      <c r="E47">
        <f t="shared" si="4"/>
        <v>72</v>
      </c>
    </row>
    <row r="48" spans="1:5" x14ac:dyDescent="0.2">
      <c r="A48" s="2">
        <v>45348</v>
      </c>
      <c r="B48" s="4" t="s">
        <v>91</v>
      </c>
      <c r="D48">
        <v>50</v>
      </c>
      <c r="E48">
        <f t="shared" si="4"/>
        <v>22</v>
      </c>
    </row>
    <row r="49" spans="1:5" x14ac:dyDescent="0.2">
      <c r="A49" s="2">
        <v>45348</v>
      </c>
      <c r="B49" t="s">
        <v>229</v>
      </c>
      <c r="C49">
        <v>6</v>
      </c>
      <c r="E49">
        <f>E48+C49-D49</f>
        <v>28</v>
      </c>
    </row>
    <row r="50" spans="1:5" x14ac:dyDescent="0.2">
      <c r="A50" s="2">
        <v>45348</v>
      </c>
      <c r="B50" s="4" t="s">
        <v>168</v>
      </c>
      <c r="C50">
        <v>10</v>
      </c>
      <c r="E50">
        <f t="shared" ref="E50:E57" si="5">E49+C50-D50</f>
        <v>38</v>
      </c>
    </row>
    <row r="51" spans="1:5" x14ac:dyDescent="0.2">
      <c r="A51" s="5">
        <v>45349</v>
      </c>
      <c r="B51" s="4" t="s">
        <v>288</v>
      </c>
      <c r="D51">
        <v>10</v>
      </c>
      <c r="E51">
        <f t="shared" si="5"/>
        <v>28</v>
      </c>
    </row>
    <row r="52" spans="1:5" x14ac:dyDescent="0.2">
      <c r="A52" s="2">
        <v>45349</v>
      </c>
      <c r="B52" s="4" t="s">
        <v>70</v>
      </c>
      <c r="C52">
        <v>4</v>
      </c>
      <c r="E52">
        <f t="shared" si="5"/>
        <v>32</v>
      </c>
    </row>
    <row r="53" spans="1:5" x14ac:dyDescent="0.2">
      <c r="A53" s="2">
        <v>45349</v>
      </c>
      <c r="B53" s="4" t="s">
        <v>227</v>
      </c>
      <c r="C53">
        <v>2</v>
      </c>
      <c r="E53">
        <f t="shared" si="5"/>
        <v>34</v>
      </c>
    </row>
    <row r="54" spans="1:5" x14ac:dyDescent="0.2">
      <c r="A54" s="2">
        <v>45350</v>
      </c>
      <c r="B54" s="4" t="s">
        <v>135</v>
      </c>
      <c r="D54">
        <v>10</v>
      </c>
      <c r="E54">
        <f t="shared" si="5"/>
        <v>24</v>
      </c>
    </row>
    <row r="55" spans="1:5" x14ac:dyDescent="0.2">
      <c r="A55" s="2">
        <v>45350</v>
      </c>
      <c r="B55" s="4" t="s">
        <v>79</v>
      </c>
      <c r="C55">
        <v>24</v>
      </c>
      <c r="E55">
        <f t="shared" si="5"/>
        <v>48</v>
      </c>
    </row>
    <row r="56" spans="1:5" x14ac:dyDescent="0.2">
      <c r="A56" s="2">
        <v>45350</v>
      </c>
      <c r="B56" s="4" t="s">
        <v>79</v>
      </c>
      <c r="C56">
        <v>20</v>
      </c>
      <c r="E56">
        <f t="shared" si="5"/>
        <v>68</v>
      </c>
    </row>
    <row r="57" spans="1:5" x14ac:dyDescent="0.2">
      <c r="A57" s="2">
        <v>45350</v>
      </c>
      <c r="B57" s="4" t="s">
        <v>211</v>
      </c>
      <c r="C57">
        <v>11</v>
      </c>
      <c r="E57">
        <f t="shared" si="5"/>
        <v>79</v>
      </c>
    </row>
    <row r="58" spans="1:5" x14ac:dyDescent="0.2">
      <c r="A58" s="5">
        <v>45352</v>
      </c>
      <c r="B58" s="4" t="s">
        <v>79</v>
      </c>
      <c r="C58">
        <v>29</v>
      </c>
      <c r="E58">
        <f>E57+C58</f>
        <v>108</v>
      </c>
    </row>
    <row r="59" spans="1:5" x14ac:dyDescent="0.2">
      <c r="A59" s="2">
        <v>45353</v>
      </c>
      <c r="B59" s="4" t="s">
        <v>301</v>
      </c>
      <c r="D59">
        <v>30</v>
      </c>
    </row>
    <row r="60" spans="1:5" x14ac:dyDescent="0.2">
      <c r="A60" s="2">
        <v>45353</v>
      </c>
      <c r="B60" s="4" t="s">
        <v>79</v>
      </c>
      <c r="C60">
        <v>11</v>
      </c>
    </row>
    <row r="61" spans="1:5" x14ac:dyDescent="0.2">
      <c r="A61" s="2">
        <v>45357</v>
      </c>
      <c r="B61" s="4" t="s">
        <v>181</v>
      </c>
      <c r="C61">
        <v>8</v>
      </c>
    </row>
    <row r="62" spans="1:5" x14ac:dyDescent="0.2">
      <c r="A62" s="2">
        <v>45358</v>
      </c>
      <c r="B62" s="4" t="s">
        <v>70</v>
      </c>
      <c r="C62">
        <v>16</v>
      </c>
    </row>
    <row r="63" spans="1:5" x14ac:dyDescent="0.2">
      <c r="A63" s="2">
        <v>45358</v>
      </c>
      <c r="B63" s="4" t="s">
        <v>79</v>
      </c>
      <c r="C63">
        <v>15</v>
      </c>
    </row>
    <row r="64" spans="1:5" x14ac:dyDescent="0.2">
      <c r="A64" s="2">
        <v>45364</v>
      </c>
      <c r="B64" s="4" t="s">
        <v>205</v>
      </c>
      <c r="D64">
        <v>30</v>
      </c>
    </row>
    <row r="65" spans="1:4" x14ac:dyDescent="0.2">
      <c r="A65" s="5">
        <v>45365</v>
      </c>
      <c r="B65" s="4" t="s">
        <v>211</v>
      </c>
      <c r="C65">
        <v>6</v>
      </c>
    </row>
    <row r="66" spans="1:4" x14ac:dyDescent="0.2">
      <c r="A66" s="5">
        <v>45365</v>
      </c>
      <c r="B66" s="4" t="s">
        <v>70</v>
      </c>
      <c r="C66">
        <v>16</v>
      </c>
    </row>
    <row r="67" spans="1:4" x14ac:dyDescent="0.2">
      <c r="A67" s="2">
        <v>45366</v>
      </c>
      <c r="B67" s="4" t="s">
        <v>168</v>
      </c>
      <c r="C67">
        <v>13</v>
      </c>
    </row>
    <row r="68" spans="1:4" x14ac:dyDescent="0.2">
      <c r="A68" s="2">
        <v>45366</v>
      </c>
      <c r="B68" s="4" t="s">
        <v>79</v>
      </c>
      <c r="C68">
        <v>29</v>
      </c>
    </row>
    <row r="69" spans="1:4" x14ac:dyDescent="0.2">
      <c r="A69" s="2">
        <v>45366</v>
      </c>
      <c r="B69" s="4" t="s">
        <v>181</v>
      </c>
      <c r="C69">
        <v>1</v>
      </c>
    </row>
    <row r="70" spans="1:4" x14ac:dyDescent="0.2">
      <c r="A70" s="2">
        <v>45367</v>
      </c>
      <c r="B70" s="4" t="s">
        <v>82</v>
      </c>
      <c r="C70">
        <v>1</v>
      </c>
    </row>
    <row r="71" spans="1:4" x14ac:dyDescent="0.2">
      <c r="A71" s="2">
        <v>45369</v>
      </c>
      <c r="B71" s="4" t="s">
        <v>191</v>
      </c>
      <c r="C71">
        <v>1</v>
      </c>
    </row>
    <row r="72" spans="1:4" x14ac:dyDescent="0.2">
      <c r="A72" s="2">
        <v>45370</v>
      </c>
      <c r="B72" s="4" t="s">
        <v>49</v>
      </c>
      <c r="D72">
        <v>7</v>
      </c>
    </row>
    <row r="73" spans="1:4" x14ac:dyDescent="0.2">
      <c r="A73" s="2">
        <v>45370</v>
      </c>
      <c r="B73" s="4" t="s">
        <v>205</v>
      </c>
      <c r="D73">
        <v>20</v>
      </c>
    </row>
    <row r="74" spans="1:4" x14ac:dyDescent="0.2">
      <c r="A74" s="5">
        <v>45370</v>
      </c>
      <c r="B74" s="4" t="s">
        <v>70</v>
      </c>
      <c r="C74">
        <v>9</v>
      </c>
    </row>
    <row r="75" spans="1:4" x14ac:dyDescent="0.2">
      <c r="A75" s="2">
        <v>45370</v>
      </c>
      <c r="B75" s="4" t="s">
        <v>82</v>
      </c>
      <c r="C75">
        <v>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6C17-3F7C-2347-AA61-BBD9AC5C3E73}">
  <dimension ref="A1:F49"/>
  <sheetViews>
    <sheetView topLeftCell="A44" workbookViewId="0">
      <selection activeCell="D50" sqref="D50"/>
    </sheetView>
  </sheetViews>
  <sheetFormatPr baseColWidth="10" defaultRowHeight="16" x14ac:dyDescent="0.2"/>
  <cols>
    <col min="2" max="2" width="26.33203125" customWidth="1"/>
  </cols>
  <sheetData>
    <row r="1" spans="1:6" x14ac:dyDescent="0.2">
      <c r="A1" t="s">
        <v>26</v>
      </c>
    </row>
    <row r="3" spans="1:6" x14ac:dyDescent="0.2">
      <c r="B3" t="s">
        <v>16</v>
      </c>
      <c r="E3">
        <v>177</v>
      </c>
    </row>
    <row r="4" spans="1:6" x14ac:dyDescent="0.2">
      <c r="A4" s="2">
        <v>45296</v>
      </c>
      <c r="B4" t="s">
        <v>81</v>
      </c>
      <c r="C4">
        <v>15</v>
      </c>
      <c r="E4">
        <f>E3+C4-D4</f>
        <v>192</v>
      </c>
    </row>
    <row r="5" spans="1:6" x14ac:dyDescent="0.2">
      <c r="A5" s="2">
        <v>45296</v>
      </c>
      <c r="B5" t="s">
        <v>82</v>
      </c>
      <c r="D5">
        <v>65</v>
      </c>
      <c r="E5">
        <f t="shared" ref="E5:E13" si="0">E4+C5-D5</f>
        <v>127</v>
      </c>
    </row>
    <row r="6" spans="1:6" x14ac:dyDescent="0.2">
      <c r="A6" s="5">
        <v>45298</v>
      </c>
      <c r="B6" s="4" t="s">
        <v>222</v>
      </c>
      <c r="D6">
        <v>107</v>
      </c>
      <c r="E6">
        <f t="shared" si="0"/>
        <v>20</v>
      </c>
      <c r="F6" t="s">
        <v>102</v>
      </c>
    </row>
    <row r="7" spans="1:6" x14ac:dyDescent="0.2">
      <c r="A7" s="5">
        <v>45300</v>
      </c>
      <c r="B7" s="4" t="s">
        <v>82</v>
      </c>
      <c r="D7">
        <v>20</v>
      </c>
      <c r="E7">
        <f t="shared" si="0"/>
        <v>0</v>
      </c>
    </row>
    <row r="8" spans="1:6" x14ac:dyDescent="0.2">
      <c r="A8" s="2">
        <v>45300</v>
      </c>
      <c r="B8" t="s">
        <v>81</v>
      </c>
      <c r="C8">
        <v>10</v>
      </c>
      <c r="E8">
        <f t="shared" si="0"/>
        <v>10</v>
      </c>
    </row>
    <row r="9" spans="1:6" x14ac:dyDescent="0.2">
      <c r="A9" s="5">
        <v>45301</v>
      </c>
      <c r="B9" s="4" t="s">
        <v>143</v>
      </c>
      <c r="D9">
        <v>10</v>
      </c>
      <c r="E9">
        <f t="shared" si="0"/>
        <v>0</v>
      </c>
    </row>
    <row r="10" spans="1:6" x14ac:dyDescent="0.2">
      <c r="A10" s="5">
        <v>45302</v>
      </c>
      <c r="B10" s="4" t="s">
        <v>153</v>
      </c>
      <c r="C10">
        <v>17</v>
      </c>
      <c r="E10">
        <f t="shared" si="0"/>
        <v>17</v>
      </c>
    </row>
    <row r="11" spans="1:6" x14ac:dyDescent="0.2">
      <c r="A11" s="5">
        <v>45302</v>
      </c>
      <c r="B11" s="4" t="s">
        <v>82</v>
      </c>
      <c r="D11">
        <v>17</v>
      </c>
      <c r="E11">
        <f t="shared" si="0"/>
        <v>0</v>
      </c>
    </row>
    <row r="12" spans="1:6" x14ac:dyDescent="0.2">
      <c r="A12" s="2">
        <v>45303</v>
      </c>
      <c r="B12" s="4" t="s">
        <v>64</v>
      </c>
      <c r="C12">
        <v>56</v>
      </c>
      <c r="E12">
        <f t="shared" si="0"/>
        <v>56</v>
      </c>
    </row>
    <row r="13" spans="1:6" x14ac:dyDescent="0.2">
      <c r="A13" s="2">
        <v>45306</v>
      </c>
      <c r="B13" s="4" t="s">
        <v>178</v>
      </c>
      <c r="C13">
        <v>20</v>
      </c>
      <c r="E13">
        <f t="shared" si="0"/>
        <v>76</v>
      </c>
    </row>
    <row r="14" spans="1:6" x14ac:dyDescent="0.2">
      <c r="A14" s="2">
        <v>45308</v>
      </c>
      <c r="B14" s="4" t="s">
        <v>70</v>
      </c>
      <c r="D14">
        <v>20</v>
      </c>
      <c r="E14">
        <f>E13+C14-D14</f>
        <v>56</v>
      </c>
    </row>
    <row r="15" spans="1:6" x14ac:dyDescent="0.2">
      <c r="A15" s="2">
        <v>45309</v>
      </c>
      <c r="B15" s="4" t="s">
        <v>192</v>
      </c>
      <c r="D15">
        <v>18</v>
      </c>
      <c r="E15">
        <f>E14+C15-D15</f>
        <v>38</v>
      </c>
    </row>
    <row r="16" spans="1:6" x14ac:dyDescent="0.2">
      <c r="A16" s="5">
        <v>45311</v>
      </c>
      <c r="B16" s="4" t="s">
        <v>64</v>
      </c>
      <c r="C16">
        <v>10</v>
      </c>
      <c r="E16">
        <f>E15+C16-D16</f>
        <v>48</v>
      </c>
    </row>
    <row r="17" spans="1:5" x14ac:dyDescent="0.2">
      <c r="A17" s="5">
        <v>45321</v>
      </c>
      <c r="B17" s="4" t="s">
        <v>138</v>
      </c>
      <c r="C17">
        <v>50</v>
      </c>
      <c r="E17">
        <f t="shared" ref="E17:E43" si="1">E16+C17-D17</f>
        <v>98</v>
      </c>
    </row>
    <row r="18" spans="1:5" x14ac:dyDescent="0.2">
      <c r="A18" s="2">
        <v>45321</v>
      </c>
      <c r="B18" s="4" t="s">
        <v>226</v>
      </c>
      <c r="D18">
        <v>50</v>
      </c>
      <c r="E18">
        <f t="shared" si="1"/>
        <v>48</v>
      </c>
    </row>
    <row r="19" spans="1:5" x14ac:dyDescent="0.2">
      <c r="A19" s="2">
        <v>45323</v>
      </c>
      <c r="B19" s="4" t="s">
        <v>103</v>
      </c>
      <c r="D19">
        <v>49</v>
      </c>
      <c r="E19">
        <f t="shared" si="1"/>
        <v>-1</v>
      </c>
    </row>
    <row r="20" spans="1:5" x14ac:dyDescent="0.2">
      <c r="A20" s="2">
        <v>45327</v>
      </c>
      <c r="B20" s="4" t="s">
        <v>138</v>
      </c>
      <c r="C20">
        <v>51</v>
      </c>
      <c r="E20">
        <f t="shared" si="1"/>
        <v>50</v>
      </c>
    </row>
    <row r="21" spans="1:5" x14ac:dyDescent="0.2">
      <c r="A21" s="2">
        <v>45337</v>
      </c>
      <c r="B21" s="4" t="s">
        <v>81</v>
      </c>
      <c r="C21">
        <v>37</v>
      </c>
      <c r="E21">
        <f t="shared" si="1"/>
        <v>87</v>
      </c>
    </row>
    <row r="22" spans="1:5" x14ac:dyDescent="0.2">
      <c r="A22" s="2">
        <v>45337</v>
      </c>
      <c r="B22" s="4" t="s">
        <v>222</v>
      </c>
      <c r="D22">
        <v>37</v>
      </c>
      <c r="E22">
        <f t="shared" si="1"/>
        <v>50</v>
      </c>
    </row>
    <row r="23" spans="1:5" x14ac:dyDescent="0.2">
      <c r="A23" s="5">
        <v>45338</v>
      </c>
      <c r="B23" s="4" t="s">
        <v>192</v>
      </c>
      <c r="C23">
        <v>31</v>
      </c>
      <c r="E23">
        <f t="shared" si="1"/>
        <v>81</v>
      </c>
    </row>
    <row r="24" spans="1:5" x14ac:dyDescent="0.2">
      <c r="A24" s="2">
        <v>45341</v>
      </c>
      <c r="B24" s="4" t="s">
        <v>99</v>
      </c>
      <c r="D24">
        <v>50</v>
      </c>
      <c r="E24">
        <f t="shared" si="1"/>
        <v>31</v>
      </c>
    </row>
    <row r="25" spans="1:5" x14ac:dyDescent="0.2">
      <c r="A25" s="2">
        <v>45341</v>
      </c>
      <c r="B25" s="4" t="s">
        <v>70</v>
      </c>
      <c r="C25">
        <v>50</v>
      </c>
      <c r="E25">
        <f t="shared" si="1"/>
        <v>81</v>
      </c>
    </row>
    <row r="26" spans="1:5" x14ac:dyDescent="0.2">
      <c r="A26" s="2">
        <v>45341</v>
      </c>
      <c r="B26" s="4" t="s">
        <v>225</v>
      </c>
      <c r="D26">
        <v>50</v>
      </c>
      <c r="E26">
        <f t="shared" si="1"/>
        <v>31</v>
      </c>
    </row>
    <row r="27" spans="1:5" x14ac:dyDescent="0.2">
      <c r="A27" s="5">
        <v>45343</v>
      </c>
      <c r="B27" s="4" t="s">
        <v>274</v>
      </c>
      <c r="D27">
        <v>2</v>
      </c>
      <c r="E27">
        <f t="shared" si="1"/>
        <v>29</v>
      </c>
    </row>
    <row r="28" spans="1:5" x14ac:dyDescent="0.2">
      <c r="A28" s="2">
        <v>45348</v>
      </c>
      <c r="B28" s="4" t="s">
        <v>168</v>
      </c>
      <c r="C28">
        <v>60</v>
      </c>
      <c r="E28">
        <f t="shared" si="1"/>
        <v>89</v>
      </c>
    </row>
    <row r="29" spans="1:5" x14ac:dyDescent="0.2">
      <c r="A29" s="2">
        <v>45348</v>
      </c>
      <c r="B29" s="4" t="s">
        <v>225</v>
      </c>
      <c r="D29">
        <v>60</v>
      </c>
      <c r="E29">
        <f t="shared" si="1"/>
        <v>29</v>
      </c>
    </row>
    <row r="30" spans="1:5" x14ac:dyDescent="0.2">
      <c r="A30" s="5">
        <v>45349</v>
      </c>
      <c r="B30" s="4" t="s">
        <v>288</v>
      </c>
      <c r="D30">
        <v>20</v>
      </c>
      <c r="E30">
        <f t="shared" si="1"/>
        <v>9</v>
      </c>
    </row>
    <row r="31" spans="1:5" x14ac:dyDescent="0.2">
      <c r="A31" s="2">
        <v>45349</v>
      </c>
      <c r="B31" s="4" t="s">
        <v>70</v>
      </c>
      <c r="C31">
        <v>60</v>
      </c>
      <c r="E31">
        <f t="shared" si="1"/>
        <v>69</v>
      </c>
    </row>
    <row r="32" spans="1:5" x14ac:dyDescent="0.2">
      <c r="A32" s="5">
        <v>45350</v>
      </c>
      <c r="B32" s="4" t="s">
        <v>168</v>
      </c>
      <c r="C32">
        <v>287</v>
      </c>
      <c r="E32">
        <f t="shared" si="1"/>
        <v>356</v>
      </c>
    </row>
    <row r="33" spans="1:5" x14ac:dyDescent="0.2">
      <c r="A33" s="2">
        <v>45352</v>
      </c>
      <c r="B33" s="4" t="s">
        <v>225</v>
      </c>
      <c r="C33">
        <v>30</v>
      </c>
      <c r="E33">
        <f t="shared" si="1"/>
        <v>386</v>
      </c>
    </row>
    <row r="34" spans="1:5" x14ac:dyDescent="0.2">
      <c r="A34" s="2">
        <v>45352</v>
      </c>
      <c r="B34" s="4" t="s">
        <v>225</v>
      </c>
      <c r="C34">
        <v>60</v>
      </c>
      <c r="E34">
        <f t="shared" si="1"/>
        <v>446</v>
      </c>
    </row>
    <row r="35" spans="1:5" x14ac:dyDescent="0.2">
      <c r="A35" s="5">
        <v>45352</v>
      </c>
      <c r="B35" s="4" t="s">
        <v>298</v>
      </c>
      <c r="C35">
        <v>30</v>
      </c>
      <c r="E35">
        <f t="shared" si="1"/>
        <v>476</v>
      </c>
    </row>
    <row r="36" spans="1:5" x14ac:dyDescent="0.2">
      <c r="A36" s="2">
        <v>45353</v>
      </c>
      <c r="B36" s="4" t="s">
        <v>225</v>
      </c>
      <c r="C36">
        <v>30</v>
      </c>
      <c r="E36">
        <f t="shared" si="1"/>
        <v>506</v>
      </c>
    </row>
    <row r="37" spans="1:5" x14ac:dyDescent="0.2">
      <c r="A37" s="2">
        <v>45355</v>
      </c>
      <c r="B37" s="4" t="s">
        <v>222</v>
      </c>
      <c r="C37">
        <v>27</v>
      </c>
      <c r="E37">
        <f t="shared" si="1"/>
        <v>533</v>
      </c>
    </row>
    <row r="38" spans="1:5" x14ac:dyDescent="0.2">
      <c r="A38" s="2">
        <v>45355</v>
      </c>
      <c r="B38" s="4" t="s">
        <v>81</v>
      </c>
      <c r="D38">
        <v>7</v>
      </c>
      <c r="E38">
        <f t="shared" si="1"/>
        <v>526</v>
      </c>
    </row>
    <row r="39" spans="1:5" x14ac:dyDescent="0.2">
      <c r="A39" s="2">
        <v>45355</v>
      </c>
      <c r="B39" s="4" t="s">
        <v>81</v>
      </c>
      <c r="C39">
        <v>26</v>
      </c>
      <c r="E39">
        <f t="shared" si="1"/>
        <v>552</v>
      </c>
    </row>
    <row r="40" spans="1:5" x14ac:dyDescent="0.2">
      <c r="A40" s="2">
        <v>45355</v>
      </c>
      <c r="B40" s="4" t="s">
        <v>82</v>
      </c>
      <c r="D40">
        <v>9</v>
      </c>
      <c r="E40">
        <f t="shared" si="1"/>
        <v>543</v>
      </c>
    </row>
    <row r="41" spans="1:5" x14ac:dyDescent="0.2">
      <c r="A41" s="2">
        <v>45356</v>
      </c>
      <c r="B41" s="4" t="s">
        <v>82</v>
      </c>
      <c r="D41">
        <v>40</v>
      </c>
      <c r="E41">
        <f t="shared" si="1"/>
        <v>503</v>
      </c>
    </row>
    <row r="42" spans="1:5" x14ac:dyDescent="0.2">
      <c r="A42" s="2">
        <v>45357</v>
      </c>
      <c r="B42" s="4" t="s">
        <v>316</v>
      </c>
      <c r="D42">
        <v>100</v>
      </c>
      <c r="E42">
        <f t="shared" si="1"/>
        <v>403</v>
      </c>
    </row>
    <row r="43" spans="1:5" x14ac:dyDescent="0.2">
      <c r="A43" s="2">
        <v>45359</v>
      </c>
      <c r="B43" s="4" t="s">
        <v>222</v>
      </c>
      <c r="D43">
        <v>20</v>
      </c>
      <c r="E43">
        <f t="shared" si="1"/>
        <v>383</v>
      </c>
    </row>
    <row r="44" spans="1:5" x14ac:dyDescent="0.2">
      <c r="A44" s="2">
        <v>45360</v>
      </c>
      <c r="B44" s="4" t="s">
        <v>308</v>
      </c>
      <c r="D44">
        <v>150</v>
      </c>
    </row>
    <row r="45" spans="1:5" x14ac:dyDescent="0.2">
      <c r="A45" s="5">
        <v>45364</v>
      </c>
      <c r="B45" s="4" t="s">
        <v>274</v>
      </c>
      <c r="C45">
        <v>2</v>
      </c>
    </row>
    <row r="46" spans="1:5" x14ac:dyDescent="0.2">
      <c r="A46" s="5">
        <v>45365</v>
      </c>
      <c r="B46" s="4" t="s">
        <v>70</v>
      </c>
      <c r="C46">
        <v>63</v>
      </c>
    </row>
    <row r="47" spans="1:5" x14ac:dyDescent="0.2">
      <c r="A47" s="2">
        <v>45366</v>
      </c>
      <c r="B47" s="4" t="s">
        <v>79</v>
      </c>
      <c r="C47">
        <v>7</v>
      </c>
    </row>
    <row r="48" spans="1:5" x14ac:dyDescent="0.2">
      <c r="A48" s="2">
        <v>45367</v>
      </c>
      <c r="B48" s="4" t="s">
        <v>225</v>
      </c>
      <c r="D48">
        <v>55</v>
      </c>
    </row>
    <row r="49" spans="1:4" x14ac:dyDescent="0.2">
      <c r="A49" s="5">
        <v>45370</v>
      </c>
      <c r="B49" s="4" t="s">
        <v>325</v>
      </c>
      <c r="D49">
        <v>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43CA-766D-D74B-8BA2-204A3554BC41}">
  <dimension ref="A1:E13"/>
  <sheetViews>
    <sheetView workbookViewId="0">
      <selection activeCell="C14" sqref="C14"/>
    </sheetView>
  </sheetViews>
  <sheetFormatPr baseColWidth="10" defaultRowHeight="16" x14ac:dyDescent="0.2"/>
  <cols>
    <col min="2" max="2" width="25.83203125" customWidth="1"/>
  </cols>
  <sheetData>
    <row r="1" spans="1:5" x14ac:dyDescent="0.2">
      <c r="A1" t="s">
        <v>27</v>
      </c>
    </row>
    <row r="3" spans="1:5" x14ac:dyDescent="0.2">
      <c r="B3" t="s">
        <v>16</v>
      </c>
      <c r="E3">
        <v>20</v>
      </c>
    </row>
    <row r="4" spans="1:5" x14ac:dyDescent="0.2">
      <c r="A4" s="5">
        <v>45301</v>
      </c>
      <c r="B4" s="4" t="s">
        <v>143</v>
      </c>
      <c r="D4">
        <v>20</v>
      </c>
      <c r="E4">
        <f>E3+C4-D4</f>
        <v>0</v>
      </c>
    </row>
    <row r="5" spans="1:5" x14ac:dyDescent="0.2">
      <c r="A5" s="2">
        <v>45303</v>
      </c>
      <c r="B5" t="s">
        <v>64</v>
      </c>
      <c r="C5">
        <v>2</v>
      </c>
    </row>
    <row r="6" spans="1:5" x14ac:dyDescent="0.2">
      <c r="A6" s="2">
        <v>45311</v>
      </c>
      <c r="B6" t="s">
        <v>64</v>
      </c>
      <c r="C6">
        <v>4</v>
      </c>
    </row>
    <row r="7" spans="1:5" x14ac:dyDescent="0.2">
      <c r="A7" s="2">
        <v>45337</v>
      </c>
      <c r="B7" t="s">
        <v>81</v>
      </c>
      <c r="C7">
        <v>13</v>
      </c>
    </row>
    <row r="8" spans="1:5" x14ac:dyDescent="0.2">
      <c r="A8" s="5">
        <v>45338</v>
      </c>
      <c r="B8" s="4" t="s">
        <v>192</v>
      </c>
      <c r="C8">
        <v>3</v>
      </c>
    </row>
    <row r="9" spans="1:5" x14ac:dyDescent="0.2">
      <c r="A9" s="5">
        <v>45350</v>
      </c>
      <c r="B9" s="4" t="s">
        <v>168</v>
      </c>
      <c r="C9">
        <v>27</v>
      </c>
    </row>
    <row r="10" spans="1:5" x14ac:dyDescent="0.2">
      <c r="A10" s="2">
        <v>45353</v>
      </c>
      <c r="B10" t="s">
        <v>168</v>
      </c>
      <c r="D10">
        <v>12</v>
      </c>
    </row>
    <row r="11" spans="1:5" x14ac:dyDescent="0.2">
      <c r="A11" s="2">
        <v>45355</v>
      </c>
      <c r="B11" t="s">
        <v>81</v>
      </c>
      <c r="C11">
        <v>10</v>
      </c>
    </row>
    <row r="12" spans="1:5" x14ac:dyDescent="0.2">
      <c r="A12" s="2">
        <v>45356</v>
      </c>
      <c r="B12" t="s">
        <v>81</v>
      </c>
      <c r="D12">
        <v>13</v>
      </c>
    </row>
    <row r="13" spans="1:5" x14ac:dyDescent="0.2">
      <c r="A13" s="5">
        <v>45365</v>
      </c>
      <c r="B13" s="4" t="s">
        <v>70</v>
      </c>
      <c r="C13">
        <v>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91FB-9485-0D4B-AD7E-FB659CAFE2FC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28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630C-53C1-DC48-A752-EC6080865B67}">
  <dimension ref="A1:E37"/>
  <sheetViews>
    <sheetView topLeftCell="A14" workbookViewId="0">
      <selection activeCell="C37" sqref="C37"/>
    </sheetView>
  </sheetViews>
  <sheetFormatPr baseColWidth="10" defaultRowHeight="16" x14ac:dyDescent="0.2"/>
  <cols>
    <col min="2" max="2" width="26.5" customWidth="1"/>
  </cols>
  <sheetData>
    <row r="1" spans="1:5" x14ac:dyDescent="0.2">
      <c r="A1" t="s">
        <v>29</v>
      </c>
    </row>
    <row r="3" spans="1:5" x14ac:dyDescent="0.2">
      <c r="B3" t="s">
        <v>16</v>
      </c>
      <c r="E3">
        <v>85</v>
      </c>
    </row>
    <row r="4" spans="1:5" x14ac:dyDescent="0.2">
      <c r="A4" s="5">
        <v>45301</v>
      </c>
      <c r="B4" s="4" t="s">
        <v>143</v>
      </c>
      <c r="D4">
        <v>35</v>
      </c>
      <c r="E4">
        <f>E3+C4-D4</f>
        <v>50</v>
      </c>
    </row>
    <row r="5" spans="1:5" x14ac:dyDescent="0.2">
      <c r="A5" s="5">
        <v>45302</v>
      </c>
      <c r="B5" s="4" t="s">
        <v>153</v>
      </c>
      <c r="C5">
        <v>30</v>
      </c>
      <c r="E5">
        <f t="shared" ref="E5:E7" si="0">E4+C5-D5</f>
        <v>80</v>
      </c>
    </row>
    <row r="6" spans="1:5" x14ac:dyDescent="0.2">
      <c r="A6" s="5">
        <v>45302</v>
      </c>
      <c r="B6" s="4" t="s">
        <v>82</v>
      </c>
      <c r="D6">
        <v>30</v>
      </c>
      <c r="E6">
        <f t="shared" si="0"/>
        <v>50</v>
      </c>
    </row>
    <row r="7" spans="1:5" x14ac:dyDescent="0.2">
      <c r="A7" s="2">
        <v>45305</v>
      </c>
      <c r="B7" s="4" t="s">
        <v>49</v>
      </c>
      <c r="D7">
        <v>50</v>
      </c>
      <c r="E7">
        <f t="shared" si="0"/>
        <v>0</v>
      </c>
    </row>
    <row r="8" spans="1:5" x14ac:dyDescent="0.2">
      <c r="A8" s="2">
        <v>45308</v>
      </c>
      <c r="B8" s="4" t="s">
        <v>168</v>
      </c>
      <c r="C8">
        <v>162</v>
      </c>
      <c r="E8">
        <v>162</v>
      </c>
    </row>
    <row r="9" spans="1:5" x14ac:dyDescent="0.2">
      <c r="A9" s="2">
        <v>45309</v>
      </c>
      <c r="B9" s="4" t="s">
        <v>192</v>
      </c>
      <c r="D9">
        <v>29</v>
      </c>
      <c r="E9">
        <f>E8+C9-D9</f>
        <v>133</v>
      </c>
    </row>
    <row r="10" spans="1:5" x14ac:dyDescent="0.2">
      <c r="A10" s="2">
        <v>45311</v>
      </c>
      <c r="B10" s="4" t="s">
        <v>205</v>
      </c>
      <c r="D10">
        <v>100</v>
      </c>
      <c r="E10">
        <f t="shared" ref="E10:E19" si="1">E9+C10-D10</f>
        <v>33</v>
      </c>
    </row>
    <row r="11" spans="1:5" x14ac:dyDescent="0.2">
      <c r="A11" s="2">
        <v>45311</v>
      </c>
      <c r="B11" s="4" t="s">
        <v>64</v>
      </c>
      <c r="C11">
        <v>8</v>
      </c>
      <c r="E11">
        <f t="shared" si="1"/>
        <v>41</v>
      </c>
    </row>
    <row r="12" spans="1:5" x14ac:dyDescent="0.2">
      <c r="A12" s="2">
        <v>45311</v>
      </c>
      <c r="B12" s="4" t="s">
        <v>207</v>
      </c>
      <c r="C12">
        <v>8</v>
      </c>
      <c r="E12">
        <f t="shared" si="1"/>
        <v>49</v>
      </c>
    </row>
    <row r="13" spans="1:5" x14ac:dyDescent="0.2">
      <c r="A13" s="2">
        <v>45313</v>
      </c>
      <c r="B13" s="4" t="s">
        <v>49</v>
      </c>
      <c r="D13">
        <v>10</v>
      </c>
      <c r="E13">
        <f t="shared" si="1"/>
        <v>39</v>
      </c>
    </row>
    <row r="14" spans="1:5" x14ac:dyDescent="0.2">
      <c r="A14" s="2">
        <v>45627</v>
      </c>
      <c r="B14" s="4" t="s">
        <v>168</v>
      </c>
      <c r="C14">
        <v>189</v>
      </c>
      <c r="E14">
        <f t="shared" si="1"/>
        <v>228</v>
      </c>
    </row>
    <row r="15" spans="1:5" x14ac:dyDescent="0.2">
      <c r="A15" s="3">
        <v>45324</v>
      </c>
      <c r="B15" s="4" t="s">
        <v>82</v>
      </c>
      <c r="D15">
        <v>100</v>
      </c>
      <c r="E15">
        <f t="shared" si="1"/>
        <v>128</v>
      </c>
    </row>
    <row r="16" spans="1:5" x14ac:dyDescent="0.2">
      <c r="A16" s="1">
        <v>45325</v>
      </c>
      <c r="B16" s="4" t="s">
        <v>222</v>
      </c>
      <c r="D16">
        <v>120</v>
      </c>
      <c r="E16">
        <f t="shared" si="1"/>
        <v>8</v>
      </c>
    </row>
    <row r="17" spans="1:5" x14ac:dyDescent="0.2">
      <c r="A17" s="1">
        <v>45327</v>
      </c>
      <c r="B17" s="4" t="s">
        <v>165</v>
      </c>
      <c r="C17">
        <v>2</v>
      </c>
      <c r="E17">
        <f t="shared" si="1"/>
        <v>10</v>
      </c>
    </row>
    <row r="18" spans="1:5" x14ac:dyDescent="0.2">
      <c r="A18" s="5">
        <v>45328</v>
      </c>
      <c r="B18" s="4" t="s">
        <v>81</v>
      </c>
      <c r="C18">
        <v>50</v>
      </c>
      <c r="E18">
        <f t="shared" si="1"/>
        <v>60</v>
      </c>
    </row>
    <row r="19" spans="1:5" x14ac:dyDescent="0.2">
      <c r="A19" s="5">
        <v>45331</v>
      </c>
      <c r="B19" s="4" t="s">
        <v>192</v>
      </c>
      <c r="C19">
        <v>35</v>
      </c>
      <c r="E19">
        <f t="shared" si="1"/>
        <v>95</v>
      </c>
    </row>
    <row r="20" spans="1:5" x14ac:dyDescent="0.2">
      <c r="A20" s="5">
        <v>45331</v>
      </c>
      <c r="B20" s="4" t="s">
        <v>225</v>
      </c>
      <c r="D20">
        <v>35</v>
      </c>
      <c r="E20">
        <f>E19+C20-D20</f>
        <v>60</v>
      </c>
    </row>
    <row r="21" spans="1:5" x14ac:dyDescent="0.2">
      <c r="A21" s="2">
        <v>45337</v>
      </c>
      <c r="B21" s="4" t="s">
        <v>81</v>
      </c>
      <c r="C21">
        <v>131</v>
      </c>
      <c r="E21">
        <f t="shared" ref="E21:E24" si="2">E20+C21-D21</f>
        <v>191</v>
      </c>
    </row>
    <row r="22" spans="1:5" x14ac:dyDescent="0.2">
      <c r="A22" s="2">
        <v>45337</v>
      </c>
      <c r="B22" s="4" t="s">
        <v>222</v>
      </c>
      <c r="D22">
        <v>131</v>
      </c>
      <c r="E22">
        <f t="shared" si="2"/>
        <v>60</v>
      </c>
    </row>
    <row r="23" spans="1:5" x14ac:dyDescent="0.2">
      <c r="A23" s="5">
        <v>45338</v>
      </c>
      <c r="B23" s="4" t="s">
        <v>192</v>
      </c>
      <c r="C23">
        <v>3</v>
      </c>
      <c r="E23">
        <f t="shared" si="2"/>
        <v>63</v>
      </c>
    </row>
    <row r="24" spans="1:5" x14ac:dyDescent="0.2">
      <c r="A24" s="2">
        <v>45341</v>
      </c>
      <c r="B24" s="4" t="s">
        <v>99</v>
      </c>
      <c r="D24">
        <v>50</v>
      </c>
      <c r="E24">
        <f t="shared" si="2"/>
        <v>13</v>
      </c>
    </row>
    <row r="25" spans="1:5" x14ac:dyDescent="0.2">
      <c r="A25" s="5">
        <v>45343</v>
      </c>
      <c r="B25" s="4" t="s">
        <v>225</v>
      </c>
      <c r="D25">
        <v>3</v>
      </c>
      <c r="E25">
        <v>10</v>
      </c>
    </row>
    <row r="26" spans="1:5" x14ac:dyDescent="0.2">
      <c r="A26" s="5">
        <v>45350</v>
      </c>
      <c r="B26" s="4" t="s">
        <v>168</v>
      </c>
      <c r="C26">
        <v>126</v>
      </c>
      <c r="E26">
        <f>E25+C26-D26</f>
        <v>136</v>
      </c>
    </row>
    <row r="27" spans="1:5" x14ac:dyDescent="0.2">
      <c r="A27" s="2">
        <v>45351</v>
      </c>
      <c r="B27" s="4" t="s">
        <v>103</v>
      </c>
      <c r="D27">
        <v>98</v>
      </c>
      <c r="E27">
        <f>E26+C27-D27</f>
        <v>38</v>
      </c>
    </row>
    <row r="28" spans="1:5" x14ac:dyDescent="0.2">
      <c r="A28" s="2">
        <v>45352</v>
      </c>
      <c r="B28" s="4" t="s">
        <v>297</v>
      </c>
      <c r="D28">
        <v>26</v>
      </c>
      <c r="E28">
        <f t="shared" ref="E28:E37" si="3">E27+C28-D28</f>
        <v>12</v>
      </c>
    </row>
    <row r="29" spans="1:5" x14ac:dyDescent="0.2">
      <c r="A29" s="2">
        <v>45355</v>
      </c>
      <c r="B29" s="4" t="s">
        <v>222</v>
      </c>
      <c r="C29">
        <v>129</v>
      </c>
      <c r="E29">
        <f t="shared" si="3"/>
        <v>141</v>
      </c>
    </row>
    <row r="30" spans="1:5" x14ac:dyDescent="0.2">
      <c r="A30" s="2">
        <v>45355</v>
      </c>
      <c r="B30" s="4" t="s">
        <v>81</v>
      </c>
      <c r="D30">
        <v>129</v>
      </c>
      <c r="E30">
        <f t="shared" si="3"/>
        <v>12</v>
      </c>
    </row>
    <row r="31" spans="1:5" x14ac:dyDescent="0.2">
      <c r="A31" s="2">
        <v>45355</v>
      </c>
      <c r="B31" s="4" t="s">
        <v>81</v>
      </c>
      <c r="C31">
        <v>7</v>
      </c>
      <c r="E31">
        <f t="shared" si="3"/>
        <v>19</v>
      </c>
    </row>
    <row r="32" spans="1:5" x14ac:dyDescent="0.2">
      <c r="A32" s="2">
        <v>45355</v>
      </c>
      <c r="B32" s="4" t="s">
        <v>82</v>
      </c>
      <c r="D32">
        <v>7</v>
      </c>
      <c r="E32">
        <f t="shared" si="3"/>
        <v>12</v>
      </c>
    </row>
    <row r="33" spans="1:5" x14ac:dyDescent="0.2">
      <c r="A33" s="2">
        <v>45364</v>
      </c>
      <c r="B33" s="4" t="s">
        <v>312</v>
      </c>
      <c r="D33">
        <v>34</v>
      </c>
      <c r="E33">
        <f t="shared" si="3"/>
        <v>-22</v>
      </c>
    </row>
    <row r="34" spans="1:5" x14ac:dyDescent="0.2">
      <c r="A34" s="2">
        <v>45369</v>
      </c>
      <c r="B34" s="4" t="s">
        <v>191</v>
      </c>
      <c r="C34">
        <v>38</v>
      </c>
      <c r="E34">
        <v>0</v>
      </c>
    </row>
    <row r="35" spans="1:5" x14ac:dyDescent="0.2">
      <c r="A35" s="2">
        <v>45369</v>
      </c>
      <c r="B35" s="4" t="s">
        <v>312</v>
      </c>
      <c r="D35">
        <v>58</v>
      </c>
      <c r="E35">
        <f t="shared" si="3"/>
        <v>-58</v>
      </c>
    </row>
    <row r="36" spans="1:5" x14ac:dyDescent="0.2">
      <c r="A36" s="5">
        <v>45370</v>
      </c>
      <c r="B36" s="4" t="s">
        <v>299</v>
      </c>
      <c r="C36">
        <v>5</v>
      </c>
      <c r="E36">
        <f t="shared" si="3"/>
        <v>-53</v>
      </c>
    </row>
    <row r="37" spans="1:5" x14ac:dyDescent="0.2">
      <c r="E37">
        <f t="shared" si="3"/>
        <v>-53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EBD6-0E44-B64B-BD3E-9095C5290859}">
  <dimension ref="A1:E30"/>
  <sheetViews>
    <sheetView topLeftCell="A9" workbookViewId="0">
      <selection activeCell="C28" sqref="C28"/>
    </sheetView>
  </sheetViews>
  <sheetFormatPr baseColWidth="10" defaultRowHeight="16" x14ac:dyDescent="0.2"/>
  <cols>
    <col min="2" max="2" width="30.33203125" customWidth="1"/>
  </cols>
  <sheetData>
    <row r="1" spans="1:5" x14ac:dyDescent="0.2">
      <c r="A1" t="s">
        <v>30</v>
      </c>
    </row>
    <row r="3" spans="1:5" x14ac:dyDescent="0.2">
      <c r="B3" t="s">
        <v>16</v>
      </c>
      <c r="E3">
        <v>396</v>
      </c>
    </row>
    <row r="4" spans="1:5" x14ac:dyDescent="0.2">
      <c r="A4" s="5">
        <v>45298</v>
      </c>
      <c r="B4" s="4" t="s">
        <v>222</v>
      </c>
      <c r="D4">
        <v>320</v>
      </c>
    </row>
    <row r="5" spans="1:5" x14ac:dyDescent="0.2">
      <c r="A5" s="2">
        <v>45299</v>
      </c>
      <c r="B5" t="s">
        <v>129</v>
      </c>
      <c r="D5">
        <v>76</v>
      </c>
      <c r="E5">
        <v>0</v>
      </c>
    </row>
    <row r="6" spans="1:5" x14ac:dyDescent="0.2">
      <c r="A6" s="2">
        <v>45300</v>
      </c>
      <c r="B6" t="s">
        <v>81</v>
      </c>
      <c r="C6">
        <v>106</v>
      </c>
      <c r="E6">
        <v>106</v>
      </c>
    </row>
    <row r="7" spans="1:5" x14ac:dyDescent="0.2">
      <c r="A7" s="5">
        <v>45301</v>
      </c>
      <c r="B7" s="4" t="s">
        <v>143</v>
      </c>
      <c r="D7">
        <v>20</v>
      </c>
      <c r="E7">
        <f>E6+C7-D7</f>
        <v>86</v>
      </c>
    </row>
    <row r="8" spans="1:5" x14ac:dyDescent="0.2">
      <c r="A8" s="5">
        <v>45302</v>
      </c>
      <c r="B8" s="4" t="s">
        <v>82</v>
      </c>
      <c r="D8">
        <v>25</v>
      </c>
      <c r="E8">
        <f t="shared" ref="E8:E12" si="0">E7+C8-D8</f>
        <v>61</v>
      </c>
    </row>
    <row r="9" spans="1:5" x14ac:dyDescent="0.2">
      <c r="A9" s="2">
        <v>45303</v>
      </c>
      <c r="B9" s="4" t="s">
        <v>82</v>
      </c>
      <c r="D9">
        <v>15</v>
      </c>
      <c r="E9">
        <f t="shared" si="0"/>
        <v>46</v>
      </c>
    </row>
    <row r="10" spans="1:5" x14ac:dyDescent="0.2">
      <c r="A10" s="2">
        <v>45303</v>
      </c>
      <c r="B10" s="4" t="s">
        <v>64</v>
      </c>
      <c r="C10">
        <v>39</v>
      </c>
      <c r="E10">
        <f t="shared" si="0"/>
        <v>85</v>
      </c>
    </row>
    <row r="11" spans="1:5" x14ac:dyDescent="0.2">
      <c r="A11" s="2">
        <v>45305</v>
      </c>
      <c r="B11" s="4" t="s">
        <v>49</v>
      </c>
      <c r="D11">
        <v>40</v>
      </c>
      <c r="E11">
        <f t="shared" si="0"/>
        <v>45</v>
      </c>
    </row>
    <row r="12" spans="1:5" x14ac:dyDescent="0.2">
      <c r="A12" s="2">
        <v>45308</v>
      </c>
      <c r="B12" s="4" t="s">
        <v>70</v>
      </c>
      <c r="D12">
        <v>20</v>
      </c>
      <c r="E12">
        <f t="shared" si="0"/>
        <v>25</v>
      </c>
    </row>
    <row r="13" spans="1:5" x14ac:dyDescent="0.2">
      <c r="A13" s="2">
        <v>45308</v>
      </c>
      <c r="B13" s="4" t="s">
        <v>168</v>
      </c>
      <c r="C13">
        <v>147</v>
      </c>
      <c r="E13">
        <f>E12+C13-D13</f>
        <v>172</v>
      </c>
    </row>
    <row r="14" spans="1:5" x14ac:dyDescent="0.2">
      <c r="A14" s="2">
        <v>45309</v>
      </c>
      <c r="B14" s="4" t="s">
        <v>192</v>
      </c>
      <c r="D14">
        <v>10</v>
      </c>
      <c r="E14">
        <f t="shared" ref="E14:E23" si="1">E13+C14-D14</f>
        <v>162</v>
      </c>
    </row>
    <row r="15" spans="1:5" x14ac:dyDescent="0.2">
      <c r="A15" s="5">
        <v>45311</v>
      </c>
      <c r="B15" s="4" t="s">
        <v>64</v>
      </c>
      <c r="C15">
        <v>14</v>
      </c>
      <c r="E15">
        <f t="shared" si="1"/>
        <v>176</v>
      </c>
    </row>
    <row r="16" spans="1:5" x14ac:dyDescent="0.2">
      <c r="A16" s="2">
        <v>45313</v>
      </c>
      <c r="B16" s="4" t="s">
        <v>192</v>
      </c>
      <c r="D16">
        <v>10</v>
      </c>
      <c r="E16">
        <f t="shared" si="1"/>
        <v>166</v>
      </c>
    </row>
    <row r="17" spans="1:5" x14ac:dyDescent="0.2">
      <c r="A17" s="2">
        <v>45323</v>
      </c>
      <c r="B17" s="4" t="s">
        <v>168</v>
      </c>
      <c r="C17">
        <v>188</v>
      </c>
      <c r="E17">
        <f t="shared" si="1"/>
        <v>354</v>
      </c>
    </row>
    <row r="18" spans="1:5" x14ac:dyDescent="0.2">
      <c r="A18" s="1">
        <v>45324</v>
      </c>
      <c r="B18" s="4" t="s">
        <v>82</v>
      </c>
      <c r="D18">
        <v>100</v>
      </c>
      <c r="E18">
        <f t="shared" si="1"/>
        <v>254</v>
      </c>
    </row>
    <row r="19" spans="1:5" x14ac:dyDescent="0.2">
      <c r="A19" s="2">
        <v>45325</v>
      </c>
      <c r="B19" s="4" t="s">
        <v>222</v>
      </c>
      <c r="D19">
        <v>50</v>
      </c>
      <c r="E19">
        <f t="shared" si="1"/>
        <v>204</v>
      </c>
    </row>
    <row r="20" spans="1:5" x14ac:dyDescent="0.2">
      <c r="A20" s="3">
        <v>45327</v>
      </c>
      <c r="B20" s="4" t="s">
        <v>165</v>
      </c>
      <c r="C20">
        <v>42</v>
      </c>
      <c r="E20">
        <f t="shared" si="1"/>
        <v>246</v>
      </c>
    </row>
    <row r="21" spans="1:5" x14ac:dyDescent="0.2">
      <c r="A21" s="1">
        <v>45331</v>
      </c>
      <c r="B21" s="4" t="s">
        <v>192</v>
      </c>
      <c r="C21">
        <v>30</v>
      </c>
      <c r="E21">
        <f t="shared" si="1"/>
        <v>276</v>
      </c>
    </row>
    <row r="22" spans="1:5" x14ac:dyDescent="0.2">
      <c r="A22" s="5">
        <v>45337</v>
      </c>
      <c r="B22" s="4" t="s">
        <v>129</v>
      </c>
      <c r="C22">
        <v>196</v>
      </c>
      <c r="E22">
        <f t="shared" si="1"/>
        <v>472</v>
      </c>
    </row>
    <row r="23" spans="1:5" x14ac:dyDescent="0.2">
      <c r="A23" s="2">
        <v>45337</v>
      </c>
      <c r="B23" s="4" t="s">
        <v>81</v>
      </c>
      <c r="C23">
        <v>218</v>
      </c>
      <c r="E23">
        <f t="shared" si="1"/>
        <v>690</v>
      </c>
    </row>
    <row r="24" spans="1:5" x14ac:dyDescent="0.2">
      <c r="A24" s="5">
        <v>45338</v>
      </c>
      <c r="B24" s="4" t="s">
        <v>192</v>
      </c>
      <c r="C24">
        <v>1</v>
      </c>
    </row>
    <row r="25" spans="1:5" x14ac:dyDescent="0.2">
      <c r="A25" s="2">
        <v>45350</v>
      </c>
      <c r="B25" s="4" t="s">
        <v>168</v>
      </c>
      <c r="C25">
        <v>17</v>
      </c>
    </row>
    <row r="26" spans="1:5" x14ac:dyDescent="0.2">
      <c r="A26" s="2">
        <v>45356</v>
      </c>
      <c r="B26" s="4" t="s">
        <v>81</v>
      </c>
      <c r="D26">
        <v>218</v>
      </c>
    </row>
    <row r="27" spans="1:5" x14ac:dyDescent="0.2">
      <c r="A27" s="2">
        <v>45357</v>
      </c>
      <c r="B27" s="4" t="s">
        <v>82</v>
      </c>
      <c r="C27">
        <v>36</v>
      </c>
    </row>
    <row r="28" spans="1:5" x14ac:dyDescent="0.2">
      <c r="A28" s="2">
        <v>45360</v>
      </c>
      <c r="B28" s="4" t="s">
        <v>82</v>
      </c>
      <c r="C28">
        <v>147</v>
      </c>
    </row>
    <row r="29" spans="1:5" x14ac:dyDescent="0.2">
      <c r="A29" s="2">
        <v>45366</v>
      </c>
      <c r="B29" s="4" t="s">
        <v>82</v>
      </c>
      <c r="C29">
        <v>60</v>
      </c>
    </row>
    <row r="30" spans="1:5" x14ac:dyDescent="0.2">
      <c r="A30" s="2">
        <v>45367</v>
      </c>
      <c r="B30" s="4" t="s">
        <v>82</v>
      </c>
      <c r="C30">
        <v>42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B862-8136-1E44-82D4-985625F10500}">
  <dimension ref="A1:C7"/>
  <sheetViews>
    <sheetView workbookViewId="0">
      <selection activeCell="B8" sqref="B8"/>
    </sheetView>
  </sheetViews>
  <sheetFormatPr baseColWidth="10" defaultRowHeight="16" x14ac:dyDescent="0.2"/>
  <cols>
    <col min="2" max="2" width="26.1640625" customWidth="1"/>
  </cols>
  <sheetData>
    <row r="1" spans="1:3" x14ac:dyDescent="0.2">
      <c r="A1" t="s">
        <v>137</v>
      </c>
    </row>
    <row r="4" spans="1:3" x14ac:dyDescent="0.2">
      <c r="B4" t="s">
        <v>16</v>
      </c>
    </row>
    <row r="5" spans="1:3" x14ac:dyDescent="0.2">
      <c r="A5" s="1">
        <v>45300</v>
      </c>
      <c r="B5" t="s">
        <v>81</v>
      </c>
      <c r="C5">
        <v>40</v>
      </c>
    </row>
    <row r="6" spans="1:3" x14ac:dyDescent="0.2">
      <c r="A6" s="3">
        <v>45327</v>
      </c>
      <c r="B6" s="4" t="s">
        <v>165</v>
      </c>
      <c r="C6">
        <v>25</v>
      </c>
    </row>
    <row r="7" spans="1:3" x14ac:dyDescent="0.2">
      <c r="A7" s="2">
        <v>45337</v>
      </c>
      <c r="B7" t="s">
        <v>81</v>
      </c>
      <c r="C7">
        <v>98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381C-B9A5-A242-9E7E-FC26B7DE8857}">
  <dimension ref="A1:D19"/>
  <sheetViews>
    <sheetView workbookViewId="0">
      <selection activeCell="I16" sqref="I16"/>
    </sheetView>
  </sheetViews>
  <sheetFormatPr baseColWidth="10" defaultRowHeight="16" x14ac:dyDescent="0.2"/>
  <cols>
    <col min="2" max="2" width="40.6640625" customWidth="1"/>
  </cols>
  <sheetData>
    <row r="1" spans="1:4" x14ac:dyDescent="0.2">
      <c r="A1" t="s">
        <v>31</v>
      </c>
    </row>
    <row r="3" spans="1:4" x14ac:dyDescent="0.2">
      <c r="B3" t="s">
        <v>16</v>
      </c>
    </row>
    <row r="4" spans="1:4" x14ac:dyDescent="0.2">
      <c r="A4" s="2">
        <v>45298</v>
      </c>
      <c r="B4" t="s">
        <v>85</v>
      </c>
      <c r="C4">
        <v>57</v>
      </c>
    </row>
    <row r="5" spans="1:4" x14ac:dyDescent="0.2">
      <c r="A5" s="2">
        <v>45300</v>
      </c>
      <c r="B5" t="s">
        <v>82</v>
      </c>
      <c r="C5">
        <v>100</v>
      </c>
    </row>
    <row r="6" spans="1:4" x14ac:dyDescent="0.2">
      <c r="A6" s="2">
        <v>45310</v>
      </c>
      <c r="B6" t="s">
        <v>204</v>
      </c>
      <c r="C6">
        <v>71</v>
      </c>
    </row>
    <row r="7" spans="1:4" x14ac:dyDescent="0.2">
      <c r="A7" s="2">
        <v>45311</v>
      </c>
      <c r="B7" t="s">
        <v>145</v>
      </c>
      <c r="C7">
        <v>140</v>
      </c>
    </row>
    <row r="8" spans="1:4" x14ac:dyDescent="0.2">
      <c r="A8" s="2">
        <v>45313</v>
      </c>
      <c r="B8" t="s">
        <v>145</v>
      </c>
      <c r="C8">
        <v>60</v>
      </c>
    </row>
    <row r="9" spans="1:4" x14ac:dyDescent="0.2">
      <c r="A9" s="2">
        <v>45317</v>
      </c>
      <c r="B9" t="s">
        <v>221</v>
      </c>
      <c r="D9">
        <v>72</v>
      </c>
    </row>
    <row r="10" spans="1:4" x14ac:dyDescent="0.2">
      <c r="A10" s="2">
        <v>45318</v>
      </c>
      <c r="B10" t="s">
        <v>224</v>
      </c>
      <c r="D10">
        <v>20</v>
      </c>
    </row>
    <row r="11" spans="1:4" x14ac:dyDescent="0.2">
      <c r="A11" s="1">
        <v>45324</v>
      </c>
      <c r="B11" t="s">
        <v>230</v>
      </c>
      <c r="D11">
        <v>50</v>
      </c>
    </row>
    <row r="12" spans="1:4" x14ac:dyDescent="0.2">
      <c r="A12" s="2">
        <v>45334</v>
      </c>
      <c r="B12" t="s">
        <v>248</v>
      </c>
      <c r="C12">
        <v>30</v>
      </c>
    </row>
    <row r="13" spans="1:4" x14ac:dyDescent="0.2">
      <c r="A13" s="2">
        <v>45335</v>
      </c>
      <c r="B13" t="s">
        <v>254</v>
      </c>
      <c r="D13">
        <v>10</v>
      </c>
    </row>
    <row r="14" spans="1:4" x14ac:dyDescent="0.2">
      <c r="A14" s="2">
        <v>45328</v>
      </c>
      <c r="B14" t="s">
        <v>145</v>
      </c>
      <c r="C14">
        <v>125</v>
      </c>
    </row>
    <row r="15" spans="1:4" x14ac:dyDescent="0.2">
      <c r="A15" s="2">
        <v>45343</v>
      </c>
      <c r="B15" t="s">
        <v>273</v>
      </c>
      <c r="D15">
        <v>50</v>
      </c>
    </row>
    <row r="16" spans="1:4" x14ac:dyDescent="0.2">
      <c r="A16" s="5">
        <v>45350</v>
      </c>
      <c r="B16" s="4" t="s">
        <v>293</v>
      </c>
      <c r="C16">
        <v>10</v>
      </c>
    </row>
    <row r="17" spans="1:4" x14ac:dyDescent="0.2">
      <c r="A17" s="2">
        <v>45350</v>
      </c>
      <c r="B17" t="s">
        <v>82</v>
      </c>
      <c r="C17">
        <v>102</v>
      </c>
    </row>
    <row r="18" spans="1:4" x14ac:dyDescent="0.2">
      <c r="A18" s="2">
        <v>45356</v>
      </c>
      <c r="B18" t="s">
        <v>304</v>
      </c>
      <c r="D18">
        <v>100</v>
      </c>
    </row>
    <row r="19" spans="1:4" x14ac:dyDescent="0.2">
      <c r="A19" s="5">
        <v>45356</v>
      </c>
      <c r="B19" s="6" t="s">
        <v>305</v>
      </c>
      <c r="C19" s="6"/>
      <c r="D19" s="6"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5F23-BFBE-FF42-B983-538835D8B8B1}">
  <dimension ref="A1:E19"/>
  <sheetViews>
    <sheetView workbookViewId="0">
      <selection activeCell="B20" sqref="B20"/>
    </sheetView>
  </sheetViews>
  <sheetFormatPr baseColWidth="10" defaultRowHeight="16" x14ac:dyDescent="0.2"/>
  <cols>
    <col min="2" max="2" width="30" customWidth="1"/>
  </cols>
  <sheetData>
    <row r="1" spans="1:5" x14ac:dyDescent="0.2">
      <c r="A1" t="s">
        <v>32</v>
      </c>
    </row>
    <row r="3" spans="1:5" x14ac:dyDescent="0.2">
      <c r="C3" t="s">
        <v>45</v>
      </c>
      <c r="D3" t="s">
        <v>46</v>
      </c>
      <c r="E3" t="s">
        <v>47</v>
      </c>
    </row>
    <row r="4" spans="1:5" x14ac:dyDescent="0.2">
      <c r="A4" s="1"/>
      <c r="B4" t="s">
        <v>48</v>
      </c>
      <c r="E4">
        <v>33</v>
      </c>
    </row>
    <row r="5" spans="1:5" x14ac:dyDescent="0.2">
      <c r="A5" s="1">
        <v>45293</v>
      </c>
      <c r="B5" t="s">
        <v>49</v>
      </c>
      <c r="D5">
        <v>8</v>
      </c>
      <c r="E5">
        <f>E4+C5-D5</f>
        <v>25</v>
      </c>
    </row>
    <row r="6" spans="1:5" x14ac:dyDescent="0.2">
      <c r="A6" s="1">
        <v>45310</v>
      </c>
      <c r="B6" t="s">
        <v>201</v>
      </c>
      <c r="D6">
        <v>4</v>
      </c>
      <c r="E6">
        <f t="shared" ref="E6:E11" si="0">E5+C6-D6</f>
        <v>21</v>
      </c>
    </row>
    <row r="7" spans="1:5" x14ac:dyDescent="0.2">
      <c r="A7" s="1">
        <v>45314</v>
      </c>
      <c r="B7" t="s">
        <v>201</v>
      </c>
      <c r="C7">
        <v>4</v>
      </c>
      <c r="E7">
        <f t="shared" si="0"/>
        <v>25</v>
      </c>
    </row>
    <row r="8" spans="1:5" x14ac:dyDescent="0.2">
      <c r="A8" s="2">
        <v>45338</v>
      </c>
      <c r="B8" t="s">
        <v>261</v>
      </c>
      <c r="D8">
        <v>8</v>
      </c>
      <c r="E8">
        <f t="shared" si="0"/>
        <v>17</v>
      </c>
    </row>
    <row r="9" spans="1:5" x14ac:dyDescent="0.2">
      <c r="A9" s="2">
        <v>45339</v>
      </c>
      <c r="B9" t="s">
        <v>49</v>
      </c>
      <c r="D9">
        <v>16</v>
      </c>
      <c r="E9">
        <f t="shared" si="0"/>
        <v>1</v>
      </c>
    </row>
    <row r="10" spans="1:5" x14ac:dyDescent="0.2">
      <c r="A10" s="2">
        <v>45339</v>
      </c>
      <c r="B10" t="s">
        <v>265</v>
      </c>
      <c r="C10">
        <v>8</v>
      </c>
      <c r="E10">
        <f t="shared" si="0"/>
        <v>9</v>
      </c>
    </row>
    <row r="11" spans="1:5" x14ac:dyDescent="0.2">
      <c r="A11" s="2">
        <v>45342</v>
      </c>
      <c r="B11" t="s">
        <v>265</v>
      </c>
      <c r="C11">
        <v>32</v>
      </c>
      <c r="E11">
        <f t="shared" si="0"/>
        <v>41</v>
      </c>
    </row>
    <row r="12" spans="1:5" x14ac:dyDescent="0.2">
      <c r="A12" s="2">
        <v>45343</v>
      </c>
      <c r="B12" t="s">
        <v>49</v>
      </c>
      <c r="D12">
        <v>12</v>
      </c>
    </row>
    <row r="13" spans="1:5" x14ac:dyDescent="0.2">
      <c r="A13" s="2">
        <v>45346</v>
      </c>
      <c r="B13" t="s">
        <v>49</v>
      </c>
      <c r="D13">
        <v>28</v>
      </c>
    </row>
    <row r="14" spans="1:5" x14ac:dyDescent="0.2">
      <c r="A14" s="2">
        <v>45349</v>
      </c>
      <c r="B14" t="s">
        <v>265</v>
      </c>
      <c r="C14">
        <v>14</v>
      </c>
    </row>
    <row r="15" spans="1:5" x14ac:dyDescent="0.2">
      <c r="A15" s="2">
        <v>45349</v>
      </c>
      <c r="B15" t="s">
        <v>261</v>
      </c>
      <c r="D15">
        <v>24</v>
      </c>
      <c r="E15">
        <v>0</v>
      </c>
    </row>
    <row r="16" spans="1:5" x14ac:dyDescent="0.2">
      <c r="A16" s="2">
        <v>45349</v>
      </c>
      <c r="B16" t="s">
        <v>70</v>
      </c>
      <c r="C16">
        <v>19</v>
      </c>
    </row>
    <row r="17" spans="1:4" x14ac:dyDescent="0.2">
      <c r="A17" s="5">
        <v>45350</v>
      </c>
      <c r="B17" s="4" t="s">
        <v>209</v>
      </c>
      <c r="C17">
        <v>23</v>
      </c>
    </row>
    <row r="18" spans="1:4" x14ac:dyDescent="0.2">
      <c r="A18" s="2">
        <v>45351</v>
      </c>
      <c r="B18" t="s">
        <v>261</v>
      </c>
      <c r="D18">
        <v>8</v>
      </c>
    </row>
    <row r="19" spans="1:4" x14ac:dyDescent="0.2">
      <c r="A19" s="2">
        <v>45366</v>
      </c>
      <c r="B19" t="s">
        <v>103</v>
      </c>
      <c r="D19">
        <v>20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2E53-F695-6245-8539-7283ABE07602}">
  <dimension ref="A1:C7"/>
  <sheetViews>
    <sheetView workbookViewId="0">
      <selection activeCell="A7" sqref="A7:B7"/>
    </sheetView>
  </sheetViews>
  <sheetFormatPr baseColWidth="10" defaultRowHeight="16" x14ac:dyDescent="0.2"/>
  <cols>
    <col min="2" max="2" width="29.33203125" customWidth="1"/>
  </cols>
  <sheetData>
    <row r="1" spans="1:3" x14ac:dyDescent="0.2">
      <c r="A1" t="s">
        <v>33</v>
      </c>
    </row>
    <row r="4" spans="1:3" x14ac:dyDescent="0.2">
      <c r="A4" s="2">
        <v>45317</v>
      </c>
      <c r="B4" t="s">
        <v>216</v>
      </c>
      <c r="C4">
        <v>24</v>
      </c>
    </row>
    <row r="5" spans="1:3" x14ac:dyDescent="0.2">
      <c r="A5" s="5">
        <v>45322</v>
      </c>
      <c r="B5" s="4" t="s">
        <v>216</v>
      </c>
      <c r="C5">
        <v>9</v>
      </c>
    </row>
    <row r="6" spans="1:3" x14ac:dyDescent="0.2">
      <c r="A6" s="2">
        <v>45334</v>
      </c>
      <c r="B6" t="s">
        <v>216</v>
      </c>
      <c r="C6">
        <v>14</v>
      </c>
    </row>
    <row r="7" spans="1:3" x14ac:dyDescent="0.2">
      <c r="A7" s="5">
        <v>45365</v>
      </c>
      <c r="B7" s="4" t="s">
        <v>216</v>
      </c>
      <c r="C7">
        <v>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445D-1BD6-ED4F-AB15-C5439EE25E8D}">
  <dimension ref="A1"/>
  <sheetViews>
    <sheetView workbookViewId="0">
      <selection activeCell="K20" sqref="K20"/>
    </sheetView>
  </sheetViews>
  <sheetFormatPr baseColWidth="10" defaultRowHeight="16" x14ac:dyDescent="0.2"/>
  <sheetData>
    <row r="1" spans="1:1" x14ac:dyDescent="0.2">
      <c r="A1" t="s">
        <v>34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2178-0B9A-4D42-A5F5-58BD41249AC6}">
  <dimension ref="A1:E6"/>
  <sheetViews>
    <sheetView workbookViewId="0">
      <selection activeCell="B10" sqref="B10"/>
    </sheetView>
  </sheetViews>
  <sheetFormatPr baseColWidth="10" defaultRowHeight="16" x14ac:dyDescent="0.2"/>
  <cols>
    <col min="2" max="2" width="21" customWidth="1"/>
  </cols>
  <sheetData>
    <row r="1" spans="1:5" x14ac:dyDescent="0.2">
      <c r="A1" t="s">
        <v>123</v>
      </c>
    </row>
    <row r="3" spans="1:5" x14ac:dyDescent="0.2">
      <c r="B3" t="s">
        <v>16</v>
      </c>
      <c r="E3">
        <v>311</v>
      </c>
    </row>
    <row r="4" spans="1:5" x14ac:dyDescent="0.2">
      <c r="A4" s="2">
        <v>45314</v>
      </c>
      <c r="B4" t="s">
        <v>91</v>
      </c>
      <c r="C4">
        <v>2</v>
      </c>
    </row>
    <row r="5" spans="1:5" x14ac:dyDescent="0.2">
      <c r="A5" s="5">
        <v>45342</v>
      </c>
      <c r="B5" s="4" t="s">
        <v>91</v>
      </c>
      <c r="C5">
        <v>16</v>
      </c>
    </row>
    <row r="6" spans="1:5" x14ac:dyDescent="0.2">
      <c r="A6" s="5">
        <v>45370</v>
      </c>
      <c r="B6" s="4" t="s">
        <v>91</v>
      </c>
      <c r="C6">
        <v>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9791-F850-DE43-B274-E57909546E15}">
  <dimension ref="A1:E5"/>
  <sheetViews>
    <sheetView workbookViewId="0">
      <selection activeCell="C6" sqref="C6"/>
    </sheetView>
  </sheetViews>
  <sheetFormatPr baseColWidth="10" defaultRowHeight="16" x14ac:dyDescent="0.2"/>
  <cols>
    <col min="2" max="2" width="21.1640625" customWidth="1"/>
  </cols>
  <sheetData>
    <row r="1" spans="1:5" x14ac:dyDescent="0.2">
      <c r="A1" t="s">
        <v>124</v>
      </c>
    </row>
    <row r="3" spans="1:5" x14ac:dyDescent="0.2">
      <c r="B3" t="s">
        <v>16</v>
      </c>
      <c r="E3">
        <v>95</v>
      </c>
    </row>
    <row r="4" spans="1:5" x14ac:dyDescent="0.2">
      <c r="A4" s="5">
        <v>45342</v>
      </c>
      <c r="B4" s="4" t="s">
        <v>91</v>
      </c>
      <c r="C4">
        <v>9</v>
      </c>
    </row>
    <row r="5" spans="1:5" x14ac:dyDescent="0.2">
      <c r="A5" s="5">
        <v>45370</v>
      </c>
      <c r="B5" s="4" t="s">
        <v>91</v>
      </c>
      <c r="C5">
        <v>60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660E-1447-4041-B95C-88DB43E6AF29}">
  <dimension ref="A1:E6"/>
  <sheetViews>
    <sheetView workbookViewId="0">
      <selection activeCell="E7" sqref="E7"/>
    </sheetView>
  </sheetViews>
  <sheetFormatPr baseColWidth="10" defaultRowHeight="16" x14ac:dyDescent="0.2"/>
  <cols>
    <col min="2" max="2" width="23" customWidth="1"/>
  </cols>
  <sheetData>
    <row r="1" spans="1:5" x14ac:dyDescent="0.2">
      <c r="A1" t="s">
        <v>125</v>
      </c>
    </row>
    <row r="3" spans="1:5" x14ac:dyDescent="0.2">
      <c r="B3" t="s">
        <v>16</v>
      </c>
      <c r="E3">
        <v>30</v>
      </c>
    </row>
    <row r="4" spans="1:5" x14ac:dyDescent="0.2">
      <c r="A4" s="5">
        <v>45317</v>
      </c>
      <c r="B4" s="4" t="s">
        <v>91</v>
      </c>
      <c r="C4">
        <v>181</v>
      </c>
    </row>
    <row r="5" spans="1:5" x14ac:dyDescent="0.2">
      <c r="A5" s="5">
        <v>45321</v>
      </c>
      <c r="B5" s="4" t="s">
        <v>91</v>
      </c>
      <c r="C5">
        <v>54</v>
      </c>
    </row>
    <row r="6" spans="1:5" x14ac:dyDescent="0.2">
      <c r="A6" s="5">
        <v>45342</v>
      </c>
      <c r="B6" s="4" t="s">
        <v>91</v>
      </c>
      <c r="C6">
        <v>19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F437-6568-1C4D-AA06-30BF539C2219}">
  <dimension ref="A1:C4"/>
  <sheetViews>
    <sheetView workbookViewId="0">
      <selection activeCell="C5" sqref="C5"/>
    </sheetView>
  </sheetViews>
  <sheetFormatPr baseColWidth="10" defaultRowHeight="16" x14ac:dyDescent="0.2"/>
  <cols>
    <col min="2" max="2" width="21" customWidth="1"/>
  </cols>
  <sheetData>
    <row r="1" spans="1:3" x14ac:dyDescent="0.2">
      <c r="A1" t="s">
        <v>149</v>
      </c>
    </row>
    <row r="3" spans="1:3" x14ac:dyDescent="0.2">
      <c r="B3" t="s">
        <v>150</v>
      </c>
    </row>
    <row r="4" spans="1:3" x14ac:dyDescent="0.2">
      <c r="A4" s="1">
        <v>45301</v>
      </c>
      <c r="B4" t="s">
        <v>148</v>
      </c>
      <c r="C4">
        <v>60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F887-CD34-F74A-BBE3-1A7D41420FB8}">
  <dimension ref="A1:E8"/>
  <sheetViews>
    <sheetView workbookViewId="0">
      <selection activeCell="C9" sqref="C9"/>
    </sheetView>
  </sheetViews>
  <sheetFormatPr baseColWidth="10" defaultRowHeight="16" x14ac:dyDescent="0.2"/>
  <cols>
    <col min="2" max="2" width="21" customWidth="1"/>
  </cols>
  <sheetData>
    <row r="1" spans="1:5" x14ac:dyDescent="0.2">
      <c r="A1" t="s">
        <v>126</v>
      </c>
    </row>
    <row r="3" spans="1:5" x14ac:dyDescent="0.2">
      <c r="B3" t="s">
        <v>16</v>
      </c>
      <c r="E3">
        <v>17</v>
      </c>
    </row>
    <row r="4" spans="1:5" x14ac:dyDescent="0.2">
      <c r="A4" s="2">
        <v>45308</v>
      </c>
      <c r="B4" t="s">
        <v>91</v>
      </c>
      <c r="C4">
        <v>80</v>
      </c>
      <c r="E4">
        <f>E3+C4-D4</f>
        <v>97</v>
      </c>
    </row>
    <row r="5" spans="1:5" x14ac:dyDescent="0.2">
      <c r="A5" s="2">
        <v>45314</v>
      </c>
      <c r="B5" t="s">
        <v>91</v>
      </c>
      <c r="C5">
        <v>12</v>
      </c>
      <c r="E5">
        <f t="shared" ref="E5:E7" si="0">E4+C5-D5</f>
        <v>109</v>
      </c>
    </row>
    <row r="6" spans="1:5" x14ac:dyDescent="0.2">
      <c r="A6" s="2">
        <v>45321</v>
      </c>
      <c r="B6" t="s">
        <v>91</v>
      </c>
      <c r="C6">
        <v>64</v>
      </c>
      <c r="E6">
        <f t="shared" si="0"/>
        <v>173</v>
      </c>
    </row>
    <row r="7" spans="1:5" x14ac:dyDescent="0.2">
      <c r="A7" s="5">
        <v>45342</v>
      </c>
      <c r="B7" s="4" t="s">
        <v>91</v>
      </c>
      <c r="C7">
        <v>67</v>
      </c>
      <c r="E7">
        <f t="shared" si="0"/>
        <v>240</v>
      </c>
    </row>
    <row r="8" spans="1:5" x14ac:dyDescent="0.2">
      <c r="A8" s="5">
        <v>45370</v>
      </c>
      <c r="B8" s="4" t="s">
        <v>91</v>
      </c>
      <c r="C8">
        <v>27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E991-82A5-2648-ADDF-08CCFB39EA0F}">
  <dimension ref="A1:E4"/>
  <sheetViews>
    <sheetView workbookViewId="0">
      <selection activeCell="E5" sqref="E5"/>
    </sheetView>
  </sheetViews>
  <sheetFormatPr baseColWidth="10" defaultRowHeight="16" x14ac:dyDescent="0.2"/>
  <sheetData>
    <row r="1" spans="1:5" x14ac:dyDescent="0.2">
      <c r="A1" t="s">
        <v>285</v>
      </c>
    </row>
    <row r="4" spans="1:5" x14ac:dyDescent="0.2">
      <c r="B4" t="s">
        <v>286</v>
      </c>
      <c r="E4">
        <v>1457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72BD-E5BB-694B-BF14-E98B5C4FF4A1}">
  <dimension ref="A1:E5"/>
  <sheetViews>
    <sheetView workbookViewId="0">
      <selection activeCell="C6" sqref="C6"/>
    </sheetView>
  </sheetViews>
  <sheetFormatPr baseColWidth="10" defaultRowHeight="16" x14ac:dyDescent="0.2"/>
  <cols>
    <col min="2" max="2" width="21.6640625" customWidth="1"/>
  </cols>
  <sheetData>
    <row r="1" spans="1:5" x14ac:dyDescent="0.2">
      <c r="A1" t="s">
        <v>107</v>
      </c>
    </row>
    <row r="3" spans="1:5" x14ac:dyDescent="0.2">
      <c r="B3" t="s">
        <v>90</v>
      </c>
      <c r="E3">
        <v>155</v>
      </c>
    </row>
    <row r="4" spans="1:5" x14ac:dyDescent="0.2">
      <c r="A4" s="1">
        <v>45297</v>
      </c>
      <c r="B4" t="s">
        <v>108</v>
      </c>
      <c r="C4">
        <v>3</v>
      </c>
    </row>
    <row r="5" spans="1:5" x14ac:dyDescent="0.2">
      <c r="A5" s="5">
        <v>45342</v>
      </c>
      <c r="B5" s="4" t="s">
        <v>91</v>
      </c>
      <c r="C5">
        <v>28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57FE-4571-5C4D-9AC4-372AF3B6E4B1}">
  <dimension ref="A1:E15"/>
  <sheetViews>
    <sheetView workbookViewId="0">
      <selection activeCell="C16" sqref="C16"/>
    </sheetView>
  </sheetViews>
  <sheetFormatPr baseColWidth="10" defaultRowHeight="16" x14ac:dyDescent="0.2"/>
  <cols>
    <col min="2" max="2" width="21.83203125" customWidth="1"/>
  </cols>
  <sheetData>
    <row r="1" spans="1:5" x14ac:dyDescent="0.2">
      <c r="A1" t="s">
        <v>106</v>
      </c>
    </row>
    <row r="3" spans="1:5" x14ac:dyDescent="0.2">
      <c r="B3" t="s">
        <v>16</v>
      </c>
      <c r="E3">
        <v>906</v>
      </c>
    </row>
    <row r="4" spans="1:5" x14ac:dyDescent="0.2">
      <c r="A4" s="3">
        <v>45297</v>
      </c>
      <c r="B4" s="4" t="s">
        <v>91</v>
      </c>
      <c r="C4">
        <v>14</v>
      </c>
      <c r="E4">
        <f>E3+C4-D4</f>
        <v>920</v>
      </c>
    </row>
    <row r="5" spans="1:5" x14ac:dyDescent="0.2">
      <c r="A5" s="1">
        <v>45299</v>
      </c>
      <c r="B5" t="s">
        <v>130</v>
      </c>
      <c r="D5">
        <v>98</v>
      </c>
      <c r="E5">
        <f t="shared" ref="E5:E7" si="0">E4+C5-D5</f>
        <v>822</v>
      </c>
    </row>
    <row r="6" spans="1:5" x14ac:dyDescent="0.2">
      <c r="A6" s="1">
        <v>45299</v>
      </c>
      <c r="B6" t="s">
        <v>130</v>
      </c>
      <c r="D6">
        <v>100</v>
      </c>
      <c r="E6">
        <f t="shared" si="0"/>
        <v>722</v>
      </c>
    </row>
    <row r="7" spans="1:5" x14ac:dyDescent="0.2">
      <c r="A7" s="1">
        <v>45306</v>
      </c>
      <c r="B7" t="s">
        <v>91</v>
      </c>
      <c r="C7">
        <v>166</v>
      </c>
      <c r="E7">
        <f t="shared" si="0"/>
        <v>888</v>
      </c>
    </row>
    <row r="8" spans="1:5" x14ac:dyDescent="0.2">
      <c r="A8" s="5">
        <v>45320</v>
      </c>
      <c r="B8" s="4" t="s">
        <v>91</v>
      </c>
      <c r="C8">
        <v>2</v>
      </c>
    </row>
    <row r="9" spans="1:5" x14ac:dyDescent="0.2">
      <c r="A9" s="5">
        <v>45321</v>
      </c>
      <c r="B9" s="4" t="s">
        <v>91</v>
      </c>
      <c r="C9">
        <v>18</v>
      </c>
    </row>
    <row r="10" spans="1:5" x14ac:dyDescent="0.2">
      <c r="A10" s="5">
        <v>45329</v>
      </c>
      <c r="B10" s="4" t="s">
        <v>91</v>
      </c>
      <c r="C10">
        <v>2</v>
      </c>
    </row>
    <row r="11" spans="1:5" x14ac:dyDescent="0.2">
      <c r="A11" s="5">
        <v>45343</v>
      </c>
      <c r="B11" s="4" t="s">
        <v>91</v>
      </c>
      <c r="C11">
        <v>2</v>
      </c>
    </row>
    <row r="12" spans="1:5" x14ac:dyDescent="0.2">
      <c r="A12" s="2">
        <v>45355</v>
      </c>
      <c r="B12" s="4" t="s">
        <v>130</v>
      </c>
      <c r="C12">
        <v>20</v>
      </c>
    </row>
    <row r="13" spans="1:5" x14ac:dyDescent="0.2">
      <c r="A13" s="2">
        <v>45355</v>
      </c>
      <c r="B13" s="4" t="s">
        <v>130</v>
      </c>
      <c r="C13">
        <v>130</v>
      </c>
    </row>
    <row r="14" spans="1:5" x14ac:dyDescent="0.2">
      <c r="A14" s="2">
        <v>45359</v>
      </c>
      <c r="B14" s="4" t="s">
        <v>130</v>
      </c>
      <c r="C14">
        <v>38</v>
      </c>
    </row>
    <row r="15" spans="1:5" x14ac:dyDescent="0.2">
      <c r="A15" s="2">
        <v>45369</v>
      </c>
      <c r="B15" s="4" t="s">
        <v>130</v>
      </c>
      <c r="C15">
        <v>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CE58-BCB5-044C-B0D0-331972E32407}">
  <dimension ref="A1:F24"/>
  <sheetViews>
    <sheetView workbookViewId="0">
      <selection activeCell="C25" sqref="C25"/>
    </sheetView>
  </sheetViews>
  <sheetFormatPr baseColWidth="10" defaultRowHeight="16" x14ac:dyDescent="0.2"/>
  <cols>
    <col min="2" max="2" width="34.5" customWidth="1"/>
  </cols>
  <sheetData>
    <row r="1" spans="1:6" x14ac:dyDescent="0.2">
      <c r="A1" t="s">
        <v>105</v>
      </c>
    </row>
    <row r="3" spans="1:6" x14ac:dyDescent="0.2">
      <c r="B3" t="s">
        <v>16</v>
      </c>
      <c r="E3">
        <v>245</v>
      </c>
    </row>
    <row r="4" spans="1:6" x14ac:dyDescent="0.2">
      <c r="A4" s="1">
        <v>45297</v>
      </c>
      <c r="B4" t="s">
        <v>91</v>
      </c>
      <c r="C4">
        <v>28</v>
      </c>
      <c r="E4">
        <f>E3+C4-D4</f>
        <v>273</v>
      </c>
    </row>
    <row r="5" spans="1:6" x14ac:dyDescent="0.2">
      <c r="A5" s="1">
        <v>45306</v>
      </c>
      <c r="B5" t="s">
        <v>91</v>
      </c>
      <c r="C5">
        <v>12</v>
      </c>
      <c r="E5">
        <f t="shared" ref="E5:E14" si="0">E4+C5-D5</f>
        <v>285</v>
      </c>
    </row>
    <row r="6" spans="1:6" x14ac:dyDescent="0.2">
      <c r="A6" s="1">
        <v>45306</v>
      </c>
      <c r="B6" t="s">
        <v>165</v>
      </c>
      <c r="C6">
        <v>10</v>
      </c>
      <c r="E6">
        <f t="shared" si="0"/>
        <v>295</v>
      </c>
    </row>
    <row r="7" spans="1:6" x14ac:dyDescent="0.2">
      <c r="A7" s="3">
        <v>45307</v>
      </c>
      <c r="B7" s="4" t="s">
        <v>91</v>
      </c>
      <c r="C7">
        <v>9</v>
      </c>
      <c r="E7">
        <f t="shared" si="0"/>
        <v>304</v>
      </c>
    </row>
    <row r="8" spans="1:6" x14ac:dyDescent="0.2">
      <c r="A8" s="2">
        <v>45307</v>
      </c>
      <c r="B8" t="s">
        <v>188</v>
      </c>
      <c r="D8">
        <v>1</v>
      </c>
      <c r="E8">
        <f t="shared" si="0"/>
        <v>303</v>
      </c>
    </row>
    <row r="9" spans="1:6" x14ac:dyDescent="0.2">
      <c r="A9" s="2">
        <v>45308</v>
      </c>
      <c r="B9" t="s">
        <v>91</v>
      </c>
      <c r="C9">
        <v>12</v>
      </c>
      <c r="E9">
        <f t="shared" si="0"/>
        <v>315</v>
      </c>
    </row>
    <row r="10" spans="1:6" x14ac:dyDescent="0.2">
      <c r="A10" s="2">
        <v>45311</v>
      </c>
      <c r="B10" t="s">
        <v>189</v>
      </c>
      <c r="C10">
        <v>162</v>
      </c>
      <c r="E10">
        <f t="shared" si="0"/>
        <v>477</v>
      </c>
    </row>
    <row r="11" spans="1:6" x14ac:dyDescent="0.2">
      <c r="A11" s="2"/>
      <c r="B11" t="s">
        <v>189</v>
      </c>
      <c r="C11">
        <f>500-162</f>
        <v>338</v>
      </c>
      <c r="E11">
        <f t="shared" si="0"/>
        <v>815</v>
      </c>
      <c r="F11" t="s">
        <v>196</v>
      </c>
    </row>
    <row r="12" spans="1:6" x14ac:dyDescent="0.2">
      <c r="A12" s="2"/>
      <c r="E12">
        <f t="shared" si="0"/>
        <v>815</v>
      </c>
    </row>
    <row r="13" spans="1:6" x14ac:dyDescent="0.2">
      <c r="B13" t="s">
        <v>197</v>
      </c>
      <c r="C13">
        <v>50</v>
      </c>
      <c r="E13">
        <f t="shared" si="0"/>
        <v>865</v>
      </c>
    </row>
    <row r="14" spans="1:6" x14ac:dyDescent="0.2">
      <c r="A14" s="2">
        <v>45314</v>
      </c>
      <c r="B14" t="s">
        <v>91</v>
      </c>
      <c r="C14">
        <v>80</v>
      </c>
      <c r="E14">
        <f t="shared" si="0"/>
        <v>945</v>
      </c>
    </row>
    <row r="15" spans="1:6" x14ac:dyDescent="0.2">
      <c r="A15" s="2">
        <v>45317</v>
      </c>
      <c r="B15" t="s">
        <v>91</v>
      </c>
      <c r="C15">
        <v>4</v>
      </c>
      <c r="E15">
        <f>E14+C15-D15</f>
        <v>949</v>
      </c>
    </row>
    <row r="16" spans="1:6" x14ac:dyDescent="0.2">
      <c r="A16" s="2">
        <v>45320</v>
      </c>
      <c r="B16" t="s">
        <v>91</v>
      </c>
      <c r="C16">
        <v>194</v>
      </c>
      <c r="E16">
        <f t="shared" ref="E16:E17" si="1">E15+C16-D16</f>
        <v>1143</v>
      </c>
    </row>
    <row r="17" spans="1:5" x14ac:dyDescent="0.2">
      <c r="A17" s="5">
        <v>45321</v>
      </c>
      <c r="B17" s="4" t="s">
        <v>91</v>
      </c>
      <c r="C17">
        <v>4</v>
      </c>
      <c r="E17">
        <f t="shared" si="1"/>
        <v>1147</v>
      </c>
    </row>
    <row r="18" spans="1:5" x14ac:dyDescent="0.2">
      <c r="A18" s="3">
        <v>45327</v>
      </c>
      <c r="B18" s="4" t="s">
        <v>165</v>
      </c>
      <c r="C18">
        <v>833</v>
      </c>
    </row>
    <row r="19" spans="1:5" x14ac:dyDescent="0.2">
      <c r="A19" s="3">
        <v>45329</v>
      </c>
      <c r="B19" s="4" t="s">
        <v>91</v>
      </c>
      <c r="C19">
        <v>3</v>
      </c>
    </row>
    <row r="20" spans="1:5" x14ac:dyDescent="0.2">
      <c r="A20" s="2">
        <v>45342</v>
      </c>
      <c r="B20" t="s">
        <v>241</v>
      </c>
      <c r="C20">
        <v>500</v>
      </c>
    </row>
    <row r="21" spans="1:5" x14ac:dyDescent="0.2">
      <c r="A21" s="2">
        <v>45342</v>
      </c>
      <c r="B21" t="s">
        <v>197</v>
      </c>
      <c r="C21">
        <v>68</v>
      </c>
    </row>
    <row r="22" spans="1:5" x14ac:dyDescent="0.2">
      <c r="A22" s="5">
        <v>45343</v>
      </c>
      <c r="B22" s="4" t="s">
        <v>91</v>
      </c>
      <c r="C22">
        <v>6</v>
      </c>
    </row>
    <row r="23" spans="1:5" x14ac:dyDescent="0.2">
      <c r="C23">
        <v>300</v>
      </c>
    </row>
    <row r="24" spans="1:5" x14ac:dyDescent="0.2">
      <c r="A24" s="5">
        <v>45370</v>
      </c>
      <c r="B24" s="4" t="s">
        <v>91</v>
      </c>
      <c r="C24">
        <v>83</v>
      </c>
      <c r="E24">
        <f>SUM(C17:E23)</f>
        <v>2861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93DA-C54C-CA4B-B2DA-E2D78354E039}">
  <dimension ref="A1:E21"/>
  <sheetViews>
    <sheetView workbookViewId="0">
      <selection activeCell="E22" sqref="E22"/>
    </sheetView>
  </sheetViews>
  <sheetFormatPr baseColWidth="10" defaultRowHeight="16" x14ac:dyDescent="0.2"/>
  <cols>
    <col min="2" max="2" width="34.83203125" customWidth="1"/>
  </cols>
  <sheetData>
    <row r="1" spans="1:5" x14ac:dyDescent="0.2">
      <c r="A1" t="s">
        <v>104</v>
      </c>
    </row>
    <row r="3" spans="1:5" x14ac:dyDescent="0.2">
      <c r="B3" t="s">
        <v>16</v>
      </c>
      <c r="E3">
        <v>2998</v>
      </c>
    </row>
    <row r="4" spans="1:5" x14ac:dyDescent="0.2">
      <c r="A4" s="3">
        <v>45297</v>
      </c>
      <c r="B4" s="4" t="s">
        <v>91</v>
      </c>
      <c r="C4">
        <v>750</v>
      </c>
      <c r="E4">
        <f>E3+C4-D4</f>
        <v>3748</v>
      </c>
    </row>
    <row r="5" spans="1:5" x14ac:dyDescent="0.2">
      <c r="A5" s="2">
        <v>45299</v>
      </c>
      <c r="B5" t="s">
        <v>131</v>
      </c>
      <c r="C5">
        <v>170</v>
      </c>
      <c r="E5">
        <f>E4+C5-D5</f>
        <v>3918</v>
      </c>
    </row>
    <row r="6" spans="1:5" x14ac:dyDescent="0.2">
      <c r="B6" s="4" t="s">
        <v>161</v>
      </c>
      <c r="E6">
        <v>4043</v>
      </c>
    </row>
    <row r="7" spans="1:5" x14ac:dyDescent="0.2">
      <c r="A7" s="1">
        <v>45306</v>
      </c>
      <c r="B7" t="s">
        <v>91</v>
      </c>
      <c r="C7">
        <v>251</v>
      </c>
      <c r="E7">
        <f>E6+C7-D7</f>
        <v>4294</v>
      </c>
    </row>
    <row r="8" spans="1:5" x14ac:dyDescent="0.2">
      <c r="A8" s="1">
        <v>45306</v>
      </c>
      <c r="B8" s="4" t="s">
        <v>165</v>
      </c>
      <c r="C8">
        <v>38</v>
      </c>
      <c r="E8">
        <f t="shared" ref="E8:E14" si="0">E7+C8-D8</f>
        <v>4332</v>
      </c>
    </row>
    <row r="9" spans="1:5" x14ac:dyDescent="0.2">
      <c r="A9" s="3">
        <v>45307</v>
      </c>
      <c r="B9" s="4" t="s">
        <v>91</v>
      </c>
      <c r="C9">
        <v>8</v>
      </c>
      <c r="E9">
        <f t="shared" si="0"/>
        <v>4340</v>
      </c>
    </row>
    <row r="10" spans="1:5" x14ac:dyDescent="0.2">
      <c r="A10" s="2">
        <v>45307</v>
      </c>
      <c r="B10" s="4" t="s">
        <v>131</v>
      </c>
      <c r="D10">
        <v>20</v>
      </c>
      <c r="E10">
        <f t="shared" si="0"/>
        <v>4320</v>
      </c>
    </row>
    <row r="11" spans="1:5" x14ac:dyDescent="0.2">
      <c r="A11" s="2">
        <v>45308</v>
      </c>
      <c r="B11" s="4" t="s">
        <v>91</v>
      </c>
      <c r="C11">
        <v>148</v>
      </c>
      <c r="E11">
        <f t="shared" si="0"/>
        <v>4468</v>
      </c>
    </row>
    <row r="12" spans="1:5" x14ac:dyDescent="0.2">
      <c r="A12" s="2">
        <v>45314</v>
      </c>
      <c r="B12" s="4" t="s">
        <v>91</v>
      </c>
      <c r="C12">
        <v>207</v>
      </c>
      <c r="E12">
        <f t="shared" si="0"/>
        <v>4675</v>
      </c>
    </row>
    <row r="13" spans="1:5" x14ac:dyDescent="0.2">
      <c r="A13" s="5">
        <v>45317</v>
      </c>
      <c r="B13" s="4" t="s">
        <v>91</v>
      </c>
      <c r="C13">
        <f>295+19</f>
        <v>314</v>
      </c>
      <c r="E13">
        <f t="shared" si="0"/>
        <v>4989</v>
      </c>
    </row>
    <row r="14" spans="1:5" x14ac:dyDescent="0.2">
      <c r="A14" s="2">
        <v>45320</v>
      </c>
      <c r="B14" s="4" t="s">
        <v>91</v>
      </c>
      <c r="C14">
        <v>123</v>
      </c>
      <c r="E14">
        <f t="shared" si="0"/>
        <v>5112</v>
      </c>
    </row>
    <row r="15" spans="1:5" x14ac:dyDescent="0.2">
      <c r="A15" s="5">
        <v>45321</v>
      </c>
      <c r="B15" s="4" t="s">
        <v>91</v>
      </c>
      <c r="C15">
        <v>4</v>
      </c>
    </row>
    <row r="16" spans="1:5" x14ac:dyDescent="0.2">
      <c r="A16" s="2">
        <v>45322</v>
      </c>
      <c r="B16" s="4" t="s">
        <v>216</v>
      </c>
      <c r="C16">
        <v>100</v>
      </c>
    </row>
    <row r="17" spans="1:3" x14ac:dyDescent="0.2">
      <c r="A17" s="2">
        <v>45329</v>
      </c>
      <c r="B17" s="4" t="s">
        <v>91</v>
      </c>
      <c r="C17">
        <v>22</v>
      </c>
    </row>
    <row r="18" spans="1:3" x14ac:dyDescent="0.2">
      <c r="A18" s="5">
        <v>45342</v>
      </c>
      <c r="B18" s="4" t="s">
        <v>91</v>
      </c>
      <c r="C18">
        <v>160</v>
      </c>
    </row>
    <row r="19" spans="1:3" x14ac:dyDescent="0.2">
      <c r="A19" s="5">
        <v>45343</v>
      </c>
      <c r="B19" s="4" t="s">
        <v>91</v>
      </c>
      <c r="C19">
        <v>299</v>
      </c>
    </row>
    <row r="20" spans="1:3" x14ac:dyDescent="0.2">
      <c r="A20" s="5">
        <v>45357</v>
      </c>
      <c r="B20" s="4" t="s">
        <v>216</v>
      </c>
      <c r="C20">
        <v>60</v>
      </c>
    </row>
    <row r="21" spans="1:3" x14ac:dyDescent="0.2">
      <c r="A21" s="5">
        <v>45365</v>
      </c>
      <c r="B21" s="4" t="s">
        <v>216</v>
      </c>
      <c r="C21">
        <v>45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AACC-45D8-EC4B-9725-A334CCF38374}">
  <dimension ref="A1:E11"/>
  <sheetViews>
    <sheetView workbookViewId="0">
      <selection activeCell="B12" sqref="B12"/>
    </sheetView>
  </sheetViews>
  <sheetFormatPr baseColWidth="10" defaultRowHeight="16" x14ac:dyDescent="0.2"/>
  <cols>
    <col min="2" max="2" width="34.1640625" customWidth="1"/>
  </cols>
  <sheetData>
    <row r="1" spans="1:5" x14ac:dyDescent="0.2">
      <c r="A1" t="s">
        <v>120</v>
      </c>
    </row>
    <row r="3" spans="1:5" x14ac:dyDescent="0.2">
      <c r="B3" t="s">
        <v>16</v>
      </c>
      <c r="E3">
        <v>798</v>
      </c>
    </row>
    <row r="4" spans="1:5" x14ac:dyDescent="0.2">
      <c r="A4" s="1">
        <v>45299</v>
      </c>
      <c r="B4" t="s">
        <v>130</v>
      </c>
      <c r="D4">
        <v>378</v>
      </c>
      <c r="E4">
        <f>E3+C4-D4</f>
        <v>420</v>
      </c>
    </row>
    <row r="5" spans="1:5" x14ac:dyDescent="0.2">
      <c r="A5" s="2">
        <v>45299</v>
      </c>
      <c r="B5" t="s">
        <v>131</v>
      </c>
      <c r="C5">
        <v>86</v>
      </c>
      <c r="E5">
        <f>E4+C5-D5</f>
        <v>506</v>
      </c>
    </row>
    <row r="6" spans="1:5" x14ac:dyDescent="0.2">
      <c r="B6" s="4" t="s">
        <v>158</v>
      </c>
      <c r="E6">
        <v>965</v>
      </c>
    </row>
    <row r="7" spans="1:5" x14ac:dyDescent="0.2">
      <c r="A7" s="2">
        <v>45306</v>
      </c>
      <c r="B7" t="s">
        <v>165</v>
      </c>
      <c r="C7">
        <v>174</v>
      </c>
      <c r="E7">
        <f>E6+C7-D7</f>
        <v>1139</v>
      </c>
    </row>
    <row r="8" spans="1:5" x14ac:dyDescent="0.2">
      <c r="A8" s="2">
        <v>45355</v>
      </c>
      <c r="B8" t="s">
        <v>130</v>
      </c>
      <c r="C8">
        <v>95</v>
      </c>
    </row>
    <row r="9" spans="1:5" x14ac:dyDescent="0.2">
      <c r="A9" s="2">
        <v>45355</v>
      </c>
      <c r="B9" t="s">
        <v>130</v>
      </c>
      <c r="C9">
        <v>71</v>
      </c>
    </row>
    <row r="10" spans="1:5" x14ac:dyDescent="0.2">
      <c r="A10" s="2">
        <v>45359</v>
      </c>
      <c r="B10" t="s">
        <v>130</v>
      </c>
      <c r="C10">
        <v>129</v>
      </c>
    </row>
    <row r="11" spans="1:5" x14ac:dyDescent="0.2">
      <c r="A11" s="2">
        <v>45369</v>
      </c>
      <c r="B11" t="s">
        <v>130</v>
      </c>
      <c r="C11">
        <v>42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3298-DE32-1542-991E-7037D15A01CF}">
  <dimension ref="A1:E7"/>
  <sheetViews>
    <sheetView workbookViewId="0">
      <selection activeCell="C7" sqref="C7"/>
    </sheetView>
  </sheetViews>
  <sheetFormatPr baseColWidth="10" defaultRowHeight="16" x14ac:dyDescent="0.2"/>
  <cols>
    <col min="2" max="2" width="37.5" customWidth="1"/>
  </cols>
  <sheetData>
    <row r="1" spans="1:5" x14ac:dyDescent="0.2">
      <c r="A1" t="s">
        <v>121</v>
      </c>
    </row>
    <row r="3" spans="1:5" x14ac:dyDescent="0.2">
      <c r="B3" t="s">
        <v>16</v>
      </c>
      <c r="E3">
        <v>120</v>
      </c>
    </row>
    <row r="4" spans="1:5" x14ac:dyDescent="0.2">
      <c r="A4" s="2">
        <v>45307</v>
      </c>
      <c r="B4" t="s">
        <v>187</v>
      </c>
      <c r="D4">
        <v>115</v>
      </c>
    </row>
    <row r="5" spans="1:5" x14ac:dyDescent="0.2">
      <c r="A5" s="2">
        <v>45322</v>
      </c>
      <c r="B5" t="s">
        <v>216</v>
      </c>
      <c r="C5">
        <v>88</v>
      </c>
    </row>
    <row r="6" spans="1:5" x14ac:dyDescent="0.2">
      <c r="A6" s="2">
        <v>45357</v>
      </c>
      <c r="B6" t="s">
        <v>216</v>
      </c>
      <c r="C6">
        <v>100</v>
      </c>
    </row>
    <row r="7" spans="1:5" x14ac:dyDescent="0.2">
      <c r="A7" s="5">
        <v>45365</v>
      </c>
      <c r="B7" s="4" t="s">
        <v>216</v>
      </c>
      <c r="C7">
        <v>38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E2CF-8295-DF45-B833-BE617C1D7D14}">
  <dimension ref="A1:E15"/>
  <sheetViews>
    <sheetView workbookViewId="0">
      <selection activeCell="C16" sqref="C16"/>
    </sheetView>
  </sheetViews>
  <sheetFormatPr baseColWidth="10" defaultRowHeight="16" x14ac:dyDescent="0.2"/>
  <cols>
    <col min="2" max="2" width="38" customWidth="1"/>
  </cols>
  <sheetData>
    <row r="1" spans="1:5" x14ac:dyDescent="0.2">
      <c r="A1" t="s">
        <v>122</v>
      </c>
    </row>
    <row r="3" spans="1:5" x14ac:dyDescent="0.2">
      <c r="B3" t="s">
        <v>16</v>
      </c>
      <c r="E3">
        <v>234</v>
      </c>
    </row>
    <row r="4" spans="1:5" x14ac:dyDescent="0.2">
      <c r="A4" s="2">
        <v>45299</v>
      </c>
      <c r="B4" t="s">
        <v>131</v>
      </c>
      <c r="C4">
        <v>74</v>
      </c>
      <c r="E4">
        <f>E3+C4</f>
        <v>308</v>
      </c>
    </row>
    <row r="5" spans="1:5" x14ac:dyDescent="0.2">
      <c r="B5" t="s">
        <v>155</v>
      </c>
      <c r="E5">
        <v>346</v>
      </c>
    </row>
    <row r="6" spans="1:5" x14ac:dyDescent="0.2">
      <c r="A6" s="3">
        <v>45307</v>
      </c>
      <c r="B6" s="4" t="s">
        <v>91</v>
      </c>
      <c r="C6">
        <v>27</v>
      </c>
      <c r="E6">
        <f>E5+C6-D6</f>
        <v>373</v>
      </c>
    </row>
    <row r="7" spans="1:5" x14ac:dyDescent="0.2">
      <c r="A7" s="2">
        <v>45307</v>
      </c>
      <c r="B7" t="s">
        <v>131</v>
      </c>
      <c r="D7">
        <v>4</v>
      </c>
    </row>
    <row r="8" spans="1:5" x14ac:dyDescent="0.2">
      <c r="A8" s="5">
        <v>45317</v>
      </c>
      <c r="B8" s="4" t="s">
        <v>91</v>
      </c>
      <c r="C8">
        <v>4</v>
      </c>
    </row>
    <row r="9" spans="1:5" x14ac:dyDescent="0.2">
      <c r="A9" s="2">
        <v>45320</v>
      </c>
      <c r="B9" t="s">
        <v>91</v>
      </c>
      <c r="C9">
        <v>7</v>
      </c>
    </row>
    <row r="10" spans="1:5" x14ac:dyDescent="0.2">
      <c r="A10" s="2">
        <v>45329</v>
      </c>
      <c r="B10" s="4" t="s">
        <v>91</v>
      </c>
      <c r="C10">
        <v>8</v>
      </c>
    </row>
    <row r="11" spans="1:5" x14ac:dyDescent="0.2">
      <c r="A11" s="5">
        <v>45342</v>
      </c>
      <c r="B11" s="4" t="s">
        <v>91</v>
      </c>
      <c r="C11">
        <v>9</v>
      </c>
    </row>
    <row r="12" spans="1:5" x14ac:dyDescent="0.2">
      <c r="A12" s="5">
        <v>45342</v>
      </c>
      <c r="B12" s="4" t="s">
        <v>91</v>
      </c>
      <c r="C12">
        <v>5</v>
      </c>
    </row>
    <row r="13" spans="1:5" x14ac:dyDescent="0.2">
      <c r="A13" s="5">
        <v>45343</v>
      </c>
      <c r="B13" s="4" t="s">
        <v>91</v>
      </c>
      <c r="C13">
        <v>3</v>
      </c>
    </row>
    <row r="14" spans="1:5" x14ac:dyDescent="0.2">
      <c r="A14" s="5">
        <v>45350</v>
      </c>
      <c r="B14" s="4" t="s">
        <v>91</v>
      </c>
      <c r="C14">
        <v>5</v>
      </c>
    </row>
    <row r="15" spans="1:5" x14ac:dyDescent="0.2">
      <c r="A15" s="5">
        <v>45370</v>
      </c>
      <c r="B15" s="4" t="s">
        <v>91</v>
      </c>
      <c r="C15">
        <v>48</v>
      </c>
      <c r="E15">
        <f>SUM(C7:E14)</f>
        <v>45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3B39-DF96-F042-BCF0-FA9A031F3A8A}">
  <dimension ref="A1:F26"/>
  <sheetViews>
    <sheetView topLeftCell="A10" workbookViewId="0">
      <selection activeCell="E19" sqref="E19:E26"/>
    </sheetView>
  </sheetViews>
  <sheetFormatPr baseColWidth="10" defaultRowHeight="16" x14ac:dyDescent="0.2"/>
  <cols>
    <col min="2" max="2" width="32.33203125" customWidth="1"/>
  </cols>
  <sheetData>
    <row r="1" spans="1:6" x14ac:dyDescent="0.2">
      <c r="A1" t="s">
        <v>109</v>
      </c>
    </row>
    <row r="3" spans="1:6" x14ac:dyDescent="0.2">
      <c r="B3" t="s">
        <v>16</v>
      </c>
      <c r="E3">
        <v>899</v>
      </c>
    </row>
    <row r="4" spans="1:6" x14ac:dyDescent="0.2">
      <c r="A4" s="1">
        <v>45297</v>
      </c>
      <c r="B4" t="s">
        <v>91</v>
      </c>
      <c r="C4">
        <v>6</v>
      </c>
      <c r="E4">
        <f>E3+C4-D4</f>
        <v>905</v>
      </c>
    </row>
    <row r="5" spans="1:6" x14ac:dyDescent="0.2">
      <c r="A5" s="2">
        <v>45299</v>
      </c>
      <c r="B5" t="s">
        <v>130</v>
      </c>
      <c r="D5">
        <v>526</v>
      </c>
      <c r="E5">
        <f t="shared" ref="E5:E6" si="0">E4+C5-D5</f>
        <v>379</v>
      </c>
    </row>
    <row r="6" spans="1:6" x14ac:dyDescent="0.2">
      <c r="A6" s="2">
        <v>45299</v>
      </c>
      <c r="B6" t="s">
        <v>131</v>
      </c>
      <c r="C6">
        <v>58</v>
      </c>
      <c r="E6">
        <f t="shared" si="0"/>
        <v>437</v>
      </c>
    </row>
    <row r="7" spans="1:6" x14ac:dyDescent="0.2">
      <c r="A7" s="2">
        <v>45300</v>
      </c>
      <c r="B7" t="s">
        <v>138</v>
      </c>
      <c r="C7">
        <v>3</v>
      </c>
    </row>
    <row r="8" spans="1:6" x14ac:dyDescent="0.2">
      <c r="B8" t="s">
        <v>156</v>
      </c>
      <c r="E8">
        <v>440</v>
      </c>
      <c r="F8" t="s">
        <v>157</v>
      </c>
    </row>
    <row r="9" spans="1:6" x14ac:dyDescent="0.2">
      <c r="A9" s="1">
        <v>45306</v>
      </c>
      <c r="B9" t="s">
        <v>91</v>
      </c>
      <c r="C9">
        <v>84</v>
      </c>
      <c r="E9">
        <f>E8+C9-D9</f>
        <v>524</v>
      </c>
    </row>
    <row r="10" spans="1:6" x14ac:dyDescent="0.2">
      <c r="A10" s="1">
        <v>45306</v>
      </c>
      <c r="B10" t="s">
        <v>165</v>
      </c>
      <c r="C10">
        <v>3</v>
      </c>
      <c r="E10">
        <f t="shared" ref="E10:E12" si="1">E9+C10-D10</f>
        <v>527</v>
      </c>
    </row>
    <row r="11" spans="1:6" x14ac:dyDescent="0.2">
      <c r="A11" s="3">
        <v>45307</v>
      </c>
      <c r="B11" s="4" t="s">
        <v>91</v>
      </c>
      <c r="C11">
        <v>22</v>
      </c>
      <c r="E11">
        <f t="shared" si="1"/>
        <v>549</v>
      </c>
    </row>
    <row r="12" spans="1:6" x14ac:dyDescent="0.2">
      <c r="A12" s="2">
        <v>45308</v>
      </c>
      <c r="B12" t="s">
        <v>91</v>
      </c>
      <c r="C12">
        <v>8</v>
      </c>
      <c r="E12">
        <f t="shared" si="1"/>
        <v>557</v>
      </c>
    </row>
    <row r="13" spans="1:6" x14ac:dyDescent="0.2">
      <c r="A13" s="2">
        <v>45314</v>
      </c>
      <c r="B13" t="s">
        <v>91</v>
      </c>
      <c r="C13">
        <v>2</v>
      </c>
      <c r="E13">
        <f>E12+C13-D13</f>
        <v>559</v>
      </c>
    </row>
    <row r="14" spans="1:6" x14ac:dyDescent="0.2">
      <c r="A14" s="3">
        <v>45317</v>
      </c>
      <c r="B14" s="4" t="s">
        <v>131</v>
      </c>
      <c r="C14">
        <v>66</v>
      </c>
      <c r="E14">
        <f t="shared" ref="E14:E17" si="2">E13+C14-D14</f>
        <v>625</v>
      </c>
    </row>
    <row r="15" spans="1:6" x14ac:dyDescent="0.2">
      <c r="A15" s="5">
        <v>45317</v>
      </c>
      <c r="B15" s="4" t="s">
        <v>91</v>
      </c>
      <c r="C15">
        <v>4</v>
      </c>
      <c r="E15">
        <f t="shared" si="2"/>
        <v>629</v>
      </c>
    </row>
    <row r="16" spans="1:6" x14ac:dyDescent="0.2">
      <c r="A16" s="2">
        <v>45320</v>
      </c>
      <c r="B16" s="4" t="s">
        <v>91</v>
      </c>
      <c r="C16">
        <v>22</v>
      </c>
      <c r="E16">
        <f t="shared" si="2"/>
        <v>651</v>
      </c>
    </row>
    <row r="17" spans="1:5" x14ac:dyDescent="0.2">
      <c r="A17" s="2">
        <v>45321</v>
      </c>
      <c r="B17" t="s">
        <v>91</v>
      </c>
      <c r="C17">
        <v>108</v>
      </c>
      <c r="E17">
        <f t="shared" si="2"/>
        <v>759</v>
      </c>
    </row>
    <row r="18" spans="1:5" x14ac:dyDescent="0.2">
      <c r="A18" s="2">
        <v>45329</v>
      </c>
      <c r="B18" s="4" t="s">
        <v>91</v>
      </c>
      <c r="C18">
        <v>12</v>
      </c>
      <c r="E18">
        <f>E17+C18-D18</f>
        <v>771</v>
      </c>
    </row>
    <row r="19" spans="1:5" x14ac:dyDescent="0.2">
      <c r="A19" s="5">
        <v>45342</v>
      </c>
      <c r="B19" s="4" t="s">
        <v>91</v>
      </c>
      <c r="C19">
        <v>19</v>
      </c>
      <c r="E19">
        <f t="shared" ref="E19:E26" si="3">E18+C19-D19</f>
        <v>790</v>
      </c>
    </row>
    <row r="20" spans="1:5" x14ac:dyDescent="0.2">
      <c r="A20" s="5">
        <v>45342</v>
      </c>
      <c r="B20" s="4" t="s">
        <v>91</v>
      </c>
      <c r="C20">
        <v>20</v>
      </c>
      <c r="E20">
        <f t="shared" si="3"/>
        <v>810</v>
      </c>
    </row>
    <row r="21" spans="1:5" x14ac:dyDescent="0.2">
      <c r="A21" s="2">
        <v>45343</v>
      </c>
      <c r="B21" s="4" t="s">
        <v>91</v>
      </c>
      <c r="C21">
        <v>8</v>
      </c>
      <c r="E21">
        <f t="shared" si="3"/>
        <v>818</v>
      </c>
    </row>
    <row r="22" spans="1:5" x14ac:dyDescent="0.2">
      <c r="A22" s="2">
        <v>45345</v>
      </c>
      <c r="B22" s="4" t="s">
        <v>130</v>
      </c>
      <c r="C22">
        <v>338</v>
      </c>
      <c r="E22">
        <f t="shared" si="3"/>
        <v>1156</v>
      </c>
    </row>
    <row r="23" spans="1:5" x14ac:dyDescent="0.2">
      <c r="A23" s="2">
        <v>45355</v>
      </c>
      <c r="B23" s="4" t="s">
        <v>130</v>
      </c>
      <c r="C23">
        <v>80</v>
      </c>
      <c r="E23">
        <f t="shared" si="3"/>
        <v>1236</v>
      </c>
    </row>
    <row r="24" spans="1:5" x14ac:dyDescent="0.2">
      <c r="A24" s="2">
        <v>45355</v>
      </c>
      <c r="B24" s="4" t="s">
        <v>130</v>
      </c>
      <c r="C24">
        <v>87</v>
      </c>
      <c r="E24">
        <f t="shared" si="3"/>
        <v>1323</v>
      </c>
    </row>
    <row r="25" spans="1:5" x14ac:dyDescent="0.2">
      <c r="A25" s="2">
        <v>45359</v>
      </c>
      <c r="B25" s="4" t="s">
        <v>130</v>
      </c>
      <c r="C25">
        <v>9</v>
      </c>
      <c r="E25">
        <f t="shared" si="3"/>
        <v>1332</v>
      </c>
    </row>
    <row r="26" spans="1:5" x14ac:dyDescent="0.2">
      <c r="A26" s="2">
        <v>45369</v>
      </c>
      <c r="B26" s="4" t="s">
        <v>130</v>
      </c>
      <c r="C26">
        <v>3</v>
      </c>
      <c r="E26">
        <f t="shared" si="3"/>
        <v>1335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8F2A-9833-024F-939E-3273B6E16C51}">
  <dimension ref="A1:F18"/>
  <sheetViews>
    <sheetView workbookViewId="0">
      <selection activeCell="E19" sqref="E19"/>
    </sheetView>
  </sheetViews>
  <sheetFormatPr baseColWidth="10" defaultRowHeight="16" x14ac:dyDescent="0.2"/>
  <cols>
    <col min="2" max="2" width="32.6640625" customWidth="1"/>
  </cols>
  <sheetData>
    <row r="1" spans="1:6" x14ac:dyDescent="0.2">
      <c r="A1" t="s">
        <v>61</v>
      </c>
    </row>
    <row r="3" spans="1:6" x14ac:dyDescent="0.2">
      <c r="C3" t="s">
        <v>45</v>
      </c>
      <c r="D3" t="s">
        <v>46</v>
      </c>
      <c r="E3" t="s">
        <v>47</v>
      </c>
    </row>
    <row r="4" spans="1:6" x14ac:dyDescent="0.2">
      <c r="B4" t="s">
        <v>16</v>
      </c>
      <c r="E4">
        <v>528</v>
      </c>
    </row>
    <row r="5" spans="1:6" x14ac:dyDescent="0.2">
      <c r="A5" s="1">
        <v>45294</v>
      </c>
      <c r="B5" t="s">
        <v>91</v>
      </c>
      <c r="C5">
        <v>383</v>
      </c>
      <c r="E5">
        <f>E4+C5-D5</f>
        <v>911</v>
      </c>
    </row>
    <row r="6" spans="1:6" x14ac:dyDescent="0.2">
      <c r="A6" s="1">
        <v>45297</v>
      </c>
      <c r="B6" t="s">
        <v>91</v>
      </c>
      <c r="C6">
        <v>196</v>
      </c>
      <c r="E6">
        <f>E5+C6-D6</f>
        <v>1107</v>
      </c>
    </row>
    <row r="7" spans="1:6" x14ac:dyDescent="0.2">
      <c r="A7" s="2">
        <v>45300</v>
      </c>
      <c r="B7" t="s">
        <v>138</v>
      </c>
      <c r="C7">
        <v>1</v>
      </c>
    </row>
    <row r="8" spans="1:6" x14ac:dyDescent="0.2">
      <c r="B8" s="4" t="s">
        <v>158</v>
      </c>
      <c r="E8">
        <v>1108</v>
      </c>
      <c r="F8" t="s">
        <v>159</v>
      </c>
    </row>
    <row r="9" spans="1:6" x14ac:dyDescent="0.2">
      <c r="A9" s="1">
        <v>45306</v>
      </c>
      <c r="B9" t="s">
        <v>91</v>
      </c>
      <c r="C9">
        <v>16</v>
      </c>
      <c r="E9">
        <f>E8+C9-D9</f>
        <v>1124</v>
      </c>
    </row>
    <row r="10" spans="1:6" x14ac:dyDescent="0.2">
      <c r="A10" s="1">
        <v>45307</v>
      </c>
      <c r="B10" t="s">
        <v>91</v>
      </c>
      <c r="C10">
        <v>15</v>
      </c>
      <c r="E10">
        <f t="shared" ref="E10:E11" si="0">E9+C10-D10</f>
        <v>1139</v>
      </c>
    </row>
    <row r="11" spans="1:6" x14ac:dyDescent="0.2">
      <c r="A11" s="2">
        <v>45308</v>
      </c>
      <c r="B11" t="s">
        <v>91</v>
      </c>
      <c r="C11">
        <v>12</v>
      </c>
      <c r="E11">
        <f t="shared" si="0"/>
        <v>1151</v>
      </c>
    </row>
    <row r="12" spans="1:6" x14ac:dyDescent="0.2">
      <c r="A12" s="2">
        <v>45314</v>
      </c>
      <c r="B12" t="s">
        <v>91</v>
      </c>
      <c r="C12">
        <v>181</v>
      </c>
      <c r="E12">
        <f>E11+C12</f>
        <v>1332</v>
      </c>
    </row>
    <row r="13" spans="1:6" x14ac:dyDescent="0.2">
      <c r="A13" s="5">
        <v>45317</v>
      </c>
      <c r="B13" s="4" t="s">
        <v>91</v>
      </c>
      <c r="C13">
        <v>4</v>
      </c>
      <c r="E13">
        <f>E12+C13-D13</f>
        <v>1336</v>
      </c>
    </row>
    <row r="14" spans="1:6" x14ac:dyDescent="0.2">
      <c r="A14" s="2">
        <v>45320</v>
      </c>
      <c r="B14" t="s">
        <v>91</v>
      </c>
      <c r="C14">
        <v>50</v>
      </c>
      <c r="E14">
        <f>E13+C14-D14</f>
        <v>1386</v>
      </c>
    </row>
    <row r="15" spans="1:6" x14ac:dyDescent="0.2">
      <c r="A15" s="2">
        <v>45322</v>
      </c>
      <c r="B15" s="4" t="s">
        <v>216</v>
      </c>
      <c r="C15">
        <v>46</v>
      </c>
    </row>
    <row r="16" spans="1:6" x14ac:dyDescent="0.2">
      <c r="A16" s="5">
        <v>45342</v>
      </c>
      <c r="B16" s="4" t="s">
        <v>91</v>
      </c>
      <c r="C16">
        <v>5</v>
      </c>
    </row>
    <row r="17" spans="1:3" x14ac:dyDescent="0.2">
      <c r="A17" s="2">
        <v>45343</v>
      </c>
      <c r="B17" s="4" t="s">
        <v>91</v>
      </c>
      <c r="C17">
        <v>369</v>
      </c>
    </row>
    <row r="18" spans="1:3" x14ac:dyDescent="0.2">
      <c r="A18" s="5">
        <v>45365</v>
      </c>
      <c r="B18" s="4" t="s">
        <v>216</v>
      </c>
      <c r="C18">
        <v>47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6475-AD16-B14B-AFB4-09D124F4A46E}">
  <dimension ref="A1:F19"/>
  <sheetViews>
    <sheetView workbookViewId="0">
      <selection activeCell="C20" sqref="C20"/>
    </sheetView>
  </sheetViews>
  <sheetFormatPr baseColWidth="10" defaultRowHeight="16" x14ac:dyDescent="0.2"/>
  <cols>
    <col min="2" max="2" width="35.83203125" customWidth="1"/>
  </cols>
  <sheetData>
    <row r="1" spans="1:6" x14ac:dyDescent="0.2">
      <c r="A1" t="s">
        <v>62</v>
      </c>
    </row>
    <row r="3" spans="1:6" x14ac:dyDescent="0.2">
      <c r="C3" t="s">
        <v>45</v>
      </c>
      <c r="D3" t="s">
        <v>46</v>
      </c>
      <c r="E3" t="s">
        <v>47</v>
      </c>
    </row>
    <row r="4" spans="1:6" x14ac:dyDescent="0.2">
      <c r="B4" t="s">
        <v>16</v>
      </c>
      <c r="E4">
        <v>56</v>
      </c>
      <c r="F4" t="s">
        <v>63</v>
      </c>
    </row>
    <row r="5" spans="1:6" x14ac:dyDescent="0.2">
      <c r="A5" s="1">
        <v>45294</v>
      </c>
      <c r="B5" t="s">
        <v>91</v>
      </c>
      <c r="C5">
        <v>119</v>
      </c>
      <c r="E5">
        <f>E4+C5-D5</f>
        <v>175</v>
      </c>
    </row>
    <row r="6" spans="1:6" x14ac:dyDescent="0.2">
      <c r="A6" s="1">
        <v>45299</v>
      </c>
      <c r="B6" t="s">
        <v>130</v>
      </c>
      <c r="D6">
        <v>119</v>
      </c>
    </row>
    <row r="7" spans="1:6" x14ac:dyDescent="0.2">
      <c r="B7" s="4" t="s">
        <v>160</v>
      </c>
      <c r="E7">
        <v>61</v>
      </c>
    </row>
    <row r="8" spans="1:6" x14ac:dyDescent="0.2">
      <c r="A8" s="2">
        <v>45303</v>
      </c>
      <c r="B8" t="s">
        <v>165</v>
      </c>
      <c r="C8">
        <v>718</v>
      </c>
      <c r="E8">
        <f>E7+C8-D8</f>
        <v>779</v>
      </c>
    </row>
    <row r="9" spans="1:6" x14ac:dyDescent="0.2">
      <c r="A9" s="1">
        <v>45306</v>
      </c>
      <c r="B9" t="s">
        <v>165</v>
      </c>
      <c r="C9">
        <v>557</v>
      </c>
      <c r="E9">
        <f t="shared" ref="E9:E14" si="0">E8+C9-D9</f>
        <v>1336</v>
      </c>
    </row>
    <row r="10" spans="1:6" x14ac:dyDescent="0.2">
      <c r="A10" t="s">
        <v>182</v>
      </c>
      <c r="C10">
        <v>21</v>
      </c>
      <c r="E10">
        <f t="shared" si="0"/>
        <v>1357</v>
      </c>
    </row>
    <row r="11" spans="1:6" x14ac:dyDescent="0.2">
      <c r="A11" s="2">
        <v>45307</v>
      </c>
      <c r="B11" t="s">
        <v>131</v>
      </c>
      <c r="D11">
        <v>54</v>
      </c>
      <c r="E11">
        <f t="shared" si="0"/>
        <v>1303</v>
      </c>
    </row>
    <row r="12" spans="1:6" x14ac:dyDescent="0.2">
      <c r="A12" s="2">
        <v>45314</v>
      </c>
      <c r="B12" t="s">
        <v>91</v>
      </c>
      <c r="C12">
        <v>28</v>
      </c>
      <c r="E12">
        <f t="shared" si="0"/>
        <v>1331</v>
      </c>
    </row>
    <row r="13" spans="1:6" x14ac:dyDescent="0.2">
      <c r="A13" s="5">
        <v>45317</v>
      </c>
      <c r="B13" s="4" t="s">
        <v>91</v>
      </c>
      <c r="C13">
        <v>60</v>
      </c>
      <c r="E13">
        <f t="shared" si="0"/>
        <v>1391</v>
      </c>
    </row>
    <row r="14" spans="1:6" x14ac:dyDescent="0.2">
      <c r="A14" s="5">
        <v>45320</v>
      </c>
      <c r="B14" s="4" t="s">
        <v>91</v>
      </c>
      <c r="C14">
        <v>77</v>
      </c>
      <c r="E14">
        <f t="shared" si="0"/>
        <v>1468</v>
      </c>
    </row>
    <row r="15" spans="1:6" x14ac:dyDescent="0.2">
      <c r="A15" s="3">
        <v>45327</v>
      </c>
      <c r="B15" s="4" t="s">
        <v>165</v>
      </c>
      <c r="C15">
        <v>80</v>
      </c>
    </row>
    <row r="16" spans="1:6" x14ac:dyDescent="0.2">
      <c r="A16" s="5">
        <v>45342</v>
      </c>
      <c r="B16" s="4" t="s">
        <v>91</v>
      </c>
      <c r="C16">
        <v>34</v>
      </c>
    </row>
    <row r="17" spans="1:3" x14ac:dyDescent="0.2">
      <c r="A17" s="2">
        <v>45355</v>
      </c>
      <c r="B17" s="4" t="s">
        <v>130</v>
      </c>
      <c r="C17">
        <v>49</v>
      </c>
    </row>
    <row r="18" spans="1:3" x14ac:dyDescent="0.2">
      <c r="A18" s="2">
        <v>45355</v>
      </c>
      <c r="B18" s="4" t="s">
        <v>130</v>
      </c>
      <c r="C18">
        <v>16</v>
      </c>
    </row>
    <row r="19" spans="1:3" x14ac:dyDescent="0.2">
      <c r="A19" s="2">
        <v>45359</v>
      </c>
      <c r="B19" s="4" t="s">
        <v>130</v>
      </c>
      <c r="C19">
        <v>44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38A4-7E2E-8D40-8174-7724BB22CB17}">
  <dimension ref="A1:D7"/>
  <sheetViews>
    <sheetView workbookViewId="0">
      <selection activeCell="B8" sqref="B8"/>
    </sheetView>
  </sheetViews>
  <sheetFormatPr baseColWidth="10" defaultRowHeight="16" x14ac:dyDescent="0.2"/>
  <cols>
    <col min="2" max="2" width="22.83203125" customWidth="1"/>
  </cols>
  <sheetData>
    <row r="1" spans="1:4" x14ac:dyDescent="0.2">
      <c r="A1" t="s">
        <v>154</v>
      </c>
    </row>
    <row r="3" spans="1:4" x14ac:dyDescent="0.2">
      <c r="B3" t="s">
        <v>16</v>
      </c>
    </row>
    <row r="4" spans="1:4" x14ac:dyDescent="0.2">
      <c r="A4" s="1">
        <v>45302</v>
      </c>
      <c r="B4" t="s">
        <v>51</v>
      </c>
      <c r="C4">
        <v>250</v>
      </c>
    </row>
    <row r="5" spans="1:4" x14ac:dyDescent="0.2">
      <c r="A5" s="1">
        <v>45303</v>
      </c>
      <c r="B5" t="s">
        <v>135</v>
      </c>
      <c r="D5">
        <v>250</v>
      </c>
    </row>
    <row r="6" spans="1:4" x14ac:dyDescent="0.2">
      <c r="A6" s="2">
        <v>45313</v>
      </c>
      <c r="B6" t="s">
        <v>51</v>
      </c>
      <c r="C6">
        <v>483</v>
      </c>
    </row>
    <row r="7" spans="1:4" x14ac:dyDescent="0.2">
      <c r="A7" s="2">
        <v>45314</v>
      </c>
      <c r="B7" t="s">
        <v>51</v>
      </c>
      <c r="C7">
        <v>17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1991-1F6B-5549-925B-BFADB4BF34BD}">
  <dimension ref="A1:E20"/>
  <sheetViews>
    <sheetView workbookViewId="0">
      <selection activeCell="C17" sqref="C17"/>
    </sheetView>
  </sheetViews>
  <sheetFormatPr baseColWidth="10" defaultRowHeight="16" x14ac:dyDescent="0.2"/>
  <cols>
    <col min="2" max="2" width="22" customWidth="1"/>
  </cols>
  <sheetData>
    <row r="1" spans="1:5" x14ac:dyDescent="0.2">
      <c r="A1" t="s">
        <v>54</v>
      </c>
    </row>
    <row r="3" spans="1:5" x14ac:dyDescent="0.2">
      <c r="C3" t="s">
        <v>55</v>
      </c>
      <c r="D3" t="s">
        <v>46</v>
      </c>
      <c r="E3" t="s">
        <v>47</v>
      </c>
    </row>
    <row r="4" spans="1:5" x14ac:dyDescent="0.2">
      <c r="B4" t="s">
        <v>16</v>
      </c>
      <c r="E4">
        <v>3</v>
      </c>
    </row>
    <row r="5" spans="1:5" x14ac:dyDescent="0.2">
      <c r="A5" s="1">
        <v>45293</v>
      </c>
      <c r="B5" t="s">
        <v>56</v>
      </c>
      <c r="C5">
        <v>97</v>
      </c>
      <c r="E5">
        <v>100</v>
      </c>
    </row>
    <row r="6" spans="1:5" x14ac:dyDescent="0.2">
      <c r="A6" s="1">
        <v>45294</v>
      </c>
      <c r="B6" t="s">
        <v>144</v>
      </c>
      <c r="D6">
        <v>100</v>
      </c>
      <c r="E6">
        <v>0</v>
      </c>
    </row>
    <row r="7" spans="1:5" x14ac:dyDescent="0.2">
      <c r="A7" s="2">
        <v>45297</v>
      </c>
      <c r="B7" t="s">
        <v>56</v>
      </c>
      <c r="C7">
        <v>100</v>
      </c>
      <c r="E7">
        <v>100</v>
      </c>
    </row>
    <row r="8" spans="1:5" x14ac:dyDescent="0.2">
      <c r="A8" s="2">
        <v>45299</v>
      </c>
      <c r="B8" t="s">
        <v>52</v>
      </c>
      <c r="D8">
        <v>100</v>
      </c>
      <c r="E8">
        <f>E7+C8-D8</f>
        <v>0</v>
      </c>
    </row>
    <row r="9" spans="1:5" x14ac:dyDescent="0.2">
      <c r="A9" s="2">
        <v>45299</v>
      </c>
      <c r="B9" t="s">
        <v>56</v>
      </c>
      <c r="C9">
        <v>250</v>
      </c>
      <c r="E9">
        <f t="shared" ref="E9:E20" si="0">E8+C9-D9</f>
        <v>250</v>
      </c>
    </row>
    <row r="10" spans="1:5" x14ac:dyDescent="0.2">
      <c r="A10" s="2">
        <v>45300</v>
      </c>
      <c r="B10" t="s">
        <v>135</v>
      </c>
      <c r="D10">
        <v>250</v>
      </c>
      <c r="E10">
        <f t="shared" si="0"/>
        <v>0</v>
      </c>
    </row>
    <row r="11" spans="1:5" x14ac:dyDescent="0.2">
      <c r="A11" s="2">
        <v>45300</v>
      </c>
      <c r="B11" t="s">
        <v>56</v>
      </c>
      <c r="C11">
        <v>100</v>
      </c>
      <c r="E11">
        <f t="shared" si="0"/>
        <v>100</v>
      </c>
    </row>
    <row r="12" spans="1:5" x14ac:dyDescent="0.2">
      <c r="A12" s="2">
        <v>45301</v>
      </c>
      <c r="B12" t="s">
        <v>144</v>
      </c>
      <c r="D12">
        <v>100</v>
      </c>
      <c r="E12">
        <f t="shared" si="0"/>
        <v>0</v>
      </c>
    </row>
    <row r="13" spans="1:5" x14ac:dyDescent="0.2">
      <c r="A13" s="2">
        <v>45313</v>
      </c>
      <c r="B13" t="s">
        <v>52</v>
      </c>
      <c r="C13">
        <v>350</v>
      </c>
      <c r="E13">
        <f t="shared" si="0"/>
        <v>350</v>
      </c>
    </row>
    <row r="14" spans="1:5" x14ac:dyDescent="0.2">
      <c r="A14" s="2">
        <v>45313</v>
      </c>
      <c r="B14" t="s">
        <v>135</v>
      </c>
      <c r="D14">
        <v>100</v>
      </c>
      <c r="E14">
        <f t="shared" si="0"/>
        <v>250</v>
      </c>
    </row>
    <row r="15" spans="1:5" x14ac:dyDescent="0.2">
      <c r="A15" s="2">
        <v>45327</v>
      </c>
      <c r="B15" t="s">
        <v>236</v>
      </c>
      <c r="D15">
        <v>150</v>
      </c>
      <c r="E15">
        <f t="shared" si="0"/>
        <v>100</v>
      </c>
    </row>
    <row r="16" spans="1:5" x14ac:dyDescent="0.2">
      <c r="A16" s="5">
        <v>45337</v>
      </c>
      <c r="B16" s="4" t="s">
        <v>129</v>
      </c>
      <c r="C16">
        <v>50</v>
      </c>
      <c r="E16">
        <f t="shared" si="0"/>
        <v>150</v>
      </c>
    </row>
    <row r="17" spans="5:5" x14ac:dyDescent="0.2">
      <c r="E17">
        <f t="shared" si="0"/>
        <v>150</v>
      </c>
    </row>
    <row r="18" spans="5:5" x14ac:dyDescent="0.2">
      <c r="E18">
        <f t="shared" si="0"/>
        <v>150</v>
      </c>
    </row>
    <row r="19" spans="5:5" x14ac:dyDescent="0.2">
      <c r="E19">
        <f t="shared" si="0"/>
        <v>150</v>
      </c>
    </row>
    <row r="20" spans="5:5" x14ac:dyDescent="0.2">
      <c r="E20">
        <f t="shared" si="0"/>
        <v>150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6600-B1C4-AA48-872A-CEEC4734E9F6}">
  <dimension ref="A1:D11"/>
  <sheetViews>
    <sheetView workbookViewId="0">
      <selection activeCell="B11" sqref="B11"/>
    </sheetView>
  </sheetViews>
  <sheetFormatPr baseColWidth="10" defaultRowHeight="16" x14ac:dyDescent="0.2"/>
  <cols>
    <col min="2" max="2" width="21.6640625" customWidth="1"/>
  </cols>
  <sheetData>
    <row r="1" spans="1:4" x14ac:dyDescent="0.2">
      <c r="A1" t="s">
        <v>199</v>
      </c>
    </row>
    <row r="5" spans="1:4" x14ac:dyDescent="0.2">
      <c r="A5" s="1">
        <v>45309</v>
      </c>
      <c r="B5" t="s">
        <v>76</v>
      </c>
      <c r="C5">
        <v>27</v>
      </c>
    </row>
    <row r="6" spans="1:4" x14ac:dyDescent="0.2">
      <c r="A6" s="2">
        <v>45313</v>
      </c>
      <c r="B6" t="s">
        <v>76</v>
      </c>
      <c r="C6">
        <v>3</v>
      </c>
    </row>
    <row r="7" spans="1:4" x14ac:dyDescent="0.2">
      <c r="A7" s="2">
        <v>45334</v>
      </c>
      <c r="B7" t="s">
        <v>76</v>
      </c>
      <c r="C7">
        <v>50</v>
      </c>
    </row>
    <row r="8" spans="1:4" x14ac:dyDescent="0.2">
      <c r="A8" s="2">
        <v>45335</v>
      </c>
      <c r="B8" t="s">
        <v>252</v>
      </c>
      <c r="D8">
        <v>80</v>
      </c>
    </row>
    <row r="9" spans="1:4" x14ac:dyDescent="0.2">
      <c r="A9" s="2">
        <v>45363</v>
      </c>
      <c r="B9" t="s">
        <v>218</v>
      </c>
      <c r="C9">
        <v>50</v>
      </c>
    </row>
    <row r="10" spans="1:4" x14ac:dyDescent="0.2">
      <c r="A10" s="2">
        <v>45364</v>
      </c>
      <c r="B10" t="s">
        <v>252</v>
      </c>
      <c r="D10">
        <v>50</v>
      </c>
    </row>
    <row r="11" spans="1:4" x14ac:dyDescent="0.2">
      <c r="A11" s="2">
        <v>45364</v>
      </c>
      <c r="B11" t="s">
        <v>218</v>
      </c>
      <c r="C11">
        <v>100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B879-FD72-804A-B855-E9BAB3B098C2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212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247D-BC1D-F043-9D12-DC0DE1891CF9}">
  <dimension ref="A1:D11"/>
  <sheetViews>
    <sheetView workbookViewId="0">
      <selection activeCell="D12" sqref="D12"/>
    </sheetView>
  </sheetViews>
  <sheetFormatPr baseColWidth="10" defaultRowHeight="16" x14ac:dyDescent="0.2"/>
  <cols>
    <col min="2" max="2" width="19.83203125" customWidth="1"/>
  </cols>
  <sheetData>
    <row r="1" spans="1:4" x14ac:dyDescent="0.2">
      <c r="A1" t="s">
        <v>75</v>
      </c>
    </row>
    <row r="4" spans="1:4" x14ac:dyDescent="0.2">
      <c r="A4" s="2">
        <v>45296</v>
      </c>
      <c r="B4" t="s">
        <v>76</v>
      </c>
      <c r="C4">
        <v>60</v>
      </c>
    </row>
    <row r="5" spans="1:4" x14ac:dyDescent="0.2">
      <c r="A5" s="2">
        <v>45296</v>
      </c>
      <c r="B5" t="s">
        <v>190</v>
      </c>
      <c r="D5">
        <v>60</v>
      </c>
    </row>
    <row r="6" spans="1:4" x14ac:dyDescent="0.2">
      <c r="A6" s="2">
        <v>45300</v>
      </c>
      <c r="B6" t="s">
        <v>76</v>
      </c>
      <c r="C6">
        <v>60</v>
      </c>
    </row>
    <row r="7" spans="1:4" x14ac:dyDescent="0.2">
      <c r="A7" s="2">
        <v>45301</v>
      </c>
      <c r="B7" t="s">
        <v>190</v>
      </c>
      <c r="D7">
        <v>60</v>
      </c>
    </row>
    <row r="8" spans="1:4" x14ac:dyDescent="0.2">
      <c r="A8" s="2">
        <v>45307</v>
      </c>
      <c r="B8" t="s">
        <v>76</v>
      </c>
      <c r="C8">
        <v>150</v>
      </c>
    </row>
    <row r="9" spans="1:4" x14ac:dyDescent="0.2">
      <c r="A9" s="2">
        <v>45307</v>
      </c>
      <c r="B9" t="s">
        <v>190</v>
      </c>
      <c r="D9">
        <v>150</v>
      </c>
    </row>
    <row r="10" spans="1:4" x14ac:dyDescent="0.2">
      <c r="A10" s="2">
        <v>45317</v>
      </c>
      <c r="B10" t="s">
        <v>76</v>
      </c>
      <c r="C10">
        <v>195</v>
      </c>
    </row>
    <row r="11" spans="1:4" x14ac:dyDescent="0.2">
      <c r="A11" s="2">
        <v>45318</v>
      </c>
      <c r="B11" t="s">
        <v>190</v>
      </c>
      <c r="D11">
        <v>195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F0D4-4BAA-E246-8889-9182BFDD07D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D392-05B7-5149-B57E-C155D7E3F91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EBB3-DB18-AB46-9A30-74FD0DEF9F9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4848-92CA-214C-AD0C-0FF6F7B94C9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525A-87E9-1E49-AEB0-06DDA1583F3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0724-75B3-F940-BC7F-F3DBA1DA8D0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6042-7169-CA4D-808F-EC833F47EF1A}">
  <dimension ref="A1:E24"/>
  <sheetViews>
    <sheetView topLeftCell="A10" workbookViewId="0">
      <selection activeCell="C34" sqref="C34"/>
    </sheetView>
  </sheetViews>
  <sheetFormatPr baseColWidth="10" defaultRowHeight="16" x14ac:dyDescent="0.2"/>
  <cols>
    <col min="2" max="2" width="22.33203125" customWidth="1"/>
  </cols>
  <sheetData>
    <row r="1" spans="1:5" x14ac:dyDescent="0.2">
      <c r="A1" t="s">
        <v>50</v>
      </c>
    </row>
    <row r="3" spans="1:5" x14ac:dyDescent="0.2">
      <c r="C3" t="s">
        <v>45</v>
      </c>
      <c r="D3" t="s">
        <v>46</v>
      </c>
      <c r="E3" t="s">
        <v>47</v>
      </c>
    </row>
    <row r="4" spans="1:5" x14ac:dyDescent="0.2">
      <c r="B4" t="s">
        <v>16</v>
      </c>
      <c r="E4">
        <v>51</v>
      </c>
    </row>
    <row r="5" spans="1:5" x14ac:dyDescent="0.2">
      <c r="A5" s="1">
        <v>45293</v>
      </c>
      <c r="B5" t="s">
        <v>51</v>
      </c>
      <c r="C5">
        <v>200</v>
      </c>
      <c r="E5">
        <v>200</v>
      </c>
    </row>
    <row r="6" spans="1:5" x14ac:dyDescent="0.2">
      <c r="A6" s="1">
        <v>45294</v>
      </c>
      <c r="B6" t="s">
        <v>145</v>
      </c>
      <c r="D6">
        <v>200</v>
      </c>
      <c r="E6">
        <v>0</v>
      </c>
    </row>
    <row r="7" spans="1:5" x14ac:dyDescent="0.2">
      <c r="A7" s="1">
        <v>45294</v>
      </c>
      <c r="B7" t="s">
        <v>53</v>
      </c>
      <c r="C7">
        <v>192</v>
      </c>
      <c r="E7">
        <v>192</v>
      </c>
    </row>
    <row r="8" spans="1:5" x14ac:dyDescent="0.2">
      <c r="A8" s="2">
        <v>45295</v>
      </c>
      <c r="B8" t="s">
        <v>74</v>
      </c>
      <c r="C8">
        <v>200</v>
      </c>
      <c r="E8">
        <f>E7+C8-D8</f>
        <v>392</v>
      </c>
    </row>
    <row r="9" spans="1:5" x14ac:dyDescent="0.2">
      <c r="A9" s="1">
        <v>45296</v>
      </c>
      <c r="B9" t="s">
        <v>77</v>
      </c>
      <c r="D9">
        <v>200</v>
      </c>
      <c r="E9">
        <f t="shared" ref="E9:E23" si="0">E8+C9-D9</f>
        <v>192</v>
      </c>
    </row>
    <row r="10" spans="1:5" x14ac:dyDescent="0.2">
      <c r="A10" s="1">
        <v>45299</v>
      </c>
      <c r="B10" t="s">
        <v>145</v>
      </c>
      <c r="D10">
        <v>192</v>
      </c>
      <c r="E10">
        <f t="shared" si="0"/>
        <v>0</v>
      </c>
    </row>
    <row r="11" spans="1:5" x14ac:dyDescent="0.2">
      <c r="A11" s="2">
        <v>45299</v>
      </c>
      <c r="B11" t="s">
        <v>51</v>
      </c>
      <c r="C11">
        <v>500</v>
      </c>
      <c r="E11">
        <f t="shared" si="0"/>
        <v>500</v>
      </c>
    </row>
    <row r="12" spans="1:5" x14ac:dyDescent="0.2">
      <c r="A12" s="2">
        <v>45300</v>
      </c>
      <c r="B12" t="s">
        <v>135</v>
      </c>
      <c r="D12">
        <v>500</v>
      </c>
      <c r="E12">
        <f t="shared" si="0"/>
        <v>0</v>
      </c>
    </row>
    <row r="13" spans="1:5" x14ac:dyDescent="0.2">
      <c r="A13" s="2">
        <v>45300</v>
      </c>
      <c r="B13" t="s">
        <v>50</v>
      </c>
      <c r="C13">
        <v>208</v>
      </c>
      <c r="E13">
        <f t="shared" si="0"/>
        <v>208</v>
      </c>
    </row>
    <row r="14" spans="1:5" x14ac:dyDescent="0.2">
      <c r="A14" s="2">
        <v>45301</v>
      </c>
      <c r="B14" t="s">
        <v>145</v>
      </c>
      <c r="D14">
        <v>208</v>
      </c>
      <c r="E14">
        <f t="shared" si="0"/>
        <v>0</v>
      </c>
    </row>
    <row r="15" spans="1:5" x14ac:dyDescent="0.2">
      <c r="A15" s="2">
        <v>45302</v>
      </c>
      <c r="B15" t="s">
        <v>51</v>
      </c>
      <c r="C15">
        <v>500</v>
      </c>
      <c r="E15">
        <f t="shared" si="0"/>
        <v>500</v>
      </c>
    </row>
    <row r="16" spans="1:5" x14ac:dyDescent="0.2">
      <c r="A16" s="2">
        <v>45303</v>
      </c>
      <c r="B16" t="s">
        <v>135</v>
      </c>
      <c r="D16">
        <v>500</v>
      </c>
      <c r="E16">
        <f t="shared" si="0"/>
        <v>0</v>
      </c>
    </row>
    <row r="17" spans="1:5" x14ac:dyDescent="0.2">
      <c r="A17" s="2">
        <v>45307</v>
      </c>
      <c r="B17" t="s">
        <v>181</v>
      </c>
      <c r="C17">
        <v>296</v>
      </c>
      <c r="E17">
        <f t="shared" si="0"/>
        <v>296</v>
      </c>
    </row>
    <row r="18" spans="1:5" x14ac:dyDescent="0.2">
      <c r="A18" s="5">
        <v>45310</v>
      </c>
      <c r="B18" s="4" t="s">
        <v>181</v>
      </c>
      <c r="C18">
        <v>4</v>
      </c>
      <c r="E18">
        <f t="shared" si="0"/>
        <v>300</v>
      </c>
    </row>
    <row r="19" spans="1:5" x14ac:dyDescent="0.2">
      <c r="A19" s="5">
        <v>45313</v>
      </c>
      <c r="B19" s="4" t="s">
        <v>145</v>
      </c>
      <c r="C19">
        <v>700</v>
      </c>
      <c r="E19">
        <f t="shared" si="0"/>
        <v>1000</v>
      </c>
    </row>
    <row r="20" spans="1:5" x14ac:dyDescent="0.2">
      <c r="A20" s="2">
        <v>45313</v>
      </c>
      <c r="B20" t="s">
        <v>135</v>
      </c>
      <c r="D20">
        <v>200</v>
      </c>
      <c r="E20">
        <f t="shared" si="0"/>
        <v>800</v>
      </c>
    </row>
    <row r="21" spans="1:5" x14ac:dyDescent="0.2">
      <c r="A21" s="2">
        <v>45327</v>
      </c>
      <c r="B21" t="s">
        <v>236</v>
      </c>
      <c r="D21">
        <v>300</v>
      </c>
      <c r="E21">
        <f t="shared" si="0"/>
        <v>500</v>
      </c>
    </row>
    <row r="22" spans="1:5" x14ac:dyDescent="0.2">
      <c r="A22" s="2">
        <v>45334</v>
      </c>
      <c r="B22" t="s">
        <v>51</v>
      </c>
      <c r="C22">
        <v>320</v>
      </c>
      <c r="E22">
        <f t="shared" si="0"/>
        <v>820</v>
      </c>
    </row>
    <row r="23" spans="1:5" x14ac:dyDescent="0.2">
      <c r="A23" s="2">
        <v>45335</v>
      </c>
      <c r="B23" t="s">
        <v>253</v>
      </c>
      <c r="D23">
        <v>320</v>
      </c>
      <c r="E23">
        <f t="shared" si="0"/>
        <v>500</v>
      </c>
    </row>
    <row r="24" spans="1:5" x14ac:dyDescent="0.2">
      <c r="A24" s="5">
        <v>45337</v>
      </c>
      <c r="B24" s="4" t="s">
        <v>129</v>
      </c>
      <c r="C24">
        <v>100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59CA-8E59-9541-AF92-7E79DCE897C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12DE-D1F4-5347-B2D5-99A84769AB1E}">
  <dimension ref="A1:D4"/>
  <sheetViews>
    <sheetView workbookViewId="0">
      <selection activeCell="D5" sqref="D5"/>
    </sheetView>
  </sheetViews>
  <sheetFormatPr baseColWidth="10" defaultRowHeight="16" x14ac:dyDescent="0.2"/>
  <cols>
    <col min="2" max="2" width="21.1640625" customWidth="1"/>
  </cols>
  <sheetData>
    <row r="1" spans="1:4" x14ac:dyDescent="0.2">
      <c r="A1" t="s">
        <v>220</v>
      </c>
    </row>
    <row r="3" spans="1:4" x14ac:dyDescent="0.2">
      <c r="A3" s="2">
        <v>45317</v>
      </c>
      <c r="B3" t="s">
        <v>200</v>
      </c>
      <c r="C3">
        <v>200</v>
      </c>
    </row>
    <row r="4" spans="1:4" x14ac:dyDescent="0.2">
      <c r="A4" s="2">
        <v>45317</v>
      </c>
      <c r="B4" t="s">
        <v>221</v>
      </c>
      <c r="D4">
        <v>200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89E4-B1EF-A14B-B9B1-35F95D047DCF}">
  <dimension ref="A1"/>
  <sheetViews>
    <sheetView workbookViewId="0"/>
  </sheetViews>
  <sheetFormatPr baseColWidth="10" defaultRowHeight="16" x14ac:dyDescent="0.2"/>
  <sheetData>
    <row r="1" spans="1:1" x14ac:dyDescent="0.2">
      <c r="A1" t="s">
        <v>35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6259-07BF-564A-9753-872C0B6E4432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36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ED86-C9DE-A54F-A7B3-316307D947C8}">
  <dimension ref="A1:E10"/>
  <sheetViews>
    <sheetView workbookViewId="0">
      <selection activeCell="C7" sqref="C7"/>
    </sheetView>
  </sheetViews>
  <sheetFormatPr baseColWidth="10" defaultRowHeight="16" x14ac:dyDescent="0.2"/>
  <cols>
    <col min="2" max="2" width="22.33203125" customWidth="1"/>
  </cols>
  <sheetData>
    <row r="1" spans="1:5" x14ac:dyDescent="0.2">
      <c r="A1" t="s">
        <v>37</v>
      </c>
    </row>
    <row r="3" spans="1:5" x14ac:dyDescent="0.2">
      <c r="B3" t="s">
        <v>16</v>
      </c>
      <c r="E3">
        <v>90</v>
      </c>
    </row>
    <row r="4" spans="1:5" x14ac:dyDescent="0.2">
      <c r="A4" s="1">
        <v>45309</v>
      </c>
      <c r="B4" t="s">
        <v>200</v>
      </c>
      <c r="C4">
        <v>2</v>
      </c>
      <c r="E4">
        <f>E3+C4-D4</f>
        <v>92</v>
      </c>
    </row>
    <row r="5" spans="1:5" x14ac:dyDescent="0.2">
      <c r="A5" s="5">
        <v>45317</v>
      </c>
      <c r="B5" s="4" t="s">
        <v>211</v>
      </c>
      <c r="C5">
        <v>96</v>
      </c>
      <c r="E5">
        <f t="shared" ref="E5" si="0">E4+C5-D5</f>
        <v>188</v>
      </c>
    </row>
    <row r="6" spans="1:5" x14ac:dyDescent="0.2">
      <c r="A6" s="5">
        <v>45329</v>
      </c>
      <c r="B6" s="4" t="s">
        <v>91</v>
      </c>
      <c r="C6">
        <v>54</v>
      </c>
    </row>
    <row r="7" spans="1:5" x14ac:dyDescent="0.2">
      <c r="A7" s="2">
        <v>45338</v>
      </c>
      <c r="B7" t="s">
        <v>211</v>
      </c>
      <c r="C7">
        <v>119</v>
      </c>
    </row>
    <row r="8" spans="1:5" x14ac:dyDescent="0.2">
      <c r="A8" s="2">
        <v>45348</v>
      </c>
      <c r="B8" t="s">
        <v>211</v>
      </c>
      <c r="C8">
        <v>280</v>
      </c>
    </row>
    <row r="9" spans="1:5" x14ac:dyDescent="0.2">
      <c r="A9" s="2">
        <v>45356</v>
      </c>
      <c r="B9" t="s">
        <v>211</v>
      </c>
      <c r="C9">
        <v>217</v>
      </c>
    </row>
    <row r="10" spans="1:5" x14ac:dyDescent="0.2">
      <c r="A10" s="2">
        <v>45359</v>
      </c>
      <c r="B10" t="s">
        <v>211</v>
      </c>
      <c r="C10">
        <v>79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FF4B-E292-4F45-9979-A44ADC625A49}">
  <dimension ref="A1:E4"/>
  <sheetViews>
    <sheetView workbookViewId="0">
      <selection activeCell="D5" sqref="D5"/>
    </sheetView>
  </sheetViews>
  <sheetFormatPr baseColWidth="10" defaultRowHeight="16" x14ac:dyDescent="0.2"/>
  <cols>
    <col min="2" max="2" width="21.5" customWidth="1"/>
  </cols>
  <sheetData>
    <row r="1" spans="1:5" x14ac:dyDescent="0.2">
      <c r="A1" t="s">
        <v>38</v>
      </c>
    </row>
    <row r="3" spans="1:5" x14ac:dyDescent="0.2">
      <c r="B3" t="s">
        <v>16</v>
      </c>
      <c r="E3">
        <v>139</v>
      </c>
    </row>
    <row r="4" spans="1:5" x14ac:dyDescent="0.2">
      <c r="A4" s="2">
        <v>45364</v>
      </c>
      <c r="B4" t="s">
        <v>312</v>
      </c>
      <c r="D4">
        <v>100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B028-F7F4-7843-AE05-685449BFA657}">
  <dimension ref="A1:E15"/>
  <sheetViews>
    <sheetView workbookViewId="0">
      <selection activeCell="B16" sqref="B16"/>
    </sheetView>
  </sheetViews>
  <sheetFormatPr baseColWidth="10" defaultRowHeight="16" x14ac:dyDescent="0.2"/>
  <cols>
    <col min="2" max="2" width="32.33203125" customWidth="1"/>
  </cols>
  <sheetData>
    <row r="1" spans="1:5" x14ac:dyDescent="0.2">
      <c r="A1" t="s">
        <v>39</v>
      </c>
    </row>
    <row r="3" spans="1:5" x14ac:dyDescent="0.2">
      <c r="A3" s="4"/>
      <c r="B3" s="4" t="s">
        <v>16</v>
      </c>
      <c r="C3" s="4"/>
      <c r="E3">
        <v>288</v>
      </c>
    </row>
    <row r="4" spans="1:5" x14ac:dyDescent="0.2">
      <c r="A4" s="3">
        <v>45297</v>
      </c>
      <c r="B4" s="4" t="s">
        <v>110</v>
      </c>
      <c r="C4" s="4">
        <v>1</v>
      </c>
      <c r="E4">
        <f>E3+C4-D4</f>
        <v>289</v>
      </c>
    </row>
    <row r="5" spans="1:5" x14ac:dyDescent="0.2">
      <c r="A5" s="2">
        <v>45300</v>
      </c>
      <c r="B5" t="s">
        <v>140</v>
      </c>
      <c r="C5">
        <v>341</v>
      </c>
      <c r="E5">
        <f>E4+C5-D5</f>
        <v>630</v>
      </c>
    </row>
    <row r="6" spans="1:5" x14ac:dyDescent="0.2">
      <c r="A6" s="2">
        <v>45314</v>
      </c>
      <c r="B6" t="s">
        <v>211</v>
      </c>
      <c r="C6">
        <v>139</v>
      </c>
      <c r="E6">
        <f>E5+C6-D6</f>
        <v>769</v>
      </c>
    </row>
    <row r="7" spans="1:5" x14ac:dyDescent="0.2">
      <c r="A7" s="2">
        <v>45315</v>
      </c>
      <c r="B7" t="s">
        <v>140</v>
      </c>
      <c r="C7">
        <v>391</v>
      </c>
      <c r="E7">
        <f t="shared" ref="E7:E10" si="0">E6+C7-D7</f>
        <v>1160</v>
      </c>
    </row>
    <row r="8" spans="1:5" x14ac:dyDescent="0.2">
      <c r="A8" s="2">
        <v>45317</v>
      </c>
      <c r="B8" t="s">
        <v>211</v>
      </c>
      <c r="C8">
        <v>18</v>
      </c>
      <c r="E8">
        <f t="shared" si="0"/>
        <v>1178</v>
      </c>
    </row>
    <row r="9" spans="1:5" x14ac:dyDescent="0.2">
      <c r="A9" s="2">
        <v>45323</v>
      </c>
      <c r="B9" t="s">
        <v>211</v>
      </c>
      <c r="C9">
        <v>200</v>
      </c>
      <c r="E9">
        <f t="shared" si="0"/>
        <v>1378</v>
      </c>
    </row>
    <row r="10" spans="1:5" x14ac:dyDescent="0.2">
      <c r="A10" s="2">
        <v>45329</v>
      </c>
      <c r="B10" t="s">
        <v>91</v>
      </c>
      <c r="C10">
        <v>161</v>
      </c>
      <c r="E10">
        <f t="shared" si="0"/>
        <v>1539</v>
      </c>
    </row>
    <row r="11" spans="1:5" x14ac:dyDescent="0.2">
      <c r="A11" s="2">
        <v>45338</v>
      </c>
      <c r="B11" t="s">
        <v>211</v>
      </c>
      <c r="C11">
        <v>110</v>
      </c>
      <c r="E11">
        <f>E10+C11-D11</f>
        <v>1649</v>
      </c>
    </row>
    <row r="12" spans="1:5" x14ac:dyDescent="0.2">
      <c r="A12" s="2">
        <v>45356</v>
      </c>
      <c r="B12" t="s">
        <v>211</v>
      </c>
      <c r="C12">
        <v>74</v>
      </c>
      <c r="E12">
        <f>E11+C12-D12</f>
        <v>1723</v>
      </c>
    </row>
    <row r="13" spans="1:5" x14ac:dyDescent="0.2">
      <c r="A13" s="2">
        <v>45357</v>
      </c>
      <c r="B13" t="s">
        <v>317</v>
      </c>
      <c r="D13">
        <v>300</v>
      </c>
    </row>
    <row r="14" spans="1:5" x14ac:dyDescent="0.2">
      <c r="A14" s="2">
        <v>45359</v>
      </c>
      <c r="B14" t="s">
        <v>211</v>
      </c>
      <c r="C14">
        <v>96</v>
      </c>
    </row>
    <row r="15" spans="1:5" x14ac:dyDescent="0.2">
      <c r="A15" s="2">
        <v>45369</v>
      </c>
      <c r="B15" t="s">
        <v>322</v>
      </c>
      <c r="D15">
        <v>270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EF79-081A-9945-BA9F-7D2185DAD5A8}">
  <dimension ref="A1:E7"/>
  <sheetViews>
    <sheetView workbookViewId="0">
      <selection activeCell="E8" sqref="E8"/>
    </sheetView>
  </sheetViews>
  <sheetFormatPr baseColWidth="10" defaultRowHeight="16" x14ac:dyDescent="0.2"/>
  <cols>
    <col min="2" max="2" width="20.83203125" customWidth="1"/>
  </cols>
  <sheetData>
    <row r="1" spans="1:5" x14ac:dyDescent="0.2">
      <c r="A1" t="s">
        <v>40</v>
      </c>
    </row>
    <row r="3" spans="1:5" x14ac:dyDescent="0.2">
      <c r="B3" t="s">
        <v>16</v>
      </c>
      <c r="E3">
        <v>71</v>
      </c>
    </row>
    <row r="4" spans="1:5" x14ac:dyDescent="0.2">
      <c r="A4" s="1">
        <v>45297</v>
      </c>
      <c r="B4" t="s">
        <v>91</v>
      </c>
      <c r="C4">
        <v>7</v>
      </c>
      <c r="E4">
        <v>78</v>
      </c>
    </row>
    <row r="5" spans="1:5" x14ac:dyDescent="0.2">
      <c r="A5" s="1">
        <v>45304</v>
      </c>
      <c r="B5" t="s">
        <v>91</v>
      </c>
      <c r="D5">
        <v>40</v>
      </c>
      <c r="E5">
        <v>38</v>
      </c>
    </row>
    <row r="6" spans="1:5" x14ac:dyDescent="0.2">
      <c r="A6" s="2">
        <v>45309</v>
      </c>
      <c r="B6" t="s">
        <v>200</v>
      </c>
      <c r="C6">
        <v>2</v>
      </c>
      <c r="E6">
        <v>40</v>
      </c>
    </row>
    <row r="7" spans="1:5" x14ac:dyDescent="0.2">
      <c r="A7" s="2">
        <v>45310</v>
      </c>
      <c r="B7" t="s">
        <v>91</v>
      </c>
      <c r="D7">
        <v>40</v>
      </c>
      <c r="E7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CC2E-2F3C-F246-913D-D9872F51B81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4E18-58AF-4E44-AEE2-1BA313B4E2B8}">
  <dimension ref="A1:E11"/>
  <sheetViews>
    <sheetView workbookViewId="0">
      <selection activeCell="B12" sqref="B12"/>
    </sheetView>
  </sheetViews>
  <sheetFormatPr baseColWidth="10" defaultRowHeight="16" x14ac:dyDescent="0.2"/>
  <cols>
    <col min="2" max="2" width="19.33203125" customWidth="1"/>
  </cols>
  <sheetData>
    <row r="1" spans="1:5" x14ac:dyDescent="0.2">
      <c r="A1" t="s">
        <v>94</v>
      </c>
    </row>
    <row r="3" spans="1:5" x14ac:dyDescent="0.2">
      <c r="B3" t="s">
        <v>90</v>
      </c>
      <c r="E3">
        <v>14</v>
      </c>
    </row>
    <row r="4" spans="1:5" x14ac:dyDescent="0.2">
      <c r="A4" s="1">
        <v>45296</v>
      </c>
      <c r="B4" t="s">
        <v>91</v>
      </c>
      <c r="C4">
        <v>43</v>
      </c>
      <c r="E4">
        <f>E3+C4-D4</f>
        <v>57</v>
      </c>
    </row>
    <row r="5" spans="1:5" x14ac:dyDescent="0.2">
      <c r="A5" s="3">
        <v>45307</v>
      </c>
      <c r="B5" s="4" t="s">
        <v>91</v>
      </c>
      <c r="C5">
        <v>71</v>
      </c>
      <c r="E5">
        <f t="shared" ref="E5:E6" si="0">E4+C5-D5</f>
        <v>128</v>
      </c>
    </row>
    <row r="6" spans="1:5" x14ac:dyDescent="0.2">
      <c r="A6" s="2">
        <v>45308</v>
      </c>
      <c r="B6" t="s">
        <v>91</v>
      </c>
      <c r="C6">
        <v>3</v>
      </c>
      <c r="E6">
        <f t="shared" si="0"/>
        <v>131</v>
      </c>
    </row>
    <row r="7" spans="1:5" x14ac:dyDescent="0.2">
      <c r="A7" s="2">
        <v>45323</v>
      </c>
      <c r="B7" t="s">
        <v>211</v>
      </c>
      <c r="C7">
        <v>16</v>
      </c>
      <c r="E7">
        <f>E6+C7-D7</f>
        <v>147</v>
      </c>
    </row>
    <row r="8" spans="1:5" x14ac:dyDescent="0.2">
      <c r="A8" s="5">
        <v>45342</v>
      </c>
      <c r="B8" s="4" t="s">
        <v>91</v>
      </c>
      <c r="C8">
        <v>4</v>
      </c>
      <c r="E8">
        <f t="shared" ref="E8:E9" si="1">E7+C8-D8</f>
        <v>151</v>
      </c>
    </row>
    <row r="9" spans="1:5" x14ac:dyDescent="0.2">
      <c r="A9" s="5">
        <v>45342</v>
      </c>
      <c r="B9" s="4" t="s">
        <v>91</v>
      </c>
      <c r="C9">
        <v>14</v>
      </c>
      <c r="E9">
        <f t="shared" si="1"/>
        <v>165</v>
      </c>
    </row>
    <row r="10" spans="1:5" x14ac:dyDescent="0.2">
      <c r="A10" s="2">
        <v>45356</v>
      </c>
      <c r="B10" s="4" t="s">
        <v>211</v>
      </c>
      <c r="C10">
        <v>9</v>
      </c>
    </row>
    <row r="11" spans="1:5" x14ac:dyDescent="0.2">
      <c r="A11" s="2">
        <v>45359</v>
      </c>
      <c r="B11" s="4" t="s">
        <v>211</v>
      </c>
      <c r="C11">
        <v>23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C318-AF25-FB4C-9A5B-E97D6AD00967}">
  <dimension ref="A1:E7"/>
  <sheetViews>
    <sheetView workbookViewId="0">
      <selection activeCell="C8" sqref="C8"/>
    </sheetView>
  </sheetViews>
  <sheetFormatPr baseColWidth="10" defaultRowHeight="16" x14ac:dyDescent="0.2"/>
  <cols>
    <col min="2" max="2" width="19.5" customWidth="1"/>
  </cols>
  <sheetData>
    <row r="1" spans="1:5" x14ac:dyDescent="0.2">
      <c r="A1" t="s">
        <v>41</v>
      </c>
    </row>
    <row r="3" spans="1:5" x14ac:dyDescent="0.2">
      <c r="B3" t="s">
        <v>90</v>
      </c>
      <c r="E3">
        <v>16</v>
      </c>
    </row>
    <row r="4" spans="1:5" x14ac:dyDescent="0.2">
      <c r="A4" s="1">
        <v>45296</v>
      </c>
      <c r="B4" t="s">
        <v>91</v>
      </c>
      <c r="C4">
        <v>17</v>
      </c>
      <c r="E4">
        <f>E3+C4-D4</f>
        <v>33</v>
      </c>
    </row>
    <row r="5" spans="1:5" x14ac:dyDescent="0.2">
      <c r="A5" s="3">
        <v>45307</v>
      </c>
      <c r="B5" s="4" t="s">
        <v>91</v>
      </c>
      <c r="C5">
        <v>58</v>
      </c>
      <c r="E5">
        <f>E4+C5-D5</f>
        <v>91</v>
      </c>
    </row>
    <row r="6" spans="1:5" x14ac:dyDescent="0.2">
      <c r="A6" s="5">
        <v>45342</v>
      </c>
      <c r="B6" s="4" t="s">
        <v>91</v>
      </c>
      <c r="C6">
        <v>22</v>
      </c>
    </row>
    <row r="7" spans="1:5" x14ac:dyDescent="0.2">
      <c r="A7" s="2">
        <v>45359</v>
      </c>
      <c r="B7" t="s">
        <v>211</v>
      </c>
      <c r="C7">
        <v>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041F-0345-524B-B83D-F30D823517C9}">
  <dimension ref="A1:E8"/>
  <sheetViews>
    <sheetView workbookViewId="0">
      <selection activeCell="B9" sqref="B9"/>
    </sheetView>
  </sheetViews>
  <sheetFormatPr baseColWidth="10" defaultRowHeight="16" x14ac:dyDescent="0.2"/>
  <cols>
    <col min="2" max="2" width="20.6640625" customWidth="1"/>
  </cols>
  <sheetData>
    <row r="1" spans="1:5" x14ac:dyDescent="0.2">
      <c r="A1" t="s">
        <v>42</v>
      </c>
    </row>
    <row r="3" spans="1:5" x14ac:dyDescent="0.2">
      <c r="B3" t="s">
        <v>90</v>
      </c>
      <c r="E3">
        <v>56</v>
      </c>
    </row>
    <row r="4" spans="1:5" x14ac:dyDescent="0.2">
      <c r="A4" s="1">
        <v>45296</v>
      </c>
      <c r="B4" t="s">
        <v>91</v>
      </c>
      <c r="C4">
        <v>110</v>
      </c>
      <c r="E4">
        <f>E3+C4-D4</f>
        <v>166</v>
      </c>
    </row>
    <row r="5" spans="1:5" x14ac:dyDescent="0.2">
      <c r="A5" s="3">
        <v>45307</v>
      </c>
      <c r="B5" s="4" t="s">
        <v>91</v>
      </c>
      <c r="C5">
        <v>56</v>
      </c>
      <c r="E5">
        <f>E4+C5-D5</f>
        <v>222</v>
      </c>
    </row>
    <row r="6" spans="1:5" x14ac:dyDescent="0.2">
      <c r="A6" s="5">
        <v>45342</v>
      </c>
      <c r="B6" s="4" t="s">
        <v>91</v>
      </c>
      <c r="C6">
        <v>45</v>
      </c>
      <c r="E6">
        <v>277</v>
      </c>
    </row>
    <row r="7" spans="1:5" x14ac:dyDescent="0.2">
      <c r="A7" s="2">
        <v>45363</v>
      </c>
      <c r="B7" t="s">
        <v>312</v>
      </c>
      <c r="D7">
        <v>250</v>
      </c>
    </row>
    <row r="8" spans="1:5" x14ac:dyDescent="0.2">
      <c r="A8" s="2">
        <v>45369</v>
      </c>
      <c r="B8" t="s">
        <v>312</v>
      </c>
      <c r="D8">
        <v>35</v>
      </c>
      <c r="E8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29A7-DC47-D64F-A4F3-E961EFD6E412}">
  <dimension ref="A1:E24"/>
  <sheetViews>
    <sheetView workbookViewId="0">
      <selection activeCell="C16" sqref="C16"/>
    </sheetView>
  </sheetViews>
  <sheetFormatPr baseColWidth="10" defaultRowHeight="16" x14ac:dyDescent="0.2"/>
  <cols>
    <col min="2" max="2" width="24.83203125" customWidth="1"/>
  </cols>
  <sheetData>
    <row r="1" spans="1:5" x14ac:dyDescent="0.2">
      <c r="A1" t="s">
        <v>43</v>
      </c>
    </row>
    <row r="3" spans="1:5" x14ac:dyDescent="0.2">
      <c r="B3" t="s">
        <v>16</v>
      </c>
      <c r="E3">
        <v>158</v>
      </c>
    </row>
    <row r="4" spans="1:5" x14ac:dyDescent="0.2">
      <c r="A4" s="1">
        <v>45297</v>
      </c>
      <c r="B4" t="s">
        <v>91</v>
      </c>
      <c r="C4">
        <v>217</v>
      </c>
      <c r="E4">
        <f>E3+C4-D4</f>
        <v>375</v>
      </c>
    </row>
    <row r="5" spans="1:5" x14ac:dyDescent="0.2">
      <c r="A5" s="2">
        <v>45300</v>
      </c>
      <c r="B5" t="s">
        <v>140</v>
      </c>
      <c r="C5">
        <v>56</v>
      </c>
      <c r="E5">
        <f t="shared" ref="E5:E8" si="0">E4+C5-D5</f>
        <v>431</v>
      </c>
    </row>
    <row r="6" spans="1:5" x14ac:dyDescent="0.2">
      <c r="A6" s="1">
        <v>45306</v>
      </c>
      <c r="B6" t="s">
        <v>165</v>
      </c>
      <c r="C6">
        <v>2</v>
      </c>
      <c r="E6">
        <f t="shared" si="0"/>
        <v>433</v>
      </c>
    </row>
    <row r="7" spans="1:5" x14ac:dyDescent="0.2">
      <c r="A7" s="3">
        <v>45307</v>
      </c>
      <c r="B7" s="4" t="s">
        <v>91</v>
      </c>
      <c r="C7">
        <v>200</v>
      </c>
      <c r="E7">
        <f t="shared" si="0"/>
        <v>633</v>
      </c>
    </row>
    <row r="8" spans="1:5" x14ac:dyDescent="0.2">
      <c r="A8" s="1">
        <v>45308</v>
      </c>
      <c r="B8" t="s">
        <v>91</v>
      </c>
      <c r="C8">
        <v>29</v>
      </c>
      <c r="E8">
        <f t="shared" si="0"/>
        <v>662</v>
      </c>
    </row>
    <row r="9" spans="1:5" x14ac:dyDescent="0.2">
      <c r="A9" s="1">
        <v>45314</v>
      </c>
      <c r="B9" t="s">
        <v>211</v>
      </c>
      <c r="C9">
        <v>157</v>
      </c>
      <c r="E9">
        <f>E8+C9-D9</f>
        <v>819</v>
      </c>
    </row>
    <row r="10" spans="1:5" x14ac:dyDescent="0.2">
      <c r="A10" s="2">
        <v>45315</v>
      </c>
      <c r="B10" t="s">
        <v>140</v>
      </c>
      <c r="C10">
        <v>29</v>
      </c>
      <c r="E10">
        <f t="shared" ref="E10:E15" si="1">E9+C10-D10</f>
        <v>848</v>
      </c>
    </row>
    <row r="11" spans="1:5" x14ac:dyDescent="0.2">
      <c r="A11" s="5">
        <v>45317</v>
      </c>
      <c r="B11" s="4" t="s">
        <v>211</v>
      </c>
      <c r="C11">
        <v>120</v>
      </c>
      <c r="E11">
        <f t="shared" si="1"/>
        <v>968</v>
      </c>
    </row>
    <row r="12" spans="1:5" x14ac:dyDescent="0.2">
      <c r="A12" s="2">
        <v>45321</v>
      </c>
      <c r="B12" t="s">
        <v>138</v>
      </c>
      <c r="C12">
        <v>107</v>
      </c>
      <c r="E12">
        <f t="shared" si="1"/>
        <v>1075</v>
      </c>
    </row>
    <row r="13" spans="1:5" x14ac:dyDescent="0.2">
      <c r="A13" s="2">
        <v>45323</v>
      </c>
      <c r="B13" t="s">
        <v>211</v>
      </c>
      <c r="C13">
        <v>14</v>
      </c>
      <c r="E13">
        <f t="shared" si="1"/>
        <v>1089</v>
      </c>
    </row>
    <row r="14" spans="1:5" x14ac:dyDescent="0.2">
      <c r="A14" s="2">
        <v>45328</v>
      </c>
      <c r="B14" t="s">
        <v>70</v>
      </c>
      <c r="C14">
        <v>60</v>
      </c>
      <c r="E14">
        <f t="shared" si="1"/>
        <v>1149</v>
      </c>
    </row>
    <row r="15" spans="1:5" x14ac:dyDescent="0.2">
      <c r="A15" s="2">
        <v>45329</v>
      </c>
      <c r="B15" t="s">
        <v>91</v>
      </c>
      <c r="C15">
        <v>48</v>
      </c>
      <c r="E15">
        <f t="shared" si="1"/>
        <v>1197</v>
      </c>
    </row>
    <row r="16" spans="1:5" x14ac:dyDescent="0.2">
      <c r="A16" s="2">
        <v>45338</v>
      </c>
      <c r="B16" t="s">
        <v>211</v>
      </c>
      <c r="C16">
        <v>70</v>
      </c>
      <c r="E16">
        <f>E15+C16-D16</f>
        <v>1267</v>
      </c>
    </row>
    <row r="17" spans="1:5" x14ac:dyDescent="0.2">
      <c r="A17" s="5">
        <v>45342</v>
      </c>
      <c r="B17" s="4" t="s">
        <v>91</v>
      </c>
      <c r="C17">
        <v>159</v>
      </c>
      <c r="E17">
        <f t="shared" ref="E17:E24" si="2">E16+C17-D17</f>
        <v>1426</v>
      </c>
    </row>
    <row r="18" spans="1:5" x14ac:dyDescent="0.2">
      <c r="A18" s="2">
        <v>45348</v>
      </c>
      <c r="B18" t="s">
        <v>211</v>
      </c>
      <c r="C18">
        <v>58</v>
      </c>
      <c r="E18">
        <f t="shared" si="2"/>
        <v>1484</v>
      </c>
    </row>
    <row r="19" spans="1:5" x14ac:dyDescent="0.2">
      <c r="A19" s="2">
        <v>45349</v>
      </c>
      <c r="B19" t="s">
        <v>70</v>
      </c>
      <c r="C19">
        <v>63</v>
      </c>
      <c r="E19">
        <f t="shared" si="2"/>
        <v>1547</v>
      </c>
    </row>
    <row r="20" spans="1:5" x14ac:dyDescent="0.2">
      <c r="A20" s="2">
        <v>45353</v>
      </c>
      <c r="B20" t="s">
        <v>140</v>
      </c>
      <c r="C20">
        <v>30</v>
      </c>
      <c r="E20">
        <f t="shared" si="2"/>
        <v>1577</v>
      </c>
    </row>
    <row r="21" spans="1:5" x14ac:dyDescent="0.2">
      <c r="A21" s="2">
        <v>45356</v>
      </c>
      <c r="B21" t="s">
        <v>211</v>
      </c>
      <c r="C21">
        <v>18</v>
      </c>
      <c r="E21">
        <f t="shared" si="2"/>
        <v>1595</v>
      </c>
    </row>
    <row r="22" spans="1:5" x14ac:dyDescent="0.2">
      <c r="A22" s="2">
        <v>45359</v>
      </c>
      <c r="B22" t="s">
        <v>211</v>
      </c>
      <c r="C22">
        <v>23</v>
      </c>
      <c r="E22">
        <f t="shared" si="2"/>
        <v>1618</v>
      </c>
    </row>
    <row r="23" spans="1:5" x14ac:dyDescent="0.2">
      <c r="E23">
        <f t="shared" si="2"/>
        <v>1618</v>
      </c>
    </row>
    <row r="24" spans="1:5" x14ac:dyDescent="0.2">
      <c r="E24">
        <f t="shared" si="2"/>
        <v>1618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A58B-6BFD-7840-B28E-2F3F6F7AEE9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0D8A-AEAB-B34C-871B-8E31F608E863}">
  <dimension ref="A1:E6"/>
  <sheetViews>
    <sheetView tabSelected="1" workbookViewId="0">
      <selection activeCell="A6" sqref="A6:B6"/>
    </sheetView>
  </sheetViews>
  <sheetFormatPr baseColWidth="10" defaultRowHeight="16" x14ac:dyDescent="0.2"/>
  <cols>
    <col min="2" max="2" width="19" customWidth="1"/>
  </cols>
  <sheetData>
    <row r="1" spans="1:5" x14ac:dyDescent="0.2">
      <c r="A1" t="s">
        <v>194</v>
      </c>
    </row>
    <row r="3" spans="1:5" x14ac:dyDescent="0.2">
      <c r="B3" t="s">
        <v>195</v>
      </c>
      <c r="E3">
        <v>102</v>
      </c>
    </row>
    <row r="4" spans="1:5" x14ac:dyDescent="0.2">
      <c r="A4" s="1">
        <v>45308</v>
      </c>
      <c r="B4" t="s">
        <v>91</v>
      </c>
      <c r="C4">
        <v>20</v>
      </c>
    </row>
    <row r="5" spans="1:5" x14ac:dyDescent="0.2">
      <c r="A5" s="5">
        <v>45342</v>
      </c>
      <c r="B5" s="4" t="s">
        <v>91</v>
      </c>
      <c r="C5">
        <v>20</v>
      </c>
    </row>
    <row r="6" spans="1:5" x14ac:dyDescent="0.2">
      <c r="A6" s="5">
        <v>45370</v>
      </c>
      <c r="B6" s="4" t="s">
        <v>91</v>
      </c>
      <c r="C6">
        <v>18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FF1E-3745-0546-9EAC-4F4F22E8A71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F6FD-D2F6-9045-A27E-919C8809DC52}">
  <dimension ref="A1:E9"/>
  <sheetViews>
    <sheetView workbookViewId="0">
      <selection activeCell="C10" sqref="C10"/>
    </sheetView>
  </sheetViews>
  <sheetFormatPr baseColWidth="10" defaultRowHeight="16" x14ac:dyDescent="0.2"/>
  <cols>
    <col min="2" max="2" width="21.83203125" customWidth="1"/>
  </cols>
  <sheetData>
    <row r="1" spans="1:5" x14ac:dyDescent="0.2">
      <c r="A1" t="s">
        <v>92</v>
      </c>
    </row>
    <row r="3" spans="1:5" x14ac:dyDescent="0.2">
      <c r="B3" t="s">
        <v>93</v>
      </c>
      <c r="E3">
        <v>12</v>
      </c>
    </row>
    <row r="4" spans="1:5" x14ac:dyDescent="0.2">
      <c r="A4" s="1">
        <v>45296</v>
      </c>
      <c r="B4" t="s">
        <v>91</v>
      </c>
      <c r="C4">
        <v>41</v>
      </c>
      <c r="E4">
        <f>E3+C4-D4</f>
        <v>53</v>
      </c>
    </row>
    <row r="5" spans="1:5" x14ac:dyDescent="0.2">
      <c r="A5" s="1">
        <v>45306</v>
      </c>
      <c r="B5" t="s">
        <v>91</v>
      </c>
      <c r="C5">
        <v>3</v>
      </c>
      <c r="E5">
        <f t="shared" ref="E5:E7" si="0">E4+C5-D5</f>
        <v>56</v>
      </c>
    </row>
    <row r="6" spans="1:5" x14ac:dyDescent="0.2">
      <c r="A6" s="3">
        <v>45307</v>
      </c>
      <c r="B6" s="4" t="s">
        <v>91</v>
      </c>
      <c r="C6">
        <v>54</v>
      </c>
      <c r="E6">
        <f t="shared" si="0"/>
        <v>110</v>
      </c>
    </row>
    <row r="7" spans="1:5" x14ac:dyDescent="0.2">
      <c r="A7" s="2">
        <v>45308</v>
      </c>
      <c r="B7" t="s">
        <v>91</v>
      </c>
      <c r="C7">
        <v>1</v>
      </c>
      <c r="E7">
        <f t="shared" si="0"/>
        <v>111</v>
      </c>
    </row>
    <row r="8" spans="1:5" x14ac:dyDescent="0.2">
      <c r="A8" s="2">
        <v>45334</v>
      </c>
      <c r="B8" t="s">
        <v>165</v>
      </c>
      <c r="C8">
        <v>18</v>
      </c>
    </row>
    <row r="9" spans="1:5" x14ac:dyDescent="0.2">
      <c r="A9" s="5">
        <v>45342</v>
      </c>
      <c r="B9" s="4" t="s">
        <v>91</v>
      </c>
      <c r="C9">
        <v>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981B-F71A-9146-BAC8-05C50CDFD7D2}">
  <dimension ref="A1:E8"/>
  <sheetViews>
    <sheetView workbookViewId="0">
      <selection activeCell="C9" sqref="C9"/>
    </sheetView>
  </sheetViews>
  <sheetFormatPr baseColWidth="10" defaultRowHeight="16" x14ac:dyDescent="0.2"/>
  <cols>
    <col min="2" max="2" width="25" customWidth="1"/>
  </cols>
  <sheetData>
    <row r="1" spans="1:5" x14ac:dyDescent="0.2">
      <c r="A1" t="s">
        <v>89</v>
      </c>
    </row>
    <row r="3" spans="1:5" x14ac:dyDescent="0.2">
      <c r="B3" t="s">
        <v>90</v>
      </c>
      <c r="E3">
        <v>2</v>
      </c>
    </row>
    <row r="4" spans="1:5" x14ac:dyDescent="0.2">
      <c r="A4" s="1">
        <v>45296</v>
      </c>
      <c r="B4" t="s">
        <v>91</v>
      </c>
      <c r="C4">
        <v>20</v>
      </c>
    </row>
    <row r="5" spans="1:5" x14ac:dyDescent="0.2">
      <c r="A5" s="3">
        <v>45307</v>
      </c>
      <c r="B5" s="4" t="s">
        <v>91</v>
      </c>
      <c r="C5">
        <v>16</v>
      </c>
    </row>
    <row r="6" spans="1:5" x14ac:dyDescent="0.2">
      <c r="A6" s="2">
        <v>45307</v>
      </c>
      <c r="B6" t="s">
        <v>131</v>
      </c>
      <c r="D6">
        <v>2</v>
      </c>
    </row>
    <row r="7" spans="1:5" x14ac:dyDescent="0.2">
      <c r="A7" s="3">
        <v>45327</v>
      </c>
      <c r="B7" s="4" t="s">
        <v>165</v>
      </c>
      <c r="C7">
        <v>2</v>
      </c>
    </row>
    <row r="8" spans="1:5" x14ac:dyDescent="0.2">
      <c r="A8" s="5">
        <v>45342</v>
      </c>
      <c r="B8" s="4" t="s">
        <v>91</v>
      </c>
      <c r="C8">
        <v>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0106-02F4-A84B-9ACB-B003B9E791AE}">
  <dimension ref="A1:C4"/>
  <sheetViews>
    <sheetView workbookViewId="0">
      <selection activeCell="C5" sqref="C5"/>
    </sheetView>
  </sheetViews>
  <sheetFormatPr baseColWidth="10" defaultRowHeight="16" x14ac:dyDescent="0.2"/>
  <cols>
    <col min="2" max="2" width="22.5" customWidth="1"/>
  </cols>
  <sheetData>
    <row r="1" spans="1:3" x14ac:dyDescent="0.2">
      <c r="A1" t="s">
        <v>249</v>
      </c>
    </row>
    <row r="4" spans="1:3" x14ac:dyDescent="0.2">
      <c r="A4" s="2">
        <v>45334</v>
      </c>
      <c r="B4" t="s">
        <v>165</v>
      </c>
      <c r="C4">
        <v>57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4365-E2B5-B545-827F-7949BAFC3A67}">
  <dimension ref="A1:E13"/>
  <sheetViews>
    <sheetView workbookViewId="0">
      <selection activeCell="E14" sqref="E14"/>
    </sheetView>
  </sheetViews>
  <sheetFormatPr baseColWidth="10" defaultRowHeight="16" x14ac:dyDescent="0.2"/>
  <cols>
    <col min="2" max="2" width="31.5" customWidth="1"/>
  </cols>
  <sheetData>
    <row r="1" spans="1:5" x14ac:dyDescent="0.2">
      <c r="A1" t="s">
        <v>87</v>
      </c>
    </row>
    <row r="3" spans="1:5" x14ac:dyDescent="0.2">
      <c r="B3" t="s">
        <v>16</v>
      </c>
      <c r="E3">
        <v>580</v>
      </c>
    </row>
    <row r="4" spans="1:5" x14ac:dyDescent="0.2">
      <c r="A4" s="1">
        <v>45296</v>
      </c>
      <c r="B4" t="s">
        <v>88</v>
      </c>
      <c r="C4">
        <v>200</v>
      </c>
      <c r="E4">
        <f>E3+C4-D4</f>
        <v>780</v>
      </c>
    </row>
    <row r="5" spans="1:5" x14ac:dyDescent="0.2">
      <c r="A5" s="1">
        <v>45306</v>
      </c>
      <c r="B5" t="s">
        <v>165</v>
      </c>
      <c r="C5">
        <v>1</v>
      </c>
      <c r="E5">
        <f t="shared" ref="E5:E6" si="0">E4+C5-D5</f>
        <v>781</v>
      </c>
    </row>
    <row r="6" spans="1:5" x14ac:dyDescent="0.2">
      <c r="A6" s="3">
        <v>45307</v>
      </c>
      <c r="B6" s="4" t="s">
        <v>91</v>
      </c>
      <c r="C6">
        <v>23</v>
      </c>
      <c r="E6">
        <f t="shared" si="0"/>
        <v>804</v>
      </c>
    </row>
    <row r="7" spans="1:5" x14ac:dyDescent="0.2">
      <c r="A7" s="1">
        <v>45317</v>
      </c>
      <c r="B7" t="s">
        <v>131</v>
      </c>
      <c r="C7">
        <v>13</v>
      </c>
    </row>
    <row r="8" spans="1:5" x14ac:dyDescent="0.2">
      <c r="A8" s="5">
        <v>45323</v>
      </c>
      <c r="B8" s="4" t="s">
        <v>131</v>
      </c>
      <c r="C8">
        <v>6</v>
      </c>
    </row>
    <row r="9" spans="1:5" x14ac:dyDescent="0.2">
      <c r="A9" s="3">
        <v>45327</v>
      </c>
      <c r="B9" s="4" t="s">
        <v>165</v>
      </c>
      <c r="C9">
        <v>11</v>
      </c>
    </row>
    <row r="10" spans="1:5" x14ac:dyDescent="0.2">
      <c r="A10" s="1">
        <v>45334</v>
      </c>
      <c r="B10" s="4" t="s">
        <v>165</v>
      </c>
      <c r="C10">
        <v>87</v>
      </c>
    </row>
    <row r="11" spans="1:5" x14ac:dyDescent="0.2">
      <c r="A11" s="2">
        <v>45334</v>
      </c>
      <c r="B11" s="4" t="s">
        <v>250</v>
      </c>
      <c r="C11">
        <v>1</v>
      </c>
    </row>
    <row r="12" spans="1:5" x14ac:dyDescent="0.2">
      <c r="A12" s="5">
        <v>45342</v>
      </c>
      <c r="B12" s="4" t="s">
        <v>91</v>
      </c>
      <c r="C12">
        <v>13</v>
      </c>
    </row>
    <row r="13" spans="1:5" x14ac:dyDescent="0.2">
      <c r="E13">
        <f>SUM(C6:E12)</f>
        <v>958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2E1B-8AD6-0549-8A04-BAD879D45AFE}">
  <dimension ref="A1:E11"/>
  <sheetViews>
    <sheetView workbookViewId="0">
      <selection activeCell="E12" sqref="E12"/>
    </sheetView>
  </sheetViews>
  <sheetFormatPr baseColWidth="10" defaultRowHeight="16" x14ac:dyDescent="0.2"/>
  <cols>
    <col min="2" max="2" width="25.5" customWidth="1"/>
  </cols>
  <sheetData>
    <row r="1" spans="1:5" x14ac:dyDescent="0.2">
      <c r="A1" t="s">
        <v>95</v>
      </c>
    </row>
    <row r="3" spans="1:5" x14ac:dyDescent="0.2">
      <c r="B3" t="s">
        <v>16</v>
      </c>
      <c r="E3">
        <v>613</v>
      </c>
    </row>
    <row r="4" spans="1:5" x14ac:dyDescent="0.2">
      <c r="A4" s="1">
        <v>45299</v>
      </c>
      <c r="B4" t="s">
        <v>131</v>
      </c>
      <c r="C4">
        <v>23</v>
      </c>
    </row>
    <row r="5" spans="1:5" x14ac:dyDescent="0.2">
      <c r="A5" s="1">
        <v>45306</v>
      </c>
      <c r="B5" t="s">
        <v>165</v>
      </c>
      <c r="C5">
        <v>1</v>
      </c>
    </row>
    <row r="6" spans="1:5" x14ac:dyDescent="0.2">
      <c r="A6" s="1">
        <v>45317</v>
      </c>
      <c r="B6" t="s">
        <v>131</v>
      </c>
      <c r="C6">
        <v>77</v>
      </c>
    </row>
    <row r="7" spans="1:5" x14ac:dyDescent="0.2">
      <c r="A7" s="2">
        <v>45323</v>
      </c>
      <c r="B7" t="s">
        <v>131</v>
      </c>
      <c r="C7">
        <v>76</v>
      </c>
    </row>
    <row r="8" spans="1:5" x14ac:dyDescent="0.2">
      <c r="A8" s="3">
        <v>45327</v>
      </c>
      <c r="B8" s="4" t="s">
        <v>165</v>
      </c>
      <c r="C8">
        <v>13</v>
      </c>
    </row>
    <row r="9" spans="1:5" x14ac:dyDescent="0.2">
      <c r="A9" s="1">
        <v>45334</v>
      </c>
      <c r="B9" t="s">
        <v>165</v>
      </c>
      <c r="C9">
        <v>51</v>
      </c>
    </row>
    <row r="11" spans="1:5" x14ac:dyDescent="0.2">
      <c r="E11">
        <f>SUM(C3:E9)</f>
        <v>854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9A77-BCB1-5A4E-812D-6AEA03FF1188}">
  <dimension ref="A1:C5"/>
  <sheetViews>
    <sheetView workbookViewId="0">
      <selection activeCell="C6" sqref="C6"/>
    </sheetView>
  </sheetViews>
  <sheetFormatPr baseColWidth="10" defaultRowHeight="16" x14ac:dyDescent="0.2"/>
  <cols>
    <col min="2" max="2" width="21.83203125" customWidth="1"/>
  </cols>
  <sheetData>
    <row r="1" spans="1:3" x14ac:dyDescent="0.2">
      <c r="A1" t="s">
        <v>256</v>
      </c>
    </row>
    <row r="2" spans="1:3" x14ac:dyDescent="0.2">
      <c r="A2" t="s">
        <v>257</v>
      </c>
    </row>
    <row r="5" spans="1:3" x14ac:dyDescent="0.2">
      <c r="A5" s="2">
        <v>45337</v>
      </c>
      <c r="B5" t="s">
        <v>129</v>
      </c>
      <c r="C5">
        <v>317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A2A8-2FC9-4F44-B03D-CF7F20E7F008}">
  <dimension ref="A1:E15"/>
  <sheetViews>
    <sheetView workbookViewId="0">
      <selection activeCell="C12" sqref="C12"/>
    </sheetView>
  </sheetViews>
  <sheetFormatPr baseColWidth="10" defaultRowHeight="16" x14ac:dyDescent="0.2"/>
  <cols>
    <col min="2" max="2" width="25.6640625" customWidth="1"/>
  </cols>
  <sheetData>
    <row r="1" spans="1:5" x14ac:dyDescent="0.2">
      <c r="A1" t="s">
        <v>142</v>
      </c>
    </row>
    <row r="3" spans="1:5" x14ac:dyDescent="0.2">
      <c r="B3" t="s">
        <v>16</v>
      </c>
      <c r="E3">
        <v>233</v>
      </c>
    </row>
    <row r="4" spans="1:5" x14ac:dyDescent="0.2">
      <c r="A4" s="1">
        <v>45300</v>
      </c>
      <c r="B4" t="s">
        <v>140</v>
      </c>
      <c r="C4">
        <v>12</v>
      </c>
      <c r="E4">
        <f>E3+C4-D4</f>
        <v>245</v>
      </c>
    </row>
    <row r="5" spans="1:5" x14ac:dyDescent="0.2">
      <c r="A5" s="1">
        <v>45306</v>
      </c>
      <c r="B5" t="s">
        <v>53</v>
      </c>
      <c r="C5">
        <v>35</v>
      </c>
      <c r="E5">
        <f t="shared" ref="E5:E8" si="0">E4+C5-D5</f>
        <v>280</v>
      </c>
    </row>
    <row r="6" spans="1:5" x14ac:dyDescent="0.2">
      <c r="A6" s="3">
        <v>45307</v>
      </c>
      <c r="B6" s="4" t="s">
        <v>91</v>
      </c>
      <c r="C6">
        <v>4</v>
      </c>
      <c r="E6">
        <f t="shared" si="0"/>
        <v>284</v>
      </c>
    </row>
    <row r="7" spans="1:5" x14ac:dyDescent="0.2">
      <c r="A7" s="2">
        <v>45308</v>
      </c>
      <c r="B7" t="s">
        <v>91</v>
      </c>
      <c r="C7">
        <v>5</v>
      </c>
      <c r="E7">
        <f t="shared" si="0"/>
        <v>289</v>
      </c>
    </row>
    <row r="8" spans="1:5" x14ac:dyDescent="0.2">
      <c r="A8" s="2">
        <v>45314</v>
      </c>
      <c r="B8" t="s">
        <v>91</v>
      </c>
      <c r="C8">
        <v>34</v>
      </c>
      <c r="E8">
        <f t="shared" si="0"/>
        <v>323</v>
      </c>
    </row>
    <row r="9" spans="1:5" x14ac:dyDescent="0.2">
      <c r="A9" s="2">
        <v>45315</v>
      </c>
      <c r="B9" t="s">
        <v>140</v>
      </c>
      <c r="C9">
        <v>7</v>
      </c>
      <c r="E9">
        <f>E8+C9-D9</f>
        <v>330</v>
      </c>
    </row>
    <row r="10" spans="1:5" x14ac:dyDescent="0.2">
      <c r="A10" s="5">
        <v>45317</v>
      </c>
      <c r="B10" s="4" t="s">
        <v>91</v>
      </c>
      <c r="C10">
        <v>3</v>
      </c>
      <c r="E10">
        <f t="shared" ref="E10:E14" si="1">E9+C10-D10</f>
        <v>333</v>
      </c>
    </row>
    <row r="11" spans="1:5" x14ac:dyDescent="0.2">
      <c r="A11" s="5">
        <v>45329</v>
      </c>
      <c r="B11" s="4" t="s">
        <v>91</v>
      </c>
      <c r="C11">
        <v>4</v>
      </c>
      <c r="E11">
        <f t="shared" si="1"/>
        <v>337</v>
      </c>
    </row>
    <row r="12" spans="1:5" x14ac:dyDescent="0.2">
      <c r="A12" s="5">
        <v>45342</v>
      </c>
      <c r="B12" s="4" t="s">
        <v>91</v>
      </c>
      <c r="C12">
        <v>3</v>
      </c>
      <c r="E12">
        <f t="shared" si="1"/>
        <v>340</v>
      </c>
    </row>
    <row r="13" spans="1:5" x14ac:dyDescent="0.2">
      <c r="A13" s="2">
        <v>45350</v>
      </c>
      <c r="B13" s="4" t="s">
        <v>91</v>
      </c>
      <c r="C13">
        <v>15</v>
      </c>
      <c r="E13">
        <f t="shared" si="1"/>
        <v>355</v>
      </c>
    </row>
    <row r="14" spans="1:5" x14ac:dyDescent="0.2">
      <c r="A14" s="5">
        <v>45353</v>
      </c>
      <c r="B14" s="4" t="s">
        <v>140</v>
      </c>
      <c r="C14">
        <v>10</v>
      </c>
      <c r="E14">
        <f t="shared" si="1"/>
        <v>365</v>
      </c>
    </row>
    <row r="15" spans="1:5" x14ac:dyDescent="0.2">
      <c r="A15" s="2">
        <v>45355</v>
      </c>
      <c r="B15" s="4" t="s">
        <v>81</v>
      </c>
      <c r="C15">
        <v>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B3E7-0CDC-FD43-8B2D-9CDCC0B23F61}">
  <dimension ref="A1:C10"/>
  <sheetViews>
    <sheetView workbookViewId="0">
      <selection activeCell="C11" sqref="C11"/>
    </sheetView>
  </sheetViews>
  <sheetFormatPr baseColWidth="10" defaultRowHeight="16" x14ac:dyDescent="0.2"/>
  <cols>
    <col min="2" max="2" width="22.1640625" customWidth="1"/>
  </cols>
  <sheetData>
    <row r="1" spans="1:3" x14ac:dyDescent="0.2">
      <c r="A1" t="s">
        <v>141</v>
      </c>
    </row>
    <row r="3" spans="1:3" x14ac:dyDescent="0.2">
      <c r="B3" t="s">
        <v>16</v>
      </c>
    </row>
    <row r="4" spans="1:3" x14ac:dyDescent="0.2">
      <c r="A4" s="1">
        <v>45300</v>
      </c>
      <c r="B4" t="s">
        <v>140</v>
      </c>
      <c r="C4">
        <v>20</v>
      </c>
    </row>
    <row r="5" spans="1:3" x14ac:dyDescent="0.2">
      <c r="A5" s="1">
        <v>45315</v>
      </c>
      <c r="B5" t="s">
        <v>140</v>
      </c>
      <c r="C5">
        <v>8</v>
      </c>
    </row>
    <row r="6" spans="1:3" x14ac:dyDescent="0.2">
      <c r="A6" s="2">
        <v>45350</v>
      </c>
      <c r="B6" s="4" t="s">
        <v>91</v>
      </c>
      <c r="C6">
        <v>3</v>
      </c>
    </row>
    <row r="7" spans="1:3" x14ac:dyDescent="0.2">
      <c r="A7" s="5">
        <v>45353</v>
      </c>
      <c r="B7" s="4" t="s">
        <v>140</v>
      </c>
      <c r="C7">
        <v>3</v>
      </c>
    </row>
    <row r="10" spans="1:3" x14ac:dyDescent="0.2">
      <c r="C10">
        <f>SUM(C4:C7)</f>
        <v>34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91D5-C38E-CC43-8A83-FC677940C0EC}">
  <dimension ref="A1:E16"/>
  <sheetViews>
    <sheetView workbookViewId="0">
      <selection activeCell="C14" sqref="C14"/>
    </sheetView>
  </sheetViews>
  <sheetFormatPr baseColWidth="10" defaultRowHeight="16" x14ac:dyDescent="0.2"/>
  <cols>
    <col min="2" max="2" width="23.5" customWidth="1"/>
  </cols>
  <sheetData>
    <row r="1" spans="1:5" x14ac:dyDescent="0.2">
      <c r="A1" t="s">
        <v>97</v>
      </c>
    </row>
    <row r="3" spans="1:5" x14ac:dyDescent="0.2">
      <c r="B3" t="s">
        <v>98</v>
      </c>
      <c r="E3">
        <v>984</v>
      </c>
    </row>
    <row r="4" spans="1:5" x14ac:dyDescent="0.2">
      <c r="A4" s="1">
        <v>45296</v>
      </c>
      <c r="B4" t="s">
        <v>99</v>
      </c>
      <c r="C4">
        <v>4</v>
      </c>
      <c r="E4">
        <f>E3+C4-D4</f>
        <v>988</v>
      </c>
    </row>
    <row r="5" spans="1:5" x14ac:dyDescent="0.2">
      <c r="A5" s="1">
        <v>45306</v>
      </c>
      <c r="B5" t="s">
        <v>99</v>
      </c>
      <c r="C5">
        <v>57</v>
      </c>
      <c r="E5">
        <f>E4+C5-D5</f>
        <v>1045</v>
      </c>
    </row>
    <row r="6" spans="1:5" x14ac:dyDescent="0.2">
      <c r="A6" s="3">
        <v>45307</v>
      </c>
      <c r="B6" s="4" t="s">
        <v>91</v>
      </c>
      <c r="C6">
        <v>15</v>
      </c>
      <c r="E6">
        <f t="shared" ref="E6:E8" si="0">E5+C6-D6</f>
        <v>1060</v>
      </c>
    </row>
    <row r="7" spans="1:5" x14ac:dyDescent="0.2">
      <c r="A7" s="2">
        <v>45308</v>
      </c>
      <c r="B7" t="s">
        <v>99</v>
      </c>
      <c r="C7">
        <v>16</v>
      </c>
      <c r="E7">
        <f t="shared" si="0"/>
        <v>1076</v>
      </c>
    </row>
    <row r="8" spans="1:5" x14ac:dyDescent="0.2">
      <c r="A8" s="2">
        <v>45314</v>
      </c>
      <c r="B8" t="s">
        <v>99</v>
      </c>
      <c r="C8">
        <v>8</v>
      </c>
      <c r="E8">
        <f t="shared" si="0"/>
        <v>1084</v>
      </c>
    </row>
    <row r="9" spans="1:5" x14ac:dyDescent="0.2">
      <c r="A9" s="2">
        <v>45317</v>
      </c>
      <c r="B9" t="s">
        <v>91</v>
      </c>
      <c r="C9">
        <v>26</v>
      </c>
    </row>
    <row r="10" spans="1:5" x14ac:dyDescent="0.2">
      <c r="A10" s="5">
        <v>45320</v>
      </c>
      <c r="B10" s="4" t="s">
        <v>91</v>
      </c>
      <c r="C10">
        <v>5</v>
      </c>
    </row>
    <row r="11" spans="1:5" x14ac:dyDescent="0.2">
      <c r="A11" s="5">
        <v>45321</v>
      </c>
      <c r="B11" s="4" t="s">
        <v>91</v>
      </c>
      <c r="C11">
        <v>4</v>
      </c>
    </row>
    <row r="12" spans="1:5" x14ac:dyDescent="0.2">
      <c r="A12" s="3">
        <v>45327</v>
      </c>
      <c r="B12" s="4" t="s">
        <v>165</v>
      </c>
      <c r="C12">
        <v>26</v>
      </c>
    </row>
    <row r="13" spans="1:5" x14ac:dyDescent="0.2">
      <c r="A13" s="3">
        <v>45329</v>
      </c>
      <c r="B13" s="4" t="s">
        <v>91</v>
      </c>
      <c r="C13">
        <v>76</v>
      </c>
    </row>
    <row r="14" spans="1:5" x14ac:dyDescent="0.2">
      <c r="A14" s="1">
        <v>45334</v>
      </c>
      <c r="B14" s="4" t="s">
        <v>165</v>
      </c>
      <c r="C14">
        <v>37</v>
      </c>
    </row>
    <row r="15" spans="1:5" x14ac:dyDescent="0.2">
      <c r="A15" s="5">
        <v>45342</v>
      </c>
      <c r="B15" s="4" t="s">
        <v>91</v>
      </c>
      <c r="C15">
        <v>54</v>
      </c>
    </row>
    <row r="16" spans="1:5" x14ac:dyDescent="0.2">
      <c r="A16" s="2">
        <v>45350</v>
      </c>
      <c r="B16" s="4" t="s">
        <v>91</v>
      </c>
      <c r="C16">
        <v>29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7972-BC97-D546-A2FA-530AF0EBF1C5}">
  <dimension ref="A1:C11"/>
  <sheetViews>
    <sheetView workbookViewId="0">
      <selection activeCell="C13" sqref="C13"/>
    </sheetView>
  </sheetViews>
  <sheetFormatPr baseColWidth="10" defaultRowHeight="16" x14ac:dyDescent="0.2"/>
  <cols>
    <col min="2" max="2" width="24" customWidth="1"/>
  </cols>
  <sheetData>
    <row r="1" spans="1:3" x14ac:dyDescent="0.2">
      <c r="A1" t="s">
        <v>96</v>
      </c>
    </row>
    <row r="3" spans="1:3" x14ac:dyDescent="0.2">
      <c r="B3" t="s">
        <v>90</v>
      </c>
    </row>
    <row r="4" spans="1:3" x14ac:dyDescent="0.2">
      <c r="A4" s="1">
        <v>45296</v>
      </c>
      <c r="B4" t="s">
        <v>91</v>
      </c>
      <c r="C4">
        <v>3</v>
      </c>
    </row>
    <row r="5" spans="1:3" x14ac:dyDescent="0.2">
      <c r="A5" s="1">
        <v>45306</v>
      </c>
      <c r="B5" t="s">
        <v>165</v>
      </c>
      <c r="C5">
        <v>2</v>
      </c>
    </row>
    <row r="6" spans="1:3" x14ac:dyDescent="0.2">
      <c r="A6" s="3">
        <v>45307</v>
      </c>
      <c r="B6" s="4" t="s">
        <v>91</v>
      </c>
      <c r="C6">
        <v>19</v>
      </c>
    </row>
    <row r="7" spans="1:3" x14ac:dyDescent="0.2">
      <c r="A7" s="2">
        <v>45308</v>
      </c>
      <c r="B7" t="s">
        <v>91</v>
      </c>
      <c r="C7">
        <v>11</v>
      </c>
    </row>
    <row r="8" spans="1:3" x14ac:dyDescent="0.2">
      <c r="A8" s="5">
        <v>45320</v>
      </c>
      <c r="B8" s="4" t="s">
        <v>91</v>
      </c>
      <c r="C8">
        <v>3</v>
      </c>
    </row>
    <row r="9" spans="1:3" x14ac:dyDescent="0.2">
      <c r="A9" s="3">
        <v>45327</v>
      </c>
      <c r="B9" s="4" t="s">
        <v>165</v>
      </c>
      <c r="C9">
        <v>70</v>
      </c>
    </row>
    <row r="10" spans="1:3" x14ac:dyDescent="0.2">
      <c r="A10" s="2">
        <v>45334</v>
      </c>
      <c r="B10" s="4" t="s">
        <v>165</v>
      </c>
      <c r="C10">
        <v>45</v>
      </c>
    </row>
    <row r="11" spans="1:3" x14ac:dyDescent="0.2">
      <c r="A11" s="5">
        <v>45342</v>
      </c>
      <c r="B11" s="4" t="s">
        <v>91</v>
      </c>
      <c r="C11">
        <v>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FA7A-46EB-6F45-9DA4-780A9897F58F}">
  <dimension ref="A1:D11"/>
  <sheetViews>
    <sheetView workbookViewId="0">
      <selection activeCell="D13" sqref="D13"/>
    </sheetView>
  </sheetViews>
  <sheetFormatPr baseColWidth="10" defaultRowHeight="16" x14ac:dyDescent="0.2"/>
  <cols>
    <col min="2" max="2" width="33.1640625" customWidth="1"/>
  </cols>
  <sheetData>
    <row r="1" spans="1:4" x14ac:dyDescent="0.2">
      <c r="A1" t="s">
        <v>132</v>
      </c>
    </row>
    <row r="4" spans="1:4" x14ac:dyDescent="0.2">
      <c r="A4" s="2">
        <v>45293</v>
      </c>
      <c r="B4" t="s">
        <v>136</v>
      </c>
      <c r="C4">
        <v>120</v>
      </c>
    </row>
    <row r="5" spans="1:4" x14ac:dyDescent="0.2">
      <c r="A5" s="2">
        <v>45300</v>
      </c>
      <c r="B5" t="s">
        <v>135</v>
      </c>
      <c r="D5">
        <v>120</v>
      </c>
    </row>
    <row r="6" spans="1:4" x14ac:dyDescent="0.2">
      <c r="A6" s="2">
        <v>45296</v>
      </c>
      <c r="B6" t="s">
        <v>133</v>
      </c>
      <c r="C6">
        <v>600</v>
      </c>
    </row>
    <row r="7" spans="1:4" x14ac:dyDescent="0.2">
      <c r="A7" s="2">
        <v>45301</v>
      </c>
      <c r="B7" t="s">
        <v>135</v>
      </c>
      <c r="D7">
        <v>100</v>
      </c>
    </row>
    <row r="8" spans="1:4" x14ac:dyDescent="0.2">
      <c r="A8" s="2">
        <v>45303</v>
      </c>
      <c r="B8" t="s">
        <v>135</v>
      </c>
      <c r="D8">
        <v>30</v>
      </c>
    </row>
    <row r="9" spans="1:4" x14ac:dyDescent="0.2">
      <c r="A9" s="2">
        <v>45313</v>
      </c>
      <c r="B9" t="s">
        <v>133</v>
      </c>
      <c r="C9">
        <v>600</v>
      </c>
    </row>
    <row r="10" spans="1:4" x14ac:dyDescent="0.2">
      <c r="A10" s="2">
        <v>45313</v>
      </c>
      <c r="B10" t="s">
        <v>135</v>
      </c>
      <c r="D10">
        <v>200</v>
      </c>
    </row>
    <row r="11" spans="1:4" x14ac:dyDescent="0.2">
      <c r="A11" s="2">
        <v>45314</v>
      </c>
      <c r="B11" t="s">
        <v>135</v>
      </c>
      <c r="D11">
        <v>100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A6B1-37F3-4F45-A960-531474CC791C}">
  <dimension ref="A1:C11"/>
  <sheetViews>
    <sheetView workbookViewId="0">
      <selection activeCell="D21" sqref="D21"/>
    </sheetView>
  </sheetViews>
  <sheetFormatPr baseColWidth="10" defaultRowHeight="16" x14ac:dyDescent="0.2"/>
  <cols>
    <col min="2" max="2" width="24.5" customWidth="1"/>
  </cols>
  <sheetData>
    <row r="1" spans="1:3" x14ac:dyDescent="0.2">
      <c r="A1" t="s">
        <v>184</v>
      </c>
    </row>
    <row r="3" spans="1:3" x14ac:dyDescent="0.2">
      <c r="B3" t="s">
        <v>16</v>
      </c>
    </row>
    <row r="4" spans="1:3" x14ac:dyDescent="0.2">
      <c r="A4" s="1">
        <v>45307</v>
      </c>
      <c r="B4" t="s">
        <v>91</v>
      </c>
      <c r="C4">
        <v>8</v>
      </c>
    </row>
    <row r="5" spans="1:3" x14ac:dyDescent="0.2">
      <c r="A5" s="1">
        <v>45308</v>
      </c>
      <c r="B5" t="s">
        <v>91</v>
      </c>
      <c r="C5">
        <v>3</v>
      </c>
    </row>
    <row r="6" spans="1:3" x14ac:dyDescent="0.2">
      <c r="A6" s="5">
        <v>45317</v>
      </c>
      <c r="B6" s="4" t="s">
        <v>91</v>
      </c>
      <c r="C6">
        <v>4</v>
      </c>
    </row>
    <row r="7" spans="1:3" x14ac:dyDescent="0.2">
      <c r="A7" s="5">
        <v>45329</v>
      </c>
      <c r="B7" s="4" t="s">
        <v>91</v>
      </c>
      <c r="C7">
        <v>2</v>
      </c>
    </row>
    <row r="8" spans="1:3" x14ac:dyDescent="0.2">
      <c r="A8" s="5">
        <v>45342</v>
      </c>
      <c r="B8" s="4" t="s">
        <v>91</v>
      </c>
      <c r="C8">
        <v>7</v>
      </c>
    </row>
    <row r="9" spans="1:3" x14ac:dyDescent="0.2">
      <c r="A9" s="5">
        <v>45342</v>
      </c>
      <c r="B9" s="4" t="s">
        <v>91</v>
      </c>
      <c r="C9">
        <v>5</v>
      </c>
    </row>
    <row r="10" spans="1:3" x14ac:dyDescent="0.2">
      <c r="A10" s="5">
        <v>45350</v>
      </c>
      <c r="B10" s="4" t="s">
        <v>91</v>
      </c>
      <c r="C10">
        <v>1</v>
      </c>
    </row>
    <row r="11" spans="1:3" x14ac:dyDescent="0.2">
      <c r="A11" s="5">
        <v>45370</v>
      </c>
      <c r="B11" s="4" t="s">
        <v>91</v>
      </c>
      <c r="C11">
        <v>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8FBB-6A15-1C47-88D5-C7E295F4702C}">
  <dimension ref="A1:C10"/>
  <sheetViews>
    <sheetView workbookViewId="0">
      <selection activeCell="C9" sqref="C9"/>
    </sheetView>
  </sheetViews>
  <sheetFormatPr baseColWidth="10" defaultRowHeight="16" x14ac:dyDescent="0.2"/>
  <cols>
    <col min="2" max="2" width="18.83203125" customWidth="1"/>
  </cols>
  <sheetData>
    <row r="1" spans="1:3" x14ac:dyDescent="0.2">
      <c r="A1" t="s">
        <v>169</v>
      </c>
    </row>
    <row r="3" spans="1:3" x14ac:dyDescent="0.2">
      <c r="B3" t="s">
        <v>16</v>
      </c>
    </row>
    <row r="4" spans="1:3" x14ac:dyDescent="0.2">
      <c r="A4" s="1">
        <v>45306</v>
      </c>
      <c r="B4" t="s">
        <v>91</v>
      </c>
      <c r="C4">
        <v>1</v>
      </c>
    </row>
    <row r="5" spans="1:3" x14ac:dyDescent="0.2">
      <c r="A5" s="1">
        <v>45307</v>
      </c>
      <c r="B5" t="s">
        <v>91</v>
      </c>
      <c r="C5">
        <v>5</v>
      </c>
    </row>
    <row r="6" spans="1:3" x14ac:dyDescent="0.2">
      <c r="A6" s="1">
        <v>45308</v>
      </c>
      <c r="B6" t="s">
        <v>91</v>
      </c>
      <c r="C6">
        <v>2</v>
      </c>
    </row>
    <row r="7" spans="1:3" x14ac:dyDescent="0.2">
      <c r="A7" s="5">
        <v>45317</v>
      </c>
      <c r="B7" s="4" t="s">
        <v>91</v>
      </c>
      <c r="C7">
        <v>2</v>
      </c>
    </row>
    <row r="8" spans="1:3" x14ac:dyDescent="0.2">
      <c r="A8" s="5">
        <v>45329</v>
      </c>
      <c r="B8" s="4" t="s">
        <v>91</v>
      </c>
      <c r="C8">
        <v>2</v>
      </c>
    </row>
    <row r="9" spans="1:3" x14ac:dyDescent="0.2">
      <c r="A9" s="5">
        <v>45342</v>
      </c>
      <c r="B9" s="4" t="s">
        <v>91</v>
      </c>
      <c r="C9">
        <v>8</v>
      </c>
    </row>
    <row r="10" spans="1:3" x14ac:dyDescent="0.2">
      <c r="A10" s="5">
        <v>45350</v>
      </c>
      <c r="B10" s="4" t="s">
        <v>91</v>
      </c>
      <c r="C10">
        <v>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3503-3857-D24E-AB5A-2F533337F722}">
  <dimension ref="A1:C4"/>
  <sheetViews>
    <sheetView workbookViewId="0">
      <selection activeCell="A4" sqref="A4:B4"/>
    </sheetView>
  </sheetViews>
  <sheetFormatPr baseColWidth="10" defaultRowHeight="16" x14ac:dyDescent="0.2"/>
  <cols>
    <col min="2" max="2" width="23.33203125" customWidth="1"/>
  </cols>
  <sheetData>
    <row r="1" spans="1:3" x14ac:dyDescent="0.2">
      <c r="A1" t="s">
        <v>243</v>
      </c>
    </row>
    <row r="4" spans="1:3" x14ac:dyDescent="0.2">
      <c r="A4" s="2">
        <v>45327</v>
      </c>
      <c r="B4" t="s">
        <v>165</v>
      </c>
      <c r="C4">
        <v>24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6C69-9D69-1D4B-9D32-1DC6B614C08B}">
  <dimension ref="A1:C8"/>
  <sheetViews>
    <sheetView workbookViewId="0">
      <selection activeCell="C7" sqref="C7"/>
    </sheetView>
  </sheetViews>
  <sheetFormatPr baseColWidth="10" defaultRowHeight="16" x14ac:dyDescent="0.2"/>
  <cols>
    <col min="2" max="2" width="20" customWidth="1"/>
  </cols>
  <sheetData>
    <row r="1" spans="1:3" x14ac:dyDescent="0.2">
      <c r="A1" t="s">
        <v>183</v>
      </c>
    </row>
    <row r="3" spans="1:3" x14ac:dyDescent="0.2">
      <c r="B3" t="s">
        <v>16</v>
      </c>
    </row>
    <row r="4" spans="1:3" x14ac:dyDescent="0.2">
      <c r="A4" s="1">
        <v>44942</v>
      </c>
      <c r="B4" t="s">
        <v>91</v>
      </c>
      <c r="C4">
        <v>10</v>
      </c>
    </row>
    <row r="5" spans="1:3" x14ac:dyDescent="0.2">
      <c r="A5" s="2">
        <v>45308</v>
      </c>
      <c r="B5" t="s">
        <v>91</v>
      </c>
      <c r="C5">
        <v>1</v>
      </c>
    </row>
    <row r="6" spans="1:3" x14ac:dyDescent="0.2">
      <c r="A6" s="2">
        <v>45329</v>
      </c>
      <c r="B6" t="s">
        <v>91</v>
      </c>
      <c r="C6">
        <v>4</v>
      </c>
    </row>
    <row r="7" spans="1:3" x14ac:dyDescent="0.2">
      <c r="A7" s="2">
        <v>45342</v>
      </c>
      <c r="B7" s="4" t="s">
        <v>91</v>
      </c>
      <c r="C7">
        <v>1</v>
      </c>
    </row>
    <row r="8" spans="1:3" x14ac:dyDescent="0.2">
      <c r="A8" s="5">
        <v>45342</v>
      </c>
      <c r="B8" s="4" t="s">
        <v>91</v>
      </c>
      <c r="C8">
        <v>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2826-9ABC-2F4E-9930-0D5A2555DC1C}">
  <dimension ref="A1:C4"/>
  <sheetViews>
    <sheetView workbookViewId="0">
      <selection activeCell="C5" sqref="C5"/>
    </sheetView>
  </sheetViews>
  <sheetFormatPr baseColWidth="10" defaultRowHeight="16" x14ac:dyDescent="0.2"/>
  <cols>
    <col min="2" max="2" width="24.33203125" customWidth="1"/>
  </cols>
  <sheetData>
    <row r="1" spans="1:3" x14ac:dyDescent="0.2">
      <c r="A1" t="s">
        <v>244</v>
      </c>
    </row>
    <row r="4" spans="1:3" x14ac:dyDescent="0.2">
      <c r="A4" s="2">
        <v>45327</v>
      </c>
      <c r="B4" t="s">
        <v>165</v>
      </c>
      <c r="C4">
        <v>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01B1-F35F-9B47-A0AD-65E8E7B0D275}">
  <dimension ref="A1:C3"/>
  <sheetViews>
    <sheetView workbookViewId="0">
      <selection activeCell="C4" sqref="C4"/>
    </sheetView>
  </sheetViews>
  <sheetFormatPr baseColWidth="10" defaultRowHeight="16" x14ac:dyDescent="0.2"/>
  <cols>
    <col min="2" max="2" width="15.33203125" customWidth="1"/>
  </cols>
  <sheetData>
    <row r="1" spans="1:3" x14ac:dyDescent="0.2">
      <c r="A1" t="s">
        <v>320</v>
      </c>
    </row>
    <row r="3" spans="1:3" x14ac:dyDescent="0.2">
      <c r="A3" s="2">
        <v>45329</v>
      </c>
      <c r="B3" t="s">
        <v>91</v>
      </c>
      <c r="C3">
        <v>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5822-9781-F84C-B9DA-3BA4468138CE}">
  <dimension ref="A1:C13"/>
  <sheetViews>
    <sheetView workbookViewId="0">
      <selection activeCell="C14" sqref="C14"/>
    </sheetView>
  </sheetViews>
  <sheetFormatPr baseColWidth="10" defaultRowHeight="16" x14ac:dyDescent="0.2"/>
  <cols>
    <col min="2" max="2" width="22.33203125" customWidth="1"/>
  </cols>
  <sheetData>
    <row r="1" spans="1:3" x14ac:dyDescent="0.2">
      <c r="A1" t="s">
        <v>170</v>
      </c>
    </row>
    <row r="3" spans="1:3" x14ac:dyDescent="0.2">
      <c r="B3" t="s">
        <v>16</v>
      </c>
    </row>
    <row r="4" spans="1:3" x14ac:dyDescent="0.2">
      <c r="A4" s="1">
        <v>45306</v>
      </c>
      <c r="B4" t="s">
        <v>91</v>
      </c>
      <c r="C4">
        <v>3</v>
      </c>
    </row>
    <row r="5" spans="1:3" x14ac:dyDescent="0.2">
      <c r="A5" s="2">
        <v>45308</v>
      </c>
      <c r="B5" t="s">
        <v>91</v>
      </c>
      <c r="C5">
        <v>21</v>
      </c>
    </row>
    <row r="6" spans="1:3" x14ac:dyDescent="0.2">
      <c r="A6" s="5">
        <v>45317</v>
      </c>
      <c r="B6" s="4" t="s">
        <v>91</v>
      </c>
      <c r="C6">
        <v>11</v>
      </c>
    </row>
    <row r="7" spans="1:3" x14ac:dyDescent="0.2">
      <c r="A7" s="5">
        <v>45321</v>
      </c>
      <c r="B7" s="4" t="s">
        <v>91</v>
      </c>
      <c r="C7">
        <v>10</v>
      </c>
    </row>
    <row r="8" spans="1:3" x14ac:dyDescent="0.2">
      <c r="A8" s="2">
        <v>45327</v>
      </c>
      <c r="B8" t="s">
        <v>165</v>
      </c>
      <c r="C8">
        <v>19</v>
      </c>
    </row>
    <row r="9" spans="1:3" x14ac:dyDescent="0.2">
      <c r="A9" s="2">
        <v>45329</v>
      </c>
      <c r="B9" t="s">
        <v>91</v>
      </c>
      <c r="C9">
        <v>42</v>
      </c>
    </row>
    <row r="10" spans="1:3" x14ac:dyDescent="0.2">
      <c r="A10" s="5">
        <v>45342</v>
      </c>
      <c r="B10" s="4" t="s">
        <v>91</v>
      </c>
      <c r="C10">
        <v>14</v>
      </c>
    </row>
    <row r="11" spans="1:3" x14ac:dyDescent="0.2">
      <c r="A11" s="5">
        <v>45342</v>
      </c>
      <c r="B11" s="4" t="s">
        <v>91</v>
      </c>
      <c r="C11">
        <v>30</v>
      </c>
    </row>
    <row r="12" spans="1:3" x14ac:dyDescent="0.2">
      <c r="A12" s="5">
        <v>45350</v>
      </c>
      <c r="B12" s="4" t="s">
        <v>91</v>
      </c>
      <c r="C12">
        <v>5</v>
      </c>
    </row>
    <row r="13" spans="1:3" x14ac:dyDescent="0.2">
      <c r="A13" s="5">
        <v>45370</v>
      </c>
      <c r="B13" s="4" t="s">
        <v>91</v>
      </c>
      <c r="C13">
        <v>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32C5-8473-224A-85D5-00E3B9506DB9}">
  <dimension ref="A1:C14"/>
  <sheetViews>
    <sheetView workbookViewId="0">
      <selection activeCell="E18" sqref="E18"/>
    </sheetView>
  </sheetViews>
  <sheetFormatPr baseColWidth="10" defaultRowHeight="16" x14ac:dyDescent="0.2"/>
  <cols>
    <col min="2" max="2" width="23" customWidth="1"/>
  </cols>
  <sheetData>
    <row r="1" spans="1:3" x14ac:dyDescent="0.2">
      <c r="A1" t="s">
        <v>171</v>
      </c>
    </row>
    <row r="3" spans="1:3" x14ac:dyDescent="0.2">
      <c r="B3" t="s">
        <v>16</v>
      </c>
    </row>
    <row r="4" spans="1:3" x14ac:dyDescent="0.2">
      <c r="A4" s="1">
        <v>45306</v>
      </c>
      <c r="B4" t="s">
        <v>91</v>
      </c>
      <c r="C4">
        <v>5</v>
      </c>
    </row>
    <row r="5" spans="1:3" x14ac:dyDescent="0.2">
      <c r="A5" s="1">
        <v>45307</v>
      </c>
      <c r="B5" t="s">
        <v>91</v>
      </c>
      <c r="C5">
        <v>10</v>
      </c>
    </row>
    <row r="6" spans="1:3" x14ac:dyDescent="0.2">
      <c r="A6" s="1">
        <v>45308</v>
      </c>
      <c r="B6" t="s">
        <v>91</v>
      </c>
      <c r="C6">
        <v>10</v>
      </c>
    </row>
    <row r="7" spans="1:3" x14ac:dyDescent="0.2">
      <c r="A7" s="5">
        <v>45317</v>
      </c>
      <c r="B7" s="4" t="s">
        <v>91</v>
      </c>
      <c r="C7">
        <v>2</v>
      </c>
    </row>
    <row r="8" spans="1:3" x14ac:dyDescent="0.2">
      <c r="A8" s="5">
        <v>45321</v>
      </c>
      <c r="B8" s="4" t="s">
        <v>91</v>
      </c>
      <c r="C8">
        <v>5</v>
      </c>
    </row>
    <row r="9" spans="1:3" x14ac:dyDescent="0.2">
      <c r="A9" s="5">
        <v>45327</v>
      </c>
      <c r="B9" s="4" t="s">
        <v>165</v>
      </c>
      <c r="C9">
        <v>37</v>
      </c>
    </row>
    <row r="10" spans="1:3" x14ac:dyDescent="0.2">
      <c r="A10" s="5">
        <v>45329</v>
      </c>
      <c r="B10" s="4" t="s">
        <v>91</v>
      </c>
      <c r="C10">
        <v>19</v>
      </c>
    </row>
    <row r="11" spans="1:3" x14ac:dyDescent="0.2">
      <c r="A11" s="2">
        <v>45342</v>
      </c>
      <c r="B11" s="4" t="s">
        <v>91</v>
      </c>
      <c r="C11">
        <v>8</v>
      </c>
    </row>
    <row r="12" spans="1:3" x14ac:dyDescent="0.2">
      <c r="A12" s="5">
        <v>45342</v>
      </c>
      <c r="B12" s="4" t="s">
        <v>91</v>
      </c>
      <c r="C12">
        <v>14</v>
      </c>
    </row>
    <row r="13" spans="1:3" x14ac:dyDescent="0.2">
      <c r="A13" s="5">
        <v>45350</v>
      </c>
      <c r="B13" s="4" t="s">
        <v>91</v>
      </c>
      <c r="C13">
        <v>1</v>
      </c>
    </row>
    <row r="14" spans="1:3" x14ac:dyDescent="0.2">
      <c r="A14" s="5">
        <v>45370</v>
      </c>
      <c r="B14" s="4" t="s">
        <v>91</v>
      </c>
      <c r="C14">
        <v>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DFB2-349A-4047-8215-CD5E7B539603}">
  <dimension ref="A1:E9"/>
  <sheetViews>
    <sheetView workbookViewId="0">
      <selection activeCell="E10" sqref="E10"/>
    </sheetView>
  </sheetViews>
  <sheetFormatPr baseColWidth="10" defaultRowHeight="16" x14ac:dyDescent="0.2"/>
  <cols>
    <col min="2" max="2" width="30.1640625" customWidth="1"/>
  </cols>
  <sheetData>
    <row r="1" spans="1:5" x14ac:dyDescent="0.2">
      <c r="A1" t="s">
        <v>173</v>
      </c>
    </row>
    <row r="3" spans="1:5" x14ac:dyDescent="0.2">
      <c r="B3" t="s">
        <v>16</v>
      </c>
    </row>
    <row r="4" spans="1:5" x14ac:dyDescent="0.2">
      <c r="A4" s="1">
        <v>45306</v>
      </c>
      <c r="B4" t="s">
        <v>165</v>
      </c>
      <c r="C4">
        <v>2</v>
      </c>
    </row>
    <row r="5" spans="1:5" x14ac:dyDescent="0.2">
      <c r="A5" s="1">
        <v>45327</v>
      </c>
      <c r="B5" t="s">
        <v>165</v>
      </c>
      <c r="C5">
        <v>25</v>
      </c>
    </row>
    <row r="6" spans="1:5" x14ac:dyDescent="0.2">
      <c r="A6" s="2">
        <v>45334</v>
      </c>
      <c r="B6" t="s">
        <v>165</v>
      </c>
      <c r="C6">
        <v>2</v>
      </c>
    </row>
    <row r="7" spans="1:5" x14ac:dyDescent="0.2">
      <c r="A7" s="2">
        <v>45334</v>
      </c>
      <c r="B7" t="s">
        <v>165</v>
      </c>
      <c r="C7">
        <v>2</v>
      </c>
    </row>
    <row r="8" spans="1:5" x14ac:dyDescent="0.2">
      <c r="A8" s="2">
        <v>45334</v>
      </c>
      <c r="B8" t="s">
        <v>165</v>
      </c>
      <c r="C8">
        <v>9</v>
      </c>
    </row>
    <row r="9" spans="1:5" x14ac:dyDescent="0.2">
      <c r="A9" s="2">
        <v>45334</v>
      </c>
      <c r="B9" t="s">
        <v>250</v>
      </c>
      <c r="C9">
        <v>3</v>
      </c>
      <c r="E9">
        <v>43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4AD4-76A8-B247-8DA8-3453785FA8DC}">
  <dimension ref="A1:C8"/>
  <sheetViews>
    <sheetView workbookViewId="0">
      <selection activeCell="C9" sqref="C9"/>
    </sheetView>
  </sheetViews>
  <sheetFormatPr baseColWidth="10" defaultRowHeight="16" x14ac:dyDescent="0.2"/>
  <cols>
    <col min="2" max="2" width="31.33203125" customWidth="1"/>
  </cols>
  <sheetData>
    <row r="1" spans="1:3" x14ac:dyDescent="0.2">
      <c r="A1" t="s">
        <v>174</v>
      </c>
    </row>
    <row r="3" spans="1:3" x14ac:dyDescent="0.2">
      <c r="B3" t="s">
        <v>16</v>
      </c>
    </row>
    <row r="4" spans="1:3" x14ac:dyDescent="0.2">
      <c r="A4" s="1">
        <v>45306</v>
      </c>
      <c r="B4" t="s">
        <v>165</v>
      </c>
      <c r="C4">
        <v>14</v>
      </c>
    </row>
    <row r="5" spans="1:3" x14ac:dyDescent="0.2">
      <c r="A5" s="1">
        <v>45327</v>
      </c>
      <c r="B5" t="s">
        <v>165</v>
      </c>
      <c r="C5">
        <v>42</v>
      </c>
    </row>
    <row r="6" spans="1:3" x14ac:dyDescent="0.2">
      <c r="A6" s="2">
        <v>45334</v>
      </c>
      <c r="B6" t="s">
        <v>165</v>
      </c>
      <c r="C6">
        <v>51</v>
      </c>
    </row>
    <row r="7" spans="1:3" x14ac:dyDescent="0.2">
      <c r="A7" s="2">
        <v>45334</v>
      </c>
      <c r="B7" t="s">
        <v>250</v>
      </c>
      <c r="C7">
        <v>1</v>
      </c>
    </row>
    <row r="8" spans="1:3" x14ac:dyDescent="0.2">
      <c r="C8">
        <f>SUM(C4:C7)</f>
        <v>108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85DC-471B-B340-BFD0-C564C480BED6}">
  <dimension ref="A1:C4"/>
  <sheetViews>
    <sheetView zoomScale="99" workbookViewId="0">
      <selection activeCell="C5" sqref="C5"/>
    </sheetView>
  </sheetViews>
  <sheetFormatPr baseColWidth="10" defaultRowHeight="16" x14ac:dyDescent="0.2"/>
  <cols>
    <col min="2" max="2" width="21.83203125" customWidth="1"/>
  </cols>
  <sheetData>
    <row r="1" spans="1:3" x14ac:dyDescent="0.2">
      <c r="A1" t="s">
        <v>251</v>
      </c>
    </row>
    <row r="4" spans="1:3" x14ac:dyDescent="0.2">
      <c r="A4" s="2">
        <v>45327</v>
      </c>
      <c r="B4" t="s">
        <v>165</v>
      </c>
      <c r="C4">
        <v>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7F0B-628E-1B4E-BE1C-3C3FBC48A67C}">
  <dimension ref="A1:C5"/>
  <sheetViews>
    <sheetView workbookViewId="0">
      <selection activeCell="C6" sqref="C6"/>
    </sheetView>
  </sheetViews>
  <sheetFormatPr baseColWidth="10" defaultRowHeight="16" x14ac:dyDescent="0.2"/>
  <cols>
    <col min="2" max="2" width="31.6640625" customWidth="1"/>
  </cols>
  <sheetData>
    <row r="1" spans="1:3" x14ac:dyDescent="0.2">
      <c r="A1" t="s">
        <v>237</v>
      </c>
    </row>
    <row r="4" spans="1:3" x14ac:dyDescent="0.2">
      <c r="A4" s="1">
        <v>45327</v>
      </c>
      <c r="B4" t="s">
        <v>165</v>
      </c>
      <c r="C4">
        <v>5</v>
      </c>
    </row>
    <row r="5" spans="1:3" x14ac:dyDescent="0.2">
      <c r="A5" s="2">
        <v>45334</v>
      </c>
      <c r="B5" t="s">
        <v>165</v>
      </c>
      <c r="C5">
        <v>6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DAD4-E7FE-7046-A7A8-6F637AEEF49F}">
  <dimension ref="A1:C5"/>
  <sheetViews>
    <sheetView workbookViewId="0">
      <selection activeCell="A6" sqref="A6"/>
    </sheetView>
  </sheetViews>
  <sheetFormatPr baseColWidth="10" defaultRowHeight="16" x14ac:dyDescent="0.2"/>
  <cols>
    <col min="2" max="2" width="25.33203125" customWidth="1"/>
  </cols>
  <sheetData>
    <row r="1" spans="1:3" x14ac:dyDescent="0.2">
      <c r="A1" t="s">
        <v>238</v>
      </c>
    </row>
    <row r="3" spans="1:3" x14ac:dyDescent="0.2">
      <c r="A3" s="1">
        <v>45327</v>
      </c>
      <c r="B3" t="s">
        <v>165</v>
      </c>
      <c r="C3">
        <v>8</v>
      </c>
    </row>
    <row r="4" spans="1:3" x14ac:dyDescent="0.2">
      <c r="A4" s="2">
        <v>45334</v>
      </c>
      <c r="B4" t="s">
        <v>165</v>
      </c>
      <c r="C4">
        <v>4</v>
      </c>
    </row>
    <row r="5" spans="1:3" x14ac:dyDescent="0.2">
      <c r="A5" s="2">
        <v>45334</v>
      </c>
      <c r="B5" t="s">
        <v>250</v>
      </c>
      <c r="C5">
        <v>2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D209-AF03-5741-9F19-FBC9488B62C9}">
  <dimension ref="A1:C5"/>
  <sheetViews>
    <sheetView workbookViewId="0">
      <selection activeCell="B6" sqref="B6"/>
    </sheetView>
  </sheetViews>
  <sheetFormatPr baseColWidth="10" defaultRowHeight="16" x14ac:dyDescent="0.2"/>
  <cols>
    <col min="2" max="2" width="30.83203125" customWidth="1"/>
  </cols>
  <sheetData>
    <row r="1" spans="1:3" x14ac:dyDescent="0.2">
      <c r="A1" t="s">
        <v>239</v>
      </c>
    </row>
    <row r="4" spans="1:3" x14ac:dyDescent="0.2">
      <c r="A4" s="3">
        <v>45327</v>
      </c>
      <c r="B4" s="4" t="s">
        <v>165</v>
      </c>
      <c r="C4">
        <v>8</v>
      </c>
    </row>
    <row r="5" spans="1:3" x14ac:dyDescent="0.2">
      <c r="A5" s="2">
        <v>45334</v>
      </c>
      <c r="B5" t="s">
        <v>165</v>
      </c>
      <c r="C5">
        <v>7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EF66-1563-B644-AC3E-B34DB5D283D8}">
  <dimension ref="A1:C6"/>
  <sheetViews>
    <sheetView workbookViewId="0">
      <selection activeCell="B7" sqref="B7"/>
    </sheetView>
  </sheetViews>
  <sheetFormatPr baseColWidth="10" defaultRowHeight="16" x14ac:dyDescent="0.2"/>
  <cols>
    <col min="2" max="2" width="22.5" customWidth="1"/>
  </cols>
  <sheetData>
    <row r="1" spans="1:3" x14ac:dyDescent="0.2">
      <c r="A1" t="s">
        <v>175</v>
      </c>
    </row>
    <row r="3" spans="1:3" x14ac:dyDescent="0.2">
      <c r="B3" t="s">
        <v>16</v>
      </c>
    </row>
    <row r="4" spans="1:3" x14ac:dyDescent="0.2">
      <c r="A4" s="1">
        <v>45306</v>
      </c>
      <c r="B4" t="s">
        <v>176</v>
      </c>
      <c r="C4">
        <v>5</v>
      </c>
    </row>
    <row r="5" spans="1:3" x14ac:dyDescent="0.2">
      <c r="A5" s="3">
        <v>45327</v>
      </c>
      <c r="B5" s="4" t="s">
        <v>165</v>
      </c>
      <c r="C5">
        <v>6</v>
      </c>
    </row>
    <row r="6" spans="1:3" x14ac:dyDescent="0.2">
      <c r="A6" s="2">
        <v>45334</v>
      </c>
      <c r="B6" t="s">
        <v>165</v>
      </c>
      <c r="C6">
        <v>4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D3A9-0546-8A40-BFC0-755D617B372A}">
  <dimension ref="A1:C4"/>
  <sheetViews>
    <sheetView workbookViewId="0">
      <selection activeCell="C5" sqref="C5"/>
    </sheetView>
  </sheetViews>
  <sheetFormatPr baseColWidth="10" defaultRowHeight="16" x14ac:dyDescent="0.2"/>
  <cols>
    <col min="2" max="2" width="25" customWidth="1"/>
  </cols>
  <sheetData>
    <row r="1" spans="1:3" x14ac:dyDescent="0.2">
      <c r="A1" t="s">
        <v>240</v>
      </c>
    </row>
    <row r="4" spans="1:3" x14ac:dyDescent="0.2">
      <c r="A4" s="1">
        <v>45327</v>
      </c>
      <c r="B4" t="s">
        <v>165</v>
      </c>
      <c r="C4">
        <v>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C05C-D1AE-9347-AFEC-92A599FC7079}">
  <dimension ref="A1:C4"/>
  <sheetViews>
    <sheetView workbookViewId="0">
      <selection activeCell="C5" sqref="C5"/>
    </sheetView>
  </sheetViews>
  <sheetFormatPr baseColWidth="10" defaultRowHeight="16" x14ac:dyDescent="0.2"/>
  <cols>
    <col min="2" max="2" width="24.6640625" customWidth="1"/>
  </cols>
  <sheetData>
    <row r="1" spans="1:3" x14ac:dyDescent="0.2">
      <c r="A1" t="s">
        <v>242</v>
      </c>
    </row>
    <row r="4" spans="1:3" x14ac:dyDescent="0.2">
      <c r="A4" s="2">
        <v>45327</v>
      </c>
      <c r="B4" t="s">
        <v>165</v>
      </c>
      <c r="C4">
        <v>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0046-5172-3E41-B6E2-7F41C964654F}">
  <dimension ref="A1:C5"/>
  <sheetViews>
    <sheetView workbookViewId="0">
      <selection activeCell="C6" sqref="C6"/>
    </sheetView>
  </sheetViews>
  <sheetFormatPr baseColWidth="10" defaultRowHeight="16" x14ac:dyDescent="0.2"/>
  <cols>
    <col min="2" max="2" width="21.83203125" customWidth="1"/>
  </cols>
  <sheetData>
    <row r="1" spans="1:3" x14ac:dyDescent="0.2">
      <c r="A1" t="s">
        <v>177</v>
      </c>
    </row>
    <row r="3" spans="1:3" x14ac:dyDescent="0.2">
      <c r="B3" t="s">
        <v>16</v>
      </c>
    </row>
    <row r="4" spans="1:3" x14ac:dyDescent="0.2">
      <c r="A4" s="1">
        <v>45306</v>
      </c>
      <c r="B4" t="s">
        <v>165</v>
      </c>
      <c r="C4">
        <v>1</v>
      </c>
    </row>
    <row r="5" spans="1:3" x14ac:dyDescent="0.2">
      <c r="A5" s="3">
        <v>45327</v>
      </c>
      <c r="B5" s="4" t="s">
        <v>165</v>
      </c>
      <c r="C5">
        <v>4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63BA-4CD3-E347-A915-DA551F7F58B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116</vt:i4>
      </vt:variant>
    </vt:vector>
  </HeadingPairs>
  <TitlesOfParts>
    <vt:vector size="116" baseType="lpstr">
      <vt:lpstr>MF 190</vt:lpstr>
      <vt:lpstr>MF 170</vt:lpstr>
      <vt:lpstr>MF 150</vt:lpstr>
      <vt:lpstr>LF 120</vt:lpstr>
      <vt:lpstr>LF 90</vt:lpstr>
      <vt:lpstr>LF 50</vt:lpstr>
      <vt:lpstr>CB 220</vt:lpstr>
      <vt:lpstr>CB 205</vt:lpstr>
      <vt:lpstr>CB 193</vt:lpstr>
      <vt:lpstr>CB 185</vt:lpstr>
      <vt:lpstr>CB 172</vt:lpstr>
      <vt:lpstr>CB 136</vt:lpstr>
      <vt:lpstr>JB 60</vt:lpstr>
      <vt:lpstr>UH 60</vt:lpstr>
      <vt:lpstr>JB 40</vt:lpstr>
      <vt:lpstr>UH 40</vt:lpstr>
      <vt:lpstr>JB 85 PCH</vt:lpstr>
      <vt:lpstr>UHEAD 85</vt:lpstr>
      <vt:lpstr>UH 40 PCH</vt:lpstr>
      <vt:lpstr>JB 55 PCH</vt:lpstr>
      <vt:lpstr>UH 55 PCH</vt:lpstr>
      <vt:lpstr>JB 60 PCH</vt:lpstr>
      <vt:lpstr>UH 60 PCH</vt:lpstr>
      <vt:lpstr>SWIVEL CLAMP</vt:lpstr>
      <vt:lpstr>FIXED CLAMP</vt:lpstr>
      <vt:lpstr>BEAM CLAMP</vt:lpstr>
      <vt:lpstr>JOINPIN</vt:lpstr>
      <vt:lpstr>CATWALK</vt:lpstr>
      <vt:lpstr>ASIBA 1.6M</vt:lpstr>
      <vt:lpstr>ASIBA 2 M</vt:lpstr>
      <vt:lpstr>TANGGA 170</vt:lpstr>
      <vt:lpstr>TANGGA 190</vt:lpstr>
      <vt:lpstr>PIPA 6</vt:lpstr>
      <vt:lpstr>PIPA 4</vt:lpstr>
      <vt:lpstr>PIPA 3.75</vt:lpstr>
      <vt:lpstr>PIPA 3</vt:lpstr>
      <vt:lpstr>PIPA 2</vt:lpstr>
      <vt:lpstr>PIPA 1</vt:lpstr>
      <vt:lpstr>PIPE SUPPORT</vt:lpstr>
      <vt:lpstr>RODA</vt:lpstr>
      <vt:lpstr>TANGGA PCH</vt:lpstr>
      <vt:lpstr>RAILING PCH</vt:lpstr>
      <vt:lpstr>LEDGER 0.6 RL</vt:lpstr>
      <vt:lpstr>LEDGER 0.9 RL</vt:lpstr>
      <vt:lpstr>LEDGER 1.2 RL</vt:lpstr>
      <vt:lpstr>LEDGER 1.8 RL</vt:lpstr>
      <vt:lpstr>VERTICAL 2 RL</vt:lpstr>
      <vt:lpstr>JOINER</vt:lpstr>
      <vt:lpstr>LEDGER 0.5 PCH</vt:lpstr>
      <vt:lpstr>LEDGER 0.6 PCH</vt:lpstr>
      <vt:lpstr>LEDGER 0.9 PCH</vt:lpstr>
      <vt:lpstr>LEDGER 1.2 PCH</vt:lpstr>
      <vt:lpstr>LEDGER 1.5 PCH</vt:lpstr>
      <vt:lpstr>LEDGER 1.8 PCH</vt:lpstr>
      <vt:lpstr>VERTICAL 0.5 PCH</vt:lpstr>
      <vt:lpstr>VERTICAL 1 PCH</vt:lpstr>
      <vt:lpstr>VERTICAL 1.5 PCH</vt:lpstr>
      <vt:lpstr>VERTICAL 2 PCH</vt:lpstr>
      <vt:lpstr>TIEROD 0.6M</vt:lpstr>
      <vt:lpstr>TIEROD 1 M</vt:lpstr>
      <vt:lpstr>TIEROD 1.2 M</vt:lpstr>
      <vt:lpstr>TIEROD 1.5 M</vt:lpstr>
      <vt:lpstr>TIEROD 2 M</vt:lpstr>
      <vt:lpstr>TIEBAR 40</vt:lpstr>
      <vt:lpstr>TIEBAR 50</vt:lpstr>
      <vt:lpstr>TIEBAR 60</vt:lpstr>
      <vt:lpstr>TIEBAR 70</vt:lpstr>
      <vt:lpstr>TIEBAR 80</vt:lpstr>
      <vt:lpstr>TIEBAR 100</vt:lpstr>
      <vt:lpstr>WINGNUT</vt:lpstr>
      <vt:lpstr>HORRY BEAM</vt:lpstr>
      <vt:lpstr>H4X4X6</vt:lpstr>
      <vt:lpstr>H 5X5X1.2</vt:lpstr>
      <vt:lpstr>H 5X5X1.5</vt:lpstr>
      <vt:lpstr>H 5X5X2</vt:lpstr>
      <vt:lpstr>H 5X5X2.5</vt:lpstr>
      <vt:lpstr>H 5X5X3</vt:lpstr>
      <vt:lpstr>H 5X5X6</vt:lpstr>
      <vt:lpstr>H 4X6X1.25</vt:lpstr>
      <vt:lpstr>H 4X6X1.5</vt:lpstr>
      <vt:lpstr>H 4X6X2</vt:lpstr>
      <vt:lpstr>H 4X6X2.5</vt:lpstr>
      <vt:lpstr>H 4X6X3</vt:lpstr>
      <vt:lpstr>H 4X6X3.5</vt:lpstr>
      <vt:lpstr>H 4X6X4</vt:lpstr>
      <vt:lpstr>H 4X6X6</vt:lpstr>
      <vt:lpstr>H 5X10X1.5</vt:lpstr>
      <vt:lpstr>H 5X10X2</vt:lpstr>
      <vt:lpstr>H 5X10X2.5</vt:lpstr>
      <vt:lpstr>H 5X10X3</vt:lpstr>
      <vt:lpstr>H 5X10X4</vt:lpstr>
      <vt:lpstr>SURI SURI 4X6X1</vt:lpstr>
      <vt:lpstr>SURI SURI 4X6X1.5</vt:lpstr>
      <vt:lpstr>SURI SURI 4X6X2</vt:lpstr>
      <vt:lpstr>SURI SURI 5X10X1.5</vt:lpstr>
      <vt:lpstr>SURI SURI 5X10X2</vt:lpstr>
      <vt:lpstr>KAWEL</vt:lpstr>
      <vt:lpstr>SIKU 30X35</vt:lpstr>
      <vt:lpstr>SIKU 35X35</vt:lpstr>
      <vt:lpstr>SIKU 40X40</vt:lpstr>
      <vt:lpstr>SIKU 40X45</vt:lpstr>
      <vt:lpstr>SIKU 45X45</vt:lpstr>
      <vt:lpstr>SIKU 45X 50</vt:lpstr>
      <vt:lpstr>SIKU 50X50</vt:lpstr>
      <vt:lpstr>SIKU 60X60</vt:lpstr>
      <vt:lpstr>PUSH PULL 1M</vt:lpstr>
      <vt:lpstr>PUSH PULL 2M</vt:lpstr>
      <vt:lpstr>PUSH PULL 3</vt:lpstr>
      <vt:lpstr>SW 1170</vt:lpstr>
      <vt:lpstr>SW 1730</vt:lpstr>
      <vt:lpstr>SW 2340</vt:lpstr>
      <vt:lpstr>SW 3560</vt:lpstr>
      <vt:lpstr>SW 4680</vt:lpstr>
      <vt:lpstr>COUPLING 1M</vt:lpstr>
      <vt:lpstr>CNP 125X3.5 M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clbb l</dc:creator>
  <cp:lastModifiedBy>clbb l</cp:lastModifiedBy>
  <dcterms:created xsi:type="dcterms:W3CDTF">2024-01-01T04:11:42Z</dcterms:created>
  <dcterms:modified xsi:type="dcterms:W3CDTF">2024-03-20T18:46:37Z</dcterms:modified>
</cp:coreProperties>
</file>