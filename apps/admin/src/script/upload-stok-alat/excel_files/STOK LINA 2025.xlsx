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06"/>
  </bookViews>
  <sheets>
    <sheet r:id="rId1" sheetId="1" name="MF 190"/>
    <sheet r:id="rId2" sheetId="2" name="MF 170"/>
    <sheet r:id="rId3" sheetId="3" name="MF 150"/>
    <sheet r:id="rId4" sheetId="4" name="LF 120"/>
    <sheet r:id="rId5" sheetId="5" name="LF 90"/>
    <sheet r:id="rId6" sheetId="6" name="LF 50"/>
    <sheet r:id="rId7" sheetId="7" name="CB 220"/>
    <sheet r:id="rId8" sheetId="8" name="CB 205"/>
    <sheet r:id="rId9" sheetId="9" name="CB 193"/>
    <sheet r:id="rId10" sheetId="10" name="CB 185"/>
    <sheet r:id="rId11" sheetId="11" name="JOINPIN"/>
    <sheet r:id="rId12" sheetId="12" name="JB 60"/>
    <sheet r:id="rId13" sheetId="13" name="UH 60"/>
    <sheet r:id="rId14" sheetId="14" name="JB 40"/>
    <sheet r:id="rId15" sheetId="15" name="UH 40"/>
    <sheet r:id="rId16" sheetId="16" name="JB 55 PCH"/>
    <sheet r:id="rId17" sheetId="17" name="UH 55 PCH"/>
    <sheet r:id="rId18" sheetId="18" name="JB 60 PCH"/>
    <sheet r:id="rId19" sheetId="19" name="UH 60 PCH"/>
    <sheet r:id="rId20" sheetId="20" name="JB 70 PCH"/>
    <sheet r:id="rId21" sheetId="21" name="UH 70 PCH"/>
    <sheet r:id="rId22" sheetId="22" name="JB 85"/>
    <sheet r:id="rId23" sheetId="23" name="UH 85"/>
    <sheet r:id="rId24" sheetId="24" name="CATWALK"/>
    <sheet r:id="rId25" sheetId="25" name="TANGGA 170"/>
    <sheet r:id="rId26" sheetId="26" name="TANGGA 190"/>
    <sheet r:id="rId27" sheetId="27" name="FIXED CLAMP"/>
    <sheet r:id="rId28" sheetId="28" name="SWIVEL CLAMP"/>
    <sheet r:id="rId29" sheetId="29" name="BEAM CLAMP"/>
    <sheet r:id="rId30" sheetId="30" name="SLEEVE COUPLER"/>
    <sheet r:id="rId31" sheetId="31" name="PIPE SUPPORT"/>
    <sheet r:id="rId32" sheetId="32" name="PIPA 1"/>
    <sheet r:id="rId33" sheetId="33" name="PIPA 1.2"/>
    <sheet r:id="rId34" sheetId="34" name="PIPA 1.5"/>
    <sheet r:id="rId35" sheetId="35" name="PIPA 2"/>
    <sheet r:id="rId36" sheetId="36" name="PIPA 3"/>
    <sheet r:id="rId37" sheetId="37" name="PIPA 4"/>
    <sheet r:id="rId38" sheetId="38" name="PIPA 6"/>
    <sheet r:id="rId39" sheetId="39" name="RODA"/>
    <sheet r:id="rId40" sheetId="40" name="HORRY BEAM"/>
    <sheet r:id="rId41" sheetId="41" name="BASE PLATE"/>
    <sheet r:id="rId42" sheetId="42" name="JOINER"/>
    <sheet r:id="rId43" sheetId="43" name="CANTILEVER 0.9"/>
    <sheet r:id="rId44" sheetId="44" name="ASIBA 1"/>
    <sheet r:id="rId45" sheetId="45" name="ASIBA 1.6"/>
    <sheet r:id="rId46" sheetId="46" name="ASIBA 2"/>
    <sheet r:id="rId47" sheetId="47" name="ASIBA 3"/>
    <sheet r:id="rId48" sheetId="48" name="ASIBA 4"/>
    <sheet r:id="rId49" sheetId="49" name="LEDGER 0.6 RL"/>
    <sheet r:id="rId50" sheetId="50" name="LEDGER 0.9 RL"/>
    <sheet r:id="rId51" sheetId="51" name="LEDGER 1.2 RL"/>
    <sheet r:id="rId52" sheetId="52" name="LEDGER 1.5 RL"/>
    <sheet r:id="rId53" sheetId="53" name="LEDGER 1.8 RL"/>
    <sheet r:id="rId54" sheetId="54" name="V BEAM BRACKET"/>
    <sheet r:id="rId55" sheetId="55" name="VERTICAL 1 RL"/>
    <sheet r:id="rId56" sheetId="56" name="VERTICAL 2 RL"/>
    <sheet r:id="rId57" sheetId="57" name="LEDGER 0.6 PCH"/>
    <sheet r:id="rId58" sheetId="58" name="LEDGER 0.9 PCH"/>
    <sheet r:id="rId59" sheetId="59" name="LEDGER 1.2 PCH"/>
    <sheet r:id="rId60" sheetId="60" name="LEDGER 1.5 PCH"/>
    <sheet r:id="rId61" sheetId="61" name="LEDGER 1.8 PCH"/>
    <sheet r:id="rId62" sheetId="62" name="VERTICAL 0.5 PCH"/>
    <sheet r:id="rId63" sheetId="63" name="VERTICAL 1 PCH"/>
    <sheet r:id="rId64" sheetId="64" name="VERTICAL 1.5 PCH"/>
    <sheet r:id="rId65" sheetId="65" name="VERTICAL 2 PCH"/>
    <sheet r:id="rId66" sheetId="66" name="TANGGA PCH"/>
    <sheet r:id="rId67" sheetId="67" name="H 4X6X1"/>
    <sheet r:id="rId68" sheetId="68" name="H 4X6X1.5"/>
    <sheet r:id="rId69" sheetId="69" name="H 4X6X2"/>
    <sheet r:id="rId70" sheetId="70" name="H 4X6X2.5"/>
    <sheet r:id="rId71" sheetId="71" name="H 4X6X3"/>
    <sheet r:id="rId72" sheetId="72" name="H 4X6X3.5"/>
    <sheet r:id="rId73" sheetId="73" name="H 4X6X4"/>
    <sheet r:id="rId74" sheetId="74" name="H 4X6X6"/>
    <sheet r:id="rId75" sheetId="75" name="H 5X5X1"/>
    <sheet r:id="rId76" sheetId="76" name="H 5X5X1.2"/>
    <sheet r:id="rId77" sheetId="77" name="H 5X5X1.5"/>
    <sheet r:id="rId78" sheetId="78" name="H 5X5X2"/>
    <sheet r:id="rId79" sheetId="79" name="H 5X5X2.4"/>
    <sheet r:id="rId80" sheetId="80" name="H 5X5X2.5"/>
    <sheet r:id="rId81" sheetId="81" name="H 5X5X3"/>
    <sheet r:id="rId82" sheetId="82" name="H 5X5X4"/>
    <sheet r:id="rId83" sheetId="83" name="H 5X5X6"/>
    <sheet r:id="rId84" sheetId="84" name="H 5X10X1.5"/>
    <sheet r:id="rId85" sheetId="85" name="H 5X10X2"/>
    <sheet r:id="rId86" sheetId="86" name="H 5X10X2.5"/>
    <sheet r:id="rId87" sheetId="87" name="H 5X10X3"/>
    <sheet r:id="rId88" sheetId="88" name="H 5X10X3.5"/>
    <sheet r:id="rId89" sheetId="89" name="H 5X10X4"/>
    <sheet r:id="rId90" sheetId="90" name="SURI 4X6X1"/>
    <sheet r:id="rId91" sheetId="91" name="SURI 4X6X1.5"/>
    <sheet r:id="rId92" sheetId="92" name="SURI 4X6X2"/>
    <sheet r:id="rId93" sheetId="93" name="SURI 5X10X1.5"/>
    <sheet r:id="rId94" sheetId="94" name="SURI 5X10X2"/>
    <sheet r:id="rId95" sheetId="95" name="SIKU 25X25"/>
    <sheet r:id="rId96" sheetId="96" name="SIKU 30X30"/>
    <sheet r:id="rId97" sheetId="97" name="SIKU 30X35"/>
    <sheet r:id="rId98" sheetId="98" name="SIKU 35X35"/>
    <sheet r:id="rId99" sheetId="99" name="SIKU 35X40"/>
    <sheet r:id="rId100" sheetId="100" name="SIKU 40X40"/>
    <sheet r:id="rId101" sheetId="101" name="SIKU 45X40"/>
    <sheet r:id="rId102" sheetId="102" name="SIKU 40X50"/>
    <sheet r:id="rId103" sheetId="103" name="SIKU 45X45"/>
    <sheet r:id="rId104" sheetId="104" name="SIKU 45X50"/>
    <sheet r:id="rId105" sheetId="105" name="SIKU 50X50"/>
    <sheet r:id="rId106" sheetId="106" name="SIKU 60X60"/>
    <sheet r:id="rId107" sheetId="107" name="SIKU 70X70"/>
    <sheet r:id="rId108" sheetId="108" name="KAWEL"/>
    <sheet r:id="rId109" sheetId="109" name="TIEBAR 40"/>
    <sheet r:id="rId110" sheetId="110" name="TIEBAR 50"/>
    <sheet r:id="rId111" sheetId="111" name="TIEBAR 60"/>
    <sheet r:id="rId112" sheetId="112" name="TIEBAR 70"/>
    <sheet r:id="rId113" sheetId="113" name="TIEBAR 80"/>
    <sheet r:id="rId114" sheetId="114" name="TIEROD 0.4"/>
    <sheet r:id="rId115" sheetId="115" name="TIEROD 0.5"/>
    <sheet r:id="rId116" sheetId="116" name="TIEROD 0.6"/>
    <sheet r:id="rId117" sheetId="117" name="TIEROD 0.7"/>
    <sheet r:id="rId118" sheetId="118" name="TIEROD 0.8"/>
    <sheet r:id="rId119" sheetId="119" name="TIEROD 0.95"/>
    <sheet r:id="rId120" sheetId="120" name="TIEROD 1"/>
    <sheet r:id="rId121" sheetId="121" name="TIEROD 1.2"/>
    <sheet r:id="rId122" sheetId="122" name="TIEROD 1.5"/>
    <sheet r:id="rId123" sheetId="123" name="TIEROD 2"/>
    <sheet r:id="rId124" sheetId="124" name="TIEROD 3"/>
    <sheet r:id="rId125" sheetId="125" name="TIEROD 6"/>
    <sheet r:id="rId126" sheetId="126" name="WINGNUT"/>
    <sheet r:id="rId127" sheetId="127" name="PUSH PULL 1"/>
    <sheet r:id="rId128" sheetId="128" name="PUSH PULL 2"/>
    <sheet r:id="rId129" sheetId="129" name="PUSH PULL 3"/>
    <sheet r:id="rId130" sheetId="130" name="SW 1170"/>
    <sheet r:id="rId131" sheetId="131" name="SW 1730"/>
    <sheet r:id="rId132" sheetId="132" name="SW 2340"/>
    <sheet r:id="rId133" sheetId="133" name="SW 3560"/>
    <sheet r:id="rId134" sheetId="134" name="SW 4780"/>
    <sheet r:id="rId135" sheetId="135" name="COUPLING 1M"/>
    <sheet r:id="rId136" sheetId="136" name="CNP 125X3.5M"/>
    <sheet r:id="rId137" sheetId="137" name="CNP 125 X 4 M"/>
    <sheet r:id="rId138" sheetId="138" name="CC 640X640"/>
    <sheet r:id="rId139" sheetId="139" name="CC 640X780"/>
    <sheet r:id="rId140" sheetId="140" name="WEDGE K"/>
    <sheet r:id="rId141" sheetId="141" name="WEDGE KZ"/>
    <sheet r:id="rId142" sheetId="142" name="WEDGE HEAD PIECE"/>
    <sheet r:id="rId143" sheetId="143" name="Sheet8"/>
    <sheet r:id="rId144" sheetId="144" name="Sheet9"/>
    <sheet r:id="rId145" sheetId="145" name="Sheet10"/>
    <sheet r:id="rId146" sheetId="146" name="Sheet11"/>
    <sheet r:id="rId147" sheetId="147" name="Sheet13"/>
    <sheet r:id="rId148" sheetId="148" name="Sheet14"/>
  </sheets>
  <calcPr fullCalcOnLoad="1"/>
</workbook>
</file>

<file path=xl/sharedStrings.xml><?xml version="1.0" encoding="utf-8"?>
<sst xmlns="http://schemas.openxmlformats.org/spreadsheetml/2006/main" count="11796" uniqueCount="623">
  <si>
    <t>WEDGE HEAD PIECE</t>
  </si>
  <si>
    <t>STOK PER 31/12/24</t>
  </si>
  <si>
    <t>TBP CIMORY</t>
  </si>
  <si>
    <t>NOBBY HO</t>
  </si>
  <si>
    <t>TPI GAJAH TUNGGAL</t>
  </si>
  <si>
    <t>WEDGE KZ</t>
  </si>
  <si>
    <t>HARTONO BELI</t>
  </si>
  <si>
    <t>ACSET EKA</t>
  </si>
  <si>
    <t>WEDGE K</t>
  </si>
  <si>
    <t>CC 64 X78</t>
  </si>
  <si>
    <t>CORNER COUPLING 640X0640</t>
  </si>
  <si>
    <t>TBP PLTU</t>
  </si>
  <si>
    <t>CNP 125 X 4M</t>
  </si>
  <si>
    <t>CNP 125 X 3.5 M</t>
  </si>
  <si>
    <t>COUPLING 1M</t>
  </si>
  <si>
    <t>STEEL WALLER 4780</t>
  </si>
  <si>
    <t>TPB CIMORY</t>
  </si>
  <si>
    <t>STEEL WALLER 3560</t>
  </si>
  <si>
    <t>STEEL WALLER 2340</t>
  </si>
  <si>
    <t>STEEL WALLER 1730</t>
  </si>
  <si>
    <t>STEEL WALLER 1170</t>
  </si>
  <si>
    <t>PUSH PULL 3</t>
  </si>
  <si>
    <t>STOK PER 31/12//24</t>
  </si>
  <si>
    <t>HARTAM GAJAH TUNGGAL</t>
  </si>
  <si>
    <t>PUSH PULL 2</t>
  </si>
  <si>
    <t>TBP PANDEGLANG</t>
  </si>
  <si>
    <t>TPI PANDEGLANG</t>
  </si>
  <si>
    <t>PUSH PULL 1</t>
  </si>
  <si>
    <t>NRC JSI</t>
  </si>
  <si>
    <t>BPK ANDRE CIREBON</t>
  </si>
  <si>
    <t>WINGNUT</t>
  </si>
  <si>
    <t>TBP PARKIR ALAM SUTRA</t>
  </si>
  <si>
    <t>BPK ANDRE BEKASI</t>
  </si>
  <si>
    <t>KUS</t>
  </si>
  <si>
    <t>CONCREATE TPB P4</t>
  </si>
  <si>
    <t>INDONAKANO MINDA</t>
  </si>
  <si>
    <t>TARSIM</t>
  </si>
  <si>
    <t>TBP SEQUIS</t>
  </si>
  <si>
    <t>KUS BELI</t>
  </si>
  <si>
    <t>INDONAKANO SCHUTZ</t>
  </si>
  <si>
    <t>BU LALA SENAYAN</t>
  </si>
  <si>
    <t>INDONAKANO GIVAUDAN</t>
  </si>
  <si>
    <t>INDONAKANO TIGER</t>
  </si>
  <si>
    <t>BU YENTI DIAMOND GOLF</t>
  </si>
  <si>
    <t>BU LALA CIPAKU</t>
  </si>
  <si>
    <t>INDONAKANO ESR</t>
  </si>
  <si>
    <t>TBP PADMA BANDUNG</t>
  </si>
  <si>
    <t>INDONAKANO NISSIN</t>
  </si>
  <si>
    <t>BPK JAMES TAMAN GOLF</t>
  </si>
  <si>
    <t>NKE LIPPO</t>
  </si>
  <si>
    <t>TANGGA UTAMA</t>
  </si>
  <si>
    <t>CONCREATE JL CIANJUR</t>
  </si>
  <si>
    <t>ACSET ARUMAYA</t>
  </si>
  <si>
    <t>INDONAKANO HIRUTA</t>
  </si>
  <si>
    <t>TPI WATER INTAKE</t>
  </si>
  <si>
    <t>BPK ADIT MAGNOLIA</t>
  </si>
  <si>
    <t>TBP KARA</t>
  </si>
  <si>
    <t>TIEROD 6</t>
  </si>
  <si>
    <t>TEKNOMETAL</t>
  </si>
  <si>
    <t>JO CSCODS TAISEI OASIS</t>
  </si>
  <si>
    <t>TIEROD 3</t>
  </si>
  <si>
    <t>TIEROD 2</t>
  </si>
  <si>
    <t>TIEROD 1.5</t>
  </si>
  <si>
    <t>IMP</t>
  </si>
  <si>
    <t>JO CSCODS TAISEI OASIS JUAL</t>
  </si>
  <si>
    <t>COCOK WARDI 15/7</t>
  </si>
  <si>
    <t>POTONG JADI 1M DAN 50 CM=28</t>
  </si>
  <si>
    <t>TIEROD 1.2</t>
  </si>
  <si>
    <t>STOK WARDI 15/7</t>
  </si>
  <si>
    <t>CONCREATE JL CIANJUT</t>
  </si>
  <si>
    <t>TIEROD 1M</t>
  </si>
  <si>
    <t>BU LALA KEBAGUSAN</t>
  </si>
  <si>
    <t>POTONGAN 1.5</t>
  </si>
  <si>
    <t>KATA YANTO SISA NOL</t>
  </si>
  <si>
    <t>INI KATANYA NOL</t>
  </si>
  <si>
    <t>TIEROD 0.95</t>
  </si>
  <si>
    <t>TIEROD 0.8</t>
  </si>
  <si>
    <t>TIEROD 0.7</t>
  </si>
  <si>
    <t>TIEROD 0.6</t>
  </si>
  <si>
    <t>TIEROD 0.5</t>
  </si>
  <si>
    <t>POTONGAN TIEROD 1.5</t>
  </si>
  <si>
    <t>TIEROD 0.4</t>
  </si>
  <si>
    <t>TIEBAR 80</t>
  </si>
  <si>
    <t>TIEBAR 70</t>
  </si>
  <si>
    <t>TIEBAR 60</t>
  </si>
  <si>
    <t>TIERBAR 50</t>
  </si>
  <si>
    <t>TIEBAR 40</t>
  </si>
  <si>
    <t>KAWEL</t>
  </si>
  <si>
    <t>WARDI BUAT KAWEL 15/7</t>
  </si>
  <si>
    <t>TPI MAYORA</t>
  </si>
  <si>
    <t>BUAT</t>
  </si>
  <si>
    <t>SIKU 70X70</t>
  </si>
  <si>
    <t>SIKU 60X60</t>
  </si>
  <si>
    <t>SIKU 50X50</t>
  </si>
  <si>
    <t>SIKU 45X50</t>
  </si>
  <si>
    <t>INDONAKANO. MINDA</t>
  </si>
  <si>
    <t>SIKU 45X45</t>
  </si>
  <si>
    <t>SIKU 40X50</t>
  </si>
  <si>
    <t>SIKU 45X40</t>
  </si>
  <si>
    <t>SIKU 40X40</t>
  </si>
  <si>
    <t>TBP OPUS</t>
  </si>
  <si>
    <t>SIKU 35X35</t>
  </si>
  <si>
    <t>SIKU 30X35</t>
  </si>
  <si>
    <t>SIKU 30X30</t>
  </si>
  <si>
    <t>SURI SURI 5X10X2</t>
  </si>
  <si>
    <t>SURI SURI 5X10X1.5</t>
  </si>
  <si>
    <t>NRC BINTARO</t>
  </si>
  <si>
    <t>BASA NOBBY HO</t>
  </si>
  <si>
    <t>SURI SURI 4X6X2</t>
  </si>
  <si>
    <t>SURI SURI 4X6X1.5</t>
  </si>
  <si>
    <t>stok kata wardi 15/7 =390</t>
  </si>
  <si>
    <t>BUAT H 4X6X1.5</t>
  </si>
  <si>
    <t>BUAT DARI H 4X6X1.5</t>
  </si>
  <si>
    <t>TBP TFJ PANDEGLANG</t>
  </si>
  <si>
    <t>SURI 4X6X1</t>
  </si>
  <si>
    <t>SABUK KOLOM</t>
  </si>
  <si>
    <t>STOK PER 31/12</t>
  </si>
  <si>
    <t>H 5X10X4</t>
  </si>
  <si>
    <t>TBP KOTA WISATA CIBUBUR</t>
  </si>
  <si>
    <t>TBP LIVING KOTA WISATA</t>
  </si>
  <si>
    <t>H 5X10X3.5</t>
  </si>
  <si>
    <t>STOK 31/12/24</t>
  </si>
  <si>
    <t>H 5X10X3</t>
  </si>
  <si>
    <t>BPK ANDRE RSIA</t>
  </si>
  <si>
    <t>GLOBAL DHARMAWANGSA</t>
  </si>
  <si>
    <t>H 5X10X2.5</t>
  </si>
  <si>
    <t>H 5X10X2</t>
  </si>
  <si>
    <t>BPK ANDRE KAPUK</t>
  </si>
  <si>
    <t>TBP LIVING KOWIS</t>
  </si>
  <si>
    <t>H 5X10X1.5</t>
  </si>
  <si>
    <t>H 5X5X6</t>
  </si>
  <si>
    <t>INDONAKANO SMII</t>
  </si>
  <si>
    <t>JAGAT SENTUL</t>
  </si>
  <si>
    <t>stok 28/8 kata wardi hitung stok 37</t>
  </si>
  <si>
    <t>POTONG MENJADI 2 M</t>
  </si>
  <si>
    <t>MEGA BAJA</t>
  </si>
  <si>
    <t>POTONG JADI H 5X5X2</t>
  </si>
  <si>
    <t>H 5X5X4</t>
  </si>
  <si>
    <t>H 5X5X3</t>
  </si>
  <si>
    <t>TBP BINUS SURABAYA</t>
  </si>
  <si>
    <t>ACSET EKA HOSPITAL</t>
  </si>
  <si>
    <t>KARMELINDO BOUTIQUE OFFICE</t>
  </si>
  <si>
    <t>POTONG JADI H 5X5X1</t>
  </si>
  <si>
    <t>H 5X5X2.5</t>
  </si>
  <si>
    <t>H 5X5X2.4</t>
  </si>
  <si>
    <t>POTONG JAGI 2,</t>
  </si>
  <si>
    <t>HOLLOW 5X5X2</t>
  </si>
  <si>
    <t>STOK PER 31/12/2024</t>
  </si>
  <si>
    <t>TPB BINUS SURABAYA</t>
  </si>
  <si>
    <t>POTONGAN DARI H 5X5X6=37</t>
  </si>
  <si>
    <t>POTONGAN BARU H5X5X6=130</t>
  </si>
  <si>
    <t>POTONGAN H 5X5X6=70</t>
  </si>
  <si>
    <t>POTONG JADI 1 M</t>
  </si>
  <si>
    <t>H 5X5X1.5</t>
  </si>
  <si>
    <t>H 5X5X1.2</t>
  </si>
  <si>
    <t>TBP PLTU KELEBIHAN</t>
  </si>
  <si>
    <t>H 5X5X1</t>
  </si>
  <si>
    <t>POTONGAN H 5X5X</t>
  </si>
  <si>
    <t>POTONG H 5X5X3</t>
  </si>
  <si>
    <t>POTONGAN H 5X5X52</t>
  </si>
  <si>
    <t>H 4X6X6</t>
  </si>
  <si>
    <t>H 4X6X4</t>
  </si>
  <si>
    <t>1/9 STOK KATA YANTO 70</t>
  </si>
  <si>
    <t>H 4X6X3</t>
  </si>
  <si>
    <t>H 4X6X2.5</t>
  </si>
  <si>
    <t>TBP KOWIS CIBUBUR</t>
  </si>
  <si>
    <t>H 4X6X2</t>
  </si>
  <si>
    <t>H 4X6X1.5</t>
  </si>
  <si>
    <t>BUAT JADI SURI SURI 97</t>
  </si>
  <si>
    <t>H 4X6X1</t>
  </si>
  <si>
    <t>TANGGA PCH</t>
  </si>
  <si>
    <t>INTERDESIGN STT</t>
  </si>
  <si>
    <t>ACSET BDX</t>
  </si>
  <si>
    <t>LEGNO JKT11</t>
  </si>
  <si>
    <t>INTERDESIGN KARAWANG</t>
  </si>
  <si>
    <t>LEGNO JKT 11</t>
  </si>
  <si>
    <t>VERTICAL 2 PCH</t>
  </si>
  <si>
    <t>RDM PLAZA INDONESIA</t>
  </si>
  <si>
    <t>Bu ini harusnya ada masuk</t>
  </si>
  <si>
    <t>TBP MARRIOT</t>
  </si>
  <si>
    <t>TBP IRIS</t>
  </si>
  <si>
    <t>TBP ARTOTEL MAGELANG</t>
  </si>
  <si>
    <t>TBP ARTOTEL</t>
  </si>
  <si>
    <t>MULTI KARYA TEMPO</t>
  </si>
  <si>
    <t>TBP ASHLEY</t>
  </si>
  <si>
    <t>TBP THAMRIN MEDAN</t>
  </si>
  <si>
    <t>VERTICAL 1.5 PCH</t>
  </si>
  <si>
    <t xml:space="preserve">TPI PANDEGLANG </t>
  </si>
  <si>
    <t>VERTICAL 1 PCH</t>
  </si>
  <si>
    <t>TBP JPO BSD</t>
  </si>
  <si>
    <t>VERTICAL 0.5 PCH</t>
  </si>
  <si>
    <t>TBP JPO</t>
  </si>
  <si>
    <t>NRC JI</t>
  </si>
  <si>
    <t>LEDGER 1.8 PCH</t>
  </si>
  <si>
    <t>DAN ADA KEPALA PCH 23 SET</t>
  </si>
  <si>
    <t>TPB JPO</t>
  </si>
  <si>
    <t>BUAT LEDGER 1.8</t>
  </si>
  <si>
    <t>LEDGER 1.5 PCH</t>
  </si>
  <si>
    <t>TPB PLTU</t>
  </si>
  <si>
    <t>BUAT DARI PIPA 6=126</t>
  </si>
  <si>
    <t>POTONGAN PIPA 3 M=50</t>
  </si>
  <si>
    <t>BUAT DARI PIPA 3</t>
  </si>
  <si>
    <t>LEDGER 1.2 PCH</t>
  </si>
  <si>
    <t>Bu ini harusnya ada keluar</t>
  </si>
  <si>
    <t>Bu ini tidak ada didata saya</t>
  </si>
  <si>
    <t>LEDGER 0.9 PCH</t>
  </si>
  <si>
    <t>MURINDA GAJAH TUNGGAL</t>
  </si>
  <si>
    <t>INI KATANYA STOK TDK ADA, DIPASANG SEMUA</t>
  </si>
  <si>
    <t>TBP ADR</t>
  </si>
  <si>
    <t>LEDGER 0.6 PCH</t>
  </si>
  <si>
    <t>LEDGER 0.5</t>
  </si>
  <si>
    <t>LEDGER 0.6</t>
  </si>
  <si>
    <t>BUAT POTONGAN</t>
  </si>
  <si>
    <t>SISA POTONGAN PIPA 243 ( 98 GALVANIS)</t>
  </si>
  <si>
    <t>V 2 RINGLOCK</t>
  </si>
  <si>
    <t>SISA 31/12/24</t>
  </si>
  <si>
    <t>TPB ASHLEY COKRO</t>
  </si>
  <si>
    <t>VERTICAL 1 RINGLOCK</t>
  </si>
  <si>
    <t>VERTICAL BEAM BRACKET</t>
  </si>
  <si>
    <t>LEDGER 1.8 RINGLOCK</t>
  </si>
  <si>
    <t>STO PER 31/12/24</t>
  </si>
  <si>
    <t>TBP MARRIOT25</t>
  </si>
  <si>
    <t>LEDGER 1.5 RINGLOCK</t>
  </si>
  <si>
    <t>STOK</t>
  </si>
  <si>
    <t>ledger 1.2 rl</t>
  </si>
  <si>
    <t>SISA KATANYA RUSAK 75</t>
  </si>
  <si>
    <t>LEDGER 0.9 RINGLOCK</t>
  </si>
  <si>
    <t>TBP ADR 1</t>
  </si>
  <si>
    <t>TBP ASHLEY COKRO</t>
  </si>
  <si>
    <t>YG 2 GEPENG PENYOK</t>
  </si>
  <si>
    <t>LEDGER 0.6 RL</t>
  </si>
  <si>
    <t>ASIBA 4</t>
  </si>
  <si>
    <t>JO SHIMIZU TBP ANNEX</t>
  </si>
  <si>
    <t>JAGAT WAREHOUSE</t>
  </si>
  <si>
    <t>INDONAKANO NOK</t>
  </si>
  <si>
    <t>TBP CAA</t>
  </si>
  <si>
    <t>TBP GRAHA PARAMITA</t>
  </si>
  <si>
    <t>ASIBA 3</t>
  </si>
  <si>
    <t xml:space="preserve">TBP ADR </t>
  </si>
  <si>
    <t>ASIBA 2</t>
  </si>
  <si>
    <t>BPK ANDREAS CILEUNGSI</t>
  </si>
  <si>
    <t>RDM ADR</t>
  </si>
  <si>
    <t>JO SHIMIZU ANNEX</t>
  </si>
  <si>
    <t>TBP GEREJA</t>
  </si>
  <si>
    <t>RDM SENAYAN</t>
  </si>
  <si>
    <t>ASIBA 1.6</t>
  </si>
  <si>
    <t>ASIBA 1</t>
  </si>
  <si>
    <t>CANTILEVER 0.9</t>
  </si>
  <si>
    <t>JOINER</t>
  </si>
  <si>
    <t>BASE PLATE</t>
  </si>
  <si>
    <t>BELI</t>
  </si>
  <si>
    <t>SHIMIZU ANNEX</t>
  </si>
  <si>
    <t>HORRY BEAM</t>
  </si>
  <si>
    <t>RODA</t>
  </si>
  <si>
    <t>STOK SD 31/12/24</t>
  </si>
  <si>
    <t>IDEA MANDIRI TUV BSD</t>
  </si>
  <si>
    <t>ARSENT</t>
  </si>
  <si>
    <t>IDEA MANDIRI NKI SENTUL</t>
  </si>
  <si>
    <t>IDEA MANDIRI TEGAL</t>
  </si>
  <si>
    <t>SUNPO</t>
  </si>
  <si>
    <t>KATANYA SISA YG BAGUS TDK AD ALAGI</t>
  </si>
  <si>
    <t>BELI TOKPED</t>
  </si>
  <si>
    <t>QEK MARRIOT</t>
  </si>
  <si>
    <t>TOKPED</t>
  </si>
  <si>
    <t>INTERDESIGN CIMORY</t>
  </si>
  <si>
    <t>RDM TOMANG</t>
  </si>
  <si>
    <t>BU LALA KARANG BERAS</t>
  </si>
  <si>
    <t>TBP EDGE</t>
  </si>
  <si>
    <t>PIPA 6</t>
  </si>
  <si>
    <t>INDONAKANO ESR 3</t>
  </si>
  <si>
    <t>IDEA MANDIRI BFI</t>
  </si>
  <si>
    <t>WIKA PELITA</t>
  </si>
  <si>
    <t>JAGAT AAJI FATMAWATI</t>
  </si>
  <si>
    <t>INDONAKANO SEIWA</t>
  </si>
  <si>
    <t>MAKSIMA CIKANDE</t>
  </si>
  <si>
    <t>JAGAT ANTASARI</t>
  </si>
  <si>
    <t>IDK GIVAUDAN</t>
  </si>
  <si>
    <t>JAGAT BAJA SUKANDA</t>
  </si>
  <si>
    <t>2.5MM GALV</t>
  </si>
  <si>
    <t>2MM GALV</t>
  </si>
  <si>
    <t>POTONG MENJADI 1.2MM</t>
  </si>
  <si>
    <t>KSO MLAPI</t>
  </si>
  <si>
    <t>BU LALA DUTA INDAH</t>
  </si>
  <si>
    <t>JAGAT BUARAN</t>
  </si>
  <si>
    <t>INTERDESIGN SUMARECON BEKASI</t>
  </si>
  <si>
    <t>POTONG MENJADI 1.5MM</t>
  </si>
  <si>
    <t>TBP CIKAL</t>
  </si>
  <si>
    <t>GRASINDO ARUMAYA</t>
  </si>
  <si>
    <t>JAGAT SUKANDA</t>
  </si>
  <si>
    <t>JAGAT DSO CILANDAK</t>
  </si>
  <si>
    <t>MEDIA BAJA</t>
  </si>
  <si>
    <t>NKE RSAU</t>
  </si>
  <si>
    <t>SISA BARU 127</t>
  </si>
  <si>
    <t>POTONG JADI LEDGER 1.5</t>
  </si>
  <si>
    <t xml:space="preserve">KUS </t>
  </si>
  <si>
    <t>POTONG MENJADI 4 DAN 2 M</t>
  </si>
  <si>
    <t>POTONG MENJADI 1.2M</t>
  </si>
  <si>
    <t>JAGAT SPORT CLUB</t>
  </si>
  <si>
    <t>INTERDESIGN TRANS ICON</t>
  </si>
  <si>
    <t>BPK ANDI KEMANGGISAN</t>
  </si>
  <si>
    <t>BUAT JADI LEDGER 1.8</t>
  </si>
  <si>
    <t>TBP PIM CITYWALK</t>
  </si>
  <si>
    <t>SISA BARU 160, BEKAS 22</t>
  </si>
  <si>
    <t>NKE LIPPO URBAN</t>
  </si>
  <si>
    <t>JAGAT THE BREEZE</t>
  </si>
  <si>
    <t>PT KUS</t>
  </si>
  <si>
    <t>RDM PHINISI</t>
  </si>
  <si>
    <t>ARSENT GRAND WISATA</t>
  </si>
  <si>
    <t>INDONAKANO ASTEMO</t>
  </si>
  <si>
    <t>RDM WIDYA CHANDRA</t>
  </si>
  <si>
    <t>RDM MELODY PIK</t>
  </si>
  <si>
    <t>TBP GEREJA BSD</t>
  </si>
  <si>
    <t>BU SIERVIE</t>
  </si>
  <si>
    <t>QARAH MARRIOT</t>
  </si>
  <si>
    <t>INTERDESIGN SUMARECON. BEKASI</t>
  </si>
  <si>
    <t>JAGAT MOYA</t>
  </si>
  <si>
    <t>TBP ACS</t>
  </si>
  <si>
    <t>IBU SIERVIE</t>
  </si>
  <si>
    <t>KREASINDO GEREJA</t>
  </si>
  <si>
    <t>QARRAH MARRIOT</t>
  </si>
  <si>
    <t>TBP BINUS SERPONG</t>
  </si>
  <si>
    <t>ARTHA SENTRA</t>
  </si>
  <si>
    <t>STOK KATA YANTO NOL</t>
  </si>
  <si>
    <t>VICTORY</t>
  </si>
  <si>
    <t>OASIS</t>
  </si>
  <si>
    <t>PIPA 4</t>
  </si>
  <si>
    <t>INDONAKANO AKS</t>
  </si>
  <si>
    <t>NRC RS HEARTOLOGY</t>
  </si>
  <si>
    <t>NRC HEARTOLOGY</t>
  </si>
  <si>
    <t>NRC SHOPPING ARCADE</t>
  </si>
  <si>
    <t>POTONGAN PIPA 6</t>
  </si>
  <si>
    <t>BU JOICE</t>
  </si>
  <si>
    <t>INDONAKANO LAVA</t>
  </si>
  <si>
    <t>BPK FERDI SUNTER</t>
  </si>
  <si>
    <t>BU LALA KINTAMANI</t>
  </si>
  <si>
    <t>RDM PURI</t>
  </si>
  <si>
    <t>PIPA 3M</t>
  </si>
  <si>
    <t>LEGNO PROVING</t>
  </si>
  <si>
    <t>NRC PMI</t>
  </si>
  <si>
    <t>TAKENAKA HM</t>
  </si>
  <si>
    <t>GALVANIS</t>
  </si>
  <si>
    <t>INTERDESIGN CIBUBUR</t>
  </si>
  <si>
    <t>RDM TAMAN ARIES</t>
  </si>
  <si>
    <t>RDM BUKIT GADING</t>
  </si>
  <si>
    <t>BUAT JADI LEDGER 1.5</t>
  </si>
  <si>
    <t>INTERDESIGN NICE PIK</t>
  </si>
  <si>
    <t>KARMELINDO JENGGALA</t>
  </si>
  <si>
    <t>RDM WORKSHOP</t>
  </si>
  <si>
    <t>POTONG JADI PIPA 1</t>
  </si>
  <si>
    <t>PIPA 2</t>
  </si>
  <si>
    <t>POTONG MENJADI LEDGER 1.8</t>
  </si>
  <si>
    <t>PIPA 1.5</t>
  </si>
  <si>
    <t>POTONGAN PIPA 6 GALVANIS</t>
  </si>
  <si>
    <t>PIPA 1.2</t>
  </si>
  <si>
    <t>POTONGAN PIPA 6 GALV 2.5MM=20</t>
  </si>
  <si>
    <t>JO SHIMIZU - TBP ANNEX</t>
  </si>
  <si>
    <t>POTONGAN PIPA 6 GALV 2.5MM=30</t>
  </si>
  <si>
    <t>POTONGAN PIPA 6 GALV 2.5MM=40</t>
  </si>
  <si>
    <t>PIPA 1</t>
  </si>
  <si>
    <t>PIPE SUPPORT</t>
  </si>
  <si>
    <t>BPK ANDRE RSIA ATAS SAJA</t>
  </si>
  <si>
    <t>BU LALA JL LAKSANA</t>
  </si>
  <si>
    <t>BPK ANDRE KAPUK ATAS SAJA</t>
  </si>
  <si>
    <t>BPK ANDRE KAPUK BAWAH SAJA</t>
  </si>
  <si>
    <t xml:space="preserve">BPK ANDRE RSIA </t>
  </si>
  <si>
    <t>KARMELINDO PIK</t>
  </si>
  <si>
    <t>BU LALA EBONY GOLF2/19</t>
  </si>
  <si>
    <t>BU LALA SIMPRUG 16/81</t>
  </si>
  <si>
    <t>BU MERRY PSB 027</t>
  </si>
  <si>
    <t>KARMELINDO SERPONG</t>
  </si>
  <si>
    <t>BU LALA JL MALUKU</t>
  </si>
  <si>
    <t>BPK ANDRE NIAS</t>
  </si>
  <si>
    <t>SLEEVE COUPLER</t>
  </si>
  <si>
    <t>BEAM CLAMP</t>
  </si>
  <si>
    <t>SWIVEL CLAMP</t>
  </si>
  <si>
    <t>TBP CISSIE</t>
  </si>
  <si>
    <t>TBP SUMBAWA</t>
  </si>
  <si>
    <t>ARTHA SENTRA NUSANTARA</t>
  </si>
  <si>
    <t>TPB JPO BSD</t>
  </si>
  <si>
    <t>Bu ini yg masuk harusnya 114</t>
  </si>
  <si>
    <t>Bu ini harusnya keluar</t>
  </si>
  <si>
    <t>TBP MAGGIORE</t>
  </si>
  <si>
    <t>TBP SSA PLANT</t>
  </si>
  <si>
    <t>Bu ini harusnya yg masuk 202</t>
  </si>
  <si>
    <t>TBP NOVOTEL</t>
  </si>
  <si>
    <t>JAGAT PDAM</t>
  </si>
  <si>
    <t>Bu ini yg masuk harusnya 406</t>
  </si>
  <si>
    <t>TBP MAGELANG</t>
  </si>
  <si>
    <t>INTERDESIGN EDGE</t>
  </si>
  <si>
    <t>TBP HARI HARI</t>
  </si>
  <si>
    <t>Ini harusnya masuk Fixed bu</t>
  </si>
  <si>
    <t>TBP SQ</t>
  </si>
  <si>
    <t>BPK AN</t>
  </si>
  <si>
    <t>TBP CAA BANTEN</t>
  </si>
  <si>
    <t>TBP BAYAN</t>
  </si>
  <si>
    <t>KATANYA HABIS?</t>
  </si>
  <si>
    <t>ANNEX</t>
  </si>
  <si>
    <t>JAGAT DSO</t>
  </si>
  <si>
    <t>KOFUKU JUAL</t>
  </si>
  <si>
    <t>TBP GER</t>
  </si>
  <si>
    <t>TBP PADMA</t>
  </si>
  <si>
    <t>30/10 STOK KATA YANTO 448</t>
  </si>
  <si>
    <t>TBP ONE SATRIO</t>
  </si>
  <si>
    <t>TBP MSHS CIKAL</t>
  </si>
  <si>
    <t>TBP  HARI HARI</t>
  </si>
  <si>
    <t>FIXED CLAMP</t>
  </si>
  <si>
    <t>TPB CISSIE</t>
  </si>
  <si>
    <t>TPB ARTOTEL</t>
  </si>
  <si>
    <t>TANGGA 190</t>
  </si>
  <si>
    <t>INDONAKANO SMIII</t>
  </si>
  <si>
    <t>TBP PURI PIM 2</t>
  </si>
  <si>
    <t>IDEA MANDIRI CIKANDE</t>
  </si>
  <si>
    <t>TBP ADR 3</t>
  </si>
  <si>
    <t>ACSET ELEVEE</t>
  </si>
  <si>
    <t>TBP GRAND WISATA</t>
  </si>
  <si>
    <t>JAGAT IPA 8</t>
  </si>
  <si>
    <t>TBP HOTEL KK SEMARANG</t>
  </si>
  <si>
    <t>TBP SATRIO</t>
  </si>
  <si>
    <t>RDM MEDITERANIA</t>
  </si>
  <si>
    <t>10/9 KATA YANTO SISA NOL</t>
  </si>
  <si>
    <t>HOTEL KOENI KONI</t>
  </si>
  <si>
    <t>BPK RUDY SERPONG</t>
  </si>
  <si>
    <t>24/10 KATA WARDI SISA NOL</t>
  </si>
  <si>
    <t>IDEA MANDIRI KANTOR</t>
  </si>
  <si>
    <t>TBP EKA</t>
  </si>
  <si>
    <t>TANGGA 170</t>
  </si>
  <si>
    <t>BU LALA KEMANG 33</t>
  </si>
  <si>
    <t>TPI WATERTANK</t>
  </si>
  <si>
    <t>BU LALA TAMAN GOLF</t>
  </si>
  <si>
    <t>CATWALK</t>
  </si>
  <si>
    <t xml:space="preserve">RDM PLAZA INDONESIA </t>
  </si>
  <si>
    <t>TBP NHJS</t>
  </si>
  <si>
    <t>UMROTA ELEVEE</t>
  </si>
  <si>
    <t>BU ANAS BAHTERA PIK</t>
  </si>
  <si>
    <t>Bu ini harusnya masuk</t>
  </si>
  <si>
    <t>IDEA MANDIRI JAVA TAIKO</t>
  </si>
  <si>
    <t>TPB URBAN FOREST</t>
  </si>
  <si>
    <t>BU SHEREEN PHINISI PERMAI</t>
  </si>
  <si>
    <t>Bu ini harusnya 33</t>
  </si>
  <si>
    <t>IDEA SENTUL</t>
  </si>
  <si>
    <t>BU LALA GOLDCOAST 2/7</t>
  </si>
  <si>
    <t>TPB MARRIOT</t>
  </si>
  <si>
    <t>Bu ini harusnya 25</t>
  </si>
  <si>
    <t>Bu ini double</t>
  </si>
  <si>
    <t>TBP SSA</t>
  </si>
  <si>
    <t>TBP URBAN FOREST</t>
  </si>
  <si>
    <t>QARAH</t>
  </si>
  <si>
    <t>Bu ini yg keluar harusnya 74</t>
  </si>
  <si>
    <t>RDM PONDOK PINANG</t>
  </si>
  <si>
    <t>BU LALA SENAYAN B23</t>
  </si>
  <si>
    <t>TARSIM UTK DICAT</t>
  </si>
  <si>
    <t>TARSIM SDH DICAT</t>
  </si>
  <si>
    <t>JAGAT WTP</t>
  </si>
  <si>
    <t>Bu data saya baru sampai tgl 21/7/25</t>
  </si>
  <si>
    <t>KAPOLSEK CILEDUG</t>
  </si>
  <si>
    <t>STOK 13/9 KATA YANTO 6</t>
  </si>
  <si>
    <t>BPK FRANCIS CIASEM</t>
  </si>
  <si>
    <t xml:space="preserve">NKE </t>
  </si>
  <si>
    <t>RDM PERMATA HIJAU</t>
  </si>
  <si>
    <t>BU LALA CIASEM</t>
  </si>
  <si>
    <t>TBP CITY WALK</t>
  </si>
  <si>
    <t>BU LILY IMAM BONJOL</t>
  </si>
  <si>
    <t>INTERDESIGN MESJID TENDEAN</t>
  </si>
  <si>
    <t>TBP ASHL</t>
  </si>
  <si>
    <t>UHEAD 85</t>
  </si>
  <si>
    <t>TPB PADMA</t>
  </si>
  <si>
    <t>JACK BASE 85</t>
  </si>
  <si>
    <t>UH 70 PCH</t>
  </si>
  <si>
    <t>BELI BERKAH MAJU</t>
  </si>
  <si>
    <t>JB 70 PCH</t>
  </si>
  <si>
    <t>UHEAD 60 PCH</t>
  </si>
  <si>
    <t>U PENDEK</t>
  </si>
  <si>
    <t>JACKBASE 60 PCH</t>
  </si>
  <si>
    <t>PLAT TIPIS</t>
  </si>
  <si>
    <t>INTERDESIGN SUMARECON</t>
  </si>
  <si>
    <t>UHEAD 55 PCH</t>
  </si>
  <si>
    <t>NRC  JSI</t>
  </si>
  <si>
    <t>JACKBASE 55 PCH</t>
  </si>
  <si>
    <t>UHEAD 40</t>
  </si>
  <si>
    <t>BPK RICKY</t>
  </si>
  <si>
    <t>JACKBASE 40</t>
  </si>
  <si>
    <t>UHEAD JACK 60</t>
  </si>
  <si>
    <t>sebelumnya 3951</t>
  </si>
  <si>
    <t>IBU LALA CIPAKU</t>
  </si>
  <si>
    <t>CONCREATE PERMATA INTAN</t>
  </si>
  <si>
    <t>BU LALA SUWIRYO</t>
  </si>
  <si>
    <t>CONCREATE TAMAN KENCANA</t>
  </si>
  <si>
    <t>BU LALA EBONY GOLF 2/19</t>
  </si>
  <si>
    <t>BPK DADANG KIIC</t>
  </si>
  <si>
    <t>BU LALA KUTA 50</t>
  </si>
  <si>
    <t>BU LALA KENARI HIJAU</t>
  </si>
  <si>
    <t>BU LALA SIMPRUG GOLF 16/81</t>
  </si>
  <si>
    <t>BPK HERMAN KENARI 125+75</t>
  </si>
  <si>
    <t>BPK SOEPOMO EBONY 2/19</t>
  </si>
  <si>
    <t>BPK SUKINTO CITRA GARDEN</t>
  </si>
  <si>
    <t>BPK EDWIN TOMANG</t>
  </si>
  <si>
    <t>TAKENAKA SAMPERNA</t>
  </si>
  <si>
    <t>BU LALA KRISTAL 4</t>
  </si>
  <si>
    <t xml:space="preserve">BU LALA INTERCON U </t>
  </si>
  <si>
    <t>BU LALA DANAU BIRU</t>
  </si>
  <si>
    <t>BPK ANDRE AAIP</t>
  </si>
  <si>
    <t>BU NUNUNG TEBET</t>
  </si>
  <si>
    <t>BPK SUKINTO CITRA</t>
  </si>
  <si>
    <t>BU LALA JL TANJUNG</t>
  </si>
  <si>
    <t>BPK ANDRE AEROPOLIS</t>
  </si>
  <si>
    <t>INDONAKANI ASTEMO</t>
  </si>
  <si>
    <t>KIRIM TARSIM TUKAR JACKBASE</t>
  </si>
  <si>
    <t>TARSIM BELI</t>
  </si>
  <si>
    <t>BU LALA TAMAN GOLF A2/2</t>
  </si>
  <si>
    <t>TUKAR TARSIM DGN JB</t>
  </si>
  <si>
    <t>TARSIM TUKAR JACKBASE</t>
  </si>
  <si>
    <t>BU LALA EBONY 2/10</t>
  </si>
  <si>
    <t>CONCREATE PATAL SENAYAN</t>
  </si>
  <si>
    <t>25/10 KATA YANTO ADA 250</t>
  </si>
  <si>
    <t>BU LALA JL KUTA 50</t>
  </si>
  <si>
    <t>CONCREATE PHINISI</t>
  </si>
  <si>
    <t>BU LALA TEBET</t>
  </si>
  <si>
    <t>CONCREATE TPB</t>
  </si>
  <si>
    <t>JACKBASE 60</t>
  </si>
  <si>
    <t>sebelumnya 4649</t>
  </si>
  <si>
    <t>BU LALA KARAWANG</t>
  </si>
  <si>
    <t>BU LALA LEGOK</t>
  </si>
  <si>
    <t>PLAT PCH</t>
  </si>
  <si>
    <t>INDONAKANO HEINZ</t>
  </si>
  <si>
    <t>BU LALA PSB 027</t>
  </si>
  <si>
    <t>RDM DHARMAWANGSA</t>
  </si>
  <si>
    <t>17/9 KATA YANTO SISA 26</t>
  </si>
  <si>
    <t>TARSIM - TUKAR</t>
  </si>
  <si>
    <t>KATA WARDI NOL</t>
  </si>
  <si>
    <t>TUKAR UHEAD TARSIM</t>
  </si>
  <si>
    <t>BU LALA EBONY 2/19</t>
  </si>
  <si>
    <t>SAMSUL BELI</t>
  </si>
  <si>
    <t>25/10 KATA YANTO ADA 600?</t>
  </si>
  <si>
    <t>KARMELINDO GADING SERPONG</t>
  </si>
  <si>
    <t>TBP CITYWALK</t>
  </si>
  <si>
    <t>IDEA MANDIRI WDI</t>
  </si>
  <si>
    <t>SYAIFUL</t>
  </si>
  <si>
    <t>JOINPIN</t>
  </si>
  <si>
    <t>TBP NOVOTEL BSD</t>
  </si>
  <si>
    <t>IDEA MANDIRI TAMAN TEKNO</t>
  </si>
  <si>
    <t xml:space="preserve">BU LALA MEDITERANIA </t>
  </si>
  <si>
    <t>CONCREATE DCOVE 10</t>
  </si>
  <si>
    <t>CONCREATE SIMPRUG</t>
  </si>
  <si>
    <t>BU LALA MOZART</t>
  </si>
  <si>
    <t>IDEA MANDIRI SENTUL</t>
  </si>
  <si>
    <t>BU LALA EBONY 7/5</t>
  </si>
  <si>
    <t>BPK DADANG KIIC 700 BARANG AFKIRAN</t>
  </si>
  <si>
    <t>NKE ABDULRAHMAN</t>
  </si>
  <si>
    <t>CONCREATE ADITYAWARMAN</t>
  </si>
  <si>
    <t>BU LALA DANAU BIRU ALAM SUTRA</t>
  </si>
  <si>
    <t>BU LALA DHARMAWANGSA</t>
  </si>
  <si>
    <t>BU LALA KEBAGUSAN 48</t>
  </si>
  <si>
    <t>BU LALA KENARI</t>
  </si>
  <si>
    <t>BPK SUKINTO CITRA 1</t>
  </si>
  <si>
    <t>BU LALA SIMPRUG GOLF</t>
  </si>
  <si>
    <t>BPK ANDRE JUAL</t>
  </si>
  <si>
    <t>BPK JOE TEBET</t>
  </si>
  <si>
    <t>ALLURE BUKTI GADING</t>
  </si>
  <si>
    <t>BU LALA INTERCON U6/21</t>
  </si>
  <si>
    <t>BU LALA DUTA PERMAI</t>
  </si>
  <si>
    <t>13/9 KATA YANTO STOK 800 -900</t>
  </si>
  <si>
    <t>IDEA JL LINTANG</t>
  </si>
  <si>
    <t>IDEA MANDIRI WORKSHOP</t>
  </si>
  <si>
    <t>19/8 KATA YANTO SISA 400 BARU</t>
  </si>
  <si>
    <t>BPK ANDREA AEROPOLIS</t>
  </si>
  <si>
    <t>BU LALA PSB 15</t>
  </si>
  <si>
    <t>BPK DAVIN KRISTAL G8</t>
  </si>
  <si>
    <t>BPK BOBBY INTERCON</t>
  </si>
  <si>
    <t>BU LALA BPR</t>
  </si>
  <si>
    <t>JAGAT BREEZE</t>
  </si>
  <si>
    <t>CROSS BRACE 185</t>
  </si>
  <si>
    <t>CROSS BRACE 193</t>
  </si>
  <si>
    <t>sebelumnya 1004</t>
  </si>
  <si>
    <t>Bu ini tidak ada</t>
  </si>
  <si>
    <t>IMP POTONGAN CB 220</t>
  </si>
  <si>
    <t>CONCREATE TAMAN KENCA</t>
  </si>
  <si>
    <t>BU YENTI DIAMOND GOLF 39</t>
  </si>
  <si>
    <t>CEK KATANYA NOL</t>
  </si>
  <si>
    <t>BU LALA INTERCON GB 1</t>
  </si>
  <si>
    <t>TBP TABANAN</t>
  </si>
  <si>
    <t>16 AFKIR</t>
  </si>
  <si>
    <t>28/8 STOK WARDI 59</t>
  </si>
  <si>
    <t>BU LALA KENARI HIJAU 2/20</t>
  </si>
  <si>
    <t>BU LALA INTERCON GB1/12</t>
  </si>
  <si>
    <t>BU LALA SENAYAN C/18</t>
  </si>
  <si>
    <t>CROSS BRACE 205</t>
  </si>
  <si>
    <t>CROSS BRACE 220</t>
  </si>
  <si>
    <t>sebelumnya 6597</t>
  </si>
  <si>
    <t>CONCREATE DCOVE10</t>
  </si>
  <si>
    <t>Bu ini yg masuk harusnya 24</t>
  </si>
  <si>
    <t>Bu ini yg keluar harusny 66</t>
  </si>
  <si>
    <t>IDEA MANDIRI FUTSAL</t>
  </si>
  <si>
    <t>BPK DADANG KIIC SAMBUNGAN</t>
  </si>
  <si>
    <t>Bu ini yg masuk harusnya 12</t>
  </si>
  <si>
    <t>Baru cek sampai sini</t>
  </si>
  <si>
    <t>IMP (MAU POTONG CB 193)</t>
  </si>
  <si>
    <t>SISKA 21/7 =6625.</t>
  </si>
  <si>
    <t>IBU JOICE KINTAMANI</t>
  </si>
  <si>
    <t>28/8 WARDI STOK 303</t>
  </si>
  <si>
    <t>STOK 13/9 KATA YANTO NOL</t>
  </si>
  <si>
    <t>STOK 19/9 BEKAS 330, BARU 258</t>
  </si>
  <si>
    <t>BU LALA JL KUTA NO 50</t>
  </si>
  <si>
    <t>31/10 KATA YANTO SISA 30 AN</t>
  </si>
  <si>
    <t>IMP POTONG JADI CB 193</t>
  </si>
  <si>
    <t>7/12 SISA KATA YANTO 86</t>
  </si>
  <si>
    <t>LEADER FRAME 50</t>
  </si>
  <si>
    <t>LEADER FRAME 90</t>
  </si>
  <si>
    <t>sebelumnya 2297</t>
  </si>
  <si>
    <t>BU LALA TPB</t>
  </si>
  <si>
    <t>IBU LALA EBONY</t>
  </si>
  <si>
    <t>LEADER FRAME 120</t>
  </si>
  <si>
    <t>MAIN FRAME 150</t>
  </si>
  <si>
    <t>MAIN FRAME 170</t>
  </si>
  <si>
    <t xml:space="preserve">SUNPO </t>
  </si>
  <si>
    <t>MAIN FRAME 190</t>
  </si>
  <si>
    <t>sebelumnya 6496</t>
  </si>
  <si>
    <t>TPB SSA PLANT</t>
  </si>
  <si>
    <t>JAGAT SPAM BUARAN</t>
  </si>
  <si>
    <t>JAGAT DS0</t>
  </si>
  <si>
    <t>TPB OPUS</t>
  </si>
  <si>
    <t>YG BAGUS KATA YANTO 125</t>
  </si>
  <si>
    <t>TPB ADR</t>
  </si>
  <si>
    <t>7/12 SISA KATA YANTO 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</si>
</sst>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ffff00"/>
      </patternFill>
    </fill>
    <fill>
      <patternFill patternType="solid">
        <fgColor rgb="FFa9d18e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7">
    <xf xfId="0" numFmtId="0" borderId="0" fontId="0" fillId="0"/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6" applyNumberFormat="1" borderId="1" applyBorder="1" fontId="1" applyFont="1" fillId="0" applyAlignment="1">
      <alignment horizontal="left"/>
    </xf>
    <xf xfId="0" numFmtId="16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2" applyBorder="1" fontId="1" applyFont="1" fillId="2" applyFill="1" applyAlignment="1">
      <alignment horizontal="right"/>
    </xf>
    <xf xfId="0" numFmtId="16" applyNumberFormat="1" borderId="3" applyBorder="1" fontId="2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3" applyNumberFormat="1" borderId="3" applyBorder="1" fontId="1" applyFont="1" fillId="0" applyAlignment="1">
      <alignment horizontal="right"/>
    </xf>
    <xf xfId="0" numFmtId="3" applyNumberFormat="1" borderId="3" applyBorder="1" fontId="1" applyFont="1" fillId="0" applyAlignment="1">
      <alignment horizontal="left"/>
    </xf>
    <xf xfId="0" numFmtId="16" applyNumberFormat="1" borderId="3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3" applyNumberFormat="1" borderId="3" applyBorder="1" fontId="3" applyFont="1" fillId="0" applyAlignment="1">
      <alignment horizontal="right"/>
    </xf>
    <xf xfId="0" numFmtId="0" borderId="4" applyBorder="1" fontId="2" applyFont="1" fillId="0" applyAlignment="1">
      <alignment horizontal="left"/>
    </xf>
    <xf xfId="0" numFmtId="3" applyNumberFormat="1" borderId="4" applyBorder="1" fontId="1" applyFont="1" fillId="0" applyAlignment="1">
      <alignment horizontal="right"/>
    </xf>
    <xf xfId="0" numFmtId="0" borderId="4" applyBorder="1" fontId="1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2" applyBorder="1" fontId="2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17" applyNumberFormat="1" borderId="1" applyBorder="1" fontId="1" applyFont="1" fillId="0" applyAlignment="1">
      <alignment horizontal="left"/>
    </xf>
    <xf xfId="0" numFmtId="0" borderId="2" applyBorder="1" fontId="1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right"/>
    </xf>
    <xf xfId="0" numFmtId="16" applyNumberFormat="1" borderId="2" applyBorder="1" fontId="1" applyFont="1" fillId="3" applyFill="1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0" borderId="2" applyBorder="1" fontId="2" applyFont="1" fillId="3" applyFill="1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16" applyNumberFormat="1" borderId="2" applyBorder="1" fontId="2" applyFont="1" fillId="3" applyFill="1" applyAlignment="1">
      <alignment horizontal="left"/>
    </xf>
    <xf xfId="0" numFmtId="16" applyNumberFormat="1" borderId="2" applyBorder="1" fontId="5" applyFont="1" fillId="3" applyFill="1" applyAlignment="1">
      <alignment horizontal="left"/>
    </xf>
    <xf xfId="0" numFmtId="0" borderId="2" applyBorder="1" fontId="5" applyFont="1" fillId="3" applyFill="1" applyAlignment="1">
      <alignment horizontal="left"/>
    </xf>
    <xf xfId="0" numFmtId="3" applyNumberFormat="1" borderId="2" applyBorder="1" fontId="5" applyFont="1" fillId="3" applyFill="1" applyAlignment="1">
      <alignment horizontal="right"/>
    </xf>
    <xf xfId="0" numFmtId="3" applyNumberFormat="1" borderId="2" applyBorder="1" fontId="5" applyFont="1" fillId="3" applyFill="1" applyAlignment="1">
      <alignment horizontal="left"/>
    </xf>
    <xf xfId="0" numFmtId="3" applyNumberFormat="1" borderId="2" applyBorder="1" fontId="1" applyFont="1" fillId="4" applyFill="1" applyAlignment="1">
      <alignment horizontal="right"/>
    </xf>
    <xf xfId="0" numFmtId="1" applyNumberFormat="1" borderId="1" applyBorder="1" fontId="1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worksheets/sheet35.xml" Type="http://schemas.openxmlformats.org/officeDocument/2006/relationships/worksheet" Id="rId35"/><Relationship Target="worksheets/sheet36.xml" Type="http://schemas.openxmlformats.org/officeDocument/2006/relationships/worksheet" Id="rId36"/><Relationship Target="worksheets/sheet37.xml" Type="http://schemas.openxmlformats.org/officeDocument/2006/relationships/worksheet" Id="rId37"/><Relationship Target="worksheets/sheet38.xml" Type="http://schemas.openxmlformats.org/officeDocument/2006/relationships/worksheet" Id="rId38"/><Relationship Target="worksheets/sheet39.xml" Type="http://schemas.openxmlformats.org/officeDocument/2006/relationships/worksheet" Id="rId39"/><Relationship Target="worksheets/sheet40.xml" Type="http://schemas.openxmlformats.org/officeDocument/2006/relationships/worksheet" Id="rId40"/><Relationship Target="worksheets/sheet41.xml" Type="http://schemas.openxmlformats.org/officeDocument/2006/relationships/worksheet" Id="rId41"/><Relationship Target="worksheets/sheet42.xml" Type="http://schemas.openxmlformats.org/officeDocument/2006/relationships/worksheet" Id="rId42"/><Relationship Target="worksheets/sheet43.xml" Type="http://schemas.openxmlformats.org/officeDocument/2006/relationships/worksheet" Id="rId43"/><Relationship Target="worksheets/sheet44.xml" Type="http://schemas.openxmlformats.org/officeDocument/2006/relationships/worksheet" Id="rId44"/><Relationship Target="worksheets/sheet45.xml" Type="http://schemas.openxmlformats.org/officeDocument/2006/relationships/worksheet" Id="rId45"/><Relationship Target="worksheets/sheet46.xml" Type="http://schemas.openxmlformats.org/officeDocument/2006/relationships/worksheet" Id="rId46"/><Relationship Target="worksheets/sheet47.xml" Type="http://schemas.openxmlformats.org/officeDocument/2006/relationships/worksheet" Id="rId47"/><Relationship Target="worksheets/sheet48.xml" Type="http://schemas.openxmlformats.org/officeDocument/2006/relationships/worksheet" Id="rId48"/><Relationship Target="worksheets/sheet49.xml" Type="http://schemas.openxmlformats.org/officeDocument/2006/relationships/worksheet" Id="rId49"/><Relationship Target="worksheets/sheet50.xml" Type="http://schemas.openxmlformats.org/officeDocument/2006/relationships/worksheet" Id="rId50"/><Relationship Target="worksheets/sheet51.xml" Type="http://schemas.openxmlformats.org/officeDocument/2006/relationships/worksheet" Id="rId51"/><Relationship Target="worksheets/sheet52.xml" Type="http://schemas.openxmlformats.org/officeDocument/2006/relationships/worksheet" Id="rId52"/><Relationship Target="worksheets/sheet53.xml" Type="http://schemas.openxmlformats.org/officeDocument/2006/relationships/worksheet" Id="rId53"/><Relationship Target="worksheets/sheet54.xml" Type="http://schemas.openxmlformats.org/officeDocument/2006/relationships/worksheet" Id="rId54"/><Relationship Target="worksheets/sheet55.xml" Type="http://schemas.openxmlformats.org/officeDocument/2006/relationships/worksheet" Id="rId55"/><Relationship Target="worksheets/sheet56.xml" Type="http://schemas.openxmlformats.org/officeDocument/2006/relationships/worksheet" Id="rId56"/><Relationship Target="worksheets/sheet57.xml" Type="http://schemas.openxmlformats.org/officeDocument/2006/relationships/worksheet" Id="rId57"/><Relationship Target="worksheets/sheet58.xml" Type="http://schemas.openxmlformats.org/officeDocument/2006/relationships/worksheet" Id="rId58"/><Relationship Target="worksheets/sheet59.xml" Type="http://schemas.openxmlformats.org/officeDocument/2006/relationships/worksheet" Id="rId59"/><Relationship Target="worksheets/sheet60.xml" Type="http://schemas.openxmlformats.org/officeDocument/2006/relationships/worksheet" Id="rId60"/><Relationship Target="worksheets/sheet61.xml" Type="http://schemas.openxmlformats.org/officeDocument/2006/relationships/worksheet" Id="rId61"/><Relationship Target="worksheets/sheet62.xml" Type="http://schemas.openxmlformats.org/officeDocument/2006/relationships/worksheet" Id="rId62"/><Relationship Target="worksheets/sheet63.xml" Type="http://schemas.openxmlformats.org/officeDocument/2006/relationships/worksheet" Id="rId63"/><Relationship Target="worksheets/sheet64.xml" Type="http://schemas.openxmlformats.org/officeDocument/2006/relationships/worksheet" Id="rId64"/><Relationship Target="worksheets/sheet65.xml" Type="http://schemas.openxmlformats.org/officeDocument/2006/relationships/worksheet" Id="rId65"/><Relationship Target="worksheets/sheet66.xml" Type="http://schemas.openxmlformats.org/officeDocument/2006/relationships/worksheet" Id="rId66"/><Relationship Target="worksheets/sheet67.xml" Type="http://schemas.openxmlformats.org/officeDocument/2006/relationships/worksheet" Id="rId67"/><Relationship Target="worksheets/sheet68.xml" Type="http://schemas.openxmlformats.org/officeDocument/2006/relationships/worksheet" Id="rId68"/><Relationship Target="worksheets/sheet69.xml" Type="http://schemas.openxmlformats.org/officeDocument/2006/relationships/worksheet" Id="rId69"/><Relationship Target="worksheets/sheet70.xml" Type="http://schemas.openxmlformats.org/officeDocument/2006/relationships/worksheet" Id="rId70"/><Relationship Target="worksheets/sheet71.xml" Type="http://schemas.openxmlformats.org/officeDocument/2006/relationships/worksheet" Id="rId71"/><Relationship Target="worksheets/sheet72.xml" Type="http://schemas.openxmlformats.org/officeDocument/2006/relationships/worksheet" Id="rId72"/><Relationship Target="worksheets/sheet73.xml" Type="http://schemas.openxmlformats.org/officeDocument/2006/relationships/worksheet" Id="rId73"/><Relationship Target="worksheets/sheet74.xml" Type="http://schemas.openxmlformats.org/officeDocument/2006/relationships/worksheet" Id="rId74"/><Relationship Target="worksheets/sheet75.xml" Type="http://schemas.openxmlformats.org/officeDocument/2006/relationships/worksheet" Id="rId75"/><Relationship Target="worksheets/sheet76.xml" Type="http://schemas.openxmlformats.org/officeDocument/2006/relationships/worksheet" Id="rId76"/><Relationship Target="worksheets/sheet77.xml" Type="http://schemas.openxmlformats.org/officeDocument/2006/relationships/worksheet" Id="rId77"/><Relationship Target="worksheets/sheet78.xml" Type="http://schemas.openxmlformats.org/officeDocument/2006/relationships/worksheet" Id="rId78"/><Relationship Target="worksheets/sheet79.xml" Type="http://schemas.openxmlformats.org/officeDocument/2006/relationships/worksheet" Id="rId79"/><Relationship Target="worksheets/sheet80.xml" Type="http://schemas.openxmlformats.org/officeDocument/2006/relationships/worksheet" Id="rId80"/><Relationship Target="worksheets/sheet81.xml" Type="http://schemas.openxmlformats.org/officeDocument/2006/relationships/worksheet" Id="rId81"/><Relationship Target="worksheets/sheet82.xml" Type="http://schemas.openxmlformats.org/officeDocument/2006/relationships/worksheet" Id="rId82"/><Relationship Target="worksheets/sheet83.xml" Type="http://schemas.openxmlformats.org/officeDocument/2006/relationships/worksheet" Id="rId83"/><Relationship Target="worksheets/sheet84.xml" Type="http://schemas.openxmlformats.org/officeDocument/2006/relationships/worksheet" Id="rId84"/><Relationship Target="worksheets/sheet85.xml" Type="http://schemas.openxmlformats.org/officeDocument/2006/relationships/worksheet" Id="rId85"/><Relationship Target="worksheets/sheet86.xml" Type="http://schemas.openxmlformats.org/officeDocument/2006/relationships/worksheet" Id="rId86"/><Relationship Target="worksheets/sheet87.xml" Type="http://schemas.openxmlformats.org/officeDocument/2006/relationships/worksheet" Id="rId87"/><Relationship Target="worksheets/sheet88.xml" Type="http://schemas.openxmlformats.org/officeDocument/2006/relationships/worksheet" Id="rId88"/><Relationship Target="worksheets/sheet89.xml" Type="http://schemas.openxmlformats.org/officeDocument/2006/relationships/worksheet" Id="rId89"/><Relationship Target="worksheets/sheet90.xml" Type="http://schemas.openxmlformats.org/officeDocument/2006/relationships/worksheet" Id="rId90"/><Relationship Target="worksheets/sheet91.xml" Type="http://schemas.openxmlformats.org/officeDocument/2006/relationships/worksheet" Id="rId91"/><Relationship Target="worksheets/sheet92.xml" Type="http://schemas.openxmlformats.org/officeDocument/2006/relationships/worksheet" Id="rId92"/><Relationship Target="worksheets/sheet93.xml" Type="http://schemas.openxmlformats.org/officeDocument/2006/relationships/worksheet" Id="rId93"/><Relationship Target="worksheets/sheet94.xml" Type="http://schemas.openxmlformats.org/officeDocument/2006/relationships/worksheet" Id="rId94"/><Relationship Target="worksheets/sheet95.xml" Type="http://schemas.openxmlformats.org/officeDocument/2006/relationships/worksheet" Id="rId95"/><Relationship Target="worksheets/sheet96.xml" Type="http://schemas.openxmlformats.org/officeDocument/2006/relationships/worksheet" Id="rId96"/><Relationship Target="worksheets/sheet97.xml" Type="http://schemas.openxmlformats.org/officeDocument/2006/relationships/worksheet" Id="rId97"/><Relationship Target="worksheets/sheet98.xml" Type="http://schemas.openxmlformats.org/officeDocument/2006/relationships/worksheet" Id="rId98"/><Relationship Target="worksheets/sheet99.xml" Type="http://schemas.openxmlformats.org/officeDocument/2006/relationships/worksheet" Id="rId99"/><Relationship Target="worksheets/sheet100.xml" Type="http://schemas.openxmlformats.org/officeDocument/2006/relationships/worksheet" Id="rId100"/><Relationship Target="worksheets/sheet101.xml" Type="http://schemas.openxmlformats.org/officeDocument/2006/relationships/worksheet" Id="rId101"/><Relationship Target="worksheets/sheet102.xml" Type="http://schemas.openxmlformats.org/officeDocument/2006/relationships/worksheet" Id="rId102"/><Relationship Target="worksheets/sheet103.xml" Type="http://schemas.openxmlformats.org/officeDocument/2006/relationships/worksheet" Id="rId103"/><Relationship Target="worksheets/sheet104.xml" Type="http://schemas.openxmlformats.org/officeDocument/2006/relationships/worksheet" Id="rId104"/><Relationship Target="worksheets/sheet105.xml" Type="http://schemas.openxmlformats.org/officeDocument/2006/relationships/worksheet" Id="rId105"/><Relationship Target="worksheets/sheet106.xml" Type="http://schemas.openxmlformats.org/officeDocument/2006/relationships/worksheet" Id="rId106"/><Relationship Target="worksheets/sheet107.xml" Type="http://schemas.openxmlformats.org/officeDocument/2006/relationships/worksheet" Id="rId107"/><Relationship Target="worksheets/sheet108.xml" Type="http://schemas.openxmlformats.org/officeDocument/2006/relationships/worksheet" Id="rId108"/><Relationship Target="worksheets/sheet109.xml" Type="http://schemas.openxmlformats.org/officeDocument/2006/relationships/worksheet" Id="rId109"/><Relationship Target="worksheets/sheet110.xml" Type="http://schemas.openxmlformats.org/officeDocument/2006/relationships/worksheet" Id="rId110"/><Relationship Target="worksheets/sheet111.xml" Type="http://schemas.openxmlformats.org/officeDocument/2006/relationships/worksheet" Id="rId111"/><Relationship Target="worksheets/sheet112.xml" Type="http://schemas.openxmlformats.org/officeDocument/2006/relationships/worksheet" Id="rId112"/><Relationship Target="worksheets/sheet113.xml" Type="http://schemas.openxmlformats.org/officeDocument/2006/relationships/worksheet" Id="rId113"/><Relationship Target="worksheets/sheet114.xml" Type="http://schemas.openxmlformats.org/officeDocument/2006/relationships/worksheet" Id="rId114"/><Relationship Target="worksheets/sheet115.xml" Type="http://schemas.openxmlformats.org/officeDocument/2006/relationships/worksheet" Id="rId115"/><Relationship Target="worksheets/sheet116.xml" Type="http://schemas.openxmlformats.org/officeDocument/2006/relationships/worksheet" Id="rId116"/><Relationship Target="worksheets/sheet117.xml" Type="http://schemas.openxmlformats.org/officeDocument/2006/relationships/worksheet" Id="rId117"/><Relationship Target="worksheets/sheet118.xml" Type="http://schemas.openxmlformats.org/officeDocument/2006/relationships/worksheet" Id="rId118"/><Relationship Target="worksheets/sheet119.xml" Type="http://schemas.openxmlformats.org/officeDocument/2006/relationships/worksheet" Id="rId119"/><Relationship Target="worksheets/sheet120.xml" Type="http://schemas.openxmlformats.org/officeDocument/2006/relationships/worksheet" Id="rId120"/><Relationship Target="worksheets/sheet121.xml" Type="http://schemas.openxmlformats.org/officeDocument/2006/relationships/worksheet" Id="rId121"/><Relationship Target="worksheets/sheet122.xml" Type="http://schemas.openxmlformats.org/officeDocument/2006/relationships/worksheet" Id="rId122"/><Relationship Target="worksheets/sheet123.xml" Type="http://schemas.openxmlformats.org/officeDocument/2006/relationships/worksheet" Id="rId123"/><Relationship Target="worksheets/sheet124.xml" Type="http://schemas.openxmlformats.org/officeDocument/2006/relationships/worksheet" Id="rId124"/><Relationship Target="worksheets/sheet125.xml" Type="http://schemas.openxmlformats.org/officeDocument/2006/relationships/worksheet" Id="rId125"/><Relationship Target="worksheets/sheet126.xml" Type="http://schemas.openxmlformats.org/officeDocument/2006/relationships/worksheet" Id="rId126"/><Relationship Target="worksheets/sheet127.xml" Type="http://schemas.openxmlformats.org/officeDocument/2006/relationships/worksheet" Id="rId127"/><Relationship Target="worksheets/sheet128.xml" Type="http://schemas.openxmlformats.org/officeDocument/2006/relationships/worksheet" Id="rId128"/><Relationship Target="worksheets/sheet129.xml" Type="http://schemas.openxmlformats.org/officeDocument/2006/relationships/worksheet" Id="rId129"/><Relationship Target="worksheets/sheet130.xml" Type="http://schemas.openxmlformats.org/officeDocument/2006/relationships/worksheet" Id="rId130"/><Relationship Target="worksheets/sheet131.xml" Type="http://schemas.openxmlformats.org/officeDocument/2006/relationships/worksheet" Id="rId131"/><Relationship Target="worksheets/sheet132.xml" Type="http://schemas.openxmlformats.org/officeDocument/2006/relationships/worksheet" Id="rId132"/><Relationship Target="worksheets/sheet133.xml" Type="http://schemas.openxmlformats.org/officeDocument/2006/relationships/worksheet" Id="rId133"/><Relationship Target="worksheets/sheet134.xml" Type="http://schemas.openxmlformats.org/officeDocument/2006/relationships/worksheet" Id="rId134"/><Relationship Target="worksheets/sheet135.xml" Type="http://schemas.openxmlformats.org/officeDocument/2006/relationships/worksheet" Id="rId135"/><Relationship Target="worksheets/sheet136.xml" Type="http://schemas.openxmlformats.org/officeDocument/2006/relationships/worksheet" Id="rId136"/><Relationship Target="worksheets/sheet137.xml" Type="http://schemas.openxmlformats.org/officeDocument/2006/relationships/worksheet" Id="rId137"/><Relationship Target="worksheets/sheet138.xml" Type="http://schemas.openxmlformats.org/officeDocument/2006/relationships/worksheet" Id="rId138"/><Relationship Target="worksheets/sheet139.xml" Type="http://schemas.openxmlformats.org/officeDocument/2006/relationships/worksheet" Id="rId139"/><Relationship Target="worksheets/sheet140.xml" Type="http://schemas.openxmlformats.org/officeDocument/2006/relationships/worksheet" Id="rId140"/><Relationship Target="worksheets/sheet141.xml" Type="http://schemas.openxmlformats.org/officeDocument/2006/relationships/worksheet" Id="rId141"/><Relationship Target="worksheets/sheet142.xml" Type="http://schemas.openxmlformats.org/officeDocument/2006/relationships/worksheet" Id="rId142"/><Relationship Target="worksheets/sheet143.xml" Type="http://schemas.openxmlformats.org/officeDocument/2006/relationships/worksheet" Id="rId143"/><Relationship Target="worksheets/sheet144.xml" Type="http://schemas.openxmlformats.org/officeDocument/2006/relationships/worksheet" Id="rId144"/><Relationship Target="worksheets/sheet145.xml" Type="http://schemas.openxmlformats.org/officeDocument/2006/relationships/worksheet" Id="rId145"/><Relationship Target="worksheets/sheet146.xml" Type="http://schemas.openxmlformats.org/officeDocument/2006/relationships/worksheet" Id="rId146"/><Relationship Target="worksheets/sheet147.xml" Type="http://schemas.openxmlformats.org/officeDocument/2006/relationships/worksheet" Id="rId147"/><Relationship Target="worksheets/sheet148.xml" Type="http://schemas.openxmlformats.org/officeDocument/2006/relationships/worksheet" Id="rId148"/><Relationship Target="sharedStrings.xml" Type="http://schemas.openxmlformats.org/officeDocument/2006/relationships/sharedStrings" Id="rId149"/><Relationship Target="styles.xml" Type="http://schemas.openxmlformats.org/officeDocument/2006/relationships/styles" Id="rId150"/><Relationship Target="theme/theme1.xml" Type="http://schemas.openxmlformats.org/officeDocument/2006/relationships/theme" Id="rId15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09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9.71928571428571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  <col min="6" max="6" style="13" width="12.43357142857143" customWidth="1" bestFit="1"/>
  </cols>
  <sheetData>
    <row x14ac:dyDescent="0.25" r="1" customHeight="1" ht="17.25">
      <c r="A1" s="1" t="s">
        <v>614</v>
      </c>
      <c r="B1" s="2"/>
      <c r="C1" s="4"/>
      <c r="D1" s="4"/>
      <c r="E1" s="3"/>
      <c r="F1" s="4"/>
    </row>
    <row x14ac:dyDescent="0.25" r="2" customHeight="1" ht="17.25">
      <c r="A2" s="1"/>
      <c r="B2" s="2"/>
      <c r="C2" s="4"/>
      <c r="D2" s="4"/>
      <c r="E2" s="3"/>
      <c r="F2" s="4"/>
    </row>
    <row x14ac:dyDescent="0.25" r="3" customHeight="1" ht="17.25">
      <c r="A3" s="7">
        <v>45658</v>
      </c>
      <c r="B3" s="2" t="s">
        <v>147</v>
      </c>
      <c r="C3" s="4"/>
      <c r="D3" s="4"/>
      <c r="E3" s="14">
        <v>6296</v>
      </c>
      <c r="F3" s="4" t="s">
        <v>615</v>
      </c>
    </row>
    <row x14ac:dyDescent="0.25" r="4" customHeight="1" ht="17.25">
      <c r="A4" s="7">
        <v>45659</v>
      </c>
      <c r="B4" s="2" t="s">
        <v>131</v>
      </c>
      <c r="C4" s="6">
        <v>85</v>
      </c>
      <c r="D4" s="4"/>
      <c r="E4" s="6">
        <f>E3+C4-D4</f>
      </c>
      <c r="F4" s="4"/>
    </row>
    <row x14ac:dyDescent="0.25" r="5" customHeight="1" ht="17.25">
      <c r="A5" s="7">
        <v>45659</v>
      </c>
      <c r="B5" s="2" t="s">
        <v>35</v>
      </c>
      <c r="C5" s="6">
        <v>85</v>
      </c>
      <c r="D5" s="4"/>
      <c r="E5" s="6">
        <f>E4+C5-D5</f>
      </c>
      <c r="F5" s="4"/>
    </row>
    <row x14ac:dyDescent="0.25" r="6" customHeight="1" ht="17.25">
      <c r="A6" s="8">
        <v>45659</v>
      </c>
      <c r="B6" s="9" t="s">
        <v>375</v>
      </c>
      <c r="C6" s="6">
        <v>13</v>
      </c>
      <c r="D6" s="4"/>
      <c r="E6" s="6">
        <f>E5+C6-D6</f>
      </c>
      <c r="F6" s="4"/>
    </row>
    <row x14ac:dyDescent="0.25" r="7" customHeight="1" ht="17.25">
      <c r="A7" s="7">
        <v>45659</v>
      </c>
      <c r="B7" s="2" t="s">
        <v>269</v>
      </c>
      <c r="C7" s="6">
        <v>64</v>
      </c>
      <c r="D7" s="4"/>
      <c r="E7" s="6">
        <f>E6+C7-D7</f>
      </c>
      <c r="F7" s="4"/>
    </row>
    <row x14ac:dyDescent="0.25" r="8" customHeight="1" ht="17.25">
      <c r="A8" s="8">
        <v>45660</v>
      </c>
      <c r="B8" s="9" t="s">
        <v>483</v>
      </c>
      <c r="C8" s="4"/>
      <c r="D8" s="6">
        <v>80</v>
      </c>
      <c r="E8" s="6">
        <f>E7+C8-D8</f>
      </c>
      <c r="F8" s="4"/>
    </row>
    <row x14ac:dyDescent="0.25" r="9" customHeight="1" ht="17.25">
      <c r="A9" s="8">
        <v>45660</v>
      </c>
      <c r="B9" s="9" t="s">
        <v>375</v>
      </c>
      <c r="C9" s="6">
        <v>26</v>
      </c>
      <c r="D9" s="4"/>
      <c r="E9" s="6">
        <f>E8+C9-D9</f>
      </c>
      <c r="F9" s="4"/>
    </row>
    <row x14ac:dyDescent="0.25" r="10" customHeight="1" ht="17.25">
      <c r="A10" s="7">
        <v>45660</v>
      </c>
      <c r="B10" s="9" t="s">
        <v>269</v>
      </c>
      <c r="C10" s="6">
        <v>68</v>
      </c>
      <c r="D10" s="4"/>
      <c r="E10" s="6">
        <f>E9+C10-D10</f>
      </c>
      <c r="F10" s="4"/>
    </row>
    <row x14ac:dyDescent="0.25" r="11" customHeight="1" ht="17.25">
      <c r="A11" s="7">
        <v>45660</v>
      </c>
      <c r="B11" s="9" t="s">
        <v>410</v>
      </c>
      <c r="C11" s="6">
        <v>18</v>
      </c>
      <c r="D11" s="4"/>
      <c r="E11" s="6">
        <f>E10+C11-D11</f>
      </c>
      <c r="F11" s="4"/>
    </row>
    <row x14ac:dyDescent="0.25" r="12" customHeight="1" ht="17.25">
      <c r="A12" s="7">
        <v>45661</v>
      </c>
      <c r="B12" s="9" t="s">
        <v>484</v>
      </c>
      <c r="C12" s="4"/>
      <c r="D12" s="6">
        <v>300</v>
      </c>
      <c r="E12" s="6">
        <f>E11+C12-D12</f>
      </c>
      <c r="F12" s="4"/>
    </row>
    <row x14ac:dyDescent="0.25" r="13" customHeight="1" ht="17.25">
      <c r="A13" s="7">
        <v>45661</v>
      </c>
      <c r="B13" s="9" t="s">
        <v>257</v>
      </c>
      <c r="C13" s="4"/>
      <c r="D13" s="6">
        <v>85</v>
      </c>
      <c r="E13" s="6">
        <f>E12+C13-D13</f>
      </c>
      <c r="F13" s="4"/>
    </row>
    <row x14ac:dyDescent="0.25" r="14" customHeight="1" ht="17.25">
      <c r="A14" s="8">
        <v>45661</v>
      </c>
      <c r="B14" s="9" t="s">
        <v>127</v>
      </c>
      <c r="C14" s="6">
        <v>21</v>
      </c>
      <c r="D14" s="4"/>
      <c r="E14" s="6">
        <f>E13+C14-D14</f>
      </c>
      <c r="F14" s="4"/>
    </row>
    <row x14ac:dyDescent="0.25" r="15" customHeight="1" ht="17.25">
      <c r="A15" s="7">
        <v>45661</v>
      </c>
      <c r="B15" s="9" t="s">
        <v>35</v>
      </c>
      <c r="C15" s="6">
        <v>282</v>
      </c>
      <c r="D15" s="4"/>
      <c r="E15" s="6">
        <f>E14+C15-D15</f>
      </c>
      <c r="F15" s="4"/>
    </row>
    <row x14ac:dyDescent="0.25" r="16" customHeight="1" ht="17.25">
      <c r="A16" s="7">
        <v>45661</v>
      </c>
      <c r="B16" s="9" t="s">
        <v>189</v>
      </c>
      <c r="C16" s="6">
        <v>100</v>
      </c>
      <c r="D16" s="4"/>
      <c r="E16" s="6">
        <f>E15+C16-D16</f>
      </c>
      <c r="F16" s="4"/>
    </row>
    <row x14ac:dyDescent="0.25" r="17" customHeight="1" ht="17.25">
      <c r="A17" s="7">
        <v>45661</v>
      </c>
      <c r="B17" s="9" t="s">
        <v>375</v>
      </c>
      <c r="C17" s="6">
        <v>40</v>
      </c>
      <c r="D17" s="4"/>
      <c r="E17" s="6">
        <f>E16+C17-D17</f>
      </c>
      <c r="F17" s="4"/>
    </row>
    <row x14ac:dyDescent="0.25" r="18" customHeight="1" ht="17.25">
      <c r="A18" s="7">
        <v>45663</v>
      </c>
      <c r="B18" s="9" t="s">
        <v>255</v>
      </c>
      <c r="C18" s="6">
        <v>28</v>
      </c>
      <c r="D18" s="4"/>
      <c r="E18" s="6">
        <f>E17+C18-D18</f>
      </c>
      <c r="F18" s="4"/>
    </row>
    <row x14ac:dyDescent="0.25" r="19" customHeight="1" ht="17.25">
      <c r="A19" s="7">
        <v>45663</v>
      </c>
      <c r="B19" s="9" t="s">
        <v>35</v>
      </c>
      <c r="C19" s="6">
        <v>235</v>
      </c>
      <c r="D19" s="4"/>
      <c r="E19" s="6">
        <f>E18+C19-D19</f>
      </c>
      <c r="F19" s="4"/>
    </row>
    <row x14ac:dyDescent="0.25" r="20" customHeight="1" ht="17.25">
      <c r="A20" s="8">
        <v>45663</v>
      </c>
      <c r="B20" s="9" t="s">
        <v>269</v>
      </c>
      <c r="C20" s="6">
        <v>15</v>
      </c>
      <c r="D20" s="4"/>
      <c r="E20" s="6">
        <f>E19+C20-D20</f>
      </c>
      <c r="F20" s="4"/>
    </row>
    <row x14ac:dyDescent="0.25" r="21" customHeight="1" ht="17.25">
      <c r="A21" s="7">
        <v>45663</v>
      </c>
      <c r="B21" s="9" t="s">
        <v>375</v>
      </c>
      <c r="C21" s="6">
        <v>42</v>
      </c>
      <c r="D21" s="4"/>
      <c r="E21" s="6">
        <f>E20+C21-D21</f>
      </c>
      <c r="F21" s="4"/>
    </row>
    <row x14ac:dyDescent="0.25" r="22" customHeight="1" ht="17.25">
      <c r="A22" s="7">
        <v>45663</v>
      </c>
      <c r="B22" s="9" t="s">
        <v>412</v>
      </c>
      <c r="C22" s="6">
        <v>71</v>
      </c>
      <c r="D22" s="4"/>
      <c r="E22" s="6">
        <f>E21+C22-D22</f>
      </c>
      <c r="F22" s="4"/>
    </row>
    <row x14ac:dyDescent="0.25" r="23" customHeight="1" ht="17.25">
      <c r="A23" s="7">
        <v>45663</v>
      </c>
      <c r="B23" s="9" t="s">
        <v>189</v>
      </c>
      <c r="C23" s="6">
        <v>24</v>
      </c>
      <c r="D23" s="4"/>
      <c r="E23" s="6">
        <f>E22+C23-D23</f>
      </c>
      <c r="F23" s="4"/>
    </row>
    <row x14ac:dyDescent="0.25" r="24" customHeight="1" ht="17.25">
      <c r="A24" s="7">
        <v>45664</v>
      </c>
      <c r="B24" s="9" t="s">
        <v>257</v>
      </c>
      <c r="C24" s="4"/>
      <c r="D24" s="6">
        <v>188</v>
      </c>
      <c r="E24" s="6">
        <f>E23+C24-D24</f>
      </c>
      <c r="F24" s="4"/>
    </row>
    <row x14ac:dyDescent="0.25" r="25" customHeight="1" ht="17.25">
      <c r="A25" s="7">
        <v>45664</v>
      </c>
      <c r="B25" s="9" t="s">
        <v>269</v>
      </c>
      <c r="C25" s="6">
        <v>25</v>
      </c>
      <c r="D25" s="4"/>
      <c r="E25" s="6">
        <f>E24+C25-D25</f>
      </c>
      <c r="F25" s="4"/>
    </row>
    <row x14ac:dyDescent="0.25" r="26" customHeight="1" ht="17.25">
      <c r="A26" s="8">
        <v>45664</v>
      </c>
      <c r="B26" s="9" t="s">
        <v>131</v>
      </c>
      <c r="C26" s="6">
        <v>25</v>
      </c>
      <c r="D26" s="4"/>
      <c r="E26" s="6">
        <f>E25+C26-D26</f>
      </c>
      <c r="F26" s="4"/>
    </row>
    <row x14ac:dyDescent="0.25" r="27" customHeight="1" ht="17.25">
      <c r="A27" s="7">
        <v>45664</v>
      </c>
      <c r="B27" s="9" t="s">
        <v>376</v>
      </c>
      <c r="C27" s="6">
        <v>56</v>
      </c>
      <c r="D27" s="4"/>
      <c r="E27" s="6">
        <f>E26+C27-D27</f>
      </c>
      <c r="F27" s="4"/>
    </row>
    <row x14ac:dyDescent="0.25" r="28" customHeight="1" ht="17.25">
      <c r="A28" s="7">
        <v>45664</v>
      </c>
      <c r="B28" s="9" t="s">
        <v>35</v>
      </c>
      <c r="C28" s="6">
        <v>134</v>
      </c>
      <c r="D28" s="4"/>
      <c r="E28" s="6">
        <f>E27+C28-D28</f>
      </c>
      <c r="F28" s="4"/>
    </row>
    <row x14ac:dyDescent="0.25" r="29" customHeight="1" ht="17.25">
      <c r="A29" s="8">
        <v>45664</v>
      </c>
      <c r="B29" s="9" t="s">
        <v>127</v>
      </c>
      <c r="C29" s="6">
        <v>30</v>
      </c>
      <c r="D29" s="4"/>
      <c r="E29" s="6">
        <f>E28+C29-D29</f>
      </c>
      <c r="F29" s="4"/>
    </row>
    <row x14ac:dyDescent="0.25" r="30" customHeight="1" ht="17.25">
      <c r="A30" s="7">
        <v>45664</v>
      </c>
      <c r="B30" s="9" t="s">
        <v>31</v>
      </c>
      <c r="C30" s="6">
        <v>16</v>
      </c>
      <c r="D30" s="4"/>
      <c r="E30" s="6">
        <f>E29+C30-D30</f>
      </c>
      <c r="F30" s="4"/>
    </row>
    <row x14ac:dyDescent="0.25" r="31" customHeight="1" ht="17.25">
      <c r="A31" s="7">
        <v>45665</v>
      </c>
      <c r="B31" s="9" t="s">
        <v>39</v>
      </c>
      <c r="C31" s="4"/>
      <c r="D31" s="6">
        <v>100</v>
      </c>
      <c r="E31" s="6">
        <f>E30+C31-D31</f>
      </c>
      <c r="F31" s="4"/>
    </row>
    <row x14ac:dyDescent="0.25" r="32" customHeight="1" ht="17.25">
      <c r="A32" s="7">
        <v>45665</v>
      </c>
      <c r="B32" s="9" t="s">
        <v>486</v>
      </c>
      <c r="C32" s="4"/>
      <c r="D32" s="6">
        <v>110</v>
      </c>
      <c r="E32" s="6">
        <f>E31+C32-D32</f>
      </c>
      <c r="F32" s="4"/>
    </row>
    <row x14ac:dyDescent="0.25" r="33" customHeight="1" ht="17.25">
      <c r="A33" s="7">
        <v>45665</v>
      </c>
      <c r="B33" s="9" t="s">
        <v>548</v>
      </c>
      <c r="C33" s="6">
        <v>57</v>
      </c>
      <c r="D33" s="4"/>
      <c r="E33" s="6">
        <f>E32+C33-D33</f>
      </c>
      <c r="F33" s="4"/>
    </row>
    <row x14ac:dyDescent="0.25" r="34" customHeight="1" ht="17.25">
      <c r="A34" s="7">
        <v>45665</v>
      </c>
      <c r="B34" s="9" t="s">
        <v>189</v>
      </c>
      <c r="C34" s="6">
        <v>28</v>
      </c>
      <c r="D34" s="4"/>
      <c r="E34" s="6">
        <f>E33+C34-D34</f>
      </c>
      <c r="F34" s="4"/>
    </row>
    <row x14ac:dyDescent="0.25" r="35" customHeight="1" ht="17.25">
      <c r="A35" s="7">
        <v>45666</v>
      </c>
      <c r="B35" s="9" t="s">
        <v>486</v>
      </c>
      <c r="C35" s="4"/>
      <c r="D35" s="6">
        <v>110</v>
      </c>
      <c r="E35" s="6">
        <f>E34+C35-D35</f>
      </c>
      <c r="F35" s="4"/>
    </row>
    <row x14ac:dyDescent="0.25" r="36" customHeight="1" ht="17.25">
      <c r="A36" s="7">
        <v>45666</v>
      </c>
      <c r="B36" s="9" t="s">
        <v>377</v>
      </c>
      <c r="C36" s="6">
        <v>89</v>
      </c>
      <c r="D36" s="4"/>
      <c r="E36" s="6">
        <f>E35+C36-D36</f>
      </c>
      <c r="F36" s="4"/>
    </row>
    <row x14ac:dyDescent="0.25" r="37" customHeight="1" ht="17.25">
      <c r="A37" s="7">
        <v>45666</v>
      </c>
      <c r="B37" s="9" t="s">
        <v>123</v>
      </c>
      <c r="C37" s="6">
        <v>36</v>
      </c>
      <c r="D37" s="4"/>
      <c r="E37" s="6">
        <f>E36+C37-D37</f>
      </c>
      <c r="F37" s="4"/>
    </row>
    <row x14ac:dyDescent="0.25" r="38" customHeight="1" ht="17.25">
      <c r="A38" s="7">
        <v>45666</v>
      </c>
      <c r="B38" s="9" t="s">
        <v>376</v>
      </c>
      <c r="C38" s="6">
        <v>18</v>
      </c>
      <c r="D38" s="4"/>
      <c r="E38" s="6">
        <f>E37+C38-D38</f>
      </c>
      <c r="F38" s="4"/>
    </row>
    <row x14ac:dyDescent="0.25" r="39" customHeight="1" ht="17.25">
      <c r="A39" s="7">
        <v>45667</v>
      </c>
      <c r="B39" s="9" t="s">
        <v>270</v>
      </c>
      <c r="C39" s="4"/>
      <c r="D39" s="6">
        <v>144</v>
      </c>
      <c r="E39" s="6">
        <f>E38+C39-D39</f>
      </c>
      <c r="F39" s="4"/>
    </row>
    <row x14ac:dyDescent="0.25" r="40" customHeight="1" ht="17.25">
      <c r="A40" s="7">
        <v>45667</v>
      </c>
      <c r="B40" s="9" t="s">
        <v>486</v>
      </c>
      <c r="C40" s="4"/>
      <c r="D40" s="6">
        <v>130</v>
      </c>
      <c r="E40" s="6">
        <f>E39+C40-D40</f>
      </c>
      <c r="F40" s="4"/>
    </row>
    <row x14ac:dyDescent="0.25" r="41" customHeight="1" ht="17.25">
      <c r="A41" s="7">
        <v>45668</v>
      </c>
      <c r="B41" s="9" t="s">
        <v>411</v>
      </c>
      <c r="C41" s="4"/>
      <c r="D41" s="6">
        <v>60</v>
      </c>
      <c r="E41" s="6">
        <f>E40+C41-D41</f>
      </c>
      <c r="F41" s="4"/>
    </row>
    <row x14ac:dyDescent="0.25" r="42" customHeight="1" ht="17.25">
      <c r="A42" s="7">
        <v>45668</v>
      </c>
      <c r="B42" s="9" t="s">
        <v>413</v>
      </c>
      <c r="C42" s="6">
        <v>34</v>
      </c>
      <c r="D42" s="4"/>
      <c r="E42" s="6">
        <f>E41+C42-D42</f>
      </c>
      <c r="F42" s="4"/>
    </row>
    <row x14ac:dyDescent="0.25" r="43" customHeight="1" ht="17.25">
      <c r="A43" s="7">
        <v>45668</v>
      </c>
      <c r="B43" s="9" t="s">
        <v>413</v>
      </c>
      <c r="C43" s="6">
        <v>30</v>
      </c>
      <c r="D43" s="4"/>
      <c r="E43" s="6">
        <f>E42+C43-D43</f>
      </c>
      <c r="F43" s="4"/>
    </row>
    <row x14ac:dyDescent="0.25" r="44" customHeight="1" ht="17.25">
      <c r="A44" s="8">
        <v>45670</v>
      </c>
      <c r="B44" s="9" t="s">
        <v>189</v>
      </c>
      <c r="C44" s="6">
        <v>48</v>
      </c>
      <c r="D44" s="4"/>
      <c r="E44" s="6">
        <f>E43+C44-D44</f>
      </c>
      <c r="F44" s="4"/>
    </row>
    <row x14ac:dyDescent="0.25" r="45" customHeight="1" ht="17.25">
      <c r="A45" s="7">
        <v>45670</v>
      </c>
      <c r="B45" s="9" t="s">
        <v>35</v>
      </c>
      <c r="C45" s="6">
        <v>227</v>
      </c>
      <c r="D45" s="4"/>
      <c r="E45" s="6">
        <f>E44+C45-D45</f>
      </c>
      <c r="F45" s="4"/>
    </row>
    <row x14ac:dyDescent="0.25" r="46" customHeight="1" ht="17.25">
      <c r="A46" s="8">
        <v>45670</v>
      </c>
      <c r="B46" s="9" t="s">
        <v>35</v>
      </c>
      <c r="C46" s="6">
        <v>48</v>
      </c>
      <c r="D46" s="4"/>
      <c r="E46" s="6">
        <f>E45+C46-D46</f>
      </c>
      <c r="F46" s="4"/>
    </row>
    <row x14ac:dyDescent="0.25" r="47" customHeight="1" ht="17.25">
      <c r="A47" s="7">
        <v>45670</v>
      </c>
      <c r="B47" s="9" t="s">
        <v>410</v>
      </c>
      <c r="C47" s="6">
        <v>58</v>
      </c>
      <c r="D47" s="4"/>
      <c r="E47" s="6">
        <f>E46+C47-D47</f>
      </c>
      <c r="F47" s="4"/>
    </row>
    <row x14ac:dyDescent="0.25" r="48" customHeight="1" ht="17.25">
      <c r="A48" s="7">
        <v>45670</v>
      </c>
      <c r="B48" s="9" t="s">
        <v>548</v>
      </c>
      <c r="C48" s="6">
        <v>31</v>
      </c>
      <c r="D48" s="4"/>
      <c r="E48" s="6">
        <f>E47+C48-D48</f>
      </c>
      <c r="F48" s="4"/>
    </row>
    <row x14ac:dyDescent="0.25" r="49" customHeight="1" ht="17.25">
      <c r="A49" s="7">
        <v>45670</v>
      </c>
      <c r="B49" s="9" t="s">
        <v>375</v>
      </c>
      <c r="C49" s="6">
        <v>57</v>
      </c>
      <c r="D49" s="4"/>
      <c r="E49" s="6">
        <f>E48+C49-D49</f>
      </c>
      <c r="F49" s="4"/>
    </row>
    <row x14ac:dyDescent="0.25" r="50" customHeight="1" ht="17.25">
      <c r="A50" s="7">
        <v>45671</v>
      </c>
      <c r="B50" s="9" t="s">
        <v>269</v>
      </c>
      <c r="C50" s="6">
        <v>36</v>
      </c>
      <c r="D50" s="4"/>
      <c r="E50" s="6">
        <f>E49+C50-D50</f>
      </c>
      <c r="F50" s="4"/>
    </row>
    <row x14ac:dyDescent="0.25" r="51" customHeight="1" ht="17.25">
      <c r="A51" s="7">
        <v>45671</v>
      </c>
      <c r="B51" s="9" t="s">
        <v>127</v>
      </c>
      <c r="C51" s="6">
        <v>7</v>
      </c>
      <c r="D51" s="4"/>
      <c r="E51" s="6">
        <f>E50+C51-D51</f>
      </c>
      <c r="F51" s="4"/>
    </row>
    <row x14ac:dyDescent="0.25" r="52" customHeight="1" ht="17.25">
      <c r="A52" s="7">
        <v>45671</v>
      </c>
      <c r="B52" s="9" t="s">
        <v>375</v>
      </c>
      <c r="C52" s="6">
        <v>150</v>
      </c>
      <c r="D52" s="4"/>
      <c r="E52" s="6">
        <f>E51+C52-D52</f>
      </c>
      <c r="F52" s="4"/>
    </row>
    <row x14ac:dyDescent="0.25" r="53" customHeight="1" ht="17.25">
      <c r="A53" s="7">
        <v>45671</v>
      </c>
      <c r="B53" s="9" t="s">
        <v>375</v>
      </c>
      <c r="C53" s="6">
        <v>19</v>
      </c>
      <c r="D53" s="4"/>
      <c r="E53" s="6">
        <f>E52+C53-D53</f>
      </c>
      <c r="F53" s="4"/>
    </row>
    <row x14ac:dyDescent="0.25" r="54" customHeight="1" ht="17.25">
      <c r="A54" s="7">
        <v>45672</v>
      </c>
      <c r="B54" s="9" t="s">
        <v>413</v>
      </c>
      <c r="C54" s="6">
        <v>33</v>
      </c>
      <c r="D54" s="4"/>
      <c r="E54" s="6">
        <f>E53+C54-D54</f>
      </c>
      <c r="F54" s="4"/>
    </row>
    <row x14ac:dyDescent="0.25" r="55" customHeight="1" ht="17.25">
      <c r="A55" s="7">
        <v>45672</v>
      </c>
      <c r="B55" s="9" t="s">
        <v>255</v>
      </c>
      <c r="C55" s="6">
        <v>18</v>
      </c>
      <c r="D55" s="4"/>
      <c r="E55" s="6">
        <f>E54+C55-D55</f>
      </c>
      <c r="F55" s="4"/>
    </row>
    <row x14ac:dyDescent="0.25" r="56" customHeight="1" ht="17.25">
      <c r="A56" s="7">
        <v>45672</v>
      </c>
      <c r="B56" s="9" t="s">
        <v>539</v>
      </c>
      <c r="C56" s="6">
        <v>18</v>
      </c>
      <c r="D56" s="4"/>
      <c r="E56" s="6">
        <f>E55+C56-D56</f>
      </c>
      <c r="F56" s="4"/>
    </row>
    <row x14ac:dyDescent="0.25" r="57" customHeight="1" ht="17.25">
      <c r="A57" s="7">
        <v>45672</v>
      </c>
      <c r="B57" s="9" t="s">
        <v>412</v>
      </c>
      <c r="C57" s="6">
        <v>25</v>
      </c>
      <c r="D57" s="4"/>
      <c r="E57" s="6">
        <f>E56+C57-D57</f>
      </c>
      <c r="F57" s="4"/>
    </row>
    <row x14ac:dyDescent="0.25" r="58" customHeight="1" ht="17.25">
      <c r="A58" s="7">
        <v>45673</v>
      </c>
      <c r="B58" s="9" t="s">
        <v>382</v>
      </c>
      <c r="C58" s="4"/>
      <c r="D58" s="6">
        <v>194</v>
      </c>
      <c r="E58" s="6">
        <f>E57+C58-D58</f>
      </c>
      <c r="F58" s="4"/>
    </row>
    <row x14ac:dyDescent="0.25" r="59" customHeight="1" ht="17.25">
      <c r="A59" s="7">
        <v>45673</v>
      </c>
      <c r="B59" s="9" t="s">
        <v>2</v>
      </c>
      <c r="C59" s="4"/>
      <c r="D59" s="6">
        <v>40</v>
      </c>
      <c r="E59" s="6">
        <f>E58+C59-D59</f>
      </c>
      <c r="F59" s="4"/>
    </row>
    <row x14ac:dyDescent="0.25" r="60" customHeight="1" ht="17.25">
      <c r="A60" s="7">
        <v>45673</v>
      </c>
      <c r="B60" s="9" t="s">
        <v>272</v>
      </c>
      <c r="C60" s="4"/>
      <c r="D60" s="6">
        <v>49</v>
      </c>
      <c r="E60" s="6">
        <f>E59+C60-D60</f>
      </c>
      <c r="F60" s="4"/>
    </row>
    <row x14ac:dyDescent="0.25" r="61" customHeight="1" ht="17.25">
      <c r="A61" s="7">
        <v>45673</v>
      </c>
      <c r="B61" s="9" t="s">
        <v>415</v>
      </c>
      <c r="C61" s="6">
        <v>72</v>
      </c>
      <c r="D61" s="4"/>
      <c r="E61" s="6">
        <f>E60+C61-D61</f>
      </c>
      <c r="F61" s="4"/>
    </row>
    <row x14ac:dyDescent="0.25" r="62" customHeight="1" ht="17.25">
      <c r="A62" s="7">
        <v>45673</v>
      </c>
      <c r="B62" s="9" t="s">
        <v>269</v>
      </c>
      <c r="C62" s="6">
        <v>26</v>
      </c>
      <c r="D62" s="4"/>
      <c r="E62" s="6">
        <f>E61+C62-D62</f>
      </c>
      <c r="F62" s="4"/>
    </row>
    <row x14ac:dyDescent="0.25" r="63" customHeight="1" ht="17.25">
      <c r="A63" s="7">
        <v>45674</v>
      </c>
      <c r="B63" s="9" t="s">
        <v>382</v>
      </c>
      <c r="C63" s="4"/>
      <c r="D63" s="6">
        <v>100</v>
      </c>
      <c r="E63" s="6">
        <f>E62+C63-D63</f>
      </c>
      <c r="F63" s="4"/>
    </row>
    <row x14ac:dyDescent="0.25" r="64" customHeight="1" ht="17.25">
      <c r="A64" s="7">
        <v>45674</v>
      </c>
      <c r="B64" s="9" t="s">
        <v>541</v>
      </c>
      <c r="C64" s="4"/>
      <c r="D64" s="6">
        <v>100</v>
      </c>
      <c r="E64" s="6">
        <f>E63+C64-D64</f>
      </c>
      <c r="F64" s="4"/>
    </row>
    <row x14ac:dyDescent="0.25" r="65" customHeight="1" ht="17.25">
      <c r="A65" s="7">
        <v>45674</v>
      </c>
      <c r="B65" s="9" t="s">
        <v>44</v>
      </c>
      <c r="C65" s="4"/>
      <c r="D65" s="6">
        <v>80</v>
      </c>
      <c r="E65" s="6">
        <f>E64+C65-D65</f>
      </c>
      <c r="F65" s="4"/>
    </row>
    <row x14ac:dyDescent="0.25" r="66" customHeight="1" ht="17.25">
      <c r="A66" s="8">
        <v>45674</v>
      </c>
      <c r="B66" s="9" t="s">
        <v>189</v>
      </c>
      <c r="C66" s="6">
        <v>65</v>
      </c>
      <c r="D66" s="4"/>
      <c r="E66" s="6">
        <f>E65+C66-D66</f>
      </c>
      <c r="F66" s="4"/>
    </row>
    <row x14ac:dyDescent="0.25" r="67" customHeight="1" ht="17.25">
      <c r="A67" s="7">
        <v>45674</v>
      </c>
      <c r="B67" s="9" t="s">
        <v>413</v>
      </c>
      <c r="C67" s="6">
        <v>146</v>
      </c>
      <c r="D67" s="4"/>
      <c r="E67" s="6">
        <f>E66+C67-D67</f>
      </c>
      <c r="F67" s="4"/>
    </row>
    <row x14ac:dyDescent="0.25" r="68" customHeight="1" ht="17.25">
      <c r="A68" s="7">
        <v>45675</v>
      </c>
      <c r="B68" s="9" t="s">
        <v>272</v>
      </c>
      <c r="C68" s="4"/>
      <c r="D68" s="6">
        <v>301</v>
      </c>
      <c r="E68" s="6">
        <f>E67+C68-D68</f>
      </c>
      <c r="F68" s="4"/>
    </row>
    <row x14ac:dyDescent="0.25" r="69" customHeight="1" ht="17.25">
      <c r="A69" s="7">
        <v>45675</v>
      </c>
      <c r="B69" s="9" t="s">
        <v>541</v>
      </c>
      <c r="C69" s="4"/>
      <c r="D69" s="6">
        <v>62</v>
      </c>
      <c r="E69" s="6">
        <f>E68+C69-D69</f>
      </c>
      <c r="F69" s="4"/>
    </row>
    <row x14ac:dyDescent="0.25" r="70" customHeight="1" ht="17.25">
      <c r="A70" s="7">
        <v>45675</v>
      </c>
      <c r="B70" s="9" t="s">
        <v>413</v>
      </c>
      <c r="C70" s="6">
        <v>11</v>
      </c>
      <c r="D70" s="4"/>
      <c r="E70" s="6">
        <f>E69+C70-D70</f>
      </c>
      <c r="F70" s="4"/>
    </row>
    <row x14ac:dyDescent="0.25" r="71" customHeight="1" ht="17.25">
      <c r="A71" s="7">
        <v>45677</v>
      </c>
      <c r="B71" s="9" t="s">
        <v>382</v>
      </c>
      <c r="C71" s="4"/>
      <c r="D71" s="6">
        <v>30</v>
      </c>
      <c r="E71" s="6">
        <f>E70+C71-D71</f>
      </c>
      <c r="F71" s="4"/>
    </row>
    <row x14ac:dyDescent="0.25" r="72" customHeight="1" ht="17.25">
      <c r="A72" s="7">
        <v>45677</v>
      </c>
      <c r="B72" s="9" t="s">
        <v>486</v>
      </c>
      <c r="C72" s="4"/>
      <c r="D72" s="6">
        <v>50</v>
      </c>
      <c r="E72" s="6">
        <f>E71+C72-D72</f>
      </c>
      <c r="F72" s="4"/>
    </row>
    <row x14ac:dyDescent="0.25" r="73" customHeight="1" ht="17.25">
      <c r="A73" s="8">
        <v>45677</v>
      </c>
      <c r="B73" s="9" t="s">
        <v>486</v>
      </c>
      <c r="C73" s="4"/>
      <c r="D73" s="6">
        <v>100</v>
      </c>
      <c r="E73" s="6">
        <f>E72+C73-D73</f>
      </c>
      <c r="F73" s="4"/>
    </row>
    <row x14ac:dyDescent="0.25" r="74" customHeight="1" ht="17.25">
      <c r="A74" s="7">
        <v>45677</v>
      </c>
      <c r="B74" s="9" t="s">
        <v>378</v>
      </c>
      <c r="C74" s="6">
        <v>42</v>
      </c>
      <c r="D74" s="4"/>
      <c r="E74" s="6">
        <f>E73+C74-D74</f>
      </c>
      <c r="F74" s="4"/>
    </row>
    <row x14ac:dyDescent="0.25" r="75" customHeight="1" ht="17.25">
      <c r="A75" s="7">
        <v>45677</v>
      </c>
      <c r="B75" s="9" t="s">
        <v>410</v>
      </c>
      <c r="C75" s="6">
        <v>16</v>
      </c>
      <c r="D75" s="4"/>
      <c r="E75" s="6">
        <f>E74+C75-D75</f>
      </c>
      <c r="F75" s="4"/>
    </row>
    <row x14ac:dyDescent="0.25" r="76" customHeight="1" ht="17.25">
      <c r="A76" s="8">
        <v>45677</v>
      </c>
      <c r="B76" s="9" t="s">
        <v>365</v>
      </c>
      <c r="C76" s="6">
        <v>63</v>
      </c>
      <c r="D76" s="4"/>
      <c r="E76" s="6">
        <f>E75+C76-D76</f>
      </c>
      <c r="F76" s="4"/>
    </row>
    <row x14ac:dyDescent="0.25" r="77" customHeight="1" ht="17.25">
      <c r="A77" s="7">
        <v>45677</v>
      </c>
      <c r="B77" s="9" t="s">
        <v>35</v>
      </c>
      <c r="C77" s="6">
        <v>125</v>
      </c>
      <c r="D77" s="4"/>
      <c r="E77" s="6">
        <f>E76+C77-D77</f>
      </c>
      <c r="F77" s="4"/>
    </row>
    <row x14ac:dyDescent="0.25" r="78" customHeight="1" ht="17.25">
      <c r="A78" s="8">
        <v>45677</v>
      </c>
      <c r="B78" s="9" t="s">
        <v>131</v>
      </c>
      <c r="C78" s="6">
        <v>6</v>
      </c>
      <c r="D78" s="4"/>
      <c r="E78" s="6">
        <f>E77+C78-D78</f>
      </c>
      <c r="F78" s="4"/>
    </row>
    <row x14ac:dyDescent="0.25" r="79" customHeight="1" ht="17.25">
      <c r="A79" s="7">
        <v>45678</v>
      </c>
      <c r="B79" s="9" t="s">
        <v>382</v>
      </c>
      <c r="C79" s="4"/>
      <c r="D79" s="6">
        <v>140</v>
      </c>
      <c r="E79" s="6">
        <f>E78+C79-D79</f>
      </c>
      <c r="F79" s="4"/>
    </row>
    <row x14ac:dyDescent="0.25" r="80" customHeight="1" ht="17.25">
      <c r="A80" s="8">
        <v>45678</v>
      </c>
      <c r="B80" s="9" t="s">
        <v>11</v>
      </c>
      <c r="C80" s="6">
        <v>98</v>
      </c>
      <c r="D80" s="4"/>
      <c r="E80" s="6">
        <f>E79+C80-D80</f>
      </c>
      <c r="F80" s="4"/>
    </row>
    <row x14ac:dyDescent="0.25" r="81" customHeight="1" ht="17.25">
      <c r="A81" s="7">
        <v>45679</v>
      </c>
      <c r="B81" s="9" t="s">
        <v>382</v>
      </c>
      <c r="C81" s="4"/>
      <c r="D81" s="6">
        <v>460</v>
      </c>
      <c r="E81" s="6">
        <f>E80+C81-D81</f>
      </c>
      <c r="F81" s="4"/>
    </row>
    <row x14ac:dyDescent="0.25" r="82" customHeight="1" ht="17.25">
      <c r="A82" s="8">
        <v>45679</v>
      </c>
      <c r="B82" s="9" t="s">
        <v>414</v>
      </c>
      <c r="C82" s="6">
        <v>16</v>
      </c>
      <c r="D82" s="4"/>
      <c r="E82" s="6">
        <f>E81+C82-D82</f>
      </c>
      <c r="F82" s="4"/>
    </row>
    <row x14ac:dyDescent="0.25" r="83" customHeight="1" ht="17.25">
      <c r="A83" s="7">
        <v>45679</v>
      </c>
      <c r="B83" s="9" t="s">
        <v>375</v>
      </c>
      <c r="C83" s="6">
        <v>30</v>
      </c>
      <c r="D83" s="4"/>
      <c r="E83" s="6">
        <f>E82+C83-D83</f>
      </c>
      <c r="F83" s="4"/>
    </row>
    <row x14ac:dyDescent="0.25" r="84" customHeight="1" ht="17.25">
      <c r="A84" s="7">
        <v>45679</v>
      </c>
      <c r="B84" s="9" t="s">
        <v>376</v>
      </c>
      <c r="C84" s="6">
        <v>30</v>
      </c>
      <c r="D84" s="4"/>
      <c r="E84" s="6">
        <f>E83+C84-D84</f>
      </c>
      <c r="F84" s="4"/>
    </row>
    <row x14ac:dyDescent="0.25" r="85" customHeight="1" ht="17.25">
      <c r="A85" s="7">
        <v>45680</v>
      </c>
      <c r="B85" s="9" t="s">
        <v>132</v>
      </c>
      <c r="C85" s="4"/>
      <c r="D85" s="6">
        <v>30</v>
      </c>
      <c r="E85" s="6">
        <f>E84+C85-D85</f>
      </c>
      <c r="F85" s="4"/>
    </row>
    <row x14ac:dyDescent="0.25" r="86" customHeight="1" ht="17.25">
      <c r="A86" s="7">
        <v>45680</v>
      </c>
      <c r="B86" s="9" t="s">
        <v>269</v>
      </c>
      <c r="C86" s="6">
        <v>51</v>
      </c>
      <c r="D86" s="4"/>
      <c r="E86" s="6">
        <f>E85+C86-D86</f>
      </c>
      <c r="F86" s="4"/>
    </row>
    <row x14ac:dyDescent="0.25" r="87" customHeight="1" ht="17.25">
      <c r="A87" s="7">
        <v>45681</v>
      </c>
      <c r="B87" s="9" t="s">
        <v>35</v>
      </c>
      <c r="C87" s="6">
        <v>66</v>
      </c>
      <c r="D87" s="4"/>
      <c r="E87" s="6">
        <f>E86+C87-D87</f>
      </c>
      <c r="F87" s="4"/>
    </row>
    <row x14ac:dyDescent="0.25" r="88" customHeight="1" ht="17.25">
      <c r="A88" s="7">
        <v>45681</v>
      </c>
      <c r="B88" s="9" t="s">
        <v>35</v>
      </c>
      <c r="C88" s="6">
        <v>84</v>
      </c>
      <c r="D88" s="4"/>
      <c r="E88" s="6">
        <f>E87+C88-D88</f>
      </c>
      <c r="F88" s="4"/>
    </row>
    <row x14ac:dyDescent="0.25" r="89" customHeight="1" ht="17.25">
      <c r="A89" s="8">
        <v>45681</v>
      </c>
      <c r="B89" s="9" t="s">
        <v>189</v>
      </c>
      <c r="C89" s="6">
        <v>36</v>
      </c>
      <c r="D89" s="4"/>
      <c r="E89" s="6">
        <f>E88+C89-D89</f>
      </c>
      <c r="F89" s="4"/>
    </row>
    <row x14ac:dyDescent="0.25" r="90" customHeight="1" ht="17.25">
      <c r="A90" s="7">
        <v>45682</v>
      </c>
      <c r="B90" s="9" t="s">
        <v>2</v>
      </c>
      <c r="C90" s="4"/>
      <c r="D90" s="6">
        <v>20</v>
      </c>
      <c r="E90" s="6">
        <f>E89+C90-D90</f>
      </c>
      <c r="F90" s="4"/>
    </row>
    <row x14ac:dyDescent="0.25" r="91" customHeight="1" ht="17.25">
      <c r="A91" s="7">
        <v>45682</v>
      </c>
      <c r="B91" s="9" t="s">
        <v>123</v>
      </c>
      <c r="C91" s="6">
        <v>89</v>
      </c>
      <c r="D91" s="4"/>
      <c r="E91" s="6">
        <f>E90+C91-D91</f>
      </c>
      <c r="F91" s="4"/>
    </row>
    <row x14ac:dyDescent="0.25" r="92" customHeight="1" ht="17.25">
      <c r="A92" s="8">
        <v>45682</v>
      </c>
      <c r="B92" s="9" t="s">
        <v>189</v>
      </c>
      <c r="C92" s="6">
        <v>17</v>
      </c>
      <c r="D92" s="4"/>
      <c r="E92" s="6">
        <f>E91+C92-D92</f>
      </c>
      <c r="F92" s="4"/>
    </row>
    <row x14ac:dyDescent="0.25" r="93" customHeight="1" ht="17.25">
      <c r="A93" s="8">
        <v>45685</v>
      </c>
      <c r="B93" s="9" t="s">
        <v>413</v>
      </c>
      <c r="C93" s="6">
        <v>1</v>
      </c>
      <c r="D93" s="4"/>
      <c r="E93" s="6">
        <f>E92+C93-D93</f>
      </c>
      <c r="F93" s="4"/>
    </row>
    <row x14ac:dyDescent="0.25" r="94" customHeight="1" ht="17.25">
      <c r="A94" s="7">
        <v>45685</v>
      </c>
      <c r="B94" s="9" t="s">
        <v>412</v>
      </c>
      <c r="C94" s="6">
        <v>35</v>
      </c>
      <c r="D94" s="4"/>
      <c r="E94" s="6">
        <f>E93+C94-D94</f>
      </c>
      <c r="F94" s="4"/>
    </row>
    <row x14ac:dyDescent="0.25" r="95" customHeight="1" ht="17.25">
      <c r="A95" s="7">
        <v>45687</v>
      </c>
      <c r="B95" s="9" t="s">
        <v>272</v>
      </c>
      <c r="C95" s="4"/>
      <c r="D95" s="6">
        <v>99</v>
      </c>
      <c r="E95" s="6">
        <f>E94+C95-D95</f>
      </c>
      <c r="F95" s="4"/>
    </row>
    <row x14ac:dyDescent="0.25" r="96" customHeight="1" ht="17.25">
      <c r="A96" s="7">
        <v>45687</v>
      </c>
      <c r="B96" s="9" t="s">
        <v>35</v>
      </c>
      <c r="C96" s="6">
        <v>206</v>
      </c>
      <c r="D96" s="4"/>
      <c r="E96" s="6">
        <f>E95+C96-D96</f>
      </c>
      <c r="F96" s="4"/>
    </row>
    <row x14ac:dyDescent="0.25" r="97" customHeight="1" ht="17.25">
      <c r="A97" s="7">
        <v>45687</v>
      </c>
      <c r="B97" s="9" t="s">
        <v>189</v>
      </c>
      <c r="C97" s="6">
        <v>46</v>
      </c>
      <c r="D97" s="4"/>
      <c r="E97" s="6">
        <f>E96+C97-D97</f>
      </c>
      <c r="F97" s="4"/>
    </row>
    <row x14ac:dyDescent="0.25" r="98" customHeight="1" ht="17.25">
      <c r="A98" s="8">
        <v>45687</v>
      </c>
      <c r="B98" s="9" t="s">
        <v>11</v>
      </c>
      <c r="C98" s="6">
        <v>120</v>
      </c>
      <c r="D98" s="4"/>
      <c r="E98" s="6">
        <f>E97+C98-D98</f>
      </c>
      <c r="F98" s="4"/>
    </row>
    <row x14ac:dyDescent="0.25" r="99" customHeight="1" ht="17.25">
      <c r="A99" s="7">
        <v>45688</v>
      </c>
      <c r="B99" s="9" t="s">
        <v>39</v>
      </c>
      <c r="C99" s="6">
        <v>184</v>
      </c>
      <c r="D99" s="4"/>
      <c r="E99" s="6">
        <f>E98+C99-D99</f>
      </c>
      <c r="F99" s="4"/>
    </row>
    <row x14ac:dyDescent="0.25" r="100" customHeight="1" ht="17.25">
      <c r="A100" s="7">
        <v>45688</v>
      </c>
      <c r="B100" s="9" t="s">
        <v>269</v>
      </c>
      <c r="C100" s="6">
        <v>80</v>
      </c>
      <c r="D100" s="4"/>
      <c r="E100" s="6">
        <f>E99+C100-D100</f>
      </c>
      <c r="F100" s="4"/>
    </row>
    <row x14ac:dyDescent="0.25" r="101" customHeight="1" ht="17.25">
      <c r="A101" s="7">
        <v>45688</v>
      </c>
      <c r="B101" s="9" t="s">
        <v>131</v>
      </c>
      <c r="C101" s="6">
        <v>85</v>
      </c>
      <c r="D101" s="4"/>
      <c r="E101" s="6">
        <f>E100+C101-D101</f>
      </c>
      <c r="F101" s="4"/>
    </row>
    <row x14ac:dyDescent="0.25" r="102" customHeight="1" ht="17.25">
      <c r="A102" s="8">
        <v>45688</v>
      </c>
      <c r="B102" s="9" t="s">
        <v>189</v>
      </c>
      <c r="C102" s="6">
        <v>41</v>
      </c>
      <c r="D102" s="4"/>
      <c r="E102" s="6">
        <f>E101+C102-D102</f>
      </c>
      <c r="F102" s="4"/>
    </row>
    <row x14ac:dyDescent="0.25" r="103" customHeight="1" ht="17.25">
      <c r="A103" s="7">
        <v>45688</v>
      </c>
      <c r="B103" s="9" t="s">
        <v>385</v>
      </c>
      <c r="C103" s="6">
        <v>20</v>
      </c>
      <c r="D103" s="4"/>
      <c r="E103" s="6">
        <f>E102+C103-D103</f>
      </c>
      <c r="F103" s="4"/>
    </row>
    <row x14ac:dyDescent="0.25" r="104" customHeight="1" ht="17.25">
      <c r="A104" s="7">
        <v>45688</v>
      </c>
      <c r="B104" s="9" t="s">
        <v>415</v>
      </c>
      <c r="C104" s="6">
        <v>33</v>
      </c>
      <c r="D104" s="4"/>
      <c r="E104" s="6">
        <f>E103+C104-D104</f>
      </c>
      <c r="F104" s="4"/>
    </row>
    <row x14ac:dyDescent="0.25" r="105" customHeight="1" ht="17.25">
      <c r="A105" s="7">
        <v>45688</v>
      </c>
      <c r="B105" s="9" t="s">
        <v>375</v>
      </c>
      <c r="C105" s="6">
        <v>119</v>
      </c>
      <c r="D105" s="4"/>
      <c r="E105" s="6">
        <f>E104+C105-D105</f>
      </c>
      <c r="F105" s="4"/>
    </row>
    <row x14ac:dyDescent="0.25" r="106" customHeight="1" ht="17.25">
      <c r="A106" s="7">
        <v>45688</v>
      </c>
      <c r="B106" s="9" t="s">
        <v>31</v>
      </c>
      <c r="C106" s="6">
        <v>24</v>
      </c>
      <c r="D106" s="4"/>
      <c r="E106" s="6">
        <f>E105+C106-D106</f>
      </c>
      <c r="F106" s="4"/>
    </row>
    <row x14ac:dyDescent="0.25" r="107" customHeight="1" ht="17.25">
      <c r="A107" s="7">
        <v>45689</v>
      </c>
      <c r="B107" s="9" t="s">
        <v>269</v>
      </c>
      <c r="C107" s="6">
        <v>40</v>
      </c>
      <c r="D107" s="4"/>
      <c r="E107" s="6">
        <f>E106+C107-D107</f>
      </c>
      <c r="F107" s="4"/>
    </row>
    <row x14ac:dyDescent="0.25" r="108" customHeight="1" ht="17.25">
      <c r="A108" s="7">
        <v>45689</v>
      </c>
      <c r="B108" s="9" t="s">
        <v>375</v>
      </c>
      <c r="C108" s="6">
        <v>30</v>
      </c>
      <c r="D108" s="4"/>
      <c r="E108" s="6">
        <f>E107+C108-D108</f>
      </c>
      <c r="F108" s="4"/>
    </row>
    <row x14ac:dyDescent="0.25" r="109" customHeight="1" ht="17.25">
      <c r="A109" s="7">
        <v>45691</v>
      </c>
      <c r="B109" s="9" t="s">
        <v>286</v>
      </c>
      <c r="C109" s="4"/>
      <c r="D109" s="6">
        <v>48</v>
      </c>
      <c r="E109" s="6">
        <f>E108+C109-D109</f>
      </c>
      <c r="F109" s="4"/>
    </row>
    <row x14ac:dyDescent="0.25" r="110" customHeight="1" ht="17.25">
      <c r="A110" s="7">
        <v>45691</v>
      </c>
      <c r="B110" s="9" t="s">
        <v>35</v>
      </c>
      <c r="C110" s="6">
        <v>46</v>
      </c>
      <c r="D110" s="4"/>
      <c r="E110" s="6">
        <f>E109+C110-D110</f>
      </c>
      <c r="F110" s="4"/>
    </row>
    <row x14ac:dyDescent="0.25" r="111" customHeight="1" ht="17.25">
      <c r="A111" s="7">
        <v>45692</v>
      </c>
      <c r="B111" s="9" t="s">
        <v>131</v>
      </c>
      <c r="C111" s="6">
        <v>54</v>
      </c>
      <c r="D111" s="4"/>
      <c r="E111" s="6">
        <f>E110+C111-D111</f>
      </c>
      <c r="F111" s="4"/>
    </row>
    <row x14ac:dyDescent="0.25" r="112" customHeight="1" ht="17.25">
      <c r="A112" s="8">
        <v>45692</v>
      </c>
      <c r="B112" s="9" t="s">
        <v>378</v>
      </c>
      <c r="C112" s="6">
        <v>1</v>
      </c>
      <c r="D112" s="4"/>
      <c r="E112" s="6">
        <f>E111+C112-D112</f>
      </c>
      <c r="F112" s="4"/>
    </row>
    <row x14ac:dyDescent="0.25" r="113" customHeight="1" ht="17.25">
      <c r="A113" s="8">
        <v>45692</v>
      </c>
      <c r="B113" s="9" t="s">
        <v>378</v>
      </c>
      <c r="C113" s="6">
        <v>38</v>
      </c>
      <c r="D113" s="4"/>
      <c r="E113" s="6">
        <f>E112+C113-D113</f>
      </c>
      <c r="F113" s="4"/>
    </row>
    <row x14ac:dyDescent="0.25" r="114" customHeight="1" ht="17.25">
      <c r="A114" s="7">
        <v>45693</v>
      </c>
      <c r="B114" s="9" t="s">
        <v>435</v>
      </c>
      <c r="C114" s="4"/>
      <c r="D114" s="6">
        <v>60</v>
      </c>
      <c r="E114" s="6">
        <f>E113+C114-D114</f>
      </c>
      <c r="F114" s="4"/>
    </row>
    <row x14ac:dyDescent="0.25" r="115" customHeight="1" ht="17.25">
      <c r="A115" s="7">
        <v>45693</v>
      </c>
      <c r="B115" s="9" t="s">
        <v>269</v>
      </c>
      <c r="C115" s="6">
        <v>48</v>
      </c>
      <c r="D115" s="4"/>
      <c r="E115" s="6">
        <f>E114+C115-D115</f>
      </c>
      <c r="F115" s="4"/>
    </row>
    <row x14ac:dyDescent="0.25" r="116" customHeight="1" ht="17.25">
      <c r="A116" s="7">
        <v>45693</v>
      </c>
      <c r="B116" s="9" t="s">
        <v>378</v>
      </c>
      <c r="C116" s="6">
        <v>53</v>
      </c>
      <c r="D116" s="4"/>
      <c r="E116" s="6">
        <f>E115+C116-D116</f>
      </c>
      <c r="F116" s="4"/>
    </row>
    <row x14ac:dyDescent="0.25" r="117" customHeight="1" ht="17.25">
      <c r="A117" s="7">
        <v>45693</v>
      </c>
      <c r="B117" s="9" t="s">
        <v>376</v>
      </c>
      <c r="C117" s="6">
        <v>30</v>
      </c>
      <c r="D117" s="4"/>
      <c r="E117" s="6">
        <f>E116+C117-D117</f>
      </c>
      <c r="F117" s="4"/>
    </row>
    <row x14ac:dyDescent="0.25" r="118" customHeight="1" ht="17.25">
      <c r="A118" s="7">
        <v>45694</v>
      </c>
      <c r="B118" s="9" t="s">
        <v>445</v>
      </c>
      <c r="C118" s="4"/>
      <c r="D118" s="6">
        <v>30</v>
      </c>
      <c r="E118" s="6">
        <f>E117+C118-D118</f>
      </c>
      <c r="F118" s="4"/>
    </row>
    <row x14ac:dyDescent="0.25" r="119" customHeight="1" ht="17.25">
      <c r="A119" s="7">
        <v>45694</v>
      </c>
      <c r="B119" s="9" t="s">
        <v>616</v>
      </c>
      <c r="C119" s="6">
        <v>40</v>
      </c>
      <c r="D119" s="4"/>
      <c r="E119" s="6">
        <f>E118+C119-D119</f>
      </c>
      <c r="F119" s="4"/>
    </row>
    <row x14ac:dyDescent="0.25" r="120" customHeight="1" ht="17.25">
      <c r="A120" s="7">
        <v>45694</v>
      </c>
      <c r="B120" s="9" t="s">
        <v>189</v>
      </c>
      <c r="C120" s="6">
        <v>58</v>
      </c>
      <c r="D120" s="4"/>
      <c r="E120" s="6">
        <f>E119+C120-D120</f>
      </c>
      <c r="F120" s="4"/>
    </row>
    <row x14ac:dyDescent="0.25" r="121" customHeight="1" ht="17.25">
      <c r="A121" s="7">
        <v>45694</v>
      </c>
      <c r="B121" s="9" t="s">
        <v>127</v>
      </c>
      <c r="C121" s="6">
        <v>35</v>
      </c>
      <c r="D121" s="4"/>
      <c r="E121" s="6">
        <f>E120+C121-D121</f>
      </c>
      <c r="F121" s="4"/>
    </row>
    <row x14ac:dyDescent="0.25" r="122" customHeight="1" ht="17.25">
      <c r="A122" s="7">
        <v>45694</v>
      </c>
      <c r="B122" s="9" t="s">
        <v>384</v>
      </c>
      <c r="C122" s="6">
        <v>60</v>
      </c>
      <c r="D122" s="4"/>
      <c r="E122" s="6">
        <f>E121+C122-D122</f>
      </c>
      <c r="F122" s="4"/>
    </row>
    <row x14ac:dyDescent="0.25" r="123" customHeight="1" ht="17.25">
      <c r="A123" s="7">
        <v>45695</v>
      </c>
      <c r="B123" s="9" t="s">
        <v>479</v>
      </c>
      <c r="C123" s="6">
        <v>20</v>
      </c>
      <c r="D123" s="4"/>
      <c r="E123" s="6">
        <f>E122+C123-D123</f>
      </c>
      <c r="F123" s="4"/>
    </row>
    <row x14ac:dyDescent="0.25" r="124" customHeight="1" ht="17.25">
      <c r="A124" s="7">
        <v>45695</v>
      </c>
      <c r="B124" s="9" t="s">
        <v>31</v>
      </c>
      <c r="C124" s="6">
        <v>22</v>
      </c>
      <c r="D124" s="4"/>
      <c r="E124" s="6">
        <f>E123+C124-D124</f>
      </c>
      <c r="F124" s="4"/>
    </row>
    <row x14ac:dyDescent="0.25" r="125" customHeight="1" ht="17.25">
      <c r="A125" s="7">
        <v>45695</v>
      </c>
      <c r="B125" s="9" t="s">
        <v>11</v>
      </c>
      <c r="C125" s="6">
        <v>85</v>
      </c>
      <c r="D125" s="4"/>
      <c r="E125" s="6">
        <f>E124+C125-D125</f>
      </c>
      <c r="F125" s="4"/>
    </row>
    <row x14ac:dyDescent="0.25" r="126" customHeight="1" ht="17.25">
      <c r="A126" s="7">
        <v>45696</v>
      </c>
      <c r="B126" s="9" t="s">
        <v>35</v>
      </c>
      <c r="C126" s="6">
        <v>82</v>
      </c>
      <c r="D126" s="4"/>
      <c r="E126" s="6">
        <f>E125+C126-D126</f>
      </c>
      <c r="F126" s="4"/>
    </row>
    <row x14ac:dyDescent="0.25" r="127" customHeight="1" ht="17.25">
      <c r="A127" s="7">
        <v>45696</v>
      </c>
      <c r="B127" s="9" t="s">
        <v>189</v>
      </c>
      <c r="C127" s="6">
        <v>34</v>
      </c>
      <c r="D127" s="4"/>
      <c r="E127" s="6">
        <f>E126+C127-D127</f>
      </c>
      <c r="F127" s="4"/>
    </row>
    <row x14ac:dyDescent="0.25" r="128" customHeight="1" ht="17.25">
      <c r="A128" s="7">
        <v>45697</v>
      </c>
      <c r="B128" s="9" t="s">
        <v>29</v>
      </c>
      <c r="C128" s="4"/>
      <c r="D128" s="6">
        <v>355</v>
      </c>
      <c r="E128" s="6">
        <f>E127+C128-D128</f>
      </c>
      <c r="F128" s="4"/>
    </row>
    <row x14ac:dyDescent="0.25" r="129" customHeight="1" ht="17.25">
      <c r="A129" s="7">
        <v>45698</v>
      </c>
      <c r="B129" s="9" t="s">
        <v>11</v>
      </c>
      <c r="C129" s="6">
        <v>64</v>
      </c>
      <c r="D129" s="4"/>
      <c r="E129" s="6">
        <f>E128+C129-D129</f>
      </c>
      <c r="F129" s="4"/>
    </row>
    <row x14ac:dyDescent="0.25" r="130" customHeight="1" ht="17.25">
      <c r="A130" s="8">
        <v>45698</v>
      </c>
      <c r="B130" s="9" t="s">
        <v>35</v>
      </c>
      <c r="C130" s="6">
        <v>47</v>
      </c>
      <c r="D130" s="4"/>
      <c r="E130" s="6">
        <f>E129+C130-D130</f>
      </c>
      <c r="F130" s="4"/>
    </row>
    <row x14ac:dyDescent="0.25" r="131" customHeight="1" ht="17.25">
      <c r="A131" s="7">
        <v>45698</v>
      </c>
      <c r="B131" s="9" t="s">
        <v>384</v>
      </c>
      <c r="C131" s="6">
        <v>60</v>
      </c>
      <c r="D131" s="4"/>
      <c r="E131" s="6">
        <f>E130+C131-D131</f>
      </c>
      <c r="F131" s="4"/>
    </row>
    <row x14ac:dyDescent="0.25" r="132" customHeight="1" ht="17.25">
      <c r="A132" s="7">
        <v>45698</v>
      </c>
      <c r="B132" s="9" t="s">
        <v>269</v>
      </c>
      <c r="C132" s="6">
        <v>24</v>
      </c>
      <c r="D132" s="4"/>
      <c r="E132" s="6">
        <f>E131+C132-D132</f>
      </c>
      <c r="F132" s="4"/>
    </row>
    <row x14ac:dyDescent="0.25" r="133" customHeight="1" ht="17.25">
      <c r="A133" s="7">
        <v>45698</v>
      </c>
      <c r="B133" s="9" t="s">
        <v>189</v>
      </c>
      <c r="C133" s="6">
        <v>25</v>
      </c>
      <c r="D133" s="4"/>
      <c r="E133" s="6">
        <f>E132+C133-D133</f>
      </c>
      <c r="F133" s="4"/>
    </row>
    <row x14ac:dyDescent="0.25" r="134" customHeight="1" ht="17.25">
      <c r="A134" s="7">
        <v>45698</v>
      </c>
      <c r="B134" s="9" t="s">
        <v>123</v>
      </c>
      <c r="C134" s="6">
        <v>72</v>
      </c>
      <c r="D134" s="4"/>
      <c r="E134" s="6">
        <f>E133+C134-D134</f>
      </c>
      <c r="F134" s="4"/>
    </row>
    <row x14ac:dyDescent="0.25" r="135" customHeight="1" ht="17.25">
      <c r="A135" s="7">
        <v>45699</v>
      </c>
      <c r="B135" s="9" t="s">
        <v>29</v>
      </c>
      <c r="C135" s="4"/>
      <c r="D135" s="6">
        <v>245</v>
      </c>
      <c r="E135" s="6">
        <f>E134+C135-D135</f>
      </c>
      <c r="F135" s="4"/>
    </row>
    <row x14ac:dyDescent="0.25" r="136" customHeight="1" ht="17.25">
      <c r="A136" s="8">
        <v>45699</v>
      </c>
      <c r="B136" s="9" t="s">
        <v>131</v>
      </c>
      <c r="C136" s="6">
        <v>15</v>
      </c>
      <c r="D136" s="4"/>
      <c r="E136" s="6">
        <f>E135+C136-D136</f>
      </c>
      <c r="F136" s="4"/>
    </row>
    <row x14ac:dyDescent="0.25" r="137" customHeight="1" ht="17.25">
      <c r="A137" s="7">
        <v>45699</v>
      </c>
      <c r="B137" s="9" t="s">
        <v>189</v>
      </c>
      <c r="C137" s="6">
        <v>54</v>
      </c>
      <c r="D137" s="4"/>
      <c r="E137" s="6">
        <f>E136+C137-D137</f>
      </c>
      <c r="F137" s="4"/>
    </row>
    <row x14ac:dyDescent="0.25" r="138" customHeight="1" ht="17.25">
      <c r="A138" s="8">
        <v>45700</v>
      </c>
      <c r="B138" s="9" t="s">
        <v>34</v>
      </c>
      <c r="C138" s="4"/>
      <c r="D138" s="6">
        <v>300</v>
      </c>
      <c r="E138" s="6">
        <f>E137+C138-D138</f>
      </c>
      <c r="F138" s="4"/>
    </row>
    <row x14ac:dyDescent="0.25" r="139" customHeight="1" ht="17.25">
      <c r="A139" s="7">
        <v>45700</v>
      </c>
      <c r="B139" s="9" t="s">
        <v>35</v>
      </c>
      <c r="C139" s="6">
        <v>14</v>
      </c>
      <c r="D139" s="4"/>
      <c r="E139" s="6">
        <f>E138+C139-D139</f>
      </c>
      <c r="F139" s="4"/>
    </row>
    <row x14ac:dyDescent="0.25" r="140" customHeight="1" ht="17.25">
      <c r="A140" s="8">
        <v>45700</v>
      </c>
      <c r="B140" s="9" t="s">
        <v>35</v>
      </c>
      <c r="C140" s="6">
        <v>31</v>
      </c>
      <c r="D140" s="4"/>
      <c r="E140" s="6">
        <f>E139+C140-D140</f>
      </c>
      <c r="F140" s="4"/>
    </row>
    <row x14ac:dyDescent="0.25" r="141" customHeight="1" ht="17.25">
      <c r="A141" s="7">
        <v>45700</v>
      </c>
      <c r="B141" s="9" t="s">
        <v>406</v>
      </c>
      <c r="C141" s="6">
        <v>21</v>
      </c>
      <c r="D141" s="4"/>
      <c r="E141" s="6">
        <f>E140+C141-D141</f>
      </c>
      <c r="F141" s="4"/>
    </row>
    <row x14ac:dyDescent="0.25" r="142" customHeight="1" ht="17.25">
      <c r="A142" s="7">
        <v>45700</v>
      </c>
      <c r="B142" s="9" t="s">
        <v>189</v>
      </c>
      <c r="C142" s="4"/>
      <c r="D142" s="6">
        <v>36</v>
      </c>
      <c r="E142" s="6">
        <f>E141+C142-D142</f>
      </c>
      <c r="F142" s="4"/>
    </row>
    <row x14ac:dyDescent="0.25" r="143" customHeight="1" ht="17.25">
      <c r="A143" s="7">
        <v>45700</v>
      </c>
      <c r="B143" s="9" t="s">
        <v>376</v>
      </c>
      <c r="C143" s="6">
        <v>30</v>
      </c>
      <c r="D143" s="4"/>
      <c r="E143" s="6">
        <f>E142+C143-D143</f>
      </c>
      <c r="F143" s="4"/>
    </row>
    <row x14ac:dyDescent="0.25" r="144" customHeight="1" ht="17.25">
      <c r="A144" s="7">
        <v>45700</v>
      </c>
      <c r="B144" s="9" t="s">
        <v>412</v>
      </c>
      <c r="C144" s="6">
        <v>45</v>
      </c>
      <c r="D144" s="4"/>
      <c r="E144" s="6">
        <f>E143+C144-D144</f>
      </c>
      <c r="F144" s="4"/>
    </row>
    <row x14ac:dyDescent="0.25" r="145" customHeight="1" ht="17.25">
      <c r="A145" s="7">
        <v>45700</v>
      </c>
      <c r="B145" s="9" t="s">
        <v>382</v>
      </c>
      <c r="C145" s="6">
        <v>136</v>
      </c>
      <c r="D145" s="4"/>
      <c r="E145" s="6">
        <f>E144+C145-D145</f>
      </c>
      <c r="F145" s="4"/>
    </row>
    <row x14ac:dyDescent="0.25" r="146" customHeight="1" ht="17.25">
      <c r="A146" s="8">
        <v>45700</v>
      </c>
      <c r="B146" s="9" t="s">
        <v>11</v>
      </c>
      <c r="C146" s="6">
        <v>42</v>
      </c>
      <c r="D146" s="4"/>
      <c r="E146" s="6">
        <f>E145+C146-D146</f>
      </c>
      <c r="F146" s="4"/>
    </row>
    <row x14ac:dyDescent="0.25" r="147" customHeight="1" ht="17.25">
      <c r="A147" s="7">
        <v>45701</v>
      </c>
      <c r="B147" s="9" t="s">
        <v>34</v>
      </c>
      <c r="C147" s="4"/>
      <c r="D147" s="6">
        <v>200</v>
      </c>
      <c r="E147" s="6">
        <f>E146+C147-D147</f>
      </c>
      <c r="F147" s="4"/>
    </row>
    <row x14ac:dyDescent="0.25" r="148" customHeight="1" ht="17.25">
      <c r="A148" s="7">
        <v>45701</v>
      </c>
      <c r="B148" s="9" t="s">
        <v>542</v>
      </c>
      <c r="C148" s="6">
        <v>32</v>
      </c>
      <c r="D148" s="4"/>
      <c r="E148" s="6">
        <f>E147+C148-D148</f>
      </c>
      <c r="F148" s="4"/>
    </row>
    <row x14ac:dyDescent="0.25" r="149" customHeight="1" ht="17.25">
      <c r="A149" s="7">
        <v>45701</v>
      </c>
      <c r="B149" s="9" t="s">
        <v>382</v>
      </c>
      <c r="C149" s="6">
        <v>120</v>
      </c>
      <c r="D149" s="4"/>
      <c r="E149" s="6">
        <f>E148+C149-D149</f>
      </c>
      <c r="F149" s="4"/>
    </row>
    <row x14ac:dyDescent="0.25" r="150" customHeight="1" ht="17.25">
      <c r="A150" s="7">
        <v>45701</v>
      </c>
      <c r="B150" s="9" t="s">
        <v>382</v>
      </c>
      <c r="C150" s="6">
        <v>101</v>
      </c>
      <c r="D150" s="4"/>
      <c r="E150" s="6">
        <f>E149+C150-D150</f>
      </c>
      <c r="F150" s="4"/>
    </row>
    <row x14ac:dyDescent="0.25" r="151" customHeight="1" ht="17.25">
      <c r="A151" s="7">
        <v>45701</v>
      </c>
      <c r="B151" s="9" t="s">
        <v>378</v>
      </c>
      <c r="C151" s="6">
        <v>24</v>
      </c>
      <c r="D151" s="4"/>
      <c r="E151" s="6">
        <f>E150+C151-D151</f>
      </c>
      <c r="F151" s="4"/>
    </row>
    <row x14ac:dyDescent="0.25" r="152" customHeight="1" ht="17.25">
      <c r="A152" s="7">
        <v>45701</v>
      </c>
      <c r="B152" s="9" t="s">
        <v>11</v>
      </c>
      <c r="C152" s="6">
        <v>16</v>
      </c>
      <c r="D152" s="4"/>
      <c r="E152" s="6">
        <f>E151+C152-D152</f>
      </c>
      <c r="F152" s="4"/>
    </row>
    <row x14ac:dyDescent="0.25" r="153" customHeight="1" ht="17.25">
      <c r="A153" s="7">
        <v>45702</v>
      </c>
      <c r="B153" s="9" t="s">
        <v>445</v>
      </c>
      <c r="C153" s="6">
        <v>30</v>
      </c>
      <c r="D153" s="4"/>
      <c r="E153" s="6">
        <f>E152+C153-D153</f>
      </c>
      <c r="F153" s="4"/>
    </row>
    <row x14ac:dyDescent="0.25" r="154" customHeight="1" ht="17.25">
      <c r="A154" s="7">
        <v>45702</v>
      </c>
      <c r="B154" s="9" t="s">
        <v>123</v>
      </c>
      <c r="C154" s="6">
        <v>11</v>
      </c>
      <c r="D154" s="4"/>
      <c r="E154" s="6">
        <f>E153+C154-D154</f>
      </c>
      <c r="F154" s="4"/>
    </row>
    <row x14ac:dyDescent="0.25" r="155" customHeight="1" ht="17.25">
      <c r="A155" s="7">
        <v>45702</v>
      </c>
      <c r="B155" s="9" t="s">
        <v>39</v>
      </c>
      <c r="C155" s="6">
        <v>41</v>
      </c>
      <c r="D155" s="4"/>
      <c r="E155" s="6">
        <f>E154+C155-D155</f>
      </c>
      <c r="F155" s="4"/>
    </row>
    <row x14ac:dyDescent="0.25" r="156" customHeight="1" ht="17.25">
      <c r="A156" s="7">
        <v>45702</v>
      </c>
      <c r="B156" s="9" t="s">
        <v>382</v>
      </c>
      <c r="C156" s="6">
        <v>102</v>
      </c>
      <c r="D156" s="4"/>
      <c r="E156" s="6">
        <f>E155+C156-D156</f>
      </c>
      <c r="F156" s="4"/>
    </row>
    <row x14ac:dyDescent="0.25" r="157" customHeight="1" ht="17.25">
      <c r="A157" s="7">
        <v>45702</v>
      </c>
      <c r="B157" s="9" t="s">
        <v>189</v>
      </c>
      <c r="C157" s="6">
        <v>28</v>
      </c>
      <c r="D157" s="4"/>
      <c r="E157" s="6">
        <f>E156+C157-D157</f>
      </c>
      <c r="F157" s="4"/>
    </row>
    <row x14ac:dyDescent="0.25" r="158" customHeight="1" ht="17.25">
      <c r="A158" s="7">
        <v>45703</v>
      </c>
      <c r="B158" s="9" t="s">
        <v>617</v>
      </c>
      <c r="C158" s="6">
        <v>116</v>
      </c>
      <c r="D158" s="4"/>
      <c r="E158" s="6">
        <f>E157+C158-D158</f>
      </c>
      <c r="F158" s="4"/>
    </row>
    <row x14ac:dyDescent="0.25" r="159" customHeight="1" ht="17.25">
      <c r="A159" s="7">
        <v>45703</v>
      </c>
      <c r="B159" s="9" t="s">
        <v>376</v>
      </c>
      <c r="C159" s="6">
        <v>19</v>
      </c>
      <c r="D159" s="4"/>
      <c r="E159" s="6">
        <f>E158+C159-D159</f>
      </c>
      <c r="F159" s="4"/>
    </row>
    <row x14ac:dyDescent="0.25" r="160" customHeight="1" ht="17.25">
      <c r="A160" s="8">
        <v>45703</v>
      </c>
      <c r="B160" s="9" t="s">
        <v>414</v>
      </c>
      <c r="C160" s="6">
        <v>7</v>
      </c>
      <c r="D160" s="4"/>
      <c r="E160" s="6">
        <f>E159+C160-D160</f>
      </c>
      <c r="F160" s="4"/>
    </row>
    <row x14ac:dyDescent="0.25" r="161" customHeight="1" ht="17.25">
      <c r="A161" s="7">
        <v>45703</v>
      </c>
      <c r="B161" s="9" t="s">
        <v>382</v>
      </c>
      <c r="C161" s="6">
        <v>101</v>
      </c>
      <c r="D161" s="4"/>
      <c r="E161" s="6">
        <f>E160+C161-D161</f>
      </c>
      <c r="F161" s="4"/>
    </row>
    <row x14ac:dyDescent="0.25" r="162" customHeight="1" ht="17.25">
      <c r="A162" s="7">
        <v>45705</v>
      </c>
      <c r="B162" s="9" t="s">
        <v>177</v>
      </c>
      <c r="C162" s="6">
        <v>11</v>
      </c>
      <c r="D162" s="4"/>
      <c r="E162" s="6">
        <f>E161+C162-D162</f>
      </c>
      <c r="F162" s="4"/>
    </row>
    <row x14ac:dyDescent="0.25" r="163" customHeight="1" ht="17.25">
      <c r="A163" s="7">
        <v>45705</v>
      </c>
      <c r="B163" s="9" t="s">
        <v>189</v>
      </c>
      <c r="C163" s="6">
        <v>44</v>
      </c>
      <c r="D163" s="4"/>
      <c r="E163" s="6">
        <f>E162+C163-D163</f>
      </c>
      <c r="F163" s="4"/>
    </row>
    <row x14ac:dyDescent="0.25" r="164" customHeight="1" ht="17.25">
      <c r="A164" s="8">
        <v>45705</v>
      </c>
      <c r="B164" s="9" t="s">
        <v>131</v>
      </c>
      <c r="C164" s="6">
        <v>26</v>
      </c>
      <c r="D164" s="4"/>
      <c r="E164" s="6">
        <f>E163+C164-D164</f>
      </c>
      <c r="F164" s="4"/>
    </row>
    <row x14ac:dyDescent="0.25" r="165" customHeight="1" ht="17.25">
      <c r="A165" s="7">
        <v>45705</v>
      </c>
      <c r="B165" s="9" t="s">
        <v>119</v>
      </c>
      <c r="C165" s="6">
        <v>21</v>
      </c>
      <c r="D165" s="4"/>
      <c r="E165" s="6">
        <f>E164+C165-D165</f>
      </c>
      <c r="F165" s="4"/>
    </row>
    <row x14ac:dyDescent="0.25" r="166" customHeight="1" ht="17.25">
      <c r="A166" s="8">
        <v>45706</v>
      </c>
      <c r="B166" s="9" t="s">
        <v>31</v>
      </c>
      <c r="C166" s="6">
        <v>8</v>
      </c>
      <c r="D166" s="4"/>
      <c r="E166" s="6">
        <f>E165+C166-D166</f>
      </c>
      <c r="F166" s="4"/>
    </row>
    <row x14ac:dyDescent="0.25" r="167" customHeight="1" ht="17.25">
      <c r="A167" s="7">
        <v>45706</v>
      </c>
      <c r="B167" s="9" t="s">
        <v>617</v>
      </c>
      <c r="C167" s="6">
        <v>101</v>
      </c>
      <c r="D167" s="4"/>
      <c r="E167" s="6">
        <f>E166+C167-D167</f>
      </c>
      <c r="F167" s="4"/>
    </row>
    <row x14ac:dyDescent="0.25" r="168" customHeight="1" ht="17.25">
      <c r="A168" s="7">
        <v>45706</v>
      </c>
      <c r="B168" s="9" t="s">
        <v>269</v>
      </c>
      <c r="C168" s="6">
        <v>26</v>
      </c>
      <c r="D168" s="4"/>
      <c r="E168" s="6">
        <f>E167+C168-D168</f>
      </c>
      <c r="F168" s="4"/>
    </row>
    <row x14ac:dyDescent="0.25" r="169" customHeight="1" ht="17.25">
      <c r="A169" s="7">
        <v>45706</v>
      </c>
      <c r="B169" s="9" t="s">
        <v>189</v>
      </c>
      <c r="C169" s="6">
        <v>18</v>
      </c>
      <c r="D169" s="4"/>
      <c r="E169" s="6">
        <f>E168+C169-D169</f>
      </c>
      <c r="F169" s="4"/>
    </row>
    <row x14ac:dyDescent="0.25" r="170" customHeight="1" ht="17.25">
      <c r="A170" s="7">
        <v>45706</v>
      </c>
      <c r="B170" s="9" t="s">
        <v>375</v>
      </c>
      <c r="C170" s="6">
        <v>62</v>
      </c>
      <c r="D170" s="4"/>
      <c r="E170" s="6">
        <f>E169+C170-D170</f>
      </c>
      <c r="F170" s="4"/>
    </row>
    <row x14ac:dyDescent="0.25" r="171" customHeight="1" ht="17.25">
      <c r="A171" s="7">
        <v>45707</v>
      </c>
      <c r="B171" s="9" t="s">
        <v>141</v>
      </c>
      <c r="C171" s="4"/>
      <c r="D171" s="6">
        <v>24</v>
      </c>
      <c r="E171" s="6">
        <f>E170+C171-D171</f>
      </c>
      <c r="F171" s="4"/>
    </row>
    <row x14ac:dyDescent="0.25" r="172" customHeight="1" ht="17.25">
      <c r="A172" s="8">
        <v>45707</v>
      </c>
      <c r="B172" s="9" t="s">
        <v>227</v>
      </c>
      <c r="C172" s="4"/>
      <c r="D172" s="6">
        <v>111</v>
      </c>
      <c r="E172" s="6">
        <f>E171+C172-D172</f>
      </c>
      <c r="F172" s="4"/>
    </row>
    <row x14ac:dyDescent="0.25" r="173" customHeight="1" ht="17.25">
      <c r="A173" s="7">
        <v>45707</v>
      </c>
      <c r="B173" s="9" t="s">
        <v>35</v>
      </c>
      <c r="C173" s="6">
        <v>100</v>
      </c>
      <c r="D173" s="4"/>
      <c r="E173" s="6">
        <f>E172+C173-D173</f>
      </c>
      <c r="F173" s="4"/>
    </row>
    <row x14ac:dyDescent="0.25" r="174" customHeight="1" ht="17.25">
      <c r="A174" s="7">
        <v>45708</v>
      </c>
      <c r="B174" s="9" t="s">
        <v>272</v>
      </c>
      <c r="C174" s="4"/>
      <c r="D174" s="6">
        <v>200</v>
      </c>
      <c r="E174" s="6">
        <f>E173+C174-D174</f>
      </c>
      <c r="F174" s="4"/>
    </row>
    <row x14ac:dyDescent="0.25" r="175" customHeight="1" ht="17.25">
      <c r="A175" s="7">
        <v>45708</v>
      </c>
      <c r="B175" s="9" t="s">
        <v>269</v>
      </c>
      <c r="C175" s="6">
        <v>46</v>
      </c>
      <c r="D175" s="4"/>
      <c r="E175" s="6">
        <f>E174+C175-D175</f>
      </c>
      <c r="F175" s="4"/>
    </row>
    <row x14ac:dyDescent="0.25" r="176" customHeight="1" ht="17.25">
      <c r="A176" s="7">
        <v>45708</v>
      </c>
      <c r="B176" s="9" t="s">
        <v>376</v>
      </c>
      <c r="C176" s="6">
        <v>54</v>
      </c>
      <c r="D176" s="4"/>
      <c r="E176" s="6">
        <f>E175+C176-D176</f>
      </c>
      <c r="F176" s="4"/>
    </row>
    <row x14ac:dyDescent="0.25" r="177" customHeight="1" ht="17.25">
      <c r="A177" s="7">
        <v>45708</v>
      </c>
      <c r="B177" s="9" t="s">
        <v>189</v>
      </c>
      <c r="C177" s="6">
        <v>76</v>
      </c>
      <c r="D177" s="4"/>
      <c r="E177" s="6">
        <f>E176+C177-D177</f>
      </c>
      <c r="F177" s="4"/>
    </row>
    <row x14ac:dyDescent="0.25" r="178" customHeight="1" ht="17.25">
      <c r="A178" s="7">
        <v>45709</v>
      </c>
      <c r="B178" s="9" t="s">
        <v>452</v>
      </c>
      <c r="C178" s="4"/>
      <c r="D178" s="6">
        <v>100</v>
      </c>
      <c r="E178" s="6">
        <f>E177+C178-D178</f>
      </c>
      <c r="F178" s="4"/>
    </row>
    <row x14ac:dyDescent="0.25" r="179" customHeight="1" ht="17.25">
      <c r="A179" s="8">
        <v>45709</v>
      </c>
      <c r="B179" s="9" t="s">
        <v>39</v>
      </c>
      <c r="C179" s="6">
        <v>85</v>
      </c>
      <c r="D179" s="4"/>
      <c r="E179" s="6">
        <f>E178+C179-D179</f>
      </c>
      <c r="F179" s="4"/>
    </row>
    <row x14ac:dyDescent="0.25" r="180" customHeight="1" ht="17.25">
      <c r="A180" s="8">
        <v>45709</v>
      </c>
      <c r="B180" s="9" t="s">
        <v>131</v>
      </c>
      <c r="C180" s="6">
        <v>53</v>
      </c>
      <c r="D180" s="4"/>
      <c r="E180" s="6">
        <f>E179+C180-D180</f>
      </c>
      <c r="F180" s="4"/>
    </row>
    <row x14ac:dyDescent="0.25" r="181" customHeight="1" ht="17.25">
      <c r="A181" s="7">
        <v>45709</v>
      </c>
      <c r="B181" s="9" t="s">
        <v>189</v>
      </c>
      <c r="C181" s="6">
        <v>48</v>
      </c>
      <c r="D181" s="4"/>
      <c r="E181" s="6">
        <f>E180+C181-D181</f>
      </c>
      <c r="F181" s="4"/>
    </row>
    <row x14ac:dyDescent="0.25" r="182" customHeight="1" ht="17.25">
      <c r="A182" s="7">
        <v>45709</v>
      </c>
      <c r="B182" s="9" t="s">
        <v>2</v>
      </c>
      <c r="C182" s="6">
        <v>48</v>
      </c>
      <c r="D182" s="4"/>
      <c r="E182" s="6">
        <f>E181+C182-D182</f>
      </c>
      <c r="F182" s="4"/>
    </row>
    <row x14ac:dyDescent="0.25" r="183" customHeight="1" ht="17.25">
      <c r="A183" s="8">
        <v>45709</v>
      </c>
      <c r="B183" s="9" t="s">
        <v>269</v>
      </c>
      <c r="C183" s="6">
        <v>6</v>
      </c>
      <c r="D183" s="4"/>
      <c r="E183" s="6">
        <f>E182+C183-D183</f>
      </c>
      <c r="F183" s="4"/>
    </row>
    <row x14ac:dyDescent="0.25" r="184" customHeight="1" ht="17.25">
      <c r="A184" s="7">
        <v>45710</v>
      </c>
      <c r="B184" s="9" t="s">
        <v>35</v>
      </c>
      <c r="C184" s="6">
        <v>41</v>
      </c>
      <c r="D184" s="4"/>
      <c r="E184" s="6">
        <f>E183+C184-D184</f>
      </c>
      <c r="F184" s="4"/>
    </row>
    <row x14ac:dyDescent="0.25" r="185" customHeight="1" ht="17.25">
      <c r="A185" s="7">
        <v>45710</v>
      </c>
      <c r="B185" s="9" t="s">
        <v>11</v>
      </c>
      <c r="C185" s="6">
        <v>45</v>
      </c>
      <c r="D185" s="4"/>
      <c r="E185" s="6">
        <f>E184+C185-D185</f>
      </c>
      <c r="F185" s="4"/>
    </row>
    <row x14ac:dyDescent="0.25" r="186" customHeight="1" ht="17.25">
      <c r="A186" s="7">
        <v>45712</v>
      </c>
      <c r="B186" s="9" t="s">
        <v>4</v>
      </c>
      <c r="C186" s="4"/>
      <c r="D186" s="6">
        <v>82</v>
      </c>
      <c r="E186" s="6">
        <f>E185+C186-D186</f>
      </c>
      <c r="F186" s="4"/>
    </row>
    <row x14ac:dyDescent="0.25" r="187" customHeight="1" ht="17.25">
      <c r="A187" s="7">
        <v>45712</v>
      </c>
      <c r="B187" s="9" t="s">
        <v>413</v>
      </c>
      <c r="C187" s="6">
        <v>20</v>
      </c>
      <c r="D187" s="4"/>
      <c r="E187" s="6">
        <f>E186+C187-D187</f>
      </c>
      <c r="F187" s="4"/>
    </row>
    <row x14ac:dyDescent="0.25" r="188" customHeight="1" ht="17.25">
      <c r="A188" s="8">
        <v>45712</v>
      </c>
      <c r="B188" s="9" t="s">
        <v>257</v>
      </c>
      <c r="C188" s="6">
        <v>7</v>
      </c>
      <c r="D188" s="4"/>
      <c r="E188" s="6">
        <f>E187+C188-D188</f>
      </c>
      <c r="F188" s="4"/>
    </row>
    <row x14ac:dyDescent="0.25" r="189" customHeight="1" ht="17.25">
      <c r="A189" s="7">
        <v>45712</v>
      </c>
      <c r="B189" s="9" t="s">
        <v>270</v>
      </c>
      <c r="C189" s="6">
        <v>144</v>
      </c>
      <c r="D189" s="4"/>
      <c r="E189" s="6">
        <f>E188+C189-D189</f>
      </c>
      <c r="F189" s="4"/>
    </row>
    <row x14ac:dyDescent="0.25" r="190" customHeight="1" ht="17.25">
      <c r="A190" s="7">
        <v>45712</v>
      </c>
      <c r="B190" s="9" t="s">
        <v>255</v>
      </c>
      <c r="C190" s="6">
        <v>6</v>
      </c>
      <c r="D190" s="4"/>
      <c r="E190" s="6">
        <f>E189+C190-D190</f>
      </c>
      <c r="F190" s="4"/>
    </row>
    <row x14ac:dyDescent="0.25" r="191" customHeight="1" ht="17.25">
      <c r="A191" s="7">
        <v>45712</v>
      </c>
      <c r="B191" s="9" t="s">
        <v>382</v>
      </c>
      <c r="C191" s="6">
        <v>52</v>
      </c>
      <c r="D191" s="4"/>
      <c r="E191" s="6">
        <f>E190+C191-D191</f>
      </c>
      <c r="F191" s="4"/>
    </row>
    <row x14ac:dyDescent="0.25" r="192" customHeight="1" ht="17.25">
      <c r="A192" s="7">
        <v>45712</v>
      </c>
      <c r="B192" s="9" t="s">
        <v>189</v>
      </c>
      <c r="C192" s="6">
        <v>17</v>
      </c>
      <c r="D192" s="4"/>
      <c r="E192" s="6">
        <f>E191+C192-D192</f>
      </c>
      <c r="F192" s="4"/>
    </row>
    <row x14ac:dyDescent="0.25" r="193" customHeight="1" ht="17.25">
      <c r="A193" s="7">
        <v>45712</v>
      </c>
      <c r="B193" s="9" t="s">
        <v>274</v>
      </c>
      <c r="C193" s="6">
        <v>16</v>
      </c>
      <c r="D193" s="4"/>
      <c r="E193" s="6">
        <f>E192+C193-D193</f>
      </c>
      <c r="F193" s="4"/>
    </row>
    <row x14ac:dyDescent="0.25" r="194" customHeight="1" ht="17.25">
      <c r="A194" s="7">
        <v>45713</v>
      </c>
      <c r="B194" s="9" t="s">
        <v>29</v>
      </c>
      <c r="C194" s="4"/>
      <c r="D194" s="6">
        <v>420</v>
      </c>
      <c r="E194" s="6">
        <f>E193+C194-D194</f>
      </c>
      <c r="F194" s="4"/>
    </row>
    <row x14ac:dyDescent="0.25" r="195" customHeight="1" ht="17.25">
      <c r="A195" s="8">
        <v>45713</v>
      </c>
      <c r="B195" s="9" t="s">
        <v>131</v>
      </c>
      <c r="C195" s="6">
        <v>36</v>
      </c>
      <c r="D195" s="4"/>
      <c r="E195" s="6">
        <f>E194+C195-D195</f>
      </c>
      <c r="F195" s="4"/>
    </row>
    <row x14ac:dyDescent="0.25" r="196" customHeight="1" ht="17.25">
      <c r="A196" s="7">
        <v>45713</v>
      </c>
      <c r="B196" s="9" t="s">
        <v>257</v>
      </c>
      <c r="C196" s="6">
        <v>21</v>
      </c>
      <c r="D196" s="4"/>
      <c r="E196" s="6">
        <f>E195+C196-D196</f>
      </c>
      <c r="F196" s="4"/>
    </row>
    <row x14ac:dyDescent="0.25" r="197" customHeight="1" ht="17.25">
      <c r="A197" s="7">
        <v>45713</v>
      </c>
      <c r="B197" s="9" t="s">
        <v>382</v>
      </c>
      <c r="C197" s="6">
        <v>99</v>
      </c>
      <c r="D197" s="4"/>
      <c r="E197" s="6">
        <f>E196+C197-D197</f>
      </c>
      <c r="F197" s="4"/>
    </row>
    <row x14ac:dyDescent="0.25" r="198" customHeight="1" ht="17.25">
      <c r="A198" s="7">
        <v>45713</v>
      </c>
      <c r="B198" s="9" t="s">
        <v>382</v>
      </c>
      <c r="C198" s="6">
        <v>74</v>
      </c>
      <c r="D198" s="4"/>
      <c r="E198" s="6">
        <f>E197+C198-D198</f>
      </c>
      <c r="F198" s="4"/>
    </row>
    <row x14ac:dyDescent="0.25" r="199" customHeight="1" ht="17.25">
      <c r="A199" s="7">
        <v>45713</v>
      </c>
      <c r="B199" s="9" t="s">
        <v>382</v>
      </c>
      <c r="C199" s="6">
        <v>52</v>
      </c>
      <c r="D199" s="4"/>
      <c r="E199" s="6">
        <f>E198+C199-D199</f>
      </c>
      <c r="F199" s="4"/>
    </row>
    <row x14ac:dyDescent="0.25" r="200" customHeight="1" ht="17.25">
      <c r="A200" s="8">
        <v>45713</v>
      </c>
      <c r="B200" s="9" t="s">
        <v>118</v>
      </c>
      <c r="C200" s="6">
        <v>24</v>
      </c>
      <c r="D200" s="4"/>
      <c r="E200" s="6">
        <f>E199+C200-D200</f>
      </c>
      <c r="F200" s="4"/>
    </row>
    <row x14ac:dyDescent="0.25" r="201" customHeight="1" ht="17.25">
      <c r="A201" s="8">
        <v>45714</v>
      </c>
      <c r="B201" s="9" t="s">
        <v>39</v>
      </c>
      <c r="C201" s="6">
        <v>225</v>
      </c>
      <c r="D201" s="4"/>
      <c r="E201" s="6">
        <f>E200+C201-D201</f>
      </c>
      <c r="F201" s="4"/>
    </row>
    <row x14ac:dyDescent="0.25" r="202" customHeight="1" ht="17.25">
      <c r="A202" s="7">
        <v>45714</v>
      </c>
      <c r="B202" s="9" t="s">
        <v>35</v>
      </c>
      <c r="C202" s="6">
        <v>38</v>
      </c>
      <c r="D202" s="4"/>
      <c r="E202" s="6">
        <f>E201+C202-D202</f>
      </c>
      <c r="F202" s="4"/>
    </row>
    <row x14ac:dyDescent="0.25" r="203" customHeight="1" ht="17.25">
      <c r="A203" s="7">
        <v>45715</v>
      </c>
      <c r="B203" s="9" t="s">
        <v>179</v>
      </c>
      <c r="C203" s="4"/>
      <c r="D203" s="6">
        <v>64</v>
      </c>
      <c r="E203" s="6">
        <f>E202+C203-D203</f>
      </c>
      <c r="F203" s="4"/>
    </row>
    <row x14ac:dyDescent="0.25" r="204" customHeight="1" ht="17.25">
      <c r="A204" s="7">
        <v>45715</v>
      </c>
      <c r="B204" s="9" t="s">
        <v>179</v>
      </c>
      <c r="C204" s="4"/>
      <c r="D204" s="6">
        <v>16</v>
      </c>
      <c r="E204" s="6">
        <f>E203+C204-D204</f>
      </c>
      <c r="F204" s="4"/>
    </row>
    <row x14ac:dyDescent="0.25" r="205" customHeight="1" ht="17.25">
      <c r="A205" s="7">
        <v>45717</v>
      </c>
      <c r="B205" s="9" t="s">
        <v>189</v>
      </c>
      <c r="C205" s="6">
        <v>73</v>
      </c>
      <c r="D205" s="4"/>
      <c r="E205" s="6">
        <f>E204+C205-D205</f>
      </c>
      <c r="F205" s="4"/>
    </row>
    <row x14ac:dyDescent="0.25" r="206" customHeight="1" ht="17.25">
      <c r="A206" s="8">
        <v>45719</v>
      </c>
      <c r="B206" s="9" t="s">
        <v>141</v>
      </c>
      <c r="C206" s="4"/>
      <c r="D206" s="6">
        <v>75</v>
      </c>
      <c r="E206" s="6">
        <f>E205+C206-D206</f>
      </c>
      <c r="F206" s="4"/>
    </row>
    <row x14ac:dyDescent="0.25" r="207" customHeight="1" ht="17.25">
      <c r="A207" s="7">
        <v>45719</v>
      </c>
      <c r="B207" s="9" t="s">
        <v>617</v>
      </c>
      <c r="C207" s="6">
        <v>82</v>
      </c>
      <c r="D207" s="4"/>
      <c r="E207" s="6">
        <f>E206+C207-D207</f>
      </c>
      <c r="F207" s="4"/>
    </row>
    <row x14ac:dyDescent="0.25" r="208" customHeight="1" ht="17.25">
      <c r="A208" s="7">
        <v>45719</v>
      </c>
      <c r="B208" s="9" t="s">
        <v>39</v>
      </c>
      <c r="C208" s="6">
        <v>119</v>
      </c>
      <c r="D208" s="4"/>
      <c r="E208" s="6">
        <f>E207+C208-D208</f>
      </c>
      <c r="F208" s="4"/>
    </row>
    <row x14ac:dyDescent="0.25" r="209" customHeight="1" ht="17.25">
      <c r="A209" s="7">
        <v>45719</v>
      </c>
      <c r="B209" s="9" t="s">
        <v>189</v>
      </c>
      <c r="C209" s="6">
        <v>11</v>
      </c>
      <c r="D209" s="4"/>
      <c r="E209" s="6">
        <f>E208+C209-D209</f>
      </c>
      <c r="F209" s="4"/>
    </row>
    <row x14ac:dyDescent="0.25" r="210" customHeight="1" ht="17.25">
      <c r="A210" s="8">
        <v>45719</v>
      </c>
      <c r="B210" s="9" t="s">
        <v>35</v>
      </c>
      <c r="C210" s="6">
        <v>83</v>
      </c>
      <c r="D210" s="4"/>
      <c r="E210" s="6">
        <f>E209+C210-D210</f>
      </c>
      <c r="F210" s="4"/>
    </row>
    <row x14ac:dyDescent="0.25" r="211" customHeight="1" ht="17.25">
      <c r="A211" s="7">
        <v>45720</v>
      </c>
      <c r="B211" s="9" t="s">
        <v>387</v>
      </c>
      <c r="C211" s="4"/>
      <c r="D211" s="6">
        <v>235</v>
      </c>
      <c r="E211" s="6">
        <f>E210+C211-D211</f>
      </c>
      <c r="F211" s="4"/>
    </row>
    <row x14ac:dyDescent="0.25" r="212" customHeight="1" ht="17.25">
      <c r="A212" s="7">
        <v>45720</v>
      </c>
      <c r="B212" s="9" t="s">
        <v>412</v>
      </c>
      <c r="C212" s="4"/>
      <c r="D212" s="6">
        <v>50</v>
      </c>
      <c r="E212" s="6">
        <f>E211+C212-D212</f>
      </c>
      <c r="F212" s="4"/>
    </row>
    <row x14ac:dyDescent="0.25" r="213" customHeight="1" ht="17.25">
      <c r="A213" s="7">
        <v>45721</v>
      </c>
      <c r="B213" s="9" t="s">
        <v>39</v>
      </c>
      <c r="C213" s="6">
        <v>178</v>
      </c>
      <c r="D213" s="4"/>
      <c r="E213" s="6">
        <f>E212+C213-D213</f>
      </c>
      <c r="F213" s="4"/>
    </row>
    <row x14ac:dyDescent="0.25" r="214" customHeight="1" ht="17.25">
      <c r="A214" s="7">
        <v>45721</v>
      </c>
      <c r="B214" s="9" t="s">
        <v>35</v>
      </c>
      <c r="C214" s="6">
        <v>38</v>
      </c>
      <c r="D214" s="4"/>
      <c r="E214" s="6">
        <f>E213+C214-D214</f>
      </c>
      <c r="F214" s="4"/>
    </row>
    <row x14ac:dyDescent="0.25" r="215" customHeight="1" ht="17.25">
      <c r="A215" s="7">
        <v>45721</v>
      </c>
      <c r="B215" s="9" t="s">
        <v>375</v>
      </c>
      <c r="C215" s="6">
        <v>25</v>
      </c>
      <c r="D215" s="4"/>
      <c r="E215" s="6">
        <f>E214+C215-D215</f>
      </c>
      <c r="F215" s="4"/>
    </row>
    <row x14ac:dyDescent="0.25" r="216" customHeight="1" ht="17.25">
      <c r="A216" s="7">
        <v>45722</v>
      </c>
      <c r="B216" s="9" t="s">
        <v>387</v>
      </c>
      <c r="C216" s="4"/>
      <c r="D216" s="6">
        <v>234</v>
      </c>
      <c r="E216" s="6">
        <f>E215+C216-D216</f>
      </c>
      <c r="F216" s="4"/>
    </row>
    <row x14ac:dyDescent="0.25" r="217" customHeight="1" ht="17.25">
      <c r="A217" s="7">
        <v>45722</v>
      </c>
      <c r="B217" s="9" t="s">
        <v>29</v>
      </c>
      <c r="C217" s="4"/>
      <c r="D217" s="6">
        <v>400</v>
      </c>
      <c r="E217" s="6">
        <f>E216+C217-D217</f>
      </c>
      <c r="F217" s="4"/>
    </row>
    <row x14ac:dyDescent="0.25" r="218" customHeight="1" ht="17.25">
      <c r="A218" s="8">
        <v>45722</v>
      </c>
      <c r="B218" s="9" t="s">
        <v>283</v>
      </c>
      <c r="C218" s="6">
        <v>75</v>
      </c>
      <c r="D218" s="4"/>
      <c r="E218" s="6">
        <f>E217+C218-D218</f>
      </c>
      <c r="F218" s="4"/>
    </row>
    <row x14ac:dyDescent="0.25" r="219" customHeight="1" ht="17.25">
      <c r="A219" s="7">
        <v>45722</v>
      </c>
      <c r="B219" s="9" t="s">
        <v>119</v>
      </c>
      <c r="C219" s="6">
        <v>64</v>
      </c>
      <c r="D219" s="4"/>
      <c r="E219" s="6">
        <f>E218+C219-D219</f>
      </c>
      <c r="F219" s="4"/>
    </row>
    <row x14ac:dyDescent="0.25" r="220" customHeight="1" ht="17.25">
      <c r="A220" s="7">
        <v>45723</v>
      </c>
      <c r="B220" s="9" t="s">
        <v>412</v>
      </c>
      <c r="C220" s="4"/>
      <c r="D220" s="6">
        <v>99</v>
      </c>
      <c r="E220" s="6">
        <f>E219+C220-D220</f>
      </c>
      <c r="F220" s="4"/>
    </row>
    <row x14ac:dyDescent="0.25" r="221" customHeight="1" ht="17.25">
      <c r="A221" s="7">
        <v>45723</v>
      </c>
      <c r="B221" s="9" t="s">
        <v>257</v>
      </c>
      <c r="C221" s="6">
        <v>50</v>
      </c>
      <c r="D221" s="4"/>
      <c r="E221" s="6">
        <f>E220+C221-D221</f>
      </c>
      <c r="F221" s="4"/>
    </row>
    <row x14ac:dyDescent="0.25" r="222" customHeight="1" ht="17.25">
      <c r="A222" s="8">
        <v>45723</v>
      </c>
      <c r="B222" s="9" t="s">
        <v>35</v>
      </c>
      <c r="C222" s="6">
        <v>25</v>
      </c>
      <c r="D222" s="4"/>
      <c r="E222" s="6">
        <f>E221+C222-D222</f>
      </c>
      <c r="F222" s="4"/>
    </row>
    <row x14ac:dyDescent="0.25" r="223" customHeight="1" ht="17.25">
      <c r="A223" s="7">
        <v>45723</v>
      </c>
      <c r="B223" s="9" t="s">
        <v>382</v>
      </c>
      <c r="C223" s="6">
        <v>184</v>
      </c>
      <c r="D223" s="4"/>
      <c r="E223" s="6">
        <f>E222+C223-D223</f>
      </c>
      <c r="F223" s="4"/>
    </row>
    <row x14ac:dyDescent="0.25" r="224" customHeight="1" ht="17.25">
      <c r="A224" s="7">
        <v>45723</v>
      </c>
      <c r="B224" s="9" t="s">
        <v>189</v>
      </c>
      <c r="C224" s="6">
        <v>40</v>
      </c>
      <c r="D224" s="4"/>
      <c r="E224" s="6">
        <f>E223+C224-D224</f>
      </c>
      <c r="F224" s="4"/>
    </row>
    <row x14ac:dyDescent="0.25" r="225" customHeight="1" ht="17.25">
      <c r="A225" s="7">
        <v>45723</v>
      </c>
      <c r="B225" s="9" t="s">
        <v>39</v>
      </c>
      <c r="C225" s="6">
        <v>14</v>
      </c>
      <c r="D225" s="4"/>
      <c r="E225" s="6">
        <f>E224+C225-D225</f>
      </c>
      <c r="F225" s="4"/>
    </row>
    <row x14ac:dyDescent="0.25" r="226" customHeight="1" ht="17.25">
      <c r="A226" s="8">
        <v>45723</v>
      </c>
      <c r="B226" s="9" t="s">
        <v>489</v>
      </c>
      <c r="C226" s="6">
        <v>13</v>
      </c>
      <c r="D226" s="4"/>
      <c r="E226" s="6">
        <f>E225+C226-D226</f>
      </c>
      <c r="F226" s="4"/>
    </row>
    <row x14ac:dyDescent="0.25" r="227" customHeight="1" ht="17.25">
      <c r="A227" s="7">
        <v>45724</v>
      </c>
      <c r="B227" s="9" t="s">
        <v>141</v>
      </c>
      <c r="C227" s="4"/>
      <c r="D227" s="6">
        <v>75</v>
      </c>
      <c r="E227" s="6">
        <f>E226+C227-D227</f>
      </c>
      <c r="F227" s="4"/>
    </row>
    <row x14ac:dyDescent="0.25" r="228" customHeight="1" ht="17.25">
      <c r="A228" s="7">
        <v>45724</v>
      </c>
      <c r="B228" s="9" t="s">
        <v>283</v>
      </c>
      <c r="C228" s="6">
        <v>25</v>
      </c>
      <c r="D228" s="4"/>
      <c r="E228" s="6">
        <f>E227+C228-D228</f>
      </c>
      <c r="F228" s="4"/>
    </row>
    <row x14ac:dyDescent="0.25" r="229" customHeight="1" ht="17.25">
      <c r="A229" s="7">
        <v>45724</v>
      </c>
      <c r="B229" s="9" t="s">
        <v>382</v>
      </c>
      <c r="C229" s="6">
        <v>185</v>
      </c>
      <c r="D229" s="4"/>
      <c r="E229" s="6">
        <f>E228+C229-D229</f>
      </c>
      <c r="F229" s="4"/>
    </row>
    <row x14ac:dyDescent="0.25" r="230" customHeight="1" ht="17.25">
      <c r="A230" s="8">
        <v>45724</v>
      </c>
      <c r="B230" s="9" t="s">
        <v>189</v>
      </c>
      <c r="C230" s="6">
        <v>11</v>
      </c>
      <c r="D230" s="4"/>
      <c r="E230" s="6">
        <f>E229+C230-D230</f>
      </c>
      <c r="F230" s="4"/>
    </row>
    <row x14ac:dyDescent="0.25" r="231" customHeight="1" ht="17.25">
      <c r="A231" s="7">
        <v>45726</v>
      </c>
      <c r="B231" s="9" t="s">
        <v>31</v>
      </c>
      <c r="C231" s="4"/>
      <c r="D231" s="6">
        <v>8</v>
      </c>
      <c r="E231" s="6">
        <f>E230+C231-D231</f>
      </c>
      <c r="F231" s="4"/>
    </row>
    <row x14ac:dyDescent="0.25" r="232" customHeight="1" ht="17.25">
      <c r="A232" s="7">
        <v>45726</v>
      </c>
      <c r="B232" s="9" t="s">
        <v>141</v>
      </c>
      <c r="C232" s="4"/>
      <c r="D232" s="6">
        <v>125</v>
      </c>
      <c r="E232" s="6">
        <f>E231+C232-D232</f>
      </c>
      <c r="F232" s="4"/>
    </row>
    <row x14ac:dyDescent="0.25" r="233" customHeight="1" ht="17.25">
      <c r="A233" s="7">
        <v>45726</v>
      </c>
      <c r="B233" s="9" t="s">
        <v>3</v>
      </c>
      <c r="C233" s="4"/>
      <c r="D233" s="6">
        <v>100</v>
      </c>
      <c r="E233" s="6">
        <f>E232+C233-D233</f>
      </c>
      <c r="F233" s="4"/>
    </row>
    <row x14ac:dyDescent="0.25" r="234" customHeight="1" ht="17.25">
      <c r="A234" s="7">
        <v>45726</v>
      </c>
      <c r="B234" s="9" t="s">
        <v>35</v>
      </c>
      <c r="C234" s="6">
        <v>10</v>
      </c>
      <c r="D234" s="4"/>
      <c r="E234" s="6">
        <f>E233+C234-D234</f>
      </c>
      <c r="F234" s="4"/>
    </row>
    <row x14ac:dyDescent="0.25" r="235" customHeight="1" ht="17.25">
      <c r="A235" s="7">
        <v>45726</v>
      </c>
      <c r="B235" s="9" t="s">
        <v>452</v>
      </c>
      <c r="C235" s="6">
        <v>55</v>
      </c>
      <c r="D235" s="4"/>
      <c r="E235" s="6">
        <f>E234+C235-D235</f>
      </c>
      <c r="F235" s="4"/>
    </row>
    <row x14ac:dyDescent="0.25" r="236" customHeight="1" ht="17.25">
      <c r="A236" s="7">
        <v>45726</v>
      </c>
      <c r="B236" s="9" t="s">
        <v>189</v>
      </c>
      <c r="C236" s="6">
        <v>29</v>
      </c>
      <c r="D236" s="4"/>
      <c r="E236" s="6">
        <f>E235+C236-D236</f>
      </c>
      <c r="F236" s="4"/>
    </row>
    <row x14ac:dyDescent="0.25" r="237" customHeight="1" ht="17.25">
      <c r="A237" s="8">
        <v>45726</v>
      </c>
      <c r="B237" s="9" t="s">
        <v>35</v>
      </c>
      <c r="C237" s="6">
        <v>47</v>
      </c>
      <c r="D237" s="4"/>
      <c r="E237" s="6">
        <f>E236+C237-D237</f>
      </c>
      <c r="F237" s="4"/>
    </row>
    <row x14ac:dyDescent="0.25" r="238" customHeight="1" ht="17.25">
      <c r="A238" s="7">
        <v>45726</v>
      </c>
      <c r="B238" s="9" t="s">
        <v>375</v>
      </c>
      <c r="C238" s="6">
        <v>12</v>
      </c>
      <c r="D238" s="4"/>
      <c r="E238" s="6">
        <f>E237+C238-D238</f>
      </c>
      <c r="F238" s="4"/>
    </row>
    <row x14ac:dyDescent="0.25" r="239" customHeight="1" ht="17.25">
      <c r="A239" s="7">
        <v>45727</v>
      </c>
      <c r="B239" s="9" t="s">
        <v>412</v>
      </c>
      <c r="C239" s="4"/>
      <c r="D239" s="6">
        <v>99</v>
      </c>
      <c r="E239" s="6">
        <f>E238+C239-D239</f>
      </c>
      <c r="F239" s="4"/>
    </row>
    <row x14ac:dyDescent="0.25" r="240" customHeight="1" ht="17.25">
      <c r="A240" s="7">
        <v>45727</v>
      </c>
      <c r="B240" s="9" t="s">
        <v>119</v>
      </c>
      <c r="C240" s="6">
        <v>17</v>
      </c>
      <c r="D240" s="4"/>
      <c r="E240" s="6">
        <f>E239+C240-D240</f>
      </c>
      <c r="F240" s="4"/>
    </row>
    <row x14ac:dyDescent="0.25" r="241" customHeight="1" ht="17.25">
      <c r="A241" s="8">
        <v>45727</v>
      </c>
      <c r="B241" s="9" t="s">
        <v>39</v>
      </c>
      <c r="C241" s="6">
        <v>39</v>
      </c>
      <c r="D241" s="4"/>
      <c r="E241" s="6">
        <f>E240+C241-D241</f>
      </c>
      <c r="F241" s="4"/>
    </row>
    <row x14ac:dyDescent="0.25" r="242" customHeight="1" ht="17.25">
      <c r="A242" s="7">
        <v>45727</v>
      </c>
      <c r="B242" s="9" t="s">
        <v>189</v>
      </c>
      <c r="C242" s="6">
        <v>18</v>
      </c>
      <c r="D242" s="4"/>
      <c r="E242" s="6">
        <f>E241+C242-D242</f>
      </c>
      <c r="F242" s="4"/>
    </row>
    <row x14ac:dyDescent="0.25" r="243" customHeight="1" ht="17.25">
      <c r="A243" s="8">
        <v>45727</v>
      </c>
      <c r="B243" s="9" t="s">
        <v>35</v>
      </c>
      <c r="C243" s="6">
        <v>7</v>
      </c>
      <c r="D243" s="4"/>
      <c r="E243" s="6">
        <f>E242+C243-D243</f>
      </c>
      <c r="F243" s="4"/>
    </row>
    <row x14ac:dyDescent="0.25" r="244" customHeight="1" ht="17.25">
      <c r="A244" s="7">
        <v>45728</v>
      </c>
      <c r="B244" s="9" t="s">
        <v>3</v>
      </c>
      <c r="C244" s="4"/>
      <c r="D244" s="6">
        <v>100</v>
      </c>
      <c r="E244" s="6">
        <f>E243+C244-D244</f>
      </c>
      <c r="F244" s="4"/>
    </row>
    <row x14ac:dyDescent="0.25" r="245" customHeight="1" ht="17.25">
      <c r="A245" s="7">
        <v>45728</v>
      </c>
      <c r="B245" s="9" t="s">
        <v>283</v>
      </c>
      <c r="C245" s="6">
        <v>109</v>
      </c>
      <c r="D245" s="4"/>
      <c r="E245" s="6">
        <f>E244+C245-D245</f>
      </c>
      <c r="F245" s="4"/>
    </row>
    <row x14ac:dyDescent="0.25" r="246" customHeight="1" ht="17.25">
      <c r="A246" s="8">
        <v>45728</v>
      </c>
      <c r="B246" s="9" t="s">
        <v>35</v>
      </c>
      <c r="C246" s="6">
        <v>14</v>
      </c>
      <c r="D246" s="4"/>
      <c r="E246" s="6">
        <f>E245+C246-D246</f>
      </c>
      <c r="F246" s="4"/>
    </row>
    <row x14ac:dyDescent="0.25" r="247" customHeight="1" ht="17.25">
      <c r="A247" s="7">
        <v>45728</v>
      </c>
      <c r="B247" s="9" t="s">
        <v>384</v>
      </c>
      <c r="C247" s="6">
        <v>60</v>
      </c>
      <c r="D247" s="4"/>
      <c r="E247" s="6">
        <f>E246+C247-D247</f>
      </c>
      <c r="F247" s="4"/>
    </row>
    <row x14ac:dyDescent="0.25" r="248" customHeight="1" ht="17.25">
      <c r="A248" s="7">
        <v>45728</v>
      </c>
      <c r="B248" s="9" t="s">
        <v>132</v>
      </c>
      <c r="C248" s="6">
        <v>30</v>
      </c>
      <c r="D248" s="4"/>
      <c r="E248" s="6">
        <f>E247+C248-D248</f>
      </c>
      <c r="F248" s="4"/>
    </row>
    <row x14ac:dyDescent="0.25" r="249" customHeight="1" ht="17.25">
      <c r="A249" s="7">
        <v>45729</v>
      </c>
      <c r="B249" s="9" t="s">
        <v>141</v>
      </c>
      <c r="C249" s="4"/>
      <c r="D249" s="6">
        <v>250</v>
      </c>
      <c r="E249" s="6">
        <f>E248+C249-D249</f>
      </c>
      <c r="F249" s="4"/>
    </row>
    <row x14ac:dyDescent="0.25" r="250" customHeight="1" ht="17.25">
      <c r="A250" s="7">
        <v>45729</v>
      </c>
      <c r="B250" s="9" t="s">
        <v>365</v>
      </c>
      <c r="C250" s="6">
        <v>12</v>
      </c>
      <c r="D250" s="4"/>
      <c r="E250" s="6">
        <f>E249+C250-D250</f>
      </c>
      <c r="F250" s="4"/>
    </row>
    <row x14ac:dyDescent="0.25" r="251" customHeight="1" ht="17.25">
      <c r="A251" s="7">
        <v>45729</v>
      </c>
      <c r="B251" s="9" t="s">
        <v>119</v>
      </c>
      <c r="C251" s="6">
        <v>7</v>
      </c>
      <c r="D251" s="4"/>
      <c r="E251" s="6">
        <f>E250+C251-D251</f>
      </c>
      <c r="F251" s="4"/>
    </row>
    <row x14ac:dyDescent="0.25" r="252" customHeight="1" ht="17.25">
      <c r="A252" s="7">
        <v>45730</v>
      </c>
      <c r="B252" s="9" t="s">
        <v>141</v>
      </c>
      <c r="C252" s="4"/>
      <c r="D252" s="6">
        <v>50</v>
      </c>
      <c r="E252" s="6">
        <f>E251+C252-D252</f>
      </c>
      <c r="F252" s="4"/>
    </row>
    <row x14ac:dyDescent="0.25" r="253" customHeight="1" ht="17.25">
      <c r="A253" s="7">
        <v>45730</v>
      </c>
      <c r="B253" s="9" t="s">
        <v>11</v>
      </c>
      <c r="C253" s="6">
        <v>103</v>
      </c>
      <c r="D253" s="4"/>
      <c r="E253" s="6">
        <f>E252+C253-D253</f>
      </c>
      <c r="F253" s="4"/>
    </row>
    <row x14ac:dyDescent="0.25" r="254" customHeight="1" ht="17.25">
      <c r="A254" s="7">
        <v>45730</v>
      </c>
      <c r="B254" s="9" t="s">
        <v>35</v>
      </c>
      <c r="C254" s="6">
        <v>14</v>
      </c>
      <c r="D254" s="4"/>
      <c r="E254" s="6">
        <f>E253+C254-D254</f>
      </c>
      <c r="F254" s="4"/>
    </row>
    <row x14ac:dyDescent="0.25" r="255" customHeight="1" ht="17.25">
      <c r="A255" s="7">
        <v>45730</v>
      </c>
      <c r="B255" s="9" t="s">
        <v>435</v>
      </c>
      <c r="C255" s="6">
        <v>53</v>
      </c>
      <c r="D255" s="4"/>
      <c r="E255" s="6">
        <f>E254+C255-D255</f>
      </c>
      <c r="F255" s="4"/>
    </row>
    <row x14ac:dyDescent="0.25" r="256" customHeight="1" ht="17.25">
      <c r="A256" s="7">
        <v>45731</v>
      </c>
      <c r="B256" s="9" t="s">
        <v>141</v>
      </c>
      <c r="C256" s="4"/>
      <c r="D256" s="6">
        <v>140</v>
      </c>
      <c r="E256" s="6">
        <f>E255+C256-D256</f>
      </c>
      <c r="F256" s="4"/>
    </row>
    <row x14ac:dyDescent="0.25" r="257" customHeight="1" ht="17.25">
      <c r="A257" s="7">
        <v>45733</v>
      </c>
      <c r="B257" s="9" t="s">
        <v>141</v>
      </c>
      <c r="C257" s="4"/>
      <c r="D257" s="6">
        <v>85</v>
      </c>
      <c r="E257" s="6">
        <f>E256+C257-D257</f>
      </c>
      <c r="F257" s="4"/>
    </row>
    <row x14ac:dyDescent="0.25" r="258" customHeight="1" ht="17.25">
      <c r="A258" s="7">
        <v>45733</v>
      </c>
      <c r="B258" s="9" t="s">
        <v>486</v>
      </c>
      <c r="C258" s="6">
        <v>60</v>
      </c>
      <c r="D258" s="4"/>
      <c r="E258" s="6">
        <f>E257+C258-D258</f>
      </c>
      <c r="F258" s="4"/>
    </row>
    <row x14ac:dyDescent="0.25" r="259" customHeight="1" ht="17.25">
      <c r="A259" s="7">
        <v>45733</v>
      </c>
      <c r="B259" s="9" t="s">
        <v>382</v>
      </c>
      <c r="C259" s="6">
        <v>98</v>
      </c>
      <c r="D259" s="4"/>
      <c r="E259" s="6">
        <f>E258+C259-D259</f>
      </c>
      <c r="F259" s="4"/>
    </row>
    <row x14ac:dyDescent="0.25" r="260" customHeight="1" ht="17.25">
      <c r="A260" s="7">
        <v>45733</v>
      </c>
      <c r="B260" s="9" t="s">
        <v>384</v>
      </c>
      <c r="C260" s="6">
        <v>178</v>
      </c>
      <c r="D260" s="4"/>
      <c r="E260" s="6">
        <f>E259+C260-D260</f>
      </c>
      <c r="F260" s="4"/>
    </row>
    <row x14ac:dyDescent="0.25" r="261" customHeight="1" ht="17.25">
      <c r="A261" s="8">
        <v>45733</v>
      </c>
      <c r="B261" s="9" t="s">
        <v>39</v>
      </c>
      <c r="C261" s="6">
        <v>24</v>
      </c>
      <c r="D261" s="4"/>
      <c r="E261" s="6">
        <f>E260+C261-D261</f>
      </c>
      <c r="F261" s="4"/>
    </row>
    <row x14ac:dyDescent="0.25" r="262" customHeight="1" ht="17.25">
      <c r="A262" s="7">
        <v>45734</v>
      </c>
      <c r="B262" s="9" t="s">
        <v>141</v>
      </c>
      <c r="C262" s="4"/>
      <c r="D262" s="6">
        <v>100</v>
      </c>
      <c r="E262" s="6">
        <f>E261+C262-D262</f>
      </c>
      <c r="F262" s="4"/>
    </row>
    <row x14ac:dyDescent="0.25" r="263" customHeight="1" ht="17.25">
      <c r="A263" s="7">
        <v>45734</v>
      </c>
      <c r="B263" s="9" t="s">
        <v>365</v>
      </c>
      <c r="C263" s="6">
        <v>17</v>
      </c>
      <c r="D263" s="4"/>
      <c r="E263" s="6">
        <f>E262+C263-D263</f>
      </c>
      <c r="F263" s="4"/>
    </row>
    <row x14ac:dyDescent="0.25" r="264" customHeight="1" ht="17.25">
      <c r="A264" s="7">
        <v>45734</v>
      </c>
      <c r="B264" s="9" t="s">
        <v>382</v>
      </c>
      <c r="C264" s="6">
        <v>120</v>
      </c>
      <c r="D264" s="4"/>
      <c r="E264" s="6">
        <f>E263+C264-D264</f>
      </c>
      <c r="F264" s="4"/>
    </row>
    <row x14ac:dyDescent="0.25" r="265" customHeight="1" ht="17.25">
      <c r="A265" s="8">
        <v>45734</v>
      </c>
      <c r="B265" s="9" t="s">
        <v>2</v>
      </c>
      <c r="C265" s="6">
        <v>6</v>
      </c>
      <c r="D265" s="4"/>
      <c r="E265" s="6">
        <f>E264+C265-D265</f>
      </c>
      <c r="F265" s="4"/>
    </row>
    <row x14ac:dyDescent="0.25" r="266" customHeight="1" ht="17.25">
      <c r="A266" s="8">
        <v>45735</v>
      </c>
      <c r="B266" s="9" t="s">
        <v>35</v>
      </c>
      <c r="C266" s="6">
        <v>27</v>
      </c>
      <c r="D266" s="4"/>
      <c r="E266" s="6">
        <f>E265+C266-D266</f>
      </c>
      <c r="F266" s="4"/>
    </row>
    <row x14ac:dyDescent="0.25" r="267" customHeight="1" ht="17.25">
      <c r="A267" s="7">
        <v>45735</v>
      </c>
      <c r="B267" s="9" t="s">
        <v>541</v>
      </c>
      <c r="C267" s="6">
        <v>102</v>
      </c>
      <c r="D267" s="4"/>
      <c r="E267" s="6">
        <f>E266+C267-D267</f>
      </c>
      <c r="F267" s="4"/>
    </row>
    <row x14ac:dyDescent="0.25" r="268" customHeight="1" ht="17.25">
      <c r="A268" s="7">
        <v>45735</v>
      </c>
      <c r="B268" s="9" t="s">
        <v>542</v>
      </c>
      <c r="C268" s="6">
        <v>68</v>
      </c>
      <c r="D268" s="4"/>
      <c r="E268" s="6">
        <f>E267+C268-D268</f>
      </c>
      <c r="F268" s="4"/>
    </row>
    <row x14ac:dyDescent="0.25" r="269" customHeight="1" ht="17.25">
      <c r="A269" s="7">
        <v>45735</v>
      </c>
      <c r="B269" s="9" t="s">
        <v>257</v>
      </c>
      <c r="C269" s="6">
        <v>23</v>
      </c>
      <c r="D269" s="4"/>
      <c r="E269" s="6">
        <f>E268+C269-D269</f>
      </c>
      <c r="F269" s="4"/>
    </row>
    <row x14ac:dyDescent="0.25" r="270" customHeight="1" ht="17.25">
      <c r="A270" s="8">
        <v>45735</v>
      </c>
      <c r="B270" s="9" t="s">
        <v>257</v>
      </c>
      <c r="C270" s="6">
        <v>32</v>
      </c>
      <c r="D270" s="4"/>
      <c r="E270" s="6">
        <f>E269+C270-D270</f>
      </c>
      <c r="F270" s="4"/>
    </row>
    <row x14ac:dyDescent="0.25" r="271" customHeight="1" ht="17.25">
      <c r="A271" s="7">
        <v>45735</v>
      </c>
      <c r="B271" s="9" t="s">
        <v>283</v>
      </c>
      <c r="C271" s="6">
        <v>83</v>
      </c>
      <c r="D271" s="4"/>
      <c r="E271" s="6">
        <f>E270+C271-D271</f>
      </c>
      <c r="F271" s="4"/>
    </row>
    <row x14ac:dyDescent="0.25" r="272" customHeight="1" ht="17.25">
      <c r="A272" s="7">
        <v>45736</v>
      </c>
      <c r="B272" s="9" t="s">
        <v>412</v>
      </c>
      <c r="C272" s="4"/>
      <c r="D272" s="6">
        <v>18</v>
      </c>
      <c r="E272" s="6">
        <f>E271+C272-D272</f>
      </c>
      <c r="F272" s="4"/>
    </row>
    <row x14ac:dyDescent="0.25" r="273" customHeight="1" ht="17.25">
      <c r="A273" s="7">
        <v>45736</v>
      </c>
      <c r="B273" s="9" t="s">
        <v>412</v>
      </c>
      <c r="C273" s="6">
        <v>18</v>
      </c>
      <c r="D273" s="4"/>
      <c r="E273" s="6">
        <f>E272+C273-D273</f>
      </c>
      <c r="F273" s="4"/>
    </row>
    <row x14ac:dyDescent="0.25" r="274" customHeight="1" ht="17.25">
      <c r="A274" s="7">
        <v>45736</v>
      </c>
      <c r="B274" s="9" t="s">
        <v>486</v>
      </c>
      <c r="C274" s="6">
        <v>40</v>
      </c>
      <c r="D274" s="4"/>
      <c r="E274" s="6">
        <f>E273+C274-D274</f>
      </c>
      <c r="F274" s="4"/>
    </row>
    <row x14ac:dyDescent="0.25" r="275" customHeight="1" ht="17.25">
      <c r="A275" s="7">
        <v>45736</v>
      </c>
      <c r="B275" s="9" t="s">
        <v>382</v>
      </c>
      <c r="C275" s="6">
        <v>98</v>
      </c>
      <c r="D275" s="4"/>
      <c r="E275" s="6">
        <f>E274+C275-D275</f>
      </c>
      <c r="F275" s="4"/>
    </row>
    <row x14ac:dyDescent="0.25" r="276" customHeight="1" ht="17.25">
      <c r="A276" s="8">
        <v>45736</v>
      </c>
      <c r="B276" s="9" t="s">
        <v>382</v>
      </c>
      <c r="C276" s="6">
        <v>60</v>
      </c>
      <c r="D276" s="4"/>
      <c r="E276" s="6">
        <f>E275+C276-D276</f>
      </c>
      <c r="F276" s="4"/>
    </row>
    <row x14ac:dyDescent="0.25" r="277" customHeight="1" ht="17.25">
      <c r="A277" s="7">
        <v>45737</v>
      </c>
      <c r="B277" s="9" t="s">
        <v>484</v>
      </c>
      <c r="C277" s="6">
        <v>54</v>
      </c>
      <c r="D277" s="4"/>
      <c r="E277" s="6">
        <f>E276+C277-D277</f>
      </c>
      <c r="F277" s="4"/>
    </row>
    <row x14ac:dyDescent="0.25" r="278" customHeight="1" ht="17.25">
      <c r="A278" s="7">
        <v>45737</v>
      </c>
      <c r="B278" s="9" t="s">
        <v>548</v>
      </c>
      <c r="C278" s="6">
        <v>42</v>
      </c>
      <c r="D278" s="4"/>
      <c r="E278" s="6">
        <f>E277+C278-D278</f>
      </c>
      <c r="F278" s="4"/>
    </row>
    <row x14ac:dyDescent="0.25" r="279" customHeight="1" ht="17.25">
      <c r="A279" s="7">
        <v>45737</v>
      </c>
      <c r="B279" s="9" t="s">
        <v>141</v>
      </c>
      <c r="C279" s="6">
        <v>50</v>
      </c>
      <c r="D279" s="4"/>
      <c r="E279" s="6">
        <f>E278+C279-D279</f>
      </c>
      <c r="F279" s="4"/>
    </row>
    <row x14ac:dyDescent="0.25" r="280" customHeight="1" ht="17.25">
      <c r="A280" s="7">
        <v>45737</v>
      </c>
      <c r="B280" s="9" t="s">
        <v>414</v>
      </c>
      <c r="C280" s="6">
        <v>10</v>
      </c>
      <c r="D280" s="4"/>
      <c r="E280" s="6">
        <f>E279+C280-D280</f>
      </c>
      <c r="F280" s="4"/>
    </row>
    <row x14ac:dyDescent="0.25" r="281" customHeight="1" ht="17.25">
      <c r="A281" s="7">
        <v>45737</v>
      </c>
      <c r="B281" s="9" t="s">
        <v>272</v>
      </c>
      <c r="C281" s="6">
        <v>42</v>
      </c>
      <c r="D281" s="4"/>
      <c r="E281" s="6">
        <f>E280+C281-D281</f>
      </c>
      <c r="F281" s="4"/>
    </row>
    <row x14ac:dyDescent="0.25" r="282" customHeight="1" ht="17.25">
      <c r="A282" s="8">
        <v>45737</v>
      </c>
      <c r="B282" s="9" t="s">
        <v>257</v>
      </c>
      <c r="C282" s="6">
        <v>43</v>
      </c>
      <c r="D282" s="4"/>
      <c r="E282" s="6">
        <f>E281+C282-D282</f>
      </c>
      <c r="F282" s="4"/>
    </row>
    <row x14ac:dyDescent="0.25" r="283" customHeight="1" ht="17.25">
      <c r="A283" s="7">
        <v>45737</v>
      </c>
      <c r="B283" s="9" t="s">
        <v>258</v>
      </c>
      <c r="C283" s="6">
        <v>24</v>
      </c>
      <c r="D283" s="4"/>
      <c r="E283" s="6">
        <f>E282+C283-D283</f>
      </c>
      <c r="F283" s="4"/>
    </row>
    <row x14ac:dyDescent="0.25" r="284" customHeight="1" ht="17.25">
      <c r="A284" s="7">
        <v>45738</v>
      </c>
      <c r="B284" s="9" t="s">
        <v>382</v>
      </c>
      <c r="C284" s="6">
        <v>106</v>
      </c>
      <c r="D284" s="4"/>
      <c r="E284" s="6">
        <f>E283+C284-D284</f>
      </c>
      <c r="F284" s="4"/>
    </row>
    <row x14ac:dyDescent="0.25" r="285" customHeight="1" ht="17.25">
      <c r="A285" s="8">
        <v>45738</v>
      </c>
      <c r="B285" s="9" t="s">
        <v>382</v>
      </c>
      <c r="C285" s="6">
        <v>53</v>
      </c>
      <c r="D285" s="4"/>
      <c r="E285" s="6">
        <f>E284+C285-D285</f>
      </c>
      <c r="F285" s="4"/>
    </row>
    <row x14ac:dyDescent="0.25" r="286" customHeight="1" ht="17.25">
      <c r="A286" s="7">
        <v>45738</v>
      </c>
      <c r="B286" s="9" t="s">
        <v>384</v>
      </c>
      <c r="C286" s="6">
        <v>144</v>
      </c>
      <c r="D286" s="4"/>
      <c r="E286" s="6">
        <f>E285+C286-D286</f>
      </c>
      <c r="F286" s="4"/>
    </row>
    <row x14ac:dyDescent="0.25" r="287" customHeight="1" ht="17.25">
      <c r="A287" s="8">
        <v>45738</v>
      </c>
      <c r="B287" s="9" t="s">
        <v>39</v>
      </c>
      <c r="C287" s="6">
        <v>34</v>
      </c>
      <c r="D287" s="4"/>
      <c r="E287" s="6">
        <f>E286+C287-D287</f>
      </c>
      <c r="F287" s="4"/>
    </row>
    <row x14ac:dyDescent="0.25" r="288" customHeight="1" ht="17.25">
      <c r="A288" s="7">
        <v>45738</v>
      </c>
      <c r="B288" s="9" t="s">
        <v>257</v>
      </c>
      <c r="C288" s="6">
        <v>48</v>
      </c>
      <c r="D288" s="4"/>
      <c r="E288" s="6">
        <f>E287+C288-D288</f>
      </c>
      <c r="F288" s="4"/>
    </row>
    <row x14ac:dyDescent="0.25" r="289" customHeight="1" ht="17.25">
      <c r="A289" s="7">
        <v>45740</v>
      </c>
      <c r="B289" s="9" t="s">
        <v>172</v>
      </c>
      <c r="C289" s="6">
        <v>20</v>
      </c>
      <c r="D289" s="4"/>
      <c r="E289" s="6">
        <f>E288+C289-D289</f>
      </c>
      <c r="F289" s="4"/>
    </row>
    <row x14ac:dyDescent="0.25" r="290" customHeight="1" ht="17.25">
      <c r="A290" s="7">
        <v>45740</v>
      </c>
      <c r="B290" s="9" t="s">
        <v>376</v>
      </c>
      <c r="C290" s="6">
        <v>32</v>
      </c>
      <c r="D290" s="4"/>
      <c r="E290" s="6">
        <f>E289+C290-D290</f>
      </c>
      <c r="F290" s="4"/>
    </row>
    <row x14ac:dyDescent="0.25" r="291" customHeight="1" ht="17.25">
      <c r="A291" s="7">
        <v>45740</v>
      </c>
      <c r="B291" s="9" t="s">
        <v>39</v>
      </c>
      <c r="C291" s="6">
        <v>13</v>
      </c>
      <c r="D291" s="4"/>
      <c r="E291" s="6">
        <f>E290+C291-D291</f>
      </c>
      <c r="F291" s="4"/>
    </row>
    <row x14ac:dyDescent="0.25" r="292" customHeight="1" ht="17.25">
      <c r="A292" s="7">
        <v>45740</v>
      </c>
      <c r="B292" s="9" t="s">
        <v>272</v>
      </c>
      <c r="C292" s="6">
        <v>33</v>
      </c>
      <c r="D292" s="4"/>
      <c r="E292" s="6">
        <f>E291+C292-D292</f>
      </c>
      <c r="F292" s="4"/>
    </row>
    <row x14ac:dyDescent="0.25" r="293" customHeight="1" ht="17.25">
      <c r="A293" s="8">
        <v>45741</v>
      </c>
      <c r="B293" s="9" t="s">
        <v>272</v>
      </c>
      <c r="C293" s="6">
        <v>67</v>
      </c>
      <c r="D293" s="4"/>
      <c r="E293" s="6">
        <f>E292+C293-D293</f>
      </c>
      <c r="F293" s="4"/>
    </row>
    <row x14ac:dyDescent="0.25" r="294" customHeight="1" ht="17.25">
      <c r="A294" s="7">
        <v>45741</v>
      </c>
      <c r="B294" s="9" t="s">
        <v>257</v>
      </c>
      <c r="C294" s="6">
        <v>61</v>
      </c>
      <c r="D294" s="4"/>
      <c r="E294" s="6">
        <f>E293+C294-D294</f>
      </c>
      <c r="F294" s="4"/>
    </row>
    <row x14ac:dyDescent="0.25" r="295" customHeight="1" ht="17.25">
      <c r="A295" s="7">
        <v>45741</v>
      </c>
      <c r="B295" s="9" t="s">
        <v>257</v>
      </c>
      <c r="C295" s="6">
        <v>70</v>
      </c>
      <c r="D295" s="4"/>
      <c r="E295" s="6">
        <f>E294+C295-D295</f>
      </c>
      <c r="F295" s="4"/>
    </row>
    <row x14ac:dyDescent="0.25" r="296" customHeight="1" ht="17.25">
      <c r="A296" s="7">
        <v>45742</v>
      </c>
      <c r="B296" s="9" t="s">
        <v>172</v>
      </c>
      <c r="C296" s="6">
        <v>17</v>
      </c>
      <c r="D296" s="4"/>
      <c r="E296" s="6">
        <f>E295+C296-D296</f>
      </c>
      <c r="F296" s="4"/>
    </row>
    <row x14ac:dyDescent="0.25" r="297" customHeight="1" ht="17.25">
      <c r="A297" s="7">
        <v>45755</v>
      </c>
      <c r="B297" s="9" t="s">
        <v>382</v>
      </c>
      <c r="C297" s="6">
        <v>60</v>
      </c>
      <c r="D297" s="4"/>
      <c r="E297" s="6">
        <f>E296+C297-D297</f>
      </c>
      <c r="F297" s="4"/>
    </row>
    <row x14ac:dyDescent="0.25" r="298" customHeight="1" ht="17.25">
      <c r="A298" s="7">
        <v>45755</v>
      </c>
      <c r="B298" s="9" t="s">
        <v>232</v>
      </c>
      <c r="C298" s="4"/>
      <c r="D298" s="6">
        <v>8</v>
      </c>
      <c r="E298" s="6">
        <f>E297+C298-D298</f>
      </c>
      <c r="F298" s="4"/>
    </row>
    <row x14ac:dyDescent="0.25" r="299" customHeight="1" ht="17.25">
      <c r="A299" s="8">
        <v>45755</v>
      </c>
      <c r="B299" s="9" t="s">
        <v>232</v>
      </c>
      <c r="C299" s="6">
        <v>42</v>
      </c>
      <c r="D299" s="4"/>
      <c r="E299" s="6">
        <f>E298+C299-D299</f>
      </c>
      <c r="F299" s="4"/>
    </row>
    <row x14ac:dyDescent="0.25" r="300" customHeight="1" ht="17.25">
      <c r="A300" s="8">
        <v>45755</v>
      </c>
      <c r="B300" s="9" t="s">
        <v>232</v>
      </c>
      <c r="C300" s="6">
        <v>60</v>
      </c>
      <c r="D300" s="4"/>
      <c r="E300" s="6">
        <f>E299+C300-D300</f>
      </c>
      <c r="F300" s="4"/>
    </row>
    <row x14ac:dyDescent="0.25" r="301" customHeight="1" ht="17.25">
      <c r="A301" s="7">
        <v>45757</v>
      </c>
      <c r="B301" s="9" t="s">
        <v>283</v>
      </c>
      <c r="C301" s="6">
        <v>121</v>
      </c>
      <c r="D301" s="4"/>
      <c r="E301" s="6">
        <f>E300+C301-D301</f>
      </c>
      <c r="F301" s="4"/>
    </row>
    <row x14ac:dyDescent="0.25" r="302" customHeight="1" ht="17.25">
      <c r="A302" s="7">
        <v>45761</v>
      </c>
      <c r="B302" s="9" t="s">
        <v>39</v>
      </c>
      <c r="C302" s="6">
        <v>46</v>
      </c>
      <c r="D302" s="4"/>
      <c r="E302" s="6">
        <f>E301+C302-D302</f>
      </c>
      <c r="F302" s="4"/>
    </row>
    <row x14ac:dyDescent="0.25" r="303" customHeight="1" ht="17.25">
      <c r="A303" s="7">
        <v>45762</v>
      </c>
      <c r="B303" s="9" t="s">
        <v>389</v>
      </c>
      <c r="C303" s="4"/>
      <c r="D303" s="6">
        <v>40</v>
      </c>
      <c r="E303" s="6">
        <f>E302+C303-D303</f>
      </c>
      <c r="F303" s="4"/>
    </row>
    <row x14ac:dyDescent="0.25" r="304" customHeight="1" ht="17.25">
      <c r="A304" s="7">
        <v>45762</v>
      </c>
      <c r="B304" s="9" t="s">
        <v>189</v>
      </c>
      <c r="C304" s="4"/>
      <c r="D304" s="6">
        <v>100</v>
      </c>
      <c r="E304" s="6">
        <f>E303+C304-D304</f>
      </c>
      <c r="F304" s="4"/>
    </row>
    <row x14ac:dyDescent="0.25" r="305" customHeight="1" ht="17.25">
      <c r="A305" s="8">
        <v>45762</v>
      </c>
      <c r="B305" s="9" t="s">
        <v>283</v>
      </c>
      <c r="C305" s="6">
        <v>68</v>
      </c>
      <c r="D305" s="4"/>
      <c r="E305" s="6">
        <f>E304+C305-D305</f>
      </c>
      <c r="F305" s="4"/>
    </row>
    <row x14ac:dyDescent="0.25" r="306" customHeight="1" ht="17.25">
      <c r="A306" s="8">
        <v>45762</v>
      </c>
      <c r="B306" s="9" t="s">
        <v>283</v>
      </c>
      <c r="C306" s="6">
        <v>62</v>
      </c>
      <c r="D306" s="4"/>
      <c r="E306" s="6">
        <f>E305+C306-D306</f>
      </c>
      <c r="F306" s="4"/>
    </row>
    <row x14ac:dyDescent="0.25" r="307" customHeight="1" ht="17.25">
      <c r="A307" s="8">
        <v>45763</v>
      </c>
      <c r="B307" s="9" t="s">
        <v>416</v>
      </c>
      <c r="C307" s="4"/>
      <c r="D307" s="6">
        <v>24</v>
      </c>
      <c r="E307" s="6">
        <f>E306+C307-D307</f>
      </c>
      <c r="F307" s="4"/>
    </row>
    <row x14ac:dyDescent="0.25" r="308" customHeight="1" ht="17.25">
      <c r="A308" s="7">
        <v>45763</v>
      </c>
      <c r="B308" s="9" t="s">
        <v>2</v>
      </c>
      <c r="C308" s="6">
        <v>30</v>
      </c>
      <c r="D308" s="4"/>
      <c r="E308" s="6">
        <f>E307+C308-D308</f>
      </c>
      <c r="F308" s="4"/>
    </row>
    <row x14ac:dyDescent="0.25" r="309" customHeight="1" ht="17.25">
      <c r="A309" s="7">
        <v>45763</v>
      </c>
      <c r="B309" s="9" t="s">
        <v>283</v>
      </c>
      <c r="C309" s="6">
        <v>84</v>
      </c>
      <c r="D309" s="4"/>
      <c r="E309" s="6">
        <f>E308+C309-D309</f>
      </c>
      <c r="F309" s="4"/>
    </row>
    <row x14ac:dyDescent="0.25" r="310" customHeight="1" ht="17.25">
      <c r="A310" s="7">
        <v>45763</v>
      </c>
      <c r="B310" s="9" t="s">
        <v>63</v>
      </c>
      <c r="C310" s="6">
        <v>30</v>
      </c>
      <c r="D310" s="4"/>
      <c r="E310" s="6">
        <f>E309+C310-D310</f>
      </c>
      <c r="F310" s="4"/>
    </row>
    <row x14ac:dyDescent="0.25" r="311" customHeight="1" ht="17.25">
      <c r="A311" s="7">
        <v>45764</v>
      </c>
      <c r="B311" s="9" t="s">
        <v>486</v>
      </c>
      <c r="C311" s="6">
        <v>119</v>
      </c>
      <c r="D311" s="4"/>
      <c r="E311" s="6">
        <f>E310+C311-D311</f>
      </c>
      <c r="F311" s="4"/>
    </row>
    <row x14ac:dyDescent="0.25" r="312" customHeight="1" ht="17.25">
      <c r="A312" s="7">
        <v>45766</v>
      </c>
      <c r="B312" s="9" t="s">
        <v>384</v>
      </c>
      <c r="C312" s="6">
        <v>137</v>
      </c>
      <c r="D312" s="4"/>
      <c r="E312" s="6">
        <f>E311+C312-D312</f>
      </c>
      <c r="F312" s="4"/>
    </row>
    <row x14ac:dyDescent="0.25" r="313" customHeight="1" ht="17.25">
      <c r="A313" s="7">
        <v>45766</v>
      </c>
      <c r="B313" s="9" t="s">
        <v>484</v>
      </c>
      <c r="C313" s="6">
        <v>74</v>
      </c>
      <c r="D313" s="4"/>
      <c r="E313" s="6">
        <f>E312+C313-D313</f>
      </c>
      <c r="F313" s="4"/>
    </row>
    <row x14ac:dyDescent="0.25" r="314" customHeight="1" ht="17.25">
      <c r="A314" s="8">
        <v>45766</v>
      </c>
      <c r="B314" s="9" t="s">
        <v>484</v>
      </c>
      <c r="C314" s="6">
        <v>98</v>
      </c>
      <c r="D314" s="4"/>
      <c r="E314" s="6">
        <f>E313+C314-D314</f>
      </c>
      <c r="F314" s="4"/>
    </row>
    <row x14ac:dyDescent="0.25" r="315" customHeight="1" ht="17.25">
      <c r="A315" s="7">
        <v>45768</v>
      </c>
      <c r="B315" s="9" t="s">
        <v>412</v>
      </c>
      <c r="C315" s="4"/>
      <c r="D315" s="6">
        <v>40</v>
      </c>
      <c r="E315" s="6">
        <f>E314+C315-D315</f>
      </c>
      <c r="F315" s="4"/>
    </row>
    <row x14ac:dyDescent="0.25" r="316" customHeight="1" ht="17.25">
      <c r="A316" s="7">
        <v>45768</v>
      </c>
      <c r="B316" s="9" t="s">
        <v>272</v>
      </c>
      <c r="C316" s="6">
        <v>69</v>
      </c>
      <c r="D316" s="4"/>
      <c r="E316" s="6">
        <f>E315+C316-D316</f>
      </c>
      <c r="F316" s="4"/>
    </row>
    <row x14ac:dyDescent="0.25" r="317" customHeight="1" ht="17.25">
      <c r="A317" s="8">
        <v>45769</v>
      </c>
      <c r="B317" s="9" t="s">
        <v>39</v>
      </c>
      <c r="C317" s="6">
        <v>14</v>
      </c>
      <c r="D317" s="4"/>
      <c r="E317" s="6">
        <f>E316+C317-D317</f>
      </c>
      <c r="F317" s="4"/>
    </row>
    <row x14ac:dyDescent="0.25" r="318" customHeight="1" ht="17.25">
      <c r="A318" s="8">
        <v>45769</v>
      </c>
      <c r="B318" s="9" t="s">
        <v>118</v>
      </c>
      <c r="C318" s="6">
        <v>20</v>
      </c>
      <c r="D318" s="4"/>
      <c r="E318" s="6">
        <f>E317+C318-D318</f>
      </c>
      <c r="F318" s="4"/>
    </row>
    <row x14ac:dyDescent="0.25" r="319" customHeight="1" ht="17.25">
      <c r="A319" s="7">
        <v>45770</v>
      </c>
      <c r="B319" s="9" t="s">
        <v>286</v>
      </c>
      <c r="C319" s="4"/>
      <c r="D319" s="6">
        <v>160</v>
      </c>
      <c r="E319" s="6">
        <f>E318+C319-D319</f>
      </c>
      <c r="F319" s="4"/>
    </row>
    <row x14ac:dyDescent="0.25" r="320" customHeight="1" ht="17.25">
      <c r="A320" s="8">
        <v>45770</v>
      </c>
      <c r="B320" s="9" t="s">
        <v>228</v>
      </c>
      <c r="C320" s="4"/>
      <c r="D320" s="6">
        <v>69</v>
      </c>
      <c r="E320" s="6">
        <f>E319+C320-D320</f>
      </c>
      <c r="F320" s="4"/>
    </row>
    <row x14ac:dyDescent="0.25" r="321" customHeight="1" ht="17.25">
      <c r="A321" s="7">
        <v>45771</v>
      </c>
      <c r="B321" s="9" t="s">
        <v>228</v>
      </c>
      <c r="C321" s="4"/>
      <c r="D321" s="6">
        <v>69</v>
      </c>
      <c r="E321" s="6">
        <f>E320+C321-D321</f>
      </c>
      <c r="F321" s="4"/>
    </row>
    <row x14ac:dyDescent="0.25" r="322" customHeight="1" ht="17.25">
      <c r="A322" s="7">
        <v>45771</v>
      </c>
      <c r="B322" s="9" t="s">
        <v>411</v>
      </c>
      <c r="C322" s="4"/>
      <c r="D322" s="6">
        <v>60</v>
      </c>
      <c r="E322" s="6">
        <f>E321+C322-D322</f>
      </c>
      <c r="F322" s="4"/>
    </row>
    <row x14ac:dyDescent="0.25" r="323" customHeight="1" ht="17.25">
      <c r="A323" s="7">
        <v>45771</v>
      </c>
      <c r="B323" s="9" t="s">
        <v>289</v>
      </c>
      <c r="C323" s="4"/>
      <c r="D323" s="6">
        <v>34</v>
      </c>
      <c r="E323" s="6">
        <f>E322+C323-D323</f>
      </c>
      <c r="F323" s="4"/>
    </row>
    <row x14ac:dyDescent="0.25" r="324" customHeight="1" ht="17.25">
      <c r="A324" s="7">
        <v>45771</v>
      </c>
      <c r="B324" s="9" t="s">
        <v>283</v>
      </c>
      <c r="C324" s="6">
        <v>20</v>
      </c>
      <c r="D324" s="4"/>
      <c r="E324" s="6">
        <f>E323+C324-D324</f>
      </c>
      <c r="F324" s="4"/>
    </row>
    <row x14ac:dyDescent="0.25" r="325" customHeight="1" ht="17.25">
      <c r="A325" s="7">
        <v>45772</v>
      </c>
      <c r="B325" s="9" t="s">
        <v>228</v>
      </c>
      <c r="C325" s="4"/>
      <c r="D325" s="6">
        <v>69</v>
      </c>
      <c r="E325" s="6">
        <f>E324+C325-D325</f>
      </c>
      <c r="F325" s="4"/>
    </row>
    <row x14ac:dyDescent="0.25" r="326" customHeight="1" ht="17.25">
      <c r="A326" s="7">
        <v>45772</v>
      </c>
      <c r="B326" s="9" t="s">
        <v>44</v>
      </c>
      <c r="C326" s="6">
        <v>80</v>
      </c>
      <c r="D326" s="4"/>
      <c r="E326" s="6">
        <f>E325+C326-D326</f>
      </c>
      <c r="F326" s="4"/>
    </row>
    <row x14ac:dyDescent="0.25" r="327" customHeight="1" ht="17.25">
      <c r="A327" s="7">
        <v>45773</v>
      </c>
      <c r="B327" s="9" t="s">
        <v>228</v>
      </c>
      <c r="C327" s="4"/>
      <c r="D327" s="6">
        <v>93</v>
      </c>
      <c r="E327" s="6">
        <f>E326+C327-D327</f>
      </c>
      <c r="F327" s="4"/>
    </row>
    <row x14ac:dyDescent="0.25" r="328" customHeight="1" ht="17.25">
      <c r="A328" s="8">
        <v>45773</v>
      </c>
      <c r="B328" s="9" t="s">
        <v>389</v>
      </c>
      <c r="C328" s="4"/>
      <c r="D328" s="6">
        <v>200</v>
      </c>
      <c r="E328" s="6">
        <f>E327+C328-D328</f>
      </c>
      <c r="F328" s="4"/>
    </row>
    <row x14ac:dyDescent="0.25" r="329" customHeight="1" ht="17.25">
      <c r="A329" s="7">
        <v>45773</v>
      </c>
      <c r="B329" s="9" t="s">
        <v>486</v>
      </c>
      <c r="C329" s="6">
        <v>100</v>
      </c>
      <c r="D329" s="4"/>
      <c r="E329" s="6">
        <f>E328+C329-D329</f>
      </c>
      <c r="F329" s="4"/>
    </row>
    <row x14ac:dyDescent="0.25" r="330" customHeight="1" ht="17.25">
      <c r="A330" s="8">
        <v>45775</v>
      </c>
      <c r="B330" s="9" t="s">
        <v>412</v>
      </c>
      <c r="C330" s="4"/>
      <c r="D330" s="6">
        <v>40</v>
      </c>
      <c r="E330" s="6">
        <f>E329+C330-D330</f>
      </c>
      <c r="F330" s="4"/>
    </row>
    <row x14ac:dyDescent="0.25" r="331" customHeight="1" ht="17.25">
      <c r="A331" s="7">
        <v>45775</v>
      </c>
      <c r="B331" s="9" t="s">
        <v>228</v>
      </c>
      <c r="C331" s="4"/>
      <c r="D331" s="6">
        <v>53</v>
      </c>
      <c r="E331" s="6">
        <f>E330+C331-D331</f>
      </c>
      <c r="F331" s="4"/>
    </row>
    <row x14ac:dyDescent="0.25" r="332" customHeight="1" ht="17.25">
      <c r="A332" s="7">
        <v>45775</v>
      </c>
      <c r="B332" s="9" t="s">
        <v>289</v>
      </c>
      <c r="C332" s="4"/>
      <c r="D332" s="6">
        <v>16</v>
      </c>
      <c r="E332" s="6">
        <f>E331+C332-D332</f>
      </c>
      <c r="F332" s="4"/>
    </row>
    <row x14ac:dyDescent="0.25" r="333" customHeight="1" ht="17.25">
      <c r="A333" s="7">
        <v>45775</v>
      </c>
      <c r="B333" s="9" t="s">
        <v>283</v>
      </c>
      <c r="C333" s="6">
        <v>56</v>
      </c>
      <c r="D333" s="4"/>
      <c r="E333" s="6">
        <f>E332+C333-D333</f>
      </c>
      <c r="F333" s="4"/>
    </row>
    <row x14ac:dyDescent="0.25" r="334" customHeight="1" ht="17.25">
      <c r="A334" s="7">
        <v>45775</v>
      </c>
      <c r="B334" s="9" t="s">
        <v>384</v>
      </c>
      <c r="C334" s="6">
        <v>91</v>
      </c>
      <c r="D334" s="4"/>
      <c r="E334" s="6">
        <f>E333+C334-D334</f>
      </c>
      <c r="F334" s="4"/>
    </row>
    <row x14ac:dyDescent="0.25" r="335" customHeight="1" ht="17.25">
      <c r="A335" s="7">
        <v>45776</v>
      </c>
      <c r="B335" s="9" t="s">
        <v>382</v>
      </c>
      <c r="C335" s="6">
        <v>60</v>
      </c>
      <c r="D335" s="4"/>
      <c r="E335" s="6">
        <f>E334+C335-D335</f>
      </c>
      <c r="F335" s="4"/>
    </row>
    <row x14ac:dyDescent="0.25" r="336" customHeight="1" ht="17.25">
      <c r="A336" s="8">
        <v>45777</v>
      </c>
      <c r="B336" s="9" t="s">
        <v>311</v>
      </c>
      <c r="C336" s="4"/>
      <c r="D336" s="6">
        <v>150</v>
      </c>
      <c r="E336" s="6">
        <f>E335+C336-D336</f>
      </c>
      <c r="F336" s="4"/>
    </row>
    <row x14ac:dyDescent="0.25" r="337" customHeight="1" ht="17.25">
      <c r="A337" s="8">
        <v>45777</v>
      </c>
      <c r="B337" s="9" t="s">
        <v>412</v>
      </c>
      <c r="C337" s="4"/>
      <c r="D337" s="6">
        <v>20</v>
      </c>
      <c r="E337" s="6">
        <f>E336+C337-D337</f>
      </c>
      <c r="F337" s="4"/>
    </row>
    <row x14ac:dyDescent="0.25" r="338" customHeight="1" ht="17.25">
      <c r="A338" s="8">
        <v>45777</v>
      </c>
      <c r="B338" s="9" t="s">
        <v>412</v>
      </c>
      <c r="C338" s="4"/>
      <c r="D338" s="6">
        <v>20</v>
      </c>
      <c r="E338" s="6">
        <f>E337+C338-D338</f>
      </c>
      <c r="F338" s="4"/>
    </row>
    <row x14ac:dyDescent="0.25" r="339" customHeight="1" ht="17.25">
      <c r="A339" s="7">
        <v>45777</v>
      </c>
      <c r="B339" s="9" t="s">
        <v>286</v>
      </c>
      <c r="C339" s="4"/>
      <c r="D339" s="6">
        <v>100</v>
      </c>
      <c r="E339" s="6">
        <f>E338+C339-D339</f>
      </c>
      <c r="F339" s="4"/>
    </row>
    <row x14ac:dyDescent="0.25" r="340" customHeight="1" ht="17.25">
      <c r="A340" s="8">
        <v>45777</v>
      </c>
      <c r="B340" s="9" t="s">
        <v>286</v>
      </c>
      <c r="C340" s="4"/>
      <c r="D340" s="6">
        <v>60</v>
      </c>
      <c r="E340" s="6">
        <f>E339+C340-D340</f>
      </c>
      <c r="F340" s="4"/>
    </row>
    <row x14ac:dyDescent="0.25" r="341" customHeight="1" ht="17.25">
      <c r="A341" s="7">
        <v>45777</v>
      </c>
      <c r="B341" s="9" t="s">
        <v>382</v>
      </c>
      <c r="C341" s="6">
        <v>40</v>
      </c>
      <c r="D341" s="4"/>
      <c r="E341" s="6">
        <f>E340+C341-D341</f>
      </c>
      <c r="F341" s="4"/>
    </row>
    <row x14ac:dyDescent="0.25" r="342" customHeight="1" ht="17.25">
      <c r="A342" s="7">
        <v>45779</v>
      </c>
      <c r="B342" s="9" t="s">
        <v>286</v>
      </c>
      <c r="C342" s="4"/>
      <c r="D342" s="6">
        <v>112</v>
      </c>
      <c r="E342" s="6">
        <f>E341+C342-D342</f>
      </c>
      <c r="F342" s="4"/>
    </row>
    <row x14ac:dyDescent="0.25" r="343" customHeight="1" ht="17.25">
      <c r="A343" s="7">
        <v>45779</v>
      </c>
      <c r="B343" s="9" t="s">
        <v>484</v>
      </c>
      <c r="C343" s="6">
        <v>78</v>
      </c>
      <c r="D343" s="4"/>
      <c r="E343" s="6">
        <f>E342+C343-D343</f>
      </c>
      <c r="F343" s="4"/>
    </row>
    <row x14ac:dyDescent="0.25" r="344" customHeight="1" ht="17.25">
      <c r="A344" s="7">
        <v>45779</v>
      </c>
      <c r="B344" s="9" t="s">
        <v>272</v>
      </c>
      <c r="C344" s="6">
        <v>43</v>
      </c>
      <c r="D344" s="4"/>
      <c r="E344" s="6">
        <f>E343+C344-D344</f>
      </c>
      <c r="F344" s="4"/>
    </row>
    <row x14ac:dyDescent="0.25" r="345" customHeight="1" ht="17.25">
      <c r="A345" s="7">
        <v>45779</v>
      </c>
      <c r="B345" s="9" t="s">
        <v>382</v>
      </c>
      <c r="C345" s="6">
        <v>85</v>
      </c>
      <c r="D345" s="4"/>
      <c r="E345" s="6">
        <f>E344+C345-D345</f>
      </c>
      <c r="F345" s="4"/>
    </row>
    <row x14ac:dyDescent="0.25" r="346" customHeight="1" ht="17.25">
      <c r="A346" s="7">
        <v>45780</v>
      </c>
      <c r="B346" s="9" t="s">
        <v>232</v>
      </c>
      <c r="C346" s="4"/>
      <c r="D346" s="6">
        <v>20</v>
      </c>
      <c r="E346" s="6">
        <f>E345+C346-D346</f>
      </c>
      <c r="F346" s="4"/>
    </row>
    <row x14ac:dyDescent="0.25" r="347" customHeight="1" ht="17.25">
      <c r="A347" s="7">
        <v>45782</v>
      </c>
      <c r="B347" s="9" t="s">
        <v>389</v>
      </c>
      <c r="C347" s="4"/>
      <c r="D347" s="6">
        <v>150</v>
      </c>
      <c r="E347" s="6">
        <f>E346+C347-D347</f>
      </c>
      <c r="F347" s="4"/>
    </row>
    <row x14ac:dyDescent="0.25" r="348" customHeight="1" ht="17.25">
      <c r="A348" s="7">
        <v>45782</v>
      </c>
      <c r="B348" s="9" t="s">
        <v>341</v>
      </c>
      <c r="C348" s="4"/>
      <c r="D348" s="6">
        <v>72</v>
      </c>
      <c r="E348" s="6">
        <f>E347+C348-D348</f>
      </c>
      <c r="F348" s="4"/>
    </row>
    <row x14ac:dyDescent="0.25" r="349" customHeight="1" ht="17.25">
      <c r="A349" s="7">
        <v>45782</v>
      </c>
      <c r="B349" s="9" t="s">
        <v>189</v>
      </c>
      <c r="C349" s="6">
        <v>44</v>
      </c>
      <c r="D349" s="4"/>
      <c r="E349" s="6">
        <f>E348+C349-D349</f>
      </c>
      <c r="F349" s="4"/>
    </row>
    <row x14ac:dyDescent="0.25" r="350" customHeight="1" ht="17.25">
      <c r="A350" s="7">
        <v>45783</v>
      </c>
      <c r="B350" s="9" t="s">
        <v>141</v>
      </c>
      <c r="C350" s="4"/>
      <c r="D350" s="6">
        <v>180</v>
      </c>
      <c r="E350" s="6">
        <f>E349+C350-D350</f>
      </c>
      <c r="F350" s="4"/>
    </row>
    <row x14ac:dyDescent="0.25" r="351" customHeight="1" ht="17.25">
      <c r="A351" s="7">
        <v>45783</v>
      </c>
      <c r="B351" s="9" t="s">
        <v>286</v>
      </c>
      <c r="C351" s="4"/>
      <c r="D351" s="6">
        <v>60</v>
      </c>
      <c r="E351" s="6">
        <f>E350+C351-D351</f>
      </c>
      <c r="F351" s="4"/>
    </row>
    <row x14ac:dyDescent="0.25" r="352" customHeight="1" ht="17.25">
      <c r="A352" s="7">
        <v>45783</v>
      </c>
      <c r="B352" s="9" t="s">
        <v>389</v>
      </c>
      <c r="C352" s="4"/>
      <c r="D352" s="6">
        <v>50</v>
      </c>
      <c r="E352" s="6">
        <f>E351+C352-D352</f>
      </c>
      <c r="F352" s="4"/>
    </row>
    <row x14ac:dyDescent="0.25" r="353" customHeight="1" ht="17.25">
      <c r="A353" s="7">
        <v>45783</v>
      </c>
      <c r="B353" s="9" t="s">
        <v>189</v>
      </c>
      <c r="C353" s="6">
        <v>24</v>
      </c>
      <c r="D353" s="4"/>
      <c r="E353" s="6">
        <f>E352+C353-D353</f>
      </c>
      <c r="F353" s="4"/>
    </row>
    <row x14ac:dyDescent="0.25" r="354" customHeight="1" ht="17.25">
      <c r="A354" s="7">
        <v>45784</v>
      </c>
      <c r="B354" s="9" t="s">
        <v>262</v>
      </c>
      <c r="C354" s="4"/>
      <c r="D354" s="6">
        <v>40</v>
      </c>
      <c r="E354" s="6">
        <f>E353+C354-D354</f>
      </c>
      <c r="F354" s="4"/>
    </row>
    <row x14ac:dyDescent="0.25" r="355" customHeight="1" ht="17.25">
      <c r="A355" s="7">
        <v>45784</v>
      </c>
      <c r="B355" s="9" t="s">
        <v>384</v>
      </c>
      <c r="C355" s="6">
        <v>72</v>
      </c>
      <c r="D355" s="4"/>
      <c r="E355" s="6">
        <f>E354+C355-D355</f>
      </c>
      <c r="F355" s="4"/>
    </row>
    <row x14ac:dyDescent="0.25" r="356" customHeight="1" ht="17.25">
      <c r="A356" s="8">
        <v>45784</v>
      </c>
      <c r="B356" s="9" t="s">
        <v>141</v>
      </c>
      <c r="C356" s="6">
        <v>100</v>
      </c>
      <c r="D356" s="4"/>
      <c r="E356" s="6">
        <f>E355+C356-D356</f>
      </c>
      <c r="F356" s="4"/>
    </row>
    <row x14ac:dyDescent="0.25" r="357" customHeight="1" ht="17.25">
      <c r="A357" s="7">
        <v>45785</v>
      </c>
      <c r="B357" s="9" t="s">
        <v>286</v>
      </c>
      <c r="C357" s="4"/>
      <c r="D357" s="6">
        <v>85</v>
      </c>
      <c r="E357" s="6">
        <f>E356+C357-D357</f>
      </c>
      <c r="F357" s="4"/>
    </row>
    <row x14ac:dyDescent="0.25" r="358" customHeight="1" ht="17.25">
      <c r="A358" s="7">
        <v>45785</v>
      </c>
      <c r="B358" s="9" t="s">
        <v>35</v>
      </c>
      <c r="C358" s="4"/>
      <c r="D358" s="6">
        <v>180</v>
      </c>
      <c r="E358" s="6">
        <f>E357+C358-D358</f>
      </c>
      <c r="F358" s="4"/>
    </row>
    <row x14ac:dyDescent="0.25" r="359" customHeight="1" ht="17.25">
      <c r="A359" s="7">
        <v>45785</v>
      </c>
      <c r="B359" s="9" t="s">
        <v>388</v>
      </c>
      <c r="C359" s="4"/>
      <c r="D359" s="6">
        <v>8</v>
      </c>
      <c r="E359" s="6">
        <f>E358+C359-D359</f>
      </c>
      <c r="F359" s="4"/>
    </row>
    <row x14ac:dyDescent="0.25" r="360" customHeight="1" ht="17.25">
      <c r="A360" s="7">
        <v>45785</v>
      </c>
      <c r="B360" s="9" t="s">
        <v>486</v>
      </c>
      <c r="C360" s="6">
        <v>84</v>
      </c>
      <c r="D360" s="4"/>
      <c r="E360" s="6">
        <f>E359+C360-D360</f>
      </c>
      <c r="F360" s="4"/>
    </row>
    <row x14ac:dyDescent="0.25" r="361" customHeight="1" ht="17.25">
      <c r="A361" s="7">
        <v>45785</v>
      </c>
      <c r="B361" s="9" t="s">
        <v>452</v>
      </c>
      <c r="C361" s="6">
        <v>45</v>
      </c>
      <c r="D361" s="4"/>
      <c r="E361" s="6">
        <f>E360+C361-D361</f>
      </c>
      <c r="F361" s="4"/>
    </row>
    <row x14ac:dyDescent="0.25" r="362" customHeight="1" ht="17.25">
      <c r="A362" s="7">
        <v>45786</v>
      </c>
      <c r="B362" s="9" t="s">
        <v>486</v>
      </c>
      <c r="C362" s="6">
        <v>84</v>
      </c>
      <c r="D362" s="4"/>
      <c r="E362" s="6">
        <f>E361+C362-D362</f>
      </c>
      <c r="F362" s="4"/>
    </row>
    <row x14ac:dyDescent="0.25" r="363" customHeight="1" ht="17.25">
      <c r="A363" s="7">
        <v>45786</v>
      </c>
      <c r="B363" s="9" t="s">
        <v>484</v>
      </c>
      <c r="C363" s="6">
        <v>50</v>
      </c>
      <c r="D363" s="4"/>
      <c r="E363" s="6">
        <f>E362+C363-D363</f>
      </c>
      <c r="F363" s="4"/>
    </row>
    <row x14ac:dyDescent="0.25" r="364" customHeight="1" ht="17.25">
      <c r="A364" s="7">
        <v>45787</v>
      </c>
      <c r="B364" s="9" t="s">
        <v>382</v>
      </c>
      <c r="C364" s="6">
        <v>17</v>
      </c>
      <c r="D364" s="4"/>
      <c r="E364" s="6">
        <f>E363+C364-D364</f>
      </c>
      <c r="F364" s="4"/>
    </row>
    <row x14ac:dyDescent="0.25" r="365" customHeight="1" ht="17.25">
      <c r="A365" s="7">
        <v>45790</v>
      </c>
      <c r="B365" s="9" t="s">
        <v>29</v>
      </c>
      <c r="C365" s="6">
        <v>318</v>
      </c>
      <c r="D365" s="4"/>
      <c r="E365" s="6">
        <f>E364+C365-D365</f>
      </c>
      <c r="F365" s="4"/>
    </row>
    <row x14ac:dyDescent="0.25" r="366" customHeight="1" ht="17.25">
      <c r="A366" s="7">
        <v>45790</v>
      </c>
      <c r="B366" s="9" t="s">
        <v>272</v>
      </c>
      <c r="C366" s="6">
        <v>37</v>
      </c>
      <c r="D366" s="4"/>
      <c r="E366" s="6">
        <f>E365+C366-D366</f>
      </c>
      <c r="F366" s="4"/>
    </row>
    <row x14ac:dyDescent="0.25" r="367" customHeight="1" ht="17.25">
      <c r="A367" s="7">
        <v>45791</v>
      </c>
      <c r="B367" s="9" t="s">
        <v>286</v>
      </c>
      <c r="C367" s="4"/>
      <c r="D367" s="6">
        <v>85</v>
      </c>
      <c r="E367" s="6">
        <f>E366+C367-D367</f>
      </c>
      <c r="F367" s="4"/>
    </row>
    <row x14ac:dyDescent="0.25" r="368" customHeight="1" ht="17.25">
      <c r="A368" s="7">
        <v>45791</v>
      </c>
      <c r="B368" s="9" t="s">
        <v>44</v>
      </c>
      <c r="C368" s="6">
        <v>73</v>
      </c>
      <c r="D368" s="4"/>
      <c r="E368" s="6">
        <f>E367+C368-D368</f>
      </c>
      <c r="F368" s="4"/>
    </row>
    <row x14ac:dyDescent="0.25" r="369" customHeight="1" ht="17.25">
      <c r="A369" s="7">
        <v>45792</v>
      </c>
      <c r="B369" s="9" t="s">
        <v>35</v>
      </c>
      <c r="C369" s="4"/>
      <c r="D369" s="6">
        <v>82</v>
      </c>
      <c r="E369" s="6">
        <f>E368+C369-D369</f>
      </c>
      <c r="F369" s="4"/>
    </row>
    <row x14ac:dyDescent="0.25" r="370" customHeight="1" ht="17.25">
      <c r="A370" s="7">
        <v>45792</v>
      </c>
      <c r="B370" s="9" t="s">
        <v>228</v>
      </c>
      <c r="C370" s="4"/>
      <c r="D370" s="6">
        <v>100</v>
      </c>
      <c r="E370" s="6">
        <f>E369+C370-D370</f>
      </c>
      <c r="F370" s="4"/>
    </row>
    <row x14ac:dyDescent="0.25" r="371" customHeight="1" ht="17.25">
      <c r="A371" s="7">
        <v>45792</v>
      </c>
      <c r="B371" s="9" t="s">
        <v>484</v>
      </c>
      <c r="C371" s="6">
        <v>119</v>
      </c>
      <c r="D371" s="4"/>
      <c r="E371" s="6">
        <f>E370+C371-D371</f>
      </c>
      <c r="F371" s="4"/>
    </row>
    <row x14ac:dyDescent="0.25" r="372" customHeight="1" ht="17.25">
      <c r="A372" s="7">
        <v>45793</v>
      </c>
      <c r="B372" s="9" t="s">
        <v>262</v>
      </c>
      <c r="C372" s="4"/>
      <c r="D372" s="6">
        <v>72</v>
      </c>
      <c r="E372" s="6">
        <f>E371+C372-D372</f>
      </c>
      <c r="F372" s="4"/>
    </row>
    <row x14ac:dyDescent="0.25" r="373" customHeight="1" ht="17.25">
      <c r="A373" s="7">
        <v>45793</v>
      </c>
      <c r="B373" s="9" t="s">
        <v>286</v>
      </c>
      <c r="C373" s="4"/>
      <c r="D373" s="6">
        <v>140</v>
      </c>
      <c r="E373" s="6">
        <f>E372+C373-D373</f>
      </c>
      <c r="F373" s="4"/>
    </row>
    <row x14ac:dyDescent="0.25" r="374" customHeight="1" ht="17.25">
      <c r="A374" s="7">
        <v>45793</v>
      </c>
      <c r="B374" s="9" t="s">
        <v>486</v>
      </c>
      <c r="C374" s="6">
        <v>156</v>
      </c>
      <c r="D374" s="4"/>
      <c r="E374" s="6">
        <f>E373+C374-D374</f>
      </c>
      <c r="F374" s="4"/>
    </row>
    <row x14ac:dyDescent="0.25" r="375" customHeight="1" ht="17.25">
      <c r="A375" s="7">
        <v>45793</v>
      </c>
      <c r="B375" s="9" t="s">
        <v>484</v>
      </c>
      <c r="C375" s="6">
        <v>19</v>
      </c>
      <c r="D375" s="4"/>
      <c r="E375" s="6">
        <f>E374+C375-D375</f>
      </c>
      <c r="F375" s="4"/>
    </row>
    <row x14ac:dyDescent="0.25" r="376" customHeight="1" ht="17.25">
      <c r="A376" s="7">
        <v>45794</v>
      </c>
      <c r="B376" s="9" t="s">
        <v>35</v>
      </c>
      <c r="C376" s="4"/>
      <c r="D376" s="6">
        <v>105</v>
      </c>
      <c r="E376" s="6">
        <f>E375+C376-D376</f>
      </c>
      <c r="F376" s="4"/>
    </row>
    <row x14ac:dyDescent="0.25" r="377" customHeight="1" ht="17.25">
      <c r="A377" s="7">
        <v>45794</v>
      </c>
      <c r="B377" s="9" t="s">
        <v>484</v>
      </c>
      <c r="C377" s="6">
        <v>40</v>
      </c>
      <c r="D377" s="4"/>
      <c r="E377" s="6">
        <f>E376+C377-D377</f>
      </c>
      <c r="F377" s="4"/>
    </row>
    <row x14ac:dyDescent="0.25" r="378" customHeight="1" ht="17.25">
      <c r="A378" s="7">
        <v>45796</v>
      </c>
      <c r="B378" s="9" t="s">
        <v>484</v>
      </c>
      <c r="C378" s="6">
        <v>19</v>
      </c>
      <c r="D378" s="4"/>
      <c r="E378" s="6">
        <f>E377+C378-D378</f>
      </c>
      <c r="F378" s="4"/>
    </row>
    <row x14ac:dyDescent="0.25" r="379" customHeight="1" ht="17.25">
      <c r="A379" s="7">
        <v>45797</v>
      </c>
      <c r="B379" s="9" t="s">
        <v>35</v>
      </c>
      <c r="C379" s="4"/>
      <c r="D379" s="6">
        <v>70</v>
      </c>
      <c r="E379" s="6">
        <f>E378+C379-D379</f>
      </c>
      <c r="F379" s="4"/>
    </row>
    <row x14ac:dyDescent="0.25" r="380" customHeight="1" ht="17.25">
      <c r="A380" s="7">
        <v>45797</v>
      </c>
      <c r="B380" s="9" t="s">
        <v>382</v>
      </c>
      <c r="C380" s="6">
        <v>40</v>
      </c>
      <c r="D380" s="4"/>
      <c r="E380" s="6">
        <f>E379+C380-D380</f>
      </c>
      <c r="F380" s="4"/>
    </row>
    <row x14ac:dyDescent="0.25" r="381" customHeight="1" ht="17.25">
      <c r="A381" s="7">
        <v>45798</v>
      </c>
      <c r="B381" s="9" t="s">
        <v>286</v>
      </c>
      <c r="C381" s="4"/>
      <c r="D381" s="6">
        <v>90</v>
      </c>
      <c r="E381" s="6">
        <f>E380+C381-D381</f>
      </c>
      <c r="F381" s="4"/>
    </row>
    <row x14ac:dyDescent="0.25" r="382" customHeight="1" ht="17.25">
      <c r="A382" s="7">
        <v>45798</v>
      </c>
      <c r="B382" s="9" t="s">
        <v>283</v>
      </c>
      <c r="C382" s="4"/>
      <c r="D382" s="6">
        <v>400</v>
      </c>
      <c r="E382" s="6">
        <f>E381+C382-D382</f>
      </c>
      <c r="F382" s="4"/>
    </row>
    <row x14ac:dyDescent="0.25" r="383" customHeight="1" ht="17.25">
      <c r="A383" s="7">
        <v>45798</v>
      </c>
      <c r="B383" s="9" t="s">
        <v>382</v>
      </c>
      <c r="C383" s="6">
        <v>4</v>
      </c>
      <c r="D383" s="4"/>
      <c r="E383" s="6">
        <f>E382+C383-D383</f>
      </c>
      <c r="F383" s="4"/>
    </row>
    <row x14ac:dyDescent="0.25" r="384" customHeight="1" ht="17.25">
      <c r="A384" s="7">
        <v>45799</v>
      </c>
      <c r="B384" s="9" t="s">
        <v>44</v>
      </c>
      <c r="C384" s="6">
        <v>7</v>
      </c>
      <c r="D384" s="4"/>
      <c r="E384" s="6">
        <f>E383+C384-D384</f>
      </c>
      <c r="F384" s="4"/>
    </row>
    <row x14ac:dyDescent="0.25" r="385" customHeight="1" ht="17.25">
      <c r="A385" s="7">
        <v>45800</v>
      </c>
      <c r="B385" s="9" t="s">
        <v>35</v>
      </c>
      <c r="C385" s="4"/>
      <c r="D385" s="6">
        <v>32</v>
      </c>
      <c r="E385" s="6">
        <f>E384+C385-D385</f>
      </c>
      <c r="F385" s="4"/>
    </row>
    <row x14ac:dyDescent="0.25" r="386" customHeight="1" ht="17.25">
      <c r="A386" s="7">
        <v>45800</v>
      </c>
      <c r="B386" s="9" t="s">
        <v>286</v>
      </c>
      <c r="C386" s="4"/>
      <c r="D386" s="6">
        <v>30</v>
      </c>
      <c r="E386" s="6">
        <f>E385+C386-D386</f>
      </c>
      <c r="F386" s="4"/>
    </row>
    <row x14ac:dyDescent="0.25" r="387" customHeight="1" ht="17.25">
      <c r="A387" s="7">
        <v>45800</v>
      </c>
      <c r="B387" s="9" t="s">
        <v>286</v>
      </c>
      <c r="C387" s="4"/>
      <c r="D387" s="6">
        <v>50</v>
      </c>
      <c r="E387" s="6">
        <f>E386+C387-D387</f>
      </c>
      <c r="F387" s="4"/>
    </row>
    <row x14ac:dyDescent="0.25" r="388" customHeight="1" ht="17.25">
      <c r="A388" s="7">
        <v>45800</v>
      </c>
      <c r="B388" s="9" t="s">
        <v>286</v>
      </c>
      <c r="C388" s="4"/>
      <c r="D388" s="6">
        <v>60</v>
      </c>
      <c r="E388" s="6">
        <f>E387+C388-D388</f>
      </c>
      <c r="F388" s="4"/>
    </row>
    <row x14ac:dyDescent="0.25" r="389" customHeight="1" ht="17.25">
      <c r="A389" s="8">
        <v>45800</v>
      </c>
      <c r="B389" s="9" t="s">
        <v>42</v>
      </c>
      <c r="C389" s="4"/>
      <c r="D389" s="6">
        <v>170</v>
      </c>
      <c r="E389" s="6">
        <f>E388+C389-D389</f>
      </c>
      <c r="F389" s="4"/>
    </row>
    <row x14ac:dyDescent="0.25" r="390" customHeight="1" ht="17.25">
      <c r="A390" s="7">
        <v>45801</v>
      </c>
      <c r="B390" s="9" t="s">
        <v>286</v>
      </c>
      <c r="C390" s="4"/>
      <c r="D390" s="6">
        <v>120</v>
      </c>
      <c r="E390" s="6">
        <f>E389+C390-D390</f>
      </c>
      <c r="F390" s="4"/>
    </row>
    <row x14ac:dyDescent="0.25" r="391" customHeight="1" ht="17.25">
      <c r="A391" s="7">
        <v>45801</v>
      </c>
      <c r="B391" s="9" t="s">
        <v>389</v>
      </c>
      <c r="C391" s="4"/>
      <c r="D391" s="6">
        <v>100</v>
      </c>
      <c r="E391" s="6">
        <f>E390+C391-D391</f>
      </c>
      <c r="F391" s="4"/>
    </row>
    <row x14ac:dyDescent="0.25" r="392" customHeight="1" ht="17.25">
      <c r="A392" s="7">
        <v>45801</v>
      </c>
      <c r="B392" s="9" t="s">
        <v>2</v>
      </c>
      <c r="C392" s="4"/>
      <c r="D392" s="6">
        <v>60</v>
      </c>
      <c r="E392" s="6">
        <f>E391+C392-D392</f>
      </c>
      <c r="F392" s="4"/>
    </row>
    <row x14ac:dyDescent="0.25" r="393" customHeight="1" ht="17.25">
      <c r="A393" s="7">
        <v>45803</v>
      </c>
      <c r="B393" s="9" t="s">
        <v>228</v>
      </c>
      <c r="C393" s="4"/>
      <c r="D393" s="6">
        <v>100</v>
      </c>
      <c r="E393" s="6">
        <f>E392+C393-D393</f>
      </c>
      <c r="F393" s="4"/>
    </row>
    <row x14ac:dyDescent="0.25" r="394" customHeight="1" ht="17.25">
      <c r="A394" s="7">
        <v>45803</v>
      </c>
      <c r="B394" s="9" t="s">
        <v>228</v>
      </c>
      <c r="C394" s="4"/>
      <c r="D394" s="6">
        <v>100</v>
      </c>
      <c r="E394" s="6">
        <f>E393+C394-D394</f>
      </c>
      <c r="F394" s="4"/>
    </row>
    <row x14ac:dyDescent="0.25" r="395" customHeight="1" ht="17.25">
      <c r="A395" s="7">
        <v>45803</v>
      </c>
      <c r="B395" s="9" t="s">
        <v>232</v>
      </c>
      <c r="C395" s="4"/>
      <c r="D395" s="6">
        <v>50</v>
      </c>
      <c r="E395" s="6">
        <f>E394+C395-D395</f>
      </c>
      <c r="F395" s="4"/>
    </row>
    <row x14ac:dyDescent="0.25" r="396" customHeight="1" ht="17.25">
      <c r="A396" s="7">
        <v>45803</v>
      </c>
      <c r="B396" s="9" t="s">
        <v>541</v>
      </c>
      <c r="C396" s="6">
        <v>40</v>
      </c>
      <c r="D396" s="4"/>
      <c r="E396" s="6">
        <f>E395+C396-D396</f>
      </c>
      <c r="F396" s="4"/>
    </row>
    <row x14ac:dyDescent="0.25" r="397" customHeight="1" ht="17.25">
      <c r="A397" s="7">
        <v>45804</v>
      </c>
      <c r="B397" s="9" t="s">
        <v>34</v>
      </c>
      <c r="C397" s="4"/>
      <c r="D397" s="6">
        <v>300</v>
      </c>
      <c r="E397" s="6">
        <f>E396+C397-D397</f>
      </c>
      <c r="F397" s="4"/>
    </row>
    <row x14ac:dyDescent="0.25" r="398" customHeight="1" ht="17.25">
      <c r="A398" s="7">
        <v>45804</v>
      </c>
      <c r="B398" s="9" t="s">
        <v>29</v>
      </c>
      <c r="C398" s="6">
        <v>172</v>
      </c>
      <c r="D398" s="4"/>
      <c r="E398" s="6">
        <f>E397+C398-D398</f>
      </c>
      <c r="F398" s="4"/>
    </row>
    <row x14ac:dyDescent="0.25" r="399" customHeight="1" ht="17.25">
      <c r="A399" s="7">
        <v>45805</v>
      </c>
      <c r="B399" s="9" t="s">
        <v>384</v>
      </c>
      <c r="C399" s="6">
        <v>48</v>
      </c>
      <c r="D399" s="4"/>
      <c r="E399" s="6">
        <f>E398+C399-D399</f>
      </c>
      <c r="F399" s="4"/>
    </row>
    <row x14ac:dyDescent="0.25" r="400" customHeight="1" ht="17.25">
      <c r="A400" s="7">
        <v>45807</v>
      </c>
      <c r="B400" s="9" t="s">
        <v>189</v>
      </c>
      <c r="C400" s="4"/>
      <c r="D400" s="6">
        <v>84</v>
      </c>
      <c r="E400" s="6">
        <f>E399+C400-D400</f>
      </c>
      <c r="F400" s="4"/>
    </row>
    <row x14ac:dyDescent="0.25" r="401" customHeight="1" ht="17.25">
      <c r="A401" s="7">
        <v>45807</v>
      </c>
      <c r="B401" s="9" t="s">
        <v>2</v>
      </c>
      <c r="C401" s="4"/>
      <c r="D401" s="6">
        <v>60</v>
      </c>
      <c r="E401" s="6">
        <f>E400+C401-D401</f>
      </c>
      <c r="F401" s="4"/>
    </row>
    <row x14ac:dyDescent="0.25" r="402" customHeight="1" ht="17.25">
      <c r="A402" s="7">
        <v>45808</v>
      </c>
      <c r="B402" s="9" t="s">
        <v>189</v>
      </c>
      <c r="C402" s="4"/>
      <c r="D402" s="6">
        <v>36</v>
      </c>
      <c r="E402" s="6">
        <f>E401+C402-D402</f>
      </c>
      <c r="F402" s="4"/>
    </row>
    <row x14ac:dyDescent="0.25" r="403" customHeight="1" ht="17.25">
      <c r="A403" s="7">
        <v>45808</v>
      </c>
      <c r="B403" s="9" t="s">
        <v>272</v>
      </c>
      <c r="C403" s="6">
        <v>35</v>
      </c>
      <c r="D403" s="4"/>
      <c r="E403" s="6">
        <f>E402+C403-D403</f>
      </c>
      <c r="F403" s="4"/>
    </row>
    <row x14ac:dyDescent="0.25" r="404" customHeight="1" ht="17.25">
      <c r="A404" s="7">
        <v>45810</v>
      </c>
      <c r="B404" s="9" t="s">
        <v>389</v>
      </c>
      <c r="C404" s="4"/>
      <c r="D404" s="6">
        <v>92</v>
      </c>
      <c r="E404" s="6">
        <f>E403+C404-D404</f>
      </c>
      <c r="F404" s="4"/>
    </row>
    <row x14ac:dyDescent="0.25" r="405" customHeight="1" ht="17.25">
      <c r="A405" s="7">
        <v>45810</v>
      </c>
      <c r="B405" s="9" t="s">
        <v>42</v>
      </c>
      <c r="C405" s="4"/>
      <c r="D405" s="6">
        <v>50</v>
      </c>
      <c r="E405" s="6">
        <f>E404+C405-D405</f>
      </c>
      <c r="F405" s="4"/>
    </row>
    <row x14ac:dyDescent="0.25" r="406" customHeight="1" ht="17.25">
      <c r="A406" s="7">
        <v>45810</v>
      </c>
      <c r="B406" s="9" t="s">
        <v>384</v>
      </c>
      <c r="C406" s="6">
        <v>30</v>
      </c>
      <c r="D406" s="4"/>
      <c r="E406" s="6">
        <f>E405+C406-D406</f>
      </c>
      <c r="F406" s="4"/>
    </row>
    <row x14ac:dyDescent="0.25" r="407" customHeight="1" ht="17.25">
      <c r="A407" s="7">
        <v>45811</v>
      </c>
      <c r="B407" s="9" t="s">
        <v>100</v>
      </c>
      <c r="C407" s="4"/>
      <c r="D407" s="6">
        <v>68</v>
      </c>
      <c r="E407" s="6">
        <f>E406+C407-D407</f>
      </c>
      <c r="F407" s="4"/>
    </row>
    <row x14ac:dyDescent="0.25" r="408" customHeight="1" ht="17.25">
      <c r="A408" s="7">
        <v>45811</v>
      </c>
      <c r="B408" s="9" t="s">
        <v>289</v>
      </c>
      <c r="C408" s="6">
        <v>8</v>
      </c>
      <c r="D408" s="4"/>
      <c r="E408" s="6">
        <f>E407+C408-D408</f>
      </c>
      <c r="F408" s="4"/>
    </row>
    <row x14ac:dyDescent="0.25" r="409" customHeight="1" ht="17.25">
      <c r="A409" s="7">
        <v>45812</v>
      </c>
      <c r="B409" s="9" t="s">
        <v>100</v>
      </c>
      <c r="C409" s="4"/>
      <c r="D409" s="6">
        <v>32</v>
      </c>
      <c r="E409" s="6">
        <f>E408+C409-D409</f>
      </c>
      <c r="F409" s="4"/>
    </row>
    <row x14ac:dyDescent="0.25" r="410" customHeight="1" ht="17.25">
      <c r="A410" s="7">
        <v>45812</v>
      </c>
      <c r="B410" s="9" t="s">
        <v>42</v>
      </c>
      <c r="C410" s="4"/>
      <c r="D410" s="6">
        <v>6</v>
      </c>
      <c r="E410" s="6">
        <f>E409+C410-D410</f>
      </c>
      <c r="F410" s="4"/>
    </row>
    <row x14ac:dyDescent="0.25" r="411" customHeight="1" ht="17.25">
      <c r="A411" s="7">
        <v>45813</v>
      </c>
      <c r="B411" s="9" t="s">
        <v>389</v>
      </c>
      <c r="C411" s="4"/>
      <c r="D411" s="6">
        <v>108</v>
      </c>
      <c r="E411" s="6">
        <f>E410+C411-D411</f>
      </c>
      <c r="F411" s="4"/>
    </row>
    <row x14ac:dyDescent="0.25" r="412" customHeight="1" ht="17.25">
      <c r="A412" s="7">
        <v>45813</v>
      </c>
      <c r="B412" s="9" t="s">
        <v>289</v>
      </c>
      <c r="C412" s="6">
        <v>14</v>
      </c>
      <c r="D412" s="4"/>
      <c r="E412" s="6">
        <f>E411+C412-D412</f>
      </c>
      <c r="F412" s="4"/>
    </row>
    <row x14ac:dyDescent="0.25" r="413" customHeight="1" ht="17.25">
      <c r="A413" s="7">
        <v>45813</v>
      </c>
      <c r="B413" s="9" t="s">
        <v>286</v>
      </c>
      <c r="C413" s="6">
        <v>60</v>
      </c>
      <c r="D413" s="4"/>
      <c r="E413" s="6">
        <f>E412+C413-D413</f>
      </c>
      <c r="F413" s="4"/>
    </row>
    <row x14ac:dyDescent="0.25" r="414" customHeight="1" ht="17.25">
      <c r="A414" s="7">
        <v>45817</v>
      </c>
      <c r="B414" s="9" t="s">
        <v>4</v>
      </c>
      <c r="C414" s="4"/>
      <c r="D414" s="6">
        <v>100</v>
      </c>
      <c r="E414" s="6">
        <f>E413+C414-D414</f>
      </c>
      <c r="F414" s="4"/>
    </row>
    <row x14ac:dyDescent="0.25" r="415" customHeight="1" ht="17.25">
      <c r="A415" s="8">
        <v>45817</v>
      </c>
      <c r="B415" s="9" t="s">
        <v>4</v>
      </c>
      <c r="C415" s="4"/>
      <c r="D415" s="6">
        <v>115</v>
      </c>
      <c r="E415" s="6">
        <f>E414+C415-D415</f>
      </c>
      <c r="F415" s="4"/>
    </row>
    <row x14ac:dyDescent="0.25" r="416" customHeight="1" ht="17.25">
      <c r="A416" s="7">
        <v>45817</v>
      </c>
      <c r="B416" s="9" t="s">
        <v>272</v>
      </c>
      <c r="C416" s="6">
        <v>39</v>
      </c>
      <c r="D416" s="4"/>
      <c r="E416" s="6">
        <f>E415+C416-D416</f>
      </c>
      <c r="F416" s="4"/>
    </row>
    <row x14ac:dyDescent="0.25" r="417" customHeight="1" ht="17.25">
      <c r="A417" s="7">
        <v>45817</v>
      </c>
      <c r="B417" s="9" t="s">
        <v>414</v>
      </c>
      <c r="C417" s="6">
        <v>1</v>
      </c>
      <c r="D417" s="4"/>
      <c r="E417" s="6">
        <f>E416+C417-D417</f>
      </c>
      <c r="F417" s="4"/>
    </row>
    <row x14ac:dyDescent="0.25" r="418" customHeight="1" ht="17.25">
      <c r="A418" s="7">
        <v>45817</v>
      </c>
      <c r="B418" s="9" t="s">
        <v>382</v>
      </c>
      <c r="C418" s="6">
        <v>60</v>
      </c>
      <c r="D418" s="4"/>
      <c r="E418" s="6">
        <f>E417+C418-D418</f>
      </c>
      <c r="F418" s="4"/>
    </row>
    <row x14ac:dyDescent="0.25" r="419" customHeight="1" ht="17.25">
      <c r="A419" s="7">
        <v>45818</v>
      </c>
      <c r="B419" s="9" t="s">
        <v>389</v>
      </c>
      <c r="C419" s="4"/>
      <c r="D419" s="6">
        <v>200</v>
      </c>
      <c r="E419" s="6">
        <f>E418+C419-D419</f>
      </c>
      <c r="F419" s="4"/>
    </row>
    <row x14ac:dyDescent="0.25" r="420" customHeight="1" ht="17.25">
      <c r="A420" s="7">
        <v>45818</v>
      </c>
      <c r="B420" s="9" t="s">
        <v>11</v>
      </c>
      <c r="C420" s="6">
        <v>35</v>
      </c>
      <c r="D420" s="4"/>
      <c r="E420" s="6">
        <f>E419+C420-D420</f>
      </c>
      <c r="F420" s="4"/>
    </row>
    <row x14ac:dyDescent="0.25" r="421" customHeight="1" ht="17.25">
      <c r="A421" s="7">
        <v>45818</v>
      </c>
      <c r="B421" s="9" t="s">
        <v>388</v>
      </c>
      <c r="C421" s="6">
        <v>8</v>
      </c>
      <c r="D421" s="4"/>
      <c r="E421" s="6">
        <f>E420+C421-D421</f>
      </c>
      <c r="F421" s="4"/>
    </row>
    <row x14ac:dyDescent="0.25" r="422" customHeight="1" ht="17.25">
      <c r="A422" s="7">
        <v>45818</v>
      </c>
      <c r="B422" s="9" t="s">
        <v>189</v>
      </c>
      <c r="C422" s="6">
        <v>1</v>
      </c>
      <c r="D422" s="4"/>
      <c r="E422" s="6">
        <f>E421+C422-D422</f>
      </c>
      <c r="F422" s="4"/>
    </row>
    <row x14ac:dyDescent="0.25" r="423" customHeight="1" ht="17.25">
      <c r="A423" s="7">
        <v>45818</v>
      </c>
      <c r="B423" s="9" t="s">
        <v>333</v>
      </c>
      <c r="C423" s="4"/>
      <c r="D423" s="6">
        <v>72</v>
      </c>
      <c r="E423" s="6">
        <f>E422+C423-D423</f>
      </c>
      <c r="F423" s="4"/>
    </row>
    <row x14ac:dyDescent="0.25" r="424" customHeight="1" ht="17.25">
      <c r="A424" s="7">
        <v>45819</v>
      </c>
      <c r="B424" s="9" t="s">
        <v>4</v>
      </c>
      <c r="C424" s="4"/>
      <c r="D424" s="6">
        <v>85</v>
      </c>
      <c r="E424" s="6">
        <f>E423+C424-D424</f>
      </c>
      <c r="F424" s="4"/>
    </row>
    <row x14ac:dyDescent="0.25" r="425" customHeight="1" ht="17.25">
      <c r="A425" s="7">
        <v>45819</v>
      </c>
      <c r="B425" s="9" t="s">
        <v>333</v>
      </c>
      <c r="C425" s="4"/>
      <c r="D425" s="6">
        <v>65</v>
      </c>
      <c r="E425" s="6">
        <f>E424+C425-D425</f>
      </c>
      <c r="F425" s="4"/>
    </row>
    <row x14ac:dyDescent="0.25" r="426" customHeight="1" ht="17.25">
      <c r="A426" s="7">
        <v>45819</v>
      </c>
      <c r="B426" s="9" t="s">
        <v>484</v>
      </c>
      <c r="C426" s="6">
        <v>85</v>
      </c>
      <c r="D426" s="4"/>
      <c r="E426" s="6">
        <f>E425+C426-D426</f>
      </c>
      <c r="F426" s="4"/>
    </row>
    <row x14ac:dyDescent="0.25" r="427" customHeight="1" ht="17.25">
      <c r="A427" s="7">
        <v>45819</v>
      </c>
      <c r="B427" s="9" t="s">
        <v>484</v>
      </c>
      <c r="C427" s="6">
        <v>62</v>
      </c>
      <c r="D427" s="4"/>
      <c r="E427" s="6">
        <f>E426+C427-D427</f>
      </c>
      <c r="F427" s="4"/>
    </row>
    <row x14ac:dyDescent="0.25" r="428" customHeight="1" ht="17.25">
      <c r="A428" s="8">
        <v>45821</v>
      </c>
      <c r="B428" s="9" t="s">
        <v>35</v>
      </c>
      <c r="C428" s="4"/>
      <c r="D428" s="6">
        <v>30</v>
      </c>
      <c r="E428" s="6">
        <f>E427+C428-D428</f>
      </c>
      <c r="F428" s="4"/>
    </row>
    <row x14ac:dyDescent="0.25" r="429" customHeight="1" ht="17.25">
      <c r="A429" s="7">
        <v>45821</v>
      </c>
      <c r="B429" s="9" t="s">
        <v>484</v>
      </c>
      <c r="C429" s="6">
        <v>54</v>
      </c>
      <c r="D429" s="4"/>
      <c r="E429" s="6">
        <f>E428+C429-D429</f>
      </c>
      <c r="F429" s="4"/>
    </row>
    <row x14ac:dyDescent="0.25" r="430" customHeight="1" ht="17.25">
      <c r="A430" s="7">
        <v>45821</v>
      </c>
      <c r="B430" s="9" t="s">
        <v>286</v>
      </c>
      <c r="C430" s="6">
        <v>26</v>
      </c>
      <c r="D430" s="4"/>
      <c r="E430" s="6">
        <f>E429+C430-D430</f>
      </c>
      <c r="F430" s="4"/>
    </row>
    <row x14ac:dyDescent="0.25" r="431" customHeight="1" ht="17.25">
      <c r="A431" s="7">
        <v>45822</v>
      </c>
      <c r="B431" s="9" t="s">
        <v>389</v>
      </c>
      <c r="C431" s="4"/>
      <c r="D431" s="6">
        <v>93</v>
      </c>
      <c r="E431" s="6">
        <f>E430+C431-D431</f>
      </c>
      <c r="F431" s="4"/>
    </row>
    <row x14ac:dyDescent="0.25" r="432" customHeight="1" ht="17.25">
      <c r="A432" s="7">
        <v>45822</v>
      </c>
      <c r="B432" s="9" t="s">
        <v>2</v>
      </c>
      <c r="C432" s="4"/>
      <c r="D432" s="6">
        <v>67</v>
      </c>
      <c r="E432" s="6">
        <f>E431+C432-D432</f>
      </c>
      <c r="F432" s="4"/>
    </row>
    <row x14ac:dyDescent="0.25" r="433" customHeight="1" ht="17.25">
      <c r="A433" s="7">
        <v>45822</v>
      </c>
      <c r="B433" s="9" t="s">
        <v>35</v>
      </c>
      <c r="C433" s="4"/>
      <c r="D433" s="6">
        <v>90</v>
      </c>
      <c r="E433" s="6">
        <f>E432+C433-D433</f>
      </c>
      <c r="F433" s="4"/>
    </row>
    <row x14ac:dyDescent="0.25" r="434" customHeight="1" ht="17.25">
      <c r="A434" s="7">
        <v>45822</v>
      </c>
      <c r="B434" s="9" t="s">
        <v>3</v>
      </c>
      <c r="C434" s="6">
        <v>79</v>
      </c>
      <c r="D434" s="4"/>
      <c r="E434" s="6">
        <f>E433+C434-D434</f>
      </c>
      <c r="F434" s="4"/>
    </row>
    <row x14ac:dyDescent="0.25" r="435" customHeight="1" ht="17.25">
      <c r="A435" s="7">
        <v>45822</v>
      </c>
      <c r="B435" s="9" t="s">
        <v>3</v>
      </c>
      <c r="C435" s="6">
        <v>19</v>
      </c>
      <c r="D435" s="4"/>
      <c r="E435" s="6">
        <f>E434+C435-D435</f>
      </c>
      <c r="F435" s="4"/>
    </row>
    <row x14ac:dyDescent="0.25" r="436" customHeight="1" ht="17.25">
      <c r="A436" s="7">
        <v>45823</v>
      </c>
      <c r="B436" s="9" t="s">
        <v>389</v>
      </c>
      <c r="C436" s="4"/>
      <c r="D436" s="6">
        <v>68</v>
      </c>
      <c r="E436" s="6">
        <f>E435+C436-D436</f>
      </c>
      <c r="F436" s="4"/>
    </row>
    <row x14ac:dyDescent="0.25" r="437" customHeight="1" ht="17.25">
      <c r="A437" s="7">
        <v>45824</v>
      </c>
      <c r="B437" s="9" t="s">
        <v>411</v>
      </c>
      <c r="C437" s="4"/>
      <c r="D437" s="6">
        <v>128</v>
      </c>
      <c r="E437" s="6">
        <f>E436+C437-D437</f>
      </c>
      <c r="F437" s="4"/>
    </row>
    <row x14ac:dyDescent="0.25" r="438" customHeight="1" ht="17.25">
      <c r="A438" s="7">
        <v>45824</v>
      </c>
      <c r="B438" s="9" t="s">
        <v>272</v>
      </c>
      <c r="C438" s="6">
        <v>80</v>
      </c>
      <c r="D438" s="4"/>
      <c r="E438" s="6">
        <f>E437+C438-D438</f>
      </c>
      <c r="F438" s="4"/>
    </row>
    <row x14ac:dyDescent="0.25" r="439" customHeight="1" ht="17.25">
      <c r="A439" s="8">
        <v>45824</v>
      </c>
      <c r="B439" s="9" t="s">
        <v>289</v>
      </c>
      <c r="C439" s="6">
        <v>19</v>
      </c>
      <c r="D439" s="4"/>
      <c r="E439" s="6">
        <f>E438+C439-D439</f>
      </c>
      <c r="F439" s="4"/>
    </row>
    <row x14ac:dyDescent="0.25" r="440" customHeight="1" ht="17.25">
      <c r="A440" s="7">
        <v>45825</v>
      </c>
      <c r="B440" s="9" t="s">
        <v>484</v>
      </c>
      <c r="C440" s="4"/>
      <c r="D440" s="6">
        <v>20</v>
      </c>
      <c r="E440" s="6">
        <f>E439+C440-D440</f>
      </c>
      <c r="F440" s="4"/>
    </row>
    <row x14ac:dyDescent="0.25" r="441" customHeight="1" ht="17.25">
      <c r="A441" s="7">
        <v>45825</v>
      </c>
      <c r="B441" s="9" t="s">
        <v>389</v>
      </c>
      <c r="C441" s="4"/>
      <c r="D441" s="6">
        <v>39</v>
      </c>
      <c r="E441" s="6">
        <f>E440+C441-D441</f>
      </c>
      <c r="F441" s="4"/>
    </row>
    <row x14ac:dyDescent="0.25" r="442" customHeight="1" ht="17.25">
      <c r="A442" s="7">
        <v>45826</v>
      </c>
      <c r="B442" s="9" t="s">
        <v>2</v>
      </c>
      <c r="C442" s="4"/>
      <c r="D442" s="6">
        <v>53</v>
      </c>
      <c r="E442" s="6">
        <f>E441+C442-D442</f>
      </c>
      <c r="F442" s="4"/>
    </row>
    <row x14ac:dyDescent="0.25" r="443" customHeight="1" ht="17.25">
      <c r="A443" s="7">
        <v>45827</v>
      </c>
      <c r="B443" s="9" t="s">
        <v>384</v>
      </c>
      <c r="C443" s="6">
        <v>30</v>
      </c>
      <c r="D443" s="4"/>
      <c r="E443" s="6">
        <f>E442+C443-D443</f>
      </c>
      <c r="F443" s="4"/>
    </row>
    <row x14ac:dyDescent="0.25" r="444" customHeight="1" ht="17.25">
      <c r="A444" s="7">
        <v>45827</v>
      </c>
      <c r="B444" s="9" t="s">
        <v>272</v>
      </c>
      <c r="C444" s="6">
        <v>54</v>
      </c>
      <c r="D444" s="4"/>
      <c r="E444" s="6">
        <f>E443+C444-D444</f>
      </c>
      <c r="F444" s="4"/>
    </row>
    <row x14ac:dyDescent="0.25" r="445" customHeight="1" ht="17.25">
      <c r="A445" s="7">
        <v>45828</v>
      </c>
      <c r="B445" s="9" t="s">
        <v>172</v>
      </c>
      <c r="C445" s="6">
        <v>5</v>
      </c>
      <c r="D445" s="4"/>
      <c r="E445" s="6">
        <f>E444+C445-D445</f>
      </c>
      <c r="F445" s="4"/>
    </row>
    <row x14ac:dyDescent="0.25" r="446" customHeight="1" ht="17.25">
      <c r="A446" s="7">
        <v>45828</v>
      </c>
      <c r="B446" s="9" t="s">
        <v>289</v>
      </c>
      <c r="C446" s="6">
        <v>9</v>
      </c>
      <c r="D446" s="4"/>
      <c r="E446" s="6">
        <f>E445+C446-D446</f>
      </c>
      <c r="F446" s="4"/>
    </row>
    <row x14ac:dyDescent="0.25" r="447" customHeight="1" ht="17.25">
      <c r="A447" s="7">
        <v>45831</v>
      </c>
      <c r="B447" s="9" t="s">
        <v>141</v>
      </c>
      <c r="C447" s="6">
        <v>74</v>
      </c>
      <c r="D447" s="4"/>
      <c r="E447" s="6">
        <f>E446+C447-D447</f>
      </c>
      <c r="F447" s="4"/>
    </row>
    <row x14ac:dyDescent="0.25" r="448" customHeight="1" ht="17.25">
      <c r="A448" s="7">
        <v>45831</v>
      </c>
      <c r="B448" s="9" t="s">
        <v>29</v>
      </c>
      <c r="C448" s="6">
        <v>240</v>
      </c>
      <c r="D448" s="4"/>
      <c r="E448" s="6">
        <f>E447+C448-D448</f>
      </c>
      <c r="F448" s="4"/>
    </row>
    <row x14ac:dyDescent="0.25" r="449" customHeight="1" ht="17.25">
      <c r="A449" s="7">
        <v>45832</v>
      </c>
      <c r="B449" s="9" t="s">
        <v>4</v>
      </c>
      <c r="C449" s="4"/>
      <c r="D449" s="6">
        <v>170</v>
      </c>
      <c r="E449" s="6">
        <f>E448+C449-D449</f>
      </c>
      <c r="F449" s="4"/>
    </row>
    <row x14ac:dyDescent="0.25" r="450" customHeight="1" ht="17.25">
      <c r="A450" s="7">
        <v>45833</v>
      </c>
      <c r="B450" s="9" t="s">
        <v>272</v>
      </c>
      <c r="C450" s="6">
        <v>57</v>
      </c>
      <c r="D450" s="4"/>
      <c r="E450" s="6">
        <f>E449+C450-D450</f>
      </c>
      <c r="F450" s="4"/>
    </row>
    <row x14ac:dyDescent="0.25" r="451" customHeight="1" ht="17.25">
      <c r="A451" s="7">
        <v>45833</v>
      </c>
      <c r="B451" s="9" t="s">
        <v>35</v>
      </c>
      <c r="C451" s="6">
        <v>28</v>
      </c>
      <c r="D451" s="4"/>
      <c r="E451" s="6">
        <f>E450+C451-D451</f>
      </c>
      <c r="F451" s="4"/>
    </row>
    <row x14ac:dyDescent="0.25" r="452" customHeight="1" ht="17.25">
      <c r="A452" s="7">
        <v>45833</v>
      </c>
      <c r="B452" s="9" t="s">
        <v>286</v>
      </c>
      <c r="C452" s="6">
        <v>51</v>
      </c>
      <c r="D452" s="4"/>
      <c r="E452" s="6">
        <f>E451+C452-D452</f>
      </c>
      <c r="F452" s="4"/>
    </row>
    <row x14ac:dyDescent="0.25" r="453" customHeight="1" ht="17.25">
      <c r="A453" s="7">
        <v>45834</v>
      </c>
      <c r="B453" s="9" t="s">
        <v>286</v>
      </c>
      <c r="C453" s="6">
        <v>56</v>
      </c>
      <c r="D453" s="4"/>
      <c r="E453" s="6">
        <f>E452+C453-D453</f>
      </c>
      <c r="F453" s="4"/>
    </row>
    <row x14ac:dyDescent="0.25" r="454" customHeight="1" ht="17.25">
      <c r="A454" s="7">
        <v>45836</v>
      </c>
      <c r="B454" s="9" t="s">
        <v>316</v>
      </c>
      <c r="C454" s="4"/>
      <c r="D454" s="6">
        <v>250</v>
      </c>
      <c r="E454" s="6">
        <f>E453+C454-D454</f>
      </c>
      <c r="F454" s="4"/>
    </row>
    <row x14ac:dyDescent="0.25" r="455" customHeight="1" ht="17.25">
      <c r="A455" s="7">
        <v>45836</v>
      </c>
      <c r="B455" s="9" t="s">
        <v>29</v>
      </c>
      <c r="C455" s="6">
        <v>405</v>
      </c>
      <c r="D455" s="4"/>
      <c r="E455" s="6">
        <f>E454+C455-D455</f>
      </c>
      <c r="F455" s="4"/>
    </row>
    <row x14ac:dyDescent="0.25" r="456" customHeight="1" ht="17.25">
      <c r="A456" s="7">
        <v>45838</v>
      </c>
      <c r="B456" s="9" t="s">
        <v>316</v>
      </c>
      <c r="C456" s="4"/>
      <c r="D456" s="6">
        <v>400</v>
      </c>
      <c r="E456" s="6">
        <f>E455+C456-D456</f>
      </c>
      <c r="F456" s="4"/>
    </row>
    <row x14ac:dyDescent="0.25" r="457" customHeight="1" ht="17.25">
      <c r="A457" s="7">
        <v>45838</v>
      </c>
      <c r="B457" s="9" t="s">
        <v>316</v>
      </c>
      <c r="C457" s="4"/>
      <c r="D457" s="6">
        <v>125</v>
      </c>
      <c r="E457" s="6">
        <f>E456+C457-D457</f>
      </c>
      <c r="F457" s="4"/>
    </row>
    <row x14ac:dyDescent="0.25" r="458" customHeight="1" ht="17.25">
      <c r="A458" s="7">
        <v>45838</v>
      </c>
      <c r="B458" s="9" t="s">
        <v>384</v>
      </c>
      <c r="C458" s="6">
        <v>40</v>
      </c>
      <c r="D458" s="4"/>
      <c r="E458" s="6">
        <f>E457+C458-D458</f>
      </c>
      <c r="F458" s="4"/>
    </row>
    <row x14ac:dyDescent="0.25" r="459" customHeight="1" ht="17.25">
      <c r="A459" s="7">
        <v>45839</v>
      </c>
      <c r="B459" s="9" t="s">
        <v>341</v>
      </c>
      <c r="C459" s="4"/>
      <c r="D459" s="6">
        <v>40</v>
      </c>
      <c r="E459" s="6">
        <f>E458+C459-D459</f>
      </c>
      <c r="F459" s="4"/>
    </row>
    <row x14ac:dyDescent="0.25" r="460" customHeight="1" ht="17.25">
      <c r="A460" s="7">
        <v>45839</v>
      </c>
      <c r="B460" s="9" t="s">
        <v>35</v>
      </c>
      <c r="C460" s="6">
        <v>32</v>
      </c>
      <c r="D460" s="4"/>
      <c r="E460" s="6">
        <f>E459+C460-D460</f>
      </c>
      <c r="F460" s="4"/>
    </row>
    <row x14ac:dyDescent="0.25" r="461" customHeight="1" ht="17.25">
      <c r="A461" s="7">
        <v>45839</v>
      </c>
      <c r="B461" s="9" t="s">
        <v>286</v>
      </c>
      <c r="C461" s="6">
        <v>58</v>
      </c>
      <c r="D461" s="4"/>
      <c r="E461" s="6">
        <f>E460+C461-D461</f>
      </c>
      <c r="F461" s="4"/>
    </row>
    <row x14ac:dyDescent="0.25" r="462" customHeight="1" ht="17.25">
      <c r="A462" s="7">
        <v>45840</v>
      </c>
      <c r="B462" s="9" t="s">
        <v>316</v>
      </c>
      <c r="C462" s="4"/>
      <c r="D462" s="6">
        <v>120</v>
      </c>
      <c r="E462" s="6">
        <f>E461+C462-D462</f>
      </c>
      <c r="F462" s="4"/>
    </row>
    <row x14ac:dyDescent="0.25" r="463" customHeight="1" ht="17.25">
      <c r="A463" s="7">
        <v>45840</v>
      </c>
      <c r="B463" s="9" t="s">
        <v>316</v>
      </c>
      <c r="C463" s="4"/>
      <c r="D463" s="6">
        <v>105</v>
      </c>
      <c r="E463" s="6">
        <f>E462+C463-D463</f>
      </c>
      <c r="F463" s="4"/>
    </row>
    <row x14ac:dyDescent="0.25" r="464" customHeight="1" ht="17.25">
      <c r="A464" s="7">
        <v>45840</v>
      </c>
      <c r="B464" s="9" t="s">
        <v>46</v>
      </c>
      <c r="C464" s="4"/>
      <c r="D464" s="6">
        <v>336</v>
      </c>
      <c r="E464" s="6">
        <f>E463+C464-D464</f>
      </c>
      <c r="F464" s="4"/>
    </row>
    <row x14ac:dyDescent="0.25" r="465" customHeight="1" ht="17.25">
      <c r="A465" s="8">
        <v>45840</v>
      </c>
      <c r="B465" s="9" t="s">
        <v>3</v>
      </c>
      <c r="C465" s="6">
        <v>11</v>
      </c>
      <c r="D465" s="4"/>
      <c r="E465" s="6">
        <f>E464+C465-D465</f>
      </c>
      <c r="F465" s="4"/>
    </row>
    <row x14ac:dyDescent="0.25" r="466" customHeight="1" ht="17.25">
      <c r="A466" s="8">
        <v>45840</v>
      </c>
      <c r="B466" s="9" t="s">
        <v>414</v>
      </c>
      <c r="C466" s="6">
        <v>1</v>
      </c>
      <c r="D466" s="4"/>
      <c r="E466" s="6">
        <f>E465+C466-D466</f>
      </c>
      <c r="F466" s="4"/>
    </row>
    <row x14ac:dyDescent="0.25" r="467" customHeight="1" ht="17.25">
      <c r="A467" s="8">
        <v>45841</v>
      </c>
      <c r="B467" s="9" t="s">
        <v>257</v>
      </c>
      <c r="C467" s="6">
        <v>28</v>
      </c>
      <c r="D467" s="4"/>
      <c r="E467" s="6">
        <f>E466+C467-D467</f>
      </c>
      <c r="F467" s="4"/>
    </row>
    <row x14ac:dyDescent="0.25" r="468" customHeight="1" ht="17.25">
      <c r="A468" s="7">
        <v>45841</v>
      </c>
      <c r="B468" s="9" t="s">
        <v>411</v>
      </c>
      <c r="C468" s="6">
        <v>12</v>
      </c>
      <c r="D468" s="4"/>
      <c r="E468" s="6">
        <f>E467+C468-D468</f>
      </c>
      <c r="F468" s="4"/>
    </row>
    <row x14ac:dyDescent="0.25" r="469" customHeight="1" ht="17.25">
      <c r="A469" s="7">
        <v>45842</v>
      </c>
      <c r="B469" s="9" t="s">
        <v>298</v>
      </c>
      <c r="C469" s="4"/>
      <c r="D469" s="6">
        <v>66</v>
      </c>
      <c r="E469" s="6">
        <f>E468+C469-D469</f>
      </c>
      <c r="F469" s="4"/>
    </row>
    <row x14ac:dyDescent="0.25" r="470" customHeight="1" ht="17.25">
      <c r="A470" s="7">
        <v>45842</v>
      </c>
      <c r="B470" s="9" t="s">
        <v>333</v>
      </c>
      <c r="C470" s="4"/>
      <c r="D470" s="6">
        <v>137</v>
      </c>
      <c r="E470" s="6">
        <f>E469+C470-D470</f>
      </c>
      <c r="F470" s="4"/>
    </row>
    <row x14ac:dyDescent="0.25" r="471" customHeight="1" ht="17.25">
      <c r="A471" s="7">
        <v>45842</v>
      </c>
      <c r="B471" s="9" t="s">
        <v>286</v>
      </c>
      <c r="C471" s="6">
        <v>58</v>
      </c>
      <c r="D471" s="4"/>
      <c r="E471" s="6">
        <f>E470+C471-D471</f>
      </c>
      <c r="F471" s="4"/>
    </row>
    <row x14ac:dyDescent="0.25" r="472" customHeight="1" ht="17.25">
      <c r="A472" s="7">
        <v>45843</v>
      </c>
      <c r="B472" s="9" t="s">
        <v>283</v>
      </c>
      <c r="C472" s="6">
        <v>113</v>
      </c>
      <c r="D472" s="4"/>
      <c r="E472" s="6">
        <f>E471+C472-D472</f>
      </c>
      <c r="F472" s="4"/>
    </row>
    <row x14ac:dyDescent="0.25" r="473" customHeight="1" ht="17.25">
      <c r="A473" s="8">
        <v>45845</v>
      </c>
      <c r="B473" s="9" t="s">
        <v>343</v>
      </c>
      <c r="C473" s="4"/>
      <c r="D473" s="6">
        <v>30</v>
      </c>
      <c r="E473" s="6">
        <f>E472+C473-D473</f>
      </c>
      <c r="F473" s="4"/>
    </row>
    <row x14ac:dyDescent="0.25" r="474" customHeight="1" ht="17.25">
      <c r="A474" s="7">
        <v>45845</v>
      </c>
      <c r="B474" s="9" t="s">
        <v>541</v>
      </c>
      <c r="C474" s="6">
        <v>20</v>
      </c>
      <c r="D474" s="4"/>
      <c r="E474" s="6">
        <f>E473+C474-D474</f>
      </c>
      <c r="F474" s="4"/>
    </row>
    <row x14ac:dyDescent="0.25" r="475" customHeight="1" ht="17.25">
      <c r="A475" s="7">
        <v>45846</v>
      </c>
      <c r="B475" s="9" t="s">
        <v>141</v>
      </c>
      <c r="C475" s="6">
        <v>63</v>
      </c>
      <c r="D475" s="4"/>
      <c r="E475" s="6">
        <f>E474+C475-D475</f>
      </c>
      <c r="F475" s="4"/>
    </row>
    <row x14ac:dyDescent="0.25" r="476" customHeight="1" ht="17.25">
      <c r="A476" s="7">
        <v>45846</v>
      </c>
      <c r="B476" s="9" t="s">
        <v>286</v>
      </c>
      <c r="C476" s="6">
        <v>108</v>
      </c>
      <c r="D476" s="4"/>
      <c r="E476" s="6">
        <f>E475+C476-D476</f>
      </c>
      <c r="F476" s="4"/>
    </row>
    <row x14ac:dyDescent="0.25" r="477" customHeight="1" ht="17.25">
      <c r="A477" s="8">
        <v>45846</v>
      </c>
      <c r="B477" s="9" t="s">
        <v>42</v>
      </c>
      <c r="C477" s="6">
        <v>100</v>
      </c>
      <c r="D477" s="4"/>
      <c r="E477" s="6">
        <f>E476+C477-D477</f>
      </c>
      <c r="F477" s="4"/>
    </row>
    <row x14ac:dyDescent="0.25" r="478" customHeight="1" ht="17.25">
      <c r="A478" s="8">
        <v>45847</v>
      </c>
      <c r="B478" s="9" t="s">
        <v>35</v>
      </c>
      <c r="C478" s="6">
        <v>62</v>
      </c>
      <c r="D478" s="4"/>
      <c r="E478" s="6">
        <f>E477+C478-D478</f>
      </c>
      <c r="F478" s="4"/>
    </row>
    <row x14ac:dyDescent="0.25" r="479" customHeight="1" ht="17.25">
      <c r="A479" s="7">
        <v>45847</v>
      </c>
      <c r="B479" s="9" t="s">
        <v>411</v>
      </c>
      <c r="C479" s="6">
        <v>20</v>
      </c>
      <c r="D479" s="4"/>
      <c r="E479" s="6">
        <f>E478+C479-D479</f>
      </c>
      <c r="F479" s="4"/>
    </row>
    <row x14ac:dyDescent="0.25" r="480" customHeight="1" ht="17.25">
      <c r="A480" s="7">
        <v>45848</v>
      </c>
      <c r="B480" s="9" t="s">
        <v>411</v>
      </c>
      <c r="C480" s="6">
        <v>38</v>
      </c>
      <c r="D480" s="4"/>
      <c r="E480" s="6">
        <f>E479+C480-D480</f>
      </c>
      <c r="F480" s="4"/>
    </row>
    <row x14ac:dyDescent="0.25" r="481" customHeight="1" ht="17.25">
      <c r="A481" s="7">
        <v>45848</v>
      </c>
      <c r="B481" s="9" t="s">
        <v>286</v>
      </c>
      <c r="C481" s="6">
        <v>85</v>
      </c>
      <c r="D481" s="4"/>
      <c r="E481" s="6">
        <f>E480+C481-D481</f>
      </c>
      <c r="F481" s="4"/>
    </row>
    <row x14ac:dyDescent="0.25" r="482" customHeight="1" ht="17.25">
      <c r="A482" s="7">
        <v>45848</v>
      </c>
      <c r="B482" s="9" t="s">
        <v>189</v>
      </c>
      <c r="C482" s="6">
        <v>55</v>
      </c>
      <c r="D482" s="4"/>
      <c r="E482" s="6">
        <f>E481+C482-D482</f>
      </c>
      <c r="F482" s="4"/>
    </row>
    <row x14ac:dyDescent="0.25" r="483" customHeight="1" ht="17.25">
      <c r="A483" s="7">
        <v>45850</v>
      </c>
      <c r="B483" s="9" t="s">
        <v>2</v>
      </c>
      <c r="C483" s="4"/>
      <c r="D483" s="6">
        <v>50</v>
      </c>
      <c r="E483" s="6">
        <f>E482+C483-D483</f>
      </c>
      <c r="F483" s="4"/>
    </row>
    <row x14ac:dyDescent="0.25" r="484" customHeight="1" ht="17.25">
      <c r="A484" s="7">
        <v>45850</v>
      </c>
      <c r="B484" s="9" t="s">
        <v>141</v>
      </c>
      <c r="C484" s="6">
        <v>64</v>
      </c>
      <c r="D484" s="4"/>
      <c r="E484" s="6">
        <f>E483+C484-D484</f>
      </c>
      <c r="F484" s="4"/>
    </row>
    <row x14ac:dyDescent="0.25" r="485" customHeight="1" ht="17.25">
      <c r="A485" s="7">
        <v>45850</v>
      </c>
      <c r="B485" s="9" t="s">
        <v>238</v>
      </c>
      <c r="C485" s="6">
        <v>67</v>
      </c>
      <c r="D485" s="4"/>
      <c r="E485" s="6">
        <f>E484+C485-D485</f>
      </c>
      <c r="F485" s="4"/>
    </row>
    <row x14ac:dyDescent="0.25" r="486" customHeight="1" ht="17.25">
      <c r="A486" s="7">
        <v>45850</v>
      </c>
      <c r="B486" s="9" t="s">
        <v>189</v>
      </c>
      <c r="C486" s="6">
        <v>28</v>
      </c>
      <c r="D486" s="4"/>
      <c r="E486" s="6">
        <f>E485+C486-D486</f>
      </c>
      <c r="F486" s="4"/>
    </row>
    <row x14ac:dyDescent="0.25" r="487" customHeight="1" ht="17.25">
      <c r="A487" s="7">
        <v>45850</v>
      </c>
      <c r="B487" s="9" t="s">
        <v>411</v>
      </c>
      <c r="C487" s="6">
        <v>40</v>
      </c>
      <c r="D487" s="4"/>
      <c r="E487" s="6">
        <f>E486+C487-D487</f>
      </c>
      <c r="F487" s="4"/>
    </row>
    <row x14ac:dyDescent="0.25" r="488" customHeight="1" ht="17.25">
      <c r="A488" s="7">
        <v>45852</v>
      </c>
      <c r="B488" s="9" t="s">
        <v>286</v>
      </c>
      <c r="C488" s="6">
        <v>84</v>
      </c>
      <c r="D488" s="4"/>
      <c r="E488" s="6">
        <f>E487+C488-D488</f>
      </c>
      <c r="F488" s="4"/>
    </row>
    <row x14ac:dyDescent="0.25" r="489" customHeight="1" ht="17.25">
      <c r="A489" s="7">
        <v>45853</v>
      </c>
      <c r="B489" s="9" t="s">
        <v>141</v>
      </c>
      <c r="C489" s="6">
        <v>67</v>
      </c>
      <c r="D489" s="4"/>
      <c r="E489" s="6">
        <f>E488+C489-D489</f>
      </c>
      <c r="F489" s="4"/>
    </row>
    <row x14ac:dyDescent="0.25" r="490" customHeight="1" ht="17.25">
      <c r="A490" s="7">
        <v>45853</v>
      </c>
      <c r="B490" s="9" t="s">
        <v>35</v>
      </c>
      <c r="C490" s="6">
        <v>108</v>
      </c>
      <c r="D490" s="4"/>
      <c r="E490" s="6">
        <f>E489+C490-D490</f>
      </c>
      <c r="F490" s="4"/>
    </row>
    <row x14ac:dyDescent="0.25" r="491" customHeight="1" ht="17.25">
      <c r="A491" s="7">
        <v>45853</v>
      </c>
      <c r="B491" s="9" t="s">
        <v>382</v>
      </c>
      <c r="C491" s="6">
        <v>60</v>
      </c>
      <c r="D491" s="4"/>
      <c r="E491" s="6">
        <f>E490+C491-D491</f>
      </c>
      <c r="F491" s="4"/>
    </row>
    <row x14ac:dyDescent="0.25" r="492" customHeight="1" ht="17.25">
      <c r="A492" s="7">
        <v>45853</v>
      </c>
      <c r="B492" s="9" t="s">
        <v>301</v>
      </c>
      <c r="C492" s="4"/>
      <c r="D492" s="6">
        <v>20</v>
      </c>
      <c r="E492" s="6">
        <f>E491+C492-D492</f>
      </c>
      <c r="F492" s="4"/>
    </row>
    <row x14ac:dyDescent="0.25" r="493" customHeight="1" ht="17.25">
      <c r="A493" s="7">
        <v>45854</v>
      </c>
      <c r="B493" s="9" t="s">
        <v>189</v>
      </c>
      <c r="C493" s="6">
        <v>77</v>
      </c>
      <c r="D493" s="4"/>
      <c r="E493" s="6">
        <f>E492+C493-D493</f>
      </c>
      <c r="F493" s="4"/>
    </row>
    <row x14ac:dyDescent="0.25" r="494" customHeight="1" ht="17.25">
      <c r="A494" s="7">
        <v>45854</v>
      </c>
      <c r="B494" s="9" t="s">
        <v>411</v>
      </c>
      <c r="C494" s="6">
        <v>31</v>
      </c>
      <c r="D494" s="4"/>
      <c r="E494" s="6">
        <f>E493+C494-D494</f>
      </c>
      <c r="F494" s="4"/>
    </row>
    <row x14ac:dyDescent="0.25" r="495" customHeight="1" ht="17.25">
      <c r="A495" s="7">
        <v>45854</v>
      </c>
      <c r="B495" s="9" t="s">
        <v>189</v>
      </c>
      <c r="C495" s="6">
        <v>11</v>
      </c>
      <c r="D495" s="4"/>
      <c r="E495" s="6">
        <f>E494+C495-D495</f>
      </c>
      <c r="F495" s="4"/>
    </row>
    <row x14ac:dyDescent="0.25" r="496" customHeight="1" ht="17.25">
      <c r="A496" s="7">
        <v>45854</v>
      </c>
      <c r="B496" s="9" t="s">
        <v>376</v>
      </c>
      <c r="C496" s="6">
        <v>25</v>
      </c>
      <c r="D496" s="4"/>
      <c r="E496" s="6">
        <f>E495+C496-D496</f>
      </c>
      <c r="F496" s="4"/>
    </row>
    <row x14ac:dyDescent="0.25" r="497" customHeight="1" ht="17.25">
      <c r="A497" s="7">
        <v>45855</v>
      </c>
      <c r="B497" s="9" t="s">
        <v>382</v>
      </c>
      <c r="C497" s="6">
        <v>41</v>
      </c>
      <c r="D497" s="4"/>
      <c r="E497" s="6">
        <f>E496+C497-D497</f>
      </c>
      <c r="F497" s="4"/>
    </row>
    <row x14ac:dyDescent="0.25" r="498" customHeight="1" ht="17.25">
      <c r="A498" s="7">
        <v>45856</v>
      </c>
      <c r="B498" s="9" t="s">
        <v>25</v>
      </c>
      <c r="C498" s="4"/>
      <c r="D498" s="6">
        <v>100</v>
      </c>
      <c r="E498" s="6">
        <f>E497+C498-D498</f>
      </c>
      <c r="F498" s="4"/>
    </row>
    <row x14ac:dyDescent="0.25" r="499" customHeight="1" ht="17.25">
      <c r="A499" s="7">
        <v>45856</v>
      </c>
      <c r="B499" s="9" t="s">
        <v>411</v>
      </c>
      <c r="C499" s="6">
        <v>50</v>
      </c>
      <c r="D499" s="4"/>
      <c r="E499" s="6">
        <f>E498+C499-D499</f>
      </c>
      <c r="F499" s="4"/>
    </row>
    <row x14ac:dyDescent="0.25" r="500" customHeight="1" ht="17.25">
      <c r="A500" s="7">
        <v>45857</v>
      </c>
      <c r="B500" s="9" t="s">
        <v>289</v>
      </c>
      <c r="C500" s="4"/>
      <c r="D500" s="6">
        <v>48</v>
      </c>
      <c r="E500" s="6">
        <f>E499+C500-D500</f>
      </c>
      <c r="F500" s="4"/>
    </row>
    <row x14ac:dyDescent="0.25" r="501" customHeight="1" ht="17.25">
      <c r="A501" s="7">
        <v>45857</v>
      </c>
      <c r="B501" s="9" t="s">
        <v>46</v>
      </c>
      <c r="C501" s="4"/>
      <c r="D501" s="6">
        <v>230</v>
      </c>
      <c r="E501" s="6">
        <f>E500+C501-D501</f>
      </c>
      <c r="F501" s="4"/>
    </row>
    <row x14ac:dyDescent="0.25" r="502" customHeight="1" ht="17.25">
      <c r="A502" s="7">
        <v>45859</v>
      </c>
      <c r="B502" s="9" t="s">
        <v>311</v>
      </c>
      <c r="C502" s="4"/>
      <c r="D502" s="6">
        <v>120</v>
      </c>
      <c r="E502" s="6">
        <f>E501+C502-D502</f>
      </c>
      <c r="F502" s="4"/>
    </row>
    <row x14ac:dyDescent="0.25" r="503" customHeight="1" ht="17.25">
      <c r="A503" s="7">
        <v>45859</v>
      </c>
      <c r="B503" s="9" t="s">
        <v>286</v>
      </c>
      <c r="C503" s="6">
        <v>88</v>
      </c>
      <c r="D503" s="4"/>
      <c r="E503" s="6">
        <f>E502+C503-D503</f>
      </c>
      <c r="F503" s="4"/>
    </row>
    <row x14ac:dyDescent="0.25" r="504" customHeight="1" ht="17.25">
      <c r="A504" s="7">
        <v>45859</v>
      </c>
      <c r="B504" s="9" t="s">
        <v>89</v>
      </c>
      <c r="C504" s="6">
        <v>184</v>
      </c>
      <c r="D504" s="4"/>
      <c r="E504" s="6">
        <f>E503+C504-D504</f>
      </c>
      <c r="F504" s="4"/>
    </row>
    <row x14ac:dyDescent="0.25" r="505" customHeight="1" ht="17.25">
      <c r="A505" s="7">
        <v>45860</v>
      </c>
      <c r="B505" s="9" t="s">
        <v>311</v>
      </c>
      <c r="C505" s="4"/>
      <c r="D505" s="6">
        <v>80</v>
      </c>
      <c r="E505" s="6">
        <f>E504+C505-D505</f>
      </c>
      <c r="F505" s="4"/>
    </row>
    <row x14ac:dyDescent="0.25" r="506" customHeight="1" ht="17.25">
      <c r="A506" s="8">
        <v>45860</v>
      </c>
      <c r="B506" s="9" t="s">
        <v>42</v>
      </c>
      <c r="C506" s="6">
        <v>95</v>
      </c>
      <c r="D506" s="4"/>
      <c r="E506" s="6">
        <f>E505+C506-D506</f>
      </c>
      <c r="F506" s="4"/>
    </row>
    <row x14ac:dyDescent="0.25" r="507" customHeight="1" ht="17.25">
      <c r="A507" s="7">
        <v>45860</v>
      </c>
      <c r="B507" s="9" t="s">
        <v>411</v>
      </c>
      <c r="C507" s="6">
        <v>18</v>
      </c>
      <c r="D507" s="4"/>
      <c r="E507" s="6">
        <f>E506+C507-D507</f>
      </c>
      <c r="F507" s="4"/>
    </row>
    <row x14ac:dyDescent="0.25" r="508" customHeight="1" ht="17.25">
      <c r="A508" s="7">
        <v>45860</v>
      </c>
      <c r="B508" s="9" t="s">
        <v>4</v>
      </c>
      <c r="C508" s="6">
        <v>18</v>
      </c>
      <c r="D508" s="4"/>
      <c r="E508" s="6">
        <f>E507+C508-D508</f>
      </c>
      <c r="F508" s="4"/>
    </row>
    <row x14ac:dyDescent="0.25" r="509" customHeight="1" ht="17.25">
      <c r="A509" s="7">
        <v>45860</v>
      </c>
      <c r="B509" s="9" t="s">
        <v>141</v>
      </c>
      <c r="C509" s="6">
        <v>33</v>
      </c>
      <c r="D509" s="4"/>
      <c r="E509" s="6">
        <f>E508+C509-D509</f>
      </c>
      <c r="F509" s="4"/>
    </row>
    <row x14ac:dyDescent="0.25" r="510" customHeight="1" ht="17.25">
      <c r="A510" s="7">
        <v>45861</v>
      </c>
      <c r="B510" s="9" t="s">
        <v>304</v>
      </c>
      <c r="C510" s="4"/>
      <c r="D510" s="6">
        <v>50</v>
      </c>
      <c r="E510" s="6">
        <f>E509+C510-D510</f>
      </c>
      <c r="F510" s="4"/>
    </row>
    <row x14ac:dyDescent="0.25" r="511" customHeight="1" ht="17.25">
      <c r="A511" s="7">
        <v>45861</v>
      </c>
      <c r="B511" s="9" t="s">
        <v>141</v>
      </c>
      <c r="C511" s="6">
        <v>26</v>
      </c>
      <c r="D511" s="4"/>
      <c r="E511" s="6">
        <f>E510+C511-D511</f>
      </c>
      <c r="F511" s="4"/>
    </row>
    <row x14ac:dyDescent="0.25" r="512" customHeight="1" ht="17.25">
      <c r="A512" s="7">
        <v>45862</v>
      </c>
      <c r="B512" s="9" t="s">
        <v>286</v>
      </c>
      <c r="C512" s="6">
        <v>91</v>
      </c>
      <c r="D512" s="4"/>
      <c r="E512" s="6">
        <f>E511+C512-D512</f>
      </c>
      <c r="F512" s="4"/>
    </row>
    <row x14ac:dyDescent="0.25" r="513" customHeight="1" ht="17.25">
      <c r="A513" s="7">
        <v>45863</v>
      </c>
      <c r="B513" s="9" t="s">
        <v>233</v>
      </c>
      <c r="C513" s="4"/>
      <c r="D513" s="6">
        <v>70</v>
      </c>
      <c r="E513" s="6">
        <f>E512+C513-D513</f>
      </c>
      <c r="F513" s="4"/>
    </row>
    <row x14ac:dyDescent="0.25" r="514" customHeight="1" ht="17.25">
      <c r="A514" s="7">
        <v>45863</v>
      </c>
      <c r="B514" s="9" t="s">
        <v>35</v>
      </c>
      <c r="C514" s="6">
        <v>85</v>
      </c>
      <c r="D514" s="4"/>
      <c r="E514" s="6">
        <f>E513+C514-D514</f>
      </c>
      <c r="F514" s="4"/>
    </row>
    <row x14ac:dyDescent="0.25" r="515" customHeight="1" ht="17.25">
      <c r="A515" s="7">
        <v>45863</v>
      </c>
      <c r="B515" s="9" t="s">
        <v>35</v>
      </c>
      <c r="C515" s="6">
        <v>30</v>
      </c>
      <c r="D515" s="4"/>
      <c r="E515" s="6">
        <f>E514+C515-D515</f>
      </c>
      <c r="F515" s="4"/>
    </row>
    <row x14ac:dyDescent="0.25" r="516" customHeight="1" ht="17.25">
      <c r="A516" s="7">
        <v>45864</v>
      </c>
      <c r="B516" s="9" t="s">
        <v>389</v>
      </c>
      <c r="C516" s="4"/>
      <c r="D516" s="6">
        <v>93</v>
      </c>
      <c r="E516" s="6">
        <f>E515+C516-D516</f>
      </c>
      <c r="F516" s="4"/>
    </row>
    <row x14ac:dyDescent="0.25" r="517" customHeight="1" ht="17.25">
      <c r="A517" s="7">
        <v>45864</v>
      </c>
      <c r="B517" s="9" t="s">
        <v>311</v>
      </c>
      <c r="C517" s="4"/>
      <c r="D517" s="6">
        <v>69</v>
      </c>
      <c r="E517" s="6">
        <f>E516+C517-D517</f>
      </c>
      <c r="F517" s="4"/>
    </row>
    <row x14ac:dyDescent="0.25" r="518" customHeight="1" ht="17.25">
      <c r="A518" s="7">
        <v>45864</v>
      </c>
      <c r="B518" s="9" t="s">
        <v>233</v>
      </c>
      <c r="C518" s="4"/>
      <c r="D518" s="6">
        <v>90</v>
      </c>
      <c r="E518" s="6">
        <f>E517+C518-D518</f>
      </c>
      <c r="F518" s="4"/>
    </row>
    <row x14ac:dyDescent="0.25" r="519" customHeight="1" ht="17.25">
      <c r="A519" s="8">
        <v>45864</v>
      </c>
      <c r="B519" s="9" t="s">
        <v>257</v>
      </c>
      <c r="C519" s="6">
        <v>28</v>
      </c>
      <c r="D519" s="4"/>
      <c r="E519" s="6">
        <f>E518+C519-D519</f>
      </c>
      <c r="F519" s="4"/>
    </row>
    <row x14ac:dyDescent="0.25" r="520" customHeight="1" ht="17.25">
      <c r="A520" s="7">
        <v>45864</v>
      </c>
      <c r="B520" s="9" t="s">
        <v>286</v>
      </c>
      <c r="C520" s="6">
        <v>95</v>
      </c>
      <c r="D520" s="4"/>
      <c r="E520" s="6">
        <f>E519+C520-D520</f>
      </c>
      <c r="F520" s="4"/>
    </row>
    <row x14ac:dyDescent="0.25" r="521" customHeight="1" ht="17.25">
      <c r="A521" s="7">
        <v>45866</v>
      </c>
      <c r="B521" s="9" t="s">
        <v>389</v>
      </c>
      <c r="C521" s="4"/>
      <c r="D521" s="6">
        <v>107</v>
      </c>
      <c r="E521" s="6">
        <f>E520+C521-D521</f>
      </c>
      <c r="F521" s="4"/>
    </row>
    <row x14ac:dyDescent="0.25" r="522" customHeight="1" ht="17.25">
      <c r="A522" s="7">
        <v>45866</v>
      </c>
      <c r="B522" s="9" t="s">
        <v>311</v>
      </c>
      <c r="C522" s="4"/>
      <c r="D522" s="4"/>
      <c r="E522" s="6">
        <f>E521+C522-D522</f>
      </c>
      <c r="F522" s="4"/>
    </row>
    <row x14ac:dyDescent="0.25" r="523" customHeight="1" ht="17.25">
      <c r="A523" s="7">
        <v>45866</v>
      </c>
      <c r="B523" s="9" t="s">
        <v>283</v>
      </c>
      <c r="C523" s="6">
        <v>90</v>
      </c>
      <c r="D523" s="4"/>
      <c r="E523" s="6">
        <f>E522+C523-D523</f>
      </c>
      <c r="F523" s="4"/>
    </row>
    <row x14ac:dyDescent="0.25" r="524" customHeight="1" ht="17.25">
      <c r="A524" s="7">
        <v>45867</v>
      </c>
      <c r="B524" s="9" t="s">
        <v>315</v>
      </c>
      <c r="C524" s="4"/>
      <c r="D524" s="6">
        <v>28</v>
      </c>
      <c r="E524" s="6">
        <f>E523+C524-D524</f>
      </c>
      <c r="F524" s="4"/>
    </row>
    <row x14ac:dyDescent="0.25" r="525" customHeight="1" ht="17.25">
      <c r="A525" s="7">
        <v>45867</v>
      </c>
      <c r="B525" s="9" t="s">
        <v>557</v>
      </c>
      <c r="C525" s="4"/>
      <c r="D525" s="6">
        <v>20</v>
      </c>
      <c r="E525" s="6">
        <f>E524+C525-D525</f>
      </c>
      <c r="F525" s="4"/>
    </row>
    <row x14ac:dyDescent="0.25" r="526" customHeight="1" ht="17.25">
      <c r="A526" s="8">
        <v>45867</v>
      </c>
      <c r="B526" s="9" t="s">
        <v>35</v>
      </c>
      <c r="C526" s="6">
        <v>147</v>
      </c>
      <c r="D526" s="4"/>
      <c r="E526" s="6">
        <f>E525+C526-D526</f>
      </c>
      <c r="F526" s="4"/>
    </row>
    <row x14ac:dyDescent="0.25" r="527" customHeight="1" ht="17.25">
      <c r="A527" s="7">
        <v>45867</v>
      </c>
      <c r="B527" s="9" t="s">
        <v>382</v>
      </c>
      <c r="C527" s="6">
        <v>6</v>
      </c>
      <c r="D527" s="4"/>
      <c r="E527" s="6">
        <f>E526+C527-D527</f>
      </c>
      <c r="F527" s="4"/>
    </row>
    <row x14ac:dyDescent="0.25" r="528" customHeight="1" ht="17.25">
      <c r="A528" s="8">
        <v>45868</v>
      </c>
      <c r="B528" s="9" t="s">
        <v>100</v>
      </c>
      <c r="C528" s="4"/>
      <c r="D528" s="6">
        <v>100</v>
      </c>
      <c r="E528" s="6">
        <f>E527+C528-D528</f>
      </c>
      <c r="F528" s="4"/>
    </row>
    <row x14ac:dyDescent="0.25" r="529" customHeight="1" ht="17.25">
      <c r="A529" s="7">
        <v>45869</v>
      </c>
      <c r="B529" s="9" t="s">
        <v>311</v>
      </c>
      <c r="C529" s="4"/>
      <c r="D529" s="6">
        <v>85</v>
      </c>
      <c r="E529" s="6">
        <f>E528+C529-D529</f>
      </c>
      <c r="F529" s="4"/>
    </row>
    <row x14ac:dyDescent="0.25" r="530" customHeight="1" ht="17.25">
      <c r="A530" s="7">
        <v>45869</v>
      </c>
      <c r="B530" s="9" t="s">
        <v>376</v>
      </c>
      <c r="C530" s="6">
        <v>58</v>
      </c>
      <c r="D530" s="4"/>
      <c r="E530" s="6">
        <f>E529+C530-D530</f>
      </c>
      <c r="F530" s="4"/>
    </row>
    <row x14ac:dyDescent="0.25" r="531" customHeight="1" ht="17.25">
      <c r="A531" s="7">
        <v>45870</v>
      </c>
      <c r="B531" s="9" t="s">
        <v>286</v>
      </c>
      <c r="C531" s="6">
        <v>93</v>
      </c>
      <c r="D531" s="4"/>
      <c r="E531" s="6">
        <f>E530+C531-D531</f>
      </c>
      <c r="F531" s="4"/>
    </row>
    <row x14ac:dyDescent="0.25" r="532" customHeight="1" ht="17.25">
      <c r="A532" s="7">
        <v>45870</v>
      </c>
      <c r="B532" s="9" t="s">
        <v>35</v>
      </c>
      <c r="C532" s="6">
        <v>53</v>
      </c>
      <c r="D532" s="4"/>
      <c r="E532" s="6">
        <f>E531+C532-D532</f>
      </c>
      <c r="F532" s="4"/>
    </row>
    <row x14ac:dyDescent="0.25" r="533" customHeight="1" ht="17.25">
      <c r="A533" s="7">
        <v>45873</v>
      </c>
      <c r="B533" s="9" t="s">
        <v>389</v>
      </c>
      <c r="C533" s="4"/>
      <c r="D533" s="6">
        <v>77</v>
      </c>
      <c r="E533" s="6">
        <f>E532+C533-D533</f>
      </c>
      <c r="F533" s="4"/>
    </row>
    <row x14ac:dyDescent="0.25" r="534" customHeight="1" ht="17.25">
      <c r="A534" s="7">
        <v>45874</v>
      </c>
      <c r="B534" s="9" t="s">
        <v>389</v>
      </c>
      <c r="C534" s="4"/>
      <c r="D534" s="6">
        <v>23</v>
      </c>
      <c r="E534" s="6">
        <f>E533+C534-D534</f>
      </c>
      <c r="F534" s="4"/>
    </row>
    <row x14ac:dyDescent="0.25" r="535" customHeight="1" ht="17.25">
      <c r="A535" s="7">
        <v>45874</v>
      </c>
      <c r="B535" s="9" t="s">
        <v>486</v>
      </c>
      <c r="C535" s="6">
        <v>40</v>
      </c>
      <c r="D535" s="4"/>
      <c r="E535" s="6">
        <f>E534+C535-D535</f>
      </c>
      <c r="F535" s="4"/>
    </row>
    <row x14ac:dyDescent="0.25" r="536" customHeight="1" ht="17.25">
      <c r="A536" s="7">
        <v>45874</v>
      </c>
      <c r="B536" s="9" t="s">
        <v>208</v>
      </c>
      <c r="C536" s="6">
        <v>49</v>
      </c>
      <c r="D536" s="4"/>
      <c r="E536" s="6">
        <f>E535+C536-D536</f>
      </c>
      <c r="F536" s="4"/>
    </row>
    <row x14ac:dyDescent="0.25" r="537" customHeight="1" ht="17.25">
      <c r="A537" s="7">
        <v>45875</v>
      </c>
      <c r="B537" s="9" t="s">
        <v>311</v>
      </c>
      <c r="C537" s="4"/>
      <c r="D537" s="6">
        <v>150</v>
      </c>
      <c r="E537" s="6">
        <f>E536+C537-D537</f>
      </c>
      <c r="F537" s="4"/>
    </row>
    <row x14ac:dyDescent="0.25" r="538" customHeight="1" ht="17.25">
      <c r="A538" s="7">
        <v>45875</v>
      </c>
      <c r="B538" s="9" t="s">
        <v>189</v>
      </c>
      <c r="C538" s="4"/>
      <c r="D538" s="6">
        <v>94</v>
      </c>
      <c r="E538" s="6">
        <f>E537+C538-D538</f>
      </c>
      <c r="F538" s="4"/>
    </row>
    <row x14ac:dyDescent="0.25" r="539" customHeight="1" ht="17.25">
      <c r="A539" s="7">
        <v>45875</v>
      </c>
      <c r="B539" s="9" t="s">
        <v>26</v>
      </c>
      <c r="C539" s="4"/>
      <c r="D539" s="6">
        <v>240</v>
      </c>
      <c r="E539" s="6">
        <f>E538+C539-D539</f>
      </c>
      <c r="F539" s="4"/>
    </row>
    <row x14ac:dyDescent="0.25" r="540" customHeight="1" ht="17.25">
      <c r="A540" s="7">
        <v>45875</v>
      </c>
      <c r="B540" s="9" t="s">
        <v>208</v>
      </c>
      <c r="C540" s="6">
        <v>125</v>
      </c>
      <c r="D540" s="4"/>
      <c r="E540" s="6">
        <f>E539+C540-D540</f>
      </c>
      <c r="F540" s="4"/>
    </row>
    <row x14ac:dyDescent="0.25" r="541" customHeight="1" ht="17.25">
      <c r="A541" s="7">
        <v>45876</v>
      </c>
      <c r="B541" s="9" t="s">
        <v>189</v>
      </c>
      <c r="C541" s="4"/>
      <c r="D541" s="6">
        <v>51</v>
      </c>
      <c r="E541" s="6">
        <f>E540+C541-D541</f>
      </c>
      <c r="F541" s="4"/>
    </row>
    <row x14ac:dyDescent="0.25" r="542" customHeight="1" ht="17.25">
      <c r="A542" s="8">
        <v>45876</v>
      </c>
      <c r="B542" s="9" t="s">
        <v>307</v>
      </c>
      <c r="C542" s="4"/>
      <c r="D542" s="6">
        <v>206</v>
      </c>
      <c r="E542" s="6">
        <f>E541+C542-D542</f>
      </c>
      <c r="F542" s="4"/>
    </row>
    <row x14ac:dyDescent="0.25" r="543" customHeight="1" ht="17.25">
      <c r="A543" s="7">
        <v>45876</v>
      </c>
      <c r="B543" s="9" t="s">
        <v>46</v>
      </c>
      <c r="C543" s="4"/>
      <c r="D543" s="6">
        <v>200</v>
      </c>
      <c r="E543" s="6">
        <f>E542+C543-D543</f>
      </c>
      <c r="F543" s="4"/>
    </row>
    <row x14ac:dyDescent="0.25" r="544" customHeight="1" ht="17.25">
      <c r="A544" s="7">
        <v>45876</v>
      </c>
      <c r="B544" s="9" t="s">
        <v>275</v>
      </c>
      <c r="C544" s="6">
        <v>49</v>
      </c>
      <c r="D544" s="4"/>
      <c r="E544" s="6">
        <f>E543+C544-D544</f>
      </c>
      <c r="F544" s="4"/>
    </row>
    <row x14ac:dyDescent="0.25" r="545" customHeight="1" ht="17.25">
      <c r="A545" s="7">
        <v>45876</v>
      </c>
      <c r="B545" s="9" t="s">
        <v>286</v>
      </c>
      <c r="C545" s="6">
        <v>103</v>
      </c>
      <c r="D545" s="4"/>
      <c r="E545" s="6">
        <f>E544+C545-D545</f>
      </c>
      <c r="F545" s="4"/>
    </row>
    <row x14ac:dyDescent="0.25" r="546" customHeight="1" ht="17.25">
      <c r="A546" s="7">
        <v>45876</v>
      </c>
      <c r="B546" s="9" t="s">
        <v>208</v>
      </c>
      <c r="C546" s="6">
        <v>91</v>
      </c>
      <c r="D546" s="4"/>
      <c r="E546" s="6">
        <f>E545+C546-D546</f>
      </c>
      <c r="F546" s="4"/>
    </row>
    <row x14ac:dyDescent="0.25" r="547" customHeight="1" ht="17.25">
      <c r="A547" s="7">
        <v>45877</v>
      </c>
      <c r="B547" s="9" t="s">
        <v>316</v>
      </c>
      <c r="C547" s="4"/>
      <c r="D547" s="6">
        <v>200</v>
      </c>
      <c r="E547" s="6">
        <f>E546+C547-D547</f>
      </c>
      <c r="F547" s="4"/>
    </row>
    <row x14ac:dyDescent="0.25" r="548" customHeight="1" ht="17.25">
      <c r="A548" s="7">
        <v>45877</v>
      </c>
      <c r="B548" s="9" t="s">
        <v>234</v>
      </c>
      <c r="C548" s="4"/>
      <c r="D548" s="6">
        <v>50</v>
      </c>
      <c r="E548" s="6">
        <f>E547+C548-D548</f>
      </c>
      <c r="F548" s="4"/>
    </row>
    <row x14ac:dyDescent="0.25" r="549" customHeight="1" ht="17.25">
      <c r="A549" s="7">
        <v>45878</v>
      </c>
      <c r="B549" s="9" t="s">
        <v>26</v>
      </c>
      <c r="C549" s="4"/>
      <c r="D549" s="6">
        <v>386</v>
      </c>
      <c r="E549" s="6">
        <f>E548+C549-D549</f>
      </c>
      <c r="F549" s="4"/>
    </row>
    <row x14ac:dyDescent="0.25" r="550" customHeight="1" ht="17.25">
      <c r="A550" s="7">
        <v>45878</v>
      </c>
      <c r="B550" s="9" t="s">
        <v>141</v>
      </c>
      <c r="C550" s="6">
        <v>35</v>
      </c>
      <c r="D550" s="4"/>
      <c r="E550" s="6">
        <f>E549+C550-D550</f>
      </c>
      <c r="F550" s="4"/>
    </row>
    <row x14ac:dyDescent="0.25" r="551" customHeight="1" ht="17.25">
      <c r="A551" s="7">
        <v>45878</v>
      </c>
      <c r="B551" s="9" t="s">
        <v>411</v>
      </c>
      <c r="C551" s="6">
        <v>18</v>
      </c>
      <c r="D551" s="4"/>
      <c r="E551" s="6">
        <f>E550+C551-D551</f>
      </c>
      <c r="F551" s="4"/>
    </row>
    <row x14ac:dyDescent="0.25" r="552" customHeight="1" ht="17.25">
      <c r="A552" s="7">
        <v>45879</v>
      </c>
      <c r="B552" s="9" t="s">
        <v>26</v>
      </c>
      <c r="C552" s="4"/>
      <c r="D552" s="6">
        <v>75</v>
      </c>
      <c r="E552" s="6">
        <f>E551+C552-D552</f>
      </c>
      <c r="F552" s="4"/>
    </row>
    <row x14ac:dyDescent="0.25" r="553" customHeight="1" ht="17.25">
      <c r="A553" s="7">
        <v>45880</v>
      </c>
      <c r="B553" s="9" t="s">
        <v>233</v>
      </c>
      <c r="C553" s="4"/>
      <c r="D553" s="6">
        <v>109</v>
      </c>
      <c r="E553" s="6">
        <f>E552+C553-D553</f>
      </c>
      <c r="F553" s="4"/>
    </row>
    <row x14ac:dyDescent="0.25" r="554" customHeight="1" ht="17.25">
      <c r="A554" s="7">
        <v>45880</v>
      </c>
      <c r="B554" s="9" t="s">
        <v>286</v>
      </c>
      <c r="C554" s="6">
        <v>74</v>
      </c>
      <c r="D554" s="4"/>
      <c r="E554" s="6">
        <f>E553+C554-D554</f>
      </c>
      <c r="F554" s="4"/>
    </row>
    <row x14ac:dyDescent="0.25" r="555" customHeight="1" ht="17.25">
      <c r="A555" s="7">
        <v>45880</v>
      </c>
      <c r="B555" s="9" t="s">
        <v>141</v>
      </c>
      <c r="C555" s="6">
        <v>26</v>
      </c>
      <c r="D555" s="4"/>
      <c r="E555" s="6">
        <f>E554+C555-D555</f>
      </c>
      <c r="F555" s="4"/>
    </row>
    <row x14ac:dyDescent="0.25" r="556" customHeight="1" ht="17.25">
      <c r="A556" s="7">
        <v>45881</v>
      </c>
      <c r="B556" s="9" t="s">
        <v>391</v>
      </c>
      <c r="C556" s="4"/>
      <c r="D556" s="6">
        <v>18</v>
      </c>
      <c r="E556" s="6">
        <f>E555+C556-D556</f>
      </c>
      <c r="F556" s="4"/>
    </row>
    <row x14ac:dyDescent="0.25" r="557" customHeight="1" ht="17.25">
      <c r="A557" s="7">
        <v>45881</v>
      </c>
      <c r="B557" s="9" t="s">
        <v>208</v>
      </c>
      <c r="C557" s="6">
        <v>76</v>
      </c>
      <c r="D557" s="4"/>
      <c r="E557" s="6">
        <f>E556+C557-D557</f>
      </c>
      <c r="F557" s="4"/>
    </row>
    <row x14ac:dyDescent="0.25" r="558" customHeight="1" ht="17.25">
      <c r="A558" s="7">
        <v>45882</v>
      </c>
      <c r="B558" s="9" t="s">
        <v>389</v>
      </c>
      <c r="C558" s="4"/>
      <c r="D558" s="6">
        <v>85</v>
      </c>
      <c r="E558" s="6">
        <f>E557+C558-D558</f>
      </c>
      <c r="F558" s="4"/>
    </row>
    <row x14ac:dyDescent="0.25" r="559" customHeight="1" ht="17.25">
      <c r="A559" s="7">
        <v>45882</v>
      </c>
      <c r="B559" s="9" t="s">
        <v>316</v>
      </c>
      <c r="C559" s="4"/>
      <c r="D559" s="6">
        <v>210</v>
      </c>
      <c r="E559" s="6">
        <f>E558+C559-D559</f>
      </c>
      <c r="F559" s="4"/>
    </row>
    <row x14ac:dyDescent="0.25" r="560" customHeight="1" ht="17.25">
      <c r="A560" s="7">
        <v>45882</v>
      </c>
      <c r="B560" s="9" t="s">
        <v>333</v>
      </c>
      <c r="C560" s="6">
        <v>60</v>
      </c>
      <c r="D560" s="4"/>
      <c r="E560" s="6">
        <f>E559+C560-D560</f>
      </c>
      <c r="F560" s="4"/>
    </row>
    <row x14ac:dyDescent="0.25" r="561" customHeight="1" ht="17.25">
      <c r="A561" s="7">
        <v>45883</v>
      </c>
      <c r="B561" s="9" t="s">
        <v>389</v>
      </c>
      <c r="C561" s="4"/>
      <c r="D561" s="6">
        <v>115</v>
      </c>
      <c r="E561" s="6">
        <f>E560+C561-D561</f>
      </c>
      <c r="F561" s="4"/>
    </row>
    <row x14ac:dyDescent="0.25" r="562" customHeight="1" ht="17.25">
      <c r="A562" s="7">
        <v>45883</v>
      </c>
      <c r="B562" s="9" t="s">
        <v>525</v>
      </c>
      <c r="C562" s="4"/>
      <c r="D562" s="6">
        <v>20</v>
      </c>
      <c r="E562" s="6">
        <f>E561+C562-D562</f>
      </c>
      <c r="F562" s="4"/>
    </row>
    <row x14ac:dyDescent="0.25" r="563" customHeight="1" ht="17.25">
      <c r="A563" s="7">
        <v>45883</v>
      </c>
      <c r="B563" s="9" t="s">
        <v>233</v>
      </c>
      <c r="C563" s="4"/>
      <c r="D563" s="6">
        <v>11</v>
      </c>
      <c r="E563" s="6">
        <f>E562+C563-D563</f>
      </c>
      <c r="F563" s="4"/>
    </row>
    <row x14ac:dyDescent="0.25" r="564" customHeight="1" ht="17.25">
      <c r="A564" s="7">
        <v>45884</v>
      </c>
      <c r="B564" s="9" t="s">
        <v>389</v>
      </c>
      <c r="C564" s="4"/>
      <c r="D564" s="6">
        <v>200</v>
      </c>
      <c r="E564" s="6">
        <f>E563+C564-D564</f>
      </c>
      <c r="F564" s="4"/>
    </row>
    <row x14ac:dyDescent="0.25" r="565" customHeight="1" ht="17.25">
      <c r="A565" s="7">
        <v>45884</v>
      </c>
      <c r="B565" s="9" t="s">
        <v>333</v>
      </c>
      <c r="C565" s="6">
        <v>59</v>
      </c>
      <c r="D565" s="4"/>
      <c r="E565" s="6">
        <f>E564+C565-D565</f>
      </c>
      <c r="F565" s="4"/>
    </row>
    <row x14ac:dyDescent="0.25" r="566" customHeight="1" ht="17.25">
      <c r="A566" s="8">
        <v>45884</v>
      </c>
      <c r="B566" s="9" t="s">
        <v>35</v>
      </c>
      <c r="C566" s="6">
        <v>35</v>
      </c>
      <c r="D566" s="4"/>
      <c r="E566" s="6">
        <f>E565+C566-D566</f>
      </c>
      <c r="F566" s="4"/>
    </row>
    <row x14ac:dyDescent="0.25" r="567" customHeight="1" ht="17.25">
      <c r="A567" s="7">
        <v>45885</v>
      </c>
      <c r="B567" s="9" t="s">
        <v>233</v>
      </c>
      <c r="C567" s="4"/>
      <c r="D567" s="6">
        <v>72</v>
      </c>
      <c r="E567" s="6">
        <f>E566+C567-D567</f>
      </c>
      <c r="F567" s="4"/>
    </row>
    <row x14ac:dyDescent="0.25" r="568" customHeight="1" ht="17.25">
      <c r="A568" s="7">
        <v>45885</v>
      </c>
      <c r="B568" s="9" t="s">
        <v>3</v>
      </c>
      <c r="C568" s="4"/>
      <c r="D568" s="6">
        <v>100</v>
      </c>
      <c r="E568" s="6">
        <f>E567+C568-D568</f>
      </c>
      <c r="F568" s="4"/>
    </row>
    <row x14ac:dyDescent="0.25" r="569" customHeight="1" ht="17.25">
      <c r="A569" s="7">
        <v>45885</v>
      </c>
      <c r="B569" s="9" t="s">
        <v>311</v>
      </c>
      <c r="C569" s="4"/>
      <c r="D569" s="6">
        <v>70</v>
      </c>
      <c r="E569" s="6">
        <f>E568+C569-D569</f>
      </c>
      <c r="F569" s="4"/>
    </row>
    <row x14ac:dyDescent="0.25" r="570" customHeight="1" ht="17.25">
      <c r="A570" s="7">
        <v>45885</v>
      </c>
      <c r="B570" s="9" t="s">
        <v>29</v>
      </c>
      <c r="C570" s="6">
        <v>157</v>
      </c>
      <c r="D570" s="4"/>
      <c r="E570" s="6">
        <f>E569+C570-D570</f>
      </c>
      <c r="F570" s="4"/>
    </row>
    <row x14ac:dyDescent="0.25" r="571" customHeight="1" ht="17.25">
      <c r="A571" s="7">
        <v>45887</v>
      </c>
      <c r="B571" s="9" t="s">
        <v>311</v>
      </c>
      <c r="C571" s="4"/>
      <c r="D571" s="6">
        <v>30</v>
      </c>
      <c r="E571" s="6">
        <f>E570+C571-D571</f>
      </c>
      <c r="F571" s="4"/>
    </row>
    <row x14ac:dyDescent="0.25" r="572" customHeight="1" ht="17.25">
      <c r="A572" s="8">
        <v>45888</v>
      </c>
      <c r="B572" s="9" t="s">
        <v>346</v>
      </c>
      <c r="C572" s="4"/>
      <c r="D572" s="6">
        <v>20</v>
      </c>
      <c r="E572" s="6">
        <f>E571+C572-D572</f>
      </c>
      <c r="F572" s="4"/>
    </row>
    <row x14ac:dyDescent="0.25" r="573" customHeight="1" ht="17.25">
      <c r="A573" s="7">
        <v>45888</v>
      </c>
      <c r="B573" s="9" t="s">
        <v>369</v>
      </c>
      <c r="C573" s="4"/>
      <c r="D573" s="6">
        <v>100</v>
      </c>
      <c r="E573" s="6">
        <f>E572+C573-D573</f>
      </c>
      <c r="F573" s="4"/>
    </row>
    <row x14ac:dyDescent="0.25" r="574" customHeight="1" ht="17.25">
      <c r="A574" s="7">
        <v>45888</v>
      </c>
      <c r="B574" s="9" t="s">
        <v>141</v>
      </c>
      <c r="C574" s="6">
        <v>51</v>
      </c>
      <c r="D574" s="4"/>
      <c r="E574" s="6">
        <f>E573+C574-D574</f>
      </c>
      <c r="F574" s="4"/>
    </row>
    <row x14ac:dyDescent="0.25" r="575" customHeight="1" ht="17.25">
      <c r="A575" s="7">
        <v>45889</v>
      </c>
      <c r="B575" s="9" t="s">
        <v>272</v>
      </c>
      <c r="C575" s="6">
        <v>6</v>
      </c>
      <c r="D575" s="4"/>
      <c r="E575" s="6">
        <f>E574+C575-D575</f>
      </c>
      <c r="F575" s="4"/>
    </row>
    <row x14ac:dyDescent="0.25" r="576" customHeight="1" ht="17.25">
      <c r="A576" s="7">
        <v>45889</v>
      </c>
      <c r="B576" s="9" t="s">
        <v>286</v>
      </c>
      <c r="C576" s="6">
        <v>64</v>
      </c>
      <c r="D576" s="4"/>
      <c r="E576" s="6">
        <f>E575+C576-D576</f>
      </c>
      <c r="F576" s="4"/>
    </row>
    <row x14ac:dyDescent="0.25" r="577" customHeight="1" ht="17.25">
      <c r="A577" s="7">
        <v>45889</v>
      </c>
      <c r="B577" s="9" t="s">
        <v>316</v>
      </c>
      <c r="C577" s="4"/>
      <c r="D577" s="6">
        <v>69</v>
      </c>
      <c r="E577" s="6">
        <f>E576+C577-D577</f>
      </c>
      <c r="F577" s="4"/>
    </row>
    <row x14ac:dyDescent="0.25" r="578" customHeight="1" ht="17.25">
      <c r="A578" s="7">
        <v>45890</v>
      </c>
      <c r="B578" s="9" t="s">
        <v>316</v>
      </c>
      <c r="C578" s="4"/>
      <c r="D578" s="6">
        <v>31</v>
      </c>
      <c r="E578" s="6">
        <f>E577+C578-D578</f>
      </c>
      <c r="F578" s="4"/>
    </row>
    <row x14ac:dyDescent="0.25" r="579" customHeight="1" ht="17.25">
      <c r="A579" s="7">
        <v>45890</v>
      </c>
      <c r="B579" s="9" t="s">
        <v>172</v>
      </c>
      <c r="C579" s="6">
        <v>9</v>
      </c>
      <c r="D579" s="4"/>
      <c r="E579" s="6">
        <f>E578+C579-D579</f>
      </c>
      <c r="F579" s="4"/>
    </row>
    <row x14ac:dyDescent="0.25" r="580" customHeight="1" ht="17.25">
      <c r="A580" s="7">
        <v>45890</v>
      </c>
      <c r="B580" s="9" t="s">
        <v>208</v>
      </c>
      <c r="C580" s="6">
        <v>46</v>
      </c>
      <c r="D580" s="4"/>
      <c r="E580" s="6">
        <f>E579+C580-D580</f>
      </c>
      <c r="F580" s="4"/>
    </row>
    <row x14ac:dyDescent="0.25" r="581" customHeight="1" ht="17.25">
      <c r="A581" s="7">
        <v>45890</v>
      </c>
      <c r="B581" s="9" t="s">
        <v>283</v>
      </c>
      <c r="C581" s="6">
        <v>118</v>
      </c>
      <c r="D581" s="4"/>
      <c r="E581" s="6">
        <f>E580+C581-D581</f>
      </c>
      <c r="F581" s="4"/>
    </row>
    <row x14ac:dyDescent="0.25" r="582" customHeight="1" ht="17.25">
      <c r="A582" s="7">
        <v>45891</v>
      </c>
      <c r="B582" s="9" t="s">
        <v>283</v>
      </c>
      <c r="C582" s="6">
        <v>45</v>
      </c>
      <c r="D582" s="4"/>
      <c r="E582" s="6">
        <f>E581+C582-D582</f>
      </c>
      <c r="F582" s="4"/>
    </row>
    <row x14ac:dyDescent="0.25" r="583" customHeight="1" ht="17.25">
      <c r="A583" s="8">
        <v>45891</v>
      </c>
      <c r="B583" s="9" t="s">
        <v>42</v>
      </c>
      <c r="C583" s="6">
        <v>83</v>
      </c>
      <c r="D583" s="4"/>
      <c r="E583" s="6">
        <f>E582+C583-D583</f>
      </c>
      <c r="F583" s="4"/>
    </row>
    <row x14ac:dyDescent="0.25" r="584" customHeight="1" ht="17.25">
      <c r="A584" s="7">
        <v>45892</v>
      </c>
      <c r="B584" s="9" t="s">
        <v>382</v>
      </c>
      <c r="C584" s="4"/>
      <c r="D584" s="6">
        <v>80</v>
      </c>
      <c r="E584" s="6">
        <f>E583+C584-D584</f>
      </c>
      <c r="F584" s="4"/>
    </row>
    <row x14ac:dyDescent="0.25" r="585" customHeight="1" ht="17.25">
      <c r="A585" s="7">
        <v>45892</v>
      </c>
      <c r="B585" s="9" t="s">
        <v>26</v>
      </c>
      <c r="C585" s="4"/>
      <c r="D585" s="6">
        <v>100</v>
      </c>
      <c r="E585" s="6">
        <f>E584+C585-D585</f>
      </c>
      <c r="F585" s="4"/>
    </row>
    <row x14ac:dyDescent="0.25" r="586" customHeight="1" ht="17.25">
      <c r="A586" s="8">
        <v>45892</v>
      </c>
      <c r="B586" s="9" t="s">
        <v>42</v>
      </c>
      <c r="C586" s="6">
        <v>5</v>
      </c>
      <c r="D586" s="4"/>
      <c r="E586" s="6">
        <f>E585+C586-D586</f>
      </c>
      <c r="F586" s="4"/>
    </row>
    <row x14ac:dyDescent="0.25" r="587" customHeight="1" ht="17.25">
      <c r="A587" s="7">
        <v>45894</v>
      </c>
      <c r="B587" s="9" t="s">
        <v>265</v>
      </c>
      <c r="C587" s="4"/>
      <c r="D587" s="6">
        <v>60</v>
      </c>
      <c r="E587" s="6">
        <f>E586+C587-D587</f>
      </c>
      <c r="F587" s="4"/>
    </row>
    <row x14ac:dyDescent="0.25" r="588" customHeight="1" ht="17.25">
      <c r="A588" s="7">
        <v>45894</v>
      </c>
      <c r="B588" s="9" t="s">
        <v>369</v>
      </c>
      <c r="C588" s="4"/>
      <c r="D588" s="6">
        <v>100</v>
      </c>
      <c r="E588" s="6">
        <f>E587+C588-D588</f>
      </c>
      <c r="F588" s="4"/>
    </row>
    <row x14ac:dyDescent="0.25" r="589" customHeight="1" ht="17.25">
      <c r="A589" s="7">
        <v>45894</v>
      </c>
      <c r="B589" s="9" t="s">
        <v>365</v>
      </c>
      <c r="C589" s="4"/>
      <c r="D589" s="6">
        <v>230</v>
      </c>
      <c r="E589" s="6">
        <f>E588+C589-D589</f>
      </c>
      <c r="F589" s="4"/>
    </row>
    <row x14ac:dyDescent="0.25" r="590" customHeight="1" ht="17.25">
      <c r="A590" s="7">
        <v>45894</v>
      </c>
      <c r="B590" s="9" t="s">
        <v>283</v>
      </c>
      <c r="C590" s="6">
        <v>2</v>
      </c>
      <c r="D590" s="4"/>
      <c r="E590" s="6">
        <f>E589+C590-D590</f>
      </c>
      <c r="F590" s="4"/>
    </row>
    <row x14ac:dyDescent="0.25" r="591" customHeight="1" ht="17.25">
      <c r="A591" s="7">
        <v>45895</v>
      </c>
      <c r="B591" s="9" t="s">
        <v>418</v>
      </c>
      <c r="C591" s="4"/>
      <c r="D591" s="6">
        <v>40</v>
      </c>
      <c r="E591" s="6">
        <f>E590+C591-D591</f>
      </c>
      <c r="F591" s="4"/>
    </row>
    <row x14ac:dyDescent="0.25" r="592" customHeight="1" ht="17.25">
      <c r="A592" s="7">
        <v>45895</v>
      </c>
      <c r="B592" s="9" t="s">
        <v>316</v>
      </c>
      <c r="C592" s="4"/>
      <c r="D592" s="6">
        <v>85</v>
      </c>
      <c r="E592" s="6">
        <f>E591+C592-D592</f>
      </c>
      <c r="F592" s="4"/>
    </row>
    <row x14ac:dyDescent="0.25" r="593" customHeight="1" ht="17.25">
      <c r="A593" s="7">
        <v>45895</v>
      </c>
      <c r="B593" s="9" t="s">
        <v>316</v>
      </c>
      <c r="C593" s="4"/>
      <c r="D593" s="6">
        <v>85</v>
      </c>
      <c r="E593" s="6">
        <f>E592+C593-D593</f>
      </c>
      <c r="F593" s="4"/>
    </row>
    <row x14ac:dyDescent="0.25" r="594" customHeight="1" ht="17.25">
      <c r="A594" s="7">
        <v>45895</v>
      </c>
      <c r="B594" s="9" t="s">
        <v>391</v>
      </c>
      <c r="C594" s="4"/>
      <c r="D594" s="6">
        <v>100</v>
      </c>
      <c r="E594" s="6">
        <f>E593+C594-D594</f>
      </c>
      <c r="F594" s="4"/>
    </row>
    <row x14ac:dyDescent="0.25" r="595" customHeight="1" ht="17.25">
      <c r="A595" s="7">
        <v>45895</v>
      </c>
      <c r="B595" s="9" t="s">
        <v>272</v>
      </c>
      <c r="C595" s="6">
        <v>38</v>
      </c>
      <c r="D595" s="4"/>
      <c r="E595" s="6">
        <f>E594+C595-D595</f>
      </c>
      <c r="F595" s="4"/>
    </row>
    <row x14ac:dyDescent="0.25" r="596" customHeight="1" ht="17.25">
      <c r="A596" s="7">
        <v>45896</v>
      </c>
      <c r="B596" s="9" t="s">
        <v>316</v>
      </c>
      <c r="C596" s="4"/>
      <c r="D596" s="6">
        <v>35</v>
      </c>
      <c r="E596" s="6">
        <f>E595+C596-D596</f>
      </c>
      <c r="F596" s="4"/>
    </row>
    <row x14ac:dyDescent="0.25" r="597" customHeight="1" ht="17.25">
      <c r="A597" s="7">
        <v>45896</v>
      </c>
      <c r="B597" s="9" t="s">
        <v>333</v>
      </c>
      <c r="C597" s="6">
        <v>60</v>
      </c>
      <c r="D597" s="4"/>
      <c r="E597" s="6">
        <f>E596+C597-D597</f>
      </c>
      <c r="F597" s="4"/>
    </row>
    <row x14ac:dyDescent="0.25" r="598" customHeight="1" ht="17.25">
      <c r="A598" s="8">
        <v>45897</v>
      </c>
      <c r="B598" s="9" t="s">
        <v>172</v>
      </c>
      <c r="C598" s="6">
        <v>5</v>
      </c>
      <c r="D598" s="4"/>
      <c r="E598" s="6">
        <f>E597+C598-D598</f>
      </c>
      <c r="F598" s="4"/>
    </row>
    <row x14ac:dyDescent="0.25" r="599" customHeight="1" ht="17.25">
      <c r="A599" s="7">
        <v>45897</v>
      </c>
      <c r="B599" s="9" t="s">
        <v>376</v>
      </c>
      <c r="C599" s="6">
        <v>61</v>
      </c>
      <c r="D599" s="4"/>
      <c r="E599" s="6">
        <f>E598+C599-D599</f>
      </c>
      <c r="F599" s="4"/>
    </row>
    <row x14ac:dyDescent="0.25" r="600" customHeight="1" ht="17.25">
      <c r="A600" s="7">
        <v>45898</v>
      </c>
      <c r="B600" s="9" t="s">
        <v>333</v>
      </c>
      <c r="C600" s="6">
        <v>30</v>
      </c>
      <c r="D600" s="4"/>
      <c r="E600" s="6">
        <f>E599+C600-D600</f>
      </c>
      <c r="F600" s="4"/>
    </row>
    <row x14ac:dyDescent="0.25" r="601" customHeight="1" ht="17.25">
      <c r="A601" s="7">
        <v>45898</v>
      </c>
      <c r="B601" s="9" t="s">
        <v>228</v>
      </c>
      <c r="C601" s="6">
        <v>48</v>
      </c>
      <c r="D601" s="4"/>
      <c r="E601" s="6">
        <f>E600+C601-D601</f>
      </c>
      <c r="F601" s="4"/>
    </row>
    <row x14ac:dyDescent="0.25" r="602" customHeight="1" ht="17.25">
      <c r="A602" s="8">
        <v>45899</v>
      </c>
      <c r="B602" s="9" t="s">
        <v>297</v>
      </c>
      <c r="C602" s="4"/>
      <c r="D602" s="6">
        <v>380</v>
      </c>
      <c r="E602" s="6">
        <f>E601+C602-D602</f>
      </c>
      <c r="F602" s="4"/>
    </row>
    <row x14ac:dyDescent="0.25" r="603" customHeight="1" ht="17.25">
      <c r="A603" s="7">
        <v>45901</v>
      </c>
      <c r="B603" s="9" t="s">
        <v>172</v>
      </c>
      <c r="C603" s="6">
        <v>14</v>
      </c>
      <c r="D603" s="4"/>
      <c r="E603" s="6">
        <f>E602+C603-D603</f>
      </c>
      <c r="F603" s="4"/>
    </row>
    <row x14ac:dyDescent="0.25" r="604" customHeight="1" ht="17.25">
      <c r="A604" s="7">
        <v>45902</v>
      </c>
      <c r="B604" s="9" t="s">
        <v>56</v>
      </c>
      <c r="C604" s="4"/>
      <c r="D604" s="6">
        <v>36</v>
      </c>
      <c r="E604" s="6">
        <f>E603+C604-D604</f>
      </c>
      <c r="F604" s="4"/>
    </row>
    <row x14ac:dyDescent="0.25" r="605" customHeight="1" ht="17.25">
      <c r="A605" s="7">
        <v>45902</v>
      </c>
      <c r="B605" s="9" t="s">
        <v>311</v>
      </c>
      <c r="C605" s="4"/>
      <c r="D605" s="6">
        <v>50</v>
      </c>
      <c r="E605" s="6">
        <f>E604+C605-D605</f>
      </c>
      <c r="F605" s="4"/>
    </row>
    <row x14ac:dyDescent="0.25" r="606" customHeight="1" ht="17.25">
      <c r="A606" s="7">
        <v>45902</v>
      </c>
      <c r="B606" s="9" t="s">
        <v>283</v>
      </c>
      <c r="C606" s="6">
        <v>92</v>
      </c>
      <c r="D606" s="4"/>
      <c r="E606" s="6">
        <f>E605+C606-D606</f>
      </c>
      <c r="F606" s="4"/>
    </row>
    <row x14ac:dyDescent="0.25" r="607" customHeight="1" ht="17.25">
      <c r="A607" s="7">
        <v>45902</v>
      </c>
      <c r="B607" s="9" t="s">
        <v>141</v>
      </c>
      <c r="C607" s="6">
        <v>32</v>
      </c>
      <c r="D607" s="4"/>
      <c r="E607" s="6">
        <f>E606+C607-D607</f>
      </c>
      <c r="F607" s="4"/>
    </row>
    <row x14ac:dyDescent="0.25" r="608" customHeight="1" ht="17.25">
      <c r="A608" s="8">
        <v>45903</v>
      </c>
      <c r="B608" s="9" t="s">
        <v>311</v>
      </c>
      <c r="C608" s="4"/>
      <c r="D608" s="6">
        <v>50</v>
      </c>
      <c r="E608" s="6">
        <f>E607+C608-D608</f>
      </c>
      <c r="F608" s="4"/>
    </row>
    <row x14ac:dyDescent="0.25" r="609" customHeight="1" ht="17.25">
      <c r="A609" s="7">
        <v>45903</v>
      </c>
      <c r="B609" s="9" t="s">
        <v>283</v>
      </c>
      <c r="C609" s="6">
        <v>126</v>
      </c>
      <c r="D609" s="4"/>
      <c r="E609" s="6">
        <f>E608+C609-D609</f>
      </c>
      <c r="F609" s="4"/>
    </row>
    <row x14ac:dyDescent="0.25" r="610" customHeight="1" ht="17.25">
      <c r="A610" s="7">
        <v>45904</v>
      </c>
      <c r="B610" s="9" t="s">
        <v>283</v>
      </c>
      <c r="C610" s="6">
        <v>125</v>
      </c>
      <c r="D610" s="4"/>
      <c r="E610" s="6">
        <f>E609+C610-D610</f>
      </c>
      <c r="F610" s="4"/>
    </row>
    <row x14ac:dyDescent="0.25" r="611" customHeight="1" ht="17.25">
      <c r="A611" s="7">
        <v>45904</v>
      </c>
      <c r="B611" s="9" t="s">
        <v>182</v>
      </c>
      <c r="C611" s="6">
        <v>7</v>
      </c>
      <c r="D611" s="4"/>
      <c r="E611" s="6">
        <f>E610+C611-D611</f>
      </c>
      <c r="F611" s="4"/>
    </row>
    <row x14ac:dyDescent="0.25" r="612" customHeight="1" ht="17.25">
      <c r="A612" s="7">
        <v>45906</v>
      </c>
      <c r="B612" s="9" t="s">
        <v>389</v>
      </c>
      <c r="C612" s="6">
        <v>144</v>
      </c>
      <c r="D612" s="4"/>
      <c r="E612" s="6">
        <f>E611+C612-D612</f>
      </c>
      <c r="F612" s="4"/>
    </row>
    <row x14ac:dyDescent="0.25" r="613" customHeight="1" ht="17.25">
      <c r="A613" s="8">
        <v>45906</v>
      </c>
      <c r="B613" s="9" t="s">
        <v>283</v>
      </c>
      <c r="C613" s="6">
        <v>53</v>
      </c>
      <c r="D613" s="4"/>
      <c r="E613" s="6">
        <f>E612+C613-D613</f>
      </c>
      <c r="F613" s="4"/>
    </row>
    <row x14ac:dyDescent="0.25" r="614" customHeight="1" ht="17.25">
      <c r="A614" s="7">
        <v>45906</v>
      </c>
      <c r="B614" s="9" t="s">
        <v>316</v>
      </c>
      <c r="C614" s="4"/>
      <c r="D614" s="6">
        <v>319</v>
      </c>
      <c r="E614" s="6">
        <f>E613+C614-D614</f>
      </c>
      <c r="F614" s="4"/>
    </row>
    <row x14ac:dyDescent="0.25" r="615" customHeight="1" ht="17.25">
      <c r="A615" s="7">
        <v>45908</v>
      </c>
      <c r="B615" s="9" t="s">
        <v>316</v>
      </c>
      <c r="C615" s="4"/>
      <c r="D615" s="6">
        <v>81</v>
      </c>
      <c r="E615" s="6">
        <f>E614+C615-D615</f>
      </c>
      <c r="F615" s="4"/>
    </row>
    <row x14ac:dyDescent="0.25" r="616" customHeight="1" ht="17.25">
      <c r="A616" s="7">
        <v>45908</v>
      </c>
      <c r="B616" s="9" t="s">
        <v>141</v>
      </c>
      <c r="C616" s="6">
        <v>57</v>
      </c>
      <c r="D616" s="4"/>
      <c r="E616" s="6">
        <f>E615+C616-D616</f>
      </c>
      <c r="F616" s="4"/>
    </row>
    <row x14ac:dyDescent="0.25" r="617" customHeight="1" ht="17.25">
      <c r="A617" s="7">
        <v>45909</v>
      </c>
      <c r="B617" s="9" t="s">
        <v>297</v>
      </c>
      <c r="C617" s="4"/>
      <c r="D617" s="6">
        <v>70</v>
      </c>
      <c r="E617" s="6">
        <f>E616+C617-D617</f>
      </c>
      <c r="F617" s="4"/>
    </row>
    <row x14ac:dyDescent="0.25" r="618" customHeight="1" ht="17.25">
      <c r="A618" s="7">
        <v>45909</v>
      </c>
      <c r="B618" s="9" t="s">
        <v>376</v>
      </c>
      <c r="C618" s="6">
        <v>13</v>
      </c>
      <c r="D618" s="4"/>
      <c r="E618" s="6">
        <f>E617+C618-D618</f>
      </c>
      <c r="F618" s="4"/>
    </row>
    <row x14ac:dyDescent="0.25" r="619" customHeight="1" ht="17.25">
      <c r="A619" s="7">
        <v>45910</v>
      </c>
      <c r="B619" s="9" t="s">
        <v>309</v>
      </c>
      <c r="C619" s="4"/>
      <c r="D619" s="6">
        <v>60</v>
      </c>
      <c r="E619" s="6">
        <f>E618+C619-D619</f>
      </c>
      <c r="F619" s="4"/>
    </row>
    <row x14ac:dyDescent="0.25" r="620" customHeight="1" ht="17.25">
      <c r="A620" s="8">
        <v>45910</v>
      </c>
      <c r="B620" s="9" t="s">
        <v>310</v>
      </c>
      <c r="C620" s="4"/>
      <c r="D620" s="6">
        <v>60</v>
      </c>
      <c r="E620" s="6">
        <f>E619+C620-D620</f>
      </c>
      <c r="F620" s="4"/>
    </row>
    <row x14ac:dyDescent="0.25" r="621" customHeight="1" ht="17.25">
      <c r="A621" s="7">
        <v>45911</v>
      </c>
      <c r="B621" s="9" t="s">
        <v>124</v>
      </c>
      <c r="C621" s="4"/>
      <c r="D621" s="6">
        <v>375</v>
      </c>
      <c r="E621" s="6">
        <f>E620+C621-D621</f>
      </c>
      <c r="F621" s="4"/>
    </row>
    <row x14ac:dyDescent="0.25" r="622" customHeight="1" ht="17.25">
      <c r="A622" s="7">
        <v>45911</v>
      </c>
      <c r="B622" s="9" t="s">
        <v>141</v>
      </c>
      <c r="C622" s="6">
        <v>62</v>
      </c>
      <c r="D622" s="4"/>
      <c r="E622" s="6">
        <f>E621+C622-D622</f>
      </c>
      <c r="F622" s="4"/>
    </row>
    <row x14ac:dyDescent="0.25" r="623" customHeight="1" ht="17.25">
      <c r="A623" s="7">
        <v>45911</v>
      </c>
      <c r="B623" s="9" t="s">
        <v>389</v>
      </c>
      <c r="C623" s="6">
        <v>92</v>
      </c>
      <c r="D623" s="4"/>
      <c r="E623" s="6">
        <f>E622+C623-D623</f>
      </c>
      <c r="F623" s="4"/>
    </row>
    <row x14ac:dyDescent="0.25" r="624" customHeight="1" ht="17.25">
      <c r="A624" s="8">
        <v>45912</v>
      </c>
      <c r="B624" s="9" t="s">
        <v>233</v>
      </c>
      <c r="C624" s="4"/>
      <c r="D624" s="6">
        <v>44</v>
      </c>
      <c r="E624" s="6">
        <f>E623+C624-D624</f>
      </c>
      <c r="F624" s="4"/>
    </row>
    <row x14ac:dyDescent="0.25" r="625" customHeight="1" ht="17.25">
      <c r="A625" s="7">
        <v>45912</v>
      </c>
      <c r="B625" s="9" t="s">
        <v>503</v>
      </c>
      <c r="C625" s="6">
        <v>84</v>
      </c>
      <c r="D625" s="4"/>
      <c r="E625" s="6">
        <f>E624+C625-D625</f>
      </c>
      <c r="F625" s="4"/>
    </row>
    <row x14ac:dyDescent="0.25" r="626" customHeight="1" ht="17.25">
      <c r="A626" s="7">
        <v>45913</v>
      </c>
      <c r="B626" s="9" t="s">
        <v>233</v>
      </c>
      <c r="C626" s="4"/>
      <c r="D626" s="6">
        <v>100</v>
      </c>
      <c r="E626" s="6">
        <f>E625+C626-D626</f>
      </c>
      <c r="F626" s="4"/>
    </row>
    <row x14ac:dyDescent="0.25" r="627" customHeight="1" ht="17.25">
      <c r="A627" s="7">
        <v>45913</v>
      </c>
      <c r="B627" s="9" t="s">
        <v>124</v>
      </c>
      <c r="C627" s="4"/>
      <c r="D627" s="6">
        <v>215</v>
      </c>
      <c r="E627" s="6">
        <f>E626+C627-D627</f>
      </c>
      <c r="F627" s="4"/>
    </row>
    <row x14ac:dyDescent="0.25" r="628" customHeight="1" ht="17.25">
      <c r="A628" s="7">
        <v>45913</v>
      </c>
      <c r="B628" s="9" t="s">
        <v>289</v>
      </c>
      <c r="C628" s="4"/>
      <c r="D628" s="6">
        <v>192</v>
      </c>
      <c r="E628" s="6">
        <f>E627+C628-D628</f>
      </c>
      <c r="F628" s="4"/>
    </row>
    <row x14ac:dyDescent="0.25" r="629" customHeight="1" ht="17.25">
      <c r="A629" s="7">
        <v>45915</v>
      </c>
      <c r="B629" s="9" t="s">
        <v>289</v>
      </c>
      <c r="C629" s="4"/>
      <c r="D629" s="6">
        <v>58</v>
      </c>
      <c r="E629" s="6">
        <f>E628+C629-D629</f>
      </c>
      <c r="F629" s="4"/>
    </row>
    <row x14ac:dyDescent="0.25" r="630" customHeight="1" ht="17.25">
      <c r="A630" s="7">
        <v>45915</v>
      </c>
      <c r="B630" s="9" t="s">
        <v>297</v>
      </c>
      <c r="C630" s="4"/>
      <c r="D630" s="6">
        <v>42</v>
      </c>
      <c r="E630" s="6">
        <f>E629+C630-D630</f>
      </c>
      <c r="F630" s="4"/>
    </row>
    <row x14ac:dyDescent="0.25" r="631" customHeight="1" ht="17.25">
      <c r="A631" s="7">
        <v>45915</v>
      </c>
      <c r="B631" s="9" t="s">
        <v>182</v>
      </c>
      <c r="C631" s="6">
        <v>115</v>
      </c>
      <c r="D631" s="4"/>
      <c r="E631" s="6">
        <f>E630+C631-D631</f>
      </c>
      <c r="F631" s="4"/>
    </row>
    <row x14ac:dyDescent="0.25" r="632" customHeight="1" ht="17.25">
      <c r="A632" s="7">
        <v>45915</v>
      </c>
      <c r="B632" s="9" t="s">
        <v>141</v>
      </c>
      <c r="C632" s="6">
        <v>58</v>
      </c>
      <c r="D632" s="4"/>
      <c r="E632" s="6">
        <f>E631+C632-D632</f>
      </c>
      <c r="F632" s="4"/>
    </row>
    <row x14ac:dyDescent="0.25" r="633" customHeight="1" ht="17.25">
      <c r="A633" s="7">
        <v>45916</v>
      </c>
      <c r="B633" s="9" t="s">
        <v>124</v>
      </c>
      <c r="C633" s="4"/>
      <c r="D633" s="6">
        <v>120</v>
      </c>
      <c r="E633" s="6">
        <f>E632+C633-D633</f>
      </c>
      <c r="F633" s="4"/>
    </row>
    <row x14ac:dyDescent="0.25" r="634" customHeight="1" ht="17.25">
      <c r="A634" s="7">
        <v>45916</v>
      </c>
      <c r="B634" s="9" t="s">
        <v>365</v>
      </c>
      <c r="C634" s="6">
        <v>161</v>
      </c>
      <c r="D634" s="4"/>
      <c r="E634" s="6">
        <f>E633+C634-D634</f>
      </c>
      <c r="F634" s="4"/>
    </row>
    <row x14ac:dyDescent="0.25" r="635" customHeight="1" ht="17.25">
      <c r="A635" s="7">
        <v>45916</v>
      </c>
      <c r="B635" s="9" t="s">
        <v>228</v>
      </c>
      <c r="C635" s="6">
        <v>26</v>
      </c>
      <c r="D635" s="4"/>
      <c r="E635" s="6">
        <f>E634+C635-D635</f>
      </c>
      <c r="F635" s="4"/>
    </row>
    <row x14ac:dyDescent="0.25" r="636" customHeight="1" ht="17.25">
      <c r="A636" s="7">
        <v>45916</v>
      </c>
      <c r="B636" s="9" t="s">
        <v>208</v>
      </c>
      <c r="C636" s="6">
        <v>70</v>
      </c>
      <c r="D636" s="4"/>
      <c r="E636" s="6">
        <f>E635+C636-D636</f>
      </c>
      <c r="F636" s="4"/>
    </row>
    <row x14ac:dyDescent="0.25" r="637" customHeight="1" ht="17.25">
      <c r="A637" s="7">
        <v>45917</v>
      </c>
      <c r="B637" s="9" t="s">
        <v>371</v>
      </c>
      <c r="C637" s="4"/>
      <c r="D637" s="6">
        <v>335</v>
      </c>
      <c r="E637" s="6">
        <f>E636+C637-D637</f>
      </c>
      <c r="F637" s="4"/>
    </row>
    <row x14ac:dyDescent="0.25" r="638" customHeight="1" ht="17.25">
      <c r="A638" s="7">
        <v>45917</v>
      </c>
      <c r="B638" s="9" t="s">
        <v>141</v>
      </c>
      <c r="C638" s="6">
        <v>21</v>
      </c>
      <c r="D638" s="4"/>
      <c r="E638" s="6">
        <f>E637+C638-D638</f>
      </c>
      <c r="F638" s="4"/>
    </row>
    <row x14ac:dyDescent="0.25" r="639" customHeight="1" ht="17.25">
      <c r="A639" s="7">
        <v>45917</v>
      </c>
      <c r="B639" s="9" t="s">
        <v>35</v>
      </c>
      <c r="C639" s="6">
        <v>33</v>
      </c>
      <c r="D639" s="4"/>
      <c r="E639" s="6">
        <f>E638+C639-D639</f>
      </c>
      <c r="F639" s="4"/>
    </row>
    <row x14ac:dyDescent="0.25" r="640" customHeight="1" ht="17.25">
      <c r="A640" s="7">
        <v>45918</v>
      </c>
      <c r="B640" s="9" t="s">
        <v>371</v>
      </c>
      <c r="C640" s="4"/>
      <c r="D640" s="6">
        <v>335</v>
      </c>
      <c r="E640" s="6">
        <f>E639+C640-D640</f>
      </c>
      <c r="F640" s="4"/>
    </row>
    <row x14ac:dyDescent="0.25" r="641" customHeight="1" ht="17.25">
      <c r="A641" s="7">
        <v>45918</v>
      </c>
      <c r="B641" s="9" t="s">
        <v>124</v>
      </c>
      <c r="C641" s="4"/>
      <c r="D641" s="6">
        <v>40</v>
      </c>
      <c r="E641" s="6">
        <f>E640+C641-D641</f>
      </c>
      <c r="F641" s="4"/>
    </row>
    <row x14ac:dyDescent="0.25" r="642" customHeight="1" ht="17.25">
      <c r="A642" s="7">
        <v>45918</v>
      </c>
      <c r="B642" s="9" t="s">
        <v>316</v>
      </c>
      <c r="C642" s="4"/>
      <c r="D642" s="6">
        <v>50</v>
      </c>
      <c r="E642" s="6">
        <f>E641+C642-D642</f>
      </c>
      <c r="F642" s="4"/>
    </row>
    <row x14ac:dyDescent="0.25" r="643" customHeight="1" ht="17.25">
      <c r="A643" s="7">
        <v>45918</v>
      </c>
      <c r="B643" s="9" t="s">
        <v>316</v>
      </c>
      <c r="C643" s="4"/>
      <c r="D643" s="6">
        <v>40</v>
      </c>
      <c r="E643" s="6">
        <f>E642+C643-D643</f>
      </c>
      <c r="F643" s="4"/>
    </row>
    <row x14ac:dyDescent="0.25" r="644" customHeight="1" ht="17.25">
      <c r="A644" s="7">
        <v>45918</v>
      </c>
      <c r="B644" s="9" t="s">
        <v>311</v>
      </c>
      <c r="C644" s="4"/>
      <c r="D644" s="6">
        <v>110</v>
      </c>
      <c r="E644" s="6">
        <f>E643+C644-D644</f>
      </c>
      <c r="F644" s="4"/>
    </row>
    <row x14ac:dyDescent="0.25" r="645" customHeight="1" ht="17.25">
      <c r="A645" s="7">
        <v>45918</v>
      </c>
      <c r="B645" s="9" t="s">
        <v>618</v>
      </c>
      <c r="C645" s="4"/>
      <c r="D645" s="6">
        <v>248</v>
      </c>
      <c r="E645" s="6">
        <f>E644+C645-D645</f>
      </c>
      <c r="F645" s="4"/>
    </row>
    <row x14ac:dyDescent="0.25" r="646" customHeight="1" ht="17.25">
      <c r="A646" s="7">
        <v>45918</v>
      </c>
      <c r="B646" s="9" t="s">
        <v>34</v>
      </c>
      <c r="C646" s="6">
        <v>83</v>
      </c>
      <c r="D646" s="4"/>
      <c r="E646" s="6">
        <f>E645+C646-D646</f>
      </c>
      <c r="F646" s="4"/>
    </row>
    <row x14ac:dyDescent="0.25" r="647" customHeight="1" ht="17.25">
      <c r="A647" s="8">
        <v>45918</v>
      </c>
      <c r="B647" s="9" t="s">
        <v>411</v>
      </c>
      <c r="C647" s="6">
        <v>8</v>
      </c>
      <c r="D647" s="4"/>
      <c r="E647" s="6">
        <f>E646+C647-D647</f>
      </c>
      <c r="F647" s="4"/>
    </row>
    <row x14ac:dyDescent="0.25" r="648" customHeight="1" ht="17.25">
      <c r="A648" s="7">
        <v>45918</v>
      </c>
      <c r="B648" s="9" t="s">
        <v>389</v>
      </c>
      <c r="C648" s="6">
        <v>127</v>
      </c>
      <c r="D648" s="4"/>
      <c r="E648" s="6">
        <f>E647+C648-D648</f>
      </c>
      <c r="F648" s="4"/>
    </row>
    <row x14ac:dyDescent="0.25" r="649" customHeight="1" ht="17.25">
      <c r="A649" s="7">
        <v>45918</v>
      </c>
      <c r="B649" s="9" t="s">
        <v>389</v>
      </c>
      <c r="C649" s="6">
        <v>50</v>
      </c>
      <c r="D649" s="4"/>
      <c r="E649" s="6">
        <f>E648+C649-D649</f>
      </c>
      <c r="F649" s="4"/>
    </row>
    <row x14ac:dyDescent="0.25" r="650" customHeight="1" ht="17.25">
      <c r="A650" s="7">
        <v>45919</v>
      </c>
      <c r="B650" s="9" t="s">
        <v>311</v>
      </c>
      <c r="C650" s="4"/>
      <c r="D650" s="6">
        <v>100</v>
      </c>
      <c r="E650" s="6">
        <f>E649+C650-D650</f>
      </c>
      <c r="F650" s="4"/>
    </row>
    <row x14ac:dyDescent="0.25" r="651" customHeight="1" ht="17.25">
      <c r="A651" s="7">
        <v>45919</v>
      </c>
      <c r="B651" s="9" t="s">
        <v>124</v>
      </c>
      <c r="C651" s="4"/>
      <c r="D651" s="6">
        <v>30</v>
      </c>
      <c r="E651" s="6">
        <f>E650+C651-D651</f>
      </c>
      <c r="F651" s="4"/>
    </row>
    <row x14ac:dyDescent="0.25" r="652" customHeight="1" ht="17.25">
      <c r="A652" s="7">
        <v>45919</v>
      </c>
      <c r="B652" s="9" t="s">
        <v>562</v>
      </c>
      <c r="C652" s="4"/>
      <c r="D652" s="6">
        <v>8</v>
      </c>
      <c r="E652" s="6">
        <f>E651+C652-D652</f>
      </c>
      <c r="F652" s="4"/>
    </row>
    <row x14ac:dyDescent="0.25" r="653" customHeight="1" ht="17.25">
      <c r="A653" s="7">
        <v>45919</v>
      </c>
      <c r="B653" s="9" t="s">
        <v>316</v>
      </c>
      <c r="C653" s="4"/>
      <c r="D653" s="6">
        <v>10</v>
      </c>
      <c r="E653" s="6">
        <f>E652+C653-D653</f>
      </c>
      <c r="F653" s="4"/>
    </row>
    <row x14ac:dyDescent="0.25" r="654" customHeight="1" ht="17.25">
      <c r="A654" s="7">
        <v>45919</v>
      </c>
      <c r="B654" s="9" t="s">
        <v>123</v>
      </c>
      <c r="C654" s="4"/>
      <c r="D654" s="6">
        <v>160</v>
      </c>
      <c r="E654" s="6">
        <f>E653+C654-D654</f>
      </c>
      <c r="F654" s="4"/>
    </row>
    <row x14ac:dyDescent="0.25" r="655" customHeight="1" ht="17.25">
      <c r="A655" s="7">
        <v>45919</v>
      </c>
      <c r="B655" s="9" t="s">
        <v>389</v>
      </c>
      <c r="C655" s="6">
        <v>45</v>
      </c>
      <c r="D655" s="4"/>
      <c r="E655" s="6">
        <f>E654+C655-D655</f>
      </c>
      <c r="F655" s="4"/>
    </row>
    <row x14ac:dyDescent="0.25" r="656" customHeight="1" ht="17.25">
      <c r="A656" s="7">
        <v>45922</v>
      </c>
      <c r="B656" s="9" t="s">
        <v>371</v>
      </c>
      <c r="C656" s="4"/>
      <c r="D656" s="6">
        <v>330</v>
      </c>
      <c r="E656" s="6">
        <f>E655+C656-D656</f>
      </c>
      <c r="F656" s="4"/>
    </row>
    <row x14ac:dyDescent="0.25" r="657" customHeight="1" ht="17.25">
      <c r="A657" s="7">
        <v>45922</v>
      </c>
      <c r="B657" s="9" t="s">
        <v>124</v>
      </c>
      <c r="C657" s="4"/>
      <c r="D657" s="6">
        <v>300</v>
      </c>
      <c r="E657" s="6">
        <f>E656+C657-D657</f>
      </c>
      <c r="F657" s="4"/>
    </row>
    <row x14ac:dyDescent="0.25" r="658" customHeight="1" ht="17.25">
      <c r="A658" s="7">
        <v>45922</v>
      </c>
      <c r="B658" s="9" t="s">
        <v>311</v>
      </c>
      <c r="C658" s="4"/>
      <c r="D658" s="6">
        <v>150</v>
      </c>
      <c r="E658" s="6">
        <f>E657+C658-D658</f>
      </c>
      <c r="F658" s="4"/>
    </row>
    <row x14ac:dyDescent="0.25" r="659" customHeight="1" ht="17.25">
      <c r="A659" s="7">
        <v>45922</v>
      </c>
      <c r="B659" s="9" t="s">
        <v>311</v>
      </c>
      <c r="C659" s="4"/>
      <c r="D659" s="6">
        <v>140</v>
      </c>
      <c r="E659" s="6">
        <f>E658+C659-D659</f>
      </c>
      <c r="F659" s="4"/>
    </row>
    <row x14ac:dyDescent="0.25" r="660" customHeight="1" ht="17.25">
      <c r="A660" s="7">
        <v>45922</v>
      </c>
      <c r="B660" s="9" t="s">
        <v>389</v>
      </c>
      <c r="C660" s="6">
        <v>102</v>
      </c>
      <c r="D660" s="4"/>
      <c r="E660" s="6">
        <f>E659+C660-D660</f>
      </c>
      <c r="F660" s="4"/>
    </row>
    <row x14ac:dyDescent="0.25" r="661" customHeight="1" ht="17.25">
      <c r="A661" s="7">
        <v>45922</v>
      </c>
      <c r="B661" s="9" t="s">
        <v>289</v>
      </c>
      <c r="C661" s="4"/>
      <c r="D661" s="6">
        <v>2</v>
      </c>
      <c r="E661" s="6">
        <f>E660+C661-D661</f>
      </c>
      <c r="F661" s="4"/>
    </row>
    <row x14ac:dyDescent="0.25" r="662" customHeight="1" ht="17.25">
      <c r="A662" s="7">
        <v>45922</v>
      </c>
      <c r="B662" s="9" t="s">
        <v>35</v>
      </c>
      <c r="C662" s="6">
        <v>11</v>
      </c>
      <c r="D662" s="4"/>
      <c r="E662" s="6">
        <f>E661+C662-D662</f>
      </c>
      <c r="F662" s="4"/>
    </row>
    <row x14ac:dyDescent="0.25" r="663" customHeight="1" ht="17.25">
      <c r="A663" s="7">
        <v>45923</v>
      </c>
      <c r="B663" s="9" t="s">
        <v>343</v>
      </c>
      <c r="C663" s="6">
        <v>70</v>
      </c>
      <c r="D663" s="4"/>
      <c r="E663" s="6">
        <f>E662+C663-D663</f>
      </c>
      <c r="F663" s="4"/>
    </row>
    <row x14ac:dyDescent="0.25" r="664" customHeight="1" ht="17.25">
      <c r="A664" s="7">
        <v>45923</v>
      </c>
      <c r="B664" s="9" t="s">
        <v>389</v>
      </c>
      <c r="C664" s="6">
        <v>61</v>
      </c>
      <c r="D664" s="4"/>
      <c r="E664" s="6">
        <f>E663+C664-D664</f>
      </c>
      <c r="F664" s="4"/>
    </row>
    <row x14ac:dyDescent="0.25" r="665" customHeight="1" ht="17.25">
      <c r="A665" s="7">
        <v>45924</v>
      </c>
      <c r="B665" s="9" t="s">
        <v>311</v>
      </c>
      <c r="C665" s="4"/>
      <c r="D665" s="6">
        <v>150</v>
      </c>
      <c r="E665" s="6">
        <f>E664+C665-D665</f>
      </c>
      <c r="F665" s="4"/>
    </row>
    <row x14ac:dyDescent="0.25" r="666" customHeight="1" ht="17.25">
      <c r="A666" s="7">
        <v>45924</v>
      </c>
      <c r="B666" s="9" t="s">
        <v>124</v>
      </c>
      <c r="C666" s="4"/>
      <c r="D666" s="6">
        <v>140</v>
      </c>
      <c r="E666" s="6">
        <f>E665+C666-D666</f>
      </c>
      <c r="F666" s="4"/>
    </row>
    <row x14ac:dyDescent="0.25" r="667" customHeight="1" ht="17.25">
      <c r="A667" s="8">
        <v>45924</v>
      </c>
      <c r="B667" s="9" t="s">
        <v>42</v>
      </c>
      <c r="C667" s="6">
        <v>16</v>
      </c>
      <c r="D667" s="4"/>
      <c r="E667" s="6">
        <f>E666+C667-D667</f>
      </c>
      <c r="F667" s="4"/>
    </row>
    <row x14ac:dyDescent="0.25" r="668" customHeight="1" ht="17.25">
      <c r="A668" s="7">
        <v>45925</v>
      </c>
      <c r="B668" s="9" t="s">
        <v>46</v>
      </c>
      <c r="C668" s="4"/>
      <c r="D668" s="6">
        <v>100</v>
      </c>
      <c r="E668" s="6">
        <f>E667+C668-D668</f>
      </c>
      <c r="F668" s="4"/>
    </row>
    <row x14ac:dyDescent="0.25" r="669" customHeight="1" ht="17.25">
      <c r="A669" s="7">
        <v>45925</v>
      </c>
      <c r="B669" s="9" t="s">
        <v>311</v>
      </c>
      <c r="C669" s="4"/>
      <c r="D669" s="6">
        <v>85</v>
      </c>
      <c r="E669" s="6">
        <f>E668+C669-D669</f>
      </c>
      <c r="F669" s="4"/>
    </row>
    <row x14ac:dyDescent="0.25" r="670" customHeight="1" ht="17.25">
      <c r="A670" s="7">
        <v>45925</v>
      </c>
      <c r="B670" s="9" t="s">
        <v>233</v>
      </c>
      <c r="C670" s="4"/>
      <c r="D670" s="6">
        <v>160</v>
      </c>
      <c r="E670" s="6">
        <f>E669+C670-D670</f>
      </c>
      <c r="F670" s="4"/>
    </row>
    <row x14ac:dyDescent="0.25" r="671" customHeight="1" ht="17.25">
      <c r="A671" s="7">
        <v>45925</v>
      </c>
      <c r="B671" s="9" t="s">
        <v>508</v>
      </c>
      <c r="C671" s="4"/>
      <c r="D671" s="6">
        <v>117</v>
      </c>
      <c r="E671" s="6">
        <f>E670+C671-D671</f>
      </c>
      <c r="F671" s="4"/>
    </row>
    <row x14ac:dyDescent="0.25" r="672" customHeight="1" ht="17.25">
      <c r="A672" s="7">
        <v>45925</v>
      </c>
      <c r="B672" s="9" t="s">
        <v>34</v>
      </c>
      <c r="C672" s="6">
        <v>117</v>
      </c>
      <c r="D672" s="4"/>
      <c r="E672" s="6">
        <f>E671+C672-D672</f>
      </c>
      <c r="F672" s="4"/>
    </row>
    <row x14ac:dyDescent="0.25" r="673" customHeight="1" ht="17.25">
      <c r="A673" s="7">
        <v>45925</v>
      </c>
      <c r="B673" s="9" t="s">
        <v>34</v>
      </c>
      <c r="C673" s="6">
        <v>18</v>
      </c>
      <c r="D673" s="4"/>
      <c r="E673" s="6">
        <f>E672+C673-D673</f>
      </c>
      <c r="F673" s="4"/>
    </row>
    <row x14ac:dyDescent="0.25" r="674" customHeight="1" ht="17.25">
      <c r="A674" s="7">
        <v>45926</v>
      </c>
      <c r="B674" s="9" t="s">
        <v>564</v>
      </c>
      <c r="C674" s="4"/>
      <c r="D674" s="6">
        <v>100</v>
      </c>
      <c r="E674" s="6">
        <f>E673+C674-D674</f>
      </c>
      <c r="F674" s="4"/>
    </row>
    <row x14ac:dyDescent="0.25" r="675" customHeight="1" ht="17.25">
      <c r="A675" s="7">
        <v>45926</v>
      </c>
      <c r="B675" s="9" t="s">
        <v>311</v>
      </c>
      <c r="C675" s="4"/>
      <c r="D675" s="6">
        <v>85</v>
      </c>
      <c r="E675" s="6">
        <f>E674+C675-D675</f>
      </c>
      <c r="F675" s="4"/>
    </row>
    <row x14ac:dyDescent="0.25" r="676" customHeight="1" ht="17.25">
      <c r="A676" s="7">
        <v>45926</v>
      </c>
      <c r="B676" s="9" t="s">
        <v>124</v>
      </c>
      <c r="C676" s="4"/>
      <c r="D676" s="6">
        <v>120</v>
      </c>
      <c r="E676" s="6">
        <f>E675+C676-D676</f>
      </c>
      <c r="F676" s="4"/>
    </row>
    <row x14ac:dyDescent="0.25" r="677" customHeight="1" ht="17.25">
      <c r="A677" s="8">
        <v>45926</v>
      </c>
      <c r="B677" s="9" t="s">
        <v>365</v>
      </c>
      <c r="C677" s="6">
        <v>64</v>
      </c>
      <c r="D677" s="4"/>
      <c r="E677" s="6">
        <f>E676+C677-D677</f>
      </c>
      <c r="F677" s="4"/>
    </row>
    <row x14ac:dyDescent="0.25" r="678" customHeight="1" ht="17.25">
      <c r="A678" s="7">
        <v>45927</v>
      </c>
      <c r="B678" s="9" t="s">
        <v>564</v>
      </c>
      <c r="C678" s="4"/>
      <c r="D678" s="6">
        <v>150</v>
      </c>
      <c r="E678" s="6">
        <f>E677+C678-D678</f>
      </c>
      <c r="F678" s="4"/>
    </row>
    <row x14ac:dyDescent="0.25" r="679" customHeight="1" ht="17.25">
      <c r="A679" s="7">
        <v>45928</v>
      </c>
      <c r="B679" s="9" t="s">
        <v>316</v>
      </c>
      <c r="C679" s="4"/>
      <c r="D679" s="6">
        <v>200</v>
      </c>
      <c r="E679" s="6">
        <f>E678+C679-D679</f>
      </c>
      <c r="F679" s="4"/>
    </row>
    <row x14ac:dyDescent="0.25" r="680" customHeight="1" ht="17.25">
      <c r="A680" s="7">
        <v>45929</v>
      </c>
      <c r="B680" s="9" t="s">
        <v>141</v>
      </c>
      <c r="C680" s="6">
        <v>18</v>
      </c>
      <c r="D680" s="4"/>
      <c r="E680" s="6">
        <f>E679+C680-D680</f>
      </c>
      <c r="F680" s="4"/>
    </row>
    <row x14ac:dyDescent="0.25" r="681" customHeight="1" ht="17.25">
      <c r="A681" s="7">
        <v>45930</v>
      </c>
      <c r="B681" s="9" t="s">
        <v>385</v>
      </c>
      <c r="C681" s="4"/>
      <c r="D681" s="6">
        <v>60</v>
      </c>
      <c r="E681" s="6">
        <f>E680+C681-D681</f>
      </c>
      <c r="F681" s="4"/>
    </row>
    <row x14ac:dyDescent="0.25" r="682" customHeight="1" ht="17.25">
      <c r="A682" s="7">
        <v>45930</v>
      </c>
      <c r="B682" s="9" t="s">
        <v>311</v>
      </c>
      <c r="C682" s="4"/>
      <c r="D682" s="6">
        <v>300</v>
      </c>
      <c r="E682" s="6">
        <f>E681+C682-D682</f>
      </c>
      <c r="F682" s="4"/>
    </row>
    <row x14ac:dyDescent="0.25" r="683" customHeight="1" ht="17.25">
      <c r="A683" s="7">
        <v>45930</v>
      </c>
      <c r="B683" s="9" t="s">
        <v>382</v>
      </c>
      <c r="C683" s="6">
        <v>67</v>
      </c>
      <c r="D683" s="4"/>
      <c r="E683" s="6">
        <f>E682+C683-D683</f>
      </c>
      <c r="F683" s="4"/>
    </row>
    <row x14ac:dyDescent="0.25" r="684" customHeight="1" ht="17.25">
      <c r="A684" s="7">
        <v>45930</v>
      </c>
      <c r="B684" s="9" t="s">
        <v>619</v>
      </c>
      <c r="C684" s="6">
        <v>50</v>
      </c>
      <c r="D684" s="4"/>
      <c r="E684" s="6">
        <f>E683+C684-D684</f>
      </c>
      <c r="F684" s="4"/>
    </row>
    <row x14ac:dyDescent="0.25" r="685" customHeight="1" ht="17.25">
      <c r="A685" s="7">
        <v>45930</v>
      </c>
      <c r="B685" s="9" t="s">
        <v>4</v>
      </c>
      <c r="C685" s="6">
        <v>38</v>
      </c>
      <c r="D685" s="4"/>
      <c r="E685" s="6">
        <f>E684+C685-D685</f>
      </c>
      <c r="F685" s="4"/>
    </row>
    <row x14ac:dyDescent="0.25" r="686" customHeight="1" ht="17.25">
      <c r="A686" s="7">
        <v>45931</v>
      </c>
      <c r="B686" s="9" t="s">
        <v>228</v>
      </c>
      <c r="C686" s="6">
        <v>27</v>
      </c>
      <c r="D686" s="4"/>
      <c r="E686" s="6">
        <f>E685+C686-D686</f>
      </c>
      <c r="F686" s="4"/>
    </row>
    <row x14ac:dyDescent="0.25" r="687" customHeight="1" ht="17.25">
      <c r="A687" s="7">
        <v>45932</v>
      </c>
      <c r="B687" s="9" t="s">
        <v>316</v>
      </c>
      <c r="C687" s="4"/>
      <c r="D687" s="6">
        <v>255</v>
      </c>
      <c r="E687" s="6">
        <f>E686+C687-D687</f>
      </c>
      <c r="F687" s="4"/>
    </row>
    <row x14ac:dyDescent="0.25" r="688" customHeight="1" ht="17.25">
      <c r="A688" s="7">
        <v>45932</v>
      </c>
      <c r="B688" s="9" t="s">
        <v>3</v>
      </c>
      <c r="C688" s="6">
        <v>4</v>
      </c>
      <c r="D688" s="4"/>
      <c r="E688" s="6">
        <f>E687+C688-D688</f>
      </c>
      <c r="F688" s="4"/>
    </row>
    <row x14ac:dyDescent="0.25" r="689" customHeight="1" ht="17.25">
      <c r="A689" s="7">
        <v>45932</v>
      </c>
      <c r="B689" s="9" t="s">
        <v>4</v>
      </c>
      <c r="C689" s="6">
        <v>21</v>
      </c>
      <c r="D689" s="4"/>
      <c r="E689" s="6">
        <f>E688+C689-D689</f>
      </c>
      <c r="F689" s="4"/>
    </row>
    <row x14ac:dyDescent="0.25" r="690" customHeight="1" ht="17.25">
      <c r="A690" s="7">
        <v>45933</v>
      </c>
      <c r="B690" s="9" t="s">
        <v>46</v>
      </c>
      <c r="C690" s="4"/>
      <c r="D690" s="6">
        <v>100</v>
      </c>
      <c r="E690" s="6">
        <f>E689+C690-D690</f>
      </c>
      <c r="F690" s="4"/>
    </row>
    <row x14ac:dyDescent="0.25" r="691" customHeight="1" ht="17.25">
      <c r="A691" s="7">
        <v>45933</v>
      </c>
      <c r="B691" s="9" t="s">
        <v>508</v>
      </c>
      <c r="C691" s="4"/>
      <c r="D691" s="6">
        <v>62</v>
      </c>
      <c r="E691" s="6">
        <f>E690+C691-D691</f>
      </c>
      <c r="F691" s="4"/>
    </row>
    <row x14ac:dyDescent="0.25" r="692" customHeight="1" ht="17.25">
      <c r="A692" s="7">
        <v>45934</v>
      </c>
      <c r="B692" s="9" t="s">
        <v>46</v>
      </c>
      <c r="C692" s="4"/>
      <c r="D692" s="6">
        <v>200</v>
      </c>
      <c r="E692" s="6">
        <f>E691+C692-D692</f>
      </c>
      <c r="F692" s="4"/>
    </row>
    <row x14ac:dyDescent="0.25" r="693" customHeight="1" ht="17.25">
      <c r="A693" s="8">
        <v>45934</v>
      </c>
      <c r="B693" s="9" t="s">
        <v>184</v>
      </c>
      <c r="C693" s="6">
        <v>44</v>
      </c>
      <c r="D693" s="4"/>
      <c r="E693" s="6">
        <f>E692+C693-D693</f>
      </c>
      <c r="F693" s="4"/>
    </row>
    <row x14ac:dyDescent="0.25" r="694" customHeight="1" ht="17.25">
      <c r="A694" s="7">
        <v>45936</v>
      </c>
      <c r="B694" s="9" t="s">
        <v>504</v>
      </c>
      <c r="C694" s="4"/>
      <c r="D694" s="6">
        <v>126</v>
      </c>
      <c r="E694" s="6">
        <f>E693+C694-D694</f>
      </c>
      <c r="F694" s="4"/>
    </row>
    <row x14ac:dyDescent="0.25" r="695" customHeight="1" ht="17.25">
      <c r="A695" s="7">
        <v>45936</v>
      </c>
      <c r="B695" s="9" t="s">
        <v>321</v>
      </c>
      <c r="C695" s="6">
        <v>92</v>
      </c>
      <c r="D695" s="4"/>
      <c r="E695" s="6">
        <f>E694+C695-D695</f>
      </c>
      <c r="F695" s="4"/>
    </row>
    <row x14ac:dyDescent="0.25" r="696" customHeight="1" ht="17.25">
      <c r="A696" s="7">
        <v>45936</v>
      </c>
      <c r="B696" s="9" t="s">
        <v>389</v>
      </c>
      <c r="C696" s="6">
        <v>125</v>
      </c>
      <c r="D696" s="4"/>
      <c r="E696" s="6">
        <f>E695+C696-D696</f>
      </c>
      <c r="F696" s="4"/>
    </row>
    <row x14ac:dyDescent="0.25" r="697" customHeight="1" ht="17.25">
      <c r="A697" s="7">
        <v>45937</v>
      </c>
      <c r="B697" s="9" t="s">
        <v>389</v>
      </c>
      <c r="C697" s="6">
        <v>124</v>
      </c>
      <c r="D697" s="4"/>
      <c r="E697" s="6">
        <f>E696+C697-D697</f>
      </c>
      <c r="F697" s="4"/>
    </row>
    <row x14ac:dyDescent="0.25" r="698" customHeight="1" ht="17.25">
      <c r="A698" s="7">
        <v>45938</v>
      </c>
      <c r="B698" s="9" t="s">
        <v>233</v>
      </c>
      <c r="C698" s="4"/>
      <c r="D698" s="6">
        <v>87</v>
      </c>
      <c r="E698" s="6">
        <f>E697+C698-D698</f>
      </c>
      <c r="F698" s="4"/>
    </row>
    <row x14ac:dyDescent="0.25" r="699" customHeight="1" ht="17.25">
      <c r="A699" s="7">
        <v>45938</v>
      </c>
      <c r="B699" s="9" t="s">
        <v>458</v>
      </c>
      <c r="C699" s="4"/>
      <c r="D699" s="6">
        <v>4</v>
      </c>
      <c r="E699" s="6">
        <f>E698+C699-D699</f>
      </c>
      <c r="F699" s="4"/>
    </row>
    <row x14ac:dyDescent="0.25" r="700" customHeight="1" ht="17.25">
      <c r="A700" s="7">
        <v>45938</v>
      </c>
      <c r="B700" s="9" t="s">
        <v>313</v>
      </c>
      <c r="C700" s="4"/>
      <c r="D700" s="6">
        <v>75</v>
      </c>
      <c r="E700" s="6">
        <f>E699+C700-D700</f>
      </c>
      <c r="F700" s="4"/>
    </row>
    <row x14ac:dyDescent="0.25" r="701" customHeight="1" ht="17.25">
      <c r="A701" s="7">
        <v>45938</v>
      </c>
      <c r="B701" s="9" t="s">
        <v>316</v>
      </c>
      <c r="C701" s="4"/>
      <c r="D701" s="6">
        <v>200</v>
      </c>
      <c r="E701" s="6">
        <f>E700+C701-D701</f>
      </c>
      <c r="F701" s="4"/>
    </row>
    <row x14ac:dyDescent="0.25" r="702" customHeight="1" ht="17.25">
      <c r="A702" s="7">
        <v>45938</v>
      </c>
      <c r="B702" s="9" t="s">
        <v>389</v>
      </c>
      <c r="C702" s="6">
        <v>36</v>
      </c>
      <c r="D702" s="4"/>
      <c r="E702" s="6">
        <f>E701+C702-D702</f>
      </c>
      <c r="F702" s="4"/>
    </row>
    <row x14ac:dyDescent="0.25" r="703" customHeight="1" ht="17.25">
      <c r="A703" s="7">
        <v>45939</v>
      </c>
      <c r="B703" s="9" t="s">
        <v>233</v>
      </c>
      <c r="C703" s="4"/>
      <c r="D703" s="6">
        <v>155</v>
      </c>
      <c r="E703" s="6">
        <f>E702+C703-D703</f>
      </c>
      <c r="F703" s="4"/>
    </row>
    <row x14ac:dyDescent="0.25" r="704" customHeight="1" ht="17.25">
      <c r="A704" s="7">
        <v>45939</v>
      </c>
      <c r="B704" s="9" t="s">
        <v>389</v>
      </c>
      <c r="C704" s="6">
        <v>125</v>
      </c>
      <c r="D704" s="4"/>
      <c r="E704" s="6">
        <f>E703+C704-D704</f>
      </c>
      <c r="F704" s="4"/>
    </row>
    <row x14ac:dyDescent="0.25" r="705" customHeight="1" ht="17.25">
      <c r="A705" s="7">
        <v>45940</v>
      </c>
      <c r="B705" s="9" t="s">
        <v>311</v>
      </c>
      <c r="C705" s="4"/>
      <c r="D705" s="6">
        <v>300</v>
      </c>
      <c r="E705" s="6">
        <f>E704+C705-D705</f>
      </c>
      <c r="F705" s="4"/>
    </row>
    <row x14ac:dyDescent="0.25" r="706" customHeight="1" ht="17.25">
      <c r="A706" s="7">
        <v>45940</v>
      </c>
      <c r="B706" s="9" t="s">
        <v>141</v>
      </c>
      <c r="C706" s="6">
        <v>22</v>
      </c>
      <c r="D706" s="4"/>
      <c r="E706" s="6">
        <f>E705+C706-D706</f>
      </c>
      <c r="F706" s="4"/>
    </row>
    <row x14ac:dyDescent="0.25" r="707" customHeight="1" ht="17.25">
      <c r="A707" s="7">
        <v>45940</v>
      </c>
      <c r="B707" s="9" t="s">
        <v>389</v>
      </c>
      <c r="C707" s="6">
        <v>19</v>
      </c>
      <c r="D707" s="4"/>
      <c r="E707" s="6">
        <f>E706+C707-D707</f>
      </c>
      <c r="F707" s="4"/>
    </row>
    <row x14ac:dyDescent="0.25" r="708" customHeight="1" ht="17.25">
      <c r="A708" s="7">
        <v>45941</v>
      </c>
      <c r="B708" s="9" t="s">
        <v>316</v>
      </c>
      <c r="C708" s="4"/>
      <c r="D708" s="6">
        <v>200</v>
      </c>
      <c r="E708" s="6">
        <f>E707+C708-D708</f>
      </c>
      <c r="F708" s="4"/>
    </row>
    <row x14ac:dyDescent="0.25" r="709" customHeight="1" ht="17.25">
      <c r="A709" s="7">
        <v>45941</v>
      </c>
      <c r="B709" s="9" t="s">
        <v>287</v>
      </c>
      <c r="C709" s="6">
        <v>2</v>
      </c>
      <c r="D709" s="4"/>
      <c r="E709" s="6">
        <f>E708+C709-D709</f>
      </c>
      <c r="F709" s="4"/>
    </row>
    <row x14ac:dyDescent="0.25" r="710" customHeight="1" ht="17.25">
      <c r="A710" s="8">
        <v>45941</v>
      </c>
      <c r="B710" s="9" t="s">
        <v>184</v>
      </c>
      <c r="C710" s="6">
        <v>22</v>
      </c>
      <c r="D710" s="4"/>
      <c r="E710" s="6">
        <f>E709+C710-D710</f>
      </c>
      <c r="F710" s="4"/>
    </row>
    <row x14ac:dyDescent="0.25" r="711" customHeight="1" ht="17.25">
      <c r="A711" s="8">
        <v>45943</v>
      </c>
      <c r="B711" s="9" t="s">
        <v>304</v>
      </c>
      <c r="C711" s="4"/>
      <c r="D711" s="6">
        <v>300</v>
      </c>
      <c r="E711" s="6">
        <f>E710+C711-D711</f>
      </c>
      <c r="F711" s="4"/>
    </row>
    <row x14ac:dyDescent="0.25" r="712" customHeight="1" ht="17.25">
      <c r="A712" s="7">
        <v>45943</v>
      </c>
      <c r="B712" s="9" t="s">
        <v>46</v>
      </c>
      <c r="C712" s="4"/>
      <c r="D712" s="6">
        <v>200</v>
      </c>
      <c r="E712" s="6">
        <f>E711+C712-D712</f>
      </c>
      <c r="F712" s="4"/>
    </row>
    <row x14ac:dyDescent="0.25" r="713" customHeight="1" ht="17.25">
      <c r="A713" s="7">
        <v>45943</v>
      </c>
      <c r="B713" s="9" t="s">
        <v>512</v>
      </c>
      <c r="C713" s="4"/>
      <c r="D713" s="6">
        <v>100</v>
      </c>
      <c r="E713" s="6">
        <f>E712+C713-D713</f>
      </c>
      <c r="F713" s="4"/>
    </row>
    <row x14ac:dyDescent="0.25" r="714" customHeight="1" ht="17.25">
      <c r="A714" s="7">
        <v>45943</v>
      </c>
      <c r="B714" s="9" t="s">
        <v>512</v>
      </c>
      <c r="C714" s="4"/>
      <c r="D714" s="6">
        <v>100</v>
      </c>
      <c r="E714" s="6">
        <f>E713+C714-D714</f>
      </c>
      <c r="F714" s="4"/>
    </row>
    <row x14ac:dyDescent="0.25" r="715" customHeight="1" ht="17.25">
      <c r="A715" s="7">
        <v>45943</v>
      </c>
      <c r="B715" s="2" t="s">
        <v>7</v>
      </c>
      <c r="C715" s="6">
        <v>94</v>
      </c>
      <c r="D715" s="4"/>
      <c r="E715" s="6">
        <f>E714+C715-D715</f>
      </c>
      <c r="F715" s="4"/>
    </row>
    <row x14ac:dyDescent="0.25" r="716" customHeight="1" ht="17.25">
      <c r="A716" s="7">
        <v>45943</v>
      </c>
      <c r="B716" s="9" t="s">
        <v>298</v>
      </c>
      <c r="C716" s="6">
        <v>65</v>
      </c>
      <c r="D716" s="4"/>
      <c r="E716" s="6">
        <f>E715+C716-D716</f>
      </c>
      <c r="F716" s="4"/>
    </row>
    <row x14ac:dyDescent="0.25" r="717" customHeight="1" ht="17.25">
      <c r="A717" s="7">
        <v>45944</v>
      </c>
      <c r="B717" s="9" t="s">
        <v>283</v>
      </c>
      <c r="C717" s="6">
        <v>78</v>
      </c>
      <c r="D717" s="4"/>
      <c r="E717" s="6">
        <f>E716+C717-D717</f>
      </c>
      <c r="F717" s="4"/>
    </row>
    <row x14ac:dyDescent="0.25" r="718" customHeight="1" ht="17.25">
      <c r="A718" s="7">
        <v>45945</v>
      </c>
      <c r="B718" s="9" t="s">
        <v>179</v>
      </c>
      <c r="C718" s="4"/>
      <c r="D718" s="6">
        <v>50</v>
      </c>
      <c r="E718" s="6">
        <f>E717+C718-D718</f>
      </c>
      <c r="F718" s="4"/>
    </row>
    <row x14ac:dyDescent="0.25" r="719" customHeight="1" ht="17.25">
      <c r="A719" s="7">
        <v>45945</v>
      </c>
      <c r="B719" s="9" t="s">
        <v>283</v>
      </c>
      <c r="C719" s="6">
        <v>42</v>
      </c>
      <c r="D719" s="4"/>
      <c r="E719" s="6">
        <f>E718+C719-D719</f>
      </c>
      <c r="F719" s="4"/>
    </row>
    <row x14ac:dyDescent="0.25" r="720" customHeight="1" ht="17.25">
      <c r="A720" s="7">
        <v>45945</v>
      </c>
      <c r="B720" s="9" t="s">
        <v>7</v>
      </c>
      <c r="C720" s="6">
        <v>85</v>
      </c>
      <c r="D720" s="4"/>
      <c r="E720" s="6">
        <f>E719+C720-D720</f>
      </c>
      <c r="F720" s="4"/>
    </row>
    <row x14ac:dyDescent="0.25" r="721" customHeight="1" ht="17.25">
      <c r="A721" s="7">
        <v>45946</v>
      </c>
      <c r="B721" s="9" t="s">
        <v>512</v>
      </c>
      <c r="C721" s="4"/>
      <c r="D721" s="6">
        <v>80</v>
      </c>
      <c r="E721" s="6">
        <f>E720+C721-D721</f>
      </c>
      <c r="F721" s="4"/>
    </row>
    <row x14ac:dyDescent="0.25" r="722" customHeight="1" ht="17.25">
      <c r="A722" s="7">
        <v>45946</v>
      </c>
      <c r="B722" s="9" t="s">
        <v>512</v>
      </c>
      <c r="C722" s="4"/>
      <c r="D722" s="6">
        <v>80</v>
      </c>
      <c r="E722" s="6">
        <f>E721+C722-D722</f>
      </c>
      <c r="F722" s="4"/>
    </row>
    <row x14ac:dyDescent="0.25" r="723" customHeight="1" ht="17.25">
      <c r="A723" s="7">
        <v>45946</v>
      </c>
      <c r="B723" s="9" t="s">
        <v>420</v>
      </c>
      <c r="C723" s="4"/>
      <c r="D723" s="6">
        <v>48</v>
      </c>
      <c r="E723" s="6">
        <f>E722+C723-D723</f>
      </c>
      <c r="F723" s="4"/>
    </row>
    <row x14ac:dyDescent="0.25" r="724" customHeight="1" ht="17.25">
      <c r="A724" s="7">
        <v>45946</v>
      </c>
      <c r="B724" s="9" t="s">
        <v>141</v>
      </c>
      <c r="C724" s="6">
        <v>27</v>
      </c>
      <c r="D724" s="4"/>
      <c r="E724" s="6">
        <f>E723+C724-D724</f>
      </c>
      <c r="F724" s="4"/>
    </row>
    <row x14ac:dyDescent="0.25" r="725" customHeight="1" ht="17.25">
      <c r="A725" s="7">
        <v>45946</v>
      </c>
      <c r="B725" s="9" t="s">
        <v>100</v>
      </c>
      <c r="C725" s="6">
        <v>30</v>
      </c>
      <c r="D725" s="4"/>
      <c r="E725" s="6">
        <f>E724+C725-D725</f>
      </c>
      <c r="F725" s="4"/>
    </row>
    <row x14ac:dyDescent="0.25" r="726" customHeight="1" ht="17.25">
      <c r="A726" s="7">
        <v>45946</v>
      </c>
      <c r="B726" s="9" t="s">
        <v>389</v>
      </c>
      <c r="C726" s="6">
        <v>123</v>
      </c>
      <c r="D726" s="4"/>
      <c r="E726" s="6">
        <f>E725+C726-D726</f>
      </c>
      <c r="F726" s="4"/>
    </row>
    <row x14ac:dyDescent="0.25" r="727" customHeight="1" ht="17.25">
      <c r="A727" s="7">
        <v>45946</v>
      </c>
      <c r="B727" s="9" t="s">
        <v>184</v>
      </c>
      <c r="C727" s="6">
        <v>61</v>
      </c>
      <c r="D727" s="4"/>
      <c r="E727" s="6">
        <f>E726+C727-D727</f>
      </c>
      <c r="F727" s="4"/>
    </row>
    <row x14ac:dyDescent="0.25" r="728" customHeight="1" ht="17.25">
      <c r="A728" s="7">
        <v>45946</v>
      </c>
      <c r="B728" s="9" t="s">
        <v>3</v>
      </c>
      <c r="C728" s="6">
        <v>29</v>
      </c>
      <c r="D728" s="4"/>
      <c r="E728" s="6">
        <f>E727+C728-D728</f>
      </c>
      <c r="F728" s="4"/>
    </row>
    <row x14ac:dyDescent="0.25" r="729" customHeight="1" ht="17.25">
      <c r="A729" s="7">
        <v>45947</v>
      </c>
      <c r="B729" s="9" t="s">
        <v>512</v>
      </c>
      <c r="C729" s="4"/>
      <c r="D729" s="6">
        <v>80</v>
      </c>
      <c r="E729" s="6">
        <f>E728+C729-D729</f>
      </c>
      <c r="F729" s="4"/>
    </row>
    <row x14ac:dyDescent="0.25" r="730" customHeight="1" ht="17.25">
      <c r="A730" s="7">
        <v>45947</v>
      </c>
      <c r="B730" s="9" t="s">
        <v>7</v>
      </c>
      <c r="C730" s="6">
        <v>33</v>
      </c>
      <c r="D730" s="4"/>
      <c r="E730" s="6">
        <f>E729+C730-D730</f>
      </c>
      <c r="F730" s="4"/>
    </row>
    <row x14ac:dyDescent="0.25" r="731" customHeight="1" ht="17.25">
      <c r="A731" s="7">
        <v>45947</v>
      </c>
      <c r="B731" s="9" t="s">
        <v>389</v>
      </c>
      <c r="C731" s="6">
        <v>30</v>
      </c>
      <c r="D731" s="4"/>
      <c r="E731" s="6">
        <f>E730+C731-D731</f>
      </c>
      <c r="F731" s="4"/>
    </row>
    <row x14ac:dyDescent="0.25" r="732" customHeight="1" ht="17.25">
      <c r="A732" s="7">
        <v>45948</v>
      </c>
      <c r="B732" s="9" t="s">
        <v>46</v>
      </c>
      <c r="C732" s="4"/>
      <c r="D732" s="6">
        <v>250</v>
      </c>
      <c r="E732" s="6">
        <f>E731+C732-D732</f>
      </c>
      <c r="F732" s="4"/>
    </row>
    <row x14ac:dyDescent="0.25" r="733" customHeight="1" ht="17.25">
      <c r="A733" s="7">
        <v>45948</v>
      </c>
      <c r="B733" s="9" t="s">
        <v>184</v>
      </c>
      <c r="C733" s="6">
        <v>55</v>
      </c>
      <c r="D733" s="4"/>
      <c r="E733" s="6">
        <f>E732+C733-D733</f>
      </c>
      <c r="F733" s="4"/>
    </row>
    <row x14ac:dyDescent="0.25" r="734" customHeight="1" ht="17.25">
      <c r="A734" s="7">
        <v>45948</v>
      </c>
      <c r="B734" s="9" t="s">
        <v>2</v>
      </c>
      <c r="C734" s="6">
        <v>34</v>
      </c>
      <c r="D734" s="4"/>
      <c r="E734" s="6">
        <f>E733+C734-D734</f>
      </c>
      <c r="F734" s="4"/>
    </row>
    <row x14ac:dyDescent="0.25" r="735" customHeight="1" ht="17.25">
      <c r="A735" s="7">
        <v>45949</v>
      </c>
      <c r="B735" s="9" t="s">
        <v>304</v>
      </c>
      <c r="C735" s="4"/>
      <c r="D735" s="6">
        <v>130</v>
      </c>
      <c r="E735" s="6">
        <f>E734+C735-D735</f>
      </c>
      <c r="F735" s="4"/>
    </row>
    <row x14ac:dyDescent="0.25" r="736" customHeight="1" ht="17.25">
      <c r="A736" s="7">
        <v>45949</v>
      </c>
      <c r="B736" s="9" t="s">
        <v>304</v>
      </c>
      <c r="C736" s="4"/>
      <c r="D736" s="6">
        <v>130</v>
      </c>
      <c r="E736" s="6">
        <f>E735+C736-D736</f>
      </c>
      <c r="F736" s="4"/>
    </row>
    <row x14ac:dyDescent="0.25" r="737" customHeight="1" ht="17.25">
      <c r="A737" s="7">
        <v>45950</v>
      </c>
      <c r="B737" s="9" t="s">
        <v>304</v>
      </c>
      <c r="C737" s="4"/>
      <c r="D737" s="6">
        <v>40</v>
      </c>
      <c r="E737" s="6">
        <f>E736+C737-D737</f>
      </c>
      <c r="F737" s="4"/>
    </row>
    <row x14ac:dyDescent="0.25" r="738" customHeight="1" ht="17.25">
      <c r="A738" s="7">
        <v>45950</v>
      </c>
      <c r="B738" s="9" t="s">
        <v>7</v>
      </c>
      <c r="C738" s="6">
        <v>40</v>
      </c>
      <c r="D738" s="4"/>
      <c r="E738" s="6">
        <f>E737+C738-D738</f>
      </c>
      <c r="F738" s="4"/>
    </row>
    <row x14ac:dyDescent="0.25" r="739" customHeight="1" ht="17.25">
      <c r="A739" s="7">
        <v>45950</v>
      </c>
      <c r="B739" s="9" t="s">
        <v>208</v>
      </c>
      <c r="C739" s="6">
        <v>91</v>
      </c>
      <c r="D739" s="4"/>
      <c r="E739" s="6">
        <f>E738+C739-D739</f>
      </c>
      <c r="F739" s="4"/>
    </row>
    <row x14ac:dyDescent="0.25" r="740" customHeight="1" ht="17.25">
      <c r="A740" s="7">
        <v>45950</v>
      </c>
      <c r="B740" s="9" t="s">
        <v>3</v>
      </c>
      <c r="C740" s="6">
        <v>1</v>
      </c>
      <c r="D740" s="4"/>
      <c r="E740" s="6">
        <f>E739+C740-D740</f>
      </c>
      <c r="F740" s="4"/>
    </row>
    <row x14ac:dyDescent="0.25" r="741" customHeight="1" ht="17.25">
      <c r="A741" s="7">
        <v>45951</v>
      </c>
      <c r="B741" s="9" t="s">
        <v>46</v>
      </c>
      <c r="C741" s="4"/>
      <c r="D741" s="6">
        <v>200</v>
      </c>
      <c r="E741" s="6">
        <f>E740+C741-D741</f>
      </c>
      <c r="F741" s="4"/>
    </row>
    <row x14ac:dyDescent="0.25" r="742" customHeight="1" ht="17.25">
      <c r="A742" s="7">
        <v>45951</v>
      </c>
      <c r="B742" s="9" t="s">
        <v>315</v>
      </c>
      <c r="C742" s="4"/>
      <c r="D742" s="6">
        <v>92</v>
      </c>
      <c r="E742" s="6">
        <f>E741+C742-D742</f>
      </c>
      <c r="F742" s="4"/>
    </row>
    <row x14ac:dyDescent="0.25" r="743" customHeight="1" ht="17.25">
      <c r="A743" s="7">
        <v>45951</v>
      </c>
      <c r="B743" s="9" t="s">
        <v>7</v>
      </c>
      <c r="C743" s="6">
        <v>24</v>
      </c>
      <c r="D743" s="4"/>
      <c r="E743" s="6">
        <f>E742+C743-D743</f>
      </c>
      <c r="F743" s="4"/>
    </row>
    <row x14ac:dyDescent="0.25" r="744" customHeight="1" ht="17.25">
      <c r="A744" s="7">
        <v>45952</v>
      </c>
      <c r="B744" s="9" t="s">
        <v>233</v>
      </c>
      <c r="C744" s="4"/>
      <c r="D744" s="6">
        <v>178</v>
      </c>
      <c r="E744" s="6">
        <f>E743+C744-D744</f>
      </c>
      <c r="F744" s="4"/>
    </row>
    <row x14ac:dyDescent="0.25" r="745" customHeight="1" ht="17.25">
      <c r="A745" s="7">
        <v>45952</v>
      </c>
      <c r="B745" s="9" t="s">
        <v>313</v>
      </c>
      <c r="C745" s="4"/>
      <c r="D745" s="6">
        <v>75</v>
      </c>
      <c r="E745" s="6">
        <f>E744+C745-D745</f>
      </c>
      <c r="F745" s="4"/>
    </row>
    <row x14ac:dyDescent="0.25" r="746" customHeight="1" ht="17.25">
      <c r="A746" s="7">
        <v>45952</v>
      </c>
      <c r="B746" s="9" t="s">
        <v>141</v>
      </c>
      <c r="C746" s="6">
        <v>14</v>
      </c>
      <c r="D746" s="4"/>
      <c r="E746" s="6">
        <f>E745+C746-D746</f>
      </c>
      <c r="F746" s="4"/>
    </row>
    <row x14ac:dyDescent="0.25" r="747" customHeight="1" ht="17.25">
      <c r="A747" s="7">
        <v>45952</v>
      </c>
      <c r="B747" s="9" t="s">
        <v>389</v>
      </c>
      <c r="C747" s="6">
        <v>125</v>
      </c>
      <c r="D747" s="4"/>
      <c r="E747" s="6">
        <f>E746+C747-D747</f>
      </c>
      <c r="F747" s="4"/>
    </row>
    <row x14ac:dyDescent="0.25" r="748" customHeight="1" ht="17.25">
      <c r="A748" s="7">
        <v>45952</v>
      </c>
      <c r="B748" s="9" t="s">
        <v>3</v>
      </c>
      <c r="C748" s="6">
        <v>17</v>
      </c>
      <c r="D748" s="4"/>
      <c r="E748" s="6">
        <f>E747+C748-D748</f>
      </c>
      <c r="F748" s="4"/>
    </row>
    <row x14ac:dyDescent="0.25" r="749" customHeight="1" ht="17.25">
      <c r="A749" s="7">
        <v>45953</v>
      </c>
      <c r="B749" s="9" t="s">
        <v>233</v>
      </c>
      <c r="C749" s="4"/>
      <c r="D749" s="6">
        <v>54</v>
      </c>
      <c r="E749" s="6">
        <f>E748+C749-D749</f>
      </c>
      <c r="F749" s="4"/>
    </row>
    <row x14ac:dyDescent="0.25" r="750" customHeight="1" ht="17.25">
      <c r="A750" s="7">
        <v>45953</v>
      </c>
      <c r="B750" s="9" t="s">
        <v>208</v>
      </c>
      <c r="C750" s="6">
        <v>14</v>
      </c>
      <c r="D750" s="4"/>
      <c r="E750" s="6">
        <f>E749+C750-D750</f>
      </c>
      <c r="F750" s="4"/>
    </row>
    <row x14ac:dyDescent="0.25" r="751" customHeight="1" ht="17.25">
      <c r="A751" s="7">
        <v>45954</v>
      </c>
      <c r="B751" s="9" t="s">
        <v>504</v>
      </c>
      <c r="C751" s="4"/>
      <c r="D751" s="6">
        <v>23</v>
      </c>
      <c r="E751" s="6">
        <f>E750+C751-D751</f>
      </c>
      <c r="F751" s="4"/>
    </row>
    <row x14ac:dyDescent="0.25" r="752" customHeight="1" ht="17.25">
      <c r="A752" s="7">
        <v>45954</v>
      </c>
      <c r="B752" s="9" t="s">
        <v>504</v>
      </c>
      <c r="C752" s="4"/>
      <c r="D752" s="6">
        <v>100</v>
      </c>
      <c r="E752" s="6">
        <f>E751+C752-D752</f>
      </c>
      <c r="F752" s="4"/>
    </row>
    <row x14ac:dyDescent="0.25" r="753" customHeight="1" ht="17.25">
      <c r="A753" s="7">
        <v>45954</v>
      </c>
      <c r="B753" s="9" t="s">
        <v>389</v>
      </c>
      <c r="C753" s="6">
        <v>10</v>
      </c>
      <c r="D753" s="4"/>
      <c r="E753" s="6">
        <f>E752+C753-D753</f>
      </c>
      <c r="F753" s="4"/>
    </row>
    <row x14ac:dyDescent="0.25" r="754" customHeight="1" ht="17.25">
      <c r="A754" s="7">
        <v>45954</v>
      </c>
      <c r="B754" s="9" t="s">
        <v>3</v>
      </c>
      <c r="C754" s="6">
        <v>73</v>
      </c>
      <c r="D754" s="4"/>
      <c r="E754" s="6">
        <f>E753+C754-D754</f>
      </c>
      <c r="F754" s="4"/>
    </row>
    <row x14ac:dyDescent="0.25" r="755" customHeight="1" ht="17.25">
      <c r="A755" s="7">
        <v>45955</v>
      </c>
      <c r="B755" s="9" t="s">
        <v>504</v>
      </c>
      <c r="C755" s="4"/>
      <c r="D755" s="6">
        <v>77</v>
      </c>
      <c r="E755" s="6">
        <f>E754+C755-D755</f>
      </c>
      <c r="F755" s="4"/>
    </row>
    <row x14ac:dyDescent="0.25" r="756" customHeight="1" ht="17.25">
      <c r="A756" s="7">
        <v>45955</v>
      </c>
      <c r="B756" s="9" t="s">
        <v>316</v>
      </c>
      <c r="C756" s="4"/>
      <c r="D756" s="6">
        <v>120</v>
      </c>
      <c r="E756" s="6">
        <f>E755+C756-D756</f>
      </c>
      <c r="F756" s="4"/>
    </row>
    <row x14ac:dyDescent="0.25" r="757" customHeight="1" ht="17.25">
      <c r="A757" s="7">
        <v>45957</v>
      </c>
      <c r="B757" s="9" t="s">
        <v>316</v>
      </c>
      <c r="C757" s="4"/>
      <c r="D757" s="6">
        <v>50</v>
      </c>
      <c r="E757" s="6">
        <f>E756+C757-D757</f>
      </c>
      <c r="F757" s="4"/>
    </row>
    <row x14ac:dyDescent="0.25" r="758" customHeight="1" ht="17.25">
      <c r="A758" s="7">
        <v>45957</v>
      </c>
      <c r="B758" s="9" t="s">
        <v>3</v>
      </c>
      <c r="C758" s="6">
        <v>15</v>
      </c>
      <c r="D758" s="4"/>
      <c r="E758" s="6">
        <f>E757+C758-D758</f>
      </c>
      <c r="F758" s="4" t="s">
        <v>620</v>
      </c>
    </row>
    <row x14ac:dyDescent="0.25" r="759" customHeight="1" ht="17.25">
      <c r="A759" s="7">
        <v>45957</v>
      </c>
      <c r="B759" s="9" t="s">
        <v>141</v>
      </c>
      <c r="C759" s="6">
        <v>81</v>
      </c>
      <c r="D759" s="4"/>
      <c r="E759" s="6">
        <f>E758+C759-D759</f>
      </c>
      <c r="F759" s="6">
        <f>125+81</f>
      </c>
    </row>
    <row x14ac:dyDescent="0.25" r="760" customHeight="1" ht="17.25">
      <c r="A760" s="7">
        <v>45958</v>
      </c>
      <c r="B760" s="9" t="s">
        <v>63</v>
      </c>
      <c r="C760" s="6">
        <v>200</v>
      </c>
      <c r="D760" s="4"/>
      <c r="E760" s="6">
        <f>E759+C760-D760</f>
      </c>
      <c r="F760" s="4"/>
    </row>
    <row x14ac:dyDescent="0.25" r="761" customHeight="1" ht="17.25">
      <c r="A761" s="7">
        <v>45958</v>
      </c>
      <c r="B761" s="9" t="s">
        <v>184</v>
      </c>
      <c r="C761" s="6">
        <v>6</v>
      </c>
      <c r="D761" s="4"/>
      <c r="E761" s="6">
        <f>E760+C761-D761</f>
      </c>
      <c r="F761" s="4"/>
    </row>
    <row x14ac:dyDescent="0.25" r="762" customHeight="1" ht="17.25">
      <c r="A762" s="7">
        <v>45958</v>
      </c>
      <c r="B762" s="9" t="s">
        <v>3</v>
      </c>
      <c r="C762" s="6">
        <v>21</v>
      </c>
      <c r="D762" s="4"/>
      <c r="E762" s="6">
        <f>E761+C762-D762</f>
      </c>
      <c r="F762" s="4"/>
    </row>
    <row x14ac:dyDescent="0.25" r="763" customHeight="1" ht="17.25">
      <c r="A763" s="8">
        <v>45959</v>
      </c>
      <c r="B763" s="9" t="s">
        <v>184</v>
      </c>
      <c r="C763" s="6">
        <v>54</v>
      </c>
      <c r="D763" s="4"/>
      <c r="E763" s="6">
        <f>E762+C763-D763</f>
      </c>
      <c r="F763" s="4"/>
    </row>
    <row x14ac:dyDescent="0.25" r="764" customHeight="1" ht="17.25">
      <c r="A764" s="7">
        <v>45959</v>
      </c>
      <c r="B764" s="9" t="s">
        <v>389</v>
      </c>
      <c r="C764" s="6">
        <v>56</v>
      </c>
      <c r="D764" s="4"/>
      <c r="E764" s="6">
        <f>E763+C764-D764</f>
      </c>
      <c r="F764" s="4"/>
    </row>
    <row x14ac:dyDescent="0.25" r="765" customHeight="1" ht="17.25">
      <c r="A765" s="7">
        <v>45960</v>
      </c>
      <c r="B765" s="9" t="s">
        <v>316</v>
      </c>
      <c r="C765" s="4"/>
      <c r="D765" s="6">
        <v>200</v>
      </c>
      <c r="E765" s="6">
        <f>E764+C765-D765</f>
      </c>
      <c r="F765" s="4"/>
    </row>
    <row x14ac:dyDescent="0.25" r="766" customHeight="1" ht="17.25">
      <c r="A766" s="7">
        <v>45960</v>
      </c>
      <c r="B766" s="9" t="s">
        <v>347</v>
      </c>
      <c r="C766" s="4"/>
      <c r="D766" s="6">
        <v>60</v>
      </c>
      <c r="E766" s="6">
        <f>E765+C766-D766</f>
      </c>
      <c r="F766" s="4"/>
    </row>
    <row x14ac:dyDescent="0.25" r="767" customHeight="1" ht="17.25">
      <c r="A767" s="7">
        <v>45960</v>
      </c>
      <c r="B767" s="9" t="s">
        <v>51</v>
      </c>
      <c r="C767" s="4"/>
      <c r="D767" s="6">
        <v>150</v>
      </c>
      <c r="E767" s="6">
        <f>E766+C767-D767</f>
      </c>
      <c r="F767" s="4"/>
    </row>
    <row x14ac:dyDescent="0.25" r="768" customHeight="1" ht="17.25">
      <c r="A768" s="7">
        <v>45960</v>
      </c>
      <c r="B768" s="9" t="s">
        <v>51</v>
      </c>
      <c r="C768" s="4"/>
      <c r="D768" s="6">
        <v>150</v>
      </c>
      <c r="E768" s="6">
        <f>E767+C768-D768</f>
      </c>
      <c r="F768" s="4"/>
    </row>
    <row x14ac:dyDescent="0.25" r="769" customHeight="1" ht="17.25">
      <c r="A769" s="7">
        <v>45960</v>
      </c>
      <c r="B769" s="9" t="s">
        <v>179</v>
      </c>
      <c r="C769" s="4"/>
      <c r="D769" s="6">
        <v>60</v>
      </c>
      <c r="E769" s="6">
        <f>E768+C769-D769</f>
      </c>
      <c r="F769" s="4"/>
    </row>
    <row x14ac:dyDescent="0.25" r="770" customHeight="1" ht="17.25">
      <c r="A770" s="7">
        <v>45960</v>
      </c>
      <c r="B770" s="9" t="s">
        <v>141</v>
      </c>
      <c r="C770" s="6">
        <v>15</v>
      </c>
      <c r="D770" s="4"/>
      <c r="E770" s="6">
        <f>E769+C770-D770</f>
      </c>
      <c r="F770" s="4"/>
    </row>
    <row x14ac:dyDescent="0.25" r="771" customHeight="1" ht="17.25">
      <c r="A771" s="7">
        <v>45960</v>
      </c>
      <c r="B771" s="9" t="s">
        <v>3</v>
      </c>
      <c r="C771" s="6">
        <v>14</v>
      </c>
      <c r="D771" s="4"/>
      <c r="E771" s="6">
        <f>E770+C771-D771</f>
      </c>
      <c r="F771" s="4"/>
    </row>
    <row x14ac:dyDescent="0.25" r="772" customHeight="1" ht="17.25">
      <c r="A772" s="7">
        <v>45961</v>
      </c>
      <c r="B772" s="9" t="s">
        <v>63</v>
      </c>
      <c r="C772" s="6">
        <v>100</v>
      </c>
      <c r="D772" s="4"/>
      <c r="E772" s="6">
        <f>E771+C772-D772</f>
      </c>
      <c r="F772" s="4"/>
    </row>
    <row x14ac:dyDescent="0.25" r="773" customHeight="1" ht="17.25">
      <c r="A773" s="7">
        <v>45961</v>
      </c>
      <c r="B773" s="9" t="s">
        <v>179</v>
      </c>
      <c r="C773" s="4"/>
      <c r="D773" s="6">
        <v>120</v>
      </c>
      <c r="E773" s="6">
        <f>E772+C773-D773</f>
      </c>
      <c r="F773" s="4"/>
    </row>
    <row x14ac:dyDescent="0.25" r="774" customHeight="1" ht="17.25">
      <c r="A774" s="7">
        <v>45961</v>
      </c>
      <c r="B774" s="9" t="s">
        <v>51</v>
      </c>
      <c r="C774" s="4"/>
      <c r="D774" s="6">
        <v>100</v>
      </c>
      <c r="E774" s="6">
        <f>E773+C774-D774</f>
      </c>
      <c r="F774" s="4"/>
    </row>
    <row x14ac:dyDescent="0.25" r="775" customHeight="1" ht="17.25">
      <c r="A775" s="7">
        <v>45961</v>
      </c>
      <c r="B775" s="9" t="s">
        <v>3</v>
      </c>
      <c r="C775" s="6">
        <v>3</v>
      </c>
      <c r="D775" s="4"/>
      <c r="E775" s="6">
        <f>E774+C775-D775</f>
      </c>
      <c r="F775" s="4"/>
    </row>
    <row x14ac:dyDescent="0.25" r="776" customHeight="1" ht="17.25">
      <c r="A776" s="7">
        <v>45961</v>
      </c>
      <c r="B776" s="9" t="s">
        <v>184</v>
      </c>
      <c r="C776" s="6">
        <v>38</v>
      </c>
      <c r="D776" s="4"/>
      <c r="E776" s="6">
        <f>E775+C776-D776</f>
      </c>
      <c r="F776" s="4"/>
    </row>
    <row x14ac:dyDescent="0.25" r="777" customHeight="1" ht="17.25">
      <c r="A777" s="7">
        <v>45962</v>
      </c>
      <c r="B777" s="9" t="s">
        <v>441</v>
      </c>
      <c r="C777" s="4"/>
      <c r="D777" s="6">
        <v>20</v>
      </c>
      <c r="E777" s="6">
        <f>E776+C777-D777</f>
      </c>
      <c r="F777" s="4"/>
    </row>
    <row x14ac:dyDescent="0.25" r="778" customHeight="1" ht="17.25">
      <c r="A778" s="7">
        <v>45964</v>
      </c>
      <c r="B778" s="9" t="s">
        <v>423</v>
      </c>
      <c r="C778" s="4"/>
      <c r="D778" s="6">
        <v>16</v>
      </c>
      <c r="E778" s="6">
        <f>E777+C778-D778</f>
      </c>
      <c r="F778" s="4"/>
    </row>
    <row x14ac:dyDescent="0.25" r="779" customHeight="1" ht="17.25">
      <c r="A779" s="7">
        <v>45964</v>
      </c>
      <c r="B779" s="9" t="s">
        <v>382</v>
      </c>
      <c r="C779" s="6">
        <v>13</v>
      </c>
      <c r="D779" s="4"/>
      <c r="E779" s="6">
        <f>E778+C779-D779</f>
      </c>
      <c r="F779" s="4"/>
    </row>
    <row x14ac:dyDescent="0.25" r="780" customHeight="1" ht="17.25">
      <c r="A780" s="7">
        <v>45965</v>
      </c>
      <c r="B780" s="9" t="s">
        <v>424</v>
      </c>
      <c r="C780" s="4"/>
      <c r="D780" s="6">
        <v>20</v>
      </c>
      <c r="E780" s="6">
        <f>E779+C780-D780</f>
      </c>
      <c r="F780" s="4"/>
    </row>
    <row x14ac:dyDescent="0.25" r="781" customHeight="1" ht="17.25">
      <c r="A781" s="7">
        <v>45965</v>
      </c>
      <c r="B781" s="9" t="s">
        <v>389</v>
      </c>
      <c r="C781" s="6">
        <v>100</v>
      </c>
      <c r="D781" s="4"/>
      <c r="E781" s="6">
        <f>E780+C781-D781</f>
      </c>
      <c r="F781" s="4"/>
    </row>
    <row x14ac:dyDescent="0.25" r="782" customHeight="1" ht="17.25">
      <c r="A782" s="7">
        <v>45965</v>
      </c>
      <c r="B782" s="9" t="s">
        <v>3</v>
      </c>
      <c r="C782" s="6">
        <v>7</v>
      </c>
      <c r="D782" s="4"/>
      <c r="E782" s="6">
        <f>E781+C782-D782</f>
      </c>
      <c r="F782" s="4"/>
    </row>
    <row x14ac:dyDescent="0.25" r="783" customHeight="1" ht="17.25">
      <c r="A783" s="7">
        <v>45966</v>
      </c>
      <c r="B783" s="9" t="s">
        <v>316</v>
      </c>
      <c r="C783" s="4"/>
      <c r="D783" s="6">
        <v>85</v>
      </c>
      <c r="E783" s="6">
        <f>E782+C783-D783</f>
      </c>
      <c r="F783" s="4"/>
    </row>
    <row x14ac:dyDescent="0.25" r="784" customHeight="1" ht="17.25">
      <c r="A784" s="7">
        <v>45966</v>
      </c>
      <c r="B784" s="9" t="s">
        <v>347</v>
      </c>
      <c r="C784" s="6">
        <v>32</v>
      </c>
      <c r="D784" s="4"/>
      <c r="E784" s="6">
        <f>E783+C784-D784</f>
      </c>
      <c r="F784" s="4"/>
    </row>
    <row x14ac:dyDescent="0.25" r="785" customHeight="1" ht="17.25">
      <c r="A785" s="8">
        <v>45966</v>
      </c>
      <c r="B785" s="9" t="s">
        <v>184</v>
      </c>
      <c r="C785" s="6">
        <v>32</v>
      </c>
      <c r="D785" s="4"/>
      <c r="E785" s="6">
        <f>E784+C785-D785</f>
      </c>
      <c r="F785" s="4"/>
    </row>
    <row x14ac:dyDescent="0.25" r="786" customHeight="1" ht="17.25">
      <c r="A786" s="8">
        <v>45966</v>
      </c>
      <c r="B786" s="9" t="s">
        <v>3</v>
      </c>
      <c r="C786" s="6">
        <v>4</v>
      </c>
      <c r="D786" s="4"/>
      <c r="E786" s="6">
        <f>E785+C786-D786</f>
      </c>
      <c r="F786" s="4"/>
    </row>
    <row x14ac:dyDescent="0.25" r="787" customHeight="1" ht="17.25">
      <c r="A787" s="7">
        <v>45967</v>
      </c>
      <c r="B787" s="9" t="s">
        <v>46</v>
      </c>
      <c r="C787" s="4"/>
      <c r="D787" s="6">
        <v>250</v>
      </c>
      <c r="E787" s="6">
        <f>E786+C787-D787</f>
      </c>
      <c r="F787" s="4"/>
    </row>
    <row x14ac:dyDescent="0.25" r="788" customHeight="1" ht="17.25">
      <c r="A788" s="7">
        <v>45967</v>
      </c>
      <c r="B788" s="9" t="s">
        <v>283</v>
      </c>
      <c r="C788" s="6">
        <v>17</v>
      </c>
      <c r="D788" s="4"/>
      <c r="E788" s="6">
        <f>E787+C788-D788</f>
      </c>
      <c r="F788" s="4"/>
    </row>
    <row x14ac:dyDescent="0.25" r="789" customHeight="1" ht="17.25">
      <c r="A789" s="7">
        <v>45968</v>
      </c>
      <c r="B789" s="9" t="s">
        <v>316</v>
      </c>
      <c r="C789" s="4"/>
      <c r="D789" s="6">
        <v>50</v>
      </c>
      <c r="E789" s="6">
        <f>E788+C789-D789</f>
      </c>
      <c r="F789" s="4"/>
    </row>
    <row x14ac:dyDescent="0.25" r="790" customHeight="1" ht="17.25">
      <c r="A790" s="7">
        <v>45968</v>
      </c>
      <c r="B790" s="9" t="s">
        <v>52</v>
      </c>
      <c r="C790" s="6">
        <v>24</v>
      </c>
      <c r="D790" s="4"/>
      <c r="E790" s="6">
        <f>E789+C790-D790</f>
      </c>
      <c r="F790" s="4"/>
    </row>
    <row x14ac:dyDescent="0.25" r="791" customHeight="1" ht="17.25">
      <c r="A791" s="7">
        <v>45968</v>
      </c>
      <c r="B791" s="9" t="s">
        <v>3</v>
      </c>
      <c r="C791" s="6">
        <v>2</v>
      </c>
      <c r="D791" s="4"/>
      <c r="E791" s="6">
        <f>E790+C791-D791</f>
      </c>
      <c r="F791" s="4"/>
    </row>
    <row x14ac:dyDescent="0.25" r="792" customHeight="1" ht="17.25">
      <c r="A792" s="7">
        <v>45968</v>
      </c>
      <c r="B792" s="9" t="s">
        <v>100</v>
      </c>
      <c r="C792" s="6">
        <v>35</v>
      </c>
      <c r="D792" s="4"/>
      <c r="E792" s="6">
        <f>E791+C792-D792</f>
      </c>
      <c r="F792" s="4"/>
    </row>
    <row x14ac:dyDescent="0.25" r="793" customHeight="1" ht="17.25">
      <c r="A793" s="7">
        <v>45969</v>
      </c>
      <c r="B793" s="9" t="s">
        <v>297</v>
      </c>
      <c r="C793" s="4"/>
      <c r="D793" s="6">
        <v>200</v>
      </c>
      <c r="E793" s="6">
        <f>E792+C793-D793</f>
      </c>
      <c r="F793" s="4"/>
    </row>
    <row x14ac:dyDescent="0.25" r="794" customHeight="1" ht="17.25">
      <c r="A794" s="7">
        <v>45969</v>
      </c>
      <c r="B794" s="9" t="s">
        <v>460</v>
      </c>
      <c r="C794" s="4"/>
      <c r="D794" s="4"/>
      <c r="E794" s="6">
        <f>E793+C794-D794</f>
      </c>
      <c r="F794" s="4"/>
    </row>
    <row x14ac:dyDescent="0.25" r="795" customHeight="1" ht="17.25">
      <c r="A795" s="7">
        <v>45969</v>
      </c>
      <c r="B795" s="9" t="s">
        <v>184</v>
      </c>
      <c r="C795" s="6">
        <v>12</v>
      </c>
      <c r="D795" s="4"/>
      <c r="E795" s="6">
        <f>E794+C795-D795</f>
      </c>
      <c r="F795" s="4"/>
    </row>
    <row x14ac:dyDescent="0.25" r="796" customHeight="1" ht="17.25">
      <c r="A796" s="7">
        <v>45971</v>
      </c>
      <c r="B796" s="9" t="s">
        <v>141</v>
      </c>
      <c r="C796" s="6">
        <v>17</v>
      </c>
      <c r="D796" s="4"/>
      <c r="E796" s="6">
        <f>E795+C796-D796</f>
      </c>
      <c r="F796" s="4"/>
    </row>
    <row x14ac:dyDescent="0.25" r="797" customHeight="1" ht="17.25">
      <c r="A797" s="7">
        <v>45971</v>
      </c>
      <c r="B797" s="9" t="s">
        <v>391</v>
      </c>
      <c r="C797" s="6">
        <v>10</v>
      </c>
      <c r="D797" s="4"/>
      <c r="E797" s="6">
        <f>E796+C797-D797</f>
      </c>
      <c r="F797" s="4"/>
    </row>
    <row x14ac:dyDescent="0.25" r="798" customHeight="1" ht="17.25">
      <c r="A798" s="7">
        <v>45972</v>
      </c>
      <c r="B798" s="9" t="s">
        <v>313</v>
      </c>
      <c r="C798" s="4"/>
      <c r="D798" s="6">
        <v>100</v>
      </c>
      <c r="E798" s="6">
        <f>E797+C798-D798</f>
      </c>
      <c r="F798" s="4"/>
    </row>
    <row x14ac:dyDescent="0.25" r="799" customHeight="1" ht="17.25">
      <c r="A799" s="8">
        <v>45973</v>
      </c>
      <c r="B799" s="9" t="s">
        <v>234</v>
      </c>
      <c r="C799" s="6">
        <v>22</v>
      </c>
      <c r="D799" s="4"/>
      <c r="E799" s="6">
        <f>E798+C799-D799</f>
      </c>
      <c r="F799" s="4"/>
    </row>
    <row x14ac:dyDescent="0.25" r="800" customHeight="1" ht="17.25">
      <c r="A800" s="7">
        <v>45974</v>
      </c>
      <c r="B800" s="9" t="s">
        <v>29</v>
      </c>
      <c r="C800" s="6">
        <v>100</v>
      </c>
      <c r="D800" s="4"/>
      <c r="E800" s="6">
        <f>E799+C800-D800</f>
      </c>
      <c r="F800" s="4"/>
    </row>
    <row x14ac:dyDescent="0.25" r="801" customHeight="1" ht="17.25">
      <c r="A801" s="7">
        <v>45974</v>
      </c>
      <c r="B801" s="9" t="s">
        <v>228</v>
      </c>
      <c r="C801" s="6">
        <v>6</v>
      </c>
      <c r="D801" s="4"/>
      <c r="E801" s="6">
        <f>E800+C801-D801</f>
      </c>
      <c r="F801" s="4"/>
    </row>
    <row x14ac:dyDescent="0.25" r="802" customHeight="1" ht="17.25">
      <c r="A802" s="7">
        <v>45975</v>
      </c>
      <c r="B802" s="9" t="s">
        <v>141</v>
      </c>
      <c r="C802" s="6">
        <v>21</v>
      </c>
      <c r="D802" s="4"/>
      <c r="E802" s="6">
        <f>E801+C802-D802</f>
      </c>
      <c r="F802" s="4"/>
    </row>
    <row x14ac:dyDescent="0.25" r="803" customHeight="1" ht="17.25">
      <c r="A803" s="7">
        <v>45975</v>
      </c>
      <c r="B803" s="9" t="s">
        <v>100</v>
      </c>
      <c r="C803" s="6">
        <v>19</v>
      </c>
      <c r="D803" s="4"/>
      <c r="E803" s="6">
        <f>E802+C803-D803</f>
      </c>
      <c r="F803" s="4"/>
    </row>
    <row x14ac:dyDescent="0.25" r="804" customHeight="1" ht="17.25">
      <c r="A804" s="7">
        <v>45976</v>
      </c>
      <c r="B804" s="9" t="s">
        <v>141</v>
      </c>
      <c r="C804" s="6">
        <v>11</v>
      </c>
      <c r="D804" s="4"/>
      <c r="E804" s="6">
        <f>E803+C804-D804</f>
      </c>
      <c r="F804" s="4"/>
    </row>
    <row x14ac:dyDescent="0.25" r="805" customHeight="1" ht="17.25">
      <c r="A805" s="7">
        <v>45976</v>
      </c>
      <c r="B805" s="9" t="s">
        <v>2</v>
      </c>
      <c r="C805" s="4"/>
      <c r="D805" s="6">
        <v>100</v>
      </c>
      <c r="E805" s="6">
        <f>E804+C805-D805</f>
      </c>
      <c r="F805" s="4"/>
    </row>
    <row x14ac:dyDescent="0.25" r="806" customHeight="1" ht="17.25">
      <c r="A806" s="7">
        <v>45979</v>
      </c>
      <c r="B806" s="9" t="s">
        <v>182</v>
      </c>
      <c r="C806" s="6">
        <v>130</v>
      </c>
      <c r="D806" s="4"/>
      <c r="E806" s="6">
        <f>E805+C806-D806</f>
      </c>
      <c r="F806" s="4"/>
    </row>
    <row x14ac:dyDescent="0.25" r="807" customHeight="1" ht="17.25">
      <c r="A807" s="7">
        <v>45979</v>
      </c>
      <c r="B807" s="9" t="s">
        <v>321</v>
      </c>
      <c r="C807" s="6">
        <v>37</v>
      </c>
      <c r="D807" s="4"/>
      <c r="E807" s="6">
        <f>E806+C807-D807</f>
      </c>
      <c r="F807" s="4"/>
    </row>
    <row x14ac:dyDescent="0.25" r="808" customHeight="1" ht="17.25">
      <c r="A808" s="8">
        <v>45980</v>
      </c>
      <c r="B808" s="9" t="s">
        <v>313</v>
      </c>
      <c r="C808" s="4"/>
      <c r="D808" s="6">
        <v>136</v>
      </c>
      <c r="E808" s="6">
        <f>E807+C808-D808</f>
      </c>
      <c r="F808" s="4"/>
    </row>
    <row x14ac:dyDescent="0.25" r="809" customHeight="1" ht="17.25">
      <c r="A809" s="7">
        <v>45980</v>
      </c>
      <c r="B809" s="9" t="s">
        <v>385</v>
      </c>
      <c r="C809" s="6">
        <v>60</v>
      </c>
      <c r="D809" s="4"/>
      <c r="E809" s="6">
        <f>E808+C809-D809</f>
      </c>
      <c r="F809" s="4"/>
    </row>
    <row x14ac:dyDescent="0.25" r="810" customHeight="1" ht="17.25">
      <c r="A810" s="7">
        <v>45981</v>
      </c>
      <c r="B810" s="9" t="s">
        <v>141</v>
      </c>
      <c r="C810" s="6">
        <v>36</v>
      </c>
      <c r="D810" s="4"/>
      <c r="E810" s="6">
        <f>E809+C810-D810</f>
      </c>
      <c r="F810" s="4"/>
    </row>
    <row x14ac:dyDescent="0.25" r="811" customHeight="1" ht="17.25">
      <c r="A811" s="7">
        <v>45982</v>
      </c>
      <c r="B811" s="9" t="s">
        <v>535</v>
      </c>
      <c r="C811" s="4"/>
      <c r="D811" s="6">
        <v>20</v>
      </c>
      <c r="E811" s="6">
        <f>E810+C811-D811</f>
      </c>
      <c r="F811" s="4"/>
    </row>
    <row x14ac:dyDescent="0.25" r="812" customHeight="1" ht="17.25">
      <c r="A812" s="7">
        <v>45982</v>
      </c>
      <c r="B812" s="9" t="s">
        <v>34</v>
      </c>
      <c r="C812" s="6">
        <v>68</v>
      </c>
      <c r="D812" s="4"/>
      <c r="E812" s="6">
        <f>E811+C812-D812</f>
      </c>
      <c r="F812" s="4"/>
    </row>
    <row x14ac:dyDescent="0.25" r="813" customHeight="1" ht="17.25">
      <c r="A813" s="7">
        <v>45982</v>
      </c>
      <c r="B813" s="9" t="s">
        <v>123</v>
      </c>
      <c r="C813" s="6">
        <v>101</v>
      </c>
      <c r="D813" s="4"/>
      <c r="E813" s="6">
        <f>E812+C813-D813</f>
      </c>
      <c r="F813" s="4"/>
    </row>
    <row x14ac:dyDescent="0.25" r="814" customHeight="1" ht="17.25">
      <c r="A814" s="7">
        <v>45983</v>
      </c>
      <c r="B814" s="9" t="s">
        <v>462</v>
      </c>
      <c r="C814" s="4"/>
      <c r="D814" s="6">
        <v>10</v>
      </c>
      <c r="E814" s="6">
        <f>E813+C814-D814</f>
      </c>
      <c r="F814" s="4"/>
    </row>
    <row x14ac:dyDescent="0.25" r="815" customHeight="1" ht="17.25">
      <c r="A815" s="7">
        <v>45983</v>
      </c>
      <c r="B815" s="9" t="s">
        <v>34</v>
      </c>
      <c r="C815" s="6">
        <v>30</v>
      </c>
      <c r="D815" s="4"/>
      <c r="E815" s="6">
        <f>E814+C815-D815</f>
      </c>
      <c r="F815" s="4"/>
    </row>
    <row x14ac:dyDescent="0.25" r="816" customHeight="1" ht="17.25">
      <c r="A816" s="7">
        <v>45985</v>
      </c>
      <c r="B816" s="9" t="s">
        <v>286</v>
      </c>
      <c r="C816" s="4"/>
      <c r="D816" s="6">
        <v>129</v>
      </c>
      <c r="E816" s="6">
        <f>E815+C816-D816</f>
      </c>
      <c r="F816" s="4"/>
    </row>
    <row x14ac:dyDescent="0.25" r="817" customHeight="1" ht="17.25">
      <c r="A817" s="7">
        <v>45985</v>
      </c>
      <c r="B817" s="9" t="s">
        <v>265</v>
      </c>
      <c r="C817" s="6">
        <v>27</v>
      </c>
      <c r="D817" s="4"/>
      <c r="E817" s="6">
        <f>E816+C817-D817</f>
      </c>
      <c r="F817" s="4"/>
    </row>
    <row x14ac:dyDescent="0.25" r="818" customHeight="1" ht="17.25">
      <c r="A818" s="7">
        <v>45985</v>
      </c>
      <c r="B818" s="9" t="s">
        <v>29</v>
      </c>
      <c r="C818" s="6">
        <v>282</v>
      </c>
      <c r="D818" s="4"/>
      <c r="E818" s="6">
        <f>E817+C818-D818</f>
      </c>
      <c r="F818" s="4"/>
    </row>
    <row x14ac:dyDescent="0.25" r="819" customHeight="1" ht="17.25">
      <c r="A819" s="7">
        <v>45985</v>
      </c>
      <c r="B819" s="9" t="s">
        <v>182</v>
      </c>
      <c r="C819" s="6">
        <v>86</v>
      </c>
      <c r="D819" s="4"/>
      <c r="E819" s="6">
        <f>E818+C819-D819</f>
      </c>
      <c r="F819" s="4"/>
    </row>
    <row x14ac:dyDescent="0.25" r="820" customHeight="1" ht="17.25">
      <c r="A820" s="7">
        <v>45985</v>
      </c>
      <c r="B820" s="9" t="s">
        <v>228</v>
      </c>
      <c r="C820" s="6">
        <v>15</v>
      </c>
      <c r="D820" s="4"/>
      <c r="E820" s="6">
        <f>E819+C820-D820</f>
      </c>
      <c r="F820" s="4"/>
    </row>
    <row x14ac:dyDescent="0.25" r="821" customHeight="1" ht="17.25">
      <c r="A821" s="7">
        <v>45986</v>
      </c>
      <c r="B821" s="9" t="s">
        <v>316</v>
      </c>
      <c r="C821" s="4"/>
      <c r="D821" s="6">
        <v>100</v>
      </c>
      <c r="E821" s="6">
        <f>E820+C821-D821</f>
      </c>
      <c r="F821" s="4"/>
    </row>
    <row x14ac:dyDescent="0.25" r="822" customHeight="1" ht="17.25">
      <c r="A822" s="7">
        <v>45986</v>
      </c>
      <c r="B822" s="9" t="s">
        <v>391</v>
      </c>
      <c r="C822" s="6">
        <v>22</v>
      </c>
      <c r="D822" s="4"/>
      <c r="E822" s="6">
        <f>E821+C822-D822</f>
      </c>
      <c r="F822" s="4"/>
    </row>
    <row x14ac:dyDescent="0.25" r="823" customHeight="1" ht="17.25">
      <c r="A823" s="7">
        <v>45987</v>
      </c>
      <c r="B823" s="9" t="s">
        <v>2</v>
      </c>
      <c r="C823" s="4"/>
      <c r="D823" s="6">
        <v>50</v>
      </c>
      <c r="E823" s="6">
        <f>E822+C823-D823</f>
      </c>
      <c r="F823" s="4"/>
    </row>
    <row x14ac:dyDescent="0.25" r="824" customHeight="1" ht="17.25">
      <c r="A824" s="7">
        <v>45987</v>
      </c>
      <c r="B824" s="9" t="s">
        <v>621</v>
      </c>
      <c r="C824" s="6">
        <v>6</v>
      </c>
      <c r="D824" s="4"/>
      <c r="E824" s="6">
        <f>E823+C824-D824</f>
      </c>
      <c r="F824" s="4"/>
    </row>
    <row x14ac:dyDescent="0.25" r="825" customHeight="1" ht="17.25">
      <c r="A825" s="7">
        <v>45987</v>
      </c>
      <c r="B825" s="9" t="s">
        <v>347</v>
      </c>
      <c r="C825" s="6">
        <v>26</v>
      </c>
      <c r="D825" s="4"/>
      <c r="E825" s="6">
        <f>E824+C825-D825</f>
      </c>
      <c r="F825" s="4"/>
    </row>
    <row x14ac:dyDescent="0.25" r="826" customHeight="1" ht="17.25">
      <c r="A826" s="7">
        <v>45987</v>
      </c>
      <c r="B826" s="9" t="s">
        <v>228</v>
      </c>
      <c r="C826" s="6">
        <v>33</v>
      </c>
      <c r="D826" s="4"/>
      <c r="E826" s="6">
        <f>E825+C826-D826</f>
      </c>
      <c r="F826" s="4"/>
    </row>
    <row x14ac:dyDescent="0.25" r="827" customHeight="1" ht="17.25">
      <c r="A827" s="7">
        <v>45988</v>
      </c>
      <c r="B827" s="9" t="s">
        <v>283</v>
      </c>
      <c r="C827" s="6">
        <v>48</v>
      </c>
      <c r="D827" s="4"/>
      <c r="E827" s="6">
        <f>E826+C827-D827</f>
      </c>
      <c r="F827" s="4"/>
    </row>
    <row x14ac:dyDescent="0.25" r="828" customHeight="1" ht="17.25">
      <c r="A828" s="7">
        <v>45988</v>
      </c>
      <c r="B828" s="9" t="s">
        <v>315</v>
      </c>
      <c r="C828" s="6">
        <v>85</v>
      </c>
      <c r="D828" s="4"/>
      <c r="E828" s="6">
        <f>E827+C828-D828</f>
      </c>
      <c r="F828" s="4"/>
    </row>
    <row x14ac:dyDescent="0.25" r="829" customHeight="1" ht="17.25">
      <c r="A829" s="8">
        <v>45988</v>
      </c>
      <c r="B829" s="9" t="s">
        <v>3</v>
      </c>
      <c r="C829" s="6">
        <v>2</v>
      </c>
      <c r="D829" s="4"/>
      <c r="E829" s="6">
        <f>E828+C829-D829</f>
      </c>
      <c r="F829" s="4"/>
    </row>
    <row x14ac:dyDescent="0.25" r="830" customHeight="1" ht="17.25">
      <c r="A830" s="7">
        <v>45989</v>
      </c>
      <c r="B830" s="9" t="s">
        <v>316</v>
      </c>
      <c r="C830" s="4"/>
      <c r="D830" s="6">
        <v>100</v>
      </c>
      <c r="E830" s="6">
        <f>E829+C830-D830</f>
      </c>
      <c r="F830" s="4"/>
    </row>
    <row x14ac:dyDescent="0.25" r="831" customHeight="1" ht="17.25">
      <c r="A831" s="7">
        <v>45989</v>
      </c>
      <c r="B831" s="9" t="s">
        <v>618</v>
      </c>
      <c r="C831" s="4"/>
      <c r="D831" s="6">
        <v>93</v>
      </c>
      <c r="E831" s="6">
        <f>E830+C831-D831</f>
      </c>
      <c r="F831" s="4"/>
    </row>
    <row x14ac:dyDescent="0.25" r="832" customHeight="1" ht="17.25">
      <c r="A832" s="7">
        <v>45989</v>
      </c>
      <c r="B832" s="9" t="s">
        <v>403</v>
      </c>
      <c r="C832" s="4"/>
      <c r="D832" s="6">
        <v>95</v>
      </c>
      <c r="E832" s="6">
        <f>E831+C832-D832</f>
      </c>
      <c r="F832" s="4"/>
    </row>
    <row x14ac:dyDescent="0.25" r="833" customHeight="1" ht="17.25">
      <c r="A833" s="7">
        <v>45990</v>
      </c>
      <c r="B833" s="9" t="s">
        <v>289</v>
      </c>
      <c r="C833" s="4"/>
      <c r="D833" s="6">
        <v>85</v>
      </c>
      <c r="E833" s="6">
        <f>E832+C833-D833</f>
      </c>
      <c r="F833" s="4"/>
    </row>
    <row x14ac:dyDescent="0.25" r="834" customHeight="1" ht="17.25">
      <c r="A834" s="7">
        <v>45990</v>
      </c>
      <c r="B834" s="9" t="s">
        <v>228</v>
      </c>
      <c r="C834" s="6">
        <v>43</v>
      </c>
      <c r="D834" s="4"/>
      <c r="E834" s="6">
        <f>E833+C834-D834</f>
      </c>
      <c r="F834" s="4"/>
    </row>
    <row x14ac:dyDescent="0.25" r="835" customHeight="1" ht="17.25">
      <c r="A835" s="7">
        <v>45992</v>
      </c>
      <c r="B835" s="9" t="s">
        <v>54</v>
      </c>
      <c r="C835" s="4"/>
      <c r="D835" s="6">
        <v>285</v>
      </c>
      <c r="E835" s="6">
        <f>E834+C835-D835</f>
      </c>
      <c r="F835" s="4"/>
    </row>
    <row x14ac:dyDescent="0.25" r="836" customHeight="1" ht="17.25">
      <c r="A836" s="7">
        <v>45992</v>
      </c>
      <c r="B836" s="9" t="s">
        <v>424</v>
      </c>
      <c r="C836" s="4"/>
      <c r="D836" s="6">
        <v>40</v>
      </c>
      <c r="E836" s="6">
        <f>E835+C836-D836</f>
      </c>
      <c r="F836" s="4"/>
    </row>
    <row x14ac:dyDescent="0.25" r="837" customHeight="1" ht="17.25">
      <c r="A837" s="8">
        <v>45992</v>
      </c>
      <c r="B837" s="9" t="s">
        <v>185</v>
      </c>
      <c r="C837" s="4"/>
      <c r="D837" s="6">
        <v>150</v>
      </c>
      <c r="E837" s="6">
        <f>E836+C837-D837</f>
      </c>
      <c r="F837" s="4"/>
    </row>
    <row x14ac:dyDescent="0.25" r="838" customHeight="1" ht="17.25">
      <c r="A838" s="7">
        <v>45992</v>
      </c>
      <c r="B838" s="9" t="s">
        <v>228</v>
      </c>
      <c r="C838" s="6">
        <v>20</v>
      </c>
      <c r="D838" s="4"/>
      <c r="E838" s="6">
        <f>E837+C838-D838</f>
      </c>
      <c r="F838" s="4"/>
    </row>
    <row x14ac:dyDescent="0.25" r="839" customHeight="1" ht="17.25">
      <c r="A839" s="7">
        <v>45993</v>
      </c>
      <c r="B839" s="9" t="s">
        <v>460</v>
      </c>
      <c r="C839" s="4"/>
      <c r="D839" s="6">
        <v>51</v>
      </c>
      <c r="E839" s="6">
        <f>E838+C839-D839</f>
      </c>
      <c r="F839" s="4"/>
    </row>
    <row x14ac:dyDescent="0.25" r="840" customHeight="1" ht="17.25">
      <c r="A840" s="7">
        <v>45993</v>
      </c>
      <c r="B840" s="9" t="s">
        <v>141</v>
      </c>
      <c r="C840" s="4"/>
      <c r="D840" s="6">
        <v>48</v>
      </c>
      <c r="E840" s="6">
        <f>E839+C840-D840</f>
      </c>
      <c r="F840" s="4"/>
    </row>
    <row x14ac:dyDescent="0.25" r="841" customHeight="1" ht="17.25">
      <c r="A841" s="7">
        <v>45993</v>
      </c>
      <c r="B841" s="9" t="s">
        <v>535</v>
      </c>
      <c r="C841" s="4"/>
      <c r="D841" s="6">
        <v>150</v>
      </c>
      <c r="E841" s="6">
        <f>E840+C841-D841</f>
      </c>
      <c r="F841" s="4"/>
    </row>
    <row x14ac:dyDescent="0.25" r="842" customHeight="1" ht="17.25">
      <c r="A842" s="7">
        <v>45993</v>
      </c>
      <c r="B842" s="9" t="s">
        <v>315</v>
      </c>
      <c r="C842" s="6">
        <v>26</v>
      </c>
      <c r="D842" s="4"/>
      <c r="E842" s="6">
        <f>E841+C842-D842</f>
      </c>
      <c r="F842" s="4"/>
    </row>
    <row x14ac:dyDescent="0.25" r="843" customHeight="1" ht="17.25">
      <c r="A843" s="7">
        <v>45994</v>
      </c>
      <c r="B843" s="9" t="s">
        <v>313</v>
      </c>
      <c r="C843" s="4"/>
      <c r="D843" s="6">
        <v>25</v>
      </c>
      <c r="E843" s="6">
        <f>E842+C843-D843</f>
      </c>
      <c r="F843" s="4"/>
    </row>
    <row x14ac:dyDescent="0.25" r="844" customHeight="1" ht="17.25">
      <c r="A844" s="7">
        <v>45994</v>
      </c>
      <c r="B844" s="9" t="s">
        <v>63</v>
      </c>
      <c r="C844" s="6">
        <v>107</v>
      </c>
      <c r="D844" s="4"/>
      <c r="E844" s="6">
        <f>E843+C844-D844</f>
      </c>
      <c r="F844" s="4"/>
    </row>
    <row x14ac:dyDescent="0.25" r="845" customHeight="1" ht="17.25">
      <c r="A845" s="7">
        <v>45994</v>
      </c>
      <c r="B845" s="9" t="s">
        <v>63</v>
      </c>
      <c r="C845" s="6">
        <v>43</v>
      </c>
      <c r="D845" s="4"/>
      <c r="E845" s="6">
        <f>E844+C845-D845</f>
      </c>
      <c r="F845" s="4"/>
    </row>
    <row x14ac:dyDescent="0.25" r="846" customHeight="1" ht="17.25">
      <c r="A846" s="7">
        <v>45994</v>
      </c>
      <c r="B846" s="9" t="s">
        <v>63</v>
      </c>
      <c r="C846" s="6">
        <v>200</v>
      </c>
      <c r="D846" s="4"/>
      <c r="E846" s="6">
        <f>E845+C846-D846</f>
      </c>
      <c r="F846" s="4"/>
    </row>
    <row x14ac:dyDescent="0.25" r="847" customHeight="1" ht="17.25">
      <c r="A847" s="7">
        <v>45994</v>
      </c>
      <c r="B847" s="9" t="s">
        <v>26</v>
      </c>
      <c r="C847" s="4"/>
      <c r="D847" s="6">
        <v>200</v>
      </c>
      <c r="E847" s="6">
        <f>E846+C847-D847</f>
      </c>
      <c r="F847" s="4"/>
    </row>
    <row x14ac:dyDescent="0.25" r="848" customHeight="1" ht="17.25">
      <c r="A848" s="7">
        <v>45994</v>
      </c>
      <c r="B848" s="9" t="s">
        <v>2</v>
      </c>
      <c r="C848" s="4"/>
      <c r="D848" s="6">
        <v>70</v>
      </c>
      <c r="E848" s="6">
        <f>E847+C848-D848</f>
      </c>
      <c r="F848" s="4"/>
    </row>
    <row x14ac:dyDescent="0.25" r="849" customHeight="1" ht="17.25">
      <c r="A849" s="7">
        <v>45994</v>
      </c>
      <c r="B849" s="9" t="s">
        <v>460</v>
      </c>
      <c r="C849" s="4"/>
      <c r="D849" s="6">
        <v>9</v>
      </c>
      <c r="E849" s="6">
        <f>E848+C849-D849</f>
      </c>
      <c r="F849" s="4"/>
    </row>
    <row x14ac:dyDescent="0.25" r="850" customHeight="1" ht="17.25">
      <c r="A850" s="7">
        <v>45994</v>
      </c>
      <c r="B850" s="9" t="s">
        <v>402</v>
      </c>
      <c r="C850" s="4"/>
      <c r="D850" s="6">
        <v>50</v>
      </c>
      <c r="E850" s="6">
        <f>E849+C850-D850</f>
      </c>
      <c r="F850" s="4"/>
    </row>
    <row x14ac:dyDescent="0.25" r="851" customHeight="1" ht="17.25">
      <c r="A851" s="7">
        <v>45994</v>
      </c>
      <c r="B851" s="9" t="s">
        <v>123</v>
      </c>
      <c r="C851" s="6">
        <v>49</v>
      </c>
      <c r="D851" s="4"/>
      <c r="E851" s="6">
        <f>E850+C851-D851</f>
      </c>
      <c r="F851" s="4"/>
    </row>
    <row x14ac:dyDescent="0.25" r="852" customHeight="1" ht="17.25">
      <c r="A852" s="7">
        <v>45994</v>
      </c>
      <c r="B852" s="9" t="s">
        <v>34</v>
      </c>
      <c r="C852" s="6">
        <v>42</v>
      </c>
      <c r="D852" s="4"/>
      <c r="E852" s="6">
        <f>E851+C852-D852</f>
      </c>
      <c r="F852" s="4"/>
    </row>
    <row x14ac:dyDescent="0.25" r="853" customHeight="1" ht="17.25">
      <c r="A853" s="7">
        <v>45994</v>
      </c>
      <c r="B853" s="9" t="s">
        <v>3</v>
      </c>
      <c r="C853" s="6">
        <v>9</v>
      </c>
      <c r="D853" s="4"/>
      <c r="E853" s="6">
        <f>E852+C853-D853</f>
      </c>
      <c r="F853" s="4"/>
    </row>
    <row x14ac:dyDescent="0.25" r="854" customHeight="1" ht="17.25">
      <c r="A854" s="7">
        <v>45994</v>
      </c>
      <c r="B854" s="9" t="s">
        <v>391</v>
      </c>
      <c r="C854" s="6">
        <v>24</v>
      </c>
      <c r="D854" s="4"/>
      <c r="E854" s="6">
        <f>E853+C854-D854</f>
      </c>
      <c r="F854" s="4"/>
    </row>
    <row x14ac:dyDescent="0.25" r="855" customHeight="1" ht="17.25">
      <c r="A855" s="7">
        <v>45994</v>
      </c>
      <c r="B855" s="9" t="s">
        <v>141</v>
      </c>
      <c r="C855" s="6">
        <v>18</v>
      </c>
      <c r="D855" s="4"/>
      <c r="E855" s="6">
        <f>E854+C855-D855</f>
      </c>
      <c r="F855" s="4"/>
    </row>
    <row x14ac:dyDescent="0.25" r="856" customHeight="1" ht="17.25">
      <c r="A856" s="7">
        <v>45995</v>
      </c>
      <c r="B856" s="9" t="s">
        <v>313</v>
      </c>
      <c r="C856" s="4"/>
      <c r="D856" s="6">
        <v>26</v>
      </c>
      <c r="E856" s="6">
        <f>E855+C856-D856</f>
      </c>
      <c r="F856" s="4"/>
    </row>
    <row x14ac:dyDescent="0.25" r="857" customHeight="1" ht="17.25">
      <c r="A857" s="7">
        <v>45995</v>
      </c>
      <c r="B857" s="9" t="s">
        <v>316</v>
      </c>
      <c r="C857" s="4"/>
      <c r="D857" s="6">
        <v>60</v>
      </c>
      <c r="E857" s="6">
        <f>E856+C857-D857</f>
      </c>
      <c r="F857" s="4"/>
    </row>
    <row x14ac:dyDescent="0.25" r="858" customHeight="1" ht="17.25">
      <c r="A858" s="7">
        <v>45995</v>
      </c>
      <c r="B858" s="9" t="s">
        <v>402</v>
      </c>
      <c r="C858" s="4"/>
      <c r="D858" s="6">
        <v>50</v>
      </c>
      <c r="E858" s="6">
        <f>E857+C858-D858</f>
      </c>
      <c r="F858" s="4"/>
    </row>
    <row x14ac:dyDescent="0.25" r="859" customHeight="1" ht="17.25">
      <c r="A859" s="7">
        <v>45995</v>
      </c>
      <c r="B859" s="9" t="s">
        <v>34</v>
      </c>
      <c r="C859" s="6">
        <v>10</v>
      </c>
      <c r="D859" s="4"/>
      <c r="E859" s="6">
        <f>E858+C859-D859</f>
      </c>
      <c r="F859" s="4"/>
    </row>
    <row x14ac:dyDescent="0.25" r="860" customHeight="1" ht="17.25">
      <c r="A860" s="7">
        <v>45995</v>
      </c>
      <c r="B860" s="9" t="s">
        <v>310</v>
      </c>
      <c r="C860" s="6">
        <v>60</v>
      </c>
      <c r="D860" s="4"/>
      <c r="E860" s="6">
        <f>E859+C860-D860</f>
      </c>
      <c r="F860" s="4"/>
    </row>
    <row x14ac:dyDescent="0.25" r="861" customHeight="1" ht="17.25">
      <c r="A861" s="7">
        <v>45996</v>
      </c>
      <c r="B861" s="9" t="s">
        <v>313</v>
      </c>
      <c r="C861" s="4"/>
      <c r="D861" s="6">
        <v>50</v>
      </c>
      <c r="E861" s="6">
        <f>E860+C861-D861</f>
      </c>
      <c r="F861" s="4"/>
    </row>
    <row x14ac:dyDescent="0.25" r="862" customHeight="1" ht="17.25">
      <c r="A862" s="7">
        <v>45996</v>
      </c>
      <c r="B862" s="9" t="s">
        <v>316</v>
      </c>
      <c r="C862" s="4"/>
      <c r="D862" s="6">
        <v>40</v>
      </c>
      <c r="E862" s="6">
        <f>E861+C862-D862</f>
      </c>
      <c r="F862" s="4"/>
    </row>
    <row x14ac:dyDescent="0.25" r="863" customHeight="1" ht="17.25">
      <c r="A863" s="7">
        <v>45996</v>
      </c>
      <c r="B863" s="9" t="s">
        <v>297</v>
      </c>
      <c r="C863" s="6">
        <v>84</v>
      </c>
      <c r="D863" s="4"/>
      <c r="E863" s="6">
        <f>E862+C863-D863</f>
      </c>
      <c r="F863" s="4"/>
    </row>
    <row x14ac:dyDescent="0.25" r="864" customHeight="1" ht="17.25">
      <c r="A864" s="7">
        <v>45996</v>
      </c>
      <c r="B864" s="9" t="s">
        <v>228</v>
      </c>
      <c r="C864" s="6">
        <v>16</v>
      </c>
      <c r="D864" s="4"/>
      <c r="E864" s="6">
        <f>E863+C864-D864</f>
      </c>
      <c r="F864" s="4"/>
    </row>
    <row x14ac:dyDescent="0.25" r="865" customHeight="1" ht="17.25">
      <c r="A865" s="7">
        <v>45996</v>
      </c>
      <c r="B865" s="9" t="s">
        <v>228</v>
      </c>
      <c r="C865" s="6">
        <v>13</v>
      </c>
      <c r="D865" s="4"/>
      <c r="E865" s="6">
        <f>E864+C865-D865</f>
      </c>
      <c r="F865" s="4"/>
    </row>
    <row x14ac:dyDescent="0.25" r="866" customHeight="1" ht="17.25">
      <c r="A866" s="7">
        <v>45997</v>
      </c>
      <c r="B866" s="9" t="s">
        <v>535</v>
      </c>
      <c r="C866" s="4"/>
      <c r="D866" s="6">
        <v>90</v>
      </c>
      <c r="E866" s="6">
        <f>E865+C866-D866</f>
      </c>
      <c r="F866" s="4"/>
    </row>
    <row x14ac:dyDescent="0.25" r="867" customHeight="1" ht="17.25">
      <c r="A867" s="1"/>
      <c r="B867" s="2"/>
      <c r="C867" s="4"/>
      <c r="D867" s="4"/>
      <c r="E867" s="6">
        <f>E866+C867-D867</f>
      </c>
      <c r="F867" s="4"/>
    </row>
    <row x14ac:dyDescent="0.25" r="868" customHeight="1" ht="17.25">
      <c r="A868" s="1"/>
      <c r="B868" s="9" t="s">
        <v>622</v>
      </c>
      <c r="C868" s="4"/>
      <c r="D868" s="4"/>
      <c r="E868" s="6">
        <v>88</v>
      </c>
      <c r="F868" s="4"/>
    </row>
    <row x14ac:dyDescent="0.25" r="869" customHeight="1" ht="17.25">
      <c r="A869" s="7">
        <v>45999</v>
      </c>
      <c r="B869" s="9" t="s">
        <v>56</v>
      </c>
      <c r="C869" s="4"/>
      <c r="D869" s="6">
        <v>26</v>
      </c>
      <c r="E869" s="6">
        <f>E868+C869-D869</f>
      </c>
      <c r="F869" s="4"/>
    </row>
    <row x14ac:dyDescent="0.25" r="870" customHeight="1" ht="17.25">
      <c r="A870" s="7">
        <v>45999</v>
      </c>
      <c r="B870" s="9" t="s">
        <v>517</v>
      </c>
      <c r="C870" s="6">
        <v>23</v>
      </c>
      <c r="D870" s="4"/>
      <c r="E870" s="6">
        <f>E869+C870-D870</f>
      </c>
      <c r="F870" s="4"/>
    </row>
    <row x14ac:dyDescent="0.25" r="871" customHeight="1" ht="17.25">
      <c r="A871" s="7">
        <v>46000</v>
      </c>
      <c r="B871" s="9" t="s">
        <v>63</v>
      </c>
      <c r="C871" s="6">
        <v>176</v>
      </c>
      <c r="D871" s="4"/>
      <c r="E871" s="6">
        <f>E870+C871-D871</f>
      </c>
      <c r="F871" s="4"/>
    </row>
    <row x14ac:dyDescent="0.25" r="872" customHeight="1" ht="17.25">
      <c r="A872" s="7">
        <v>46000</v>
      </c>
      <c r="B872" s="9" t="s">
        <v>369</v>
      </c>
      <c r="C872" s="6">
        <v>28</v>
      </c>
      <c r="D872" s="4"/>
      <c r="E872" s="6">
        <f>E871+C872-D872</f>
      </c>
      <c r="F872" s="4"/>
    </row>
    <row x14ac:dyDescent="0.25" r="873" customHeight="1" ht="17.25">
      <c r="A873" s="7">
        <v>46000</v>
      </c>
      <c r="B873" s="9" t="s">
        <v>228</v>
      </c>
      <c r="C873" s="6">
        <v>19</v>
      </c>
      <c r="D873" s="4"/>
      <c r="E873" s="6">
        <f>E872+C873-D873</f>
      </c>
      <c r="F873" s="4"/>
    </row>
    <row x14ac:dyDescent="0.25" r="874" customHeight="1" ht="17.25">
      <c r="A874" s="7">
        <v>46000</v>
      </c>
      <c r="B874" s="9" t="s">
        <v>535</v>
      </c>
      <c r="C874" s="4"/>
      <c r="D874" s="6">
        <v>60</v>
      </c>
      <c r="E874" s="6">
        <f>E873+C874-D874</f>
      </c>
      <c r="F874" s="4"/>
    </row>
    <row x14ac:dyDescent="0.25" r="875" customHeight="1" ht="17.25">
      <c r="A875" s="7">
        <v>46000</v>
      </c>
      <c r="B875" s="9" t="s">
        <v>54</v>
      </c>
      <c r="C875" s="4"/>
      <c r="D875" s="6">
        <v>100</v>
      </c>
      <c r="E875" s="6">
        <f>E874+C875-D875</f>
      </c>
      <c r="F875" s="4"/>
    </row>
    <row x14ac:dyDescent="0.25" r="876" customHeight="1" ht="17.25">
      <c r="A876" s="7">
        <v>46000</v>
      </c>
      <c r="B876" s="9" t="s">
        <v>569</v>
      </c>
      <c r="C876" s="4"/>
      <c r="D876" s="6">
        <v>52</v>
      </c>
      <c r="E876" s="6">
        <f>E875+C876-D876</f>
      </c>
      <c r="F876" s="4"/>
    </row>
    <row x14ac:dyDescent="0.25" r="877" customHeight="1" ht="17.25">
      <c r="A877" s="7">
        <v>46001</v>
      </c>
      <c r="B877" s="9" t="s">
        <v>316</v>
      </c>
      <c r="C877" s="4"/>
      <c r="D877" s="6">
        <v>75</v>
      </c>
      <c r="E877" s="6">
        <f>E876+C877-D877</f>
      </c>
      <c r="F877" s="4"/>
    </row>
    <row x14ac:dyDescent="0.25" r="878" customHeight="1" ht="17.25">
      <c r="A878" s="7">
        <v>46001</v>
      </c>
      <c r="B878" s="9" t="s">
        <v>63</v>
      </c>
      <c r="C878" s="6">
        <v>100</v>
      </c>
      <c r="D878" s="4"/>
      <c r="E878" s="6">
        <f>E877+C878-D878</f>
      </c>
      <c r="F878" s="4"/>
    </row>
    <row x14ac:dyDescent="0.25" r="879" customHeight="1" ht="17.25">
      <c r="A879" s="7">
        <v>46001</v>
      </c>
      <c r="B879" s="9" t="s">
        <v>321</v>
      </c>
      <c r="C879" s="6">
        <v>37</v>
      </c>
      <c r="D879" s="4"/>
      <c r="E879" s="6">
        <f>E878+C879-D879</f>
      </c>
      <c r="F879" s="4"/>
    </row>
    <row x14ac:dyDescent="0.25" r="880" customHeight="1" ht="17.25">
      <c r="A880" s="7">
        <v>46002</v>
      </c>
      <c r="B880" s="9" t="s">
        <v>289</v>
      </c>
      <c r="C880" s="4"/>
      <c r="D880" s="6">
        <v>100</v>
      </c>
      <c r="E880" s="6">
        <f>E879+C880-D880</f>
      </c>
      <c r="F880" s="4"/>
    </row>
    <row x14ac:dyDescent="0.25" r="881" customHeight="1" ht="17.25">
      <c r="A881" s="7">
        <v>46002</v>
      </c>
      <c r="B881" s="9" t="s">
        <v>54</v>
      </c>
      <c r="C881" s="4"/>
      <c r="D881" s="6">
        <v>54</v>
      </c>
      <c r="E881" s="6">
        <f>E880+C881-D881</f>
      </c>
      <c r="F881" s="4"/>
    </row>
    <row x14ac:dyDescent="0.25" r="882" customHeight="1" ht="17.25">
      <c r="A882" s="7">
        <v>46002</v>
      </c>
      <c r="B882" s="9" t="s">
        <v>289</v>
      </c>
      <c r="C882" s="6">
        <v>87</v>
      </c>
      <c r="D882" s="4"/>
      <c r="E882" s="6">
        <f>E881+C882-D882</f>
      </c>
      <c r="F882" s="4"/>
    </row>
    <row x14ac:dyDescent="0.25" r="883" customHeight="1" ht="17.25">
      <c r="A883" s="7">
        <v>46002</v>
      </c>
      <c r="B883" s="9" t="s">
        <v>316</v>
      </c>
      <c r="C883" s="4"/>
      <c r="D883" s="6">
        <v>92</v>
      </c>
      <c r="E883" s="6">
        <f>E882+C883-D883</f>
      </c>
      <c r="F883" s="4"/>
    </row>
    <row x14ac:dyDescent="0.25" r="884" customHeight="1" ht="17.25">
      <c r="A884" s="7">
        <v>46002</v>
      </c>
      <c r="B884" s="9" t="s">
        <v>63</v>
      </c>
      <c r="C884" s="6">
        <v>150</v>
      </c>
      <c r="D884" s="4"/>
      <c r="E884" s="6">
        <f>E883+C884-D884</f>
      </c>
      <c r="F884" s="4"/>
    </row>
    <row x14ac:dyDescent="0.25" r="885" customHeight="1" ht="17.25">
      <c r="A885" s="7">
        <v>46002</v>
      </c>
      <c r="B885" s="9" t="s">
        <v>304</v>
      </c>
      <c r="C885" s="4"/>
      <c r="D885" s="6">
        <v>81</v>
      </c>
      <c r="E885" s="6">
        <f>E884+C885-D885</f>
      </c>
      <c r="F885" s="4"/>
    </row>
    <row x14ac:dyDescent="0.25" r="886" customHeight="1" ht="17.25">
      <c r="A886" s="7">
        <v>46002</v>
      </c>
      <c r="B886" s="9" t="s">
        <v>4</v>
      </c>
      <c r="C886" s="6">
        <v>82</v>
      </c>
      <c r="D886" s="4"/>
      <c r="E886" s="6">
        <f>E885+C886-D886</f>
      </c>
      <c r="F886" s="4"/>
    </row>
    <row x14ac:dyDescent="0.25" r="887" customHeight="1" ht="17.25">
      <c r="A887" s="7">
        <v>46003</v>
      </c>
      <c r="B887" s="9" t="s">
        <v>63</v>
      </c>
      <c r="C887" s="6">
        <v>160</v>
      </c>
      <c r="D887" s="4"/>
      <c r="E887" s="6">
        <f>E886+C887-D887</f>
      </c>
      <c r="F887" s="4"/>
    </row>
    <row x14ac:dyDescent="0.25" r="888" customHeight="1" ht="17.25">
      <c r="A888" s="7">
        <v>46003</v>
      </c>
      <c r="B888" s="9" t="s">
        <v>316</v>
      </c>
      <c r="C888" s="4"/>
      <c r="D888" s="6">
        <v>94</v>
      </c>
      <c r="E888" s="6">
        <f>E887+C888-D888</f>
      </c>
      <c r="F888" s="4"/>
    </row>
    <row x14ac:dyDescent="0.25" r="889" customHeight="1" ht="17.25">
      <c r="A889" s="7">
        <v>46003</v>
      </c>
      <c r="B889" s="9" t="s">
        <v>304</v>
      </c>
      <c r="C889" s="4"/>
      <c r="D889" s="6">
        <v>27</v>
      </c>
      <c r="E889" s="6">
        <f>E888+C889-D889</f>
      </c>
      <c r="F889" s="4"/>
    </row>
    <row x14ac:dyDescent="0.25" r="890" customHeight="1" ht="17.25">
      <c r="A890" s="7">
        <v>46003</v>
      </c>
      <c r="B890" s="9" t="s">
        <v>402</v>
      </c>
      <c r="C890" s="4"/>
      <c r="D890" s="6">
        <v>50</v>
      </c>
      <c r="E890" s="6">
        <f>E889+C890-D890</f>
      </c>
      <c r="F890" s="4"/>
    </row>
    <row x14ac:dyDescent="0.25" r="891" customHeight="1" ht="17.25">
      <c r="A891" s="7">
        <v>46003</v>
      </c>
      <c r="B891" s="9" t="s">
        <v>46</v>
      </c>
      <c r="C891" s="4"/>
      <c r="D891" s="6">
        <v>50</v>
      </c>
      <c r="E891" s="6">
        <f>E890+C891-D891</f>
      </c>
      <c r="F891" s="4"/>
    </row>
    <row x14ac:dyDescent="0.25" r="892" customHeight="1" ht="17.25">
      <c r="A892" s="7">
        <v>46004</v>
      </c>
      <c r="B892" s="9" t="s">
        <v>63</v>
      </c>
      <c r="C892" s="6">
        <v>90</v>
      </c>
      <c r="D892" s="4"/>
      <c r="E892" s="6">
        <f>E891+C892-D892</f>
      </c>
      <c r="F892" s="4"/>
    </row>
    <row x14ac:dyDescent="0.25" r="893" customHeight="1" ht="17.25">
      <c r="A893" s="7">
        <v>46004</v>
      </c>
      <c r="B893" s="9" t="s">
        <v>233</v>
      </c>
      <c r="C893" s="4"/>
      <c r="D893" s="6">
        <v>100</v>
      </c>
      <c r="E893" s="6">
        <f>E892+C893-D893</f>
      </c>
      <c r="F893" s="4"/>
    </row>
    <row x14ac:dyDescent="0.25" r="894" customHeight="1" ht="17.25">
      <c r="A894" s="7">
        <v>46004</v>
      </c>
      <c r="B894" s="9" t="s">
        <v>297</v>
      </c>
      <c r="C894" s="6">
        <v>84</v>
      </c>
      <c r="D894" s="4"/>
      <c r="E894" s="6">
        <f>E893+C894-D894</f>
      </c>
      <c r="F894" s="4"/>
    </row>
    <row x14ac:dyDescent="0.25" r="895" customHeight="1" ht="17.25">
      <c r="A895" s="7">
        <v>46006</v>
      </c>
      <c r="B895" s="9" t="s">
        <v>316</v>
      </c>
      <c r="C895" s="4"/>
      <c r="D895" s="6">
        <v>100</v>
      </c>
      <c r="E895" s="6">
        <f>E894+C895-D895</f>
      </c>
      <c r="F895" s="4"/>
    </row>
    <row x14ac:dyDescent="0.25" r="896" customHeight="1" ht="17.25">
      <c r="A896" s="7">
        <v>46006</v>
      </c>
      <c r="B896" s="9" t="s">
        <v>124</v>
      </c>
      <c r="C896" s="6">
        <v>77</v>
      </c>
      <c r="D896" s="4"/>
      <c r="E896" s="6">
        <f>E895+C896-D896</f>
      </c>
      <c r="F896" s="4"/>
    </row>
    <row x14ac:dyDescent="0.25" r="897" customHeight="1" ht="17.25">
      <c r="A897" s="7">
        <v>46006</v>
      </c>
      <c r="B897" s="9" t="s">
        <v>311</v>
      </c>
      <c r="C897" s="6">
        <v>189</v>
      </c>
      <c r="D897" s="4"/>
      <c r="E897" s="6">
        <f>E896+C897-D897</f>
      </c>
      <c r="F897" s="4"/>
    </row>
    <row x14ac:dyDescent="0.25" r="898" customHeight="1" ht="17.25">
      <c r="A898" s="7">
        <v>46006</v>
      </c>
      <c r="B898" s="9" t="s">
        <v>2</v>
      </c>
      <c r="C898" s="4"/>
      <c r="D898" s="6">
        <v>84</v>
      </c>
      <c r="E898" s="6">
        <f>E897+C898-D898</f>
      </c>
      <c r="F898" s="4"/>
    </row>
    <row x14ac:dyDescent="0.25" r="899" customHeight="1" ht="17.25">
      <c r="A899" s="7">
        <v>46007</v>
      </c>
      <c r="B899" s="9" t="s">
        <v>460</v>
      </c>
      <c r="C899" s="4"/>
      <c r="D899" s="6">
        <v>70</v>
      </c>
      <c r="E899" s="6">
        <f>E898+C899-D899</f>
      </c>
      <c r="F899" s="4"/>
    </row>
    <row x14ac:dyDescent="0.25" r="900" customHeight="1" ht="17.25">
      <c r="A900" s="7">
        <v>46007</v>
      </c>
      <c r="B900" s="9" t="s">
        <v>124</v>
      </c>
      <c r="C900" s="6">
        <v>92</v>
      </c>
      <c r="D900" s="4"/>
      <c r="E900" s="6">
        <f>E899+C900-D900</f>
      </c>
      <c r="F900" s="4"/>
    </row>
    <row x14ac:dyDescent="0.25" r="901" customHeight="1" ht="17.25">
      <c r="A901" s="7">
        <v>46007</v>
      </c>
      <c r="B901" s="9" t="s">
        <v>2</v>
      </c>
      <c r="C901" s="4"/>
      <c r="D901" s="6">
        <v>70</v>
      </c>
      <c r="E901" s="6">
        <f>E900+C901-D901</f>
      </c>
      <c r="F901" s="4"/>
    </row>
    <row x14ac:dyDescent="0.25" r="902" customHeight="1" ht="17.25">
      <c r="A902" s="7">
        <v>46007</v>
      </c>
      <c r="B902" s="9" t="s">
        <v>512</v>
      </c>
      <c r="C902" s="4"/>
      <c r="D902" s="6">
        <v>50</v>
      </c>
      <c r="E902" s="6">
        <f>E901+C902-D902</f>
      </c>
      <c r="F902" s="4"/>
    </row>
    <row x14ac:dyDescent="0.25" r="903" customHeight="1" ht="17.25">
      <c r="A903" s="1"/>
      <c r="B903" s="2"/>
      <c r="C903" s="4"/>
      <c r="D903" s="4"/>
      <c r="E903" s="6">
        <f>E902+C903-D903</f>
      </c>
      <c r="F903" s="4"/>
    </row>
    <row x14ac:dyDescent="0.25" r="904" customHeight="1" ht="17.25">
      <c r="A904" s="1"/>
      <c r="B904" s="2"/>
      <c r="C904" s="4"/>
      <c r="D904" s="4"/>
      <c r="E904" s="6">
        <f>E903+C904-D904</f>
      </c>
      <c r="F904" s="4"/>
    </row>
    <row x14ac:dyDescent="0.25" r="905" customHeight="1" ht="17.25">
      <c r="A905" s="1"/>
      <c r="B905" s="2"/>
      <c r="C905" s="4"/>
      <c r="D905" s="4"/>
      <c r="E905" s="6">
        <f>E904+C905-D905</f>
      </c>
      <c r="F905" s="4"/>
    </row>
    <row x14ac:dyDescent="0.25" r="906" customHeight="1" ht="17.25">
      <c r="A906" s="1"/>
      <c r="B906" s="2"/>
      <c r="C906" s="4"/>
      <c r="D906" s="4"/>
      <c r="E906" s="6">
        <f>E905+C906-D906</f>
      </c>
      <c r="F906" s="4"/>
    </row>
    <row x14ac:dyDescent="0.25" r="907" customHeight="1" ht="17.25">
      <c r="A907" s="1"/>
      <c r="B907" s="2"/>
      <c r="C907" s="4"/>
      <c r="D907" s="4"/>
      <c r="E907" s="6">
        <f>E906+C907-D907</f>
      </c>
      <c r="F907" s="4"/>
    </row>
    <row x14ac:dyDescent="0.25" r="908" customHeight="1" ht="17.25">
      <c r="A908" s="1"/>
      <c r="B908" s="2"/>
      <c r="C908" s="4"/>
      <c r="D908" s="4"/>
      <c r="E908" s="6">
        <f>E907+C908-D908</f>
      </c>
      <c r="F908" s="4"/>
    </row>
    <row x14ac:dyDescent="0.25" r="909" customHeight="1" ht="17.25">
      <c r="A909" s="1"/>
      <c r="B909" s="2"/>
      <c r="C909" s="4"/>
      <c r="D909" s="4"/>
      <c r="E909" s="6">
        <f>E908+C909-D909</f>
      </c>
      <c r="F90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18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9.576428571428572" customWidth="1" bestFit="1"/>
    <col min="3" max="3" style="13" width="12.43357142857143" customWidth="1" bestFit="1"/>
    <col min="4" max="4" style="12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612</v>
      </c>
      <c r="B1" s="2"/>
      <c r="C1" s="4"/>
      <c r="D1" s="3"/>
      <c r="E1" s="4"/>
    </row>
    <row x14ac:dyDescent="0.25" r="2" customHeight="1" ht="17.25">
      <c r="A2" s="1"/>
      <c r="B2" s="2"/>
      <c r="C2" s="4"/>
      <c r="D2" s="3"/>
      <c r="E2" s="4"/>
    </row>
    <row x14ac:dyDescent="0.25" r="3" customHeight="1" ht="17.25">
      <c r="A3" s="5">
        <v>45658</v>
      </c>
      <c r="B3" s="2" t="s">
        <v>1</v>
      </c>
      <c r="C3" s="4"/>
      <c r="D3" s="3"/>
      <c r="E3" s="14">
        <v>2047</v>
      </c>
    </row>
    <row x14ac:dyDescent="0.25" r="4" customHeight="1" ht="17.25">
      <c r="A4" s="7">
        <v>45659</v>
      </c>
      <c r="B4" s="2" t="s">
        <v>35</v>
      </c>
      <c r="C4" s="6">
        <v>16</v>
      </c>
      <c r="D4" s="3"/>
      <c r="E4" s="6">
        <f>E3+C4-D4</f>
      </c>
    </row>
    <row x14ac:dyDescent="0.25" r="5" customHeight="1" ht="17.25">
      <c r="A5" s="7">
        <v>45659</v>
      </c>
      <c r="B5" s="2" t="s">
        <v>269</v>
      </c>
      <c r="C5" s="6">
        <v>12</v>
      </c>
      <c r="D5" s="3"/>
      <c r="E5" s="6">
        <f>E4+C5-D5</f>
      </c>
    </row>
    <row x14ac:dyDescent="0.25" r="6" customHeight="1" ht="17.25">
      <c r="A6" s="8">
        <v>45660</v>
      </c>
      <c r="B6" s="9" t="s">
        <v>269</v>
      </c>
      <c r="C6" s="6">
        <v>16</v>
      </c>
      <c r="D6" s="3"/>
      <c r="E6" s="6">
        <f>E5+C6-D6</f>
      </c>
    </row>
    <row x14ac:dyDescent="0.25" r="7" customHeight="1" ht="17.25">
      <c r="A7" s="8">
        <v>45660</v>
      </c>
      <c r="B7" s="9" t="s">
        <v>410</v>
      </c>
      <c r="C7" s="6">
        <v>11</v>
      </c>
      <c r="D7" s="3"/>
      <c r="E7" s="6">
        <f>E6+C7-D7</f>
      </c>
    </row>
    <row x14ac:dyDescent="0.25" r="8" customHeight="1" ht="17.25">
      <c r="A8" s="8">
        <v>45660</v>
      </c>
      <c r="B8" s="9" t="s">
        <v>410</v>
      </c>
      <c r="C8" s="6">
        <v>21</v>
      </c>
      <c r="D8" s="3"/>
      <c r="E8" s="6">
        <f>E7+C8-D8</f>
      </c>
    </row>
    <row x14ac:dyDescent="0.25" r="9" customHeight="1" ht="17.25">
      <c r="A9" s="7">
        <v>45661</v>
      </c>
      <c r="B9" s="9" t="s">
        <v>35</v>
      </c>
      <c r="C9" s="6">
        <v>100</v>
      </c>
      <c r="D9" s="3"/>
      <c r="E9" s="6">
        <f>E8+C9-D9</f>
      </c>
    </row>
    <row x14ac:dyDescent="0.25" r="10" customHeight="1" ht="17.25">
      <c r="A10" s="7">
        <v>45661</v>
      </c>
      <c r="B10" s="9" t="s">
        <v>189</v>
      </c>
      <c r="C10" s="6">
        <v>78</v>
      </c>
      <c r="D10" s="3"/>
      <c r="E10" s="6">
        <f>E9+C10-D10</f>
      </c>
    </row>
    <row x14ac:dyDescent="0.25" r="11" customHeight="1" ht="17.25">
      <c r="A11" s="7">
        <v>45663</v>
      </c>
      <c r="B11" s="9" t="s">
        <v>484</v>
      </c>
      <c r="C11" s="4"/>
      <c r="D11" s="6">
        <v>100</v>
      </c>
      <c r="E11" s="6">
        <f>E10+C11-D11</f>
      </c>
    </row>
    <row x14ac:dyDescent="0.25" r="12" customHeight="1" ht="17.25">
      <c r="A12" s="8">
        <v>45663</v>
      </c>
      <c r="B12" s="9" t="s">
        <v>35</v>
      </c>
      <c r="C12" s="6">
        <v>159</v>
      </c>
      <c r="D12" s="3"/>
      <c r="E12" s="6">
        <f>E11+C12-D12</f>
      </c>
    </row>
    <row x14ac:dyDescent="0.25" r="13" customHeight="1" ht="17.25">
      <c r="A13" s="8">
        <v>45663</v>
      </c>
      <c r="B13" s="9" t="s">
        <v>269</v>
      </c>
      <c r="C13" s="6">
        <v>7</v>
      </c>
      <c r="D13" s="3"/>
      <c r="E13" s="6">
        <f>E12+C13-D13</f>
      </c>
    </row>
    <row x14ac:dyDescent="0.25" r="14" customHeight="1" ht="17.25">
      <c r="A14" s="7">
        <v>45663</v>
      </c>
      <c r="B14" s="9" t="s">
        <v>189</v>
      </c>
      <c r="C14" s="6">
        <v>52</v>
      </c>
      <c r="D14" s="3"/>
      <c r="E14" s="6">
        <f>E13+C14-D14</f>
      </c>
    </row>
    <row x14ac:dyDescent="0.25" r="15" customHeight="1" ht="17.25">
      <c r="A15" s="8">
        <v>45664</v>
      </c>
      <c r="B15" s="9" t="s">
        <v>269</v>
      </c>
      <c r="C15" s="6">
        <v>5</v>
      </c>
      <c r="D15" s="3"/>
      <c r="E15" s="6">
        <f>E14+C15-D15</f>
      </c>
    </row>
    <row x14ac:dyDescent="0.25" r="16" customHeight="1" ht="17.25">
      <c r="A16" s="7">
        <v>45664</v>
      </c>
      <c r="B16" s="2" t="s">
        <v>131</v>
      </c>
      <c r="C16" s="6">
        <v>2</v>
      </c>
      <c r="D16" s="3"/>
      <c r="E16" s="6">
        <f>E15+C16-D16</f>
      </c>
    </row>
    <row x14ac:dyDescent="0.25" r="17" customHeight="1" ht="17.25">
      <c r="A17" s="8">
        <v>45664</v>
      </c>
      <c r="B17" s="9" t="s">
        <v>35</v>
      </c>
      <c r="C17" s="6">
        <v>106</v>
      </c>
      <c r="D17" s="3"/>
      <c r="E17" s="6">
        <f>E16+C17-D17</f>
      </c>
    </row>
    <row x14ac:dyDescent="0.25" r="18" customHeight="1" ht="17.25">
      <c r="A18" s="7">
        <v>45665</v>
      </c>
      <c r="B18" s="9" t="s">
        <v>189</v>
      </c>
      <c r="C18" s="6">
        <v>50</v>
      </c>
      <c r="D18" s="3"/>
      <c r="E18" s="6">
        <f>E17+C18-D18</f>
      </c>
    </row>
    <row x14ac:dyDescent="0.25" r="19" customHeight="1" ht="17.25">
      <c r="A19" s="7">
        <v>45668</v>
      </c>
      <c r="B19" s="9" t="s">
        <v>413</v>
      </c>
      <c r="C19" s="6">
        <v>3</v>
      </c>
      <c r="D19" s="3"/>
      <c r="E19" s="6">
        <f>E18+C19-D19</f>
      </c>
    </row>
    <row x14ac:dyDescent="0.25" r="20" customHeight="1" ht="17.25">
      <c r="A20" s="8">
        <v>45670</v>
      </c>
      <c r="B20" s="9" t="s">
        <v>189</v>
      </c>
      <c r="C20" s="6">
        <v>100</v>
      </c>
      <c r="D20" s="3"/>
      <c r="E20" s="6">
        <f>E19+C20-D20</f>
      </c>
    </row>
    <row x14ac:dyDescent="0.25" r="21" customHeight="1" ht="17.25">
      <c r="A21" s="8">
        <v>45670</v>
      </c>
      <c r="B21" s="9" t="s">
        <v>35</v>
      </c>
      <c r="C21" s="6">
        <v>83</v>
      </c>
      <c r="D21" s="3"/>
      <c r="E21" s="6">
        <f>E20+C21-D21</f>
      </c>
    </row>
    <row x14ac:dyDescent="0.25" r="22" customHeight="1" ht="17.25">
      <c r="A22" s="7">
        <v>45670</v>
      </c>
      <c r="B22" s="9" t="s">
        <v>410</v>
      </c>
      <c r="C22" s="6">
        <v>24</v>
      </c>
      <c r="D22" s="3"/>
      <c r="E22" s="6">
        <f>E21+C22-D22</f>
      </c>
    </row>
    <row x14ac:dyDescent="0.25" r="23" customHeight="1" ht="17.25">
      <c r="A23" s="7">
        <v>45671</v>
      </c>
      <c r="B23" s="9" t="s">
        <v>269</v>
      </c>
      <c r="C23" s="6">
        <v>17</v>
      </c>
      <c r="D23" s="3"/>
      <c r="E23" s="6">
        <f>E22+C23-D23</f>
      </c>
    </row>
    <row x14ac:dyDescent="0.25" r="24" customHeight="1" ht="17.25">
      <c r="A24" s="7">
        <v>45671</v>
      </c>
      <c r="B24" s="9" t="s">
        <v>127</v>
      </c>
      <c r="C24" s="6">
        <v>28</v>
      </c>
      <c r="D24" s="3"/>
      <c r="E24" s="6">
        <f>E23+C24-D24</f>
      </c>
    </row>
    <row x14ac:dyDescent="0.25" r="25" customHeight="1" ht="17.25">
      <c r="A25" s="7">
        <v>45672</v>
      </c>
      <c r="B25" s="9" t="s">
        <v>485</v>
      </c>
      <c r="C25" s="4"/>
      <c r="D25" s="6">
        <v>50</v>
      </c>
      <c r="E25" s="6">
        <f>E24+C25-D25</f>
      </c>
    </row>
    <row x14ac:dyDescent="0.25" r="26" customHeight="1" ht="17.25">
      <c r="A26" s="7">
        <v>45672</v>
      </c>
      <c r="B26" s="9" t="s">
        <v>413</v>
      </c>
      <c r="C26" s="6">
        <v>4</v>
      </c>
      <c r="D26" s="3"/>
      <c r="E26" s="6">
        <f>E25+C26-D26</f>
      </c>
    </row>
    <row x14ac:dyDescent="0.25" r="27" customHeight="1" ht="17.25">
      <c r="A27" s="7">
        <v>45673</v>
      </c>
      <c r="B27" s="9" t="s">
        <v>540</v>
      </c>
      <c r="C27" s="4"/>
      <c r="D27" s="6">
        <v>20</v>
      </c>
      <c r="E27" s="6">
        <f>E26+C27-D27</f>
      </c>
    </row>
    <row x14ac:dyDescent="0.25" r="28" customHeight="1" ht="17.25">
      <c r="A28" s="8">
        <v>45673</v>
      </c>
      <c r="B28" s="9" t="s">
        <v>269</v>
      </c>
      <c r="C28" s="6">
        <v>3</v>
      </c>
      <c r="D28" s="3"/>
      <c r="E28" s="6">
        <f>E27+C28-D28</f>
      </c>
    </row>
    <row x14ac:dyDescent="0.25" r="29" customHeight="1" ht="17.25">
      <c r="A29" s="8">
        <v>45674</v>
      </c>
      <c r="B29" s="9" t="s">
        <v>189</v>
      </c>
      <c r="C29" s="6">
        <v>51</v>
      </c>
      <c r="D29" s="3"/>
      <c r="E29" s="6">
        <f>E28+C29-D29</f>
      </c>
    </row>
    <row x14ac:dyDescent="0.25" r="30" customHeight="1" ht="17.25">
      <c r="A30" s="8">
        <v>45674</v>
      </c>
      <c r="B30" s="9" t="s">
        <v>413</v>
      </c>
      <c r="C30" s="6">
        <v>17</v>
      </c>
      <c r="D30" s="3"/>
      <c r="E30" s="6">
        <f>E29+C30-D30</f>
      </c>
    </row>
    <row x14ac:dyDescent="0.25" r="31" customHeight="1" ht="17.25">
      <c r="A31" s="8">
        <v>45674</v>
      </c>
      <c r="B31" s="9" t="s">
        <v>432</v>
      </c>
      <c r="C31" s="6">
        <v>19</v>
      </c>
      <c r="D31" s="3"/>
      <c r="E31" s="6">
        <f>E30+C31-D31</f>
      </c>
    </row>
    <row x14ac:dyDescent="0.25" r="32" customHeight="1" ht="17.25">
      <c r="A32" s="7">
        <v>45675</v>
      </c>
      <c r="B32" s="9" t="s">
        <v>240</v>
      </c>
      <c r="C32" s="6">
        <v>44</v>
      </c>
      <c r="D32" s="3"/>
      <c r="E32" s="6">
        <f>E31+C32-D32</f>
      </c>
    </row>
    <row x14ac:dyDescent="0.25" r="33" customHeight="1" ht="17.25">
      <c r="A33" s="7">
        <v>45675</v>
      </c>
      <c r="B33" s="9" t="s">
        <v>413</v>
      </c>
      <c r="C33" s="6">
        <v>13</v>
      </c>
      <c r="D33" s="3"/>
      <c r="E33" s="6">
        <f>E32+C33-D33</f>
      </c>
    </row>
    <row x14ac:dyDescent="0.25" r="34" customHeight="1" ht="17.25">
      <c r="A34" s="7">
        <v>45677</v>
      </c>
      <c r="B34" s="9" t="s">
        <v>485</v>
      </c>
      <c r="C34" s="4"/>
      <c r="D34" s="3"/>
      <c r="E34" s="6">
        <f>E33+C34-D34</f>
      </c>
    </row>
    <row x14ac:dyDescent="0.25" r="35" customHeight="1" ht="17.25">
      <c r="A35" s="7">
        <v>45677</v>
      </c>
      <c r="B35" s="9" t="s">
        <v>378</v>
      </c>
      <c r="C35" s="6">
        <v>70</v>
      </c>
      <c r="D35" s="3"/>
      <c r="E35" s="6">
        <f>E34+C35-D35</f>
      </c>
    </row>
    <row x14ac:dyDescent="0.25" r="36" customHeight="1" ht="17.25">
      <c r="A36" s="7">
        <v>45677</v>
      </c>
      <c r="B36" s="9" t="s">
        <v>410</v>
      </c>
      <c r="C36" s="6">
        <v>3</v>
      </c>
      <c r="D36" s="3"/>
      <c r="E36" s="6">
        <f>E35+C36-D36</f>
      </c>
    </row>
    <row x14ac:dyDescent="0.25" r="37" customHeight="1" ht="17.25">
      <c r="A37" s="7">
        <v>45677</v>
      </c>
      <c r="B37" s="9" t="s">
        <v>35</v>
      </c>
      <c r="C37" s="6">
        <v>51</v>
      </c>
      <c r="D37" s="3"/>
      <c r="E37" s="6">
        <f>E36+C37-D37</f>
      </c>
    </row>
    <row x14ac:dyDescent="0.25" r="38" customHeight="1" ht="17.25">
      <c r="A38" s="8">
        <v>45677</v>
      </c>
      <c r="B38" s="9" t="s">
        <v>131</v>
      </c>
      <c r="C38" s="6">
        <v>2</v>
      </c>
      <c r="D38" s="3"/>
      <c r="E38" s="6">
        <f>E37+C38-D38</f>
      </c>
    </row>
    <row x14ac:dyDescent="0.25" r="39" customHeight="1" ht="17.25">
      <c r="A39" s="8">
        <v>45678</v>
      </c>
      <c r="B39" s="9" t="s">
        <v>11</v>
      </c>
      <c r="C39" s="6">
        <v>67</v>
      </c>
      <c r="D39" s="3"/>
      <c r="E39" s="6">
        <f>E38+C39-D39</f>
      </c>
    </row>
    <row x14ac:dyDescent="0.25" r="40" customHeight="1" ht="17.25">
      <c r="A40" s="8">
        <v>45679</v>
      </c>
      <c r="B40" s="9" t="s">
        <v>414</v>
      </c>
      <c r="C40" s="6">
        <v>24</v>
      </c>
      <c r="D40" s="3"/>
      <c r="E40" s="6">
        <f>E39+C40-D40</f>
      </c>
    </row>
    <row x14ac:dyDescent="0.25" r="41" customHeight="1" ht="17.25">
      <c r="A41" s="7">
        <v>45680</v>
      </c>
      <c r="B41" s="9" t="s">
        <v>326</v>
      </c>
      <c r="C41" s="6">
        <v>20</v>
      </c>
      <c r="D41" s="3"/>
      <c r="E41" s="6">
        <f>E40+C41-D41</f>
      </c>
    </row>
    <row x14ac:dyDescent="0.25" r="42" customHeight="1" ht="17.25">
      <c r="A42" s="8">
        <v>45680</v>
      </c>
      <c r="B42" s="9" t="s">
        <v>269</v>
      </c>
      <c r="C42" s="6">
        <v>6</v>
      </c>
      <c r="D42" s="3"/>
      <c r="E42" s="6">
        <f>E41+C42-D42</f>
      </c>
    </row>
    <row x14ac:dyDescent="0.25" r="43" customHeight="1" ht="17.25">
      <c r="A43" s="7">
        <v>45681</v>
      </c>
      <c r="B43" s="9" t="s">
        <v>131</v>
      </c>
      <c r="C43" s="6">
        <v>7</v>
      </c>
      <c r="D43" s="3"/>
      <c r="E43" s="6">
        <f>E42+C43-D43</f>
      </c>
    </row>
    <row x14ac:dyDescent="0.25" r="44" customHeight="1" ht="17.25">
      <c r="A44" s="8">
        <v>45681</v>
      </c>
      <c r="B44" s="9" t="s">
        <v>189</v>
      </c>
      <c r="C44" s="6">
        <v>58</v>
      </c>
      <c r="D44" s="3"/>
      <c r="E44" s="6">
        <f>E43+C44-D44</f>
      </c>
    </row>
    <row x14ac:dyDescent="0.25" r="45" customHeight="1" ht="17.25">
      <c r="A45" s="7">
        <v>45682</v>
      </c>
      <c r="B45" s="9" t="s">
        <v>414</v>
      </c>
      <c r="C45" s="6">
        <v>47</v>
      </c>
      <c r="D45" s="3"/>
      <c r="E45" s="6">
        <f>E44+C45-D45</f>
      </c>
    </row>
    <row x14ac:dyDescent="0.25" r="46" customHeight="1" ht="17.25">
      <c r="A46" s="8">
        <v>45682</v>
      </c>
      <c r="B46" s="9" t="s">
        <v>123</v>
      </c>
      <c r="C46" s="6">
        <v>49</v>
      </c>
      <c r="D46" s="3"/>
      <c r="E46" s="6">
        <f>E45+C46-D46</f>
      </c>
    </row>
    <row x14ac:dyDescent="0.25" r="47" customHeight="1" ht="17.25">
      <c r="A47" s="8">
        <v>45682</v>
      </c>
      <c r="B47" s="9" t="s">
        <v>189</v>
      </c>
      <c r="C47" s="6">
        <v>26</v>
      </c>
      <c r="D47" s="3"/>
      <c r="E47" s="6">
        <f>E46+C47-D47</f>
      </c>
    </row>
    <row x14ac:dyDescent="0.25" r="48" customHeight="1" ht="17.25">
      <c r="A48" s="7">
        <v>45685</v>
      </c>
      <c r="B48" s="9" t="s">
        <v>259</v>
      </c>
      <c r="C48" s="6">
        <v>178</v>
      </c>
      <c r="D48" s="3"/>
      <c r="E48" s="6">
        <f>E47+C48-D48</f>
      </c>
    </row>
    <row x14ac:dyDescent="0.25" r="49" customHeight="1" ht="17.25">
      <c r="A49" s="8">
        <v>45686</v>
      </c>
      <c r="B49" s="9" t="s">
        <v>35</v>
      </c>
      <c r="C49" s="6">
        <v>54</v>
      </c>
      <c r="D49" s="3"/>
      <c r="E49" s="6">
        <f>E48+C49-D49</f>
      </c>
    </row>
    <row x14ac:dyDescent="0.25" r="50" customHeight="1" ht="17.25">
      <c r="A50" s="7">
        <v>45686</v>
      </c>
      <c r="B50" s="9" t="s">
        <v>189</v>
      </c>
      <c r="C50" s="6">
        <v>78</v>
      </c>
      <c r="D50" s="3"/>
      <c r="E50" s="6">
        <f>E49+C50-D50</f>
      </c>
    </row>
    <row x14ac:dyDescent="0.25" r="51" customHeight="1" ht="17.25">
      <c r="A51" s="8">
        <v>45686</v>
      </c>
      <c r="B51" s="9" t="s">
        <v>11</v>
      </c>
      <c r="C51" s="6">
        <v>161</v>
      </c>
      <c r="D51" s="3"/>
      <c r="E51" s="6">
        <f>E50+C51-D51</f>
      </c>
    </row>
    <row x14ac:dyDescent="0.25" r="52" customHeight="1" ht="17.25">
      <c r="A52" s="7">
        <v>45688</v>
      </c>
      <c r="B52" s="9" t="s">
        <v>189</v>
      </c>
      <c r="C52" s="6">
        <v>20</v>
      </c>
      <c r="D52" s="3"/>
      <c r="E52" s="6">
        <f>E51+C52-D52</f>
      </c>
    </row>
    <row x14ac:dyDescent="0.25" r="53" customHeight="1" ht="17.25">
      <c r="A53" s="7">
        <v>45689</v>
      </c>
      <c r="B53" s="9" t="s">
        <v>269</v>
      </c>
      <c r="C53" s="6">
        <v>9</v>
      </c>
      <c r="D53" s="3"/>
      <c r="E53" s="6">
        <f>E52+C53-D53</f>
      </c>
    </row>
    <row x14ac:dyDescent="0.25" r="54" customHeight="1" ht="17.25">
      <c r="A54" s="7">
        <v>45691</v>
      </c>
      <c r="B54" s="9" t="s">
        <v>273</v>
      </c>
      <c r="C54" s="6">
        <v>21</v>
      </c>
      <c r="D54" s="3"/>
      <c r="E54" s="6">
        <f>E53+C54-D54</f>
      </c>
    </row>
    <row x14ac:dyDescent="0.25" r="55" customHeight="1" ht="17.25">
      <c r="A55" s="8">
        <v>45691</v>
      </c>
      <c r="B55" s="9" t="s">
        <v>35</v>
      </c>
      <c r="C55" s="6">
        <v>63</v>
      </c>
      <c r="D55" s="3"/>
      <c r="E55" s="6">
        <f>E54+C55-D55</f>
      </c>
    </row>
    <row x14ac:dyDescent="0.25" r="56" customHeight="1" ht="17.25">
      <c r="A56" s="7">
        <v>45692</v>
      </c>
      <c r="B56" s="9" t="s">
        <v>433</v>
      </c>
      <c r="C56" s="4"/>
      <c r="D56" s="6">
        <v>10</v>
      </c>
      <c r="E56" s="6">
        <f>E55+C56-D56</f>
      </c>
    </row>
    <row x14ac:dyDescent="0.25" r="57" customHeight="1" ht="17.25">
      <c r="A57" s="7">
        <v>45692</v>
      </c>
      <c r="B57" s="9" t="s">
        <v>131</v>
      </c>
      <c r="C57" s="6">
        <v>1</v>
      </c>
      <c r="D57" s="3"/>
      <c r="E57" s="6">
        <f>E56+C57-D57</f>
      </c>
    </row>
    <row x14ac:dyDescent="0.25" r="58" customHeight="1" ht="17.25">
      <c r="A58" s="8">
        <v>45692</v>
      </c>
      <c r="B58" s="9" t="s">
        <v>378</v>
      </c>
      <c r="C58" s="6">
        <v>192</v>
      </c>
      <c r="D58" s="3"/>
      <c r="E58" s="6">
        <f>E57+C58-D58</f>
      </c>
    </row>
    <row x14ac:dyDescent="0.25" r="59" customHeight="1" ht="17.25">
      <c r="A59" s="8">
        <v>45693</v>
      </c>
      <c r="B59" s="9" t="s">
        <v>269</v>
      </c>
      <c r="C59" s="6">
        <v>6</v>
      </c>
      <c r="D59" s="3"/>
      <c r="E59" s="6">
        <f>E58+C59-D59</f>
      </c>
    </row>
    <row x14ac:dyDescent="0.25" r="60" customHeight="1" ht="17.25">
      <c r="A60" s="7">
        <v>45693</v>
      </c>
      <c r="B60" s="9" t="s">
        <v>378</v>
      </c>
      <c r="C60" s="6">
        <v>71</v>
      </c>
      <c r="D60" s="3"/>
      <c r="E60" s="6">
        <f>E59+C60-D60</f>
      </c>
    </row>
    <row x14ac:dyDescent="0.25" r="61" customHeight="1" ht="17.25">
      <c r="A61" s="7">
        <v>45694</v>
      </c>
      <c r="B61" s="9" t="s">
        <v>189</v>
      </c>
      <c r="C61" s="6">
        <v>44</v>
      </c>
      <c r="D61" s="3"/>
      <c r="E61" s="6">
        <f>E60+C61-D61</f>
      </c>
    </row>
    <row x14ac:dyDescent="0.25" r="62" customHeight="1" ht="17.25">
      <c r="A62" s="7">
        <v>45694</v>
      </c>
      <c r="B62" s="9" t="s">
        <v>127</v>
      </c>
      <c r="C62" s="6">
        <v>15</v>
      </c>
      <c r="D62" s="3"/>
      <c r="E62" s="6">
        <f>E61+C62-D62</f>
      </c>
    </row>
    <row x14ac:dyDescent="0.25" r="63" customHeight="1" ht="17.25">
      <c r="A63" s="7">
        <v>45694</v>
      </c>
      <c r="B63" s="9" t="s">
        <v>275</v>
      </c>
      <c r="C63" s="6">
        <v>18</v>
      </c>
      <c r="D63" s="3"/>
      <c r="E63" s="6">
        <f>E62+C63-D63</f>
      </c>
    </row>
    <row x14ac:dyDescent="0.25" r="64" customHeight="1" ht="17.25">
      <c r="A64" s="7">
        <v>45695</v>
      </c>
      <c r="B64" s="9" t="s">
        <v>3</v>
      </c>
      <c r="C64" s="4"/>
      <c r="D64" s="6">
        <v>215</v>
      </c>
      <c r="E64" s="6">
        <f>E63+C64-D64</f>
      </c>
    </row>
    <row x14ac:dyDescent="0.25" r="65" customHeight="1" ht="17.25">
      <c r="A65" s="8">
        <v>45695</v>
      </c>
      <c r="B65" s="9" t="s">
        <v>284</v>
      </c>
      <c r="C65" s="6">
        <v>20</v>
      </c>
      <c r="D65" s="3"/>
      <c r="E65" s="6">
        <f>E64+C65-D65</f>
      </c>
    </row>
    <row x14ac:dyDescent="0.25" r="66" customHeight="1" ht="17.25">
      <c r="A66" s="7">
        <v>45695</v>
      </c>
      <c r="B66" s="9" t="s">
        <v>11</v>
      </c>
      <c r="C66" s="6">
        <v>175</v>
      </c>
      <c r="D66" s="3"/>
      <c r="E66" s="6">
        <f>E65+C66-D66</f>
      </c>
    </row>
    <row x14ac:dyDescent="0.25" r="67" customHeight="1" ht="17.25">
      <c r="A67" s="7">
        <v>45696</v>
      </c>
      <c r="B67" s="9" t="s">
        <v>3</v>
      </c>
      <c r="C67" s="4"/>
      <c r="D67" s="6">
        <v>100</v>
      </c>
      <c r="E67" s="6">
        <f>E66+C67-D67</f>
      </c>
    </row>
    <row x14ac:dyDescent="0.25" r="68" customHeight="1" ht="17.25">
      <c r="A68" s="7">
        <v>45696</v>
      </c>
      <c r="B68" s="9" t="s">
        <v>189</v>
      </c>
      <c r="C68" s="6">
        <v>51</v>
      </c>
      <c r="D68" s="3"/>
      <c r="E68" s="6">
        <f>E67+C68-D68</f>
      </c>
    </row>
    <row x14ac:dyDescent="0.25" r="69" customHeight="1" ht="17.25">
      <c r="A69" s="7">
        <v>45698</v>
      </c>
      <c r="B69" s="9" t="s">
        <v>3</v>
      </c>
      <c r="C69" s="4"/>
      <c r="D69" s="6">
        <v>100</v>
      </c>
      <c r="E69" s="6">
        <f>E68+C69-D69</f>
      </c>
    </row>
    <row x14ac:dyDescent="0.25" r="70" customHeight="1" ht="17.25">
      <c r="A70" s="7">
        <v>45698</v>
      </c>
      <c r="B70" s="9" t="s">
        <v>11</v>
      </c>
      <c r="C70" s="6">
        <v>211</v>
      </c>
      <c r="D70" s="3"/>
      <c r="E70" s="6">
        <f>E69+C70-D70</f>
      </c>
    </row>
    <row x14ac:dyDescent="0.25" r="71" customHeight="1" ht="17.25">
      <c r="A71" s="8">
        <v>45698</v>
      </c>
      <c r="B71" s="9" t="s">
        <v>35</v>
      </c>
      <c r="C71" s="6">
        <v>54</v>
      </c>
      <c r="D71" s="3"/>
      <c r="E71" s="6">
        <f>E70+C71-D71</f>
      </c>
    </row>
    <row x14ac:dyDescent="0.25" r="72" customHeight="1" ht="17.25">
      <c r="A72" s="7">
        <v>45698</v>
      </c>
      <c r="B72" s="9" t="s">
        <v>269</v>
      </c>
      <c r="C72" s="6">
        <v>2</v>
      </c>
      <c r="D72" s="3"/>
      <c r="E72" s="6">
        <f>E71+C72-D72</f>
      </c>
    </row>
    <row x14ac:dyDescent="0.25" r="73" customHeight="1" ht="17.25">
      <c r="A73" s="7">
        <v>45698</v>
      </c>
      <c r="B73" s="9" t="s">
        <v>189</v>
      </c>
      <c r="C73" s="6">
        <v>94</v>
      </c>
      <c r="D73" s="3"/>
      <c r="E73" s="6">
        <f>E72+C73-D73</f>
      </c>
    </row>
    <row x14ac:dyDescent="0.25" r="74" customHeight="1" ht="17.25">
      <c r="A74" s="7">
        <v>45699</v>
      </c>
      <c r="B74" s="9" t="s">
        <v>189</v>
      </c>
      <c r="C74" s="6">
        <v>104</v>
      </c>
      <c r="D74" s="3"/>
      <c r="E74" s="6">
        <f>E73+C74-D74</f>
      </c>
    </row>
    <row x14ac:dyDescent="0.25" r="75" customHeight="1" ht="17.25">
      <c r="A75" s="8">
        <v>45700</v>
      </c>
      <c r="B75" s="9" t="s">
        <v>34</v>
      </c>
      <c r="C75" s="4"/>
      <c r="D75" s="6">
        <v>200</v>
      </c>
      <c r="E75" s="6">
        <f>E74+C75-D75</f>
      </c>
    </row>
    <row x14ac:dyDescent="0.25" r="76" customHeight="1" ht="17.25">
      <c r="A76" s="8">
        <v>45700</v>
      </c>
      <c r="B76" s="9" t="s">
        <v>35</v>
      </c>
      <c r="C76" s="6">
        <v>2</v>
      </c>
      <c r="D76" s="3"/>
      <c r="E76" s="6">
        <f>E75+C76-D76</f>
      </c>
    </row>
    <row x14ac:dyDescent="0.25" r="77" customHeight="1" ht="17.25">
      <c r="A77" s="7">
        <v>45700</v>
      </c>
      <c r="B77" s="9" t="s">
        <v>189</v>
      </c>
      <c r="C77" s="6">
        <v>80</v>
      </c>
      <c r="D77" s="3"/>
      <c r="E77" s="6">
        <f>E76+C77-D77</f>
      </c>
    </row>
    <row x14ac:dyDescent="0.25" r="78" customHeight="1" ht="17.25">
      <c r="A78" s="8">
        <v>45700</v>
      </c>
      <c r="B78" s="9" t="s">
        <v>11</v>
      </c>
      <c r="C78" s="6">
        <v>182</v>
      </c>
      <c r="D78" s="3"/>
      <c r="E78" s="6">
        <f>E77+C78-D78</f>
      </c>
    </row>
    <row x14ac:dyDescent="0.25" r="79" customHeight="1" ht="17.25">
      <c r="A79" s="7">
        <v>45701</v>
      </c>
      <c r="B79" s="9" t="s">
        <v>34</v>
      </c>
      <c r="C79" s="4"/>
      <c r="D79" s="6">
        <v>100</v>
      </c>
      <c r="E79" s="6">
        <f>E78+C79-D79</f>
      </c>
    </row>
    <row x14ac:dyDescent="0.25" r="80" customHeight="1" ht="17.25">
      <c r="A80" s="7">
        <v>45701</v>
      </c>
      <c r="B80" s="9" t="s">
        <v>542</v>
      </c>
      <c r="C80" s="6">
        <v>40</v>
      </c>
      <c r="D80" s="3"/>
      <c r="E80" s="6">
        <f>E79+C80-D80</f>
      </c>
    </row>
    <row x14ac:dyDescent="0.25" r="81" customHeight="1" ht="17.25">
      <c r="A81" s="7">
        <v>45701</v>
      </c>
      <c r="B81" s="9" t="s">
        <v>189</v>
      </c>
      <c r="C81" s="6">
        <v>60</v>
      </c>
      <c r="D81" s="3"/>
      <c r="E81" s="6">
        <f>E80+C81-D81</f>
      </c>
    </row>
    <row x14ac:dyDescent="0.25" r="82" customHeight="1" ht="17.25">
      <c r="A82" s="7">
        <v>45701</v>
      </c>
      <c r="B82" s="9" t="s">
        <v>11</v>
      </c>
      <c r="C82" s="6">
        <v>96</v>
      </c>
      <c r="D82" s="3"/>
      <c r="E82" s="6">
        <f>E81+C82-D82</f>
      </c>
    </row>
    <row x14ac:dyDescent="0.25" r="83" customHeight="1" ht="17.25">
      <c r="A83" s="7">
        <v>45702</v>
      </c>
      <c r="B83" s="9" t="s">
        <v>189</v>
      </c>
      <c r="C83" s="6">
        <v>66</v>
      </c>
      <c r="D83" s="3"/>
      <c r="E83" s="6">
        <f>E82+C83-D83</f>
      </c>
    </row>
    <row x14ac:dyDescent="0.25" r="84" customHeight="1" ht="17.25">
      <c r="A84" s="8">
        <v>45703</v>
      </c>
      <c r="B84" s="9" t="s">
        <v>414</v>
      </c>
      <c r="C84" s="6">
        <v>25</v>
      </c>
      <c r="D84" s="3"/>
      <c r="E84" s="6">
        <f>E83+C84-D84</f>
      </c>
    </row>
    <row x14ac:dyDescent="0.25" r="85" customHeight="1" ht="17.25">
      <c r="A85" s="7">
        <v>45705</v>
      </c>
      <c r="B85" s="9" t="s">
        <v>3</v>
      </c>
      <c r="C85" s="4"/>
      <c r="D85" s="6">
        <v>85</v>
      </c>
      <c r="E85" s="6">
        <f>E84+C85-D85</f>
      </c>
    </row>
    <row x14ac:dyDescent="0.25" r="86" customHeight="1" ht="17.25">
      <c r="A86" s="7">
        <v>45705</v>
      </c>
      <c r="B86" s="9" t="s">
        <v>437</v>
      </c>
      <c r="C86" s="4"/>
      <c r="D86" s="6">
        <v>16</v>
      </c>
      <c r="E86" s="6">
        <f>E85+C86-D86</f>
      </c>
    </row>
    <row x14ac:dyDescent="0.25" r="87" customHeight="1" ht="17.25">
      <c r="A87" s="7">
        <v>45705</v>
      </c>
      <c r="B87" s="9" t="s">
        <v>378</v>
      </c>
      <c r="C87" s="6">
        <v>39</v>
      </c>
      <c r="D87" s="3"/>
      <c r="E87" s="6">
        <f>E86+C87-D87</f>
      </c>
    </row>
    <row x14ac:dyDescent="0.25" r="88" customHeight="1" ht="17.25">
      <c r="A88" s="8">
        <v>45705</v>
      </c>
      <c r="B88" s="9" t="s">
        <v>131</v>
      </c>
      <c r="C88" s="6">
        <v>1</v>
      </c>
      <c r="D88" s="3"/>
      <c r="E88" s="6">
        <f>E87+C88-D88</f>
      </c>
    </row>
    <row x14ac:dyDescent="0.25" r="89" customHeight="1" ht="17.25">
      <c r="A89" s="7">
        <v>45705</v>
      </c>
      <c r="B89" s="9" t="s">
        <v>543</v>
      </c>
      <c r="C89" s="6">
        <v>83</v>
      </c>
      <c r="D89" s="3"/>
      <c r="E89" s="6">
        <f>E88+C89-D89</f>
      </c>
    </row>
    <row x14ac:dyDescent="0.25" r="90" customHeight="1" ht="17.25">
      <c r="A90" s="7">
        <v>45706</v>
      </c>
      <c r="B90" s="9" t="s">
        <v>269</v>
      </c>
      <c r="C90" s="6">
        <v>11</v>
      </c>
      <c r="D90" s="3"/>
      <c r="E90" s="6">
        <f>E89+C90-D90</f>
      </c>
    </row>
    <row x14ac:dyDescent="0.25" r="91" customHeight="1" ht="17.25">
      <c r="A91" s="7">
        <v>45706</v>
      </c>
      <c r="B91" s="9" t="s">
        <v>189</v>
      </c>
      <c r="C91" s="6">
        <v>54</v>
      </c>
      <c r="D91" s="3"/>
      <c r="E91" s="6">
        <f>E90+C91-D91</f>
      </c>
    </row>
    <row x14ac:dyDescent="0.25" r="92" customHeight="1" ht="17.25">
      <c r="A92" s="7">
        <v>45707</v>
      </c>
      <c r="B92" s="9" t="s">
        <v>141</v>
      </c>
      <c r="C92" s="4"/>
      <c r="D92" s="6">
        <v>72</v>
      </c>
      <c r="E92" s="6">
        <f>E91+C92-D92</f>
      </c>
    </row>
    <row x14ac:dyDescent="0.25" r="93" customHeight="1" ht="17.25">
      <c r="A93" s="8">
        <v>45707</v>
      </c>
      <c r="B93" s="9" t="s">
        <v>227</v>
      </c>
      <c r="C93" s="4"/>
      <c r="D93" s="6">
        <v>3</v>
      </c>
      <c r="E93" s="6">
        <f>E92+C93-D93</f>
      </c>
    </row>
    <row x14ac:dyDescent="0.25" r="94" customHeight="1" ht="17.25">
      <c r="A94" s="7">
        <v>45707</v>
      </c>
      <c r="B94" s="9" t="s">
        <v>544</v>
      </c>
      <c r="C94" s="6">
        <v>50</v>
      </c>
      <c r="D94" s="3"/>
      <c r="E94" s="6">
        <f>E93+C94-D94</f>
      </c>
    </row>
    <row x14ac:dyDescent="0.25" r="95" customHeight="1" ht="17.25">
      <c r="A95" s="7">
        <v>45707</v>
      </c>
      <c r="B95" s="9" t="s">
        <v>35</v>
      </c>
      <c r="C95" s="6">
        <v>33</v>
      </c>
      <c r="D95" s="3"/>
      <c r="E95" s="6">
        <f>E94+C95-D95</f>
      </c>
    </row>
    <row x14ac:dyDescent="0.25" r="96" customHeight="1" ht="17.25">
      <c r="A96" s="7">
        <v>45708</v>
      </c>
      <c r="B96" s="9" t="s">
        <v>3</v>
      </c>
      <c r="C96" s="4"/>
      <c r="D96" s="6">
        <v>200</v>
      </c>
      <c r="E96" s="6">
        <f>E95+C96-D96</f>
      </c>
    </row>
    <row x14ac:dyDescent="0.25" r="97" customHeight="1" ht="17.25">
      <c r="A97" s="7">
        <v>45708</v>
      </c>
      <c r="B97" s="9" t="s">
        <v>437</v>
      </c>
      <c r="C97" s="4"/>
      <c r="D97" s="6">
        <v>10</v>
      </c>
      <c r="E97" s="6">
        <f>E96+C97-D97</f>
      </c>
    </row>
    <row x14ac:dyDescent="0.25" r="98" customHeight="1" ht="17.25">
      <c r="A98" s="7">
        <v>45708</v>
      </c>
      <c r="B98" s="9" t="s">
        <v>485</v>
      </c>
      <c r="C98" s="4"/>
      <c r="D98" s="6">
        <v>85</v>
      </c>
      <c r="E98" s="6">
        <f>E97+C98-D98</f>
      </c>
    </row>
    <row x14ac:dyDescent="0.25" r="99" customHeight="1" ht="17.25">
      <c r="A99" s="7">
        <v>45708</v>
      </c>
      <c r="B99" s="9" t="s">
        <v>433</v>
      </c>
      <c r="C99" s="6">
        <v>10</v>
      </c>
      <c r="D99" s="3"/>
      <c r="E99" s="6">
        <f>E98+C99-D99</f>
      </c>
    </row>
    <row x14ac:dyDescent="0.25" r="100" customHeight="1" ht="17.25">
      <c r="A100" s="7">
        <v>45708</v>
      </c>
      <c r="B100" s="9" t="s">
        <v>189</v>
      </c>
      <c r="C100" s="6">
        <v>76</v>
      </c>
      <c r="D100" s="3"/>
      <c r="E100" s="6">
        <f>E99+C100-D100</f>
      </c>
    </row>
    <row x14ac:dyDescent="0.25" r="101" customHeight="1" ht="17.25">
      <c r="A101" s="7">
        <v>45709</v>
      </c>
      <c r="B101" s="9" t="s">
        <v>485</v>
      </c>
      <c r="C101" s="4"/>
      <c r="D101" s="6">
        <v>38</v>
      </c>
      <c r="E101" s="6">
        <f>E100+C101-D101</f>
      </c>
    </row>
    <row x14ac:dyDescent="0.25" r="102" customHeight="1" ht="17.25">
      <c r="A102" s="7">
        <v>45709</v>
      </c>
      <c r="B102" s="9" t="s">
        <v>189</v>
      </c>
      <c r="C102" s="6">
        <v>41</v>
      </c>
      <c r="D102" s="3"/>
      <c r="E102" s="6">
        <f>E101+C102-D102</f>
      </c>
    </row>
    <row x14ac:dyDescent="0.25" r="103" customHeight="1" ht="17.25">
      <c r="A103" s="8">
        <v>45709</v>
      </c>
      <c r="B103" s="9" t="s">
        <v>2</v>
      </c>
      <c r="C103" s="6">
        <v>4</v>
      </c>
      <c r="D103" s="3"/>
      <c r="E103" s="6">
        <f>E102+C103-D103</f>
      </c>
    </row>
    <row x14ac:dyDescent="0.25" r="104" customHeight="1" ht="17.25">
      <c r="A104" s="7">
        <v>45710</v>
      </c>
      <c r="B104" s="9" t="s">
        <v>35</v>
      </c>
      <c r="C104" s="6">
        <v>6</v>
      </c>
      <c r="D104" s="3"/>
      <c r="E104" s="6">
        <f>E103+C104-D104</f>
      </c>
    </row>
    <row x14ac:dyDescent="0.25" r="105" customHeight="1" ht="17.25">
      <c r="A105" s="7">
        <v>45710</v>
      </c>
      <c r="B105" s="9" t="s">
        <v>11</v>
      </c>
      <c r="C105" s="6">
        <v>59</v>
      </c>
      <c r="D105" s="3"/>
      <c r="E105" s="6">
        <f>E104+C105-D105</f>
      </c>
    </row>
    <row x14ac:dyDescent="0.25" r="106" customHeight="1" ht="17.25">
      <c r="A106" s="8">
        <v>45712</v>
      </c>
      <c r="B106" s="9" t="s">
        <v>257</v>
      </c>
      <c r="C106" s="6">
        <v>23</v>
      </c>
      <c r="D106" s="3"/>
      <c r="E106" s="6">
        <f>E105+C106-D106</f>
      </c>
    </row>
    <row x14ac:dyDescent="0.25" r="107" customHeight="1" ht="17.25">
      <c r="A107" s="7">
        <v>45712</v>
      </c>
      <c r="B107" s="9" t="s">
        <v>189</v>
      </c>
      <c r="C107" s="6">
        <v>21</v>
      </c>
      <c r="D107" s="3"/>
      <c r="E107" s="6">
        <f>E106+C107-D107</f>
      </c>
    </row>
    <row x14ac:dyDescent="0.25" r="108" customHeight="1" ht="17.25">
      <c r="A108" s="8">
        <v>45713</v>
      </c>
      <c r="B108" s="9" t="s">
        <v>131</v>
      </c>
      <c r="C108" s="6">
        <v>2</v>
      </c>
      <c r="D108" s="3"/>
      <c r="E108" s="6">
        <f>E107+C108-D108</f>
      </c>
    </row>
    <row x14ac:dyDescent="0.25" r="109" customHeight="1" ht="17.25">
      <c r="A109" s="7">
        <v>45713</v>
      </c>
      <c r="B109" s="9" t="s">
        <v>257</v>
      </c>
      <c r="C109" s="6">
        <v>26</v>
      </c>
      <c r="D109" s="3"/>
      <c r="E109" s="6">
        <f>E108+C109-D109</f>
      </c>
    </row>
    <row x14ac:dyDescent="0.25" r="110" customHeight="1" ht="17.25">
      <c r="A110" s="7">
        <v>45714</v>
      </c>
      <c r="B110" s="9" t="s">
        <v>3</v>
      </c>
      <c r="C110" s="4"/>
      <c r="D110" s="6">
        <v>200</v>
      </c>
      <c r="E110" s="6">
        <f>E109+C110-D110</f>
      </c>
    </row>
    <row x14ac:dyDescent="0.25" r="111" customHeight="1" ht="17.25">
      <c r="A111" s="7">
        <v>45714</v>
      </c>
      <c r="B111" s="9" t="s">
        <v>35</v>
      </c>
      <c r="C111" s="6">
        <v>10</v>
      </c>
      <c r="D111" s="3"/>
      <c r="E111" s="6">
        <f>E110+C111-D111</f>
      </c>
    </row>
    <row x14ac:dyDescent="0.25" r="112" customHeight="1" ht="17.25">
      <c r="A112" s="7">
        <v>45715</v>
      </c>
      <c r="B112" s="9" t="s">
        <v>3</v>
      </c>
      <c r="C112" s="4"/>
      <c r="D112" s="6">
        <v>100</v>
      </c>
      <c r="E112" s="6">
        <f>E111+C112-D112</f>
      </c>
    </row>
    <row x14ac:dyDescent="0.25" r="113" customHeight="1" ht="17.25">
      <c r="A113" s="7">
        <v>45715</v>
      </c>
      <c r="B113" s="9" t="s">
        <v>266</v>
      </c>
      <c r="C113" s="4"/>
      <c r="D113" s="6">
        <v>20</v>
      </c>
      <c r="E113" s="6">
        <f>E112+C113-D113</f>
      </c>
    </row>
    <row x14ac:dyDescent="0.25" r="114" customHeight="1" ht="17.25">
      <c r="A114" s="7">
        <v>45715</v>
      </c>
      <c r="B114" s="9" t="s">
        <v>440</v>
      </c>
      <c r="C114" s="4"/>
      <c r="D114" s="6">
        <v>14</v>
      </c>
      <c r="E114" s="6">
        <f>E113+C114-D114</f>
      </c>
    </row>
    <row x14ac:dyDescent="0.25" r="115" customHeight="1" ht="17.25">
      <c r="A115" s="7">
        <v>45715</v>
      </c>
      <c r="B115" s="9" t="s">
        <v>240</v>
      </c>
      <c r="C115" s="6">
        <v>2</v>
      </c>
      <c r="D115" s="3"/>
      <c r="E115" s="6">
        <f>E114+C115-D115</f>
      </c>
    </row>
    <row x14ac:dyDescent="0.25" r="116" customHeight="1" ht="17.25">
      <c r="A116" s="7">
        <v>45716</v>
      </c>
      <c r="B116" s="9" t="s">
        <v>540</v>
      </c>
      <c r="C116" s="4"/>
      <c r="D116" s="6">
        <v>40</v>
      </c>
      <c r="E116" s="6">
        <f>E115+C116-D116</f>
      </c>
    </row>
    <row x14ac:dyDescent="0.25" r="117" customHeight="1" ht="17.25">
      <c r="A117" s="7">
        <v>45716</v>
      </c>
      <c r="B117" s="9" t="s">
        <v>487</v>
      </c>
      <c r="C117" s="4"/>
      <c r="D117" s="6">
        <v>50</v>
      </c>
      <c r="E117" s="6">
        <f>E116+C117-D117</f>
      </c>
    </row>
    <row x14ac:dyDescent="0.25" r="118" customHeight="1" ht="17.25">
      <c r="A118" s="7">
        <v>45717</v>
      </c>
      <c r="B118" s="9" t="s">
        <v>487</v>
      </c>
      <c r="C118" s="4"/>
      <c r="D118" s="6">
        <v>50</v>
      </c>
      <c r="E118" s="6">
        <f>E117+C118-D118</f>
      </c>
    </row>
    <row x14ac:dyDescent="0.25" r="119" customHeight="1" ht="17.25">
      <c r="A119" s="7">
        <v>45717</v>
      </c>
      <c r="B119" s="9" t="s">
        <v>189</v>
      </c>
      <c r="C119" s="6">
        <v>97</v>
      </c>
      <c r="D119" s="3"/>
      <c r="E119" s="6">
        <f>E118+C119-D119</f>
      </c>
    </row>
    <row x14ac:dyDescent="0.25" r="120" customHeight="1" ht="17.25">
      <c r="A120" s="7">
        <v>45719</v>
      </c>
      <c r="B120" s="9" t="s">
        <v>3</v>
      </c>
      <c r="C120" s="4"/>
      <c r="D120" s="6">
        <v>100</v>
      </c>
      <c r="E120" s="6">
        <f>E119+C120-D120</f>
      </c>
    </row>
    <row x14ac:dyDescent="0.25" r="121" customHeight="1" ht="17.25">
      <c r="A121" s="7">
        <v>45719</v>
      </c>
      <c r="B121" s="9" t="s">
        <v>189</v>
      </c>
      <c r="C121" s="6">
        <v>23</v>
      </c>
      <c r="D121" s="3"/>
      <c r="E121" s="6">
        <f>E120+C121-D121</f>
      </c>
    </row>
    <row x14ac:dyDescent="0.25" r="122" customHeight="1" ht="17.25">
      <c r="A122" s="8">
        <v>45719</v>
      </c>
      <c r="B122" s="9" t="s">
        <v>35</v>
      </c>
      <c r="C122" s="6">
        <v>13</v>
      </c>
      <c r="D122" s="3"/>
      <c r="E122" s="6">
        <f>E121+C122-D122</f>
      </c>
    </row>
    <row x14ac:dyDescent="0.25" r="123" customHeight="1" ht="17.25">
      <c r="A123" s="7">
        <v>45720</v>
      </c>
      <c r="B123" s="9" t="s">
        <v>3</v>
      </c>
      <c r="C123" s="4"/>
      <c r="D123" s="6">
        <v>50</v>
      </c>
      <c r="E123" s="6">
        <f>E122+C123-D123</f>
      </c>
    </row>
    <row x14ac:dyDescent="0.25" r="124" customHeight="1" ht="17.25">
      <c r="A124" s="7">
        <v>45720</v>
      </c>
      <c r="B124" s="9" t="s">
        <v>440</v>
      </c>
      <c r="C124" s="6">
        <v>14</v>
      </c>
      <c r="D124" s="3"/>
      <c r="E124" s="6">
        <f>E123+C124-D124</f>
      </c>
    </row>
    <row x14ac:dyDescent="0.25" r="125" customHeight="1" ht="17.25">
      <c r="A125" s="7">
        <v>45721</v>
      </c>
      <c r="B125" s="9" t="s">
        <v>3</v>
      </c>
      <c r="C125" s="4"/>
      <c r="D125" s="6">
        <v>50</v>
      </c>
      <c r="E125" s="6">
        <f>E124+C125-D125</f>
      </c>
    </row>
    <row x14ac:dyDescent="0.25" r="126" customHeight="1" ht="17.25">
      <c r="A126" s="7">
        <v>45721</v>
      </c>
      <c r="B126" s="9" t="s">
        <v>3</v>
      </c>
      <c r="C126" s="4"/>
      <c r="D126" s="6">
        <v>150</v>
      </c>
      <c r="E126" s="6">
        <f>E125+C126-D126</f>
      </c>
    </row>
    <row x14ac:dyDescent="0.25" r="127" customHeight="1" ht="17.25">
      <c r="A127" s="7">
        <v>45721</v>
      </c>
      <c r="B127" s="9" t="s">
        <v>3</v>
      </c>
      <c r="C127" s="4"/>
      <c r="D127" s="6">
        <v>50</v>
      </c>
      <c r="E127" s="6">
        <f>E126+C127-D127</f>
      </c>
    </row>
    <row x14ac:dyDescent="0.25" r="128" customHeight="1" ht="17.25">
      <c r="A128" s="7">
        <v>45721</v>
      </c>
      <c r="B128" s="9" t="s">
        <v>3</v>
      </c>
      <c r="C128" s="4"/>
      <c r="D128" s="6">
        <v>78</v>
      </c>
      <c r="E128" s="6">
        <f>E127+C128-D128</f>
      </c>
    </row>
    <row x14ac:dyDescent="0.25" r="129" customHeight="1" ht="17.25">
      <c r="A129" s="7">
        <v>45721</v>
      </c>
      <c r="B129" s="9" t="s">
        <v>3</v>
      </c>
      <c r="C129" s="4"/>
      <c r="D129" s="6">
        <v>172</v>
      </c>
      <c r="E129" s="6">
        <f>E128+C129-D129</f>
      </c>
    </row>
    <row x14ac:dyDescent="0.25" r="130" customHeight="1" ht="17.25">
      <c r="A130" s="7">
        <v>45721</v>
      </c>
      <c r="B130" s="9" t="s">
        <v>3</v>
      </c>
      <c r="C130" s="4"/>
      <c r="D130" s="6">
        <v>50</v>
      </c>
      <c r="E130" s="6">
        <f>E129+C130-D130</f>
      </c>
    </row>
    <row x14ac:dyDescent="0.25" r="131" customHeight="1" ht="17.25">
      <c r="A131" s="7">
        <v>45721</v>
      </c>
      <c r="B131" s="9" t="s">
        <v>35</v>
      </c>
      <c r="C131" s="6">
        <v>16</v>
      </c>
      <c r="D131" s="3"/>
      <c r="E131" s="6">
        <f>E130+C131-D131</f>
      </c>
    </row>
    <row x14ac:dyDescent="0.25" r="132" customHeight="1" ht="17.25">
      <c r="A132" s="7">
        <v>45721</v>
      </c>
      <c r="B132" s="9" t="s">
        <v>437</v>
      </c>
      <c r="C132" s="6">
        <v>26</v>
      </c>
      <c r="D132" s="3"/>
      <c r="E132" s="6">
        <f>E131+C132-D132</f>
      </c>
    </row>
    <row x14ac:dyDescent="0.25" r="133" customHeight="1" ht="17.25">
      <c r="A133" s="7">
        <v>45721</v>
      </c>
      <c r="B133" s="9" t="s">
        <v>543</v>
      </c>
      <c r="C133" s="6">
        <v>82</v>
      </c>
      <c r="D133" s="3"/>
      <c r="E133" s="6">
        <f>E132+C133-D133</f>
      </c>
    </row>
    <row x14ac:dyDescent="0.25" r="134" customHeight="1" ht="17.25">
      <c r="A134" s="8">
        <v>45722</v>
      </c>
      <c r="B134" s="9" t="s">
        <v>489</v>
      </c>
      <c r="C134" s="6">
        <v>108</v>
      </c>
      <c r="D134" s="3"/>
      <c r="E134" s="6">
        <f>E133+C134-D134</f>
      </c>
    </row>
    <row x14ac:dyDescent="0.25" r="135" customHeight="1" ht="17.25">
      <c r="A135" s="7">
        <v>45722</v>
      </c>
      <c r="B135" s="9" t="s">
        <v>275</v>
      </c>
      <c r="C135" s="6">
        <v>16</v>
      </c>
      <c r="D135" s="3"/>
      <c r="E135" s="6">
        <f>E134+C135-D135</f>
      </c>
    </row>
    <row x14ac:dyDescent="0.25" r="136" customHeight="1" ht="17.25">
      <c r="A136" s="7">
        <v>45723</v>
      </c>
      <c r="B136" s="9" t="s">
        <v>257</v>
      </c>
      <c r="C136" s="6">
        <v>1</v>
      </c>
      <c r="D136" s="3"/>
      <c r="E136" s="6">
        <f>E135+C136-D136</f>
      </c>
    </row>
    <row x14ac:dyDescent="0.25" r="137" customHeight="1" ht="17.25">
      <c r="A137" s="7">
        <v>45723</v>
      </c>
      <c r="B137" s="9" t="s">
        <v>273</v>
      </c>
      <c r="C137" s="6">
        <v>9</v>
      </c>
      <c r="D137" s="3"/>
      <c r="E137" s="6">
        <f>E136+C137-D137</f>
      </c>
    </row>
    <row x14ac:dyDescent="0.25" r="138" customHeight="1" ht="17.25">
      <c r="A138" s="8">
        <v>45723</v>
      </c>
      <c r="B138" s="9" t="s">
        <v>35</v>
      </c>
      <c r="C138" s="6">
        <v>18</v>
      </c>
      <c r="D138" s="3"/>
      <c r="E138" s="6">
        <f>E137+C138-D138</f>
      </c>
    </row>
    <row x14ac:dyDescent="0.25" r="139" customHeight="1" ht="17.25">
      <c r="A139" s="7">
        <v>45723</v>
      </c>
      <c r="B139" s="9" t="s">
        <v>189</v>
      </c>
      <c r="C139" s="6">
        <v>55</v>
      </c>
      <c r="D139" s="3"/>
      <c r="E139" s="6">
        <f>E138+C139-D139</f>
      </c>
    </row>
    <row x14ac:dyDescent="0.25" r="140" customHeight="1" ht="17.25">
      <c r="A140" s="8">
        <v>45723</v>
      </c>
      <c r="B140" s="9" t="s">
        <v>489</v>
      </c>
      <c r="C140" s="6">
        <v>60</v>
      </c>
      <c r="D140" s="3"/>
      <c r="E140" s="6">
        <f>E139+C140-D140</f>
      </c>
    </row>
    <row x14ac:dyDescent="0.25" r="141" customHeight="1" ht="17.25">
      <c r="A141" s="8">
        <v>45724</v>
      </c>
      <c r="B141" s="9" t="s">
        <v>189</v>
      </c>
      <c r="C141" s="6">
        <v>1</v>
      </c>
      <c r="D141" s="3"/>
      <c r="E141" s="6">
        <f>E140+C141-D141</f>
      </c>
    </row>
    <row x14ac:dyDescent="0.25" r="142" customHeight="1" ht="17.25">
      <c r="A142" s="7">
        <v>45726</v>
      </c>
      <c r="B142" s="9" t="s">
        <v>35</v>
      </c>
      <c r="C142" s="6">
        <v>4</v>
      </c>
      <c r="D142" s="3"/>
      <c r="E142" s="6">
        <f>E141+C142-D142</f>
      </c>
    </row>
    <row x14ac:dyDescent="0.25" r="143" customHeight="1" ht="17.25">
      <c r="A143" s="7">
        <v>45726</v>
      </c>
      <c r="B143" s="9" t="s">
        <v>189</v>
      </c>
      <c r="C143" s="6">
        <v>75</v>
      </c>
      <c r="D143" s="3"/>
      <c r="E143" s="6">
        <f>E142+C143-D143</f>
      </c>
    </row>
    <row x14ac:dyDescent="0.25" r="144" customHeight="1" ht="17.25">
      <c r="A144" s="8">
        <v>45726</v>
      </c>
      <c r="B144" s="9" t="s">
        <v>35</v>
      </c>
      <c r="C144" s="6">
        <v>14</v>
      </c>
      <c r="D144" s="3"/>
      <c r="E144" s="6">
        <f>E143+C144-D144</f>
      </c>
    </row>
    <row x14ac:dyDescent="0.25" r="145" customHeight="1" ht="17.25">
      <c r="A145" s="7">
        <v>45727</v>
      </c>
      <c r="B145" s="9" t="s">
        <v>189</v>
      </c>
      <c r="C145" s="6">
        <v>22</v>
      </c>
      <c r="D145" s="3"/>
      <c r="E145" s="6">
        <f>E144+C145-D145</f>
      </c>
    </row>
    <row x14ac:dyDescent="0.25" r="146" customHeight="1" ht="17.25">
      <c r="A146" s="8">
        <v>45728</v>
      </c>
      <c r="B146" s="9" t="s">
        <v>35</v>
      </c>
      <c r="C146" s="6">
        <v>9</v>
      </c>
      <c r="D146" s="3"/>
      <c r="E146" s="6">
        <f>E145+C146-D146</f>
      </c>
    </row>
    <row x14ac:dyDescent="0.25" r="147" customHeight="1" ht="17.25">
      <c r="A147" s="7">
        <v>45729</v>
      </c>
      <c r="B147" s="9" t="s">
        <v>3</v>
      </c>
      <c r="C147" s="4"/>
      <c r="D147" s="6">
        <v>50</v>
      </c>
      <c r="E147" s="6">
        <f>E146+C147-D147</f>
      </c>
    </row>
    <row x14ac:dyDescent="0.25" r="148" customHeight="1" ht="17.25">
      <c r="A148" s="7">
        <v>45729</v>
      </c>
      <c r="B148" s="9" t="s">
        <v>3</v>
      </c>
      <c r="C148" s="4"/>
      <c r="D148" s="6">
        <v>50</v>
      </c>
      <c r="E148" s="6">
        <f>E147+C148-D148</f>
      </c>
    </row>
    <row x14ac:dyDescent="0.25" r="149" customHeight="1" ht="17.25">
      <c r="A149" s="7">
        <v>45729</v>
      </c>
      <c r="B149" s="9" t="s">
        <v>189</v>
      </c>
      <c r="C149" s="6">
        <v>52</v>
      </c>
      <c r="D149" s="3"/>
      <c r="E149" s="6">
        <f>E148+C149-D149</f>
      </c>
    </row>
    <row x14ac:dyDescent="0.25" r="150" customHeight="1" ht="17.25">
      <c r="A150" s="7">
        <v>45730</v>
      </c>
      <c r="B150" s="9" t="s">
        <v>35</v>
      </c>
      <c r="C150" s="6">
        <v>2</v>
      </c>
      <c r="D150" s="3"/>
      <c r="E150" s="6">
        <f>E149+C150-D150</f>
      </c>
    </row>
    <row x14ac:dyDescent="0.25" r="151" customHeight="1" ht="17.25">
      <c r="A151" s="7">
        <v>45731</v>
      </c>
      <c r="B151" s="9" t="s">
        <v>361</v>
      </c>
      <c r="C151" s="4"/>
      <c r="D151" s="6">
        <v>50</v>
      </c>
      <c r="E151" s="6">
        <f>E150+C151-D151</f>
      </c>
    </row>
    <row x14ac:dyDescent="0.25" r="152" customHeight="1" ht="17.25">
      <c r="A152" s="7">
        <v>45731</v>
      </c>
      <c r="B152" s="9" t="s">
        <v>189</v>
      </c>
      <c r="C152" s="6">
        <v>31</v>
      </c>
      <c r="D152" s="3"/>
      <c r="E152" s="6">
        <f>E151+C152-D152</f>
      </c>
    </row>
    <row x14ac:dyDescent="0.25" r="153" customHeight="1" ht="17.25">
      <c r="A153" s="8">
        <v>45733</v>
      </c>
      <c r="B153" s="9" t="s">
        <v>234</v>
      </c>
      <c r="C153" s="4"/>
      <c r="D153" s="6">
        <v>120</v>
      </c>
      <c r="E153" s="6">
        <f>E152+C153-D153</f>
      </c>
    </row>
    <row x14ac:dyDescent="0.25" r="154" customHeight="1" ht="17.25">
      <c r="A154" s="7">
        <v>45735</v>
      </c>
      <c r="B154" s="9" t="s">
        <v>520</v>
      </c>
      <c r="C154" s="4"/>
      <c r="D154" s="6">
        <v>8</v>
      </c>
      <c r="E154" s="6">
        <f>E153+C154-D154</f>
      </c>
    </row>
    <row x14ac:dyDescent="0.25" r="155" customHeight="1" ht="17.25">
      <c r="A155" s="8">
        <v>45735</v>
      </c>
      <c r="B155" s="9" t="s">
        <v>35</v>
      </c>
      <c r="C155" s="6">
        <v>2</v>
      </c>
      <c r="D155" s="3"/>
      <c r="E155" s="6">
        <f>E154+C155-D155</f>
      </c>
    </row>
    <row x14ac:dyDescent="0.25" r="156" customHeight="1" ht="17.25">
      <c r="A156" s="7">
        <v>45735</v>
      </c>
      <c r="B156" s="9" t="s">
        <v>542</v>
      </c>
      <c r="C156" s="6">
        <v>36</v>
      </c>
      <c r="D156" s="3"/>
      <c r="E156" s="6">
        <f>E155+C156-D156</f>
      </c>
    </row>
    <row x14ac:dyDescent="0.25" r="157" customHeight="1" ht="17.25">
      <c r="A157" s="8">
        <v>45735</v>
      </c>
      <c r="B157" s="9" t="s">
        <v>257</v>
      </c>
      <c r="C157" s="6">
        <v>28</v>
      </c>
      <c r="D157" s="3"/>
      <c r="E157" s="6">
        <f>E156+C157-D157</f>
      </c>
    </row>
    <row x14ac:dyDescent="0.25" r="158" customHeight="1" ht="17.25">
      <c r="A158" s="7">
        <v>45736</v>
      </c>
      <c r="B158" s="9" t="s">
        <v>11</v>
      </c>
      <c r="C158" s="6">
        <v>66</v>
      </c>
      <c r="D158" s="3"/>
      <c r="E158" s="6">
        <f>E157+C158-D158</f>
      </c>
    </row>
    <row x14ac:dyDescent="0.25" r="159" customHeight="1" ht="17.25">
      <c r="A159" s="8">
        <v>45737</v>
      </c>
      <c r="B159" s="9" t="s">
        <v>189</v>
      </c>
      <c r="C159" s="6">
        <v>48</v>
      </c>
      <c r="D159" s="3"/>
      <c r="E159" s="6">
        <f>E158+C159-D159</f>
      </c>
    </row>
    <row x14ac:dyDescent="0.25" r="160" customHeight="1" ht="17.25">
      <c r="A160" s="7">
        <v>45737</v>
      </c>
      <c r="B160" s="9" t="s">
        <v>414</v>
      </c>
      <c r="C160" s="6">
        <v>10</v>
      </c>
      <c r="D160" s="3"/>
      <c r="E160" s="6">
        <f>E159+C160-D160</f>
      </c>
    </row>
    <row x14ac:dyDescent="0.25" r="161" customHeight="1" ht="17.25">
      <c r="A161" s="8">
        <v>45737</v>
      </c>
      <c r="B161" s="9" t="s">
        <v>257</v>
      </c>
      <c r="C161" s="6">
        <v>36</v>
      </c>
      <c r="D161" s="3"/>
      <c r="E161" s="6">
        <f>E160+C161-D161</f>
      </c>
    </row>
    <row x14ac:dyDescent="0.25" r="162" customHeight="1" ht="17.25">
      <c r="A162" s="7">
        <v>45738</v>
      </c>
      <c r="B162" s="9" t="s">
        <v>520</v>
      </c>
      <c r="C162" s="6">
        <v>8</v>
      </c>
      <c r="D162" s="3"/>
      <c r="E162" s="6">
        <f>E161+C162-D162</f>
      </c>
    </row>
    <row x14ac:dyDescent="0.25" r="163" customHeight="1" ht="17.25">
      <c r="A163" s="7">
        <v>45738</v>
      </c>
      <c r="B163" s="9" t="s">
        <v>3</v>
      </c>
      <c r="C163" s="6">
        <v>165</v>
      </c>
      <c r="D163" s="3"/>
      <c r="E163" s="6">
        <f>E162+C163-D163</f>
      </c>
    </row>
    <row x14ac:dyDescent="0.25" r="164" customHeight="1" ht="17.25">
      <c r="A164" s="7">
        <v>45741</v>
      </c>
      <c r="B164" s="9" t="s">
        <v>257</v>
      </c>
      <c r="C164" s="6">
        <v>4</v>
      </c>
      <c r="D164" s="3"/>
      <c r="E164" s="6">
        <f>E163+C164-D164</f>
      </c>
    </row>
    <row x14ac:dyDescent="0.25" r="165" customHeight="1" ht="17.25">
      <c r="A165" s="7">
        <v>45757</v>
      </c>
      <c r="B165" s="9" t="s">
        <v>3</v>
      </c>
      <c r="C165" s="6">
        <v>100</v>
      </c>
      <c r="D165" s="3"/>
      <c r="E165" s="6">
        <f>E164+C165-D165</f>
      </c>
    </row>
    <row x14ac:dyDescent="0.25" r="166" customHeight="1" ht="17.25">
      <c r="A166" s="7">
        <v>45757</v>
      </c>
      <c r="B166" s="9" t="s">
        <v>189</v>
      </c>
      <c r="C166" s="6">
        <v>26</v>
      </c>
      <c r="D166" s="3"/>
      <c r="E166" s="6">
        <f>E165+C166-D166</f>
      </c>
    </row>
    <row x14ac:dyDescent="0.25" r="167" customHeight="1" ht="17.25">
      <c r="A167" s="7">
        <v>45761</v>
      </c>
      <c r="B167" s="9" t="s">
        <v>282</v>
      </c>
      <c r="C167" s="4"/>
      <c r="D167" s="6">
        <v>40</v>
      </c>
      <c r="E167" s="6">
        <f>E166+C167-D167</f>
      </c>
    </row>
    <row x14ac:dyDescent="0.25" r="168" customHeight="1" ht="17.25">
      <c r="A168" s="7">
        <v>45764</v>
      </c>
      <c r="B168" s="9" t="s">
        <v>286</v>
      </c>
      <c r="C168" s="4"/>
      <c r="D168" s="6">
        <v>70</v>
      </c>
      <c r="E168" s="6">
        <f>E167+C168-D168</f>
      </c>
    </row>
    <row x14ac:dyDescent="0.25" r="169" customHeight="1" ht="17.25">
      <c r="A169" s="7">
        <v>45764</v>
      </c>
      <c r="B169" s="9" t="s">
        <v>613</v>
      </c>
      <c r="C169" s="6">
        <v>236</v>
      </c>
      <c r="D169" s="3"/>
      <c r="E169" s="6">
        <f>E168+C169-D169</f>
      </c>
    </row>
    <row x14ac:dyDescent="0.25" r="170" customHeight="1" ht="17.25">
      <c r="A170" s="7">
        <v>45766</v>
      </c>
      <c r="B170" s="9" t="s">
        <v>549</v>
      </c>
      <c r="C170" s="6">
        <v>147</v>
      </c>
      <c r="D170" s="3"/>
      <c r="E170" s="6">
        <f>E169+C170-D170</f>
      </c>
    </row>
    <row x14ac:dyDescent="0.25" r="171" customHeight="1" ht="17.25">
      <c r="A171" s="8">
        <v>45766</v>
      </c>
      <c r="B171" s="9" t="s">
        <v>484</v>
      </c>
      <c r="C171" s="6">
        <v>29</v>
      </c>
      <c r="D171" s="3"/>
      <c r="E171" s="6">
        <f>E170+C171-D171</f>
      </c>
    </row>
    <row x14ac:dyDescent="0.25" r="172" customHeight="1" ht="17.25">
      <c r="A172" s="8">
        <v>45766</v>
      </c>
      <c r="B172" s="9" t="s">
        <v>484</v>
      </c>
      <c r="C172" s="6">
        <v>2</v>
      </c>
      <c r="D172" s="3"/>
      <c r="E172" s="6">
        <f>E171+C172-D172</f>
      </c>
    </row>
    <row x14ac:dyDescent="0.25" r="173" customHeight="1" ht="17.25">
      <c r="A173" s="7">
        <v>45768</v>
      </c>
      <c r="B173" s="9" t="s">
        <v>284</v>
      </c>
      <c r="C173" s="4"/>
      <c r="D173" s="6">
        <v>355</v>
      </c>
      <c r="E173" s="6">
        <f>E172+C173-D173</f>
      </c>
    </row>
    <row x14ac:dyDescent="0.25" r="174" customHeight="1" ht="17.25">
      <c r="A174" s="7">
        <v>45769</v>
      </c>
      <c r="B174" s="9" t="s">
        <v>549</v>
      </c>
      <c r="C174" s="6">
        <v>122</v>
      </c>
      <c r="D174" s="3"/>
      <c r="E174" s="6">
        <f>E173+C174-D174</f>
      </c>
    </row>
    <row x14ac:dyDescent="0.25" r="175" customHeight="1" ht="17.25">
      <c r="A175" s="7">
        <v>45769</v>
      </c>
      <c r="B175" s="9" t="s">
        <v>361</v>
      </c>
      <c r="C175" s="6">
        <v>44</v>
      </c>
      <c r="D175" s="3"/>
      <c r="E175" s="6">
        <f>E174+C175-D175</f>
      </c>
    </row>
    <row x14ac:dyDescent="0.25" r="176" customHeight="1" ht="17.25">
      <c r="A176" s="7">
        <v>45769</v>
      </c>
      <c r="B176" s="9" t="s">
        <v>485</v>
      </c>
      <c r="C176" s="6">
        <v>51</v>
      </c>
      <c r="D176" s="3"/>
      <c r="E176" s="6">
        <f>E175+C176-D176</f>
      </c>
    </row>
    <row x14ac:dyDescent="0.25" r="177" customHeight="1" ht="17.25">
      <c r="A177" s="7">
        <v>45770</v>
      </c>
      <c r="B177" s="9" t="s">
        <v>549</v>
      </c>
      <c r="C177" s="6">
        <v>130</v>
      </c>
      <c r="D177" s="3"/>
      <c r="E177" s="6">
        <f>E176+C177-D177</f>
      </c>
    </row>
    <row x14ac:dyDescent="0.25" r="178" customHeight="1" ht="17.25">
      <c r="A178" s="7">
        <v>45771</v>
      </c>
      <c r="B178" s="9" t="s">
        <v>521</v>
      </c>
      <c r="C178" s="4"/>
      <c r="D178" s="6">
        <v>50</v>
      </c>
      <c r="E178" s="6">
        <f>E177+C178-D178</f>
      </c>
    </row>
    <row x14ac:dyDescent="0.25" r="179" customHeight="1" ht="17.25">
      <c r="A179" s="7">
        <v>45772</v>
      </c>
      <c r="B179" s="9" t="s">
        <v>549</v>
      </c>
      <c r="C179" s="6">
        <v>110</v>
      </c>
      <c r="D179" s="3"/>
      <c r="E179" s="6">
        <f>E178+C179-D179</f>
      </c>
    </row>
    <row x14ac:dyDescent="0.25" r="180" customHeight="1" ht="17.25">
      <c r="A180" s="7">
        <v>45773</v>
      </c>
      <c r="B180" s="9" t="s">
        <v>549</v>
      </c>
      <c r="C180" s="6">
        <v>129</v>
      </c>
      <c r="D180" s="3"/>
      <c r="E180" s="6">
        <f>E179+C180-D180</f>
      </c>
    </row>
    <row x14ac:dyDescent="0.25" r="181" customHeight="1" ht="17.25">
      <c r="A181" s="8">
        <v>45773</v>
      </c>
      <c r="B181" s="9" t="s">
        <v>287</v>
      </c>
      <c r="C181" s="4"/>
      <c r="D181" s="6">
        <v>20</v>
      </c>
      <c r="E181" s="6">
        <f>E180+C181-D181</f>
      </c>
    </row>
    <row x14ac:dyDescent="0.25" r="182" customHeight="1" ht="17.25">
      <c r="A182" s="7">
        <v>45775</v>
      </c>
      <c r="B182" s="9" t="s">
        <v>549</v>
      </c>
      <c r="C182" s="6">
        <v>130</v>
      </c>
      <c r="D182" s="3"/>
      <c r="E182" s="6">
        <f>E181+C182-D182</f>
      </c>
    </row>
    <row x14ac:dyDescent="0.25" r="183" customHeight="1" ht="17.25">
      <c r="A183" s="7">
        <v>45777</v>
      </c>
      <c r="B183" s="9" t="s">
        <v>549</v>
      </c>
      <c r="C183" s="6">
        <v>125</v>
      </c>
      <c r="D183" s="3"/>
      <c r="E183" s="6">
        <f>E182+C183-D183</f>
      </c>
    </row>
    <row x14ac:dyDescent="0.25" r="184" customHeight="1" ht="17.25">
      <c r="A184" s="7">
        <v>45779</v>
      </c>
      <c r="B184" s="9" t="s">
        <v>241</v>
      </c>
      <c r="C184" s="6">
        <v>100</v>
      </c>
      <c r="D184" s="3"/>
      <c r="E184" s="6">
        <f>E183+C184-D184</f>
      </c>
    </row>
    <row x14ac:dyDescent="0.25" r="185" customHeight="1" ht="17.25">
      <c r="A185" s="8">
        <v>45779</v>
      </c>
      <c r="B185" s="9" t="s">
        <v>484</v>
      </c>
      <c r="C185" s="6">
        <v>23</v>
      </c>
      <c r="D185" s="3"/>
      <c r="E185" s="6">
        <f>E184+C185-D185</f>
      </c>
    </row>
    <row x14ac:dyDescent="0.25" r="186" customHeight="1" ht="17.25">
      <c r="A186" s="7">
        <v>45780</v>
      </c>
      <c r="B186" s="9" t="s">
        <v>58</v>
      </c>
      <c r="C186" s="6">
        <v>20</v>
      </c>
      <c r="D186" s="3"/>
      <c r="E186" s="6">
        <f>E185+C186-D186</f>
      </c>
    </row>
    <row x14ac:dyDescent="0.25" r="187" customHeight="1" ht="17.25">
      <c r="A187" s="7">
        <v>45780</v>
      </c>
      <c r="B187" s="9" t="s">
        <v>550</v>
      </c>
      <c r="C187" s="4"/>
      <c r="D187" s="6">
        <v>20</v>
      </c>
      <c r="E187" s="6">
        <f>E186+C187-D187</f>
      </c>
    </row>
    <row x14ac:dyDescent="0.25" r="188" customHeight="1" ht="17.25">
      <c r="A188" s="8">
        <v>45782</v>
      </c>
      <c r="B188" s="9" t="s">
        <v>189</v>
      </c>
      <c r="C188" s="6">
        <v>30</v>
      </c>
      <c r="D188" s="3"/>
      <c r="E188" s="6">
        <f>E187+C188-D188</f>
      </c>
    </row>
    <row x14ac:dyDescent="0.25" r="189" customHeight="1" ht="17.25">
      <c r="A189" s="7">
        <v>45783</v>
      </c>
      <c r="B189" s="9" t="s">
        <v>448</v>
      </c>
      <c r="C189" s="4"/>
      <c r="D189" s="6">
        <v>80</v>
      </c>
      <c r="E189" s="6">
        <f>E188+C189-D189</f>
      </c>
    </row>
    <row x14ac:dyDescent="0.25" r="190" customHeight="1" ht="17.25">
      <c r="A190" s="7">
        <v>45783</v>
      </c>
      <c r="B190" s="9" t="s">
        <v>449</v>
      </c>
      <c r="C190" s="4"/>
      <c r="D190" s="6">
        <v>24</v>
      </c>
      <c r="E190" s="6">
        <f>E189+C190-D190</f>
      </c>
    </row>
    <row x14ac:dyDescent="0.25" r="191" customHeight="1" ht="17.25">
      <c r="A191" s="7">
        <v>45783</v>
      </c>
      <c r="B191" s="9" t="s">
        <v>189</v>
      </c>
      <c r="C191" s="6">
        <v>3</v>
      </c>
      <c r="D191" s="3"/>
      <c r="E191" s="6">
        <f>E190+C191-D191</f>
      </c>
    </row>
    <row x14ac:dyDescent="0.25" r="192" customHeight="1" ht="17.25">
      <c r="A192" s="7">
        <v>45784</v>
      </c>
      <c r="B192" s="9" t="s">
        <v>485</v>
      </c>
      <c r="C192" s="6">
        <v>26</v>
      </c>
      <c r="D192" s="3"/>
      <c r="E192" s="6">
        <f>E191+C192-D192</f>
      </c>
    </row>
    <row x14ac:dyDescent="0.25" r="193" customHeight="1" ht="17.25">
      <c r="A193" s="7">
        <v>45785</v>
      </c>
      <c r="B193" s="9" t="s">
        <v>388</v>
      </c>
      <c r="C193" s="4"/>
      <c r="D193" s="6">
        <v>8</v>
      </c>
      <c r="E193" s="6">
        <f>E192+C193-D193</f>
      </c>
    </row>
    <row x14ac:dyDescent="0.25" r="194" customHeight="1" ht="17.25">
      <c r="A194" s="7">
        <v>45785</v>
      </c>
      <c r="B194" s="9" t="s">
        <v>42</v>
      </c>
      <c r="C194" s="4"/>
      <c r="D194" s="6">
        <v>32</v>
      </c>
      <c r="E194" s="6">
        <f>E193+C194-D194</f>
      </c>
    </row>
    <row x14ac:dyDescent="0.25" r="195" customHeight="1" ht="17.25">
      <c r="A195" s="7">
        <v>45786</v>
      </c>
      <c r="B195" s="9" t="s">
        <v>3</v>
      </c>
      <c r="C195" s="4"/>
      <c r="D195" s="6">
        <v>120</v>
      </c>
      <c r="E195" s="6">
        <f>E194+C195-D195</f>
      </c>
    </row>
    <row x14ac:dyDescent="0.25" r="196" customHeight="1" ht="17.25">
      <c r="A196" s="7">
        <v>45786</v>
      </c>
      <c r="B196" s="9" t="s">
        <v>484</v>
      </c>
      <c r="C196" s="6">
        <v>10</v>
      </c>
      <c r="D196" s="3"/>
      <c r="E196" s="6">
        <f>E195+C196-D196</f>
      </c>
    </row>
    <row x14ac:dyDescent="0.25" r="197" customHeight="1" ht="17.25">
      <c r="A197" s="7">
        <v>45786</v>
      </c>
      <c r="B197" s="9" t="s">
        <v>388</v>
      </c>
      <c r="C197" s="6">
        <v>8</v>
      </c>
      <c r="D197" s="3"/>
      <c r="E197" s="6">
        <f>E196+C197-D197</f>
      </c>
    </row>
    <row x14ac:dyDescent="0.25" r="198" customHeight="1" ht="17.25">
      <c r="A198" s="7">
        <v>45790</v>
      </c>
      <c r="B198" s="9" t="s">
        <v>29</v>
      </c>
      <c r="C198" s="6">
        <v>1</v>
      </c>
      <c r="D198" s="3"/>
      <c r="E198" s="6">
        <f>E197+C198-D198</f>
      </c>
    </row>
    <row x14ac:dyDescent="0.25" r="199" customHeight="1" ht="17.25">
      <c r="A199" s="7">
        <v>45791</v>
      </c>
      <c r="B199" s="9" t="s">
        <v>282</v>
      </c>
      <c r="C199" s="6">
        <v>20</v>
      </c>
      <c r="D199" s="3"/>
      <c r="E199" s="6">
        <f>E198+C199-D199</f>
      </c>
    </row>
    <row x14ac:dyDescent="0.25" r="200" customHeight="1" ht="17.25">
      <c r="A200" s="7">
        <v>45791</v>
      </c>
      <c r="B200" s="9" t="s">
        <v>449</v>
      </c>
      <c r="C200" s="6">
        <v>24</v>
      </c>
      <c r="D200" s="3"/>
      <c r="E200" s="6">
        <f>E199+C200-D200</f>
      </c>
    </row>
    <row x14ac:dyDescent="0.25" r="201" customHeight="1" ht="17.25">
      <c r="A201" s="7">
        <v>45792</v>
      </c>
      <c r="B201" s="9" t="s">
        <v>484</v>
      </c>
      <c r="C201" s="6">
        <v>23</v>
      </c>
      <c r="D201" s="3"/>
      <c r="E201" s="6">
        <f>E200+C201-D201</f>
      </c>
    </row>
    <row x14ac:dyDescent="0.25" r="202" customHeight="1" ht="17.25">
      <c r="A202" s="7">
        <v>45793</v>
      </c>
      <c r="B202" s="9" t="s">
        <v>426</v>
      </c>
      <c r="C202" s="4"/>
      <c r="D202" s="6">
        <v>100</v>
      </c>
      <c r="E202" s="6">
        <f>E201+C202-D202</f>
      </c>
    </row>
    <row x14ac:dyDescent="0.25" r="203" customHeight="1" ht="17.25">
      <c r="A203" s="7">
        <v>45793</v>
      </c>
      <c r="B203" s="9" t="s">
        <v>3</v>
      </c>
      <c r="C203" s="6">
        <v>80</v>
      </c>
      <c r="D203" s="3"/>
      <c r="E203" s="6">
        <f>E202+C203-D203</f>
      </c>
    </row>
    <row x14ac:dyDescent="0.25" r="204" customHeight="1" ht="17.25">
      <c r="A204" s="7">
        <v>45793</v>
      </c>
      <c r="B204" s="9" t="s">
        <v>3</v>
      </c>
      <c r="C204" s="6">
        <v>181</v>
      </c>
      <c r="D204" s="3"/>
      <c r="E204" s="6">
        <f>E203+C204-D204</f>
      </c>
    </row>
    <row x14ac:dyDescent="0.25" r="205" customHeight="1" ht="17.25">
      <c r="A205" s="7">
        <v>45794</v>
      </c>
      <c r="B205" s="9" t="s">
        <v>29</v>
      </c>
      <c r="C205" s="4"/>
      <c r="D205" s="6">
        <v>475</v>
      </c>
      <c r="E205" s="6">
        <f>E204+C205-D205</f>
      </c>
    </row>
    <row x14ac:dyDescent="0.25" r="206" customHeight="1" ht="17.25">
      <c r="A206" s="7">
        <v>45797</v>
      </c>
      <c r="B206" s="9" t="s">
        <v>42</v>
      </c>
      <c r="C206" s="4"/>
      <c r="D206" s="6">
        <v>46</v>
      </c>
      <c r="E206" s="6">
        <f>E205+C206-D206</f>
      </c>
    </row>
    <row x14ac:dyDescent="0.25" r="207" customHeight="1" ht="17.25">
      <c r="A207" s="7">
        <v>45798</v>
      </c>
      <c r="B207" s="9" t="s">
        <v>284</v>
      </c>
      <c r="C207" s="4"/>
      <c r="D207" s="6">
        <v>50</v>
      </c>
      <c r="E207" s="6">
        <f>E206+C207-D207</f>
      </c>
    </row>
    <row x14ac:dyDescent="0.25" r="208" customHeight="1" ht="17.25">
      <c r="A208" s="7">
        <v>45799</v>
      </c>
      <c r="B208" s="9" t="s">
        <v>43</v>
      </c>
      <c r="C208" s="6">
        <v>83</v>
      </c>
      <c r="D208" s="3"/>
      <c r="E208" s="6">
        <f>E207+C208-D208</f>
      </c>
    </row>
    <row x14ac:dyDescent="0.25" r="209" customHeight="1" ht="17.25">
      <c r="A209" s="8">
        <v>45800</v>
      </c>
      <c r="B209" s="9" t="s">
        <v>42</v>
      </c>
      <c r="C209" s="4"/>
      <c r="D209" s="6">
        <v>10</v>
      </c>
      <c r="E209" s="6">
        <f>E208+C209-D209</f>
      </c>
    </row>
    <row x14ac:dyDescent="0.25" r="210" customHeight="1" ht="17.25">
      <c r="A210" s="8">
        <v>45800</v>
      </c>
      <c r="B210" s="9" t="s">
        <v>42</v>
      </c>
      <c r="C210" s="4"/>
      <c r="D210" s="6">
        <v>25</v>
      </c>
      <c r="E210" s="6">
        <f>E209+C210-D210</f>
      </c>
    </row>
    <row x14ac:dyDescent="0.25" r="211" customHeight="1" ht="17.25">
      <c r="A211" s="8">
        <v>45804</v>
      </c>
      <c r="B211" s="9" t="s">
        <v>34</v>
      </c>
      <c r="C211" s="4"/>
      <c r="D211" s="6">
        <v>100</v>
      </c>
      <c r="E211" s="6">
        <f>E210+C211-D211</f>
      </c>
    </row>
    <row x14ac:dyDescent="0.25" r="212" customHeight="1" ht="17.25">
      <c r="A212" s="7">
        <v>45805</v>
      </c>
      <c r="B212" s="9" t="s">
        <v>34</v>
      </c>
      <c r="C212" s="4"/>
      <c r="D212" s="6">
        <v>200</v>
      </c>
      <c r="E212" s="6">
        <f>E211+C212-D212</f>
      </c>
    </row>
    <row x14ac:dyDescent="0.25" r="213" customHeight="1" ht="17.25">
      <c r="A213" s="7">
        <v>45805</v>
      </c>
      <c r="B213" s="9" t="s">
        <v>551</v>
      </c>
      <c r="C213" s="4"/>
      <c r="D213" s="6">
        <v>60</v>
      </c>
      <c r="E213" s="6">
        <f>E212+C213-D213</f>
      </c>
    </row>
    <row x14ac:dyDescent="0.25" r="214" customHeight="1" ht="17.25">
      <c r="A214" s="7">
        <v>45805</v>
      </c>
      <c r="B214" s="9" t="s">
        <v>551</v>
      </c>
      <c r="C214" s="4"/>
      <c r="D214" s="6">
        <v>90</v>
      </c>
      <c r="E214" s="6">
        <f>E213+C214-D214</f>
      </c>
    </row>
    <row x14ac:dyDescent="0.25" r="215" customHeight="1" ht="17.25">
      <c r="A215" s="7">
        <v>45805</v>
      </c>
      <c r="B215" s="9" t="s">
        <v>487</v>
      </c>
      <c r="C215" s="4"/>
      <c r="D215" s="6">
        <v>137</v>
      </c>
      <c r="E215" s="6">
        <f>E214+C215-D215</f>
      </c>
    </row>
    <row x14ac:dyDescent="0.25" r="216" customHeight="1" ht="17.25">
      <c r="A216" s="7">
        <v>45805</v>
      </c>
      <c r="B216" s="9" t="s">
        <v>487</v>
      </c>
      <c r="C216" s="4"/>
      <c r="D216" s="6">
        <v>63</v>
      </c>
      <c r="E216" s="6">
        <f>E215+C216-D216</f>
      </c>
    </row>
    <row x14ac:dyDescent="0.25" r="217" customHeight="1" ht="17.25">
      <c r="A217" s="7">
        <v>45807</v>
      </c>
      <c r="B217" s="9" t="s">
        <v>89</v>
      </c>
      <c r="C217" s="4"/>
      <c r="D217" s="6">
        <v>69</v>
      </c>
      <c r="E217" s="6">
        <f>E216+C217-D217</f>
      </c>
    </row>
    <row x14ac:dyDescent="0.25" r="218" customHeight="1" ht="17.25">
      <c r="A218" s="7">
        <v>45807</v>
      </c>
      <c r="B218" s="9" t="s">
        <v>89</v>
      </c>
      <c r="C218" s="4"/>
      <c r="D218" s="6">
        <v>71</v>
      </c>
      <c r="E218" s="6">
        <f>E217+C218-D218</f>
      </c>
    </row>
    <row x14ac:dyDescent="0.25" r="219" customHeight="1" ht="17.25">
      <c r="A219" s="7">
        <v>45808</v>
      </c>
      <c r="B219" s="9" t="s">
        <v>42</v>
      </c>
      <c r="C219" s="4"/>
      <c r="D219" s="6">
        <v>50</v>
      </c>
      <c r="E219" s="6">
        <f>E218+C219-D219</f>
      </c>
    </row>
    <row x14ac:dyDescent="0.25" r="220" customHeight="1" ht="17.25">
      <c r="A220" s="7">
        <v>45808</v>
      </c>
      <c r="B220" s="9" t="s">
        <v>282</v>
      </c>
      <c r="C220" s="6">
        <v>20</v>
      </c>
      <c r="D220" s="3"/>
      <c r="E220" s="6">
        <f>E219+C220-D220</f>
      </c>
    </row>
    <row x14ac:dyDescent="0.25" r="221" customHeight="1" ht="17.25">
      <c r="A221" s="8">
        <v>45810</v>
      </c>
      <c r="B221" s="9" t="s">
        <v>42</v>
      </c>
      <c r="C221" s="4"/>
      <c r="D221" s="6">
        <v>50</v>
      </c>
      <c r="E221" s="6">
        <f>E220+C221-D221</f>
      </c>
    </row>
    <row x14ac:dyDescent="0.25" r="222" customHeight="1" ht="17.25">
      <c r="A222" s="7">
        <v>45810</v>
      </c>
      <c r="B222" s="9" t="s">
        <v>3</v>
      </c>
      <c r="C222" s="6">
        <v>128</v>
      </c>
      <c r="D222" s="3"/>
      <c r="E222" s="6">
        <f>E221+C222-D222</f>
      </c>
    </row>
    <row x14ac:dyDescent="0.25" r="223" customHeight="1" ht="17.25">
      <c r="A223" s="7">
        <v>45811</v>
      </c>
      <c r="B223" s="9" t="s">
        <v>234</v>
      </c>
      <c r="C223" s="6">
        <v>94</v>
      </c>
      <c r="D223" s="3"/>
      <c r="E223" s="6">
        <f>E222+C223-D223</f>
      </c>
    </row>
    <row x14ac:dyDescent="0.25" r="224" customHeight="1" ht="17.25">
      <c r="A224" s="7">
        <v>45811</v>
      </c>
      <c r="B224" s="9" t="s">
        <v>3</v>
      </c>
      <c r="C224" s="6">
        <v>140</v>
      </c>
      <c r="D224" s="3"/>
      <c r="E224" s="6">
        <f>E223+C224-D224</f>
      </c>
    </row>
    <row x14ac:dyDescent="0.25" r="225" customHeight="1" ht="17.25">
      <c r="A225" s="7">
        <v>45812</v>
      </c>
      <c r="B225" s="9" t="s">
        <v>284</v>
      </c>
      <c r="C225" s="4"/>
      <c r="D225" s="6">
        <v>350</v>
      </c>
      <c r="E225" s="6">
        <f>E224+C225-D225</f>
      </c>
    </row>
    <row x14ac:dyDescent="0.25" r="226" customHeight="1" ht="17.25">
      <c r="A226" s="7">
        <v>45812</v>
      </c>
      <c r="B226" s="9" t="s">
        <v>370</v>
      </c>
      <c r="C226" s="6">
        <v>50</v>
      </c>
      <c r="D226" s="3"/>
      <c r="E226" s="6">
        <f>E225+C226-D226</f>
      </c>
    </row>
    <row x14ac:dyDescent="0.25" r="227" customHeight="1" ht="17.25">
      <c r="A227" s="7">
        <v>45812</v>
      </c>
      <c r="B227" s="9" t="s">
        <v>368</v>
      </c>
      <c r="C227" s="6">
        <v>30</v>
      </c>
      <c r="D227" s="3"/>
      <c r="E227" s="6">
        <f>E226+C227-D227</f>
      </c>
    </row>
    <row x14ac:dyDescent="0.25" r="228" customHeight="1" ht="17.25">
      <c r="A228" s="7">
        <v>45812</v>
      </c>
      <c r="B228" s="9" t="s">
        <v>3</v>
      </c>
      <c r="C228" s="6">
        <v>145</v>
      </c>
      <c r="D228" s="3"/>
      <c r="E228" s="6">
        <f>E227+C228-D228</f>
      </c>
    </row>
    <row x14ac:dyDescent="0.25" r="229" customHeight="1" ht="17.25">
      <c r="A229" s="7">
        <v>45812</v>
      </c>
      <c r="B229" s="9" t="s">
        <v>3</v>
      </c>
      <c r="C229" s="6">
        <v>78</v>
      </c>
      <c r="D229" s="3"/>
      <c r="E229" s="6">
        <f>E228+C229-D229</f>
      </c>
    </row>
    <row x14ac:dyDescent="0.25" r="230" customHeight="1" ht="17.25">
      <c r="A230" s="7">
        <v>45813</v>
      </c>
      <c r="B230" s="9" t="s">
        <v>284</v>
      </c>
      <c r="C230" s="4"/>
      <c r="D230" s="6">
        <v>92</v>
      </c>
      <c r="E230" s="6">
        <f>E229+C230-D230</f>
      </c>
    </row>
    <row x14ac:dyDescent="0.25" r="231" customHeight="1" ht="17.25">
      <c r="A231" s="7">
        <v>45813</v>
      </c>
      <c r="B231" s="9" t="s">
        <v>11</v>
      </c>
      <c r="C231" s="6">
        <v>119</v>
      </c>
      <c r="D231" s="3"/>
      <c r="E231" s="6">
        <f>E230+C231-D231</f>
      </c>
    </row>
    <row x14ac:dyDescent="0.25" r="232" customHeight="1" ht="17.25">
      <c r="A232" s="7">
        <v>45815</v>
      </c>
      <c r="B232" s="9" t="s">
        <v>284</v>
      </c>
      <c r="C232" s="4"/>
      <c r="D232" s="6">
        <v>95</v>
      </c>
      <c r="E232" s="6">
        <f>E231+C232-D232</f>
      </c>
    </row>
    <row x14ac:dyDescent="0.25" r="233" customHeight="1" ht="17.25">
      <c r="A233" s="7">
        <v>45817</v>
      </c>
      <c r="B233" s="9" t="s">
        <v>284</v>
      </c>
      <c r="C233" s="4"/>
      <c r="D233" s="6">
        <v>140</v>
      </c>
      <c r="E233" s="6">
        <f>E232+C233-D233</f>
      </c>
    </row>
    <row x14ac:dyDescent="0.25" r="234" customHeight="1" ht="17.25">
      <c r="A234" s="7">
        <v>45817</v>
      </c>
      <c r="B234" s="9" t="s">
        <v>89</v>
      </c>
      <c r="C234" s="4"/>
      <c r="D234" s="6">
        <v>100</v>
      </c>
      <c r="E234" s="6">
        <f>E233+C234-D234</f>
      </c>
    </row>
    <row x14ac:dyDescent="0.25" r="235" customHeight="1" ht="17.25">
      <c r="A235" s="7">
        <v>45817</v>
      </c>
      <c r="B235" s="9" t="s">
        <v>414</v>
      </c>
      <c r="C235" s="6">
        <v>20</v>
      </c>
      <c r="D235" s="3"/>
      <c r="E235" s="6">
        <f>E234+C235-D235</f>
      </c>
    </row>
    <row x14ac:dyDescent="0.25" r="236" customHeight="1" ht="17.25">
      <c r="A236" s="7">
        <v>45817</v>
      </c>
      <c r="B236" s="9" t="s">
        <v>234</v>
      </c>
      <c r="C236" s="6">
        <v>26</v>
      </c>
      <c r="D236" s="3"/>
      <c r="E236" s="6">
        <f>E235+C236-D236</f>
      </c>
    </row>
    <row x14ac:dyDescent="0.25" r="237" customHeight="1" ht="17.25">
      <c r="A237" s="7"/>
      <c r="B237" s="9"/>
      <c r="C237" s="4"/>
      <c r="D237" s="3"/>
      <c r="E237" s="6">
        <f>E236+C237-D237</f>
      </c>
    </row>
    <row x14ac:dyDescent="0.25" r="238" customHeight="1" ht="17.25">
      <c r="A238" s="7">
        <v>45818</v>
      </c>
      <c r="B238" s="9" t="s">
        <v>11</v>
      </c>
      <c r="C238" s="6">
        <f>68+9+13</f>
      </c>
      <c r="D238" s="3"/>
      <c r="E238" s="6">
        <f>E237+C238-D238</f>
      </c>
    </row>
    <row x14ac:dyDescent="0.25" r="239" customHeight="1" ht="17.25">
      <c r="A239" s="7">
        <v>45818</v>
      </c>
      <c r="B239" s="9" t="s">
        <v>189</v>
      </c>
      <c r="C239" s="6">
        <v>2</v>
      </c>
      <c r="D239" s="3"/>
      <c r="E239" s="6">
        <f>E238+C239-D239</f>
      </c>
    </row>
    <row x14ac:dyDescent="0.25" r="240" customHeight="1" ht="17.25">
      <c r="A240" s="7">
        <v>45819</v>
      </c>
      <c r="B240" s="9" t="s">
        <v>228</v>
      </c>
      <c r="C240" s="4"/>
      <c r="D240" s="6">
        <v>60</v>
      </c>
      <c r="E240" s="6">
        <f>E239+C240-D240</f>
      </c>
    </row>
    <row x14ac:dyDescent="0.25" r="241" customHeight="1" ht="17.25">
      <c r="A241" s="7">
        <v>45819</v>
      </c>
      <c r="B241" s="9" t="s">
        <v>284</v>
      </c>
      <c r="C241" s="4"/>
      <c r="D241" s="6">
        <v>23</v>
      </c>
      <c r="E241" s="6">
        <f>E240+C241-D241</f>
      </c>
    </row>
    <row x14ac:dyDescent="0.25" r="242" customHeight="1" ht="17.25">
      <c r="A242" s="7">
        <v>45819</v>
      </c>
      <c r="B242" s="9" t="s">
        <v>484</v>
      </c>
      <c r="C242" s="6">
        <v>38</v>
      </c>
      <c r="D242" s="3"/>
      <c r="E242" s="6">
        <f>E241+C242-D242</f>
      </c>
    </row>
    <row x14ac:dyDescent="0.25" r="243" customHeight="1" ht="17.25">
      <c r="A243" s="7">
        <v>45820</v>
      </c>
      <c r="B243" s="9" t="s">
        <v>89</v>
      </c>
      <c r="C243" s="4"/>
      <c r="D243" s="6">
        <v>50</v>
      </c>
      <c r="E243" s="6">
        <f>E242+C243-D243</f>
      </c>
    </row>
    <row x14ac:dyDescent="0.25" r="244" customHeight="1" ht="17.25">
      <c r="A244" s="7">
        <v>45820</v>
      </c>
      <c r="B244" s="9" t="s">
        <v>495</v>
      </c>
      <c r="C244" s="4"/>
      <c r="D244" s="6">
        <v>67</v>
      </c>
      <c r="E244" s="6">
        <f>E243+C244-D244</f>
      </c>
    </row>
    <row x14ac:dyDescent="0.25" r="245" customHeight="1" ht="17.25">
      <c r="A245" s="7">
        <v>45820</v>
      </c>
      <c r="B245" s="9" t="s">
        <v>11</v>
      </c>
      <c r="C245" s="6">
        <v>1</v>
      </c>
      <c r="D245" s="3"/>
      <c r="E245" s="6">
        <f>E244+C245-D245</f>
      </c>
    </row>
    <row x14ac:dyDescent="0.25" r="246" customHeight="1" ht="17.25">
      <c r="A246" s="7">
        <v>45821</v>
      </c>
      <c r="B246" s="9" t="s">
        <v>228</v>
      </c>
      <c r="C246" s="4"/>
      <c r="D246" s="6">
        <v>104</v>
      </c>
      <c r="E246" s="6">
        <f>E245+C246-D246</f>
      </c>
    </row>
    <row x14ac:dyDescent="0.25" r="247" customHeight="1" ht="17.25">
      <c r="A247" s="8">
        <v>45821</v>
      </c>
      <c r="B247" s="9" t="s">
        <v>35</v>
      </c>
      <c r="C247" s="4"/>
      <c r="D247" s="6">
        <v>30</v>
      </c>
      <c r="E247" s="6">
        <f>E246+C247-D247</f>
      </c>
    </row>
    <row x14ac:dyDescent="0.25" r="248" customHeight="1" ht="17.25">
      <c r="A248" s="7">
        <v>45821</v>
      </c>
      <c r="B248" s="9" t="s">
        <v>342</v>
      </c>
      <c r="C248" s="4"/>
      <c r="D248" s="6">
        <v>15</v>
      </c>
      <c r="E248" s="6">
        <f>E247+C248-D248</f>
      </c>
    </row>
    <row x14ac:dyDescent="0.25" r="249" customHeight="1" ht="17.25">
      <c r="A249" s="7">
        <v>45821</v>
      </c>
      <c r="B249" s="9" t="s">
        <v>495</v>
      </c>
      <c r="C249" s="4"/>
      <c r="D249" s="6">
        <v>83</v>
      </c>
      <c r="E249" s="6">
        <f>E248+C249-D249</f>
      </c>
    </row>
    <row x14ac:dyDescent="0.25" r="250" customHeight="1" ht="17.25">
      <c r="A250" s="7">
        <v>45821</v>
      </c>
      <c r="B250" s="9" t="s">
        <v>578</v>
      </c>
      <c r="C250" s="6">
        <v>70</v>
      </c>
      <c r="D250" s="3"/>
      <c r="E250" s="6">
        <f>E249+C250-D250</f>
      </c>
    </row>
    <row x14ac:dyDescent="0.25" r="251" customHeight="1" ht="17.25">
      <c r="A251" s="7">
        <v>45821</v>
      </c>
      <c r="B251" s="9" t="s">
        <v>286</v>
      </c>
      <c r="C251" s="6">
        <v>37</v>
      </c>
      <c r="D251" s="3"/>
      <c r="E251" s="6">
        <f>E250+C251-D251</f>
      </c>
    </row>
    <row x14ac:dyDescent="0.25" r="252" customHeight="1" ht="17.25">
      <c r="A252" s="7">
        <v>45821</v>
      </c>
      <c r="B252" s="9" t="s">
        <v>3</v>
      </c>
      <c r="C252" s="6">
        <v>90</v>
      </c>
      <c r="D252" s="3"/>
      <c r="E252" s="6">
        <f>E251+C252-D252</f>
      </c>
    </row>
    <row x14ac:dyDescent="0.25" r="253" customHeight="1" ht="17.25">
      <c r="A253" s="7">
        <v>45822</v>
      </c>
      <c r="B253" s="9" t="s">
        <v>42</v>
      </c>
      <c r="C253" s="4"/>
      <c r="D253" s="6">
        <v>20</v>
      </c>
      <c r="E253" s="6">
        <f>E252+C253-D253</f>
      </c>
    </row>
    <row x14ac:dyDescent="0.25" r="254" customHeight="1" ht="17.25">
      <c r="A254" s="7">
        <v>45822</v>
      </c>
      <c r="B254" s="9" t="s">
        <v>502</v>
      </c>
      <c r="C254" s="4"/>
      <c r="D254" s="6">
        <v>70</v>
      </c>
      <c r="E254" s="6">
        <f>E253+C254-D254</f>
      </c>
    </row>
    <row x14ac:dyDescent="0.25" r="255" customHeight="1" ht="17.25">
      <c r="A255" s="7">
        <v>45822</v>
      </c>
      <c r="B255" s="9" t="s">
        <v>35</v>
      </c>
      <c r="C255" s="4"/>
      <c r="D255" s="6">
        <v>90</v>
      </c>
      <c r="E255" s="6">
        <f>E254+C255-D255</f>
      </c>
    </row>
    <row x14ac:dyDescent="0.25" r="256" customHeight="1" ht="17.25">
      <c r="A256" s="7">
        <v>45822</v>
      </c>
      <c r="B256" s="9" t="s">
        <v>3</v>
      </c>
      <c r="C256" s="6">
        <v>108</v>
      </c>
      <c r="D256" s="3"/>
      <c r="E256" s="6">
        <f>E255+C256-D256</f>
      </c>
    </row>
    <row x14ac:dyDescent="0.25" r="257" customHeight="1" ht="17.25">
      <c r="A257" s="7">
        <v>45822</v>
      </c>
      <c r="B257" s="9" t="s">
        <v>3</v>
      </c>
      <c r="C257" s="6">
        <v>84</v>
      </c>
      <c r="D257" s="3"/>
      <c r="E257" s="6">
        <f>E256+C257-D257</f>
      </c>
    </row>
    <row x14ac:dyDescent="0.25" r="258" customHeight="1" ht="17.25">
      <c r="A258" s="7">
        <v>45824</v>
      </c>
      <c r="B258" s="9" t="s">
        <v>228</v>
      </c>
      <c r="C258" s="4"/>
      <c r="D258" s="6">
        <v>92</v>
      </c>
      <c r="E258" s="6">
        <f>E257+C258-D258</f>
      </c>
    </row>
    <row x14ac:dyDescent="0.25" r="259" customHeight="1" ht="17.25">
      <c r="A259" s="7">
        <v>45825</v>
      </c>
      <c r="B259" s="9" t="s">
        <v>484</v>
      </c>
      <c r="C259" s="4"/>
      <c r="D259" s="6">
        <v>25</v>
      </c>
      <c r="E259" s="6">
        <f>E258+C259-D259</f>
      </c>
    </row>
    <row x14ac:dyDescent="0.25" r="260" customHeight="1" ht="17.25">
      <c r="A260" s="7">
        <v>45825</v>
      </c>
      <c r="B260" s="9" t="s">
        <v>228</v>
      </c>
      <c r="C260" s="4"/>
      <c r="D260" s="6">
        <v>117</v>
      </c>
      <c r="E260" s="6">
        <f>E259+C260-D260</f>
      </c>
    </row>
    <row x14ac:dyDescent="0.25" r="261" customHeight="1" ht="17.25">
      <c r="A261" s="7">
        <v>45827</v>
      </c>
      <c r="B261" s="9" t="s">
        <v>554</v>
      </c>
      <c r="C261" s="4"/>
      <c r="D261" s="6">
        <v>150</v>
      </c>
      <c r="E261" s="6">
        <f>E260+C261-D261</f>
      </c>
    </row>
    <row x14ac:dyDescent="0.25" r="262" customHeight="1" ht="17.25">
      <c r="A262" s="7">
        <v>45827</v>
      </c>
      <c r="B262" s="9" t="s">
        <v>554</v>
      </c>
      <c r="C262" s="4"/>
      <c r="D262" s="6">
        <v>50</v>
      </c>
      <c r="E262" s="6">
        <f>E261+C262-D262</f>
      </c>
    </row>
    <row x14ac:dyDescent="0.25" r="263" customHeight="1" ht="17.25">
      <c r="A263" s="7">
        <v>45827</v>
      </c>
      <c r="B263" s="9" t="s">
        <v>485</v>
      </c>
      <c r="C263" s="6">
        <v>34</v>
      </c>
      <c r="D263" s="3"/>
      <c r="E263" s="6">
        <f>E262+C263-D263</f>
      </c>
    </row>
    <row x14ac:dyDescent="0.25" r="264" customHeight="1" ht="17.25">
      <c r="A264" s="7">
        <v>45827</v>
      </c>
      <c r="B264" s="9" t="s">
        <v>266</v>
      </c>
      <c r="C264" s="6">
        <v>20</v>
      </c>
      <c r="D264" s="3"/>
      <c r="E264" s="6">
        <f>E263+C264-D264</f>
      </c>
    </row>
    <row x14ac:dyDescent="0.25" r="265" customHeight="1" ht="17.25">
      <c r="A265" s="7">
        <v>45828</v>
      </c>
      <c r="B265" s="9" t="s">
        <v>497</v>
      </c>
      <c r="C265" s="6">
        <v>51</v>
      </c>
      <c r="D265" s="3"/>
      <c r="E265" s="6">
        <f>E264+C265-D265</f>
      </c>
    </row>
    <row x14ac:dyDescent="0.25" r="266" customHeight="1" ht="17.25">
      <c r="A266" s="7">
        <v>45829</v>
      </c>
      <c r="B266" s="9" t="s">
        <v>497</v>
      </c>
      <c r="C266" s="6">
        <v>49</v>
      </c>
      <c r="D266" s="3"/>
      <c r="E266" s="6">
        <f>E265+C266-D266</f>
      </c>
    </row>
    <row x14ac:dyDescent="0.25" r="267" customHeight="1" ht="17.25">
      <c r="A267" s="7">
        <v>45831</v>
      </c>
      <c r="B267" s="9" t="s">
        <v>141</v>
      </c>
      <c r="C267" s="6">
        <v>7</v>
      </c>
      <c r="D267" s="3"/>
      <c r="E267" s="6">
        <f>E266+C267-D267</f>
      </c>
    </row>
    <row x14ac:dyDescent="0.25" r="268" customHeight="1" ht="17.25">
      <c r="A268" s="7">
        <v>45832</v>
      </c>
      <c r="B268" s="9" t="s">
        <v>89</v>
      </c>
      <c r="C268" s="4"/>
      <c r="D268" s="6">
        <v>240</v>
      </c>
      <c r="E268" s="6">
        <f>E267+C268-D268</f>
      </c>
    </row>
    <row x14ac:dyDescent="0.25" r="269" customHeight="1" ht="17.25">
      <c r="A269" s="7">
        <v>45832</v>
      </c>
      <c r="B269" s="9" t="s">
        <v>524</v>
      </c>
      <c r="C269" s="6">
        <v>85</v>
      </c>
      <c r="D269" s="3"/>
      <c r="E269" s="6">
        <f>E268+C269-D269</f>
      </c>
    </row>
    <row x14ac:dyDescent="0.25" r="270" customHeight="1" ht="17.25">
      <c r="A270" s="8">
        <v>45833</v>
      </c>
      <c r="B270" s="9" t="s">
        <v>35</v>
      </c>
      <c r="C270" s="6">
        <v>49</v>
      </c>
      <c r="D270" s="3"/>
      <c r="E270" s="6">
        <f>E269+C270-D270</f>
      </c>
    </row>
    <row x14ac:dyDescent="0.25" r="271" customHeight="1" ht="17.25">
      <c r="A271" s="7">
        <v>45834</v>
      </c>
      <c r="B271" s="9" t="s">
        <v>286</v>
      </c>
      <c r="C271" s="6">
        <v>5</v>
      </c>
      <c r="D271" s="3"/>
      <c r="E271" s="6">
        <f>E270+C271-D271</f>
      </c>
    </row>
    <row x14ac:dyDescent="0.25" r="272" customHeight="1" ht="17.25">
      <c r="A272" s="8">
        <v>45836</v>
      </c>
      <c r="B272" s="9" t="s">
        <v>29</v>
      </c>
      <c r="C272" s="6">
        <v>1</v>
      </c>
      <c r="D272" s="3"/>
      <c r="E272" s="6">
        <f>E271+C272-D272</f>
      </c>
    </row>
    <row x14ac:dyDescent="0.25" r="273" customHeight="1" ht="17.25">
      <c r="A273" s="7">
        <v>45838</v>
      </c>
      <c r="B273" s="9" t="s">
        <v>554</v>
      </c>
      <c r="C273" s="4"/>
      <c r="D273" s="6">
        <v>70</v>
      </c>
      <c r="E273" s="6">
        <f>E272+C273-D273</f>
      </c>
    </row>
    <row x14ac:dyDescent="0.25" r="274" customHeight="1" ht="17.25">
      <c r="A274" s="7">
        <v>45839</v>
      </c>
      <c r="B274" s="9" t="s">
        <v>554</v>
      </c>
      <c r="C274" s="4"/>
      <c r="D274" s="6">
        <v>50</v>
      </c>
      <c r="E274" s="6">
        <f>E273+C274-D274</f>
      </c>
    </row>
    <row x14ac:dyDescent="0.25" r="275" customHeight="1" ht="17.25">
      <c r="A275" s="8">
        <v>45839</v>
      </c>
      <c r="B275" s="9" t="s">
        <v>35</v>
      </c>
      <c r="C275" s="6">
        <v>8</v>
      </c>
      <c r="D275" s="3"/>
      <c r="E275" s="6">
        <f>E274+C275-D275</f>
      </c>
    </row>
    <row x14ac:dyDescent="0.25" r="276" customHeight="1" ht="17.25">
      <c r="A276" s="7">
        <v>45839</v>
      </c>
      <c r="B276" s="9" t="s">
        <v>286</v>
      </c>
      <c r="C276" s="6">
        <v>2</v>
      </c>
      <c r="D276" s="3"/>
      <c r="E276" s="6">
        <f>E275+C276-D276</f>
      </c>
    </row>
    <row x14ac:dyDescent="0.25" r="277" customHeight="1" ht="17.25">
      <c r="A277" s="8">
        <v>45840</v>
      </c>
      <c r="B277" s="9" t="s">
        <v>3</v>
      </c>
      <c r="C277" s="6">
        <v>13</v>
      </c>
      <c r="D277" s="3"/>
      <c r="E277" s="6">
        <f>E276+C277-D277</f>
      </c>
    </row>
    <row x14ac:dyDescent="0.25" r="278" customHeight="1" ht="17.25">
      <c r="A278" s="7">
        <v>45840</v>
      </c>
      <c r="B278" s="9" t="s">
        <v>414</v>
      </c>
      <c r="C278" s="6">
        <v>16</v>
      </c>
      <c r="D278" s="3"/>
      <c r="E278" s="6">
        <f>E277+C278-D278</f>
      </c>
    </row>
    <row x14ac:dyDescent="0.25" r="279" customHeight="1" ht="17.25">
      <c r="A279" s="7">
        <v>45840</v>
      </c>
      <c r="B279" s="9" t="s">
        <v>89</v>
      </c>
      <c r="C279" s="6">
        <v>179</v>
      </c>
      <c r="D279" s="3"/>
      <c r="E279" s="6">
        <f>E278+C279-D279</f>
      </c>
    </row>
    <row x14ac:dyDescent="0.25" r="280" customHeight="1" ht="17.25">
      <c r="A280" s="7">
        <v>45841</v>
      </c>
      <c r="B280" s="9" t="s">
        <v>284</v>
      </c>
      <c r="C280" s="4"/>
      <c r="D280" s="6">
        <v>200</v>
      </c>
      <c r="E280" s="6">
        <f>E279+C280-D280</f>
      </c>
    </row>
    <row x14ac:dyDescent="0.25" r="281" customHeight="1" ht="17.25">
      <c r="A281" s="7">
        <v>45842</v>
      </c>
      <c r="B281" s="9" t="s">
        <v>298</v>
      </c>
      <c r="C281" s="4"/>
      <c r="D281" s="6">
        <v>362</v>
      </c>
      <c r="E281" s="6">
        <f>E280+C281-D281</f>
      </c>
    </row>
    <row x14ac:dyDescent="0.25" r="282" customHeight="1" ht="17.25">
      <c r="A282" s="7">
        <v>45842</v>
      </c>
      <c r="B282" s="9" t="s">
        <v>89</v>
      </c>
      <c r="C282" s="6">
        <v>106</v>
      </c>
      <c r="D282" s="3"/>
      <c r="E282" s="6">
        <f>E281+C282-D282</f>
      </c>
    </row>
    <row x14ac:dyDescent="0.25" r="283" customHeight="1" ht="17.25">
      <c r="A283" s="8">
        <v>45843</v>
      </c>
      <c r="B283" s="9" t="s">
        <v>284</v>
      </c>
      <c r="C283" s="4"/>
      <c r="D283" s="6">
        <v>190</v>
      </c>
      <c r="E283" s="6">
        <f>E282+C283-D283</f>
      </c>
    </row>
    <row x14ac:dyDescent="0.25" r="284" customHeight="1" ht="17.25">
      <c r="A284" s="8">
        <v>45845</v>
      </c>
      <c r="B284" s="9" t="s">
        <v>298</v>
      </c>
      <c r="C284" s="4"/>
      <c r="D284" s="6">
        <v>362</v>
      </c>
      <c r="E284" s="6">
        <f>E283+C284-D284</f>
      </c>
    </row>
    <row x14ac:dyDescent="0.25" r="285" customHeight="1" ht="17.25">
      <c r="A285" s="8">
        <v>45845</v>
      </c>
      <c r="B285" s="9" t="s">
        <v>298</v>
      </c>
      <c r="C285" s="4"/>
      <c r="D285" s="6">
        <v>166</v>
      </c>
      <c r="E285" s="6">
        <f>E284+C285-D285</f>
      </c>
    </row>
    <row x14ac:dyDescent="0.25" r="286" customHeight="1" ht="17.25">
      <c r="A286" s="8">
        <v>45845</v>
      </c>
      <c r="B286" s="9" t="s">
        <v>284</v>
      </c>
      <c r="C286" s="4"/>
      <c r="D286" s="6">
        <v>110</v>
      </c>
      <c r="E286" s="6">
        <f>E285+C286-D286</f>
      </c>
    </row>
    <row x14ac:dyDescent="0.25" r="287" customHeight="1" ht="17.25">
      <c r="A287" s="7">
        <v>45846</v>
      </c>
      <c r="B287" s="9" t="s">
        <v>234</v>
      </c>
      <c r="C287" s="4"/>
      <c r="D287" s="6">
        <v>150</v>
      </c>
      <c r="E287" s="6">
        <f>E286+C287-D287</f>
      </c>
    </row>
    <row x14ac:dyDescent="0.25" r="288" customHeight="1" ht="17.25">
      <c r="A288" s="7">
        <v>45846</v>
      </c>
      <c r="B288" s="9" t="s">
        <v>141</v>
      </c>
      <c r="C288" s="6">
        <v>15</v>
      </c>
      <c r="D288" s="3"/>
      <c r="E288" s="6">
        <f>E287+C288-D288</f>
      </c>
    </row>
    <row x14ac:dyDescent="0.25" r="289" customHeight="1" ht="17.25">
      <c r="A289" s="8">
        <v>45846</v>
      </c>
      <c r="B289" s="9" t="s">
        <v>42</v>
      </c>
      <c r="C289" s="6">
        <v>58</v>
      </c>
      <c r="D289" s="3"/>
      <c r="E289" s="6">
        <f>E288+C289-D289</f>
      </c>
    </row>
    <row x14ac:dyDescent="0.25" r="290" customHeight="1" ht="17.25">
      <c r="A290" s="7">
        <v>45847</v>
      </c>
      <c r="B290" s="9" t="s">
        <v>299</v>
      </c>
      <c r="C290" s="4"/>
      <c r="D290" s="6">
        <v>144</v>
      </c>
      <c r="E290" s="6">
        <f>E289+C290-D290</f>
      </c>
    </row>
    <row x14ac:dyDescent="0.25" r="291" customHeight="1" ht="17.25">
      <c r="A291" s="7">
        <v>45848</v>
      </c>
      <c r="B291" s="9" t="s">
        <v>286</v>
      </c>
      <c r="C291" s="6">
        <v>24</v>
      </c>
      <c r="D291" s="3"/>
      <c r="E291" s="6">
        <f>E290+C291-D291</f>
      </c>
    </row>
    <row x14ac:dyDescent="0.25" r="292" customHeight="1" ht="17.25">
      <c r="A292" s="7">
        <v>45850</v>
      </c>
      <c r="B292" s="9" t="s">
        <v>189</v>
      </c>
      <c r="C292" s="6">
        <v>2</v>
      </c>
      <c r="D292" s="3"/>
      <c r="E292" s="6">
        <f>E291+C292-D292</f>
      </c>
    </row>
    <row x14ac:dyDescent="0.25" r="293" customHeight="1" ht="17.25">
      <c r="A293" s="7">
        <v>45852</v>
      </c>
      <c r="B293" s="9" t="s">
        <v>286</v>
      </c>
      <c r="C293" s="6">
        <v>1</v>
      </c>
      <c r="D293" s="3"/>
      <c r="E293" s="6">
        <f>E292+C293-D293</f>
      </c>
    </row>
    <row x14ac:dyDescent="0.25" r="294" customHeight="1" ht="17.25">
      <c r="A294" s="7">
        <v>45853</v>
      </c>
      <c r="B294" s="9" t="s">
        <v>47</v>
      </c>
      <c r="C294" s="4"/>
      <c r="D294" s="6">
        <v>240</v>
      </c>
      <c r="E294" s="6">
        <f>E293+C294-D294</f>
      </c>
    </row>
    <row x14ac:dyDescent="0.25" r="295" customHeight="1" ht="17.25">
      <c r="A295" s="7">
        <v>45854</v>
      </c>
      <c r="B295" s="9" t="s">
        <v>189</v>
      </c>
      <c r="C295" s="6">
        <v>4</v>
      </c>
      <c r="D295" s="3"/>
      <c r="E295" s="6">
        <f>E294+C295-D295</f>
      </c>
    </row>
    <row x14ac:dyDescent="0.25" r="296" customHeight="1" ht="17.25">
      <c r="A296" s="7">
        <v>45854</v>
      </c>
      <c r="B296" s="9" t="s">
        <v>189</v>
      </c>
      <c r="C296" s="6">
        <v>3</v>
      </c>
      <c r="D296" s="3"/>
      <c r="E296" s="6">
        <f>E295+C296-D296</f>
      </c>
    </row>
    <row x14ac:dyDescent="0.25" r="297" customHeight="1" ht="17.25">
      <c r="A297" s="7">
        <v>45855</v>
      </c>
      <c r="B297" s="9" t="s">
        <v>42</v>
      </c>
      <c r="C297" s="6">
        <v>84</v>
      </c>
      <c r="D297" s="3"/>
      <c r="E297" s="6">
        <f>E296+C297-D297</f>
      </c>
    </row>
    <row x14ac:dyDescent="0.25" r="298" customHeight="1" ht="17.25">
      <c r="A298" s="7">
        <v>45855</v>
      </c>
      <c r="B298" s="9" t="s">
        <v>556</v>
      </c>
      <c r="C298" s="6">
        <v>10</v>
      </c>
      <c r="D298" s="3"/>
      <c r="E298" s="6">
        <f>E297+C298-D298</f>
      </c>
    </row>
    <row x14ac:dyDescent="0.25" r="299" customHeight="1" ht="17.25">
      <c r="A299" s="7">
        <v>45855</v>
      </c>
      <c r="B299" s="9" t="s">
        <v>382</v>
      </c>
      <c r="C299" s="6">
        <v>1</v>
      </c>
      <c r="D299" s="3"/>
      <c r="E299" s="6">
        <f>E298+C299-D299</f>
      </c>
    </row>
    <row x14ac:dyDescent="0.25" r="300" customHeight="1" ht="17.25">
      <c r="A300" s="7">
        <v>45857</v>
      </c>
      <c r="B300" s="9" t="s">
        <v>303</v>
      </c>
      <c r="C300" s="4"/>
      <c r="D300" s="6">
        <v>100</v>
      </c>
      <c r="E300" s="6">
        <f>E299+C300-D300</f>
      </c>
    </row>
    <row x14ac:dyDescent="0.25" r="301" customHeight="1" ht="17.25">
      <c r="A301" s="7">
        <v>45857</v>
      </c>
      <c r="B301" s="9" t="s">
        <v>299</v>
      </c>
      <c r="C301" s="4"/>
      <c r="D301" s="6">
        <v>30</v>
      </c>
      <c r="E301" s="6">
        <f>E300+C301-D301</f>
      </c>
    </row>
    <row x14ac:dyDescent="0.25" r="302" customHeight="1" ht="17.25">
      <c r="A302" s="7">
        <v>45858</v>
      </c>
      <c r="B302" s="9" t="s">
        <v>303</v>
      </c>
      <c r="C302" s="4"/>
      <c r="D302" s="6">
        <v>88</v>
      </c>
      <c r="E302" s="6">
        <f>E301+C302-D302</f>
      </c>
    </row>
    <row x14ac:dyDescent="0.25" r="303" customHeight="1" ht="17.25">
      <c r="A303" s="8">
        <v>45859</v>
      </c>
      <c r="B303" s="9" t="s">
        <v>286</v>
      </c>
      <c r="C303" s="6">
        <v>1</v>
      </c>
      <c r="D303" s="3"/>
      <c r="E303" s="6">
        <f>E302+C303-D303</f>
      </c>
    </row>
    <row x14ac:dyDescent="0.25" r="304" customHeight="1" ht="17.25">
      <c r="A304" s="7">
        <v>45860</v>
      </c>
      <c r="B304" s="9" t="s">
        <v>42</v>
      </c>
      <c r="C304" s="6">
        <v>41</v>
      </c>
      <c r="D304" s="3"/>
      <c r="E304" s="6">
        <f>E303+C304-D304</f>
      </c>
    </row>
    <row x14ac:dyDescent="0.25" r="305" customHeight="1" ht="17.25">
      <c r="A305" s="8">
        <v>45860</v>
      </c>
      <c r="B305" s="9" t="s">
        <v>89</v>
      </c>
      <c r="C305" s="6">
        <v>77</v>
      </c>
      <c r="D305" s="3"/>
      <c r="E305" s="6">
        <f>E304+C305-D305</f>
      </c>
    </row>
    <row x14ac:dyDescent="0.25" r="306" customHeight="1" ht="17.25">
      <c r="A306" s="7">
        <v>45860</v>
      </c>
      <c r="B306" s="9" t="s">
        <v>141</v>
      </c>
      <c r="C306" s="6">
        <v>5</v>
      </c>
      <c r="D306" s="3"/>
      <c r="E306" s="6">
        <f>E305+C306-D306</f>
      </c>
    </row>
    <row x14ac:dyDescent="0.25" r="307" customHeight="1" ht="17.25">
      <c r="A307" s="7">
        <v>45861</v>
      </c>
      <c r="B307" s="9" t="s">
        <v>284</v>
      </c>
      <c r="C307" s="4"/>
      <c r="D307" s="6">
        <v>200</v>
      </c>
      <c r="E307" s="6">
        <f>E306+C307-D307</f>
      </c>
    </row>
    <row x14ac:dyDescent="0.25" r="308" customHeight="1" ht="17.25">
      <c r="A308" s="7">
        <v>45861</v>
      </c>
      <c r="B308" s="9" t="s">
        <v>342</v>
      </c>
      <c r="C308" s="6">
        <v>13</v>
      </c>
      <c r="D308" s="3"/>
      <c r="E308" s="6">
        <f>E307+C308-D308</f>
      </c>
    </row>
    <row x14ac:dyDescent="0.25" r="309" customHeight="1" ht="17.25">
      <c r="A309" s="7">
        <v>45861</v>
      </c>
      <c r="B309" s="9" t="s">
        <v>141</v>
      </c>
      <c r="C309" s="4"/>
      <c r="D309" s="3"/>
      <c r="E309" s="6">
        <f>E308+C309-D309</f>
      </c>
    </row>
    <row x14ac:dyDescent="0.25" r="310" customHeight="1" ht="17.25">
      <c r="A310" s="7">
        <v>45863</v>
      </c>
      <c r="B310" s="9" t="s">
        <v>35</v>
      </c>
      <c r="C310" s="6">
        <v>85</v>
      </c>
      <c r="D310" s="3"/>
      <c r="E310" s="6">
        <f>E309+C310-D310</f>
      </c>
    </row>
    <row x14ac:dyDescent="0.25" r="311" customHeight="1" ht="17.25">
      <c r="A311" s="7">
        <v>45864</v>
      </c>
      <c r="B311" s="9" t="s">
        <v>241</v>
      </c>
      <c r="C311" s="4"/>
      <c r="D311" s="6">
        <v>60</v>
      </c>
      <c r="E311" s="6">
        <f>E310+C311-D311</f>
      </c>
    </row>
    <row x14ac:dyDescent="0.25" r="312" customHeight="1" ht="17.25">
      <c r="A312" s="7">
        <v>45864</v>
      </c>
      <c r="B312" s="9" t="s">
        <v>47</v>
      </c>
      <c r="C312" s="4"/>
      <c r="D312" s="6">
        <v>85</v>
      </c>
      <c r="E312" s="6">
        <f>E311+C312-D312</f>
      </c>
    </row>
    <row x14ac:dyDescent="0.25" r="313" customHeight="1" ht="17.25">
      <c r="A313" s="8">
        <v>45865</v>
      </c>
      <c r="B313" s="9" t="s">
        <v>264</v>
      </c>
      <c r="C313" s="4"/>
      <c r="D313" s="6">
        <v>12</v>
      </c>
      <c r="E313" s="6">
        <f>E312+C313-D313</f>
      </c>
    </row>
    <row x14ac:dyDescent="0.25" r="314" customHeight="1" ht="17.25">
      <c r="A314" s="7">
        <v>45866</v>
      </c>
      <c r="B314" s="9" t="s">
        <v>241</v>
      </c>
      <c r="C314" s="4"/>
      <c r="D314" s="6">
        <v>36</v>
      </c>
      <c r="E314" s="6">
        <f>E313+C314-D314</f>
      </c>
    </row>
    <row x14ac:dyDescent="0.25" r="315" customHeight="1" ht="17.25">
      <c r="A315" s="7">
        <v>45866</v>
      </c>
      <c r="B315" s="9" t="s">
        <v>48</v>
      </c>
      <c r="C315" s="4"/>
      <c r="D315" s="6">
        <v>400</v>
      </c>
      <c r="E315" s="6">
        <f>E314+C315-D315</f>
      </c>
    </row>
    <row x14ac:dyDescent="0.25" r="316" customHeight="1" ht="17.25">
      <c r="A316" s="7">
        <v>45866</v>
      </c>
      <c r="B316" s="9" t="s">
        <v>89</v>
      </c>
      <c r="C316" s="6">
        <v>79</v>
      </c>
      <c r="D316" s="3"/>
      <c r="E316" s="6">
        <f>E315+C316-D316</f>
      </c>
    </row>
    <row x14ac:dyDescent="0.25" r="317" customHeight="1" ht="17.25">
      <c r="A317" s="7">
        <v>45867</v>
      </c>
      <c r="B317" s="9" t="s">
        <v>47</v>
      </c>
      <c r="C317" s="6">
        <v>35</v>
      </c>
      <c r="D317" s="3"/>
      <c r="E317" s="6">
        <f>E316+C317-D317</f>
      </c>
    </row>
    <row x14ac:dyDescent="0.25" r="318" customHeight="1" ht="17.25">
      <c r="A318" s="7">
        <v>45867</v>
      </c>
      <c r="B318" s="9" t="s">
        <v>3</v>
      </c>
      <c r="C318" s="4"/>
      <c r="D318" s="6">
        <v>116</v>
      </c>
      <c r="E318" s="6">
        <f>E317+C318-D318</f>
      </c>
    </row>
    <row x14ac:dyDescent="0.25" r="319" customHeight="1" ht="17.25">
      <c r="A319" s="7">
        <v>45867</v>
      </c>
      <c r="B319" s="9" t="s">
        <v>3</v>
      </c>
      <c r="C319" s="4"/>
      <c r="D319" s="6">
        <v>84</v>
      </c>
      <c r="E319" s="6">
        <f>E318+C319-D319</f>
      </c>
    </row>
    <row x14ac:dyDescent="0.25" r="320" customHeight="1" ht="17.25">
      <c r="A320" s="8">
        <v>45867</v>
      </c>
      <c r="B320" s="9" t="s">
        <v>35</v>
      </c>
      <c r="C320" s="6">
        <v>8</v>
      </c>
      <c r="D320" s="3"/>
      <c r="E320" s="6">
        <f>E319+C320-D320</f>
      </c>
    </row>
    <row x14ac:dyDescent="0.25" r="321" customHeight="1" ht="17.25">
      <c r="A321" s="7">
        <v>45869</v>
      </c>
      <c r="B321" s="9" t="s">
        <v>47</v>
      </c>
      <c r="C321" s="6">
        <v>18</v>
      </c>
      <c r="D321" s="3"/>
      <c r="E321" s="6">
        <f>E320+C321-D321</f>
      </c>
    </row>
    <row x14ac:dyDescent="0.25" r="322" customHeight="1" ht="17.25">
      <c r="A322" s="7">
        <v>45870</v>
      </c>
      <c r="B322" s="9" t="s">
        <v>47</v>
      </c>
      <c r="C322" s="4"/>
      <c r="D322" s="6">
        <v>140</v>
      </c>
      <c r="E322" s="6">
        <f>E321+C322-D322</f>
      </c>
    </row>
    <row x14ac:dyDescent="0.25" r="323" customHeight="1" ht="17.25">
      <c r="A323" s="7">
        <v>45870</v>
      </c>
      <c r="B323" s="9" t="s">
        <v>35</v>
      </c>
      <c r="C323" s="6">
        <v>25</v>
      </c>
      <c r="D323" s="3"/>
      <c r="E323" s="6">
        <f>E322+C323-D323</f>
      </c>
    </row>
    <row x14ac:dyDescent="0.25" r="324" customHeight="1" ht="17.25">
      <c r="A324" s="7">
        <v>45871</v>
      </c>
      <c r="B324" s="9" t="s">
        <v>3</v>
      </c>
      <c r="C324" s="4"/>
      <c r="D324" s="6">
        <v>50</v>
      </c>
      <c r="E324" s="6">
        <f>E323+C324-D324</f>
      </c>
    </row>
    <row x14ac:dyDescent="0.25" r="325" customHeight="1" ht="17.25">
      <c r="A325" s="8">
        <v>45871</v>
      </c>
      <c r="B325" s="9" t="s">
        <v>47</v>
      </c>
      <c r="C325" s="4"/>
      <c r="D325" s="6">
        <v>10</v>
      </c>
      <c r="E325" s="6">
        <f>E324+C325-D325</f>
      </c>
    </row>
    <row x14ac:dyDescent="0.25" r="326" customHeight="1" ht="17.25">
      <c r="A326" s="7">
        <v>45873</v>
      </c>
      <c r="B326" s="9" t="s">
        <v>47</v>
      </c>
      <c r="C326" s="4"/>
      <c r="D326" s="6">
        <v>90</v>
      </c>
      <c r="E326" s="6">
        <f>E325+C326-D326</f>
      </c>
    </row>
    <row x14ac:dyDescent="0.25" r="327" customHeight="1" ht="17.25">
      <c r="A327" s="7">
        <v>45873</v>
      </c>
      <c r="B327" s="9" t="s">
        <v>298</v>
      </c>
      <c r="C327" s="4"/>
      <c r="D327" s="6">
        <v>288</v>
      </c>
      <c r="E327" s="6">
        <f>E326+C327-D327</f>
      </c>
    </row>
    <row x14ac:dyDescent="0.25" r="328" customHeight="1" ht="17.25">
      <c r="A328" s="7">
        <v>45873</v>
      </c>
      <c r="B328" s="9" t="s">
        <v>47</v>
      </c>
      <c r="C328" s="6">
        <v>17</v>
      </c>
      <c r="D328" s="3"/>
      <c r="E328" s="6">
        <f>E327+C328-D328</f>
      </c>
    </row>
    <row x14ac:dyDescent="0.25" r="329" customHeight="1" ht="17.25">
      <c r="A329" s="8">
        <v>45874</v>
      </c>
      <c r="B329" s="9" t="s">
        <v>287</v>
      </c>
      <c r="C329" s="6">
        <v>14</v>
      </c>
      <c r="D329" s="3"/>
      <c r="E329" s="6">
        <f>E328+C329-D329</f>
      </c>
    </row>
    <row x14ac:dyDescent="0.25" r="330" customHeight="1" ht="17.25">
      <c r="A330" s="7">
        <v>45875</v>
      </c>
      <c r="B330" s="9" t="s">
        <v>34</v>
      </c>
      <c r="C330" s="4"/>
      <c r="D330" s="6">
        <v>200</v>
      </c>
      <c r="E330" s="6">
        <f>E329+C330-D330</f>
      </c>
    </row>
    <row x14ac:dyDescent="0.25" r="331" customHeight="1" ht="17.25">
      <c r="A331" s="7">
        <v>45876</v>
      </c>
      <c r="B331" s="9" t="s">
        <v>189</v>
      </c>
      <c r="C331" s="4"/>
      <c r="D331" s="6">
        <v>44</v>
      </c>
      <c r="E331" s="6">
        <f>E330+C331-D331</f>
      </c>
    </row>
    <row x14ac:dyDescent="0.25" r="332" customHeight="1" ht="17.25">
      <c r="A332" s="7">
        <v>45876</v>
      </c>
      <c r="B332" s="9" t="s">
        <v>308</v>
      </c>
      <c r="C332" s="4"/>
      <c r="D332" s="6">
        <v>66</v>
      </c>
      <c r="E332" s="6">
        <f>E331+C332-D332</f>
      </c>
    </row>
    <row x14ac:dyDescent="0.25" r="333" customHeight="1" ht="17.25">
      <c r="A333" s="8">
        <v>45876</v>
      </c>
      <c r="B333" s="9" t="s">
        <v>308</v>
      </c>
      <c r="C333" s="4"/>
      <c r="D333" s="6">
        <v>16</v>
      </c>
      <c r="E333" s="6">
        <f>E332+C333-D333</f>
      </c>
    </row>
    <row x14ac:dyDescent="0.25" r="334" customHeight="1" ht="17.25">
      <c r="A334" s="7">
        <v>45876</v>
      </c>
      <c r="B334" s="9" t="s">
        <v>3</v>
      </c>
      <c r="C334" s="4"/>
      <c r="D334" s="6">
        <v>135</v>
      </c>
      <c r="E334" s="6">
        <f>E333+C334-D334</f>
      </c>
    </row>
    <row x14ac:dyDescent="0.25" r="335" customHeight="1" ht="17.25">
      <c r="A335" s="8">
        <v>45877</v>
      </c>
      <c r="B335" s="9" t="s">
        <v>3</v>
      </c>
      <c r="C335" s="4"/>
      <c r="D335" s="6">
        <v>65</v>
      </c>
      <c r="E335" s="6">
        <f>E334+C335-D335</f>
      </c>
    </row>
    <row x14ac:dyDescent="0.25" r="336" customHeight="1" ht="17.25">
      <c r="A336" s="7">
        <v>45878</v>
      </c>
      <c r="B336" s="9" t="s">
        <v>501</v>
      </c>
      <c r="C336" s="4"/>
      <c r="D336" s="6">
        <v>100</v>
      </c>
      <c r="E336" s="6">
        <f>E335+C336-D336</f>
      </c>
    </row>
    <row x14ac:dyDescent="0.25" r="337" customHeight="1" ht="17.25">
      <c r="A337" s="7">
        <v>45880</v>
      </c>
      <c r="B337" s="9" t="s">
        <v>370</v>
      </c>
      <c r="C337" s="6">
        <v>12</v>
      </c>
      <c r="D337" s="3"/>
      <c r="E337" s="6">
        <f>E336+C337-D337</f>
      </c>
    </row>
    <row x14ac:dyDescent="0.25" r="338" customHeight="1" ht="17.25">
      <c r="A338" s="7">
        <v>45880</v>
      </c>
      <c r="B338" s="9" t="s">
        <v>141</v>
      </c>
      <c r="C338" s="6">
        <v>9</v>
      </c>
      <c r="D338" s="3"/>
      <c r="E338" s="6">
        <f>E337+C338-D338</f>
      </c>
    </row>
    <row x14ac:dyDescent="0.25" r="339" customHeight="1" ht="17.25">
      <c r="A339" s="7">
        <v>45883</v>
      </c>
      <c r="B339" s="9" t="s">
        <v>299</v>
      </c>
      <c r="C339" s="6">
        <v>32</v>
      </c>
      <c r="D339" s="3"/>
      <c r="E339" s="6">
        <f>E338+C339-D339</f>
      </c>
    </row>
    <row x14ac:dyDescent="0.25" r="340" customHeight="1" ht="17.25">
      <c r="A340" s="7">
        <v>45883</v>
      </c>
      <c r="B340" s="9" t="s">
        <v>559</v>
      </c>
      <c r="C340" s="6">
        <v>25</v>
      </c>
      <c r="D340" s="3"/>
      <c r="E340" s="6">
        <f>E339+C340-D340</f>
      </c>
    </row>
    <row x14ac:dyDescent="0.25" r="341" customHeight="1" ht="17.25">
      <c r="A341" s="7">
        <v>45884</v>
      </c>
      <c r="B341" s="9" t="s">
        <v>501</v>
      </c>
      <c r="C341" s="4"/>
      <c r="D341" s="6">
        <v>100</v>
      </c>
      <c r="E341" s="6">
        <f>E340+C341-D341</f>
      </c>
    </row>
    <row x14ac:dyDescent="0.25" r="342" customHeight="1" ht="17.25">
      <c r="A342" s="7">
        <v>45884</v>
      </c>
      <c r="B342" s="9" t="s">
        <v>241</v>
      </c>
      <c r="C342" s="6">
        <v>61</v>
      </c>
      <c r="D342" s="3"/>
      <c r="E342" s="6">
        <f>E341+C342-D342</f>
      </c>
    </row>
    <row x14ac:dyDescent="0.25" r="343" customHeight="1" ht="17.25">
      <c r="A343" s="8">
        <v>45884</v>
      </c>
      <c r="B343" s="9" t="s">
        <v>35</v>
      </c>
      <c r="C343" s="6">
        <v>12</v>
      </c>
      <c r="D343" s="3"/>
      <c r="E343" s="6">
        <f>E342+C343-D343</f>
      </c>
    </row>
    <row x14ac:dyDescent="0.25" r="344" customHeight="1" ht="17.25">
      <c r="A344" s="7">
        <v>45884</v>
      </c>
      <c r="B344" s="9" t="s">
        <v>241</v>
      </c>
      <c r="C344" s="6">
        <v>4</v>
      </c>
      <c r="D344" s="3"/>
      <c r="E344" s="6">
        <f>E343+C344-D344</f>
      </c>
    </row>
    <row x14ac:dyDescent="0.25" r="345" customHeight="1" ht="17.25">
      <c r="A345" s="7">
        <v>45885</v>
      </c>
      <c r="B345" s="9" t="s">
        <v>299</v>
      </c>
      <c r="C345" s="6">
        <v>37</v>
      </c>
      <c r="D345" s="3"/>
      <c r="E345" s="6">
        <f>E344+C345-D345</f>
      </c>
    </row>
    <row x14ac:dyDescent="0.25" r="346" customHeight="1" ht="17.25">
      <c r="A346" s="7">
        <v>45887</v>
      </c>
      <c r="B346" s="9" t="s">
        <v>501</v>
      </c>
      <c r="C346" s="4"/>
      <c r="D346" s="6">
        <v>100</v>
      </c>
      <c r="E346" s="6">
        <f>E345+C346-D346</f>
      </c>
    </row>
    <row x14ac:dyDescent="0.25" r="347" customHeight="1" ht="17.25">
      <c r="A347" s="8">
        <v>45888</v>
      </c>
      <c r="B347" s="9" t="s">
        <v>346</v>
      </c>
      <c r="C347" s="4"/>
      <c r="D347" s="6">
        <v>36</v>
      </c>
      <c r="E347" s="6">
        <f>E346+C347-D347</f>
      </c>
    </row>
    <row x14ac:dyDescent="0.25" r="348" customHeight="1" ht="17.25">
      <c r="A348" s="7">
        <v>45888</v>
      </c>
      <c r="B348" s="9" t="s">
        <v>502</v>
      </c>
      <c r="C348" s="4"/>
      <c r="D348" s="6">
        <v>68</v>
      </c>
      <c r="E348" s="6">
        <f>E347+C348-D348</f>
      </c>
    </row>
    <row x14ac:dyDescent="0.25" r="349" customHeight="1" ht="17.25">
      <c r="A349" s="7">
        <v>45888</v>
      </c>
      <c r="B349" s="9" t="s">
        <v>303</v>
      </c>
      <c r="C349" s="6">
        <v>188</v>
      </c>
      <c r="D349" s="3"/>
      <c r="E349" s="6">
        <f>E348+C349-D349</f>
      </c>
    </row>
    <row x14ac:dyDescent="0.25" r="350" customHeight="1" ht="17.25">
      <c r="A350" s="7">
        <v>45888</v>
      </c>
      <c r="B350" s="9" t="s">
        <v>141</v>
      </c>
      <c r="C350" s="6">
        <v>31</v>
      </c>
      <c r="D350" s="3"/>
      <c r="E350" s="6">
        <f>E349+C350-D350</f>
      </c>
    </row>
    <row x14ac:dyDescent="0.25" r="351" customHeight="1" ht="17.25">
      <c r="A351" s="7">
        <v>45888</v>
      </c>
      <c r="B351" s="9" t="s">
        <v>342</v>
      </c>
      <c r="C351" s="6">
        <v>2</v>
      </c>
      <c r="D351" s="3"/>
      <c r="E351" s="6">
        <f>E350+C351-D351</f>
      </c>
    </row>
    <row x14ac:dyDescent="0.25" r="352" customHeight="1" ht="17.25">
      <c r="A352" s="7">
        <v>45888</v>
      </c>
      <c r="B352" s="9" t="s">
        <v>299</v>
      </c>
      <c r="C352" s="6">
        <v>47</v>
      </c>
      <c r="D352" s="3"/>
      <c r="E352" s="6">
        <f>E351+C352-D352</f>
      </c>
    </row>
    <row x14ac:dyDescent="0.25" r="353" customHeight="1" ht="17.25">
      <c r="A353" s="7">
        <v>45889</v>
      </c>
      <c r="B353" s="9" t="s">
        <v>501</v>
      </c>
      <c r="C353" s="4"/>
      <c r="D353" s="6">
        <v>100</v>
      </c>
      <c r="E353" s="6">
        <f>E352+C353-D353</f>
      </c>
    </row>
    <row x14ac:dyDescent="0.25" r="354" customHeight="1" ht="17.25">
      <c r="A354" s="7">
        <v>45889</v>
      </c>
      <c r="B354" s="9" t="s">
        <v>502</v>
      </c>
      <c r="C354" s="4"/>
      <c r="D354" s="6">
        <v>32</v>
      </c>
      <c r="E354" s="6">
        <f>E353+C354-D354</f>
      </c>
    </row>
    <row x14ac:dyDescent="0.25" r="355" customHeight="1" ht="17.25">
      <c r="A355" s="7">
        <v>45890</v>
      </c>
      <c r="B355" s="9" t="s">
        <v>47</v>
      </c>
      <c r="C355" s="4"/>
      <c r="D355" s="6">
        <v>50</v>
      </c>
      <c r="E355" s="6">
        <f>E354+C355-D355</f>
      </c>
    </row>
    <row x14ac:dyDescent="0.25" r="356" customHeight="1" ht="17.25">
      <c r="A356" s="7">
        <v>45890</v>
      </c>
      <c r="B356" s="9" t="s">
        <v>448</v>
      </c>
      <c r="C356" s="6">
        <v>80</v>
      </c>
      <c r="D356" s="3"/>
      <c r="E356" s="6">
        <f>E355+C356-D356</f>
      </c>
    </row>
    <row x14ac:dyDescent="0.25" r="357" customHeight="1" ht="17.25">
      <c r="A357" s="7">
        <v>45891</v>
      </c>
      <c r="B357" s="9" t="s">
        <v>299</v>
      </c>
      <c r="C357" s="6">
        <v>32</v>
      </c>
      <c r="D357" s="3"/>
      <c r="E357" s="6">
        <f>E356+C357-D357</f>
      </c>
    </row>
    <row x14ac:dyDescent="0.25" r="358" customHeight="1" ht="17.25">
      <c r="A358" s="7">
        <v>45891</v>
      </c>
      <c r="B358" s="9" t="s">
        <v>89</v>
      </c>
      <c r="C358" s="6">
        <v>8</v>
      </c>
      <c r="D358" s="3"/>
      <c r="E358" s="6">
        <f>E357+C358-D358</f>
      </c>
    </row>
    <row x14ac:dyDescent="0.25" r="359" customHeight="1" ht="17.25">
      <c r="A359" s="8">
        <v>45892</v>
      </c>
      <c r="B359" s="9" t="s">
        <v>42</v>
      </c>
      <c r="C359" s="6">
        <v>23</v>
      </c>
      <c r="D359" s="3"/>
      <c r="E359" s="6">
        <f>E358+C359-D359</f>
      </c>
    </row>
    <row x14ac:dyDescent="0.25" r="360" customHeight="1" ht="17.25">
      <c r="A360" s="7">
        <v>45894</v>
      </c>
      <c r="B360" s="9" t="s">
        <v>331</v>
      </c>
      <c r="C360" s="4"/>
      <c r="D360" s="6">
        <v>10</v>
      </c>
      <c r="E360" s="6">
        <f>E359+C360-D360</f>
      </c>
    </row>
    <row x14ac:dyDescent="0.25" r="361" customHeight="1" ht="17.25">
      <c r="A361" s="7">
        <v>45894</v>
      </c>
      <c r="B361" s="9" t="s">
        <v>47</v>
      </c>
      <c r="C361" s="6">
        <v>17</v>
      </c>
      <c r="D361" s="3"/>
      <c r="E361" s="6">
        <f>E360+C361-D361</f>
      </c>
    </row>
    <row x14ac:dyDescent="0.25" r="362" customHeight="1" ht="17.25">
      <c r="A362" s="7">
        <v>45897</v>
      </c>
      <c r="B362" s="9" t="s">
        <v>47</v>
      </c>
      <c r="C362" s="6">
        <v>83</v>
      </c>
      <c r="D362" s="3"/>
      <c r="E362" s="6">
        <f>E361+C362-D362</f>
      </c>
    </row>
    <row x14ac:dyDescent="0.25" r="363" customHeight="1" ht="17.25">
      <c r="A363" s="7">
        <v>45897</v>
      </c>
      <c r="B363" s="9" t="s">
        <v>89</v>
      </c>
      <c r="C363" s="6">
        <v>26</v>
      </c>
      <c r="D363" s="3"/>
      <c r="E363" s="6">
        <f>E362+C363-D363</f>
      </c>
    </row>
    <row x14ac:dyDescent="0.25" r="364" customHeight="1" ht="17.25">
      <c r="A364" s="7">
        <v>45898</v>
      </c>
      <c r="B364" s="9" t="s">
        <v>299</v>
      </c>
      <c r="C364" s="6">
        <v>12</v>
      </c>
      <c r="D364" s="3"/>
      <c r="E364" s="6">
        <f>E363+C364-D364</f>
      </c>
    </row>
    <row x14ac:dyDescent="0.25" r="365" customHeight="1" ht="17.25">
      <c r="A365" s="7">
        <v>45899</v>
      </c>
      <c r="B365" s="9" t="s">
        <v>264</v>
      </c>
      <c r="C365" s="4"/>
      <c r="D365" s="6">
        <v>38</v>
      </c>
      <c r="E365" s="6">
        <f>E364+C365-D365</f>
      </c>
    </row>
    <row x14ac:dyDescent="0.25" r="366" customHeight="1" ht="17.25">
      <c r="A366" s="7">
        <v>45901</v>
      </c>
      <c r="B366" s="9" t="s">
        <v>47</v>
      </c>
      <c r="C366" s="6">
        <v>85</v>
      </c>
      <c r="D366" s="3"/>
      <c r="E366" s="6">
        <f>E365+C366-D366</f>
      </c>
    </row>
    <row x14ac:dyDescent="0.25" r="367" customHeight="1" ht="17.25">
      <c r="A367" s="7">
        <v>45902</v>
      </c>
      <c r="B367" s="9" t="s">
        <v>47</v>
      </c>
      <c r="C367" s="6">
        <v>85</v>
      </c>
      <c r="D367" s="3"/>
      <c r="E367" s="6">
        <f>E366+C367-D367</f>
      </c>
    </row>
    <row x14ac:dyDescent="0.25" r="368" customHeight="1" ht="17.25">
      <c r="A368" s="7">
        <v>45903</v>
      </c>
      <c r="B368" s="9" t="s">
        <v>299</v>
      </c>
      <c r="C368" s="6">
        <v>14</v>
      </c>
      <c r="D368" s="3"/>
      <c r="E368" s="6">
        <f>E367+C368-D368</f>
      </c>
    </row>
    <row x14ac:dyDescent="0.25" r="369" customHeight="1" ht="17.25">
      <c r="A369" s="7">
        <v>45904</v>
      </c>
      <c r="B369" s="9" t="s">
        <v>89</v>
      </c>
      <c r="C369" s="6">
        <v>24</v>
      </c>
      <c r="D369" s="3"/>
      <c r="E369" s="6">
        <f>E368+C369-D369</f>
      </c>
    </row>
    <row x14ac:dyDescent="0.25" r="370" customHeight="1" ht="17.25">
      <c r="A370" s="7">
        <v>45906</v>
      </c>
      <c r="B370" s="9" t="s">
        <v>284</v>
      </c>
      <c r="C370" s="6">
        <v>121</v>
      </c>
      <c r="D370" s="3"/>
      <c r="E370" s="6">
        <f>E369+C370-D370</f>
      </c>
    </row>
    <row x14ac:dyDescent="0.25" r="371" customHeight="1" ht="17.25">
      <c r="A371" s="7">
        <v>45910</v>
      </c>
      <c r="B371" s="9" t="s">
        <v>332</v>
      </c>
      <c r="C371" s="4"/>
      <c r="D371" s="6">
        <v>36</v>
      </c>
      <c r="E371" s="6">
        <f>E370+C371-D371</f>
      </c>
    </row>
    <row x14ac:dyDescent="0.25" r="372" customHeight="1" ht="17.25">
      <c r="A372" s="7">
        <v>45911</v>
      </c>
      <c r="B372" s="9" t="s">
        <v>141</v>
      </c>
      <c r="C372" s="6">
        <v>2</v>
      </c>
      <c r="D372" s="3"/>
      <c r="E372" s="6">
        <f>E371+C372-D372</f>
      </c>
    </row>
    <row x14ac:dyDescent="0.25" r="373" customHeight="1" ht="17.25">
      <c r="A373" s="7">
        <v>45911</v>
      </c>
      <c r="B373" s="9" t="s">
        <v>284</v>
      </c>
      <c r="C373" s="6">
        <v>61</v>
      </c>
      <c r="D373" s="3"/>
      <c r="E373" s="6">
        <f>E372+C373-D373</f>
      </c>
    </row>
    <row x14ac:dyDescent="0.25" r="374" customHeight="1" ht="17.25">
      <c r="A374" s="7">
        <v>45912</v>
      </c>
      <c r="B374" s="9" t="s">
        <v>427</v>
      </c>
      <c r="C374" s="4"/>
      <c r="D374" s="6">
        <v>180</v>
      </c>
      <c r="E374" s="6">
        <f>E373+C374-D374</f>
      </c>
    </row>
    <row x14ac:dyDescent="0.25" r="375" customHeight="1" ht="17.25">
      <c r="A375" s="7">
        <v>45912</v>
      </c>
      <c r="B375" s="9" t="s">
        <v>503</v>
      </c>
      <c r="C375" s="6">
        <v>22</v>
      </c>
      <c r="D375" s="3"/>
      <c r="E375" s="6">
        <f>E374+C375-D375</f>
      </c>
    </row>
    <row x14ac:dyDescent="0.25" r="376" customHeight="1" ht="17.25">
      <c r="A376" s="7">
        <v>45912</v>
      </c>
      <c r="B376" s="9" t="s">
        <v>89</v>
      </c>
      <c r="C376" s="6">
        <v>31</v>
      </c>
      <c r="D376" s="3"/>
      <c r="E376" s="6">
        <f>E375+C376-D376</f>
      </c>
    </row>
    <row x14ac:dyDescent="0.25" r="377" customHeight="1" ht="17.25">
      <c r="A377" s="8">
        <v>45915</v>
      </c>
      <c r="B377" s="9" t="s">
        <v>141</v>
      </c>
      <c r="C377" s="6">
        <v>3</v>
      </c>
      <c r="D377" s="3"/>
      <c r="E377" s="6">
        <f>E376+C377-D377</f>
      </c>
    </row>
    <row x14ac:dyDescent="0.25" r="378" customHeight="1" ht="17.25">
      <c r="A378" s="7">
        <v>45917</v>
      </c>
      <c r="B378" s="9" t="s">
        <v>35</v>
      </c>
      <c r="C378" s="6">
        <v>18</v>
      </c>
      <c r="D378" s="3"/>
      <c r="E378" s="6">
        <f>E377+C378-D378</f>
      </c>
    </row>
    <row x14ac:dyDescent="0.25" r="379" customHeight="1" ht="17.25">
      <c r="A379" s="7">
        <v>45918</v>
      </c>
      <c r="B379" s="9" t="s">
        <v>124</v>
      </c>
      <c r="C379" s="4"/>
      <c r="D379" s="6">
        <v>38</v>
      </c>
      <c r="E379" s="6">
        <f>E378+C379-D379</f>
      </c>
    </row>
    <row x14ac:dyDescent="0.25" r="380" customHeight="1" ht="17.25">
      <c r="A380" s="7">
        <v>45918</v>
      </c>
      <c r="B380" s="9" t="s">
        <v>234</v>
      </c>
      <c r="C380" s="4"/>
      <c r="D380" s="6">
        <v>20</v>
      </c>
      <c r="E380" s="6">
        <f>E379+C380-D380</f>
      </c>
    </row>
    <row x14ac:dyDescent="0.25" r="381" customHeight="1" ht="17.25">
      <c r="A381" s="7">
        <v>45918</v>
      </c>
      <c r="B381" s="9" t="s">
        <v>34</v>
      </c>
      <c r="C381" s="6">
        <v>38</v>
      </c>
      <c r="D381" s="3"/>
      <c r="E381" s="6">
        <f>E380+C381-D381</f>
      </c>
    </row>
    <row x14ac:dyDescent="0.25" r="382" customHeight="1" ht="17.25">
      <c r="A382" s="7">
        <v>45918</v>
      </c>
      <c r="B382" s="9" t="s">
        <v>34</v>
      </c>
      <c r="C382" s="6">
        <v>33</v>
      </c>
      <c r="D382" s="3"/>
      <c r="E382" s="6">
        <f>E381+C382-D382</f>
      </c>
    </row>
    <row x14ac:dyDescent="0.25" r="383" customHeight="1" ht="17.25">
      <c r="A383" s="7">
        <v>45919</v>
      </c>
      <c r="B383" s="9" t="s">
        <v>124</v>
      </c>
      <c r="C383" s="4"/>
      <c r="D383" s="6">
        <v>150</v>
      </c>
      <c r="E383" s="6">
        <f>E382+C383-D383</f>
      </c>
    </row>
    <row x14ac:dyDescent="0.25" r="384" customHeight="1" ht="17.25">
      <c r="A384" s="7">
        <v>45920</v>
      </c>
      <c r="B384" s="9" t="s">
        <v>124</v>
      </c>
      <c r="C384" s="4"/>
      <c r="D384" s="6">
        <v>250</v>
      </c>
      <c r="E384" s="6">
        <f>E383+C384-D384</f>
      </c>
    </row>
    <row x14ac:dyDescent="0.25" r="385" customHeight="1" ht="17.25">
      <c r="A385" s="7">
        <v>45922</v>
      </c>
      <c r="B385" s="9" t="s">
        <v>124</v>
      </c>
      <c r="C385" s="4"/>
      <c r="D385" s="6">
        <v>212</v>
      </c>
      <c r="E385" s="6">
        <f>E384+C385-D385</f>
      </c>
    </row>
    <row x14ac:dyDescent="0.25" r="386" customHeight="1" ht="17.25">
      <c r="A386" s="7">
        <v>45922</v>
      </c>
      <c r="B386" s="9" t="s">
        <v>266</v>
      </c>
      <c r="C386" s="4"/>
      <c r="D386" s="6">
        <v>50</v>
      </c>
      <c r="E386" s="6">
        <f>E385+C386-D386</f>
      </c>
    </row>
    <row x14ac:dyDescent="0.25" r="387" customHeight="1" ht="17.25">
      <c r="A387" s="7">
        <v>45922</v>
      </c>
      <c r="B387" s="9" t="s">
        <v>35</v>
      </c>
      <c r="C387" s="6">
        <v>5</v>
      </c>
      <c r="D387" s="3"/>
      <c r="E387" s="6">
        <f>E386+C387-D387</f>
      </c>
    </row>
    <row x14ac:dyDescent="0.25" r="388" customHeight="1" ht="17.25">
      <c r="A388" s="8">
        <v>45924</v>
      </c>
      <c r="B388" s="9" t="s">
        <v>284</v>
      </c>
      <c r="C388" s="6">
        <v>117</v>
      </c>
      <c r="D388" s="3"/>
      <c r="E388" s="6">
        <f>E387+C388-D388</f>
      </c>
    </row>
    <row x14ac:dyDescent="0.25" r="389" customHeight="1" ht="17.25">
      <c r="A389" s="8">
        <v>45924</v>
      </c>
      <c r="B389" s="9" t="s">
        <v>42</v>
      </c>
      <c r="C389" s="6">
        <v>17</v>
      </c>
      <c r="D389" s="3"/>
      <c r="E389" s="6">
        <f>E388+C389-D389</f>
      </c>
    </row>
    <row x14ac:dyDescent="0.25" r="390" customHeight="1" ht="17.25">
      <c r="A390" s="7">
        <v>45925</v>
      </c>
      <c r="B390" s="9" t="s">
        <v>554</v>
      </c>
      <c r="C390" s="6">
        <v>127</v>
      </c>
      <c r="D390" s="3"/>
      <c r="E390" s="6">
        <f>E389+C390-D390</f>
      </c>
    </row>
    <row x14ac:dyDescent="0.25" r="391" customHeight="1" ht="17.25">
      <c r="A391" s="7">
        <v>45925</v>
      </c>
      <c r="B391" s="9" t="s">
        <v>34</v>
      </c>
      <c r="C391" s="6">
        <v>120</v>
      </c>
      <c r="D391" s="3"/>
      <c r="E391" s="6">
        <f>E390+C391-D391</f>
      </c>
    </row>
    <row x14ac:dyDescent="0.25" r="392" customHeight="1" ht="17.25">
      <c r="A392" s="7">
        <v>45926</v>
      </c>
      <c r="B392" s="9" t="s">
        <v>564</v>
      </c>
      <c r="C392" s="4"/>
      <c r="D392" s="6">
        <v>100</v>
      </c>
      <c r="E392" s="6">
        <f>E391+C392-D392</f>
      </c>
    </row>
    <row x14ac:dyDescent="0.25" r="393" customHeight="1" ht="17.25">
      <c r="A393" s="7">
        <v>45927</v>
      </c>
      <c r="B393" s="9" t="s">
        <v>554</v>
      </c>
      <c r="C393" s="6">
        <v>54</v>
      </c>
      <c r="D393" s="3"/>
      <c r="E393" s="6">
        <f>E392+C393-D393</f>
      </c>
    </row>
    <row x14ac:dyDescent="0.25" r="394" customHeight="1" ht="17.25">
      <c r="A394" s="7">
        <v>45930</v>
      </c>
      <c r="B394" s="9" t="s">
        <v>543</v>
      </c>
      <c r="C394" s="6">
        <v>73</v>
      </c>
      <c r="D394" s="3"/>
      <c r="E394" s="6">
        <f>E393+C394-D394</f>
      </c>
    </row>
    <row x14ac:dyDescent="0.25" r="395" customHeight="1" ht="17.25">
      <c r="A395" s="7">
        <v>45930</v>
      </c>
      <c r="B395" s="9" t="s">
        <v>47</v>
      </c>
      <c r="C395" s="6">
        <v>53</v>
      </c>
      <c r="D395" s="3"/>
      <c r="E395" s="6">
        <f>E394+C395-D395</f>
      </c>
    </row>
    <row x14ac:dyDescent="0.25" r="396" customHeight="1" ht="17.25">
      <c r="A396" s="7">
        <v>45931</v>
      </c>
      <c r="B396" s="9" t="s">
        <v>414</v>
      </c>
      <c r="C396" s="4"/>
      <c r="D396" s="6">
        <v>46</v>
      </c>
      <c r="E396" s="6">
        <f>E395+C396-D396</f>
      </c>
    </row>
    <row x14ac:dyDescent="0.25" r="397" customHeight="1" ht="17.25">
      <c r="A397" s="7">
        <v>45931</v>
      </c>
      <c r="B397" s="9" t="s">
        <v>2</v>
      </c>
      <c r="C397" s="4"/>
      <c r="D397" s="6">
        <v>4</v>
      </c>
      <c r="E397" s="6">
        <f>E396+C397-D397</f>
      </c>
    </row>
    <row x14ac:dyDescent="0.25" r="398" customHeight="1" ht="17.25">
      <c r="A398" s="7">
        <v>45931</v>
      </c>
      <c r="B398" s="9" t="s">
        <v>228</v>
      </c>
      <c r="C398" s="6">
        <v>15</v>
      </c>
      <c r="D398" s="3"/>
      <c r="E398" s="6">
        <f>E397+C398-D398</f>
      </c>
    </row>
    <row x14ac:dyDescent="0.25" r="399" customHeight="1" ht="17.25">
      <c r="A399" s="7">
        <v>45932</v>
      </c>
      <c r="B399" s="9" t="s">
        <v>456</v>
      </c>
      <c r="C399" s="4"/>
      <c r="D399" s="6">
        <v>30</v>
      </c>
      <c r="E399" s="6">
        <f>E398+C399-D399</f>
      </c>
    </row>
    <row x14ac:dyDescent="0.25" r="400" customHeight="1" ht="17.25">
      <c r="A400" s="7">
        <v>45932</v>
      </c>
      <c r="B400" s="9" t="s">
        <v>264</v>
      </c>
      <c r="C400" s="6">
        <v>65</v>
      </c>
      <c r="D400" s="3"/>
      <c r="E400" s="6">
        <f>E399+C400-D400</f>
      </c>
    </row>
    <row x14ac:dyDescent="0.25" r="401" customHeight="1" ht="17.25">
      <c r="A401" s="7">
        <v>45932</v>
      </c>
      <c r="B401" s="9" t="s">
        <v>3</v>
      </c>
      <c r="C401" s="6">
        <v>114</v>
      </c>
      <c r="D401" s="3"/>
      <c r="E401" s="6">
        <f>E400+C401-D401</f>
      </c>
    </row>
    <row x14ac:dyDescent="0.25" r="402" customHeight="1" ht="17.25">
      <c r="A402" s="7">
        <v>45932</v>
      </c>
      <c r="B402" s="9" t="s">
        <v>426</v>
      </c>
      <c r="C402" s="6">
        <v>100</v>
      </c>
      <c r="D402" s="3"/>
      <c r="E402" s="6">
        <f>E401+C402-D402</f>
      </c>
    </row>
    <row x14ac:dyDescent="0.25" r="403" customHeight="1" ht="17.25">
      <c r="A403" s="8">
        <v>45934</v>
      </c>
      <c r="B403" s="9" t="s">
        <v>184</v>
      </c>
      <c r="C403" s="6">
        <v>3</v>
      </c>
      <c r="D403" s="3"/>
      <c r="E403" s="6">
        <f>E402+C403-D403</f>
      </c>
    </row>
    <row x14ac:dyDescent="0.25" r="404" customHeight="1" ht="17.25">
      <c r="A404" s="7">
        <v>45936</v>
      </c>
      <c r="B404" s="9" t="s">
        <v>504</v>
      </c>
      <c r="C404" s="4"/>
      <c r="D404" s="6">
        <v>126</v>
      </c>
      <c r="E404" s="6">
        <f>E403+C404-D404</f>
      </c>
    </row>
    <row x14ac:dyDescent="0.25" r="405" customHeight="1" ht="17.25">
      <c r="A405" s="7">
        <v>45937</v>
      </c>
      <c r="B405" s="9" t="s">
        <v>312</v>
      </c>
      <c r="C405" s="4"/>
      <c r="D405" s="6">
        <v>10</v>
      </c>
      <c r="E405" s="6">
        <f>E404+C405-D405</f>
      </c>
    </row>
    <row x14ac:dyDescent="0.25" r="406" customHeight="1" ht="17.25">
      <c r="A406" s="8">
        <v>45939</v>
      </c>
      <c r="B406" s="9" t="s">
        <v>314</v>
      </c>
      <c r="C406" s="6">
        <v>33</v>
      </c>
      <c r="D406" s="3"/>
      <c r="E406" s="6">
        <f>E405+C406-D406</f>
      </c>
    </row>
    <row x14ac:dyDescent="0.25" r="407" customHeight="1" ht="17.25">
      <c r="A407" s="7">
        <v>45941</v>
      </c>
      <c r="B407" s="9" t="s">
        <v>287</v>
      </c>
      <c r="C407" s="6">
        <v>4</v>
      </c>
      <c r="D407" s="3"/>
      <c r="E407" s="6">
        <f>E406+C407-D407</f>
      </c>
    </row>
    <row x14ac:dyDescent="0.25" r="408" customHeight="1" ht="17.25">
      <c r="A408" s="8">
        <v>45941</v>
      </c>
      <c r="B408" s="9" t="s">
        <v>184</v>
      </c>
      <c r="C408" s="6">
        <v>59</v>
      </c>
      <c r="D408" s="3"/>
      <c r="E408" s="6">
        <f>E407+C408-D408</f>
      </c>
    </row>
    <row x14ac:dyDescent="0.25" r="409" customHeight="1" ht="17.25">
      <c r="A409" s="7">
        <v>45944</v>
      </c>
      <c r="B409" s="9" t="s">
        <v>459</v>
      </c>
      <c r="C409" s="6">
        <v>30</v>
      </c>
      <c r="D409" s="3"/>
      <c r="E409" s="6">
        <f>E408+C409-D409</f>
      </c>
    </row>
    <row x14ac:dyDescent="0.25" r="410" customHeight="1" ht="17.25">
      <c r="A410" s="7">
        <v>45944</v>
      </c>
      <c r="B410" s="9" t="s">
        <v>298</v>
      </c>
      <c r="C410" s="6">
        <v>239</v>
      </c>
      <c r="D410" s="3"/>
      <c r="E410" s="6">
        <f>E409+C410-D410</f>
      </c>
    </row>
    <row x14ac:dyDescent="0.25" r="411" customHeight="1" ht="17.25">
      <c r="A411" s="7">
        <v>45945</v>
      </c>
      <c r="B411" s="9" t="s">
        <v>298</v>
      </c>
      <c r="C411" s="6">
        <v>136</v>
      </c>
      <c r="D411" s="3"/>
      <c r="E411" s="6">
        <f>E410+C411-D411</f>
      </c>
    </row>
    <row x14ac:dyDescent="0.25" r="412" customHeight="1" ht="17.25">
      <c r="A412" s="8">
        <v>45946</v>
      </c>
      <c r="B412" s="9" t="s">
        <v>141</v>
      </c>
      <c r="C412" s="6">
        <v>6</v>
      </c>
      <c r="D412" s="3"/>
      <c r="E412" s="6">
        <f>E411+C412-D412</f>
      </c>
    </row>
    <row x14ac:dyDescent="0.25" r="413" customHeight="1" ht="17.25">
      <c r="A413" s="7">
        <v>45946</v>
      </c>
      <c r="B413" s="9" t="s">
        <v>184</v>
      </c>
      <c r="C413" s="6">
        <v>12</v>
      </c>
      <c r="D413" s="3"/>
      <c r="E413" s="6">
        <f>E412+C413-D413</f>
      </c>
    </row>
    <row x14ac:dyDescent="0.25" r="414" customHeight="1" ht="17.25">
      <c r="A414" s="7">
        <v>45946</v>
      </c>
      <c r="B414" s="9" t="s">
        <v>3</v>
      </c>
      <c r="C414" s="6">
        <v>49</v>
      </c>
      <c r="D414" s="3"/>
      <c r="E414" s="6">
        <f>E413+C414-D414</f>
      </c>
    </row>
    <row x14ac:dyDescent="0.25" r="415" customHeight="1" ht="17.25">
      <c r="A415" s="7">
        <v>45947</v>
      </c>
      <c r="B415" s="9" t="s">
        <v>512</v>
      </c>
      <c r="C415" s="4"/>
      <c r="D415" s="6">
        <v>50</v>
      </c>
      <c r="E415" s="6">
        <f>E414+C415-D415</f>
      </c>
    </row>
    <row x14ac:dyDescent="0.25" r="416" customHeight="1" ht="17.25">
      <c r="A416" s="7">
        <v>45947</v>
      </c>
      <c r="B416" s="9" t="s">
        <v>284</v>
      </c>
      <c r="C416" s="6">
        <v>52</v>
      </c>
      <c r="D416" s="3"/>
      <c r="E416" s="6">
        <f>E415+C416-D416</f>
      </c>
    </row>
    <row x14ac:dyDescent="0.25" r="417" customHeight="1" ht="17.25">
      <c r="A417" s="8">
        <v>45948</v>
      </c>
      <c r="B417" s="9" t="s">
        <v>184</v>
      </c>
      <c r="C417" s="6">
        <v>9</v>
      </c>
      <c r="D417" s="3"/>
      <c r="E417" s="6">
        <f>E416+C417-D417</f>
      </c>
    </row>
    <row x14ac:dyDescent="0.25" r="418" customHeight="1" ht="17.25">
      <c r="A418" s="7">
        <v>45950</v>
      </c>
      <c r="B418" s="9" t="s">
        <v>3</v>
      </c>
      <c r="C418" s="6">
        <v>82</v>
      </c>
      <c r="D418" s="3"/>
      <c r="E418" s="6">
        <f>E417+C418-D418</f>
      </c>
    </row>
    <row x14ac:dyDescent="0.25" r="419" customHeight="1" ht="17.25">
      <c r="A419" s="7">
        <v>45951</v>
      </c>
      <c r="B419" s="9" t="s">
        <v>3</v>
      </c>
      <c r="C419" s="6">
        <v>68</v>
      </c>
      <c r="D419" s="3"/>
      <c r="E419" s="6">
        <f>E418+C419-D419</f>
      </c>
    </row>
    <row x14ac:dyDescent="0.25" r="420" customHeight="1" ht="17.25">
      <c r="A420" s="7">
        <v>45952</v>
      </c>
      <c r="B420" s="9" t="s">
        <v>141</v>
      </c>
      <c r="C420" s="6">
        <v>1</v>
      </c>
      <c r="D420" s="3"/>
      <c r="E420" s="6">
        <f>E419+C420-D420</f>
      </c>
    </row>
    <row x14ac:dyDescent="0.25" r="421" customHeight="1" ht="17.25">
      <c r="A421" s="7">
        <v>45952</v>
      </c>
      <c r="B421" s="9" t="s">
        <v>43</v>
      </c>
      <c r="C421" s="6">
        <v>92</v>
      </c>
      <c r="D421" s="3"/>
      <c r="E421" s="6">
        <f>E420+C421-D421</f>
      </c>
    </row>
    <row x14ac:dyDescent="0.25" r="422" customHeight="1" ht="17.25">
      <c r="A422" s="7">
        <v>45952</v>
      </c>
      <c r="B422" s="9" t="s">
        <v>3</v>
      </c>
      <c r="C422" s="6">
        <v>46</v>
      </c>
      <c r="D422" s="3"/>
      <c r="E422" s="6">
        <f>E421+C422-D422</f>
      </c>
    </row>
    <row x14ac:dyDescent="0.25" r="423" customHeight="1" ht="17.25">
      <c r="A423" s="7">
        <v>45953</v>
      </c>
      <c r="B423" s="9" t="s">
        <v>566</v>
      </c>
      <c r="C423" s="4"/>
      <c r="D423" s="6">
        <v>20</v>
      </c>
      <c r="E423" s="6">
        <f>E422+C423-D423</f>
      </c>
    </row>
    <row x14ac:dyDescent="0.25" r="424" customHeight="1" ht="17.25">
      <c r="A424" s="7">
        <v>45953</v>
      </c>
      <c r="B424" s="9" t="s">
        <v>47</v>
      </c>
      <c r="C424" s="6">
        <v>85</v>
      </c>
      <c r="D424" s="3"/>
      <c r="E424" s="6">
        <f>E423+C424-D424</f>
      </c>
    </row>
    <row x14ac:dyDescent="0.25" r="425" customHeight="1" ht="17.25">
      <c r="A425" s="7">
        <v>45954</v>
      </c>
      <c r="B425" s="9" t="s">
        <v>504</v>
      </c>
      <c r="C425" s="4"/>
      <c r="D425" s="6">
        <v>406</v>
      </c>
      <c r="E425" s="6">
        <f>E424+C425-D425</f>
      </c>
    </row>
    <row x14ac:dyDescent="0.25" r="426" customHeight="1" ht="17.25">
      <c r="A426" s="7">
        <v>45954</v>
      </c>
      <c r="B426" s="9" t="s">
        <v>3</v>
      </c>
      <c r="C426" s="6">
        <v>45</v>
      </c>
      <c r="D426" s="3"/>
      <c r="E426" s="6">
        <f>E425+C426-D426</f>
      </c>
    </row>
    <row x14ac:dyDescent="0.25" r="427" customHeight="1" ht="17.25">
      <c r="A427" s="7">
        <v>45957</v>
      </c>
      <c r="B427" s="9" t="s">
        <v>3</v>
      </c>
      <c r="C427" s="6">
        <v>49</v>
      </c>
      <c r="D427" s="3"/>
      <c r="E427" s="6">
        <f>E426+C427-D427</f>
      </c>
    </row>
    <row x14ac:dyDescent="0.25" r="428" customHeight="1" ht="17.25">
      <c r="A428" s="7">
        <v>45957</v>
      </c>
      <c r="B428" s="9" t="s">
        <v>495</v>
      </c>
      <c r="C428" s="6">
        <v>73</v>
      </c>
      <c r="D428" s="3"/>
      <c r="E428" s="6">
        <f>E427+C428-D428</f>
      </c>
    </row>
    <row x14ac:dyDescent="0.25" r="429" customHeight="1" ht="17.25">
      <c r="A429" s="7">
        <v>45957</v>
      </c>
      <c r="B429" s="9" t="s">
        <v>141</v>
      </c>
      <c r="C429" s="6">
        <v>2</v>
      </c>
      <c r="D429" s="3"/>
      <c r="E429" s="6">
        <f>E428+C429-D429</f>
      </c>
    </row>
    <row x14ac:dyDescent="0.25" r="430" customHeight="1" ht="17.25">
      <c r="A430" s="8">
        <v>45958</v>
      </c>
      <c r="B430" s="9" t="s">
        <v>347</v>
      </c>
      <c r="C430" s="4"/>
      <c r="D430" s="6">
        <v>10</v>
      </c>
      <c r="E430" s="6">
        <f>E429+C430-D430</f>
      </c>
    </row>
    <row x14ac:dyDescent="0.25" r="431" customHeight="1" ht="17.25">
      <c r="A431" s="7">
        <v>45958</v>
      </c>
      <c r="B431" s="9" t="s">
        <v>317</v>
      </c>
      <c r="C431" s="6">
        <v>10</v>
      </c>
      <c r="D431" s="3"/>
      <c r="E431" s="6">
        <f>E430+C431-D431</f>
      </c>
    </row>
    <row x14ac:dyDescent="0.25" r="432" customHeight="1" ht="17.25">
      <c r="A432" s="7">
        <v>45958</v>
      </c>
      <c r="B432" s="9" t="s">
        <v>184</v>
      </c>
      <c r="C432" s="6">
        <v>12</v>
      </c>
      <c r="D432" s="3"/>
      <c r="E432" s="6">
        <f>E431+C432-D432</f>
      </c>
    </row>
    <row x14ac:dyDescent="0.25" r="433" customHeight="1" ht="17.25">
      <c r="A433" s="7">
        <v>45958</v>
      </c>
      <c r="B433" s="9" t="s">
        <v>493</v>
      </c>
      <c r="C433" s="6">
        <v>92</v>
      </c>
      <c r="D433" s="3"/>
      <c r="E433" s="6">
        <f>E432+C433-D433</f>
      </c>
    </row>
    <row x14ac:dyDescent="0.25" r="434" customHeight="1" ht="17.25">
      <c r="A434" s="7">
        <v>45958</v>
      </c>
      <c r="B434" s="9" t="s">
        <v>3</v>
      </c>
      <c r="C434" s="6">
        <v>62</v>
      </c>
      <c r="D434" s="3"/>
      <c r="E434" s="6">
        <f>E433+C434-D434</f>
      </c>
    </row>
    <row x14ac:dyDescent="0.25" r="435" customHeight="1" ht="17.25">
      <c r="A435" s="8">
        <v>45959</v>
      </c>
      <c r="B435" s="9" t="s">
        <v>184</v>
      </c>
      <c r="C435" s="6">
        <v>23</v>
      </c>
      <c r="D435" s="3"/>
      <c r="E435" s="6">
        <f>E434+C435-D435</f>
      </c>
    </row>
    <row x14ac:dyDescent="0.25" r="436" customHeight="1" ht="17.25">
      <c r="A436" s="7">
        <v>45959</v>
      </c>
      <c r="B436" s="9" t="s">
        <v>578</v>
      </c>
      <c r="C436" s="6">
        <v>56</v>
      </c>
      <c r="D436" s="3"/>
      <c r="E436" s="6">
        <f>E435+C436-D436</f>
      </c>
    </row>
    <row x14ac:dyDescent="0.25" r="437" customHeight="1" ht="17.25">
      <c r="A437" s="8">
        <v>45959</v>
      </c>
      <c r="B437" s="9" t="s">
        <v>370</v>
      </c>
      <c r="C437" s="6">
        <v>45</v>
      </c>
      <c r="D437" s="3"/>
      <c r="E437" s="6">
        <f>E436+C437-D437</f>
      </c>
    </row>
    <row x14ac:dyDescent="0.25" r="438" customHeight="1" ht="17.25">
      <c r="A438" s="7">
        <v>45960</v>
      </c>
      <c r="B438" s="9" t="s">
        <v>318</v>
      </c>
      <c r="C438" s="4"/>
      <c r="D438" s="6">
        <v>160</v>
      </c>
      <c r="E438" s="6">
        <f>E437+C438-D438</f>
      </c>
    </row>
    <row x14ac:dyDescent="0.25" r="439" customHeight="1" ht="17.25">
      <c r="A439" s="7">
        <v>45960</v>
      </c>
      <c r="B439" s="9" t="s">
        <v>514</v>
      </c>
      <c r="C439" s="4"/>
      <c r="D439" s="6">
        <v>100</v>
      </c>
      <c r="E439" s="6">
        <f>E438+C439-D439</f>
      </c>
    </row>
    <row x14ac:dyDescent="0.25" r="440" customHeight="1" ht="17.25">
      <c r="A440" s="8">
        <v>45960</v>
      </c>
      <c r="B440" s="9" t="s">
        <v>141</v>
      </c>
      <c r="C440" s="6">
        <v>3</v>
      </c>
      <c r="D440" s="3"/>
      <c r="E440" s="6">
        <f>E439+C440-D440</f>
      </c>
    </row>
    <row x14ac:dyDescent="0.25" r="441" customHeight="1" ht="17.25">
      <c r="A441" s="7">
        <v>45960</v>
      </c>
      <c r="B441" s="9" t="s">
        <v>3</v>
      </c>
      <c r="C441" s="6">
        <v>52</v>
      </c>
      <c r="D441" s="3"/>
      <c r="E441" s="6">
        <f>E440+C441-D441</f>
      </c>
    </row>
    <row x14ac:dyDescent="0.25" r="442" customHeight="1" ht="17.25">
      <c r="A442" s="7">
        <v>45961</v>
      </c>
      <c r="B442" s="9" t="s">
        <v>319</v>
      </c>
      <c r="C442" s="4"/>
      <c r="D442" s="6">
        <v>100</v>
      </c>
      <c r="E442" s="6">
        <f>E441+C442-D442</f>
      </c>
    </row>
    <row x14ac:dyDescent="0.25" r="443" customHeight="1" ht="17.25">
      <c r="A443" s="7">
        <v>45961</v>
      </c>
      <c r="B443" s="9" t="s">
        <v>489</v>
      </c>
      <c r="C443" s="4"/>
      <c r="D443" s="6">
        <v>100</v>
      </c>
      <c r="E443" s="6">
        <f>E442+C443-D443</f>
      </c>
    </row>
    <row x14ac:dyDescent="0.25" r="444" customHeight="1" ht="17.25">
      <c r="A444" s="7">
        <v>45961</v>
      </c>
      <c r="B444" s="9" t="s">
        <v>334</v>
      </c>
      <c r="C444" s="6">
        <v>10</v>
      </c>
      <c r="D444" s="3"/>
      <c r="E444" s="6">
        <f>E443+C444-D444</f>
      </c>
    </row>
    <row x14ac:dyDescent="0.25" r="445" customHeight="1" ht="17.25">
      <c r="A445" s="7">
        <v>45961</v>
      </c>
      <c r="B445" s="9" t="s">
        <v>568</v>
      </c>
      <c r="C445" s="6">
        <v>40</v>
      </c>
      <c r="D445" s="3"/>
      <c r="E445" s="6">
        <f>E444+C445-D445</f>
      </c>
    </row>
    <row x14ac:dyDescent="0.25" r="446" customHeight="1" ht="17.25">
      <c r="A446" s="7">
        <v>45961</v>
      </c>
      <c r="B446" s="9" t="s">
        <v>3</v>
      </c>
      <c r="C446" s="6">
        <v>76</v>
      </c>
      <c r="D446" s="3"/>
      <c r="E446" s="6">
        <f>E445+C446-D446</f>
      </c>
    </row>
    <row x14ac:dyDescent="0.25" r="447" customHeight="1" ht="17.25">
      <c r="A447" s="7">
        <v>45961</v>
      </c>
      <c r="B447" s="9" t="s">
        <v>184</v>
      </c>
      <c r="C447" s="6">
        <v>28</v>
      </c>
      <c r="D447" s="3"/>
      <c r="E447" s="6">
        <f>E446+C447-D447</f>
      </c>
    </row>
    <row x14ac:dyDescent="0.25" r="448" customHeight="1" ht="17.25">
      <c r="A448" s="7">
        <v>45964</v>
      </c>
      <c r="B448" s="9" t="s">
        <v>319</v>
      </c>
      <c r="C448" s="4"/>
      <c r="D448" s="6">
        <v>100</v>
      </c>
      <c r="E448" s="6">
        <f>E447+C448-D448</f>
      </c>
    </row>
    <row x14ac:dyDescent="0.25" r="449" customHeight="1" ht="17.25">
      <c r="A449" s="8">
        <v>45964</v>
      </c>
      <c r="B449" s="9" t="s">
        <v>320</v>
      </c>
      <c r="C449" s="4"/>
      <c r="D449" s="6">
        <v>25</v>
      </c>
      <c r="E449" s="6">
        <f>E448+C449-D449</f>
      </c>
    </row>
    <row x14ac:dyDescent="0.25" r="450" customHeight="1" ht="17.25">
      <c r="A450" s="7">
        <v>45964</v>
      </c>
      <c r="B450" s="9" t="s">
        <v>266</v>
      </c>
      <c r="C450" s="4"/>
      <c r="D450" s="6">
        <v>100</v>
      </c>
      <c r="E450" s="6">
        <f>E449+C450-D450</f>
      </c>
    </row>
    <row x14ac:dyDescent="0.25" r="451" customHeight="1" ht="17.25">
      <c r="A451" s="7">
        <v>45965</v>
      </c>
      <c r="B451" s="9" t="s">
        <v>320</v>
      </c>
      <c r="C451" s="4"/>
      <c r="D451" s="6">
        <v>10</v>
      </c>
      <c r="E451" s="6">
        <f>E450+C451-D451</f>
      </c>
    </row>
    <row x14ac:dyDescent="0.25" r="452" customHeight="1" ht="17.25">
      <c r="A452" s="7">
        <v>45965</v>
      </c>
      <c r="B452" s="9" t="s">
        <v>3</v>
      </c>
      <c r="C452" s="6">
        <v>48</v>
      </c>
      <c r="D452" s="3"/>
      <c r="E452" s="6">
        <f>E451+C452-D452</f>
      </c>
    </row>
    <row x14ac:dyDescent="0.25" r="453" customHeight="1" ht="17.25">
      <c r="A453" s="7">
        <v>45966</v>
      </c>
      <c r="B453" s="9" t="s">
        <v>318</v>
      </c>
      <c r="C453" s="4"/>
      <c r="D453" s="6">
        <v>60</v>
      </c>
      <c r="E453" s="6">
        <f>E452+C453-D453</f>
      </c>
    </row>
    <row x14ac:dyDescent="0.25" r="454" customHeight="1" ht="17.25">
      <c r="A454" s="8">
        <v>45966</v>
      </c>
      <c r="B454" s="9" t="s">
        <v>184</v>
      </c>
      <c r="C454" s="6">
        <v>7</v>
      </c>
      <c r="D454" s="3"/>
      <c r="E454" s="6">
        <f>E453+C454-D454</f>
      </c>
    </row>
    <row x14ac:dyDescent="0.25" r="455" customHeight="1" ht="17.25">
      <c r="A455" s="7">
        <v>45966</v>
      </c>
      <c r="B455" s="9" t="s">
        <v>3</v>
      </c>
      <c r="C455" s="6">
        <v>41</v>
      </c>
      <c r="D455" s="3"/>
      <c r="E455" s="6">
        <f>E454+C455-D455</f>
      </c>
    </row>
    <row x14ac:dyDescent="0.25" r="456" customHeight="1" ht="17.25">
      <c r="A456" s="7">
        <v>45968</v>
      </c>
      <c r="B456" s="9" t="s">
        <v>26</v>
      </c>
      <c r="C456" s="4"/>
      <c r="D456" s="6">
        <v>240</v>
      </c>
      <c r="E456" s="6">
        <f>E455+C456-D456</f>
      </c>
    </row>
    <row x14ac:dyDescent="0.25" r="457" customHeight="1" ht="17.25">
      <c r="A457" s="7">
        <v>45968</v>
      </c>
      <c r="B457" s="9" t="s">
        <v>52</v>
      </c>
      <c r="C457" s="6">
        <v>5</v>
      </c>
      <c r="D457" s="3"/>
      <c r="E457" s="6">
        <f>E456+C457-D457</f>
      </c>
    </row>
    <row x14ac:dyDescent="0.25" r="458" customHeight="1" ht="17.25">
      <c r="A458" s="7">
        <v>45968</v>
      </c>
      <c r="B458" s="9" t="s">
        <v>3</v>
      </c>
      <c r="C458" s="6">
        <v>6</v>
      </c>
      <c r="D458" s="3"/>
      <c r="E458" s="6">
        <f>E457+C458-D458</f>
      </c>
    </row>
    <row x14ac:dyDescent="0.25" r="459" customHeight="1" ht="17.25">
      <c r="A459" s="7">
        <v>45969</v>
      </c>
      <c r="B459" s="9" t="s">
        <v>26</v>
      </c>
      <c r="C459" s="4"/>
      <c r="D459" s="6">
        <v>240</v>
      </c>
      <c r="E459" s="6">
        <f>E458+C459-D459</f>
      </c>
    </row>
    <row x14ac:dyDescent="0.25" r="460" customHeight="1" ht="17.25">
      <c r="A460" s="7">
        <v>45969</v>
      </c>
      <c r="B460" s="9" t="s">
        <v>184</v>
      </c>
      <c r="C460" s="6">
        <v>36</v>
      </c>
      <c r="D460" s="3"/>
      <c r="E460" s="6">
        <f>E459+C460-D460</f>
      </c>
    </row>
    <row x14ac:dyDescent="0.25" r="461" customHeight="1" ht="17.25">
      <c r="A461" s="7">
        <v>45971</v>
      </c>
      <c r="B461" s="9" t="s">
        <v>26</v>
      </c>
      <c r="C461" s="4"/>
      <c r="D461" s="6">
        <v>120</v>
      </c>
      <c r="E461" s="6">
        <f>E460+C461-D461</f>
      </c>
    </row>
    <row x14ac:dyDescent="0.25" r="462" customHeight="1" ht="17.25">
      <c r="A462" s="7">
        <v>45973</v>
      </c>
      <c r="B462" s="9" t="s">
        <v>234</v>
      </c>
      <c r="C462" s="6">
        <v>65</v>
      </c>
      <c r="D462" s="3"/>
      <c r="E462" s="6">
        <f>E461+C462-D462</f>
      </c>
    </row>
    <row x14ac:dyDescent="0.25" r="463" customHeight="1" ht="17.25">
      <c r="A463" s="7">
        <v>45973</v>
      </c>
      <c r="B463" s="9" t="s">
        <v>42</v>
      </c>
      <c r="C463" s="4"/>
      <c r="D463" s="6">
        <v>120</v>
      </c>
      <c r="E463" s="6">
        <f>E462+C463-D463</f>
      </c>
    </row>
    <row x14ac:dyDescent="0.25" r="464" customHeight="1" ht="17.25">
      <c r="A464" s="7">
        <v>45974</v>
      </c>
      <c r="B464" s="9" t="s">
        <v>29</v>
      </c>
      <c r="C464" s="6">
        <v>200</v>
      </c>
      <c r="D464" s="3"/>
      <c r="E464" s="6">
        <f>E463+C464-D464</f>
      </c>
    </row>
    <row x14ac:dyDescent="0.25" r="465" customHeight="1" ht="17.25">
      <c r="A465" s="7">
        <v>45974</v>
      </c>
      <c r="B465" s="9" t="s">
        <v>228</v>
      </c>
      <c r="C465" s="6">
        <v>91</v>
      </c>
      <c r="D465" s="3"/>
      <c r="E465" s="6">
        <f>E464+C465-D465</f>
      </c>
    </row>
    <row x14ac:dyDescent="0.25" r="466" customHeight="1" ht="17.25">
      <c r="A466" s="7">
        <v>45975</v>
      </c>
      <c r="B466" s="9" t="s">
        <v>141</v>
      </c>
      <c r="C466" s="6">
        <v>1</v>
      </c>
      <c r="D466" s="3"/>
      <c r="E466" s="6">
        <f>E465+C466-D466</f>
      </c>
    </row>
    <row x14ac:dyDescent="0.25" r="467" customHeight="1" ht="17.25">
      <c r="A467" s="7">
        <v>45978</v>
      </c>
      <c r="B467" s="9" t="s">
        <v>461</v>
      </c>
      <c r="C467" s="4"/>
      <c r="D467" s="6">
        <v>20</v>
      </c>
      <c r="E467" s="6">
        <f>E466+C467-D467</f>
      </c>
    </row>
    <row x14ac:dyDescent="0.25" r="468" customHeight="1" ht="17.25">
      <c r="A468" s="8">
        <v>45978</v>
      </c>
      <c r="B468" s="9" t="s">
        <v>320</v>
      </c>
      <c r="C468" s="6">
        <v>35</v>
      </c>
      <c r="D468" s="3"/>
      <c r="E468" s="6">
        <f>E467+C468-D468</f>
      </c>
    </row>
    <row x14ac:dyDescent="0.25" r="469" customHeight="1" ht="17.25">
      <c r="A469" s="7">
        <v>45979</v>
      </c>
      <c r="B469" s="9" t="s">
        <v>54</v>
      </c>
      <c r="C469" s="4"/>
      <c r="D469" s="6">
        <v>320</v>
      </c>
      <c r="E469" s="6">
        <f>E468+C469-D469</f>
      </c>
    </row>
    <row x14ac:dyDescent="0.25" r="470" customHeight="1" ht="17.25">
      <c r="A470" s="7">
        <v>45979</v>
      </c>
      <c r="B470" s="9" t="s">
        <v>284</v>
      </c>
      <c r="C470" s="6">
        <v>220</v>
      </c>
      <c r="D470" s="3"/>
      <c r="E470" s="6">
        <f>E469+C470-D470</f>
      </c>
    </row>
    <row x14ac:dyDescent="0.25" r="471" customHeight="1" ht="17.25">
      <c r="A471" s="8">
        <v>45980</v>
      </c>
      <c r="B471" s="9" t="s">
        <v>42</v>
      </c>
      <c r="C471" s="4"/>
      <c r="D471" s="6">
        <v>30</v>
      </c>
      <c r="E471" s="6">
        <f>E470+C471-D471</f>
      </c>
    </row>
    <row x14ac:dyDescent="0.25" r="472" customHeight="1" ht="17.25">
      <c r="A472" s="7">
        <v>45980</v>
      </c>
      <c r="B472" s="9" t="s">
        <v>3</v>
      </c>
      <c r="C472" s="4"/>
      <c r="D472" s="6">
        <v>50</v>
      </c>
      <c r="E472" s="6">
        <f>E471+C472-D472</f>
      </c>
    </row>
    <row x14ac:dyDescent="0.25" r="473" customHeight="1" ht="17.25">
      <c r="A473" s="7">
        <v>45981</v>
      </c>
      <c r="B473" s="9" t="s">
        <v>141</v>
      </c>
      <c r="C473" s="6">
        <v>2</v>
      </c>
      <c r="D473" s="3"/>
      <c r="E473" s="6">
        <f>E472+C473-D473</f>
      </c>
    </row>
    <row x14ac:dyDescent="0.25" r="474" customHeight="1" ht="17.25">
      <c r="A474" s="7">
        <v>45982</v>
      </c>
      <c r="B474" s="9" t="s">
        <v>512</v>
      </c>
      <c r="C474" s="4"/>
      <c r="D474" s="6">
        <v>50</v>
      </c>
      <c r="E474" s="6">
        <f>E473+C474-D474</f>
      </c>
    </row>
    <row x14ac:dyDescent="0.25" r="475" customHeight="1" ht="17.25">
      <c r="A475" s="7">
        <v>45982</v>
      </c>
      <c r="B475" s="9" t="s">
        <v>34</v>
      </c>
      <c r="C475" s="6">
        <v>55</v>
      </c>
      <c r="D475" s="3"/>
      <c r="E475" s="6">
        <f>E474+C475-D475</f>
      </c>
    </row>
    <row x14ac:dyDescent="0.25" r="476" customHeight="1" ht="17.25">
      <c r="A476" s="7">
        <v>45982</v>
      </c>
      <c r="B476" s="9" t="s">
        <v>495</v>
      </c>
      <c r="C476" s="6">
        <v>77</v>
      </c>
      <c r="D476" s="3"/>
      <c r="E476" s="6">
        <f>E475+C476-D476</f>
      </c>
    </row>
    <row x14ac:dyDescent="0.25" r="477" customHeight="1" ht="17.25">
      <c r="A477" s="7">
        <v>45983</v>
      </c>
      <c r="B477" s="9" t="s">
        <v>462</v>
      </c>
      <c r="C477" s="4"/>
      <c r="D477" s="6">
        <v>4</v>
      </c>
      <c r="E477" s="6">
        <f>E476+C477-D477</f>
      </c>
    </row>
    <row x14ac:dyDescent="0.25" r="478" customHeight="1" ht="17.25">
      <c r="A478" s="7">
        <v>45983</v>
      </c>
      <c r="B478" s="9" t="s">
        <v>583</v>
      </c>
      <c r="C478" s="6">
        <v>66</v>
      </c>
      <c r="D478" s="3"/>
      <c r="E478" s="6">
        <f>E477+C478-D478</f>
      </c>
    </row>
    <row x14ac:dyDescent="0.25" r="479" customHeight="1" ht="17.25">
      <c r="A479" s="7">
        <v>45983</v>
      </c>
      <c r="B479" s="9" t="s">
        <v>34</v>
      </c>
      <c r="C479" s="6">
        <v>140</v>
      </c>
      <c r="D479" s="3"/>
      <c r="E479" s="6">
        <f>E478+C479-D479</f>
      </c>
    </row>
    <row x14ac:dyDescent="0.25" r="480" customHeight="1" ht="17.25">
      <c r="A480" s="7">
        <v>45983</v>
      </c>
      <c r="B480" s="9" t="s">
        <v>34</v>
      </c>
      <c r="C480" s="6">
        <v>39</v>
      </c>
      <c r="D480" s="3"/>
      <c r="E480" s="6">
        <f>E479+C480-D480</f>
      </c>
    </row>
    <row x14ac:dyDescent="0.25" r="481" customHeight="1" ht="17.25">
      <c r="A481" s="7">
        <v>45985</v>
      </c>
      <c r="B481" s="9" t="s">
        <v>29</v>
      </c>
      <c r="C481" s="6">
        <v>119</v>
      </c>
      <c r="D481" s="3"/>
      <c r="E481" s="6">
        <f>E480+C481-D481</f>
      </c>
    </row>
    <row x14ac:dyDescent="0.25" r="482" customHeight="1" ht="17.25">
      <c r="A482" s="7">
        <v>45986</v>
      </c>
      <c r="B482" s="9" t="s">
        <v>554</v>
      </c>
      <c r="C482" s="6">
        <v>60</v>
      </c>
      <c r="D482" s="3"/>
      <c r="E482" s="6">
        <f>E481+C482-D482</f>
      </c>
    </row>
    <row x14ac:dyDescent="0.25" r="483" customHeight="1" ht="17.25">
      <c r="A483" s="7">
        <v>45986</v>
      </c>
      <c r="B483" s="9" t="s">
        <v>3</v>
      </c>
      <c r="C483" s="6">
        <v>52</v>
      </c>
      <c r="D483" s="3"/>
      <c r="E483" s="6">
        <f>E482+C483-D483</f>
      </c>
    </row>
    <row x14ac:dyDescent="0.25" r="484" customHeight="1" ht="17.25">
      <c r="A484" s="7">
        <v>45987</v>
      </c>
      <c r="B484" s="9" t="s">
        <v>53</v>
      </c>
      <c r="C484" s="4"/>
      <c r="D484" s="6">
        <v>135</v>
      </c>
      <c r="E484" s="6">
        <f>E483+C484-D484</f>
      </c>
    </row>
    <row x14ac:dyDescent="0.25" r="485" customHeight="1" ht="17.25">
      <c r="A485" s="7">
        <v>45987</v>
      </c>
      <c r="B485" s="9" t="s">
        <v>487</v>
      </c>
      <c r="C485" s="6">
        <v>37</v>
      </c>
      <c r="D485" s="3"/>
      <c r="E485" s="6">
        <f>E484+C485-D485</f>
      </c>
    </row>
    <row x14ac:dyDescent="0.25" r="486" customHeight="1" ht="17.25">
      <c r="A486" s="8">
        <v>45987</v>
      </c>
      <c r="B486" s="9" t="s">
        <v>347</v>
      </c>
      <c r="C486" s="6">
        <v>8</v>
      </c>
      <c r="D486" s="3"/>
      <c r="E486" s="6">
        <f>E485+C486-D486</f>
      </c>
    </row>
    <row x14ac:dyDescent="0.25" r="487" customHeight="1" ht="17.25">
      <c r="A487" s="7">
        <v>45987</v>
      </c>
      <c r="B487" s="9" t="s">
        <v>228</v>
      </c>
      <c r="C487" s="6">
        <v>6</v>
      </c>
      <c r="D487" s="3"/>
      <c r="E487" s="6">
        <f>E486+C487-D487</f>
      </c>
    </row>
    <row x14ac:dyDescent="0.25" r="488" customHeight="1" ht="17.25">
      <c r="A488" s="8">
        <v>45988</v>
      </c>
      <c r="B488" s="9" t="s">
        <v>3</v>
      </c>
      <c r="C488" s="6">
        <v>4</v>
      </c>
      <c r="D488" s="3"/>
      <c r="E488" s="6">
        <f>E487+C488-D488</f>
      </c>
    </row>
    <row x14ac:dyDescent="0.25" r="489" customHeight="1" ht="17.25">
      <c r="A489" s="7">
        <v>45989</v>
      </c>
      <c r="B489" s="9" t="s">
        <v>233</v>
      </c>
      <c r="C489" s="4"/>
      <c r="D489" s="6">
        <v>400</v>
      </c>
      <c r="E489" s="6">
        <f>E488+C489-D489</f>
      </c>
    </row>
    <row x14ac:dyDescent="0.25" r="490" customHeight="1" ht="17.25">
      <c r="A490" s="7">
        <v>45989</v>
      </c>
      <c r="B490" s="9" t="s">
        <v>584</v>
      </c>
      <c r="C490" s="6">
        <v>30</v>
      </c>
      <c r="D490" s="3"/>
      <c r="E490" s="6">
        <f>E489+C490-D490</f>
      </c>
    </row>
    <row x14ac:dyDescent="0.25" r="491" customHeight="1" ht="17.25">
      <c r="A491" s="7">
        <v>45989</v>
      </c>
      <c r="B491" s="9" t="s">
        <v>461</v>
      </c>
      <c r="C491" s="6">
        <v>20</v>
      </c>
      <c r="D491" s="3"/>
      <c r="E491" s="6">
        <f>E490+C491-D491</f>
      </c>
    </row>
    <row x14ac:dyDescent="0.25" r="492" customHeight="1" ht="17.25">
      <c r="A492" s="7">
        <v>45990</v>
      </c>
      <c r="B492" s="9" t="s">
        <v>53</v>
      </c>
      <c r="C492" s="4"/>
      <c r="D492" s="6">
        <v>160</v>
      </c>
      <c r="E492" s="6">
        <f>E491+C492-D492</f>
      </c>
    </row>
    <row x14ac:dyDescent="0.25" r="493" customHeight="1" ht="17.25">
      <c r="A493" s="7">
        <v>45990</v>
      </c>
      <c r="B493" s="9" t="s">
        <v>228</v>
      </c>
      <c r="C493" s="6">
        <v>15</v>
      </c>
      <c r="D493" s="3"/>
      <c r="E493" s="6">
        <f>E492+C493-D493</f>
      </c>
    </row>
    <row x14ac:dyDescent="0.25" r="494" customHeight="1" ht="17.25">
      <c r="A494" s="7">
        <v>45992</v>
      </c>
      <c r="B494" s="9" t="s">
        <v>53</v>
      </c>
      <c r="C494" s="4"/>
      <c r="D494" s="6">
        <v>50</v>
      </c>
      <c r="E494" s="6">
        <f>E493+C494-D494</f>
      </c>
    </row>
    <row x14ac:dyDescent="0.25" r="495" customHeight="1" ht="17.25">
      <c r="A495" s="7">
        <v>45992</v>
      </c>
      <c r="B495" s="9" t="s">
        <v>233</v>
      </c>
      <c r="C495" s="4"/>
      <c r="D495" s="6">
        <v>84</v>
      </c>
      <c r="E495" s="6">
        <f>E494+C495-D495</f>
      </c>
    </row>
    <row x14ac:dyDescent="0.25" r="496" customHeight="1" ht="17.25">
      <c r="A496" s="8">
        <v>45992</v>
      </c>
      <c r="B496" s="9" t="s">
        <v>284</v>
      </c>
      <c r="C496" s="6">
        <v>52</v>
      </c>
      <c r="D496" s="3"/>
      <c r="E496" s="6">
        <f>E495+C496-D496</f>
      </c>
    </row>
    <row x14ac:dyDescent="0.25" r="497" customHeight="1" ht="17.25">
      <c r="A497" s="7">
        <v>45992</v>
      </c>
      <c r="B497" s="9" t="s">
        <v>228</v>
      </c>
      <c r="C497" s="6">
        <v>3</v>
      </c>
      <c r="D497" s="3"/>
      <c r="E497" s="6">
        <f>E496+C497-D497</f>
      </c>
    </row>
    <row x14ac:dyDescent="0.25" r="498" customHeight="1" ht="17.25">
      <c r="A498" s="7">
        <v>45993</v>
      </c>
      <c r="B498" s="9" t="s">
        <v>42</v>
      </c>
      <c r="C498" s="4"/>
      <c r="D498" s="6">
        <v>50</v>
      </c>
      <c r="E498" s="6">
        <f>E497+C498-D498</f>
      </c>
    </row>
    <row x14ac:dyDescent="0.25" r="499" customHeight="1" ht="17.25">
      <c r="A499" s="7">
        <v>45993</v>
      </c>
      <c r="B499" s="9" t="s">
        <v>53</v>
      </c>
      <c r="C499" s="4"/>
      <c r="D499" s="6">
        <v>70</v>
      </c>
      <c r="E499" s="6">
        <f>E498+C499-D499</f>
      </c>
    </row>
    <row x14ac:dyDescent="0.25" r="500" customHeight="1" ht="17.25">
      <c r="A500" s="7">
        <v>45993</v>
      </c>
      <c r="B500" s="9" t="s">
        <v>34</v>
      </c>
      <c r="C500" s="6">
        <v>121</v>
      </c>
      <c r="D500" s="3"/>
      <c r="E500" s="6">
        <f>E499+C500-D500</f>
      </c>
    </row>
    <row x14ac:dyDescent="0.25" r="501" customHeight="1" ht="17.25">
      <c r="A501" s="8">
        <v>45994</v>
      </c>
      <c r="B501" s="9" t="s">
        <v>34</v>
      </c>
      <c r="C501" s="6">
        <v>28</v>
      </c>
      <c r="D501" s="3"/>
      <c r="E501" s="6">
        <f>E500+C501-D501</f>
      </c>
    </row>
    <row x14ac:dyDescent="0.25" r="502" customHeight="1" ht="17.25">
      <c r="A502" s="7">
        <v>45994</v>
      </c>
      <c r="B502" s="9" t="s">
        <v>3</v>
      </c>
      <c r="C502" s="6">
        <v>2</v>
      </c>
      <c r="D502" s="3"/>
      <c r="E502" s="6">
        <f>E501+C502-D502</f>
      </c>
    </row>
    <row x14ac:dyDescent="0.25" r="503" customHeight="1" ht="17.25">
      <c r="A503" s="7">
        <v>45995</v>
      </c>
      <c r="B503" s="9" t="s">
        <v>34</v>
      </c>
      <c r="C503" s="6">
        <v>44</v>
      </c>
      <c r="D503" s="3"/>
      <c r="E503" s="6">
        <f>E502+C503-D503</f>
      </c>
    </row>
    <row x14ac:dyDescent="0.25" r="504" customHeight="1" ht="17.25">
      <c r="A504" s="7">
        <v>45996</v>
      </c>
      <c r="B504" s="9" t="s">
        <v>228</v>
      </c>
      <c r="C504" s="6">
        <v>10</v>
      </c>
      <c r="D504" s="3"/>
      <c r="E504" s="6">
        <f>E503+C504-D504</f>
      </c>
    </row>
    <row x14ac:dyDescent="0.25" r="505" customHeight="1" ht="17.25">
      <c r="A505" s="7">
        <v>45999</v>
      </c>
      <c r="B505" s="9" t="s">
        <v>34</v>
      </c>
      <c r="C505" s="6">
        <v>78</v>
      </c>
      <c r="D505" s="3"/>
      <c r="E505" s="6">
        <f>E504+C505-D505</f>
      </c>
    </row>
    <row x14ac:dyDescent="0.25" r="506" customHeight="1" ht="17.25">
      <c r="A506" s="7">
        <v>46000</v>
      </c>
      <c r="B506" s="9" t="s">
        <v>228</v>
      </c>
      <c r="C506" s="6">
        <v>1</v>
      </c>
      <c r="D506" s="3"/>
      <c r="E506" s="6">
        <f>E505+C506-D506</f>
      </c>
    </row>
    <row x14ac:dyDescent="0.25" r="507" customHeight="1" ht="17.25">
      <c r="A507" s="8">
        <v>46000</v>
      </c>
      <c r="B507" s="9" t="s">
        <v>53</v>
      </c>
      <c r="C507" s="4"/>
      <c r="D507" s="6">
        <v>84</v>
      </c>
      <c r="E507" s="6">
        <f>E506+C507-D507</f>
      </c>
    </row>
    <row x14ac:dyDescent="0.25" r="508" customHeight="1" ht="17.25">
      <c r="A508" s="7">
        <v>46001</v>
      </c>
      <c r="B508" s="9" t="s">
        <v>53</v>
      </c>
      <c r="C508" s="4"/>
      <c r="D508" s="6">
        <v>76</v>
      </c>
      <c r="E508" s="6">
        <f>E507+C508-D508</f>
      </c>
    </row>
    <row x14ac:dyDescent="0.25" r="509" customHeight="1" ht="17.25">
      <c r="A509" s="7">
        <v>46001</v>
      </c>
      <c r="B509" s="9" t="s">
        <v>233</v>
      </c>
      <c r="C509" s="4"/>
      <c r="D509" s="6">
        <v>100</v>
      </c>
      <c r="E509" s="6">
        <f>E508+C509-D509</f>
      </c>
    </row>
    <row x14ac:dyDescent="0.25" r="510" customHeight="1" ht="17.25">
      <c r="A510" s="7">
        <v>46002</v>
      </c>
      <c r="B510" s="9" t="s">
        <v>42</v>
      </c>
      <c r="C510" s="4"/>
      <c r="D510" s="6">
        <v>190</v>
      </c>
      <c r="E510" s="6">
        <f>E509+C510-D510</f>
      </c>
    </row>
    <row x14ac:dyDescent="0.25" r="511" customHeight="1" ht="17.25">
      <c r="A511" s="7">
        <v>46003</v>
      </c>
      <c r="B511" s="9" t="s">
        <v>314</v>
      </c>
      <c r="C511" s="6">
        <v>135</v>
      </c>
      <c r="D511" s="3"/>
      <c r="E511" s="6">
        <f>E510+C511-D511</f>
      </c>
    </row>
    <row x14ac:dyDescent="0.25" r="512" customHeight="1" ht="17.25">
      <c r="A512" s="8">
        <v>46003</v>
      </c>
      <c r="B512" s="9" t="s">
        <v>314</v>
      </c>
      <c r="C512" s="6">
        <v>247</v>
      </c>
      <c r="D512" s="3"/>
      <c r="E512" s="6">
        <f>E511+C512-D512</f>
      </c>
    </row>
    <row x14ac:dyDescent="0.25" r="513" customHeight="1" ht="17.25">
      <c r="A513" s="7">
        <v>46006</v>
      </c>
      <c r="B513" s="9" t="s">
        <v>124</v>
      </c>
      <c r="C513" s="6">
        <v>62</v>
      </c>
      <c r="D513" s="3"/>
      <c r="E513" s="6">
        <f>E512+C513-D513</f>
      </c>
    </row>
    <row x14ac:dyDescent="0.25" r="514" customHeight="1" ht="17.25">
      <c r="A514" s="7">
        <v>46006</v>
      </c>
      <c r="B514" s="9" t="s">
        <v>53</v>
      </c>
      <c r="C514" s="4"/>
      <c r="D514" s="6">
        <v>160</v>
      </c>
      <c r="E514" s="6">
        <f>E513+C514-D514</f>
      </c>
    </row>
    <row x14ac:dyDescent="0.25" r="515" customHeight="1" ht="17.25">
      <c r="A515" s="7">
        <v>46007</v>
      </c>
      <c r="B515" s="9" t="s">
        <v>124</v>
      </c>
      <c r="C515" s="6">
        <v>96</v>
      </c>
      <c r="D515" s="3"/>
      <c r="E515" s="6">
        <f>E514+C515-D515</f>
      </c>
    </row>
    <row x14ac:dyDescent="0.25" r="516" customHeight="1" ht="17.25">
      <c r="A516" s="7">
        <v>46007</v>
      </c>
      <c r="B516" s="9" t="s">
        <v>284</v>
      </c>
      <c r="C516" s="6">
        <v>69</v>
      </c>
      <c r="D516" s="3"/>
      <c r="E516" s="6">
        <f>E515+C516-D516</f>
      </c>
    </row>
    <row x14ac:dyDescent="0.25" r="517" customHeight="1" ht="17.25">
      <c r="A517" s="7">
        <v>46007</v>
      </c>
      <c r="B517" s="9" t="s">
        <v>298</v>
      </c>
      <c r="C517" s="6">
        <v>296</v>
      </c>
      <c r="D517" s="3"/>
      <c r="E517" s="6">
        <f>E516+C517-D517</f>
      </c>
    </row>
    <row x14ac:dyDescent="0.25" r="518" customHeight="1" ht="17.25">
      <c r="A518" s="7">
        <v>46007</v>
      </c>
      <c r="B518" s="9" t="s">
        <v>512</v>
      </c>
      <c r="C518" s="4"/>
      <c r="D518" s="6">
        <v>50</v>
      </c>
      <c r="E51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3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8.29071428571428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611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14">
        <v>315</v>
      </c>
    </row>
    <row x14ac:dyDescent="0.25" r="4" customHeight="1" ht="17.25">
      <c r="A4" s="8">
        <v>45664</v>
      </c>
      <c r="B4" s="9" t="s">
        <v>35</v>
      </c>
      <c r="C4" s="6">
        <v>56</v>
      </c>
      <c r="D4" s="4"/>
      <c r="E4" s="6">
        <f>E3+C4-D4</f>
      </c>
    </row>
    <row x14ac:dyDescent="0.25" r="5" customHeight="1" ht="17.25">
      <c r="A5" s="8">
        <v>45677</v>
      </c>
      <c r="B5" s="9" t="s">
        <v>35</v>
      </c>
      <c r="C5" s="6">
        <v>44</v>
      </c>
      <c r="D5" s="4"/>
      <c r="E5" s="6">
        <f>E4+C5-D5</f>
      </c>
    </row>
    <row x14ac:dyDescent="0.25" r="6" customHeight="1" ht="17.25">
      <c r="A6" s="8">
        <v>45686</v>
      </c>
      <c r="B6" s="9" t="s">
        <v>35</v>
      </c>
      <c r="C6" s="6">
        <v>15</v>
      </c>
      <c r="D6" s="4"/>
      <c r="E6" s="6">
        <f>E5+C6-D6</f>
      </c>
    </row>
    <row x14ac:dyDescent="0.25" r="7" customHeight="1" ht="17.25">
      <c r="A7" s="8">
        <v>45691</v>
      </c>
      <c r="B7" s="9" t="s">
        <v>35</v>
      </c>
      <c r="C7" s="6">
        <v>4</v>
      </c>
      <c r="D7" s="4"/>
      <c r="E7" s="6">
        <f>E6+C7-D7</f>
      </c>
    </row>
    <row x14ac:dyDescent="0.25" r="8" customHeight="1" ht="17.25">
      <c r="A8" s="8">
        <v>45698</v>
      </c>
      <c r="B8" s="9" t="s">
        <v>35</v>
      </c>
      <c r="C8" s="6">
        <v>33</v>
      </c>
      <c r="D8" s="4"/>
      <c r="E8" s="6">
        <f>E7+C8-D8</f>
      </c>
    </row>
    <row x14ac:dyDescent="0.25" r="9" customHeight="1" ht="17.25">
      <c r="A9" s="8">
        <v>45707</v>
      </c>
      <c r="B9" s="9" t="s">
        <v>35</v>
      </c>
      <c r="C9" s="6">
        <v>4</v>
      </c>
      <c r="D9" s="4"/>
      <c r="E9" s="6">
        <f>E8+C9-D9</f>
      </c>
    </row>
    <row x14ac:dyDescent="0.25" r="10" customHeight="1" ht="17.25">
      <c r="A10" s="8">
        <v>45710</v>
      </c>
      <c r="B10" s="9" t="s">
        <v>35</v>
      </c>
      <c r="C10" s="6">
        <v>1</v>
      </c>
      <c r="D10" s="4"/>
      <c r="E10" s="6">
        <f>E9+C10-D10</f>
      </c>
    </row>
    <row x14ac:dyDescent="0.25" r="11" customHeight="1" ht="17.25">
      <c r="A11" s="8">
        <v>45714</v>
      </c>
      <c r="B11" s="9" t="s">
        <v>35</v>
      </c>
      <c r="C11" s="6">
        <v>2</v>
      </c>
      <c r="D11" s="4"/>
      <c r="E11" s="6">
        <f>E10+C11-D11</f>
      </c>
    </row>
    <row x14ac:dyDescent="0.25" r="12" customHeight="1" ht="17.25">
      <c r="A12" s="8">
        <v>45719</v>
      </c>
      <c r="B12" s="9" t="s">
        <v>35</v>
      </c>
      <c r="C12" s="6">
        <v>1</v>
      </c>
      <c r="D12" s="4"/>
      <c r="E12" s="6">
        <f>E11+C12-D12</f>
      </c>
    </row>
    <row x14ac:dyDescent="0.25" r="13" customHeight="1" ht="17.25">
      <c r="A13" s="8">
        <v>45723</v>
      </c>
      <c r="B13" s="9" t="s">
        <v>35</v>
      </c>
      <c r="C13" s="6">
        <v>3</v>
      </c>
      <c r="D13" s="4"/>
      <c r="E13" s="6">
        <f>E12+C13-D13</f>
      </c>
    </row>
    <row x14ac:dyDescent="0.25" r="14" customHeight="1" ht="17.25">
      <c r="A14" s="8">
        <v>45730</v>
      </c>
      <c r="B14" s="9" t="s">
        <v>35</v>
      </c>
      <c r="C14" s="6">
        <v>1</v>
      </c>
      <c r="D14" s="4"/>
      <c r="E14" s="6">
        <f>E13+C14-D14</f>
      </c>
    </row>
    <row x14ac:dyDescent="0.25" r="15" customHeight="1" ht="17.25">
      <c r="A15" s="7">
        <v>45784</v>
      </c>
      <c r="B15" s="9" t="s">
        <v>141</v>
      </c>
      <c r="C15" s="3"/>
      <c r="D15" s="6">
        <v>100</v>
      </c>
      <c r="E15" s="6">
        <f>E14+C15-D15</f>
      </c>
    </row>
    <row x14ac:dyDescent="0.25" r="16" customHeight="1" ht="17.25">
      <c r="A16" s="7">
        <v>45786</v>
      </c>
      <c r="B16" s="9" t="s">
        <v>141</v>
      </c>
      <c r="C16" s="3"/>
      <c r="D16" s="6">
        <v>80</v>
      </c>
      <c r="E16" s="6">
        <f>E15+C16-D16</f>
      </c>
    </row>
    <row x14ac:dyDescent="0.25" r="17" customHeight="1" ht="17.25">
      <c r="A17" s="7">
        <v>45793</v>
      </c>
      <c r="B17" s="9" t="s">
        <v>141</v>
      </c>
      <c r="C17" s="3"/>
      <c r="D17" s="6">
        <v>180</v>
      </c>
      <c r="E17" s="6">
        <f>E16+C17-D17</f>
      </c>
    </row>
    <row x14ac:dyDescent="0.25" r="18" customHeight="1" ht="17.25">
      <c r="A18" s="7">
        <v>45805</v>
      </c>
      <c r="B18" s="9" t="s">
        <v>141</v>
      </c>
      <c r="C18" s="3"/>
      <c r="D18" s="6">
        <v>84</v>
      </c>
      <c r="E18" s="6">
        <f>E17+C18-D18</f>
      </c>
    </row>
    <row x14ac:dyDescent="0.25" r="19" customHeight="1" ht="17.25">
      <c r="A19" s="8">
        <v>45831</v>
      </c>
      <c r="B19" s="9" t="s">
        <v>141</v>
      </c>
      <c r="C19" s="6">
        <v>2</v>
      </c>
      <c r="D19" s="4"/>
      <c r="E19" s="6">
        <f>E18+C19-D19</f>
      </c>
    </row>
    <row x14ac:dyDescent="0.25" r="20" customHeight="1" ht="17.25">
      <c r="A20" s="7">
        <v>45850</v>
      </c>
      <c r="B20" s="9" t="s">
        <v>141</v>
      </c>
      <c r="C20" s="6">
        <v>73</v>
      </c>
      <c r="D20" s="4"/>
      <c r="E20" s="6">
        <f>E19+C20-D20</f>
      </c>
    </row>
    <row x14ac:dyDescent="0.25" r="21" customHeight="1" ht="17.25">
      <c r="A21" s="7">
        <v>45853</v>
      </c>
      <c r="B21" s="9" t="s">
        <v>141</v>
      </c>
      <c r="C21" s="6">
        <v>70</v>
      </c>
      <c r="D21" s="4"/>
      <c r="E21" s="6">
        <f>E20+C21-D21</f>
      </c>
    </row>
    <row x14ac:dyDescent="0.25" r="22" customHeight="1" ht="17.25">
      <c r="A22" s="8">
        <v>45860</v>
      </c>
      <c r="B22" s="9" t="s">
        <v>141</v>
      </c>
      <c r="C22" s="6">
        <v>42</v>
      </c>
      <c r="D22" s="4"/>
      <c r="E22" s="6">
        <f>E21+C22-D22</f>
      </c>
    </row>
    <row x14ac:dyDescent="0.25" r="23" customHeight="1" ht="17.25">
      <c r="A23" s="7">
        <v>45861</v>
      </c>
      <c r="B23" s="9" t="s">
        <v>141</v>
      </c>
      <c r="C23" s="6">
        <v>40</v>
      </c>
      <c r="D23" s="4"/>
      <c r="E23" s="6">
        <f>E22+C23-D23</f>
      </c>
    </row>
    <row x14ac:dyDescent="0.25" r="24" customHeight="1" ht="17.25">
      <c r="A24" s="7">
        <v>45878</v>
      </c>
      <c r="B24" s="9" t="s">
        <v>141</v>
      </c>
      <c r="C24" s="6">
        <v>56</v>
      </c>
      <c r="D24" s="4"/>
      <c r="E24" s="6">
        <f>E23+C24-D24</f>
      </c>
    </row>
    <row x14ac:dyDescent="0.25" r="25" customHeight="1" ht="17.25">
      <c r="A25" s="8">
        <v>45880</v>
      </c>
      <c r="B25" s="9" t="s">
        <v>141</v>
      </c>
      <c r="C25" s="6">
        <v>50</v>
      </c>
      <c r="D25" s="4"/>
      <c r="E25" s="6">
        <f>E24+C25-D25</f>
      </c>
    </row>
    <row x14ac:dyDescent="0.25" r="26" customHeight="1" ht="17.25">
      <c r="A26" s="7">
        <v>45885</v>
      </c>
      <c r="B26" s="9" t="s">
        <v>333</v>
      </c>
      <c r="C26" s="6">
        <v>38</v>
      </c>
      <c r="D26" s="4"/>
      <c r="E26" s="6">
        <f>E25+C26-D26</f>
      </c>
    </row>
    <row x14ac:dyDescent="0.25" r="27" customHeight="1" ht="17.25">
      <c r="A27" s="7">
        <v>45888</v>
      </c>
      <c r="B27" s="9" t="s">
        <v>141</v>
      </c>
      <c r="C27" s="6">
        <v>22</v>
      </c>
      <c r="D27" s="4"/>
      <c r="E27" s="6">
        <f>E26+C27-D27</f>
      </c>
    </row>
    <row x14ac:dyDescent="0.25" r="28" customHeight="1" ht="17.25">
      <c r="A28" s="7">
        <v>45902</v>
      </c>
      <c r="B28" s="9" t="s">
        <v>369</v>
      </c>
      <c r="C28" s="3"/>
      <c r="D28" s="6">
        <v>30</v>
      </c>
      <c r="E28" s="6">
        <f>E27+C28-D28</f>
      </c>
    </row>
    <row x14ac:dyDescent="0.25" r="29" customHeight="1" ht="17.25">
      <c r="A29" s="7">
        <v>45904</v>
      </c>
      <c r="B29" s="9" t="s">
        <v>454</v>
      </c>
      <c r="C29" s="3"/>
      <c r="D29" s="6">
        <v>8</v>
      </c>
      <c r="E29" s="6">
        <f>E28+C29-D29</f>
      </c>
    </row>
    <row x14ac:dyDescent="0.25" r="30" customHeight="1" ht="17.25">
      <c r="A30" s="8">
        <v>45911</v>
      </c>
      <c r="B30" s="9" t="s">
        <v>141</v>
      </c>
      <c r="C30" s="6">
        <v>8</v>
      </c>
      <c r="D30" s="4"/>
      <c r="E30" s="6">
        <f>E29+C30-D30</f>
      </c>
    </row>
    <row x14ac:dyDescent="0.25" r="31" customHeight="1" ht="17.25">
      <c r="A31" s="8">
        <v>45915</v>
      </c>
      <c r="B31" s="9" t="s">
        <v>141</v>
      </c>
      <c r="C31" s="6">
        <v>21</v>
      </c>
      <c r="D31" s="4"/>
      <c r="E31" s="6">
        <f>E30+C31-D31</f>
      </c>
    </row>
    <row x14ac:dyDescent="0.25" r="32" customHeight="1" ht="17.25">
      <c r="A32" s="8">
        <v>45917</v>
      </c>
      <c r="B32" s="9" t="s">
        <v>141</v>
      </c>
      <c r="C32" s="6">
        <v>4</v>
      </c>
      <c r="D32" s="4"/>
      <c r="E32" s="6">
        <f>E31+C32-D32</f>
      </c>
    </row>
    <row x14ac:dyDescent="0.25" r="33" customHeight="1" ht="17.25">
      <c r="A33" s="7">
        <v>45922</v>
      </c>
      <c r="B33" s="9" t="s">
        <v>35</v>
      </c>
      <c r="C33" s="6">
        <v>2</v>
      </c>
      <c r="D33" s="4"/>
      <c r="E33" s="6">
        <f>E32+C33-D33</f>
      </c>
    </row>
    <row x14ac:dyDescent="0.25" r="34" customHeight="1" ht="17.25">
      <c r="A34" s="8">
        <v>45929</v>
      </c>
      <c r="B34" s="9" t="s">
        <v>141</v>
      </c>
      <c r="C34" s="6">
        <v>1</v>
      </c>
      <c r="D34" s="4"/>
      <c r="E34" s="6">
        <f>E33+C34-D34</f>
      </c>
    </row>
    <row x14ac:dyDescent="0.25" r="35" customHeight="1" ht="17.25">
      <c r="A35" s="7">
        <v>45940</v>
      </c>
      <c r="B35" s="9" t="s">
        <v>141</v>
      </c>
      <c r="C35" s="6">
        <v>13</v>
      </c>
      <c r="D35" s="4"/>
      <c r="E35" s="6">
        <f>E34+C35-D35</f>
      </c>
    </row>
    <row x14ac:dyDescent="0.25" r="36" customHeight="1" ht="17.25">
      <c r="A36" s="7">
        <v>45946</v>
      </c>
      <c r="B36" s="9" t="s">
        <v>141</v>
      </c>
      <c r="C36" s="6">
        <v>11</v>
      </c>
      <c r="D36" s="4"/>
      <c r="E36" s="6">
        <f>E35+C36-D36</f>
      </c>
    </row>
    <row x14ac:dyDescent="0.25" r="37" customHeight="1" ht="17.25">
      <c r="A37" s="7">
        <v>45952</v>
      </c>
      <c r="B37" s="9" t="s">
        <v>141</v>
      </c>
      <c r="C37" s="6">
        <v>15</v>
      </c>
      <c r="D37" s="4"/>
      <c r="E37" s="6">
        <f>E36+C37-D37</f>
      </c>
    </row>
    <row x14ac:dyDescent="0.25" r="38" customHeight="1" ht="17.25">
      <c r="A38" s="7">
        <v>45957</v>
      </c>
      <c r="B38" s="9" t="s">
        <v>141</v>
      </c>
      <c r="C38" s="6">
        <v>7</v>
      </c>
      <c r="D38" s="4"/>
      <c r="E38" s="4"/>
    </row>
    <row x14ac:dyDescent="0.25" r="39" customHeight="1" ht="17.25">
      <c r="A39" s="7">
        <v>45960</v>
      </c>
      <c r="B39" s="9" t="s">
        <v>141</v>
      </c>
      <c r="C39" s="6">
        <v>5</v>
      </c>
      <c r="D39" s="4"/>
      <c r="E39" s="4"/>
    </row>
    <row x14ac:dyDescent="0.25" r="40" customHeight="1" ht="17.25">
      <c r="A40" s="7">
        <v>45964</v>
      </c>
      <c r="B40" s="9" t="s">
        <v>608</v>
      </c>
      <c r="C40" s="6">
        <v>5</v>
      </c>
      <c r="D40" s="4"/>
      <c r="E40" s="4"/>
    </row>
    <row x14ac:dyDescent="0.25" r="41" customHeight="1" ht="17.25">
      <c r="A41" s="7">
        <v>45971</v>
      </c>
      <c r="B41" s="9" t="s">
        <v>141</v>
      </c>
      <c r="C41" s="6">
        <v>15</v>
      </c>
      <c r="D41" s="4"/>
      <c r="E41" s="4"/>
    </row>
    <row x14ac:dyDescent="0.25" r="42" customHeight="1" ht="17.25">
      <c r="A42" s="8">
        <v>45975</v>
      </c>
      <c r="B42" s="9" t="s">
        <v>141</v>
      </c>
      <c r="C42" s="6">
        <v>9</v>
      </c>
      <c r="D42" s="4"/>
      <c r="E42" s="4"/>
    </row>
    <row x14ac:dyDescent="0.25" r="43" customHeight="1" ht="17.25">
      <c r="A43" s="8">
        <v>45981</v>
      </c>
      <c r="B43" s="9" t="s">
        <v>141</v>
      </c>
      <c r="C43" s="6">
        <v>11</v>
      </c>
      <c r="D43" s="4"/>
      <c r="E4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1.14785714285714" customWidth="1" bestFit="1"/>
    <col min="3" max="3" style="13" width="12.43357142857143" customWidth="1" bestFit="1"/>
    <col min="4" max="4" style="12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610</v>
      </c>
      <c r="B1" s="2"/>
      <c r="C1" s="4"/>
      <c r="D1" s="3"/>
      <c r="E1" s="4"/>
    </row>
    <row x14ac:dyDescent="0.25" r="2" customHeight="1" ht="17.25">
      <c r="A2" s="1"/>
      <c r="B2" s="2"/>
      <c r="C2" s="4"/>
      <c r="D2" s="3"/>
      <c r="E2" s="4"/>
    </row>
    <row x14ac:dyDescent="0.25" r="3" customHeight="1" ht="17.25">
      <c r="A3" s="5">
        <v>45658</v>
      </c>
      <c r="B3" s="2" t="s">
        <v>1</v>
      </c>
      <c r="C3" s="4"/>
      <c r="D3" s="3"/>
      <c r="E3" s="6">
        <v>184</v>
      </c>
    </row>
    <row x14ac:dyDescent="0.25" r="4" customHeight="1" ht="17.25">
      <c r="A4" s="7">
        <v>45840</v>
      </c>
      <c r="B4" s="9" t="s">
        <v>3</v>
      </c>
      <c r="C4" s="6">
        <v>9</v>
      </c>
      <c r="D4" s="3"/>
      <c r="E4" s="4"/>
    </row>
    <row x14ac:dyDescent="0.25" r="5" customHeight="1" ht="17.25">
      <c r="A5" s="7">
        <v>45926</v>
      </c>
      <c r="B5" s="2" t="s">
        <v>428</v>
      </c>
      <c r="C5" s="4"/>
      <c r="D5" s="6">
        <v>100</v>
      </c>
      <c r="E5" s="4"/>
    </row>
    <row x14ac:dyDescent="0.25" r="6" customHeight="1" ht="17.25">
      <c r="A6" s="7">
        <v>45929</v>
      </c>
      <c r="B6" s="2" t="s">
        <v>428</v>
      </c>
      <c r="C6" s="4"/>
      <c r="D6" s="6">
        <v>100</v>
      </c>
      <c r="E6" s="4"/>
    </row>
    <row x14ac:dyDescent="0.25" r="7" customHeight="1" ht="17.25">
      <c r="A7" s="7">
        <v>45930</v>
      </c>
      <c r="B7" s="2" t="s">
        <v>428</v>
      </c>
      <c r="C7" s="4"/>
      <c r="D7" s="6">
        <v>100</v>
      </c>
      <c r="E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0.005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606</v>
      </c>
      <c r="B1" s="2"/>
      <c r="C1" s="3"/>
      <c r="D1" s="4"/>
      <c r="E1" s="4"/>
      <c r="F1" s="2"/>
    </row>
    <row x14ac:dyDescent="0.25" r="2" customHeight="1" ht="17.25">
      <c r="A2" s="1"/>
      <c r="B2" s="2"/>
      <c r="C2" s="3"/>
      <c r="D2" s="4"/>
      <c r="E2" s="4"/>
      <c r="F2" s="2"/>
    </row>
    <row x14ac:dyDescent="0.25" r="3" customHeight="1" ht="17.25">
      <c r="A3" s="7">
        <v>45658</v>
      </c>
      <c r="B3" s="2" t="s">
        <v>220</v>
      </c>
      <c r="C3" s="3"/>
      <c r="D3" s="4"/>
      <c r="E3" s="14">
        <v>2352</v>
      </c>
      <c r="F3" s="2" t="s">
        <v>607</v>
      </c>
    </row>
    <row x14ac:dyDescent="0.25" r="4" customHeight="1" ht="17.25">
      <c r="A4" s="7">
        <v>45659</v>
      </c>
      <c r="B4" s="2" t="s">
        <v>269</v>
      </c>
      <c r="C4" s="6">
        <v>8</v>
      </c>
      <c r="D4" s="4"/>
      <c r="E4" s="6">
        <f>E3+C4-D4</f>
      </c>
      <c r="F4" s="2"/>
    </row>
    <row x14ac:dyDescent="0.25" r="5" customHeight="1" ht="17.25">
      <c r="A5" s="7">
        <v>45660</v>
      </c>
      <c r="B5" s="2" t="s">
        <v>483</v>
      </c>
      <c r="C5" s="3"/>
      <c r="D5" s="6">
        <v>25</v>
      </c>
      <c r="E5" s="6">
        <f>E4+C5-D5</f>
      </c>
      <c r="F5" s="2"/>
    </row>
    <row x14ac:dyDescent="0.25" r="6" customHeight="1" ht="17.25">
      <c r="A6" s="7">
        <v>45660</v>
      </c>
      <c r="B6" s="2" t="s">
        <v>483</v>
      </c>
      <c r="C6" s="3"/>
      <c r="D6" s="6">
        <v>75</v>
      </c>
      <c r="E6" s="6">
        <f>E5+C6-D6</f>
      </c>
      <c r="F6" s="2"/>
    </row>
    <row x14ac:dyDescent="0.25" r="7" customHeight="1" ht="17.25">
      <c r="A7" s="8">
        <v>45660</v>
      </c>
      <c r="B7" s="9" t="s">
        <v>410</v>
      </c>
      <c r="C7" s="6">
        <v>19</v>
      </c>
      <c r="D7" s="4"/>
      <c r="E7" s="6">
        <f>E6+C7-D7</f>
      </c>
      <c r="F7" s="2"/>
    </row>
    <row x14ac:dyDescent="0.25" r="8" customHeight="1" ht="17.25">
      <c r="A8" s="7">
        <v>45660</v>
      </c>
      <c r="B8" s="2" t="s">
        <v>127</v>
      </c>
      <c r="C8" s="6">
        <v>164</v>
      </c>
      <c r="D8" s="4"/>
      <c r="E8" s="6">
        <f>E7+C8-D8</f>
      </c>
      <c r="F8" s="2"/>
    </row>
    <row x14ac:dyDescent="0.25" r="9" customHeight="1" ht="17.25">
      <c r="A9" s="7">
        <v>45663</v>
      </c>
      <c r="B9" s="2" t="s">
        <v>269</v>
      </c>
      <c r="C9" s="6">
        <v>18</v>
      </c>
      <c r="D9" s="4"/>
      <c r="E9" s="6">
        <f>E8+C9-D9</f>
      </c>
      <c r="F9" s="2"/>
    </row>
    <row x14ac:dyDescent="0.25" r="10" customHeight="1" ht="17.25">
      <c r="A10" s="8">
        <v>45664</v>
      </c>
      <c r="B10" s="9" t="s">
        <v>269</v>
      </c>
      <c r="C10" s="6">
        <v>10</v>
      </c>
      <c r="D10" s="4"/>
      <c r="E10" s="6">
        <f>E9+C10-D10</f>
      </c>
      <c r="F10" s="2"/>
    </row>
    <row x14ac:dyDescent="0.25" r="11" customHeight="1" ht="17.25">
      <c r="A11" s="7">
        <v>45664</v>
      </c>
      <c r="B11" s="2" t="s">
        <v>131</v>
      </c>
      <c r="C11" s="6">
        <v>9</v>
      </c>
      <c r="D11" s="4"/>
      <c r="E11" s="6">
        <f>E10+C11-D11</f>
      </c>
      <c r="F11" s="2"/>
    </row>
    <row x14ac:dyDescent="0.25" r="12" customHeight="1" ht="17.25">
      <c r="A12" s="8">
        <v>45664</v>
      </c>
      <c r="B12" s="9" t="s">
        <v>376</v>
      </c>
      <c r="C12" s="6">
        <v>6</v>
      </c>
      <c r="D12" s="4"/>
      <c r="E12" s="6">
        <f>E11+C12-D12</f>
      </c>
      <c r="F12" s="2"/>
    </row>
    <row x14ac:dyDescent="0.25" r="13" customHeight="1" ht="17.25">
      <c r="A13" s="8">
        <v>45664</v>
      </c>
      <c r="B13" s="9" t="s">
        <v>127</v>
      </c>
      <c r="C13" s="6">
        <v>110</v>
      </c>
      <c r="D13" s="4"/>
      <c r="E13" s="6">
        <f>E12+C13-D13</f>
      </c>
      <c r="F13" s="2"/>
    </row>
    <row x14ac:dyDescent="0.25" r="14" customHeight="1" ht="17.25">
      <c r="A14" s="7">
        <v>45665</v>
      </c>
      <c r="B14" s="9" t="s">
        <v>548</v>
      </c>
      <c r="C14" s="6">
        <v>22</v>
      </c>
      <c r="D14" s="4"/>
      <c r="E14" s="6">
        <f>E13+C14-D14</f>
      </c>
      <c r="F14" s="2"/>
    </row>
    <row x14ac:dyDescent="0.25" r="15" customHeight="1" ht="17.25">
      <c r="A15" s="7">
        <v>45666</v>
      </c>
      <c r="B15" s="9" t="s">
        <v>177</v>
      </c>
      <c r="C15" s="6">
        <v>4</v>
      </c>
      <c r="D15" s="4"/>
      <c r="E15" s="6">
        <f>E14+C15-D15</f>
      </c>
      <c r="F15" s="2"/>
    </row>
    <row x14ac:dyDescent="0.25" r="16" customHeight="1" ht="17.25">
      <c r="A16" s="7">
        <v>45666</v>
      </c>
      <c r="B16" s="9" t="s">
        <v>376</v>
      </c>
      <c r="C16" s="6">
        <v>1</v>
      </c>
      <c r="D16" s="4"/>
      <c r="E16" s="6">
        <f>E15+C16-D16</f>
      </c>
      <c r="F16" s="2"/>
    </row>
    <row x14ac:dyDescent="0.25" r="17" customHeight="1" ht="17.25">
      <c r="A17" s="7">
        <v>45667</v>
      </c>
      <c r="B17" s="9" t="s">
        <v>270</v>
      </c>
      <c r="C17" s="3"/>
      <c r="D17" s="6">
        <v>30</v>
      </c>
      <c r="E17" s="6">
        <f>E16+C17-D17</f>
      </c>
      <c r="F17" s="2"/>
    </row>
    <row x14ac:dyDescent="0.25" r="18" customHeight="1" ht="17.25">
      <c r="A18" s="7">
        <v>45667</v>
      </c>
      <c r="B18" s="9" t="s">
        <v>227</v>
      </c>
      <c r="C18" s="6">
        <v>10</v>
      </c>
      <c r="D18" s="4"/>
      <c r="E18" s="6">
        <f>E17+C18-D18</f>
      </c>
      <c r="F18" s="2"/>
    </row>
    <row x14ac:dyDescent="0.25" r="19" customHeight="1" ht="17.25">
      <c r="A19" s="7">
        <v>45668</v>
      </c>
      <c r="B19" s="9" t="s">
        <v>256</v>
      </c>
      <c r="C19" s="6">
        <v>8</v>
      </c>
      <c r="D19" s="4"/>
      <c r="E19" s="6">
        <f>E18+C19-D19</f>
      </c>
      <c r="F19" s="2"/>
    </row>
    <row x14ac:dyDescent="0.25" r="20" customHeight="1" ht="17.25">
      <c r="A20" s="8">
        <v>45670</v>
      </c>
      <c r="B20" s="9" t="s">
        <v>410</v>
      </c>
      <c r="C20" s="6">
        <v>10</v>
      </c>
      <c r="D20" s="4"/>
      <c r="E20" s="6">
        <f>E19+C20-D20</f>
      </c>
      <c r="F20" s="2"/>
    </row>
    <row x14ac:dyDescent="0.25" r="21" customHeight="1" ht="17.25">
      <c r="A21" s="7">
        <v>45672</v>
      </c>
      <c r="B21" s="9" t="s">
        <v>485</v>
      </c>
      <c r="C21" s="3"/>
      <c r="D21" s="6">
        <v>70</v>
      </c>
      <c r="E21" s="6">
        <f>E20+C21-D21</f>
      </c>
      <c r="F21" s="2"/>
    </row>
    <row x14ac:dyDescent="0.25" r="22" customHeight="1" ht="17.25">
      <c r="A22" s="7">
        <v>45672</v>
      </c>
      <c r="B22" s="9" t="s">
        <v>412</v>
      </c>
      <c r="C22" s="6">
        <v>3</v>
      </c>
      <c r="D22" s="4"/>
      <c r="E22" s="6">
        <f>E21+C22-D22</f>
      </c>
      <c r="F22" s="2"/>
    </row>
    <row x14ac:dyDescent="0.25" r="23" customHeight="1" ht="17.25">
      <c r="A23" s="8">
        <v>45673</v>
      </c>
      <c r="B23" s="9" t="s">
        <v>540</v>
      </c>
      <c r="C23" s="3"/>
      <c r="D23" s="6">
        <v>20</v>
      </c>
      <c r="E23" s="6">
        <f>E22+C23-D23</f>
      </c>
      <c r="F23" s="2"/>
    </row>
    <row x14ac:dyDescent="0.25" r="24" customHeight="1" ht="17.25">
      <c r="A24" s="8">
        <v>45673</v>
      </c>
      <c r="B24" s="9" t="s">
        <v>272</v>
      </c>
      <c r="C24" s="3"/>
      <c r="D24" s="6">
        <v>24</v>
      </c>
      <c r="E24" s="6">
        <f>E23+C24-D24</f>
      </c>
      <c r="F24" s="2"/>
    </row>
    <row x14ac:dyDescent="0.25" r="25" customHeight="1" ht="17.25">
      <c r="A25" s="7">
        <v>45673</v>
      </c>
      <c r="B25" s="9" t="s">
        <v>485</v>
      </c>
      <c r="C25" s="3"/>
      <c r="D25" s="6">
        <v>75</v>
      </c>
      <c r="E25" s="6">
        <f>E24+C25-D25</f>
      </c>
      <c r="F25" s="2"/>
    </row>
    <row x14ac:dyDescent="0.25" r="26" customHeight="1" ht="17.25">
      <c r="A26" s="7">
        <v>45675</v>
      </c>
      <c r="B26" s="9" t="s">
        <v>272</v>
      </c>
      <c r="C26" s="3"/>
      <c r="D26" s="6">
        <v>10</v>
      </c>
      <c r="E26" s="6">
        <f>E25+C26-D26</f>
      </c>
      <c r="F26" s="2"/>
    </row>
    <row x14ac:dyDescent="0.25" r="27" customHeight="1" ht="17.25">
      <c r="A27" s="7">
        <v>45677</v>
      </c>
      <c r="B27" s="9" t="s">
        <v>485</v>
      </c>
      <c r="C27" s="3"/>
      <c r="D27" s="6">
        <v>50</v>
      </c>
      <c r="E27" s="6">
        <f>E26+C27-D27</f>
      </c>
      <c r="F27" s="2"/>
    </row>
    <row x14ac:dyDescent="0.25" r="28" customHeight="1" ht="17.25">
      <c r="A28" s="8">
        <v>45677</v>
      </c>
      <c r="B28" s="9" t="s">
        <v>378</v>
      </c>
      <c r="C28" s="6">
        <v>7</v>
      </c>
      <c r="D28" s="4"/>
      <c r="E28" s="6">
        <f>E27+C28-D28</f>
      </c>
      <c r="F28" s="2"/>
    </row>
    <row x14ac:dyDescent="0.25" r="29" customHeight="1" ht="17.25">
      <c r="A29" s="8">
        <v>45677</v>
      </c>
      <c r="B29" s="9" t="s">
        <v>131</v>
      </c>
      <c r="C29" s="6">
        <v>4</v>
      </c>
      <c r="D29" s="4"/>
      <c r="E29" s="6">
        <f>E28+C29-D29</f>
      </c>
      <c r="F29" s="2"/>
    </row>
    <row x14ac:dyDescent="0.25" r="30" customHeight="1" ht="17.25">
      <c r="A30" s="8">
        <v>45678</v>
      </c>
      <c r="B30" s="9" t="s">
        <v>485</v>
      </c>
      <c r="C30" s="3"/>
      <c r="D30" s="6">
        <v>50</v>
      </c>
      <c r="E30" s="6">
        <f>E29+C30-D30</f>
      </c>
      <c r="F30" s="2"/>
    </row>
    <row x14ac:dyDescent="0.25" r="31" customHeight="1" ht="17.25">
      <c r="A31" s="7">
        <v>45678</v>
      </c>
      <c r="B31" s="9" t="s">
        <v>128</v>
      </c>
      <c r="C31" s="6">
        <v>10</v>
      </c>
      <c r="D31" s="4"/>
      <c r="E31" s="6">
        <f>E30+C31-D31</f>
      </c>
      <c r="F31" s="2"/>
    </row>
    <row x14ac:dyDescent="0.25" r="32" customHeight="1" ht="17.25">
      <c r="A32" s="7">
        <v>45682</v>
      </c>
      <c r="B32" s="9" t="s">
        <v>35</v>
      </c>
      <c r="C32" s="6">
        <v>2</v>
      </c>
      <c r="D32" s="4"/>
      <c r="E32" s="6">
        <f>E31+C32-D32</f>
      </c>
      <c r="F32" s="2"/>
    </row>
    <row x14ac:dyDescent="0.25" r="33" customHeight="1" ht="17.25">
      <c r="A33" s="8">
        <v>45682</v>
      </c>
      <c r="B33" s="9" t="s">
        <v>189</v>
      </c>
      <c r="C33" s="6">
        <v>4</v>
      </c>
      <c r="D33" s="4"/>
      <c r="E33" s="6">
        <f>E32+C33-D33</f>
      </c>
      <c r="F33" s="2"/>
    </row>
    <row x14ac:dyDescent="0.25" r="34" customHeight="1" ht="17.25">
      <c r="A34" s="7">
        <v>45685</v>
      </c>
      <c r="B34" s="9" t="s">
        <v>35</v>
      </c>
      <c r="C34" s="6">
        <v>2</v>
      </c>
      <c r="D34" s="4"/>
      <c r="E34" s="6">
        <f>E33+C34-D34</f>
      </c>
      <c r="F34" s="2"/>
    </row>
    <row x14ac:dyDescent="0.25" r="35" customHeight="1" ht="17.25">
      <c r="A35" s="7">
        <v>45685</v>
      </c>
      <c r="B35" s="9" t="s">
        <v>127</v>
      </c>
      <c r="C35" s="6">
        <v>102</v>
      </c>
      <c r="D35" s="4"/>
      <c r="E35" s="6">
        <f>E34+C35-D35</f>
      </c>
      <c r="F35" s="2"/>
    </row>
    <row x14ac:dyDescent="0.25" r="36" customHeight="1" ht="17.25">
      <c r="A36" s="7">
        <v>45688</v>
      </c>
      <c r="B36" s="9" t="s">
        <v>35</v>
      </c>
      <c r="C36" s="6">
        <v>4</v>
      </c>
      <c r="D36" s="4"/>
      <c r="E36" s="6">
        <f>E35+C36-D36</f>
      </c>
      <c r="F36" s="2"/>
    </row>
    <row x14ac:dyDescent="0.25" r="37" customHeight="1" ht="17.25">
      <c r="A37" s="8">
        <v>45688</v>
      </c>
      <c r="B37" s="9" t="s">
        <v>189</v>
      </c>
      <c r="C37" s="6">
        <v>8</v>
      </c>
      <c r="D37" s="4"/>
      <c r="E37" s="6">
        <f>E36+C37-D37</f>
      </c>
      <c r="F37" s="2"/>
    </row>
    <row x14ac:dyDescent="0.25" r="38" customHeight="1" ht="17.25">
      <c r="A38" s="7">
        <v>45688</v>
      </c>
      <c r="B38" s="9" t="s">
        <v>385</v>
      </c>
      <c r="C38" s="6">
        <v>29</v>
      </c>
      <c r="D38" s="4"/>
      <c r="E38" s="6">
        <f>E37+C38-D38</f>
      </c>
      <c r="F38" s="2"/>
    </row>
    <row x14ac:dyDescent="0.25" r="39" customHeight="1" ht="17.25">
      <c r="A39" s="8">
        <v>45691</v>
      </c>
      <c r="B39" s="9" t="s">
        <v>273</v>
      </c>
      <c r="C39" s="6">
        <v>6</v>
      </c>
      <c r="D39" s="4"/>
      <c r="E39" s="6">
        <f>E38+C39-D39</f>
      </c>
      <c r="F39" s="2"/>
    </row>
    <row x14ac:dyDescent="0.25" r="40" customHeight="1" ht="17.25">
      <c r="A40" s="8">
        <v>45692</v>
      </c>
      <c r="B40" s="9" t="s">
        <v>378</v>
      </c>
      <c r="C40" s="6">
        <v>12</v>
      </c>
      <c r="D40" s="4"/>
      <c r="E40" s="6">
        <f>E39+C40-D40</f>
      </c>
      <c r="F40" s="2"/>
    </row>
    <row x14ac:dyDescent="0.25" r="41" customHeight="1" ht="17.25">
      <c r="A41" s="8">
        <v>45693</v>
      </c>
      <c r="B41" s="9" t="s">
        <v>269</v>
      </c>
      <c r="C41" s="6">
        <v>24</v>
      </c>
      <c r="D41" s="4"/>
      <c r="E41" s="6">
        <f>E40+C41-D41</f>
      </c>
      <c r="F41" s="2"/>
    </row>
    <row x14ac:dyDescent="0.25" r="42" customHeight="1" ht="17.25">
      <c r="A42" s="8">
        <v>45693</v>
      </c>
      <c r="B42" s="9" t="s">
        <v>378</v>
      </c>
      <c r="C42" s="6">
        <v>26</v>
      </c>
      <c r="D42" s="4"/>
      <c r="E42" s="6">
        <f>E41+C42-D42</f>
      </c>
      <c r="F42" s="2"/>
    </row>
    <row x14ac:dyDescent="0.25" r="43" customHeight="1" ht="17.25">
      <c r="A43" s="7">
        <v>45693</v>
      </c>
      <c r="B43" s="9" t="s">
        <v>376</v>
      </c>
      <c r="C43" s="6">
        <v>2</v>
      </c>
      <c r="D43" s="4"/>
      <c r="E43" s="6">
        <f>E42+C43-D43</f>
      </c>
      <c r="F43" s="2"/>
    </row>
    <row x14ac:dyDescent="0.25" r="44" customHeight="1" ht="17.25">
      <c r="A44" s="8">
        <v>45694</v>
      </c>
      <c r="B44" s="9" t="s">
        <v>127</v>
      </c>
      <c r="C44" s="6">
        <v>24</v>
      </c>
      <c r="D44" s="4"/>
      <c r="E44" s="6">
        <f>E43+C44-D44</f>
      </c>
      <c r="F44" s="2"/>
    </row>
    <row x14ac:dyDescent="0.25" r="45" customHeight="1" ht="17.25">
      <c r="A45" s="7">
        <v>45694</v>
      </c>
      <c r="B45" s="9" t="s">
        <v>275</v>
      </c>
      <c r="C45" s="6">
        <v>7</v>
      </c>
      <c r="D45" s="4"/>
      <c r="E45" s="6">
        <f>E44+C45-D45</f>
      </c>
      <c r="F45" s="2"/>
    </row>
    <row x14ac:dyDescent="0.25" r="46" customHeight="1" ht="17.25">
      <c r="A46" s="8">
        <v>45695</v>
      </c>
      <c r="B46" s="9" t="s">
        <v>284</v>
      </c>
      <c r="C46" s="6">
        <v>10</v>
      </c>
      <c r="D46" s="4"/>
      <c r="E46" s="6">
        <f>E45+C46-D46</f>
      </c>
      <c r="F46" s="2"/>
    </row>
    <row x14ac:dyDescent="0.25" r="47" customHeight="1" ht="17.25">
      <c r="A47" s="7">
        <v>45696</v>
      </c>
      <c r="B47" s="9" t="s">
        <v>35</v>
      </c>
      <c r="C47" s="6">
        <v>5</v>
      </c>
      <c r="D47" s="4"/>
      <c r="E47" s="6">
        <f>E46+C47-D47</f>
      </c>
      <c r="F47" s="2"/>
    </row>
    <row x14ac:dyDescent="0.25" r="48" customHeight="1" ht="17.25">
      <c r="A48" s="7">
        <v>45696</v>
      </c>
      <c r="B48" s="9" t="s">
        <v>189</v>
      </c>
      <c r="C48" s="6">
        <v>15</v>
      </c>
      <c r="D48" s="4"/>
      <c r="E48" s="6">
        <f>E47+C48-D48</f>
      </c>
      <c r="F48" s="2"/>
    </row>
    <row x14ac:dyDescent="0.25" r="49" customHeight="1" ht="17.25">
      <c r="A49" s="7">
        <v>45698</v>
      </c>
      <c r="B49" s="9" t="s">
        <v>123</v>
      </c>
      <c r="C49" s="6">
        <v>32</v>
      </c>
      <c r="D49" s="4"/>
      <c r="E49" s="6">
        <f>E48+C49-D49</f>
      </c>
      <c r="F49" s="2"/>
    </row>
    <row x14ac:dyDescent="0.25" r="50" customHeight="1" ht="17.25">
      <c r="A50" s="8">
        <v>45699</v>
      </c>
      <c r="B50" s="9" t="s">
        <v>131</v>
      </c>
      <c r="C50" s="6">
        <v>15</v>
      </c>
      <c r="D50" s="4"/>
      <c r="E50" s="6">
        <f>E49+C50-D50</f>
      </c>
      <c r="F50" s="2"/>
    </row>
    <row x14ac:dyDescent="0.25" r="51" customHeight="1" ht="17.25">
      <c r="A51" s="8">
        <v>45699</v>
      </c>
      <c r="B51" s="9" t="s">
        <v>189</v>
      </c>
      <c r="C51" s="6">
        <v>3</v>
      </c>
      <c r="D51" s="4"/>
      <c r="E51" s="6">
        <f>E50+C51-D51</f>
      </c>
      <c r="F51" s="2"/>
    </row>
    <row x14ac:dyDescent="0.25" r="52" customHeight="1" ht="17.25">
      <c r="A52" s="8">
        <v>45700</v>
      </c>
      <c r="B52" s="9" t="s">
        <v>35</v>
      </c>
      <c r="C52" s="6">
        <v>17</v>
      </c>
      <c r="D52" s="4"/>
      <c r="E52" s="6">
        <f>E51+C52-D52</f>
      </c>
      <c r="F52" s="2"/>
    </row>
    <row x14ac:dyDescent="0.25" r="53" customHeight="1" ht="17.25">
      <c r="A53" s="8">
        <v>45700</v>
      </c>
      <c r="B53" s="9" t="s">
        <v>35</v>
      </c>
      <c r="C53" s="6">
        <v>19</v>
      </c>
      <c r="D53" s="4"/>
      <c r="E53" s="6">
        <f>E52+C53-D53</f>
      </c>
      <c r="F53" s="2"/>
    </row>
    <row x14ac:dyDescent="0.25" r="54" customHeight="1" ht="17.25">
      <c r="A54" s="7">
        <v>45700</v>
      </c>
      <c r="B54" s="9" t="s">
        <v>376</v>
      </c>
      <c r="C54" s="6">
        <v>5</v>
      </c>
      <c r="D54" s="4"/>
      <c r="E54" s="6">
        <f>E53+C54-D54</f>
      </c>
      <c r="F54" s="2"/>
    </row>
    <row x14ac:dyDescent="0.25" r="55" customHeight="1" ht="17.25">
      <c r="A55" s="8">
        <v>45700</v>
      </c>
      <c r="B55" s="9" t="s">
        <v>412</v>
      </c>
      <c r="C55" s="6">
        <v>2</v>
      </c>
      <c r="D55" s="4"/>
      <c r="E55" s="6">
        <f>E54+C55-D55</f>
      </c>
      <c r="F55" s="2"/>
    </row>
    <row x14ac:dyDescent="0.25" r="56" customHeight="1" ht="17.25">
      <c r="A56" s="7">
        <v>45702</v>
      </c>
      <c r="B56" s="9" t="s">
        <v>123</v>
      </c>
      <c r="C56" s="6">
        <v>121</v>
      </c>
      <c r="D56" s="4"/>
      <c r="E56" s="6">
        <f>E55+C56-D56</f>
      </c>
      <c r="F56" s="2"/>
    </row>
    <row x14ac:dyDescent="0.25" r="57" customHeight="1" ht="17.25">
      <c r="A57" s="8">
        <v>45702</v>
      </c>
      <c r="B57" s="9" t="s">
        <v>189</v>
      </c>
      <c r="C57" s="6">
        <v>18</v>
      </c>
      <c r="D57" s="4"/>
      <c r="E57" s="6">
        <f>E56+C57-D57</f>
      </c>
      <c r="F57" s="2"/>
    </row>
    <row x14ac:dyDescent="0.25" r="58" customHeight="1" ht="17.25">
      <c r="A58" s="7">
        <v>45703</v>
      </c>
      <c r="B58" s="9" t="s">
        <v>376</v>
      </c>
      <c r="C58" s="6">
        <v>7</v>
      </c>
      <c r="D58" s="4"/>
      <c r="E58" s="6">
        <f>E57+C58-D58</f>
      </c>
      <c r="F58" s="2"/>
    </row>
    <row x14ac:dyDescent="0.25" r="59" customHeight="1" ht="17.25">
      <c r="A59" s="7">
        <v>45703</v>
      </c>
      <c r="B59" s="9" t="s">
        <v>35</v>
      </c>
      <c r="C59" s="6">
        <v>3</v>
      </c>
      <c r="D59" s="4"/>
      <c r="E59" s="6">
        <f>E58+C59-D59</f>
      </c>
      <c r="F59" s="2"/>
    </row>
    <row x14ac:dyDescent="0.25" r="60" customHeight="1" ht="17.25">
      <c r="A60" s="8">
        <v>45705</v>
      </c>
      <c r="B60" s="9" t="s">
        <v>131</v>
      </c>
      <c r="C60" s="6">
        <v>5</v>
      </c>
      <c r="D60" s="4"/>
      <c r="E60" s="6">
        <f>E59+C60-D60</f>
      </c>
      <c r="F60" s="2"/>
    </row>
    <row x14ac:dyDescent="0.25" r="61" customHeight="1" ht="17.25">
      <c r="A61" s="7">
        <v>45705</v>
      </c>
      <c r="B61" s="9" t="s">
        <v>128</v>
      </c>
      <c r="C61" s="6">
        <v>6</v>
      </c>
      <c r="D61" s="4"/>
      <c r="E61" s="6">
        <f>E60+C61-D61</f>
      </c>
      <c r="F61" s="2"/>
    </row>
    <row x14ac:dyDescent="0.25" r="62" customHeight="1" ht="17.25">
      <c r="A62" s="8">
        <v>45706</v>
      </c>
      <c r="B62" s="9" t="s">
        <v>189</v>
      </c>
      <c r="C62" s="6">
        <v>19</v>
      </c>
      <c r="D62" s="4"/>
      <c r="E62" s="6">
        <f>E61+C62-D62</f>
      </c>
      <c r="F62" s="2"/>
    </row>
    <row x14ac:dyDescent="0.25" r="63" customHeight="1" ht="17.25">
      <c r="A63" s="8">
        <v>45707</v>
      </c>
      <c r="B63" s="9" t="s">
        <v>141</v>
      </c>
      <c r="C63" s="3"/>
      <c r="D63" s="6">
        <v>92</v>
      </c>
      <c r="E63" s="6">
        <f>E62+C63-D63</f>
      </c>
      <c r="F63" s="2"/>
    </row>
    <row x14ac:dyDescent="0.25" r="64" customHeight="1" ht="17.25">
      <c r="A64" s="8">
        <v>45708</v>
      </c>
      <c r="B64" s="9" t="s">
        <v>485</v>
      </c>
      <c r="C64" s="3"/>
      <c r="D64" s="6">
        <v>50</v>
      </c>
      <c r="E64" s="6">
        <f>E63+C64-D64</f>
      </c>
      <c r="F64" s="2"/>
    </row>
    <row x14ac:dyDescent="0.25" r="65" customHeight="1" ht="17.25">
      <c r="A65" s="7">
        <v>45708</v>
      </c>
      <c r="B65" s="9" t="s">
        <v>376</v>
      </c>
      <c r="C65" s="6">
        <v>6</v>
      </c>
      <c r="D65" s="4"/>
      <c r="E65" s="6">
        <f>E64+C65-D65</f>
      </c>
      <c r="F65" s="2"/>
    </row>
    <row x14ac:dyDescent="0.25" r="66" customHeight="1" ht="17.25">
      <c r="A66" s="7">
        <v>45708</v>
      </c>
      <c r="B66" s="9" t="s">
        <v>189</v>
      </c>
      <c r="C66" s="6">
        <v>8</v>
      </c>
      <c r="D66" s="4"/>
      <c r="E66" s="6">
        <f>E65+C66-D66</f>
      </c>
      <c r="F66" s="2"/>
    </row>
    <row x14ac:dyDescent="0.25" r="67" customHeight="1" ht="17.25">
      <c r="A67" s="7">
        <v>45709</v>
      </c>
      <c r="B67" s="9" t="s">
        <v>227</v>
      </c>
      <c r="C67" s="3"/>
      <c r="D67" s="6">
        <v>40</v>
      </c>
      <c r="E67" s="6">
        <f>E66+C67-D67</f>
      </c>
      <c r="F67" s="2"/>
    </row>
    <row x14ac:dyDescent="0.25" r="68" customHeight="1" ht="17.25">
      <c r="A68" s="8">
        <v>45709</v>
      </c>
      <c r="B68" s="9" t="s">
        <v>485</v>
      </c>
      <c r="C68" s="3"/>
      <c r="D68" s="6">
        <v>73</v>
      </c>
      <c r="E68" s="6">
        <f>E67+C68-D68</f>
      </c>
      <c r="F68" s="2"/>
    </row>
    <row x14ac:dyDescent="0.25" r="69" customHeight="1" ht="17.25">
      <c r="A69" s="7">
        <v>45709</v>
      </c>
      <c r="B69" s="9" t="s">
        <v>131</v>
      </c>
      <c r="C69" s="6">
        <v>9</v>
      </c>
      <c r="D69" s="4"/>
      <c r="E69" s="6">
        <f>E68+C69-D69</f>
      </c>
      <c r="F69" s="2"/>
    </row>
    <row x14ac:dyDescent="0.25" r="70" customHeight="1" ht="17.25">
      <c r="A70" s="8">
        <v>45709</v>
      </c>
      <c r="B70" s="9" t="s">
        <v>269</v>
      </c>
      <c r="C70" s="6">
        <v>13</v>
      </c>
      <c r="D70" s="4"/>
      <c r="E70" s="6">
        <f>E69+C70-D70</f>
      </c>
      <c r="F70" s="2"/>
    </row>
    <row x14ac:dyDescent="0.25" r="71" customHeight="1" ht="17.25">
      <c r="A71" s="8">
        <v>45710</v>
      </c>
      <c r="B71" s="9" t="s">
        <v>35</v>
      </c>
      <c r="C71" s="6">
        <v>28</v>
      </c>
      <c r="D71" s="4"/>
      <c r="E71" s="6">
        <f>E70+C71-D71</f>
      </c>
      <c r="F71" s="2"/>
    </row>
    <row x14ac:dyDescent="0.25" r="72" customHeight="1" ht="17.25">
      <c r="A72" s="7">
        <v>45710</v>
      </c>
      <c r="B72" s="9" t="s">
        <v>11</v>
      </c>
      <c r="C72" s="6">
        <v>9</v>
      </c>
      <c r="D72" s="4"/>
      <c r="E72" s="6">
        <f>E71+C72-D72</f>
      </c>
      <c r="F72" s="2"/>
    </row>
    <row x14ac:dyDescent="0.25" r="73" customHeight="1" ht="17.25">
      <c r="A73" s="7">
        <v>45712</v>
      </c>
      <c r="B73" s="9" t="s">
        <v>35</v>
      </c>
      <c r="C73" s="6">
        <v>8</v>
      </c>
      <c r="D73" s="4"/>
      <c r="E73" s="6">
        <f>E72+C73-D73</f>
      </c>
      <c r="F73" s="2"/>
    </row>
    <row x14ac:dyDescent="0.25" r="74" customHeight="1" ht="17.25">
      <c r="A74" s="8">
        <v>45712</v>
      </c>
      <c r="B74" s="9" t="s">
        <v>270</v>
      </c>
      <c r="C74" s="6">
        <v>30</v>
      </c>
      <c r="D74" s="4"/>
      <c r="E74" s="6">
        <f>E73+C74-D74</f>
      </c>
      <c r="F74" s="2"/>
    </row>
    <row x14ac:dyDescent="0.25" r="75" customHeight="1" ht="17.25">
      <c r="A75" s="8">
        <v>45712</v>
      </c>
      <c r="B75" s="9" t="s">
        <v>189</v>
      </c>
      <c r="C75" s="6">
        <v>6</v>
      </c>
      <c r="D75" s="4"/>
      <c r="E75" s="6">
        <f>E74+C75-D75</f>
      </c>
      <c r="F75" s="2"/>
    </row>
    <row x14ac:dyDescent="0.25" r="76" customHeight="1" ht="17.25">
      <c r="A76" s="7">
        <v>45713</v>
      </c>
      <c r="B76" s="9" t="s">
        <v>44</v>
      </c>
      <c r="C76" s="3"/>
      <c r="D76" s="6">
        <v>60</v>
      </c>
      <c r="E76" s="6">
        <f>E75+C76-D76</f>
      </c>
      <c r="F76" s="2"/>
    </row>
    <row x14ac:dyDescent="0.25" r="77" customHeight="1" ht="17.25">
      <c r="A77" s="8">
        <v>45713</v>
      </c>
      <c r="B77" s="9" t="s">
        <v>131</v>
      </c>
      <c r="C77" s="6">
        <v>12</v>
      </c>
      <c r="D77" s="4"/>
      <c r="E77" s="6">
        <f>E76+C77-D77</f>
      </c>
      <c r="F77" s="2"/>
    </row>
    <row x14ac:dyDescent="0.25" r="78" customHeight="1" ht="17.25">
      <c r="A78" s="7">
        <v>45714</v>
      </c>
      <c r="B78" s="9" t="s">
        <v>3</v>
      </c>
      <c r="C78" s="3"/>
      <c r="D78" s="6">
        <v>200</v>
      </c>
      <c r="E78" s="6">
        <f>E77+C78-D78</f>
      </c>
      <c r="F78" s="2"/>
    </row>
    <row x14ac:dyDescent="0.25" r="79" customHeight="1" ht="17.25">
      <c r="A79" s="7">
        <v>45716</v>
      </c>
      <c r="B79" s="9" t="s">
        <v>487</v>
      </c>
      <c r="C79" s="3"/>
      <c r="D79" s="6">
        <v>50</v>
      </c>
      <c r="E79" s="6">
        <f>E78+C79-D79</f>
      </c>
      <c r="F79" s="2"/>
    </row>
    <row x14ac:dyDescent="0.25" r="80" customHeight="1" ht="17.25">
      <c r="A80" s="7">
        <v>45717</v>
      </c>
      <c r="B80" s="9" t="s">
        <v>487</v>
      </c>
      <c r="C80" s="3"/>
      <c r="D80" s="6">
        <v>50</v>
      </c>
      <c r="E80" s="6">
        <f>E79+C80-D80</f>
      </c>
      <c r="F80" s="2"/>
    </row>
    <row x14ac:dyDescent="0.25" r="81" customHeight="1" ht="17.25">
      <c r="A81" s="7">
        <v>45717</v>
      </c>
      <c r="B81" s="9" t="s">
        <v>3</v>
      </c>
      <c r="C81" s="3"/>
      <c r="D81" s="6">
        <v>60</v>
      </c>
      <c r="E81" s="6">
        <f>E80+C81-D81</f>
      </c>
      <c r="F81" s="2"/>
    </row>
    <row x14ac:dyDescent="0.25" r="82" customHeight="1" ht="17.25">
      <c r="A82" s="7">
        <v>45717</v>
      </c>
      <c r="B82" s="9" t="s">
        <v>576</v>
      </c>
      <c r="C82" s="6">
        <v>53</v>
      </c>
      <c r="D82" s="4"/>
      <c r="E82" s="6">
        <f>E81+C82-D82</f>
      </c>
      <c r="F82" s="2"/>
    </row>
    <row x14ac:dyDescent="0.25" r="83" customHeight="1" ht="17.25">
      <c r="A83" s="7">
        <v>45717</v>
      </c>
      <c r="B83" s="9" t="s">
        <v>189</v>
      </c>
      <c r="C83" s="6">
        <v>15</v>
      </c>
      <c r="D83" s="4"/>
      <c r="E83" s="6">
        <f>E82+C83-D83</f>
      </c>
      <c r="F83" s="2"/>
    </row>
    <row x14ac:dyDescent="0.25" r="84" customHeight="1" ht="17.25">
      <c r="A84" s="7">
        <v>45719</v>
      </c>
      <c r="B84" s="9" t="s">
        <v>3</v>
      </c>
      <c r="C84" s="3"/>
      <c r="D84" s="6">
        <v>40</v>
      </c>
      <c r="E84" s="6">
        <f>E83+C84-D84</f>
      </c>
      <c r="F84" s="2"/>
    </row>
    <row x14ac:dyDescent="0.25" r="85" customHeight="1" ht="17.25">
      <c r="A85" s="8">
        <v>45719</v>
      </c>
      <c r="B85" s="9" t="s">
        <v>35</v>
      </c>
      <c r="C85" s="6">
        <v>9</v>
      </c>
      <c r="D85" s="4"/>
      <c r="E85" s="6">
        <f>E84+C85-D85</f>
      </c>
      <c r="F85" s="2"/>
    </row>
    <row x14ac:dyDescent="0.25" r="86" customHeight="1" ht="17.25">
      <c r="A86" s="8">
        <v>45719</v>
      </c>
      <c r="B86" s="9" t="s">
        <v>118</v>
      </c>
      <c r="C86" s="6">
        <v>12</v>
      </c>
      <c r="D86" s="4"/>
      <c r="E86" s="6">
        <f>E85+C86-D86</f>
      </c>
      <c r="F86" s="2"/>
    </row>
    <row x14ac:dyDescent="0.25" r="87" customHeight="1" ht="17.25">
      <c r="A87" s="8">
        <v>45720</v>
      </c>
      <c r="B87" s="9" t="s">
        <v>387</v>
      </c>
      <c r="C87" s="3"/>
      <c r="D87" s="6">
        <v>50</v>
      </c>
      <c r="E87" s="6">
        <f>E86+C87-D87</f>
      </c>
      <c r="F87" s="2"/>
    </row>
    <row x14ac:dyDescent="0.25" r="88" customHeight="1" ht="17.25">
      <c r="A88" s="7">
        <v>45720</v>
      </c>
      <c r="B88" s="9" t="s">
        <v>3</v>
      </c>
      <c r="C88" s="3"/>
      <c r="D88" s="6">
        <v>50</v>
      </c>
      <c r="E88" s="6">
        <f>E87+C88-D88</f>
      </c>
      <c r="F88" s="2"/>
    </row>
    <row x14ac:dyDescent="0.25" r="89" customHeight="1" ht="17.25">
      <c r="A89" s="7">
        <v>45721</v>
      </c>
      <c r="B89" s="9" t="s">
        <v>3</v>
      </c>
      <c r="C89" s="3"/>
      <c r="D89" s="6">
        <v>89</v>
      </c>
      <c r="E89" s="6">
        <f>E88+C89-D89</f>
      </c>
      <c r="F89" s="2"/>
    </row>
    <row x14ac:dyDescent="0.25" r="90" customHeight="1" ht="17.25">
      <c r="A90" s="7">
        <v>45721</v>
      </c>
      <c r="B90" s="9" t="s">
        <v>3</v>
      </c>
      <c r="C90" s="3"/>
      <c r="D90" s="6">
        <v>172</v>
      </c>
      <c r="E90" s="6">
        <f>E89+C90-D90</f>
      </c>
      <c r="F90" s="2"/>
    </row>
    <row x14ac:dyDescent="0.25" r="91" customHeight="1" ht="17.25">
      <c r="A91" s="7">
        <v>45721</v>
      </c>
      <c r="B91" s="9" t="s">
        <v>3</v>
      </c>
      <c r="C91" s="3"/>
      <c r="D91" s="6">
        <v>50</v>
      </c>
      <c r="E91" s="6">
        <f>E90+C91-D91</f>
      </c>
      <c r="F91" s="2"/>
    </row>
    <row x14ac:dyDescent="0.25" r="92" customHeight="1" ht="17.25">
      <c r="A92" s="8">
        <v>45721</v>
      </c>
      <c r="B92" s="9" t="s">
        <v>39</v>
      </c>
      <c r="C92" s="6">
        <v>17</v>
      </c>
      <c r="D92" s="4"/>
      <c r="E92" s="6">
        <f>E91+C92-D92</f>
      </c>
      <c r="F92" s="2"/>
    </row>
    <row x14ac:dyDescent="0.25" r="93" customHeight="1" ht="17.25">
      <c r="A93" s="7">
        <v>45721</v>
      </c>
      <c r="B93" s="9" t="s">
        <v>543</v>
      </c>
      <c r="C93" s="6">
        <v>22</v>
      </c>
      <c r="D93" s="4"/>
      <c r="E93" s="6">
        <f>E92+C93-D93</f>
      </c>
      <c r="F93" s="2"/>
    </row>
    <row x14ac:dyDescent="0.25" r="94" customHeight="1" ht="17.25">
      <c r="A94" s="7">
        <v>45722</v>
      </c>
      <c r="B94" s="9" t="s">
        <v>387</v>
      </c>
      <c r="C94" s="3"/>
      <c r="D94" s="6">
        <v>67</v>
      </c>
      <c r="E94" s="6">
        <f>E93+C94-D94</f>
      </c>
      <c r="F94" s="2"/>
    </row>
    <row x14ac:dyDescent="0.25" r="95" customHeight="1" ht="17.25">
      <c r="A95" s="8">
        <v>45722</v>
      </c>
      <c r="B95" s="9" t="s">
        <v>283</v>
      </c>
      <c r="C95" s="6">
        <v>16</v>
      </c>
      <c r="D95" s="4"/>
      <c r="E95" s="6">
        <f>E94+C95-D95</f>
      </c>
      <c r="F95" s="2"/>
    </row>
    <row x14ac:dyDescent="0.25" r="96" customHeight="1" ht="17.25">
      <c r="A96" s="8">
        <v>45722</v>
      </c>
      <c r="B96" s="9" t="s">
        <v>275</v>
      </c>
      <c r="C96" s="6">
        <v>6</v>
      </c>
      <c r="D96" s="4"/>
      <c r="E96" s="6">
        <f>E95+C96-D96</f>
      </c>
      <c r="F96" s="2"/>
    </row>
    <row x14ac:dyDescent="0.25" r="97" customHeight="1" ht="17.25">
      <c r="A97" s="7">
        <v>45723</v>
      </c>
      <c r="B97" s="9" t="s">
        <v>3</v>
      </c>
      <c r="C97" s="3"/>
      <c r="D97" s="6">
        <v>50</v>
      </c>
      <c r="E97" s="6">
        <f>E96+C97-D97</f>
      </c>
      <c r="F97" s="2"/>
    </row>
    <row x14ac:dyDescent="0.25" r="98" customHeight="1" ht="17.25">
      <c r="A98" s="7">
        <v>45723</v>
      </c>
      <c r="B98" s="9" t="s">
        <v>35</v>
      </c>
      <c r="C98" s="6">
        <v>4</v>
      </c>
      <c r="D98" s="4"/>
      <c r="E98" s="6">
        <f>E97+C98-D98</f>
      </c>
      <c r="F98" s="2"/>
    </row>
    <row x14ac:dyDescent="0.25" r="99" customHeight="1" ht="17.25">
      <c r="A99" s="8">
        <v>45723</v>
      </c>
      <c r="B99" s="9" t="s">
        <v>35</v>
      </c>
      <c r="C99" s="6">
        <v>12</v>
      </c>
      <c r="D99" s="4"/>
      <c r="E99" s="6">
        <f>E98+C99-D99</f>
      </c>
      <c r="F99" s="2"/>
    </row>
    <row x14ac:dyDescent="0.25" r="100" customHeight="1" ht="17.25">
      <c r="A100" s="8">
        <v>45723</v>
      </c>
      <c r="B100" s="9" t="s">
        <v>189</v>
      </c>
      <c r="C100" s="6">
        <v>24</v>
      </c>
      <c r="D100" s="4"/>
      <c r="E100" s="6">
        <f>E99+C100-D100</f>
      </c>
      <c r="F100" s="2"/>
    </row>
    <row x14ac:dyDescent="0.25" r="101" customHeight="1" ht="17.25">
      <c r="A101" s="8">
        <v>45723</v>
      </c>
      <c r="B101" s="9" t="s">
        <v>489</v>
      </c>
      <c r="C101" s="6">
        <v>8</v>
      </c>
      <c r="D101" s="4"/>
      <c r="E101" s="6">
        <f>E100+C101-D101</f>
      </c>
      <c r="F101" s="2"/>
    </row>
    <row x14ac:dyDescent="0.25" r="102" customHeight="1" ht="17.25">
      <c r="A102" s="7">
        <v>45724</v>
      </c>
      <c r="B102" s="9" t="s">
        <v>412</v>
      </c>
      <c r="C102" s="3"/>
      <c r="D102" s="6">
        <v>33</v>
      </c>
      <c r="E102" s="6">
        <f>E101+C102-D102</f>
      </c>
      <c r="F102" s="2"/>
    </row>
    <row x14ac:dyDescent="0.25" r="103" customHeight="1" ht="17.25">
      <c r="A103" s="7">
        <v>45724</v>
      </c>
      <c r="B103" s="9" t="s">
        <v>3</v>
      </c>
      <c r="C103" s="3"/>
      <c r="D103" s="6">
        <v>176</v>
      </c>
      <c r="E103" s="6">
        <f>E102+C103-D103</f>
      </c>
      <c r="F103" s="2"/>
    </row>
    <row x14ac:dyDescent="0.25" r="104" customHeight="1" ht="17.25">
      <c r="A104" s="8">
        <v>45724</v>
      </c>
      <c r="B104" s="9" t="s">
        <v>189</v>
      </c>
      <c r="C104" s="6">
        <v>27</v>
      </c>
      <c r="D104" s="4"/>
      <c r="E104" s="6">
        <f>E103+C104-D104</f>
      </c>
      <c r="F104" s="2"/>
    </row>
    <row x14ac:dyDescent="0.25" r="105" customHeight="1" ht="17.25">
      <c r="A105" s="7">
        <v>45726</v>
      </c>
      <c r="B105" s="9" t="s">
        <v>35</v>
      </c>
      <c r="C105" s="6">
        <v>6</v>
      </c>
      <c r="D105" s="4"/>
      <c r="E105" s="6">
        <f>E104+C105-D105</f>
      </c>
      <c r="F105" s="2"/>
    </row>
    <row x14ac:dyDescent="0.25" r="106" customHeight="1" ht="17.25">
      <c r="A106" s="8">
        <v>45726</v>
      </c>
      <c r="B106" s="9" t="s">
        <v>275</v>
      </c>
      <c r="C106" s="6">
        <v>5</v>
      </c>
      <c r="D106" s="4"/>
      <c r="E106" s="6">
        <f>E105+C106-D106</f>
      </c>
      <c r="F106" s="2"/>
    </row>
    <row x14ac:dyDescent="0.25" r="107" customHeight="1" ht="17.25">
      <c r="A107" s="7">
        <v>45726</v>
      </c>
      <c r="B107" s="9" t="s">
        <v>385</v>
      </c>
      <c r="C107" s="6">
        <v>8</v>
      </c>
      <c r="D107" s="4"/>
      <c r="E107" s="6">
        <f>E106+C107-D107</f>
      </c>
      <c r="F107" s="2"/>
    </row>
    <row x14ac:dyDescent="0.25" r="108" customHeight="1" ht="17.25">
      <c r="A108" s="8">
        <v>45727</v>
      </c>
      <c r="B108" s="9" t="s">
        <v>412</v>
      </c>
      <c r="C108" s="3"/>
      <c r="D108" s="6">
        <v>33</v>
      </c>
      <c r="E108" s="6">
        <f>E107+C108-D108</f>
      </c>
      <c r="F108" s="2"/>
    </row>
    <row x14ac:dyDescent="0.25" r="109" customHeight="1" ht="17.25">
      <c r="A109" s="7">
        <v>45727</v>
      </c>
      <c r="B109" s="9" t="s">
        <v>119</v>
      </c>
      <c r="C109" s="6">
        <v>23</v>
      </c>
      <c r="D109" s="4"/>
      <c r="E109" s="6">
        <f>E108+C109-D109</f>
      </c>
      <c r="F109" s="2"/>
    </row>
    <row x14ac:dyDescent="0.25" r="110" customHeight="1" ht="17.25">
      <c r="A110" s="8">
        <v>45727</v>
      </c>
      <c r="B110" s="9" t="s">
        <v>39</v>
      </c>
      <c r="C110" s="6">
        <v>3</v>
      </c>
      <c r="D110" s="4"/>
      <c r="E110" s="6">
        <f>E109+C110-D110</f>
      </c>
      <c r="F110" s="2"/>
    </row>
    <row x14ac:dyDescent="0.25" r="111" customHeight="1" ht="17.25">
      <c r="A111" s="7">
        <v>45727</v>
      </c>
      <c r="B111" s="9" t="s">
        <v>189</v>
      </c>
      <c r="C111" s="6">
        <v>30</v>
      </c>
      <c r="D111" s="4"/>
      <c r="E111" s="6">
        <f>E110+C111-D111</f>
      </c>
      <c r="F111" s="2"/>
    </row>
    <row x14ac:dyDescent="0.25" r="112" customHeight="1" ht="17.25">
      <c r="A112" s="7">
        <v>45728</v>
      </c>
      <c r="B112" s="9" t="s">
        <v>547</v>
      </c>
      <c r="C112" s="3"/>
      <c r="D112" s="6">
        <v>42</v>
      </c>
      <c r="E112" s="6">
        <f>E111+C112-D112</f>
      </c>
      <c r="F112" s="2"/>
    </row>
    <row x14ac:dyDescent="0.25" r="113" customHeight="1" ht="17.25">
      <c r="A113" s="8">
        <v>45728</v>
      </c>
      <c r="B113" s="9" t="s">
        <v>35</v>
      </c>
      <c r="C113" s="6">
        <v>15</v>
      </c>
      <c r="D113" s="4"/>
      <c r="E113" s="6">
        <f>E112+C113-D113</f>
      </c>
      <c r="F113" s="2"/>
    </row>
    <row x14ac:dyDescent="0.25" r="114" customHeight="1" ht="17.25">
      <c r="A114" s="7">
        <v>45729</v>
      </c>
      <c r="B114" s="9" t="s">
        <v>3</v>
      </c>
      <c r="C114" s="3"/>
      <c r="D114" s="6">
        <v>50</v>
      </c>
      <c r="E114" s="6">
        <f>E113+C114-D114</f>
      </c>
      <c r="F114" s="2"/>
    </row>
    <row x14ac:dyDescent="0.25" r="115" customHeight="1" ht="17.25">
      <c r="A115" s="7">
        <v>45729</v>
      </c>
      <c r="B115" s="9" t="s">
        <v>3</v>
      </c>
      <c r="C115" s="3"/>
      <c r="D115" s="6">
        <v>50</v>
      </c>
      <c r="E115" s="6">
        <f>E114+C115-D115</f>
      </c>
      <c r="F115" s="2"/>
    </row>
    <row x14ac:dyDescent="0.25" r="116" customHeight="1" ht="17.25">
      <c r="A116" s="8">
        <v>45730</v>
      </c>
      <c r="B116" s="9" t="s">
        <v>35</v>
      </c>
      <c r="C116" s="6">
        <v>8</v>
      </c>
      <c r="D116" s="4"/>
      <c r="E116" s="6">
        <f>E115+C116-D116</f>
      </c>
      <c r="F116" s="2"/>
    </row>
    <row x14ac:dyDescent="0.25" r="117" customHeight="1" ht="17.25">
      <c r="A117" s="7">
        <v>45730</v>
      </c>
      <c r="B117" s="9" t="s">
        <v>141</v>
      </c>
      <c r="C117" s="6">
        <v>78</v>
      </c>
      <c r="D117" s="4"/>
      <c r="E117" s="6">
        <f>E116+C117-D117</f>
      </c>
      <c r="F117" s="2"/>
    </row>
    <row x14ac:dyDescent="0.25" r="118" customHeight="1" ht="17.25">
      <c r="A118" s="8">
        <v>45733</v>
      </c>
      <c r="B118" s="9" t="s">
        <v>234</v>
      </c>
      <c r="C118" s="3"/>
      <c r="D118" s="6">
        <v>10</v>
      </c>
      <c r="E118" s="6">
        <f>E117+C118-D118</f>
      </c>
      <c r="F118" s="2"/>
    </row>
    <row x14ac:dyDescent="0.25" r="119" customHeight="1" ht="17.25">
      <c r="A119" s="8">
        <v>45733</v>
      </c>
      <c r="B119" s="9" t="s">
        <v>39</v>
      </c>
      <c r="C119" s="6">
        <v>8</v>
      </c>
      <c r="D119" s="4"/>
      <c r="E119" s="6">
        <f>E118+C119-D119</f>
      </c>
      <c r="F119" s="2"/>
    </row>
    <row x14ac:dyDescent="0.25" r="120" customHeight="1" ht="17.25">
      <c r="A120" s="8">
        <v>45734</v>
      </c>
      <c r="B120" s="9" t="s">
        <v>365</v>
      </c>
      <c r="C120" s="6">
        <v>2</v>
      </c>
      <c r="D120" s="4"/>
      <c r="E120" s="6">
        <f>E119+C120-D120</f>
      </c>
      <c r="F120" s="2"/>
    </row>
    <row x14ac:dyDescent="0.25" r="121" customHeight="1" ht="17.25">
      <c r="A121" s="7">
        <v>45734</v>
      </c>
      <c r="B121" s="9" t="s">
        <v>486</v>
      </c>
      <c r="C121" s="6">
        <v>91</v>
      </c>
      <c r="D121" s="4"/>
      <c r="E121" s="6">
        <f>E120+C121-D121</f>
      </c>
      <c r="F121" s="2"/>
    </row>
    <row x14ac:dyDescent="0.25" r="122" customHeight="1" ht="17.25">
      <c r="A122" s="7">
        <v>45735</v>
      </c>
      <c r="B122" s="9" t="s">
        <v>283</v>
      </c>
      <c r="C122" s="6">
        <v>10</v>
      </c>
      <c r="D122" s="4"/>
      <c r="E122" s="6">
        <f>E121+C122-D122</f>
      </c>
      <c r="F122" s="2"/>
    </row>
    <row x14ac:dyDescent="0.25" r="123" customHeight="1" ht="17.25">
      <c r="A123" s="7">
        <v>45736</v>
      </c>
      <c r="B123" s="9" t="s">
        <v>11</v>
      </c>
      <c r="C123" s="6">
        <v>8</v>
      </c>
      <c r="D123" s="4"/>
      <c r="E123" s="6">
        <f>E122+C123-D123</f>
      </c>
      <c r="F123" s="2"/>
    </row>
    <row x14ac:dyDescent="0.25" r="124" customHeight="1" ht="17.25">
      <c r="A124" s="8">
        <v>45737</v>
      </c>
      <c r="B124" s="9" t="s">
        <v>189</v>
      </c>
      <c r="C124" s="6">
        <v>22</v>
      </c>
      <c r="D124" s="4"/>
      <c r="E124" s="6">
        <f>E123+C124-D124</f>
      </c>
      <c r="F124" s="2"/>
    </row>
    <row x14ac:dyDescent="0.25" r="125" customHeight="1" ht="17.25">
      <c r="A125" s="8">
        <v>45737</v>
      </c>
      <c r="B125" s="9" t="s">
        <v>275</v>
      </c>
      <c r="C125" s="6">
        <v>8</v>
      </c>
      <c r="D125" s="4"/>
      <c r="E125" s="6">
        <f>E124+C125-D125</f>
      </c>
      <c r="F125" s="2"/>
    </row>
    <row x14ac:dyDescent="0.25" r="126" customHeight="1" ht="17.25">
      <c r="A126" s="8">
        <v>45737</v>
      </c>
      <c r="B126" s="9" t="s">
        <v>275</v>
      </c>
      <c r="C126" s="6">
        <v>8</v>
      </c>
      <c r="D126" s="4"/>
      <c r="E126" s="6">
        <f>E125+C126-D126</f>
      </c>
      <c r="F126" s="2"/>
    </row>
    <row x14ac:dyDescent="0.25" r="127" customHeight="1" ht="17.25">
      <c r="A127" s="8">
        <v>45737</v>
      </c>
      <c r="B127" s="9" t="s">
        <v>272</v>
      </c>
      <c r="C127" s="6">
        <v>3</v>
      </c>
      <c r="D127" s="4"/>
      <c r="E127" s="6">
        <f>E126+C127-D127</f>
      </c>
      <c r="F127" s="2"/>
    </row>
    <row x14ac:dyDescent="0.25" r="128" customHeight="1" ht="17.25">
      <c r="A128" s="8">
        <v>45738</v>
      </c>
      <c r="B128" s="9" t="s">
        <v>382</v>
      </c>
      <c r="C128" s="6">
        <v>49</v>
      </c>
      <c r="D128" s="4"/>
      <c r="E128" s="6">
        <f>E127+C128-D128</f>
      </c>
      <c r="F128" s="2"/>
    </row>
    <row x14ac:dyDescent="0.25" r="129" customHeight="1" ht="17.25">
      <c r="A129" s="7">
        <v>45738</v>
      </c>
      <c r="B129" s="9" t="s">
        <v>3</v>
      </c>
      <c r="C129" s="6">
        <v>28</v>
      </c>
      <c r="D129" s="4"/>
      <c r="E129" s="6">
        <f>E128+C129-D129</f>
      </c>
      <c r="F129" s="2"/>
    </row>
    <row x14ac:dyDescent="0.25" r="130" customHeight="1" ht="17.25">
      <c r="A130" s="8">
        <v>45738</v>
      </c>
      <c r="B130" s="9" t="s">
        <v>39</v>
      </c>
      <c r="C130" s="6">
        <v>3</v>
      </c>
      <c r="D130" s="4"/>
      <c r="E130" s="6">
        <f>E129+C130-D130</f>
      </c>
      <c r="F130" s="2"/>
    </row>
    <row x14ac:dyDescent="0.25" r="131" customHeight="1" ht="17.25">
      <c r="A131" s="7">
        <v>45740</v>
      </c>
      <c r="B131" s="9" t="s">
        <v>376</v>
      </c>
      <c r="C131" s="6">
        <v>22</v>
      </c>
      <c r="D131" s="4"/>
      <c r="E131" s="6">
        <f>E130+C131-D131</f>
      </c>
      <c r="F131" s="2"/>
    </row>
    <row x14ac:dyDescent="0.25" r="132" customHeight="1" ht="17.25">
      <c r="A132" s="8">
        <v>45741</v>
      </c>
      <c r="B132" s="9" t="s">
        <v>272</v>
      </c>
      <c r="C132" s="6">
        <v>1</v>
      </c>
      <c r="D132" s="4"/>
      <c r="E132" s="6">
        <f>E131+C132-D132</f>
      </c>
      <c r="F132" s="2"/>
    </row>
    <row x14ac:dyDescent="0.25" r="133" customHeight="1" ht="17.25">
      <c r="A133" s="7">
        <v>45755</v>
      </c>
      <c r="B133" s="9" t="s">
        <v>382</v>
      </c>
      <c r="C133" s="6">
        <v>18</v>
      </c>
      <c r="D133" s="4"/>
      <c r="E133" s="6">
        <f>E132+C133-D133</f>
      </c>
      <c r="F133" s="2"/>
    </row>
    <row x14ac:dyDescent="0.25" r="134" customHeight="1" ht="17.25">
      <c r="A134" s="8">
        <v>45755</v>
      </c>
      <c r="B134" s="9" t="s">
        <v>232</v>
      </c>
      <c r="C134" s="6">
        <v>10</v>
      </c>
      <c r="D134" s="4"/>
      <c r="E134" s="6">
        <f>E133+C134-D134</f>
      </c>
      <c r="F134" s="2"/>
    </row>
    <row x14ac:dyDescent="0.25" r="135" customHeight="1" ht="17.25">
      <c r="A135" s="8">
        <v>45757</v>
      </c>
      <c r="B135" s="9" t="s">
        <v>275</v>
      </c>
      <c r="C135" s="6">
        <v>10</v>
      </c>
      <c r="D135" s="4"/>
      <c r="E135" s="6">
        <f>E134+C135-D135</f>
      </c>
      <c r="F135" s="2"/>
    </row>
    <row x14ac:dyDescent="0.25" r="136" customHeight="1" ht="17.25">
      <c r="A136" s="8">
        <v>45761</v>
      </c>
      <c r="B136" s="9" t="s">
        <v>490</v>
      </c>
      <c r="C136" s="3"/>
      <c r="D136" s="6">
        <v>34</v>
      </c>
      <c r="E136" s="6">
        <f>E135+C136-D136</f>
      </c>
      <c r="F136" s="2"/>
    </row>
    <row x14ac:dyDescent="0.25" r="137" customHeight="1" ht="17.25">
      <c r="A137" s="8">
        <v>45761</v>
      </c>
      <c r="B137" s="9" t="s">
        <v>39</v>
      </c>
      <c r="C137" s="6">
        <v>8</v>
      </c>
      <c r="D137" s="4"/>
      <c r="E137" s="6">
        <f>E136+C137-D137</f>
      </c>
      <c r="F137" s="2"/>
    </row>
    <row x14ac:dyDescent="0.25" r="138" customHeight="1" ht="17.25">
      <c r="A138" s="7">
        <v>45762</v>
      </c>
      <c r="B138" s="9" t="s">
        <v>283</v>
      </c>
      <c r="C138" s="6">
        <v>40</v>
      </c>
      <c r="D138" s="4"/>
      <c r="E138" s="6">
        <f>E137+C138-D138</f>
      </c>
      <c r="F138" s="2"/>
    </row>
    <row x14ac:dyDescent="0.25" r="139" customHeight="1" ht="17.25">
      <c r="A139" s="8">
        <v>45762</v>
      </c>
      <c r="B139" s="9" t="s">
        <v>283</v>
      </c>
      <c r="C139" s="6">
        <v>18</v>
      </c>
      <c r="D139" s="4"/>
      <c r="E139" s="6">
        <f>E138+C139-D139</f>
      </c>
      <c r="F139" s="2"/>
    </row>
    <row x14ac:dyDescent="0.25" r="140" customHeight="1" ht="17.25">
      <c r="A140" s="8">
        <v>45763</v>
      </c>
      <c r="B140" s="9" t="s">
        <v>416</v>
      </c>
      <c r="C140" s="3"/>
      <c r="D140" s="6">
        <v>24</v>
      </c>
      <c r="E140" s="6">
        <f>E139+C140-D140</f>
      </c>
      <c r="F140" s="2"/>
    </row>
    <row x14ac:dyDescent="0.25" r="141" customHeight="1" ht="17.25">
      <c r="A141" s="7">
        <v>45763</v>
      </c>
      <c r="B141" s="9" t="s">
        <v>2</v>
      </c>
      <c r="C141" s="6">
        <v>30</v>
      </c>
      <c r="D141" s="4"/>
      <c r="E141" s="6">
        <f>E140+C141-D141</f>
      </c>
      <c r="F141" s="2"/>
    </row>
    <row x14ac:dyDescent="0.25" r="142" customHeight="1" ht="17.25">
      <c r="A142" s="7">
        <v>45763</v>
      </c>
      <c r="B142" s="9" t="s">
        <v>63</v>
      </c>
      <c r="C142" s="6">
        <v>30</v>
      </c>
      <c r="D142" s="4"/>
      <c r="E142" s="6">
        <f>E141+C142-D142</f>
      </c>
      <c r="F142" s="2"/>
    </row>
    <row x14ac:dyDescent="0.25" r="143" customHeight="1" ht="17.25">
      <c r="A143" s="7">
        <v>45764</v>
      </c>
      <c r="B143" s="9" t="s">
        <v>259</v>
      </c>
      <c r="C143" s="6">
        <v>13</v>
      </c>
      <c r="D143" s="4"/>
      <c r="E143" s="6">
        <f>E142+C143-D143</f>
      </c>
      <c r="F143" s="2"/>
    </row>
    <row x14ac:dyDescent="0.25" r="144" customHeight="1" ht="17.25">
      <c r="A144" s="8">
        <v>45768</v>
      </c>
      <c r="B144" s="9" t="s">
        <v>284</v>
      </c>
      <c r="C144" s="3"/>
      <c r="D144" s="6">
        <v>31</v>
      </c>
      <c r="E144" s="6">
        <f>E143+C144-D144</f>
      </c>
      <c r="F144" s="2"/>
    </row>
    <row x14ac:dyDescent="0.25" r="145" customHeight="1" ht="17.25">
      <c r="A145" s="7">
        <v>45768</v>
      </c>
      <c r="B145" s="9" t="s">
        <v>272</v>
      </c>
      <c r="C145" s="6">
        <v>7</v>
      </c>
      <c r="D145" s="4"/>
      <c r="E145" s="6">
        <f>E144+C145-D145</f>
      </c>
      <c r="F145" s="2"/>
    </row>
    <row x14ac:dyDescent="0.25" r="146" customHeight="1" ht="17.25">
      <c r="A146" s="8">
        <v>45769</v>
      </c>
      <c r="B146" s="9" t="s">
        <v>412</v>
      </c>
      <c r="C146" s="3"/>
      <c r="D146" s="6">
        <v>20</v>
      </c>
      <c r="E146" s="6">
        <f>E145+C146-D146</f>
      </c>
      <c r="F146" s="2"/>
    </row>
    <row x14ac:dyDescent="0.25" r="147" customHeight="1" ht="17.25">
      <c r="A147" s="8">
        <v>45769</v>
      </c>
      <c r="B147" s="9" t="s">
        <v>39</v>
      </c>
      <c r="C147" s="6">
        <v>6</v>
      </c>
      <c r="D147" s="4"/>
      <c r="E147" s="6">
        <f>E146+C147-D147</f>
      </c>
      <c r="F147" s="2"/>
    </row>
    <row x14ac:dyDescent="0.25" r="148" customHeight="1" ht="17.25">
      <c r="A148" s="8">
        <v>45769</v>
      </c>
      <c r="B148" s="9" t="s">
        <v>118</v>
      </c>
      <c r="C148" s="6">
        <v>9</v>
      </c>
      <c r="D148" s="4"/>
      <c r="E148" s="6">
        <f>E147+C148-D148</f>
      </c>
      <c r="F148" s="2"/>
    </row>
    <row x14ac:dyDescent="0.25" r="149" customHeight="1" ht="17.25">
      <c r="A149" s="8">
        <v>45769</v>
      </c>
      <c r="B149" s="9" t="s">
        <v>228</v>
      </c>
      <c r="C149" s="3"/>
      <c r="D149" s="6">
        <v>32</v>
      </c>
      <c r="E149" s="6">
        <f>E148+C149-D149</f>
      </c>
      <c r="F149" s="2"/>
    </row>
    <row x14ac:dyDescent="0.25" r="150" customHeight="1" ht="17.25">
      <c r="A150" s="7">
        <v>45769</v>
      </c>
      <c r="B150" s="9" t="s">
        <v>485</v>
      </c>
      <c r="C150" s="6">
        <v>51</v>
      </c>
      <c r="D150" s="4"/>
      <c r="E150" s="6">
        <f>E149+C150-D150</f>
      </c>
      <c r="F150" s="2"/>
    </row>
    <row x14ac:dyDescent="0.25" r="151" customHeight="1" ht="17.25">
      <c r="A151" s="8">
        <v>45771</v>
      </c>
      <c r="B151" s="9" t="s">
        <v>228</v>
      </c>
      <c r="C151" s="3"/>
      <c r="D151" s="6">
        <v>32</v>
      </c>
      <c r="E151" s="6">
        <f>E150+C151-D151</f>
      </c>
      <c r="F151" s="2"/>
    </row>
    <row x14ac:dyDescent="0.25" r="152" customHeight="1" ht="17.25">
      <c r="A152" s="7">
        <v>45771</v>
      </c>
      <c r="B152" s="9" t="s">
        <v>289</v>
      </c>
      <c r="C152" s="3"/>
      <c r="D152" s="6">
        <v>7</v>
      </c>
      <c r="E152" s="6">
        <f>E151+C152-D152</f>
      </c>
      <c r="F152" s="2"/>
    </row>
    <row x14ac:dyDescent="0.25" r="153" customHeight="1" ht="17.25">
      <c r="A153" s="7">
        <v>45771</v>
      </c>
      <c r="B153" s="9" t="s">
        <v>283</v>
      </c>
      <c r="C153" s="6">
        <v>22</v>
      </c>
      <c r="D153" s="4"/>
      <c r="E153" s="6">
        <f>E152+C153-D153</f>
      </c>
      <c r="F153" s="2"/>
    </row>
    <row x14ac:dyDescent="0.25" r="154" customHeight="1" ht="17.25">
      <c r="A154" s="7">
        <v>45772</v>
      </c>
      <c r="B154" s="9" t="s">
        <v>228</v>
      </c>
      <c r="C154" s="3"/>
      <c r="D154" s="6">
        <v>20</v>
      </c>
      <c r="E154" s="6">
        <f>E153+C154-D154</f>
      </c>
      <c r="F154" s="2"/>
    </row>
    <row x14ac:dyDescent="0.25" r="155" customHeight="1" ht="17.25">
      <c r="A155" s="8">
        <v>45772</v>
      </c>
      <c r="B155" s="9" t="s">
        <v>491</v>
      </c>
      <c r="C155" s="3"/>
      <c r="D155" s="6">
        <v>150</v>
      </c>
      <c r="E155" s="6">
        <f>E154+C155-D155</f>
      </c>
      <c r="F155" s="2"/>
    </row>
    <row x14ac:dyDescent="0.25" r="156" customHeight="1" ht="17.25">
      <c r="A156" s="7">
        <v>45773</v>
      </c>
      <c r="B156" s="9" t="s">
        <v>484</v>
      </c>
      <c r="C156" s="6">
        <v>70</v>
      </c>
      <c r="D156" s="4"/>
      <c r="E156" s="6">
        <f>E155+C156-D156</f>
      </c>
      <c r="F156" s="2"/>
    </row>
    <row x14ac:dyDescent="0.25" r="157" customHeight="1" ht="17.25">
      <c r="A157" s="7">
        <v>45775</v>
      </c>
      <c r="B157" s="9" t="s">
        <v>289</v>
      </c>
      <c r="C157" s="3"/>
      <c r="D157" s="6">
        <v>43</v>
      </c>
      <c r="E157" s="6">
        <f>E156+C157-D157</f>
      </c>
      <c r="F157" s="2"/>
    </row>
    <row x14ac:dyDescent="0.25" r="158" customHeight="1" ht="17.25">
      <c r="A158" s="7">
        <v>45775</v>
      </c>
      <c r="B158" s="9" t="s">
        <v>283</v>
      </c>
      <c r="C158" s="6">
        <v>21</v>
      </c>
      <c r="D158" s="4"/>
      <c r="E158" s="6">
        <f>E157+C158-D158</f>
      </c>
      <c r="F158" s="2"/>
    </row>
    <row x14ac:dyDescent="0.25" r="159" customHeight="1" ht="17.25">
      <c r="A159" s="8">
        <v>45777</v>
      </c>
      <c r="B159" s="9" t="s">
        <v>311</v>
      </c>
      <c r="C159" s="3"/>
      <c r="D159" s="6">
        <v>10</v>
      </c>
      <c r="E159" s="6">
        <f>E158+C159-D159</f>
      </c>
      <c r="F159" s="2"/>
    </row>
    <row x14ac:dyDescent="0.25" r="160" customHeight="1" ht="17.25">
      <c r="A160" s="7">
        <v>45777</v>
      </c>
      <c r="B160" s="9" t="s">
        <v>491</v>
      </c>
      <c r="C160" s="3"/>
      <c r="D160" s="6">
        <v>50</v>
      </c>
      <c r="E160" s="6">
        <f>E159+C160-D160</f>
      </c>
      <c r="F160" s="2"/>
    </row>
    <row x14ac:dyDescent="0.25" r="161" customHeight="1" ht="17.25">
      <c r="A161" s="7">
        <v>45777</v>
      </c>
      <c r="B161" s="9" t="s">
        <v>491</v>
      </c>
      <c r="C161" s="3"/>
      <c r="D161" s="6">
        <v>50</v>
      </c>
      <c r="E161" s="6">
        <f>E160+C161-D161</f>
      </c>
      <c r="F161" s="2"/>
    </row>
    <row x14ac:dyDescent="0.25" r="162" customHeight="1" ht="17.25">
      <c r="A162" s="8">
        <v>45777</v>
      </c>
      <c r="B162" s="9" t="s">
        <v>382</v>
      </c>
      <c r="C162" s="6">
        <v>3</v>
      </c>
      <c r="D162" s="4"/>
      <c r="E162" s="6">
        <f>E161+C162-D162</f>
      </c>
      <c r="F162" s="2"/>
    </row>
    <row x14ac:dyDescent="0.25" r="163" customHeight="1" ht="17.25">
      <c r="A163" s="8">
        <v>45779</v>
      </c>
      <c r="B163" s="9" t="s">
        <v>484</v>
      </c>
      <c r="C163" s="6">
        <v>28</v>
      </c>
      <c r="D163" s="4"/>
      <c r="E163" s="6">
        <f>E162+C163-D163</f>
      </c>
      <c r="F163" s="2"/>
    </row>
    <row x14ac:dyDescent="0.25" r="164" customHeight="1" ht="17.25">
      <c r="A164" s="7">
        <v>45779</v>
      </c>
      <c r="B164" s="9" t="s">
        <v>382</v>
      </c>
      <c r="C164" s="6">
        <v>22</v>
      </c>
      <c r="D164" s="4"/>
      <c r="E164" s="6">
        <f>E163+C164-D164</f>
      </c>
      <c r="F164" s="2"/>
    </row>
    <row x14ac:dyDescent="0.25" r="165" customHeight="1" ht="17.25">
      <c r="A165" s="7">
        <v>45780</v>
      </c>
      <c r="B165" s="9" t="s">
        <v>232</v>
      </c>
      <c r="C165" s="3"/>
      <c r="D165" s="6">
        <v>20</v>
      </c>
      <c r="E165" s="6">
        <f>E164+C165-D165</f>
      </c>
      <c r="F165" s="2"/>
    </row>
    <row x14ac:dyDescent="0.25" r="166" customHeight="1" ht="17.25">
      <c r="A166" s="7">
        <v>45780</v>
      </c>
      <c r="B166" s="9" t="s">
        <v>549</v>
      </c>
      <c r="C166" s="6">
        <v>149</v>
      </c>
      <c r="D166" s="4"/>
      <c r="E166" s="6">
        <f>E165+C166-D166</f>
      </c>
      <c r="F166" s="2"/>
    </row>
    <row x14ac:dyDescent="0.25" r="167" customHeight="1" ht="17.25">
      <c r="A167" s="8">
        <v>45782</v>
      </c>
      <c r="B167" s="9" t="s">
        <v>341</v>
      </c>
      <c r="C167" s="3"/>
      <c r="D167" s="6">
        <v>20</v>
      </c>
      <c r="E167" s="6">
        <f>E166+C167-D167</f>
      </c>
      <c r="F167" s="2"/>
    </row>
    <row x14ac:dyDescent="0.25" r="168" customHeight="1" ht="17.25">
      <c r="A168" s="7">
        <v>45783</v>
      </c>
      <c r="B168" s="9" t="s">
        <v>549</v>
      </c>
      <c r="C168" s="6">
        <v>150</v>
      </c>
      <c r="D168" s="4"/>
      <c r="E168" s="6">
        <f>E167+C168-D168</f>
      </c>
      <c r="F168" s="2"/>
    </row>
    <row x14ac:dyDescent="0.25" r="169" customHeight="1" ht="17.25">
      <c r="A169" s="8">
        <v>45784</v>
      </c>
      <c r="B169" s="9" t="s">
        <v>262</v>
      </c>
      <c r="C169" s="3"/>
      <c r="D169" s="6">
        <v>6</v>
      </c>
      <c r="E169" s="6">
        <f>E168+C169-D169</f>
      </c>
      <c r="F169" s="2"/>
    </row>
    <row x14ac:dyDescent="0.25" r="170" customHeight="1" ht="17.25">
      <c r="A170" s="7">
        <v>45784</v>
      </c>
      <c r="B170" s="9" t="s">
        <v>485</v>
      </c>
      <c r="C170" s="6">
        <v>56</v>
      </c>
      <c r="D170" s="4"/>
      <c r="E170" s="6">
        <f>E169+C170-D170</f>
      </c>
      <c r="F170" s="2"/>
    </row>
    <row x14ac:dyDescent="0.25" r="171" customHeight="1" ht="17.25">
      <c r="A171" s="7">
        <v>45784</v>
      </c>
      <c r="B171" s="9" t="s">
        <v>549</v>
      </c>
      <c r="C171" s="6">
        <v>68</v>
      </c>
      <c r="D171" s="4"/>
      <c r="E171" s="6">
        <f>E170+C171-D171</f>
      </c>
      <c r="F171" s="2"/>
    </row>
    <row x14ac:dyDescent="0.25" r="172" customHeight="1" ht="17.25">
      <c r="A172" s="7">
        <v>45785</v>
      </c>
      <c r="B172" s="9" t="s">
        <v>486</v>
      </c>
      <c r="C172" s="6">
        <v>66</v>
      </c>
      <c r="D172" s="4"/>
      <c r="E172" s="6">
        <f>E171+C172-D172</f>
      </c>
      <c r="F172" s="2"/>
    </row>
    <row x14ac:dyDescent="0.25" r="173" customHeight="1" ht="17.25">
      <c r="A173" s="7">
        <v>45785</v>
      </c>
      <c r="B173" s="9" t="s">
        <v>385</v>
      </c>
      <c r="C173" s="6">
        <v>13</v>
      </c>
      <c r="D173" s="4"/>
      <c r="E173" s="6">
        <f>E172+C173-D173</f>
      </c>
      <c r="F173" s="2"/>
    </row>
    <row x14ac:dyDescent="0.25" r="174" customHeight="1" ht="17.25">
      <c r="A174" s="7">
        <v>45786</v>
      </c>
      <c r="B174" s="9" t="s">
        <v>3</v>
      </c>
      <c r="C174" s="3"/>
      <c r="D174" s="6">
        <v>120</v>
      </c>
      <c r="E174" s="6">
        <f>E173+C174-D174</f>
      </c>
      <c r="F174" s="2"/>
    </row>
    <row x14ac:dyDescent="0.25" r="175" customHeight="1" ht="17.25">
      <c r="A175" s="7">
        <v>9</v>
      </c>
      <c r="B175" s="9" t="s">
        <v>486</v>
      </c>
      <c r="C175" s="6">
        <v>68</v>
      </c>
      <c r="D175" s="4"/>
      <c r="E175" s="6">
        <f>E174+C175-D175</f>
      </c>
      <c r="F175" s="2"/>
    </row>
    <row x14ac:dyDescent="0.25" r="176" customHeight="1" ht="17.25">
      <c r="A176" s="7">
        <v>45787</v>
      </c>
      <c r="B176" s="9" t="s">
        <v>382</v>
      </c>
      <c r="C176" s="6">
        <v>8</v>
      </c>
      <c r="D176" s="4"/>
      <c r="E176" s="6">
        <f>E175+C176-D176</f>
      </c>
      <c r="F176" s="2"/>
    </row>
    <row x14ac:dyDescent="0.25" r="177" customHeight="1" ht="17.25">
      <c r="A177" s="7">
        <v>45790</v>
      </c>
      <c r="B177" s="9" t="s">
        <v>272</v>
      </c>
      <c r="C177" s="6">
        <v>7</v>
      </c>
      <c r="D177" s="4"/>
      <c r="E177" s="6">
        <f>E176+C177-D177</f>
      </c>
      <c r="F177" s="2"/>
    </row>
    <row x14ac:dyDescent="0.25" r="178" customHeight="1" ht="17.25">
      <c r="A178" s="8">
        <v>45793</v>
      </c>
      <c r="B178" s="9" t="s">
        <v>262</v>
      </c>
      <c r="C178" s="3"/>
      <c r="D178" s="6">
        <v>24</v>
      </c>
      <c r="E178" s="6">
        <f>E177+C178-D178</f>
      </c>
      <c r="F178" s="2"/>
    </row>
    <row x14ac:dyDescent="0.25" r="179" customHeight="1" ht="17.25">
      <c r="A179" s="7">
        <v>45793</v>
      </c>
      <c r="B179" s="9" t="s">
        <v>486</v>
      </c>
      <c r="C179" s="6">
        <v>96</v>
      </c>
      <c r="D179" s="4"/>
      <c r="E179" s="6">
        <f>E178+C179-D179</f>
      </c>
      <c r="F179" s="2"/>
    </row>
    <row x14ac:dyDescent="0.25" r="180" customHeight="1" ht="17.25">
      <c r="A180" s="7">
        <v>45793</v>
      </c>
      <c r="B180" s="9" t="s">
        <v>484</v>
      </c>
      <c r="C180" s="6">
        <v>76</v>
      </c>
      <c r="D180" s="4"/>
      <c r="E180" s="6">
        <f>E179+C180-D180</f>
      </c>
      <c r="F180" s="2"/>
    </row>
    <row x14ac:dyDescent="0.25" r="181" customHeight="1" ht="17.25">
      <c r="A181" s="7">
        <v>45793</v>
      </c>
      <c r="B181" s="9" t="s">
        <v>3</v>
      </c>
      <c r="C181" s="6">
        <v>18</v>
      </c>
      <c r="D181" s="4"/>
      <c r="E181" s="6">
        <f>E180+C181-D181</f>
      </c>
      <c r="F181" s="2"/>
    </row>
    <row x14ac:dyDescent="0.25" r="182" customHeight="1" ht="17.25">
      <c r="A182" s="7">
        <v>45796</v>
      </c>
      <c r="B182" s="9" t="s">
        <v>484</v>
      </c>
      <c r="C182" s="6">
        <v>12</v>
      </c>
      <c r="D182" s="4"/>
      <c r="E182" s="6">
        <f>E181+C182-D182</f>
      </c>
      <c r="F182" s="2"/>
    </row>
    <row x14ac:dyDescent="0.25" r="183" customHeight="1" ht="17.25">
      <c r="A183" s="8">
        <v>45797</v>
      </c>
      <c r="B183" s="9" t="s">
        <v>42</v>
      </c>
      <c r="C183" s="3"/>
      <c r="D183" s="6">
        <v>12</v>
      </c>
      <c r="E183" s="6">
        <f>E182+C183-D183</f>
      </c>
      <c r="F183" s="2"/>
    </row>
    <row x14ac:dyDescent="0.25" r="184" customHeight="1" ht="17.25">
      <c r="A184" s="7">
        <v>45797</v>
      </c>
      <c r="B184" s="9" t="s">
        <v>382</v>
      </c>
      <c r="C184" s="6">
        <v>17</v>
      </c>
      <c r="D184" s="4"/>
      <c r="E184" s="6">
        <f>E183+C184-D184</f>
      </c>
      <c r="F184" s="2"/>
    </row>
    <row x14ac:dyDescent="0.25" r="185" customHeight="1" ht="17.25">
      <c r="A185" s="7">
        <v>45798</v>
      </c>
      <c r="B185" s="9" t="s">
        <v>284</v>
      </c>
      <c r="C185" s="3"/>
      <c r="D185" s="6">
        <v>50</v>
      </c>
      <c r="E185" s="6">
        <f>E184+C185-D185</f>
      </c>
      <c r="F185" s="2"/>
    </row>
    <row x14ac:dyDescent="0.25" r="186" customHeight="1" ht="17.25">
      <c r="A186" s="7">
        <v>45798</v>
      </c>
      <c r="B186" s="9" t="s">
        <v>35</v>
      </c>
      <c r="C186" s="3"/>
      <c r="D186" s="6">
        <v>4</v>
      </c>
      <c r="E186" s="6">
        <f>E185+C186-D186</f>
      </c>
      <c r="F186" s="2"/>
    </row>
    <row x14ac:dyDescent="0.25" r="187" customHeight="1" ht="17.25">
      <c r="A187" s="7">
        <v>45798</v>
      </c>
      <c r="B187" s="9" t="s">
        <v>382</v>
      </c>
      <c r="C187" s="6">
        <v>10</v>
      </c>
      <c r="D187" s="4"/>
      <c r="E187" s="6">
        <f>E186+C187-D187</f>
      </c>
      <c r="F187" s="2"/>
    </row>
    <row x14ac:dyDescent="0.25" r="188" customHeight="1" ht="17.25">
      <c r="A188" s="7">
        <v>45799</v>
      </c>
      <c r="B188" s="9" t="s">
        <v>44</v>
      </c>
      <c r="C188" s="6">
        <v>160</v>
      </c>
      <c r="D188" s="4"/>
      <c r="E188" s="6">
        <f>E187+C188-D188</f>
      </c>
      <c r="F188" s="2"/>
    </row>
    <row x14ac:dyDescent="0.25" r="189" customHeight="1" ht="17.25">
      <c r="A189" s="8">
        <v>45800</v>
      </c>
      <c r="B189" s="9" t="s">
        <v>42</v>
      </c>
      <c r="C189" s="3"/>
      <c r="D189" s="6">
        <v>34</v>
      </c>
      <c r="E189" s="6">
        <f>E188+C189-D189</f>
      </c>
      <c r="F189" s="2"/>
    </row>
    <row x14ac:dyDescent="0.25" r="190" customHeight="1" ht="17.25">
      <c r="A190" s="7">
        <v>45801</v>
      </c>
      <c r="B190" s="9" t="s">
        <v>2</v>
      </c>
      <c r="C190" s="3"/>
      <c r="D190" s="6">
        <v>10</v>
      </c>
      <c r="E190" s="6">
        <f>E189+C190-D190</f>
      </c>
      <c r="F190" s="2"/>
    </row>
    <row x14ac:dyDescent="0.25" r="191" customHeight="1" ht="17.25">
      <c r="A191" s="8">
        <v>45803</v>
      </c>
      <c r="B191" s="9" t="s">
        <v>232</v>
      </c>
      <c r="C191" s="3"/>
      <c r="D191" s="6">
        <v>20</v>
      </c>
      <c r="E191" s="6">
        <f>E190+C191-D191</f>
      </c>
      <c r="F191" s="2"/>
    </row>
    <row x14ac:dyDescent="0.25" r="192" customHeight="1" ht="17.25">
      <c r="A192" s="8">
        <v>45804</v>
      </c>
      <c r="B192" s="9" t="s">
        <v>34</v>
      </c>
      <c r="C192" s="3"/>
      <c r="D192" s="6">
        <v>100</v>
      </c>
      <c r="E192" s="6">
        <f>E191+C192-D192</f>
      </c>
      <c r="F192" s="2"/>
    </row>
    <row x14ac:dyDescent="0.25" r="193" customHeight="1" ht="17.25">
      <c r="A193" s="7">
        <v>45805</v>
      </c>
      <c r="B193" s="9" t="s">
        <v>34</v>
      </c>
      <c r="C193" s="3"/>
      <c r="D193" s="6">
        <v>200</v>
      </c>
      <c r="E193" s="6">
        <f>E192+C193-D193</f>
      </c>
      <c r="F193" s="2"/>
    </row>
    <row x14ac:dyDescent="0.25" r="194" customHeight="1" ht="17.25">
      <c r="A194" s="7">
        <v>45806</v>
      </c>
      <c r="B194" s="9" t="s">
        <v>42</v>
      </c>
      <c r="C194" s="3"/>
      <c r="D194" s="6">
        <v>100</v>
      </c>
      <c r="E194" s="6">
        <f>E193+C194-D194</f>
      </c>
      <c r="F194" s="2"/>
    </row>
    <row x14ac:dyDescent="0.25" r="195" customHeight="1" ht="17.25">
      <c r="A195" s="7">
        <v>45807</v>
      </c>
      <c r="B195" s="9" t="s">
        <v>2</v>
      </c>
      <c r="C195" s="3"/>
      <c r="D195" s="6">
        <v>20</v>
      </c>
      <c r="E195" s="6">
        <f>E194+C195-D195</f>
      </c>
      <c r="F195" s="2"/>
    </row>
    <row x14ac:dyDescent="0.25" r="196" customHeight="1" ht="17.25">
      <c r="A196" s="8">
        <v>45808</v>
      </c>
      <c r="B196" s="9" t="s">
        <v>272</v>
      </c>
      <c r="C196" s="6">
        <v>2</v>
      </c>
      <c r="D196" s="4"/>
      <c r="E196" s="6">
        <f>E195+C196-D196</f>
      </c>
      <c r="F196" s="2"/>
    </row>
    <row x14ac:dyDescent="0.25" r="197" customHeight="1" ht="17.25">
      <c r="A197" s="7">
        <v>45810</v>
      </c>
      <c r="B197" s="9" t="s">
        <v>3</v>
      </c>
      <c r="C197" s="6">
        <v>143</v>
      </c>
      <c r="D197" s="4"/>
      <c r="E197" s="6">
        <f>E196+C197-D197</f>
      </c>
      <c r="F197" s="2"/>
    </row>
    <row x14ac:dyDescent="0.25" r="198" customHeight="1" ht="17.25">
      <c r="A198" s="7">
        <v>45811</v>
      </c>
      <c r="B198" s="9" t="s">
        <v>100</v>
      </c>
      <c r="C198" s="3"/>
      <c r="D198" s="6">
        <v>32</v>
      </c>
      <c r="E198" s="6">
        <f>E197+C198-D198</f>
      </c>
      <c r="F198" s="2"/>
    </row>
    <row x14ac:dyDescent="0.25" r="199" customHeight="1" ht="17.25">
      <c r="A199" s="7">
        <v>45811</v>
      </c>
      <c r="B199" s="9" t="s">
        <v>289</v>
      </c>
      <c r="C199" s="6">
        <v>25</v>
      </c>
      <c r="D199" s="4"/>
      <c r="E199" s="6">
        <f>E198+C199-D199</f>
      </c>
      <c r="F199" s="2"/>
    </row>
    <row x14ac:dyDescent="0.25" r="200" customHeight="1" ht="17.25">
      <c r="A200" s="7">
        <v>45811</v>
      </c>
      <c r="B200" s="9" t="s">
        <v>3</v>
      </c>
      <c r="C200" s="6">
        <v>150</v>
      </c>
      <c r="D200" s="4"/>
      <c r="E200" s="6">
        <f>E199+C200-D200</f>
      </c>
      <c r="F200" s="2"/>
    </row>
    <row x14ac:dyDescent="0.25" r="201" customHeight="1" ht="17.25">
      <c r="A201" s="8">
        <v>45812</v>
      </c>
      <c r="B201" s="9" t="s">
        <v>100</v>
      </c>
      <c r="C201" s="3"/>
      <c r="D201" s="6">
        <v>8</v>
      </c>
      <c r="E201" s="6">
        <f>E200+C201-D201</f>
      </c>
      <c r="F201" s="2"/>
    </row>
    <row x14ac:dyDescent="0.25" r="202" customHeight="1" ht="17.25">
      <c r="A202" s="7">
        <v>45812</v>
      </c>
      <c r="B202" s="9" t="s">
        <v>370</v>
      </c>
      <c r="C202" s="6">
        <v>5</v>
      </c>
      <c r="D202" s="4"/>
      <c r="E202" s="6">
        <f>E201+C202-D202</f>
      </c>
      <c r="F202" s="2"/>
    </row>
    <row x14ac:dyDescent="0.25" r="203" customHeight="1" ht="17.25">
      <c r="A203" s="7">
        <v>45812</v>
      </c>
      <c r="B203" s="9" t="s">
        <v>368</v>
      </c>
      <c r="C203" s="6">
        <v>43</v>
      </c>
      <c r="D203" s="4"/>
      <c r="E203" s="6">
        <f>E202+C203-D203</f>
      </c>
      <c r="F203" s="2"/>
    </row>
    <row x14ac:dyDescent="0.25" r="204" customHeight="1" ht="17.25">
      <c r="A204" s="7">
        <v>45812</v>
      </c>
      <c r="B204" s="9" t="s">
        <v>3</v>
      </c>
      <c r="C204" s="6">
        <v>53</v>
      </c>
      <c r="D204" s="4"/>
      <c r="E204" s="6">
        <f>E203+C204-D204</f>
      </c>
      <c r="F204" s="2"/>
    </row>
    <row x14ac:dyDescent="0.25" r="205" customHeight="1" ht="17.25">
      <c r="A205" s="7">
        <v>45813</v>
      </c>
      <c r="B205" s="9" t="s">
        <v>289</v>
      </c>
      <c r="C205" s="6">
        <v>6</v>
      </c>
      <c r="D205" s="4"/>
      <c r="E205" s="6">
        <f>E204+C205-D205</f>
      </c>
      <c r="F205" s="2"/>
    </row>
    <row x14ac:dyDescent="0.25" r="206" customHeight="1" ht="17.25">
      <c r="A206" s="7">
        <v>45815</v>
      </c>
      <c r="B206" s="9" t="s">
        <v>289</v>
      </c>
      <c r="C206" s="6">
        <v>4</v>
      </c>
      <c r="D206" s="4"/>
      <c r="E206" s="6">
        <f>E205+C206-D206</f>
      </c>
      <c r="F206" s="2"/>
    </row>
    <row x14ac:dyDescent="0.25" r="207" customHeight="1" ht="17.25">
      <c r="A207" s="8">
        <v>45817</v>
      </c>
      <c r="B207" s="9" t="s">
        <v>4</v>
      </c>
      <c r="C207" s="3"/>
      <c r="D207" s="6">
        <v>25</v>
      </c>
      <c r="E207" s="6">
        <f>E206+C207-D207</f>
      </c>
      <c r="F207" s="2"/>
    </row>
    <row x14ac:dyDescent="0.25" r="208" customHeight="1" ht="17.25">
      <c r="A208" s="8">
        <v>45817</v>
      </c>
      <c r="B208" s="9" t="s">
        <v>4</v>
      </c>
      <c r="C208" s="3"/>
      <c r="D208" s="6">
        <v>30</v>
      </c>
      <c r="E208" s="6">
        <f>E207+C208-D208</f>
      </c>
      <c r="F208" s="2"/>
    </row>
    <row x14ac:dyDescent="0.25" r="209" customHeight="1" ht="17.25">
      <c r="A209" s="7">
        <v>45817</v>
      </c>
      <c r="B209" s="9" t="s">
        <v>234</v>
      </c>
      <c r="C209" s="6">
        <v>10</v>
      </c>
      <c r="D209" s="4"/>
      <c r="E209" s="6">
        <f>E208+C209-D209</f>
      </c>
      <c r="F209" s="2"/>
    </row>
    <row x14ac:dyDescent="0.25" r="210" customHeight="1" ht="17.25">
      <c r="A210" s="7">
        <v>45818</v>
      </c>
      <c r="B210" s="9" t="s">
        <v>189</v>
      </c>
      <c r="C210" s="6">
        <v>5</v>
      </c>
      <c r="D210" s="4"/>
      <c r="E210" s="6">
        <f>E209+C210-D210</f>
      </c>
      <c r="F210" s="2"/>
    </row>
    <row x14ac:dyDescent="0.25" r="211" customHeight="1" ht="17.25">
      <c r="A211" s="7">
        <v>45819</v>
      </c>
      <c r="B211" s="9" t="s">
        <v>4</v>
      </c>
      <c r="C211" s="3"/>
      <c r="D211" s="6">
        <v>45</v>
      </c>
      <c r="E211" s="6">
        <f>E210+C211-D211</f>
      </c>
      <c r="F211" s="2"/>
    </row>
    <row x14ac:dyDescent="0.25" r="212" customHeight="1" ht="17.25">
      <c r="A212" s="7">
        <v>45819</v>
      </c>
      <c r="B212" s="9" t="s">
        <v>484</v>
      </c>
      <c r="C212" s="6">
        <v>18</v>
      </c>
      <c r="D212" s="4"/>
      <c r="E212" s="6">
        <f>E211+C212-D212</f>
      </c>
      <c r="F212" s="2"/>
    </row>
    <row x14ac:dyDescent="0.25" r="213" customHeight="1" ht="17.25">
      <c r="A213" s="7">
        <v>45820</v>
      </c>
      <c r="B213" s="9" t="s">
        <v>495</v>
      </c>
      <c r="C213" s="3"/>
      <c r="D213" s="6">
        <v>32</v>
      </c>
      <c r="E213" s="6">
        <f>E212+C213-D213</f>
      </c>
      <c r="F213" s="2"/>
    </row>
    <row x14ac:dyDescent="0.25" r="214" customHeight="1" ht="17.25">
      <c r="A214" s="7">
        <v>45820</v>
      </c>
      <c r="B214" s="9" t="s">
        <v>3</v>
      </c>
      <c r="C214" s="6">
        <v>155</v>
      </c>
      <c r="D214" s="4"/>
      <c r="E214" s="6">
        <f>E213+C214-D214</f>
      </c>
      <c r="F214" s="2"/>
    </row>
    <row x14ac:dyDescent="0.25" r="215" customHeight="1" ht="17.25">
      <c r="A215" s="8">
        <v>45821</v>
      </c>
      <c r="B215" s="9" t="s">
        <v>495</v>
      </c>
      <c r="C215" s="3"/>
      <c r="D215" s="6">
        <v>90</v>
      </c>
      <c r="E215" s="6">
        <f>E214+C215-D215</f>
      </c>
      <c r="F215" s="2"/>
    </row>
    <row x14ac:dyDescent="0.25" r="216" customHeight="1" ht="17.25">
      <c r="A216" s="7">
        <v>45821</v>
      </c>
      <c r="B216" s="9" t="s">
        <v>578</v>
      </c>
      <c r="C216" s="6">
        <v>6</v>
      </c>
      <c r="D216" s="4"/>
      <c r="E216" s="6">
        <f>E215+C216-D216</f>
      </c>
      <c r="F216" s="2"/>
    </row>
    <row x14ac:dyDescent="0.25" r="217" customHeight="1" ht="17.25">
      <c r="A217" s="7">
        <v>45821</v>
      </c>
      <c r="B217" s="9" t="s">
        <v>484</v>
      </c>
      <c r="C217" s="6">
        <v>39</v>
      </c>
      <c r="D217" s="4"/>
      <c r="E217" s="6">
        <f>E216+C217-D217</f>
      </c>
      <c r="F217" s="2"/>
    </row>
    <row x14ac:dyDescent="0.25" r="218" customHeight="1" ht="17.25">
      <c r="A218" s="7">
        <v>45821</v>
      </c>
      <c r="B218" s="9" t="s">
        <v>382</v>
      </c>
      <c r="C218" s="6">
        <v>3</v>
      </c>
      <c r="D218" s="4"/>
      <c r="E218" s="6">
        <f>E217+C218-D218</f>
      </c>
      <c r="F218" s="2"/>
    </row>
    <row x14ac:dyDescent="0.25" r="219" customHeight="1" ht="17.25">
      <c r="A219" s="7">
        <v>45821</v>
      </c>
      <c r="B219" s="9" t="s">
        <v>3</v>
      </c>
      <c r="C219" s="6">
        <v>104</v>
      </c>
      <c r="D219" s="4"/>
      <c r="E219" s="6">
        <f>E218+C219-D219</f>
      </c>
      <c r="F219" s="2"/>
    </row>
    <row x14ac:dyDescent="0.25" r="220" customHeight="1" ht="17.25">
      <c r="A220" s="7">
        <v>45822</v>
      </c>
      <c r="B220" s="9" t="s">
        <v>42</v>
      </c>
      <c r="C220" s="3"/>
      <c r="D220" s="6">
        <v>8</v>
      </c>
      <c r="E220" s="6">
        <f>E219+C220-D220</f>
      </c>
      <c r="F220" s="2"/>
    </row>
    <row x14ac:dyDescent="0.25" r="221" customHeight="1" ht="17.25">
      <c r="A221" s="7">
        <v>45824</v>
      </c>
      <c r="B221" s="9" t="s">
        <v>2</v>
      </c>
      <c r="C221" s="3"/>
      <c r="D221" s="6">
        <v>90</v>
      </c>
      <c r="E221" s="6">
        <f>E220+C221-D221</f>
      </c>
      <c r="F221" s="2"/>
    </row>
    <row x14ac:dyDescent="0.25" r="222" customHeight="1" ht="17.25">
      <c r="A222" s="8">
        <v>45824</v>
      </c>
      <c r="B222" s="9" t="s">
        <v>289</v>
      </c>
      <c r="C222" s="6">
        <v>9</v>
      </c>
      <c r="D222" s="4"/>
      <c r="E222" s="6">
        <f>E221+C222-D222</f>
      </c>
      <c r="F222" s="2"/>
    </row>
    <row x14ac:dyDescent="0.25" r="223" customHeight="1" ht="17.25">
      <c r="A223" s="7">
        <v>45824</v>
      </c>
      <c r="B223" s="9" t="s">
        <v>3</v>
      </c>
      <c r="C223" s="6">
        <v>152</v>
      </c>
      <c r="D223" s="4"/>
      <c r="E223" s="6">
        <f>E222+C223-D223</f>
      </c>
      <c r="F223" s="2"/>
    </row>
    <row x14ac:dyDescent="0.25" r="224" customHeight="1" ht="17.25">
      <c r="A224" s="7">
        <v>45824</v>
      </c>
      <c r="B224" s="9" t="s">
        <v>3</v>
      </c>
      <c r="C224" s="6">
        <v>163</v>
      </c>
      <c r="D224" s="4"/>
      <c r="E224" s="6">
        <f>E223+C224-D224</f>
      </c>
      <c r="F224" s="2"/>
    </row>
    <row x14ac:dyDescent="0.25" r="225" customHeight="1" ht="17.25">
      <c r="A225" s="7">
        <v>45825</v>
      </c>
      <c r="B225" s="9" t="s">
        <v>35</v>
      </c>
      <c r="C225" s="3"/>
      <c r="D225" s="6">
        <v>30</v>
      </c>
      <c r="E225" s="6">
        <f>E224+C225-D225</f>
      </c>
      <c r="F225" s="2"/>
    </row>
    <row x14ac:dyDescent="0.25" r="226" customHeight="1" ht="17.25">
      <c r="A226" s="7">
        <v>45827</v>
      </c>
      <c r="B226" s="9" t="s">
        <v>485</v>
      </c>
      <c r="C226" s="6">
        <v>91</v>
      </c>
      <c r="D226" s="4"/>
      <c r="E226" s="6">
        <f>E225+C226-D226</f>
      </c>
      <c r="F226" s="2"/>
    </row>
    <row x14ac:dyDescent="0.25" r="227" customHeight="1" ht="17.25">
      <c r="A227" s="7">
        <v>45827</v>
      </c>
      <c r="B227" s="9" t="s">
        <v>272</v>
      </c>
      <c r="C227" s="6">
        <v>1</v>
      </c>
      <c r="D227" s="4"/>
      <c r="E227" s="6">
        <f>E226+C227-D227</f>
      </c>
      <c r="F227" s="2"/>
    </row>
    <row x14ac:dyDescent="0.25" r="228" customHeight="1" ht="17.25">
      <c r="A228" s="7">
        <v>45827</v>
      </c>
      <c r="B228" s="9" t="s">
        <v>3</v>
      </c>
      <c r="C228" s="6">
        <v>40</v>
      </c>
      <c r="D228" s="4"/>
      <c r="E228" s="6">
        <f>E227+C228-D228</f>
      </c>
      <c r="F228" s="2"/>
    </row>
    <row x14ac:dyDescent="0.25" r="229" customHeight="1" ht="17.25">
      <c r="A229" s="8">
        <v>45828</v>
      </c>
      <c r="B229" s="9" t="s">
        <v>497</v>
      </c>
      <c r="C229" s="6">
        <v>40</v>
      </c>
      <c r="D229" s="4"/>
      <c r="E229" s="6">
        <f>E228+C229-D229</f>
      </c>
      <c r="F229" s="2"/>
    </row>
    <row x14ac:dyDescent="0.25" r="230" customHeight="1" ht="17.25">
      <c r="A230" s="7">
        <v>45828</v>
      </c>
      <c r="B230" s="9" t="s">
        <v>289</v>
      </c>
      <c r="C230" s="6">
        <v>6</v>
      </c>
      <c r="D230" s="4"/>
      <c r="E230" s="6">
        <f>E229+C230-D230</f>
      </c>
      <c r="F230" s="2"/>
    </row>
    <row x14ac:dyDescent="0.25" r="231" customHeight="1" ht="17.25">
      <c r="A231" s="7">
        <v>45829</v>
      </c>
      <c r="B231" s="9" t="s">
        <v>297</v>
      </c>
      <c r="C231" s="3"/>
      <c r="D231" s="6">
        <v>15</v>
      </c>
      <c r="E231" s="6">
        <f>E230+C231-D231</f>
      </c>
      <c r="F231" s="2"/>
    </row>
    <row x14ac:dyDescent="0.25" r="232" customHeight="1" ht="17.25">
      <c r="A232" s="8">
        <v>45829</v>
      </c>
      <c r="B232" s="9" t="s">
        <v>497</v>
      </c>
      <c r="C232" s="3"/>
      <c r="D232" s="6">
        <v>39</v>
      </c>
      <c r="E232" s="6">
        <f>E231+C232-D232</f>
      </c>
      <c r="F232" s="2"/>
    </row>
    <row x14ac:dyDescent="0.25" r="233" customHeight="1" ht="17.25">
      <c r="A233" s="7">
        <v>45831</v>
      </c>
      <c r="B233" s="9" t="s">
        <v>4</v>
      </c>
      <c r="C233" s="3"/>
      <c r="D233" s="6">
        <v>50</v>
      </c>
      <c r="E233" s="6">
        <f>E232+C233-D233</f>
      </c>
      <c r="F233" s="2"/>
    </row>
    <row x14ac:dyDescent="0.25" r="234" customHeight="1" ht="17.25">
      <c r="A234" s="8">
        <v>45831</v>
      </c>
      <c r="B234" s="9" t="s">
        <v>141</v>
      </c>
      <c r="C234" s="6">
        <v>4</v>
      </c>
      <c r="D234" s="4"/>
      <c r="E234" s="6">
        <f>E233+C234-D234</f>
      </c>
      <c r="F234" s="2"/>
    </row>
    <row x14ac:dyDescent="0.25" r="235" customHeight="1" ht="17.25">
      <c r="A235" s="7">
        <v>45832</v>
      </c>
      <c r="B235" s="9" t="s">
        <v>4</v>
      </c>
      <c r="C235" s="3"/>
      <c r="D235" s="6">
        <v>70</v>
      </c>
      <c r="E235" s="6">
        <f>E234+C235-D235</f>
      </c>
      <c r="F235" s="2"/>
    </row>
    <row x14ac:dyDescent="0.25" r="236" customHeight="1" ht="17.25">
      <c r="A236" s="8">
        <v>45832</v>
      </c>
      <c r="B236" s="9" t="s">
        <v>89</v>
      </c>
      <c r="C236" s="3"/>
      <c r="D236" s="6">
        <v>80</v>
      </c>
      <c r="E236" s="6">
        <f>E235+C236-D236</f>
      </c>
      <c r="F236" s="2"/>
    </row>
    <row x14ac:dyDescent="0.25" r="237" customHeight="1" ht="17.25">
      <c r="A237" s="7">
        <v>45833</v>
      </c>
      <c r="B237" s="9" t="s">
        <v>495</v>
      </c>
      <c r="C237" s="3"/>
      <c r="D237" s="6">
        <v>78</v>
      </c>
      <c r="E237" s="6">
        <f>E236+C237-D237</f>
      </c>
      <c r="F237" s="2"/>
    </row>
    <row x14ac:dyDescent="0.25" r="238" customHeight="1" ht="17.25">
      <c r="A238" s="7">
        <v>45833</v>
      </c>
      <c r="B238" s="9" t="s">
        <v>485</v>
      </c>
      <c r="C238" s="6">
        <v>73</v>
      </c>
      <c r="D238" s="4"/>
      <c r="E238" s="6">
        <f>E237+C238-D238</f>
      </c>
      <c r="F238" s="2"/>
    </row>
    <row x14ac:dyDescent="0.25" r="239" customHeight="1" ht="17.25">
      <c r="A239" s="8">
        <v>45836</v>
      </c>
      <c r="B239" s="9" t="s">
        <v>316</v>
      </c>
      <c r="C239" s="3"/>
      <c r="D239" s="6">
        <v>50</v>
      </c>
      <c r="E239" s="6">
        <f>E238+C239-D239</f>
      </c>
      <c r="F239" s="2"/>
    </row>
    <row x14ac:dyDescent="0.25" r="240" customHeight="1" ht="17.25">
      <c r="A240" s="8">
        <v>45838</v>
      </c>
      <c r="B240" s="9" t="s">
        <v>554</v>
      </c>
      <c r="C240" s="3"/>
      <c r="D240" s="6">
        <v>70</v>
      </c>
      <c r="E240" s="6">
        <f>E239+C240-D240</f>
      </c>
      <c r="F240" s="2"/>
    </row>
    <row x14ac:dyDescent="0.25" r="241" customHeight="1" ht="17.25">
      <c r="A241" s="8">
        <v>45839</v>
      </c>
      <c r="B241" s="9" t="s">
        <v>341</v>
      </c>
      <c r="C241" s="3"/>
      <c r="D241" s="6">
        <v>8</v>
      </c>
      <c r="E241" s="6">
        <f>E240+C241-D241</f>
      </c>
      <c r="F241" s="2"/>
    </row>
    <row x14ac:dyDescent="0.25" r="242" customHeight="1" ht="17.25">
      <c r="A242" s="8">
        <v>45839</v>
      </c>
      <c r="B242" s="9" t="s">
        <v>554</v>
      </c>
      <c r="C242" s="3"/>
      <c r="D242" s="6">
        <v>30</v>
      </c>
      <c r="E242" s="6">
        <f>E241+C242-D242</f>
      </c>
      <c r="F242" s="2"/>
    </row>
    <row x14ac:dyDescent="0.25" r="243" customHeight="1" ht="17.25">
      <c r="A243" s="8">
        <v>45839</v>
      </c>
      <c r="B243" s="9" t="s">
        <v>35</v>
      </c>
      <c r="C243" s="6">
        <v>6</v>
      </c>
      <c r="D243" s="4"/>
      <c r="E243" s="6">
        <f>E242+C243-D243</f>
      </c>
      <c r="F243" s="2"/>
    </row>
    <row x14ac:dyDescent="0.25" r="244" customHeight="1" ht="17.25">
      <c r="A244" s="7">
        <v>45839</v>
      </c>
      <c r="B244" s="9" t="s">
        <v>3</v>
      </c>
      <c r="C244" s="6">
        <v>9</v>
      </c>
      <c r="D244" s="4"/>
      <c r="E244" s="6">
        <f>E243+C244-D244</f>
      </c>
      <c r="F244" s="2"/>
    </row>
    <row x14ac:dyDescent="0.25" r="245" customHeight="1" ht="17.25">
      <c r="A245" s="8">
        <v>45840</v>
      </c>
      <c r="B245" s="9" t="s">
        <v>46</v>
      </c>
      <c r="C245" s="3"/>
      <c r="D245" s="6">
        <v>25</v>
      </c>
      <c r="E245" s="6">
        <f>E244+C245-D245</f>
      </c>
      <c r="F245" s="2"/>
    </row>
    <row x14ac:dyDescent="0.25" r="246" customHeight="1" ht="17.25">
      <c r="A246" s="7">
        <v>45840</v>
      </c>
      <c r="B246" s="9" t="s">
        <v>3</v>
      </c>
      <c r="C246" s="6">
        <v>33</v>
      </c>
      <c r="D246" s="4"/>
      <c r="E246" s="6">
        <f>E245+C246-D246</f>
      </c>
      <c r="F246" s="2"/>
    </row>
    <row x14ac:dyDescent="0.25" r="247" customHeight="1" ht="17.25">
      <c r="A247" s="7">
        <v>45841</v>
      </c>
      <c r="B247" s="9" t="s">
        <v>233</v>
      </c>
      <c r="C247" s="3"/>
      <c r="D247" s="6">
        <v>10</v>
      </c>
      <c r="E247" s="6">
        <f>E246+C247-D247</f>
      </c>
      <c r="F247" s="2"/>
    </row>
    <row x14ac:dyDescent="0.25" r="248" customHeight="1" ht="17.25">
      <c r="A248" s="7">
        <v>45842</v>
      </c>
      <c r="B248" s="9" t="s">
        <v>89</v>
      </c>
      <c r="C248" s="6">
        <v>74</v>
      </c>
      <c r="D248" s="4"/>
      <c r="E248" s="6">
        <f>E247+C248-D248</f>
      </c>
      <c r="F248" s="2"/>
    </row>
    <row x14ac:dyDescent="0.25" r="249" customHeight="1" ht="17.25">
      <c r="A249" s="8">
        <v>45845</v>
      </c>
      <c r="B249" s="9" t="s">
        <v>298</v>
      </c>
      <c r="C249" s="3"/>
      <c r="D249" s="6">
        <v>66</v>
      </c>
      <c r="E249" s="6">
        <f>E248+C249-D249</f>
      </c>
      <c r="F249" s="2"/>
    </row>
    <row x14ac:dyDescent="0.25" r="250" customHeight="1" ht="17.25">
      <c r="A250" s="8">
        <v>45845</v>
      </c>
      <c r="B250" s="9" t="s">
        <v>343</v>
      </c>
      <c r="C250" s="3"/>
      <c r="D250" s="6">
        <v>8</v>
      </c>
      <c r="E250" s="6">
        <f>E249+C250-D250</f>
      </c>
      <c r="F250" s="2"/>
    </row>
    <row x14ac:dyDescent="0.25" r="251" customHeight="1" ht="17.25">
      <c r="A251" s="7">
        <v>45846</v>
      </c>
      <c r="B251" s="9" t="s">
        <v>42</v>
      </c>
      <c r="C251" s="6">
        <v>50</v>
      </c>
      <c r="D251" s="4"/>
      <c r="E251" s="6">
        <f>E250+C251-D251</f>
      </c>
      <c r="F251" s="2"/>
    </row>
    <row x14ac:dyDescent="0.25" r="252" customHeight="1" ht="17.25">
      <c r="A252" s="8">
        <v>45847</v>
      </c>
      <c r="B252" s="9" t="s">
        <v>35</v>
      </c>
      <c r="C252" s="6">
        <v>12</v>
      </c>
      <c r="D252" s="4"/>
      <c r="E252" s="6">
        <f>E251+C252-D252</f>
      </c>
      <c r="F252" s="2"/>
    </row>
    <row x14ac:dyDescent="0.25" r="253" customHeight="1" ht="17.25">
      <c r="A253" s="8">
        <v>45850</v>
      </c>
      <c r="B253" s="9" t="s">
        <v>238</v>
      </c>
      <c r="C253" s="6">
        <v>15</v>
      </c>
      <c r="D253" s="4"/>
      <c r="E253" s="6">
        <f>E252+C253-D253</f>
      </c>
      <c r="F253" s="2"/>
    </row>
    <row x14ac:dyDescent="0.25" r="254" customHeight="1" ht="17.25">
      <c r="A254" s="7">
        <v>45854</v>
      </c>
      <c r="B254" s="9" t="s">
        <v>189</v>
      </c>
      <c r="C254" s="6">
        <v>5</v>
      </c>
      <c r="D254" s="4"/>
      <c r="E254" s="6">
        <f>E253+C254-D254</f>
      </c>
      <c r="F254" s="2"/>
    </row>
    <row x14ac:dyDescent="0.25" r="255" customHeight="1" ht="17.25">
      <c r="A255" s="7">
        <v>45854</v>
      </c>
      <c r="B255" s="9" t="s">
        <v>376</v>
      </c>
      <c r="C255" s="6">
        <v>4</v>
      </c>
      <c r="D255" s="4"/>
      <c r="E255" s="6">
        <f>E254+C255-D255</f>
      </c>
      <c r="F255" s="2"/>
    </row>
    <row x14ac:dyDescent="0.25" r="256" customHeight="1" ht="17.25">
      <c r="A256" s="7">
        <v>45855</v>
      </c>
      <c r="B256" s="9" t="s">
        <v>233</v>
      </c>
      <c r="C256" s="3"/>
      <c r="D256" s="6">
        <v>20</v>
      </c>
      <c r="E256" s="6">
        <f>E255+C256-D256</f>
      </c>
      <c r="F256" s="2"/>
    </row>
    <row x14ac:dyDescent="0.25" r="257" customHeight="1" ht="17.25">
      <c r="A257" s="7">
        <v>45860</v>
      </c>
      <c r="B257" s="9" t="s">
        <v>42</v>
      </c>
      <c r="C257" s="6">
        <v>98</v>
      </c>
      <c r="D257" s="4"/>
      <c r="E257" s="6">
        <f>E256+C257-D257</f>
      </c>
      <c r="F257" s="2"/>
    </row>
    <row x14ac:dyDescent="0.25" r="258" customHeight="1" ht="17.25">
      <c r="A258" s="7">
        <v>45860</v>
      </c>
      <c r="B258" s="9" t="s">
        <v>4</v>
      </c>
      <c r="C258" s="6">
        <v>41</v>
      </c>
      <c r="D258" s="4"/>
      <c r="E258" s="6">
        <f>E257+C258-D258</f>
      </c>
      <c r="F258" s="2"/>
    </row>
    <row x14ac:dyDescent="0.25" r="259" customHeight="1" ht="17.25">
      <c r="A259" s="8">
        <v>45860</v>
      </c>
      <c r="B259" s="9" t="s">
        <v>89</v>
      </c>
      <c r="C259" s="6">
        <v>8</v>
      </c>
      <c r="D259" s="4"/>
      <c r="E259" s="6">
        <f>E258+C259-D259</f>
      </c>
      <c r="F259" s="2"/>
    </row>
    <row x14ac:dyDescent="0.25" r="260" customHeight="1" ht="17.25">
      <c r="A260" s="8">
        <v>45861</v>
      </c>
      <c r="B260" s="9" t="s">
        <v>304</v>
      </c>
      <c r="C260" s="3"/>
      <c r="D260" s="6">
        <v>40</v>
      </c>
      <c r="E260" s="6">
        <f>E259+C260-D260</f>
      </c>
      <c r="F260" s="2"/>
    </row>
    <row x14ac:dyDescent="0.25" r="261" customHeight="1" ht="17.25">
      <c r="A261" s="7">
        <v>45862</v>
      </c>
      <c r="B261" s="9" t="s">
        <v>304</v>
      </c>
      <c r="C261" s="3"/>
      <c r="D261" s="6">
        <v>10</v>
      </c>
      <c r="E261" s="6">
        <f>E260+C261-D261</f>
      </c>
      <c r="F261" s="2"/>
    </row>
    <row x14ac:dyDescent="0.25" r="262" customHeight="1" ht="17.25">
      <c r="A262" s="7">
        <v>45862</v>
      </c>
      <c r="B262" s="9" t="s">
        <v>333</v>
      </c>
      <c r="C262" s="3"/>
      <c r="D262" s="6">
        <v>76</v>
      </c>
      <c r="E262" s="6">
        <f>E261+C262-D262</f>
      </c>
      <c r="F262" s="2"/>
    </row>
    <row x14ac:dyDescent="0.25" r="263" customHeight="1" ht="17.25">
      <c r="A263" s="7">
        <v>45862</v>
      </c>
      <c r="B263" s="9" t="s">
        <v>485</v>
      </c>
      <c r="C263" s="6">
        <v>35</v>
      </c>
      <c r="D263" s="4"/>
      <c r="E263" s="6">
        <f>E262+C263-D263</f>
      </c>
      <c r="F263" s="2"/>
    </row>
    <row x14ac:dyDescent="0.25" r="264" customHeight="1" ht="17.25">
      <c r="A264" s="7">
        <v>45863</v>
      </c>
      <c r="B264" s="9" t="s">
        <v>233</v>
      </c>
      <c r="C264" s="3"/>
      <c r="D264" s="6">
        <v>86</v>
      </c>
      <c r="E264" s="6">
        <f>E263+C264-D264</f>
      </c>
      <c r="F264" s="2"/>
    </row>
    <row x14ac:dyDescent="0.25" r="265" customHeight="1" ht="17.25">
      <c r="A265" s="7">
        <v>45863</v>
      </c>
      <c r="B265" s="9" t="s">
        <v>35</v>
      </c>
      <c r="C265" s="6">
        <v>32</v>
      </c>
      <c r="D265" s="4"/>
      <c r="E265" s="6">
        <f>E264+C265-D265</f>
      </c>
      <c r="F265" s="2"/>
    </row>
    <row x14ac:dyDescent="0.25" r="266" customHeight="1" ht="17.25">
      <c r="A266" s="8">
        <v>45864</v>
      </c>
      <c r="B266" s="9" t="s">
        <v>233</v>
      </c>
      <c r="C266" s="3"/>
      <c r="D266" s="6">
        <v>20</v>
      </c>
      <c r="E266" s="6">
        <f>E265+C266-D266</f>
      </c>
      <c r="F266" s="2"/>
    </row>
    <row x14ac:dyDescent="0.25" r="267" customHeight="1" ht="17.25">
      <c r="A267" s="8">
        <v>45864</v>
      </c>
      <c r="B267" s="9" t="s">
        <v>368</v>
      </c>
      <c r="C267" s="6">
        <v>41</v>
      </c>
      <c r="D267" s="4"/>
      <c r="E267" s="6">
        <f>E266+C267-D267</f>
      </c>
      <c r="F267" s="2"/>
    </row>
    <row x14ac:dyDescent="0.25" r="268" customHeight="1" ht="17.25">
      <c r="A268" s="7">
        <v>45866</v>
      </c>
      <c r="B268" s="9" t="s">
        <v>283</v>
      </c>
      <c r="C268" s="6">
        <v>9</v>
      </c>
      <c r="D268" s="4"/>
      <c r="E268" s="6">
        <f>E267+C268-D268</f>
      </c>
      <c r="F268" s="2"/>
    </row>
    <row x14ac:dyDescent="0.25" r="269" customHeight="1" ht="17.25">
      <c r="A269" s="7">
        <v>45867</v>
      </c>
      <c r="B269" s="9" t="s">
        <v>382</v>
      </c>
      <c r="C269" s="6">
        <v>9</v>
      </c>
      <c r="D269" s="4"/>
      <c r="E269" s="6">
        <f>E268+C269-D269</f>
      </c>
      <c r="F269" s="2"/>
    </row>
    <row x14ac:dyDescent="0.25" r="270" customHeight="1" ht="17.25">
      <c r="A270" s="7">
        <v>45868</v>
      </c>
      <c r="B270" s="9" t="s">
        <v>100</v>
      </c>
      <c r="C270" s="3"/>
      <c r="D270" s="6">
        <v>65</v>
      </c>
      <c r="E270" s="6">
        <f>E269+C270-D270</f>
      </c>
      <c r="F270" s="2"/>
    </row>
    <row x14ac:dyDescent="0.25" r="271" customHeight="1" ht="17.25">
      <c r="A271" s="7">
        <v>45869</v>
      </c>
      <c r="B271" s="9" t="s">
        <v>35</v>
      </c>
      <c r="C271" s="6">
        <v>22</v>
      </c>
      <c r="D271" s="4"/>
      <c r="E271" s="6">
        <f>E270+C271-D271</f>
      </c>
      <c r="F271" s="2"/>
    </row>
    <row x14ac:dyDescent="0.25" r="272" customHeight="1" ht="17.25">
      <c r="A272" s="7">
        <v>45870</v>
      </c>
      <c r="B272" s="9" t="s">
        <v>100</v>
      </c>
      <c r="C272" s="3"/>
      <c r="D272" s="6">
        <v>35</v>
      </c>
      <c r="E272" s="6">
        <f>E271+C272-D272</f>
      </c>
      <c r="F272" s="2"/>
    </row>
    <row x14ac:dyDescent="0.25" r="273" customHeight="1" ht="17.25">
      <c r="A273" s="7">
        <v>45874</v>
      </c>
      <c r="B273" s="9" t="s">
        <v>486</v>
      </c>
      <c r="C273" s="6">
        <v>57</v>
      </c>
      <c r="D273" s="4"/>
      <c r="E273" s="6">
        <f>E272+C273-D273</f>
      </c>
      <c r="F273" s="2"/>
    </row>
    <row x14ac:dyDescent="0.25" r="274" customHeight="1" ht="17.25">
      <c r="A274" s="7">
        <v>45874</v>
      </c>
      <c r="B274" s="9" t="s">
        <v>208</v>
      </c>
      <c r="C274" s="6">
        <v>2</v>
      </c>
      <c r="D274" s="4"/>
      <c r="E274" s="6">
        <f>E273+C274-D274</f>
      </c>
      <c r="F274" s="2"/>
    </row>
    <row x14ac:dyDescent="0.25" r="275" customHeight="1" ht="17.25">
      <c r="A275" s="7">
        <v>45875</v>
      </c>
      <c r="B275" s="9" t="s">
        <v>34</v>
      </c>
      <c r="C275" s="6">
        <v>70</v>
      </c>
      <c r="D275" s="4"/>
      <c r="E275" s="6">
        <f>E274+C275-D275</f>
      </c>
      <c r="F275" s="2"/>
    </row>
    <row x14ac:dyDescent="0.25" r="276" customHeight="1" ht="17.25">
      <c r="A276" s="7">
        <v>45876</v>
      </c>
      <c r="B276" s="9" t="s">
        <v>189</v>
      </c>
      <c r="C276" s="3"/>
      <c r="D276" s="6">
        <v>55</v>
      </c>
      <c r="E276" s="6">
        <f>E275+C276-D276</f>
      </c>
      <c r="F276" s="2"/>
    </row>
    <row x14ac:dyDescent="0.25" r="277" customHeight="1" ht="17.25">
      <c r="A277" s="8">
        <v>45876</v>
      </c>
      <c r="B277" s="9" t="s">
        <v>307</v>
      </c>
      <c r="C277" s="3"/>
      <c r="D277" s="6">
        <v>10</v>
      </c>
      <c r="E277" s="6">
        <f>E276+C277-D277</f>
      </c>
      <c r="F277" s="2"/>
    </row>
    <row x14ac:dyDescent="0.25" r="278" customHeight="1" ht="17.25">
      <c r="A278" s="8">
        <v>45876</v>
      </c>
      <c r="B278" s="9" t="s">
        <v>308</v>
      </c>
      <c r="C278" s="3"/>
      <c r="D278" s="6">
        <v>20</v>
      </c>
      <c r="E278" s="6">
        <f>E277+C278-D278</f>
      </c>
      <c r="F278" s="2"/>
    </row>
    <row x14ac:dyDescent="0.25" r="279" customHeight="1" ht="17.25">
      <c r="A279" s="7">
        <v>45876</v>
      </c>
      <c r="B279" s="9" t="s">
        <v>234</v>
      </c>
      <c r="C279" s="3"/>
      <c r="D279" s="6">
        <v>10</v>
      </c>
      <c r="E279" s="6">
        <f>E278+C279-D279</f>
      </c>
      <c r="F279" s="2"/>
    </row>
    <row x14ac:dyDescent="0.25" r="280" customHeight="1" ht="17.25">
      <c r="A280" s="7">
        <v>45876</v>
      </c>
      <c r="B280" s="9" t="s">
        <v>275</v>
      </c>
      <c r="C280" s="6">
        <v>7</v>
      </c>
      <c r="D280" s="4"/>
      <c r="E280" s="6">
        <f>E279+C280-D280</f>
      </c>
      <c r="F280" s="2"/>
    </row>
    <row x14ac:dyDescent="0.25" r="281" customHeight="1" ht="17.25">
      <c r="A281" s="7">
        <v>45876</v>
      </c>
      <c r="B281" s="9" t="s">
        <v>208</v>
      </c>
      <c r="C281" s="6">
        <v>48</v>
      </c>
      <c r="D281" s="4"/>
      <c r="E281" s="6">
        <f>E280+C281-D281</f>
      </c>
      <c r="F281" s="2"/>
    </row>
    <row x14ac:dyDescent="0.25" r="282" customHeight="1" ht="17.25">
      <c r="A282" s="7">
        <v>45877</v>
      </c>
      <c r="B282" s="9" t="s">
        <v>35</v>
      </c>
      <c r="C282" s="6">
        <v>11</v>
      </c>
      <c r="D282" s="4"/>
      <c r="E282" s="6">
        <f>E281+C282-D282</f>
      </c>
      <c r="F282" s="2"/>
    </row>
    <row x14ac:dyDescent="0.25" r="283" customHeight="1" ht="17.25">
      <c r="A283" s="8">
        <v>45880</v>
      </c>
      <c r="B283" s="9" t="s">
        <v>370</v>
      </c>
      <c r="C283" s="6">
        <v>10</v>
      </c>
      <c r="D283" s="4"/>
      <c r="E283" s="6">
        <f>E282+C283-D283</f>
      </c>
      <c r="F283" s="2"/>
    </row>
    <row x14ac:dyDescent="0.25" r="284" customHeight="1" ht="17.25">
      <c r="A284" s="8">
        <v>45880</v>
      </c>
      <c r="B284" s="9" t="s">
        <v>141</v>
      </c>
      <c r="C284" s="6">
        <v>8</v>
      </c>
      <c r="D284" s="4"/>
      <c r="E284" s="6">
        <f>E283+C284-D284</f>
      </c>
      <c r="F284" s="2"/>
    </row>
    <row x14ac:dyDescent="0.25" r="285" customHeight="1" ht="17.25">
      <c r="A285" s="7">
        <v>45881</v>
      </c>
      <c r="B285" s="9" t="s">
        <v>391</v>
      </c>
      <c r="C285" s="3"/>
      <c r="D285" s="6">
        <v>38</v>
      </c>
      <c r="E285" s="6">
        <f>E284+C285-D285</f>
      </c>
      <c r="F285" s="2"/>
    </row>
    <row x14ac:dyDescent="0.25" r="286" customHeight="1" ht="17.25">
      <c r="A286" s="7">
        <v>45881</v>
      </c>
      <c r="B286" s="9" t="s">
        <v>501</v>
      </c>
      <c r="C286" s="3"/>
      <c r="D286" s="6">
        <v>100</v>
      </c>
      <c r="E286" s="6">
        <f>E285+C286-D286</f>
      </c>
      <c r="F286" s="2"/>
    </row>
    <row x14ac:dyDescent="0.25" r="287" customHeight="1" ht="17.25">
      <c r="A287" s="8">
        <v>45881</v>
      </c>
      <c r="B287" s="9" t="s">
        <v>208</v>
      </c>
      <c r="C287" s="6">
        <v>42</v>
      </c>
      <c r="D287" s="4"/>
      <c r="E287" s="6">
        <f>E286+C287-D287</f>
      </c>
      <c r="F287" s="2"/>
    </row>
    <row x14ac:dyDescent="0.25" r="288" customHeight="1" ht="17.25">
      <c r="A288" s="7">
        <v>45882</v>
      </c>
      <c r="B288" s="9" t="s">
        <v>307</v>
      </c>
      <c r="C288" s="3"/>
      <c r="D288" s="6">
        <v>30</v>
      </c>
      <c r="E288" s="6">
        <f>E287+C288-D288</f>
      </c>
      <c r="F288" s="2"/>
    </row>
    <row x14ac:dyDescent="0.25" r="289" customHeight="1" ht="17.25">
      <c r="A289" s="7">
        <v>45883</v>
      </c>
      <c r="B289" s="9" t="s">
        <v>48</v>
      </c>
      <c r="C289" s="3"/>
      <c r="D289" s="6">
        <v>176</v>
      </c>
      <c r="E289" s="6">
        <f>E288+C289-D289</f>
      </c>
      <c r="F289" s="2"/>
    </row>
    <row x14ac:dyDescent="0.25" r="290" customHeight="1" ht="17.25">
      <c r="A290" s="8">
        <v>45883</v>
      </c>
      <c r="B290" s="9" t="s">
        <v>525</v>
      </c>
      <c r="C290" s="3"/>
      <c r="D290" s="6">
        <v>20</v>
      </c>
      <c r="E290" s="6">
        <f>E289+C290-D290</f>
      </c>
      <c r="F290" s="2"/>
    </row>
    <row x14ac:dyDescent="0.25" r="291" customHeight="1" ht="17.25">
      <c r="A291" s="7">
        <v>45883</v>
      </c>
      <c r="B291" s="9" t="s">
        <v>382</v>
      </c>
      <c r="C291" s="6">
        <v>5</v>
      </c>
      <c r="D291" s="4"/>
      <c r="E291" s="6">
        <f>E290+C291-D291</f>
      </c>
      <c r="F291" s="2"/>
    </row>
    <row x14ac:dyDescent="0.25" r="292" customHeight="1" ht="17.25">
      <c r="A292" s="7">
        <v>45884</v>
      </c>
      <c r="B292" s="9" t="s">
        <v>501</v>
      </c>
      <c r="C292" s="3"/>
      <c r="D292" s="6">
        <v>100</v>
      </c>
      <c r="E292" s="6">
        <f>E291+C292-D292</f>
      </c>
      <c r="F292" s="2"/>
    </row>
    <row x14ac:dyDescent="0.25" r="293" customHeight="1" ht="17.25">
      <c r="A293" s="7">
        <v>45884</v>
      </c>
      <c r="B293" s="9" t="s">
        <v>48</v>
      </c>
      <c r="C293" s="3"/>
      <c r="D293" s="6">
        <v>24</v>
      </c>
      <c r="E293" s="6">
        <f>E292+C293-D293</f>
      </c>
      <c r="F293" s="2"/>
    </row>
    <row x14ac:dyDescent="0.25" r="294" customHeight="1" ht="17.25">
      <c r="A294" s="8">
        <v>45884</v>
      </c>
      <c r="B294" s="9" t="s">
        <v>35</v>
      </c>
      <c r="C294" s="6">
        <v>8</v>
      </c>
      <c r="D294" s="4"/>
      <c r="E294" s="6">
        <f>E293+C294-D294</f>
      </c>
      <c r="F294" s="2"/>
    </row>
    <row x14ac:dyDescent="0.25" r="295" customHeight="1" ht="17.25">
      <c r="A295" s="8">
        <v>45888</v>
      </c>
      <c r="B295" s="9" t="s">
        <v>502</v>
      </c>
      <c r="C295" s="3"/>
      <c r="D295" s="6">
        <v>75</v>
      </c>
      <c r="E295" s="6">
        <f>E294+C295-D295</f>
      </c>
      <c r="F295" s="2"/>
    </row>
    <row x14ac:dyDescent="0.25" r="296" customHeight="1" ht="17.25">
      <c r="A296" s="7">
        <v>45888</v>
      </c>
      <c r="B296" s="9" t="s">
        <v>501</v>
      </c>
      <c r="C296" s="3"/>
      <c r="D296" s="6">
        <v>50</v>
      </c>
      <c r="E296" s="6">
        <f>E295+C296-D296</f>
      </c>
      <c r="F296" s="2"/>
    </row>
    <row x14ac:dyDescent="0.25" r="297" customHeight="1" ht="17.25">
      <c r="A297" s="7">
        <v>45888</v>
      </c>
      <c r="B297" s="9" t="s">
        <v>141</v>
      </c>
      <c r="C297" s="6">
        <v>3</v>
      </c>
      <c r="D297" s="4"/>
      <c r="E297" s="6">
        <f>E296+C297-D297</f>
      </c>
      <c r="F297" s="2"/>
    </row>
    <row x14ac:dyDescent="0.25" r="298" customHeight="1" ht="17.25">
      <c r="A298" s="7">
        <v>45889</v>
      </c>
      <c r="B298" s="9" t="s">
        <v>501</v>
      </c>
      <c r="C298" s="3"/>
      <c r="D298" s="6">
        <v>100</v>
      </c>
      <c r="E298" s="6">
        <f>E297+C298-D298</f>
      </c>
      <c r="F298" s="2"/>
    </row>
    <row x14ac:dyDescent="0.25" r="299" customHeight="1" ht="17.25">
      <c r="A299" s="7">
        <v>45890</v>
      </c>
      <c r="B299" s="9" t="s">
        <v>47</v>
      </c>
      <c r="C299" s="3"/>
      <c r="D299" s="6">
        <v>30</v>
      </c>
      <c r="E299" s="6">
        <f>E298+C299-D299</f>
      </c>
      <c r="F299" s="2"/>
    </row>
    <row x14ac:dyDescent="0.25" r="300" customHeight="1" ht="17.25">
      <c r="A300" s="7">
        <v>45890</v>
      </c>
      <c r="B300" s="9" t="s">
        <v>283</v>
      </c>
      <c r="C300" s="6">
        <v>10</v>
      </c>
      <c r="D300" s="4"/>
      <c r="E300" s="6">
        <f>E299+C300-D300</f>
      </c>
      <c r="F300" s="2"/>
    </row>
    <row x14ac:dyDescent="0.25" r="301" customHeight="1" ht="17.25">
      <c r="A301" s="7">
        <v>45890</v>
      </c>
      <c r="B301" s="9" t="s">
        <v>208</v>
      </c>
      <c r="C301" s="6">
        <v>10</v>
      </c>
      <c r="D301" s="4"/>
      <c r="E301" s="6">
        <f>E300+C301-D301</f>
      </c>
      <c r="F301" s="2"/>
    </row>
    <row x14ac:dyDescent="0.25" r="302" customHeight="1" ht="17.25">
      <c r="A302" s="8">
        <v>45891</v>
      </c>
      <c r="B302" s="9" t="s">
        <v>283</v>
      </c>
      <c r="C302" s="6">
        <v>23</v>
      </c>
      <c r="D302" s="4"/>
      <c r="E302" s="6">
        <f>E301+C302-D302</f>
      </c>
      <c r="F302" s="2"/>
    </row>
    <row x14ac:dyDescent="0.25" r="303" customHeight="1" ht="17.25">
      <c r="A303" s="8">
        <v>45892</v>
      </c>
      <c r="B303" s="9" t="s">
        <v>42</v>
      </c>
      <c r="C303" s="6">
        <v>14</v>
      </c>
      <c r="D303" s="4"/>
      <c r="E303" s="6">
        <f>E302+C303-D303</f>
      </c>
      <c r="F303" s="2"/>
    </row>
    <row x14ac:dyDescent="0.25" r="304" customHeight="1" ht="17.25">
      <c r="A304" s="7">
        <v>45894</v>
      </c>
      <c r="B304" s="9" t="s">
        <v>26</v>
      </c>
      <c r="C304" s="3"/>
      <c r="D304" s="6">
        <v>340</v>
      </c>
      <c r="E304" s="6">
        <f>E303+C304-D304</f>
      </c>
      <c r="F304" s="2"/>
    </row>
    <row x14ac:dyDescent="0.25" r="305" customHeight="1" ht="17.25">
      <c r="A305" s="7">
        <v>45894</v>
      </c>
      <c r="B305" s="9" t="s">
        <v>365</v>
      </c>
      <c r="C305" s="3"/>
      <c r="D305" s="6">
        <v>68</v>
      </c>
      <c r="E305" s="6">
        <f>E304+C305-D305</f>
      </c>
      <c r="F305" s="2"/>
    </row>
    <row x14ac:dyDescent="0.25" r="306" customHeight="1" ht="17.25">
      <c r="A306" s="7">
        <v>45894</v>
      </c>
      <c r="B306" s="9" t="s">
        <v>283</v>
      </c>
      <c r="C306" s="6">
        <v>2</v>
      </c>
      <c r="D306" s="4"/>
      <c r="E306" s="6">
        <f>E305+C306-D306</f>
      </c>
      <c r="F306" s="2"/>
    </row>
    <row x14ac:dyDescent="0.25" r="307" customHeight="1" ht="17.25">
      <c r="A307" s="7">
        <v>45895</v>
      </c>
      <c r="B307" s="9" t="s">
        <v>418</v>
      </c>
      <c r="C307" s="3"/>
      <c r="D307" s="6">
        <v>20</v>
      </c>
      <c r="E307" s="6">
        <f>E306+C307-D307</f>
      </c>
      <c r="F307" s="2"/>
    </row>
    <row x14ac:dyDescent="0.25" r="308" customHeight="1" ht="17.25">
      <c r="A308" s="7">
        <v>45895</v>
      </c>
      <c r="B308" s="9" t="s">
        <v>272</v>
      </c>
      <c r="C308" s="6">
        <v>6</v>
      </c>
      <c r="D308" s="4"/>
      <c r="E308" s="6">
        <f>E307+C308-D308</f>
      </c>
      <c r="F308" s="2"/>
    </row>
    <row x14ac:dyDescent="0.25" r="309" customHeight="1" ht="17.25">
      <c r="A309" s="8">
        <v>45897</v>
      </c>
      <c r="B309" s="9" t="s">
        <v>376</v>
      </c>
      <c r="C309" s="6">
        <v>7</v>
      </c>
      <c r="D309" s="4"/>
      <c r="E309" s="6">
        <f>E308+C309-D309</f>
      </c>
      <c r="F309" s="2"/>
    </row>
    <row x14ac:dyDescent="0.25" r="310" customHeight="1" ht="17.25">
      <c r="A310" s="7">
        <v>45898</v>
      </c>
      <c r="B310" s="9" t="s">
        <v>316</v>
      </c>
      <c r="C310" s="3"/>
      <c r="D310" s="6">
        <v>50</v>
      </c>
      <c r="E310" s="6">
        <f>E309+C310-D310</f>
      </c>
      <c r="F310" s="2"/>
    </row>
    <row x14ac:dyDescent="0.25" r="311" customHeight="1" ht="17.25">
      <c r="A311" s="8">
        <v>45898</v>
      </c>
      <c r="B311" s="9" t="s">
        <v>333</v>
      </c>
      <c r="C311" s="6">
        <v>32</v>
      </c>
      <c r="D311" s="4"/>
      <c r="E311" s="6">
        <f>E310+C311-D311</f>
      </c>
      <c r="F311" s="2"/>
    </row>
    <row x14ac:dyDescent="0.25" r="312" customHeight="1" ht="17.25">
      <c r="A312" s="8">
        <v>45899</v>
      </c>
      <c r="B312" s="9" t="s">
        <v>297</v>
      </c>
      <c r="C312" s="3"/>
      <c r="D312" s="6">
        <v>25</v>
      </c>
      <c r="E312" s="6">
        <f>E311+C312-D312</f>
      </c>
      <c r="F312" s="2"/>
    </row>
    <row x14ac:dyDescent="0.25" r="313" customHeight="1" ht="17.25">
      <c r="A313" s="7">
        <v>45899</v>
      </c>
      <c r="B313" s="9" t="s">
        <v>333</v>
      </c>
      <c r="C313" s="6">
        <v>26</v>
      </c>
      <c r="D313" s="4"/>
      <c r="E313" s="6">
        <f>E312+C313-D313</f>
      </c>
      <c r="F313" s="2"/>
    </row>
    <row x14ac:dyDescent="0.25" r="314" customHeight="1" ht="17.25">
      <c r="A314" s="7">
        <v>45902</v>
      </c>
      <c r="B314" s="9" t="s">
        <v>56</v>
      </c>
      <c r="C314" s="3"/>
      <c r="D314" s="6">
        <v>12</v>
      </c>
      <c r="E314" s="6">
        <f>E313+C314-D314</f>
      </c>
      <c r="F314" s="2"/>
    </row>
    <row x14ac:dyDescent="0.25" r="315" customHeight="1" ht="17.25">
      <c r="A315" s="8">
        <v>45906</v>
      </c>
      <c r="B315" s="9" t="s">
        <v>283</v>
      </c>
      <c r="C315" s="6">
        <v>14</v>
      </c>
      <c r="D315" s="4"/>
      <c r="E315" s="6">
        <f>E314+C315-D315</f>
      </c>
      <c r="F315" s="2"/>
    </row>
    <row x14ac:dyDescent="0.25" r="316" customHeight="1" ht="17.25">
      <c r="A316" s="7">
        <v>45909</v>
      </c>
      <c r="B316" s="9" t="s">
        <v>524</v>
      </c>
      <c r="C316" s="6">
        <v>7</v>
      </c>
      <c r="D316" s="4"/>
      <c r="E316" s="6">
        <f>E315+C316-D316</f>
      </c>
      <c r="F316" s="2"/>
    </row>
    <row x14ac:dyDescent="0.25" r="317" customHeight="1" ht="17.25">
      <c r="A317" s="7">
        <v>45909</v>
      </c>
      <c r="B317" s="9" t="s">
        <v>376</v>
      </c>
      <c r="C317" s="6">
        <v>15</v>
      </c>
      <c r="D317" s="4"/>
      <c r="E317" s="6">
        <f>E316+C317-D317</f>
      </c>
      <c r="F317" s="2"/>
    </row>
    <row x14ac:dyDescent="0.25" r="318" customHeight="1" ht="17.25">
      <c r="A318" s="7">
        <v>45911</v>
      </c>
      <c r="B318" s="9" t="s">
        <v>310</v>
      </c>
      <c r="C318" s="3"/>
      <c r="D318" s="6">
        <v>20</v>
      </c>
      <c r="E318" s="6">
        <f>E317+C318-D318</f>
      </c>
      <c r="F318" s="2"/>
    </row>
    <row x14ac:dyDescent="0.25" r="319" customHeight="1" ht="17.25">
      <c r="A319" s="8">
        <v>45911</v>
      </c>
      <c r="B319" s="9" t="s">
        <v>284</v>
      </c>
      <c r="C319" s="6">
        <v>4</v>
      </c>
      <c r="D319" s="4"/>
      <c r="E319" s="6">
        <f>E318+C319-D319</f>
      </c>
      <c r="F319" s="2"/>
    </row>
    <row x14ac:dyDescent="0.25" r="320" customHeight="1" ht="17.25">
      <c r="A320" s="7">
        <v>45915</v>
      </c>
      <c r="B320" s="9" t="s">
        <v>391</v>
      </c>
      <c r="C320" s="3"/>
      <c r="D320" s="6">
        <v>50</v>
      </c>
      <c r="E320" s="6">
        <f>E319+C320-D320</f>
      </c>
      <c r="F320" s="2"/>
    </row>
    <row x14ac:dyDescent="0.25" r="321" customHeight="1" ht="17.25">
      <c r="A321" s="7">
        <v>45915</v>
      </c>
      <c r="B321" s="9" t="s">
        <v>182</v>
      </c>
      <c r="C321" s="6">
        <v>4</v>
      </c>
      <c r="D321" s="4"/>
      <c r="E321" s="6">
        <f>E320+C321-D321</f>
      </c>
      <c r="F321" s="2"/>
    </row>
    <row x14ac:dyDescent="0.25" r="322" customHeight="1" ht="17.25">
      <c r="A322" s="7">
        <v>45916</v>
      </c>
      <c r="B322" s="9" t="s">
        <v>3</v>
      </c>
      <c r="C322" s="3"/>
      <c r="D322" s="6">
        <v>30</v>
      </c>
      <c r="E322" s="6">
        <f>E321+C322-D322</f>
      </c>
      <c r="F322" s="2"/>
    </row>
    <row x14ac:dyDescent="0.25" r="323" customHeight="1" ht="17.25">
      <c r="A323" s="7">
        <v>45916</v>
      </c>
      <c r="B323" s="9" t="s">
        <v>391</v>
      </c>
      <c r="C323" s="3"/>
      <c r="D323" s="6">
        <v>100</v>
      </c>
      <c r="E323" s="6">
        <f>E322+C323-D323</f>
      </c>
      <c r="F323" s="2"/>
    </row>
    <row x14ac:dyDescent="0.25" r="324" customHeight="1" ht="17.25">
      <c r="A324" s="7">
        <v>45916</v>
      </c>
      <c r="B324" s="9" t="s">
        <v>208</v>
      </c>
      <c r="C324" s="6">
        <v>17</v>
      </c>
      <c r="D324" s="4"/>
      <c r="E324" s="6">
        <f>E323+C324-D324</f>
      </c>
      <c r="F324" s="2"/>
    </row>
    <row x14ac:dyDescent="0.25" r="325" customHeight="1" ht="17.25">
      <c r="A325" s="8">
        <v>45917</v>
      </c>
      <c r="B325" s="9" t="s">
        <v>371</v>
      </c>
      <c r="C325" s="3"/>
      <c r="D325" s="6">
        <v>170</v>
      </c>
      <c r="E325" s="6">
        <f>E324+C325-D325</f>
      </c>
      <c r="F325" s="2"/>
    </row>
    <row x14ac:dyDescent="0.25" r="326" customHeight="1" ht="17.25">
      <c r="A326" s="7">
        <v>45917</v>
      </c>
      <c r="B326" s="9" t="s">
        <v>365</v>
      </c>
      <c r="C326" s="6">
        <v>54</v>
      </c>
      <c r="D326" s="4"/>
      <c r="E326" s="6">
        <f>E325+C326-D326</f>
      </c>
      <c r="F326" s="2"/>
    </row>
    <row x14ac:dyDescent="0.25" r="327" customHeight="1" ht="17.25">
      <c r="A327" s="7">
        <v>45918</v>
      </c>
      <c r="B327" s="9" t="s">
        <v>371</v>
      </c>
      <c r="C327" s="3"/>
      <c r="D327" s="6">
        <v>170</v>
      </c>
      <c r="E327" s="6">
        <f>E326+C327-D327</f>
      </c>
      <c r="F327" s="2"/>
    </row>
    <row x14ac:dyDescent="0.25" r="328" customHeight="1" ht="17.25">
      <c r="A328" s="8">
        <v>45918</v>
      </c>
      <c r="B328" s="9" t="s">
        <v>234</v>
      </c>
      <c r="C328" s="3"/>
      <c r="D328" s="6">
        <v>16</v>
      </c>
      <c r="E328" s="6">
        <f>E327+C328-D328</f>
      </c>
      <c r="F328" s="2"/>
    </row>
    <row x14ac:dyDescent="0.25" r="329" customHeight="1" ht="17.25">
      <c r="A329" s="7">
        <v>45918</v>
      </c>
      <c r="B329" s="9" t="s">
        <v>47</v>
      </c>
      <c r="C329" s="6">
        <v>18</v>
      </c>
      <c r="D329" s="4"/>
      <c r="E329" s="6">
        <f>E328+C329-D329</f>
      </c>
      <c r="F329" s="2"/>
    </row>
    <row x14ac:dyDescent="0.25" r="330" customHeight="1" ht="17.25">
      <c r="A330" s="7">
        <v>45919</v>
      </c>
      <c r="B330" s="9" t="s">
        <v>89</v>
      </c>
      <c r="C330" s="3"/>
      <c r="D330" s="6">
        <v>2</v>
      </c>
      <c r="E330" s="6">
        <f>E329+C330-D330</f>
      </c>
      <c r="F330" s="2"/>
    </row>
    <row x14ac:dyDescent="0.25" r="331" customHeight="1" ht="17.25">
      <c r="A331" s="7">
        <v>45922</v>
      </c>
      <c r="B331" s="9" t="s">
        <v>371</v>
      </c>
      <c r="C331" s="3"/>
      <c r="D331" s="6">
        <v>160</v>
      </c>
      <c r="E331" s="6">
        <f>E330+C331-D331</f>
      </c>
      <c r="F331" s="2"/>
    </row>
    <row x14ac:dyDescent="0.25" r="332" customHeight="1" ht="17.25">
      <c r="A332" s="7">
        <v>45923</v>
      </c>
      <c r="B332" s="9" t="s">
        <v>4</v>
      </c>
      <c r="C332" s="3"/>
      <c r="D332" s="6">
        <v>120</v>
      </c>
      <c r="E332" s="6">
        <f>E331+C332-D332</f>
      </c>
      <c r="F332" s="2"/>
    </row>
    <row x14ac:dyDescent="0.25" r="333" customHeight="1" ht="17.25">
      <c r="A333" s="7">
        <v>45923</v>
      </c>
      <c r="B333" s="9" t="s">
        <v>4</v>
      </c>
      <c r="C333" s="3"/>
      <c r="D333" s="6">
        <v>172</v>
      </c>
      <c r="E333" s="6">
        <f>E332+C333-D333</f>
      </c>
      <c r="F333" s="2"/>
    </row>
    <row x14ac:dyDescent="0.25" r="334" customHeight="1" ht="17.25">
      <c r="A334" s="7">
        <v>45923</v>
      </c>
      <c r="B334" s="9" t="s">
        <v>343</v>
      </c>
      <c r="C334" s="6">
        <v>14</v>
      </c>
      <c r="D334" s="4"/>
      <c r="E334" s="6">
        <f>E333+C334-D334</f>
      </c>
      <c r="F334" s="2"/>
    </row>
    <row x14ac:dyDescent="0.25" r="335" customHeight="1" ht="17.25">
      <c r="A335" s="7">
        <v>45924</v>
      </c>
      <c r="B335" s="9" t="s">
        <v>284</v>
      </c>
      <c r="C335" s="6">
        <v>16</v>
      </c>
      <c r="D335" s="4"/>
      <c r="E335" s="6">
        <f>E334+C335-D335</f>
      </c>
      <c r="F335" s="2"/>
    </row>
    <row x14ac:dyDescent="0.25" r="336" customHeight="1" ht="17.25">
      <c r="A336" s="8">
        <v>45924</v>
      </c>
      <c r="B336" s="9" t="s">
        <v>42</v>
      </c>
      <c r="C336" s="6">
        <v>12</v>
      </c>
      <c r="D336" s="4"/>
      <c r="E336" s="6">
        <f>E335+C336-D336</f>
      </c>
      <c r="F336" s="2"/>
    </row>
    <row x14ac:dyDescent="0.25" r="337" customHeight="1" ht="17.25">
      <c r="A337" s="8">
        <v>45926</v>
      </c>
      <c r="B337" s="9" t="s">
        <v>365</v>
      </c>
      <c r="C337" s="6">
        <v>14</v>
      </c>
      <c r="D337" s="4"/>
      <c r="E337" s="6">
        <f>E336+C337-D337</f>
      </c>
      <c r="F337" s="2"/>
    </row>
    <row x14ac:dyDescent="0.25" r="338" customHeight="1" ht="17.25">
      <c r="A338" s="7">
        <v>45926</v>
      </c>
      <c r="B338" s="9" t="s">
        <v>2</v>
      </c>
      <c r="C338" s="6">
        <v>24</v>
      </c>
      <c r="D338" s="4"/>
      <c r="E338" s="6">
        <f>E337+C338-D338</f>
      </c>
      <c r="F338" s="2"/>
    </row>
    <row x14ac:dyDescent="0.25" r="339" customHeight="1" ht="17.25">
      <c r="A339" s="7">
        <v>45927</v>
      </c>
      <c r="B339" s="9" t="s">
        <v>491</v>
      </c>
      <c r="C339" s="6">
        <v>23</v>
      </c>
      <c r="D339" s="4"/>
      <c r="E339" s="6">
        <f>E338+C339-D339</f>
      </c>
      <c r="F339" s="2"/>
    </row>
    <row x14ac:dyDescent="0.25" r="340" customHeight="1" ht="17.25">
      <c r="A340" s="8">
        <v>45929</v>
      </c>
      <c r="B340" s="9" t="s">
        <v>141</v>
      </c>
      <c r="C340" s="6">
        <v>1</v>
      </c>
      <c r="D340" s="4"/>
      <c r="E340" s="6">
        <f>E339+C340-D340</f>
      </c>
      <c r="F340" s="2"/>
    </row>
    <row x14ac:dyDescent="0.25" r="341" customHeight="1" ht="17.25">
      <c r="A341" s="7">
        <v>45930</v>
      </c>
      <c r="B341" s="9" t="s">
        <v>4</v>
      </c>
      <c r="C341" s="6">
        <v>230</v>
      </c>
      <c r="D341" s="4"/>
      <c r="E341" s="6">
        <f>E340+C341-D341</f>
      </c>
      <c r="F341" s="2"/>
    </row>
    <row x14ac:dyDescent="0.25" r="342" customHeight="1" ht="17.25">
      <c r="A342" s="7">
        <v>45930</v>
      </c>
      <c r="B342" s="9" t="s">
        <v>543</v>
      </c>
      <c r="C342" s="6">
        <v>28</v>
      </c>
      <c r="D342" s="4"/>
      <c r="E342" s="6">
        <f>E341+C342-D342</f>
      </c>
      <c r="F342" s="2"/>
    </row>
    <row x14ac:dyDescent="0.25" r="343" customHeight="1" ht="17.25">
      <c r="A343" s="7">
        <v>45932</v>
      </c>
      <c r="B343" s="9" t="s">
        <v>100</v>
      </c>
      <c r="C343" s="6">
        <v>64</v>
      </c>
      <c r="D343" s="4"/>
      <c r="E343" s="6">
        <f>E342+C343-D343</f>
      </c>
      <c r="F343" s="2"/>
    </row>
    <row x14ac:dyDescent="0.25" r="344" customHeight="1" ht="17.25">
      <c r="A344" s="8">
        <v>45932</v>
      </c>
      <c r="B344" s="9" t="s">
        <v>4</v>
      </c>
      <c r="C344" s="6">
        <v>57</v>
      </c>
      <c r="D344" s="4"/>
      <c r="E344" s="6">
        <f>E343+C344-D344</f>
      </c>
      <c r="F344" s="2"/>
    </row>
    <row x14ac:dyDescent="0.25" r="345" customHeight="1" ht="17.25">
      <c r="A345" s="8">
        <v>45934</v>
      </c>
      <c r="B345" s="9" t="s">
        <v>184</v>
      </c>
      <c r="C345" s="6">
        <v>4</v>
      </c>
      <c r="D345" s="4"/>
      <c r="E345" s="6">
        <f>E344+C345-D345</f>
      </c>
      <c r="F345" s="2"/>
    </row>
    <row x14ac:dyDescent="0.25" r="346" customHeight="1" ht="17.25">
      <c r="A346" s="7">
        <v>45936</v>
      </c>
      <c r="B346" s="9" t="s">
        <v>289</v>
      </c>
      <c r="C346" s="3"/>
      <c r="D346" s="6">
        <v>50</v>
      </c>
      <c r="E346" s="6">
        <f>E345+C346-D346</f>
      </c>
      <c r="F346" s="2"/>
    </row>
    <row x14ac:dyDescent="0.25" r="347" customHeight="1" ht="17.25">
      <c r="A347" s="7">
        <v>45937</v>
      </c>
      <c r="B347" s="9" t="s">
        <v>289</v>
      </c>
      <c r="C347" s="3"/>
      <c r="D347" s="6">
        <v>30</v>
      </c>
      <c r="E347" s="6">
        <f>E346+C347-D347</f>
      </c>
      <c r="F347" s="2"/>
    </row>
    <row x14ac:dyDescent="0.25" r="348" customHeight="1" ht="17.25">
      <c r="A348" s="7">
        <v>45938</v>
      </c>
      <c r="B348" s="9" t="s">
        <v>233</v>
      </c>
      <c r="C348" s="3"/>
      <c r="D348" s="6">
        <v>30</v>
      </c>
      <c r="E348" s="6">
        <f>E347+C348-D348</f>
      </c>
      <c r="F348" s="2"/>
    </row>
    <row x14ac:dyDescent="0.25" r="349" customHeight="1" ht="17.25">
      <c r="A349" s="7">
        <v>45939</v>
      </c>
      <c r="B349" s="9" t="s">
        <v>182</v>
      </c>
      <c r="C349" s="6">
        <v>22</v>
      </c>
      <c r="D349" s="4"/>
      <c r="E349" s="6">
        <f>E348+C349-D349</f>
      </c>
      <c r="F349" s="2"/>
    </row>
    <row x14ac:dyDescent="0.25" r="350" customHeight="1" ht="17.25">
      <c r="A350" s="8">
        <v>45940</v>
      </c>
      <c r="B350" s="9" t="s">
        <v>141</v>
      </c>
      <c r="C350" s="6">
        <v>4</v>
      </c>
      <c r="D350" s="4"/>
      <c r="E350" s="6">
        <f>E349+C350-D350</f>
      </c>
      <c r="F350" s="2"/>
    </row>
    <row x14ac:dyDescent="0.25" r="351" customHeight="1" ht="17.25">
      <c r="A351" s="7">
        <v>45940</v>
      </c>
      <c r="B351" s="9" t="s">
        <v>184</v>
      </c>
      <c r="C351" s="6">
        <v>26</v>
      </c>
      <c r="D351" s="4"/>
      <c r="E351" s="6">
        <f>E350+C351-D351</f>
      </c>
      <c r="F351" s="2"/>
    </row>
    <row x14ac:dyDescent="0.25" r="352" customHeight="1" ht="17.25">
      <c r="A352" s="7">
        <v>45941</v>
      </c>
      <c r="B352" s="9" t="s">
        <v>311</v>
      </c>
      <c r="C352" s="3"/>
      <c r="D352" s="6">
        <v>100</v>
      </c>
      <c r="E352" s="6">
        <f>E351+C352-D352</f>
      </c>
      <c r="F352" s="2"/>
    </row>
    <row x14ac:dyDescent="0.25" r="353" customHeight="1" ht="17.25">
      <c r="A353" s="7">
        <v>45941</v>
      </c>
      <c r="B353" s="9" t="s">
        <v>487</v>
      </c>
      <c r="C353" s="6">
        <v>80</v>
      </c>
      <c r="D353" s="4"/>
      <c r="E353" s="6">
        <f>E352+C353-D353</f>
      </c>
      <c r="F353" s="2"/>
    </row>
    <row x14ac:dyDescent="0.25" r="354" customHeight="1" ht="17.25">
      <c r="A354" s="7">
        <v>45943</v>
      </c>
      <c r="B354" s="9" t="s">
        <v>391</v>
      </c>
      <c r="C354" s="6">
        <v>50</v>
      </c>
      <c r="D354" s="4"/>
      <c r="E354" s="6">
        <f>E353+C354-D354</f>
      </c>
      <c r="F354" s="2"/>
    </row>
    <row x14ac:dyDescent="0.25" r="355" customHeight="1" ht="17.25">
      <c r="A355" s="8">
        <v>45945</v>
      </c>
      <c r="B355" s="9" t="s">
        <v>283</v>
      </c>
      <c r="C355" s="6">
        <v>4</v>
      </c>
      <c r="D355" s="4"/>
      <c r="E355" s="6">
        <f>E354+C355-D355</f>
      </c>
      <c r="F355" s="2"/>
    </row>
    <row x14ac:dyDescent="0.25" r="356" customHeight="1" ht="17.25">
      <c r="A356" s="8">
        <v>45947</v>
      </c>
      <c r="B356" s="9" t="s">
        <v>512</v>
      </c>
      <c r="C356" s="3"/>
      <c r="D356" s="6">
        <v>50</v>
      </c>
      <c r="E356" s="6">
        <f>E355+C356-D356</f>
      </c>
      <c r="F356" s="2"/>
    </row>
    <row x14ac:dyDescent="0.25" r="357" customHeight="1" ht="17.25">
      <c r="A357" s="7">
        <v>45948</v>
      </c>
      <c r="B357" s="9" t="s">
        <v>184</v>
      </c>
      <c r="C357" s="6">
        <v>5</v>
      </c>
      <c r="D357" s="4"/>
      <c r="E357" s="6">
        <f>E356+C357-D357</f>
      </c>
      <c r="F357" s="2"/>
    </row>
    <row x14ac:dyDescent="0.25" r="358" customHeight="1" ht="17.25">
      <c r="A358" s="7">
        <v>45948</v>
      </c>
      <c r="B358" s="9" t="s">
        <v>2</v>
      </c>
      <c r="C358" s="6">
        <v>11</v>
      </c>
      <c r="D358" s="4"/>
      <c r="E358" s="6">
        <f>E357+C358-D358</f>
      </c>
      <c r="F358" s="2"/>
    </row>
    <row x14ac:dyDescent="0.25" r="359" customHeight="1" ht="17.25">
      <c r="A359" s="7">
        <v>45950</v>
      </c>
      <c r="B359" s="9" t="s">
        <v>7</v>
      </c>
      <c r="C359" s="6">
        <v>82</v>
      </c>
      <c r="D359" s="4"/>
      <c r="E359" s="6">
        <f>E358+C359-D359</f>
      </c>
      <c r="F359" s="2"/>
    </row>
    <row x14ac:dyDescent="0.25" r="360" customHeight="1" ht="17.25">
      <c r="A360" s="7">
        <v>45950</v>
      </c>
      <c r="B360" s="9" t="s">
        <v>208</v>
      </c>
      <c r="C360" s="6">
        <v>31</v>
      </c>
      <c r="D360" s="4"/>
      <c r="E360" s="6">
        <f>E359+C360-D360</f>
      </c>
      <c r="F360" s="2"/>
    </row>
    <row x14ac:dyDescent="0.25" r="361" customHeight="1" ht="17.25">
      <c r="A361" s="7">
        <v>45951</v>
      </c>
      <c r="B361" s="9" t="s">
        <v>512</v>
      </c>
      <c r="C361" s="3"/>
      <c r="D361" s="6">
        <v>50</v>
      </c>
      <c r="E361" s="6">
        <f>E360+C361-D361</f>
      </c>
      <c r="F361" s="2"/>
    </row>
    <row x14ac:dyDescent="0.25" r="362" customHeight="1" ht="17.25">
      <c r="A362" s="7">
        <v>45952</v>
      </c>
      <c r="B362" s="9" t="s">
        <v>502</v>
      </c>
      <c r="C362" s="3"/>
      <c r="D362" s="6">
        <v>106</v>
      </c>
      <c r="E362" s="6">
        <f>E361+C362-D362</f>
      </c>
      <c r="F362" s="2"/>
    </row>
    <row x14ac:dyDescent="0.25" r="363" customHeight="1" ht="17.25">
      <c r="A363" s="7">
        <v>45953</v>
      </c>
      <c r="B363" s="9" t="s">
        <v>47</v>
      </c>
      <c r="C363" s="6">
        <v>10</v>
      </c>
      <c r="D363" s="4"/>
      <c r="E363" s="6">
        <f>E362+C363-D363</f>
      </c>
      <c r="F363" s="2"/>
    </row>
    <row x14ac:dyDescent="0.25" r="364" customHeight="1" ht="17.25">
      <c r="A364" s="7">
        <v>45954</v>
      </c>
      <c r="B364" s="9" t="s">
        <v>3</v>
      </c>
      <c r="C364" s="6">
        <v>8</v>
      </c>
      <c r="D364" s="4"/>
      <c r="E364" s="6">
        <f>E363+C364-D364</f>
      </c>
      <c r="F364" s="2"/>
    </row>
    <row x14ac:dyDescent="0.25" r="365" customHeight="1" ht="17.25">
      <c r="A365" s="7">
        <v>45957</v>
      </c>
      <c r="B365" s="9" t="s">
        <v>3</v>
      </c>
      <c r="C365" s="6">
        <v>24</v>
      </c>
      <c r="D365" s="4"/>
      <c r="E365" s="6">
        <f>E364+C365-D365</f>
      </c>
      <c r="F365" s="2"/>
    </row>
    <row x14ac:dyDescent="0.25" r="366" customHeight="1" ht="17.25">
      <c r="A366" s="7">
        <v>45957</v>
      </c>
      <c r="B366" s="9" t="s">
        <v>495</v>
      </c>
      <c r="C366" s="6">
        <v>20</v>
      </c>
      <c r="D366" s="4"/>
      <c r="E366" s="6">
        <f>E365+C366-D366</f>
      </c>
      <c r="F366" s="2"/>
    </row>
    <row x14ac:dyDescent="0.25" r="367" customHeight="1" ht="17.25">
      <c r="A367" s="7">
        <v>45958</v>
      </c>
      <c r="B367" s="9" t="s">
        <v>495</v>
      </c>
      <c r="C367" s="6">
        <v>63</v>
      </c>
      <c r="D367" s="4"/>
      <c r="E367" s="6">
        <f>E366+C367-D367</f>
      </c>
      <c r="F367" s="2"/>
    </row>
    <row x14ac:dyDescent="0.25" r="368" customHeight="1" ht="17.25">
      <c r="A368" s="8">
        <v>45958</v>
      </c>
      <c r="B368" s="9" t="s">
        <v>184</v>
      </c>
      <c r="C368" s="6">
        <v>14</v>
      </c>
      <c r="D368" s="4"/>
      <c r="E368" s="6">
        <f>E367+C368-D368</f>
      </c>
      <c r="F368" s="2"/>
    </row>
    <row x14ac:dyDescent="0.25" r="369" customHeight="1" ht="17.25">
      <c r="A369" s="8">
        <v>45959</v>
      </c>
      <c r="B369" s="9" t="s">
        <v>184</v>
      </c>
      <c r="C369" s="6">
        <v>23</v>
      </c>
      <c r="D369" s="4"/>
      <c r="E369" s="6">
        <f>E368+C369-D369</f>
      </c>
      <c r="F369" s="2"/>
    </row>
    <row x14ac:dyDescent="0.25" r="370" customHeight="1" ht="17.25">
      <c r="A370" s="7">
        <v>45959</v>
      </c>
      <c r="B370" s="9" t="s">
        <v>578</v>
      </c>
      <c r="C370" s="6">
        <v>45</v>
      </c>
      <c r="D370" s="4"/>
      <c r="E370" s="6">
        <f>E369+C370-D370</f>
      </c>
      <c r="F370" s="2"/>
    </row>
    <row x14ac:dyDescent="0.25" r="371" customHeight="1" ht="17.25">
      <c r="A371" s="8">
        <v>45959</v>
      </c>
      <c r="B371" s="9" t="s">
        <v>370</v>
      </c>
      <c r="C371" s="6">
        <v>4</v>
      </c>
      <c r="D371" s="4"/>
      <c r="E371" s="6">
        <f>E370+C371-D371</f>
      </c>
      <c r="F371" s="2"/>
    </row>
    <row x14ac:dyDescent="0.25" r="372" customHeight="1" ht="17.25">
      <c r="A372" s="7">
        <v>45959</v>
      </c>
      <c r="B372" s="9" t="s">
        <v>3</v>
      </c>
      <c r="C372" s="6">
        <v>2</v>
      </c>
      <c r="D372" s="4"/>
      <c r="E372" s="6">
        <f>E371+C372-D372</f>
      </c>
      <c r="F372" s="2"/>
    </row>
    <row x14ac:dyDescent="0.25" r="373" customHeight="1" ht="17.25">
      <c r="A373" s="7">
        <v>45960</v>
      </c>
      <c r="B373" s="9" t="s">
        <v>347</v>
      </c>
      <c r="C373" s="3"/>
      <c r="D373" s="6">
        <v>24</v>
      </c>
      <c r="E373" s="6">
        <f>E372+C373-D373</f>
      </c>
      <c r="F373" s="2"/>
    </row>
    <row x14ac:dyDescent="0.25" r="374" customHeight="1" ht="17.25">
      <c r="A374" s="7">
        <v>45960</v>
      </c>
      <c r="B374" s="9" t="s">
        <v>3</v>
      </c>
      <c r="C374" s="6">
        <v>6</v>
      </c>
      <c r="D374" s="4"/>
      <c r="E374" s="6">
        <f>E373+C374-D374</f>
      </c>
      <c r="F374" s="2"/>
    </row>
    <row x14ac:dyDescent="0.25" r="375" customHeight="1" ht="17.25">
      <c r="A375" s="8">
        <v>45961</v>
      </c>
      <c r="B375" s="9" t="s">
        <v>179</v>
      </c>
      <c r="C375" s="3"/>
      <c r="D375" s="6">
        <v>20</v>
      </c>
      <c r="E375" s="6">
        <f>E374+C375-D375</f>
      </c>
      <c r="F375" s="2"/>
    </row>
    <row x14ac:dyDescent="0.25" r="376" customHeight="1" ht="17.25">
      <c r="A376" s="7">
        <v>45961</v>
      </c>
      <c r="B376" s="9" t="s">
        <v>51</v>
      </c>
      <c r="C376" s="3"/>
      <c r="D376" s="6">
        <v>150</v>
      </c>
      <c r="E376" s="6">
        <f>E375+C376-D376</f>
      </c>
      <c r="F376" s="2"/>
    </row>
    <row x14ac:dyDescent="0.25" r="377" customHeight="1" ht="17.25">
      <c r="A377" s="7">
        <v>45961</v>
      </c>
      <c r="B377" s="9" t="s">
        <v>3</v>
      </c>
      <c r="C377" s="6">
        <v>18</v>
      </c>
      <c r="D377" s="4"/>
      <c r="E377" s="6">
        <f>E376+C377-D377</f>
      </c>
      <c r="F377" s="2"/>
    </row>
    <row x14ac:dyDescent="0.25" r="378" customHeight="1" ht="17.25">
      <c r="A378" s="7">
        <v>45964</v>
      </c>
      <c r="B378" s="9" t="s">
        <v>51</v>
      </c>
      <c r="C378" s="3"/>
      <c r="D378" s="6">
        <v>60</v>
      </c>
      <c r="E378" s="6">
        <f>E377+C378-D378</f>
      </c>
      <c r="F378" s="2"/>
    </row>
    <row x14ac:dyDescent="0.25" r="379" customHeight="1" ht="17.25">
      <c r="A379" s="8">
        <v>45964</v>
      </c>
      <c r="B379" s="9" t="s">
        <v>608</v>
      </c>
      <c r="C379" s="6">
        <v>10</v>
      </c>
      <c r="D379" s="4"/>
      <c r="E379" s="6">
        <v>1210</v>
      </c>
      <c r="F379" s="2"/>
    </row>
    <row x14ac:dyDescent="0.25" r="380" customHeight="1" ht="17.25">
      <c r="A380" s="8">
        <v>45965</v>
      </c>
      <c r="B380" s="9" t="s">
        <v>320</v>
      </c>
      <c r="C380" s="3"/>
      <c r="D380" s="6">
        <v>7</v>
      </c>
      <c r="E380" s="6">
        <f>E379+C380-D380</f>
      </c>
      <c r="F380" s="2"/>
    </row>
    <row x14ac:dyDescent="0.25" r="381" customHeight="1" ht="17.25">
      <c r="A381" s="8">
        <v>45966</v>
      </c>
      <c r="B381" s="9" t="s">
        <v>347</v>
      </c>
      <c r="C381" s="6">
        <v>23</v>
      </c>
      <c r="D381" s="4"/>
      <c r="E381" s="6">
        <f>E380+C381-D381</f>
      </c>
      <c r="F381" s="2"/>
    </row>
    <row x14ac:dyDescent="0.25" r="382" customHeight="1" ht="17.25">
      <c r="A382" s="8">
        <v>45966</v>
      </c>
      <c r="B382" s="9" t="s">
        <v>3</v>
      </c>
      <c r="C382" s="6">
        <v>13</v>
      </c>
      <c r="D382" s="4"/>
      <c r="E382" s="6">
        <f>E381+C382-D382</f>
      </c>
      <c r="F382" s="2"/>
    </row>
    <row x14ac:dyDescent="0.25" r="383" customHeight="1" ht="17.25">
      <c r="A383" s="7">
        <v>45967</v>
      </c>
      <c r="B383" s="9" t="s">
        <v>484</v>
      </c>
      <c r="C383" s="6">
        <v>7</v>
      </c>
      <c r="D383" s="4"/>
      <c r="E383" s="6">
        <f>E382+C383-D383</f>
      </c>
      <c r="F383" s="2"/>
    </row>
    <row x14ac:dyDescent="0.25" r="384" customHeight="1" ht="17.25">
      <c r="A384" s="8">
        <v>45967</v>
      </c>
      <c r="B384" s="9" t="s">
        <v>283</v>
      </c>
      <c r="C384" s="6">
        <v>2</v>
      </c>
      <c r="D384" s="4"/>
      <c r="E384" s="6">
        <f>E383+C384-D384</f>
      </c>
      <c r="F384" s="2"/>
    </row>
    <row x14ac:dyDescent="0.25" r="385" customHeight="1" ht="17.25">
      <c r="A385" s="7">
        <v>45968</v>
      </c>
      <c r="B385" s="9" t="s">
        <v>533</v>
      </c>
      <c r="C385" s="3"/>
      <c r="D385" s="6">
        <v>24</v>
      </c>
      <c r="E385" s="6">
        <f>E384+C385-D385</f>
      </c>
      <c r="F385" s="2"/>
    </row>
    <row x14ac:dyDescent="0.25" r="386" customHeight="1" ht="17.25">
      <c r="A386" s="7">
        <v>45968</v>
      </c>
      <c r="B386" s="9" t="s">
        <v>3</v>
      </c>
      <c r="C386" s="6">
        <v>2</v>
      </c>
      <c r="D386" s="4"/>
      <c r="E386" s="6">
        <f>E385+C386-D386</f>
      </c>
      <c r="F386" s="2"/>
    </row>
    <row x14ac:dyDescent="0.25" r="387" customHeight="1" ht="17.25">
      <c r="A387" s="7">
        <v>45971</v>
      </c>
      <c r="B387" s="9" t="s">
        <v>391</v>
      </c>
      <c r="C387" s="6">
        <v>60</v>
      </c>
      <c r="D387" s="4"/>
      <c r="E387" s="6">
        <f>E386+C387-D387</f>
      </c>
      <c r="F387" s="2"/>
    </row>
    <row x14ac:dyDescent="0.25" r="388" customHeight="1" ht="17.25">
      <c r="A388" s="7">
        <v>45971</v>
      </c>
      <c r="B388" s="9" t="s">
        <v>141</v>
      </c>
      <c r="C388" s="6">
        <v>1</v>
      </c>
      <c r="D388" s="4"/>
      <c r="E388" s="6">
        <f>E387+C388-D388</f>
      </c>
      <c r="F388" s="2"/>
    </row>
    <row x14ac:dyDescent="0.25" r="389" customHeight="1" ht="17.25">
      <c r="A389" s="8">
        <v>45973</v>
      </c>
      <c r="B389" s="9" t="s">
        <v>234</v>
      </c>
      <c r="C389" s="6">
        <v>10</v>
      </c>
      <c r="D389" s="4"/>
      <c r="E389" s="6">
        <f>E388+C389-D389</f>
      </c>
      <c r="F389" s="2"/>
    </row>
    <row x14ac:dyDescent="0.25" r="390" customHeight="1" ht="17.25">
      <c r="A390" s="7">
        <v>45975</v>
      </c>
      <c r="B390" s="9" t="s">
        <v>391</v>
      </c>
      <c r="C390" s="6">
        <v>25</v>
      </c>
      <c r="D390" s="4"/>
      <c r="E390" s="6">
        <f>E389+C390-D390</f>
      </c>
      <c r="F390" s="2"/>
    </row>
    <row x14ac:dyDescent="0.25" r="391" customHeight="1" ht="17.25">
      <c r="A391" s="8">
        <v>45975</v>
      </c>
      <c r="B391" s="9" t="s">
        <v>141</v>
      </c>
      <c r="C391" s="6">
        <v>2</v>
      </c>
      <c r="D391" s="4"/>
      <c r="E391" s="6">
        <f>E390+C391-D391</f>
      </c>
      <c r="F391" s="2"/>
    </row>
    <row x14ac:dyDescent="0.25" r="392" customHeight="1" ht="17.25">
      <c r="A392" s="7">
        <v>45975</v>
      </c>
      <c r="B392" s="9" t="s">
        <v>100</v>
      </c>
      <c r="C392" s="6">
        <v>23</v>
      </c>
      <c r="D392" s="4"/>
      <c r="E392" s="6">
        <f>E391+C392-D392</f>
      </c>
      <c r="F392" s="2"/>
    </row>
    <row x14ac:dyDescent="0.25" r="393" customHeight="1" ht="17.25">
      <c r="A393" s="8">
        <v>45978</v>
      </c>
      <c r="B393" s="9" t="s">
        <v>320</v>
      </c>
      <c r="C393" s="6">
        <v>7</v>
      </c>
      <c r="D393" s="4"/>
      <c r="E393" s="6">
        <f>E392+C393-D393</f>
      </c>
      <c r="F393" s="2"/>
    </row>
    <row x14ac:dyDescent="0.25" r="394" customHeight="1" ht="17.25">
      <c r="A394" s="8">
        <v>45979</v>
      </c>
      <c r="B394" s="9" t="s">
        <v>54</v>
      </c>
      <c r="C394" s="3"/>
      <c r="D394" s="6">
        <v>40</v>
      </c>
      <c r="E394" s="6">
        <f>E393+C394-D394</f>
      </c>
      <c r="F394" s="2"/>
    </row>
    <row x14ac:dyDescent="0.25" r="395" customHeight="1" ht="17.25">
      <c r="A395" s="8">
        <v>45979</v>
      </c>
      <c r="B395" s="9" t="s">
        <v>182</v>
      </c>
      <c r="C395" s="6">
        <v>4</v>
      </c>
      <c r="D395" s="4"/>
      <c r="E395" s="6">
        <f>E394+C395-D395</f>
      </c>
      <c r="F395" s="2"/>
    </row>
    <row x14ac:dyDescent="0.25" r="396" customHeight="1" ht="17.25">
      <c r="A396" s="8">
        <v>45979</v>
      </c>
      <c r="B396" s="9" t="s">
        <v>321</v>
      </c>
      <c r="C396" s="6">
        <v>14</v>
      </c>
      <c r="D396" s="4"/>
      <c r="E396" s="6">
        <f>E395+C396-D396</f>
      </c>
      <c r="F396" s="2"/>
    </row>
    <row x14ac:dyDescent="0.25" r="397" customHeight="1" ht="17.25">
      <c r="A397" s="7">
        <v>45981</v>
      </c>
      <c r="B397" s="9" t="s">
        <v>291</v>
      </c>
      <c r="C397" s="6">
        <v>13</v>
      </c>
      <c r="D397" s="4"/>
      <c r="E397" s="6">
        <f>E396+C397-D397</f>
      </c>
      <c r="F397" s="2"/>
    </row>
    <row x14ac:dyDescent="0.25" r="398" customHeight="1" ht="17.25">
      <c r="A398" s="8">
        <v>45981</v>
      </c>
      <c r="B398" s="9" t="s">
        <v>141</v>
      </c>
      <c r="C398" s="6">
        <v>1</v>
      </c>
      <c r="D398" s="4"/>
      <c r="E398" s="6">
        <f>E397+C398-D398</f>
      </c>
      <c r="F398" s="2"/>
    </row>
    <row x14ac:dyDescent="0.25" r="399" customHeight="1" ht="17.25">
      <c r="A399" s="7">
        <v>45983</v>
      </c>
      <c r="B399" s="9" t="s">
        <v>34</v>
      </c>
      <c r="C399" s="6">
        <v>36</v>
      </c>
      <c r="D399" s="4"/>
      <c r="E399" s="6">
        <f>E398+C399-D399</f>
      </c>
      <c r="F399" s="2"/>
    </row>
    <row x14ac:dyDescent="0.25" r="400" customHeight="1" ht="17.25">
      <c r="A400" s="8">
        <v>45983</v>
      </c>
      <c r="B400" s="9" t="s">
        <v>583</v>
      </c>
      <c r="C400" s="6">
        <v>6</v>
      </c>
      <c r="D400" s="4"/>
      <c r="E400" s="6">
        <f>E399+C400-D400</f>
      </c>
      <c r="F400" s="2"/>
    </row>
    <row x14ac:dyDescent="0.25" r="401" customHeight="1" ht="17.25">
      <c r="A401" s="7">
        <v>45983</v>
      </c>
      <c r="B401" s="9" t="s">
        <v>34</v>
      </c>
      <c r="C401" s="6">
        <v>40</v>
      </c>
      <c r="D401" s="4"/>
      <c r="E401" s="6">
        <f>E400+C401-D401</f>
      </c>
      <c r="F401" s="2"/>
    </row>
    <row x14ac:dyDescent="0.25" r="402" customHeight="1" ht="17.25">
      <c r="A402" s="7">
        <v>45985</v>
      </c>
      <c r="B402" s="9" t="s">
        <v>265</v>
      </c>
      <c r="C402" s="6">
        <v>7</v>
      </c>
      <c r="D402" s="4"/>
      <c r="E402" s="6">
        <f>E401+C402-D402</f>
      </c>
      <c r="F402" s="2"/>
    </row>
    <row x14ac:dyDescent="0.25" r="403" customHeight="1" ht="17.25">
      <c r="A403" s="8">
        <v>45985</v>
      </c>
      <c r="B403" s="9" t="s">
        <v>182</v>
      </c>
      <c r="C403" s="6">
        <v>17</v>
      </c>
      <c r="D403" s="4"/>
      <c r="E403" s="6">
        <f>E402+C403-D403</f>
      </c>
      <c r="F403" s="2"/>
    </row>
    <row x14ac:dyDescent="0.25" r="404" customHeight="1" ht="17.25">
      <c r="A404" s="7">
        <v>45986</v>
      </c>
      <c r="B404" s="9" t="s">
        <v>124</v>
      </c>
      <c r="C404" s="3"/>
      <c r="D404" s="6">
        <v>122</v>
      </c>
      <c r="E404" s="6">
        <f>E403+C404-D404</f>
      </c>
      <c r="F404" s="2"/>
    </row>
    <row x14ac:dyDescent="0.25" r="405" customHeight="1" ht="17.25">
      <c r="A405" s="7">
        <v>45986</v>
      </c>
      <c r="B405" s="9" t="s">
        <v>554</v>
      </c>
      <c r="C405" s="6">
        <v>84</v>
      </c>
      <c r="D405" s="4"/>
      <c r="E405" s="6">
        <f>E404+C405-D405</f>
      </c>
      <c r="F405" s="2"/>
    </row>
    <row x14ac:dyDescent="0.25" r="406" customHeight="1" ht="17.25">
      <c r="A406" s="7">
        <v>45986</v>
      </c>
      <c r="B406" s="9" t="s">
        <v>391</v>
      </c>
      <c r="C406" s="6">
        <v>15</v>
      </c>
      <c r="D406" s="4"/>
      <c r="E406" s="6">
        <f>E405+C406-D406</f>
      </c>
      <c r="F406" s="2"/>
    </row>
    <row x14ac:dyDescent="0.25" r="407" customHeight="1" ht="17.25">
      <c r="A407" s="7">
        <v>45987</v>
      </c>
      <c r="B407" s="9" t="s">
        <v>487</v>
      </c>
      <c r="C407" s="6">
        <v>41</v>
      </c>
      <c r="D407" s="4"/>
      <c r="E407" s="6">
        <f>E406+C407-D407</f>
      </c>
      <c r="F407" s="2"/>
    </row>
    <row x14ac:dyDescent="0.25" r="408" customHeight="1" ht="17.25">
      <c r="A408" s="8">
        <v>45990</v>
      </c>
      <c r="B408" s="9" t="s">
        <v>53</v>
      </c>
      <c r="C408" s="3"/>
      <c r="D408" s="6">
        <v>30</v>
      </c>
      <c r="E408" s="6">
        <f>E407+C408-D408</f>
      </c>
      <c r="F408" s="2"/>
    </row>
    <row x14ac:dyDescent="0.25" r="409" customHeight="1" ht="17.25">
      <c r="A409" s="7">
        <v>45992</v>
      </c>
      <c r="B409" s="9" t="s">
        <v>491</v>
      </c>
      <c r="C409" s="6">
        <v>75</v>
      </c>
      <c r="D409" s="4"/>
      <c r="E409" s="6">
        <f>E408+C409-D409</f>
      </c>
      <c r="F409" s="2"/>
    </row>
    <row x14ac:dyDescent="0.25" r="410" customHeight="1" ht="17.25">
      <c r="A410" s="7">
        <v>45992</v>
      </c>
      <c r="B410" s="9" t="s">
        <v>184</v>
      </c>
      <c r="C410" s="6">
        <v>7</v>
      </c>
      <c r="D410" s="4"/>
      <c r="E410" s="6">
        <f>E409+C410-D410</f>
      </c>
      <c r="F410" s="2"/>
    </row>
    <row x14ac:dyDescent="0.25" r="411" customHeight="1" ht="17.25">
      <c r="A411" s="7">
        <v>45993</v>
      </c>
      <c r="B411" s="9" t="s">
        <v>26</v>
      </c>
      <c r="C411" s="6">
        <v>60</v>
      </c>
      <c r="D411" s="4"/>
      <c r="E411" s="6">
        <f>E410+C411-D411</f>
      </c>
      <c r="F411" s="2"/>
    </row>
    <row x14ac:dyDescent="0.25" r="412" customHeight="1" ht="17.25">
      <c r="A412" s="8">
        <v>45994</v>
      </c>
      <c r="B412" s="9" t="s">
        <v>34</v>
      </c>
      <c r="C412" s="6">
        <v>35</v>
      </c>
      <c r="D412" s="4"/>
      <c r="E412" s="6">
        <f>E411+C412-D412</f>
      </c>
      <c r="F412" s="2"/>
    </row>
    <row x14ac:dyDescent="0.25" r="413" customHeight="1" ht="17.25">
      <c r="A413" s="7">
        <v>45995</v>
      </c>
      <c r="B413" s="9" t="s">
        <v>34</v>
      </c>
      <c r="C413" s="6">
        <v>8</v>
      </c>
      <c r="D413" s="4"/>
      <c r="E413" s="6">
        <f>E412+C413-D413</f>
      </c>
      <c r="F413" s="2"/>
    </row>
    <row x14ac:dyDescent="0.25" r="414" customHeight="1" ht="17.25">
      <c r="A414" s="7">
        <v>45995</v>
      </c>
      <c r="B414" s="9" t="s">
        <v>310</v>
      </c>
      <c r="C414" s="6">
        <v>16</v>
      </c>
      <c r="D414" s="4"/>
      <c r="E414" s="6">
        <f>E413+C414-D414</f>
      </c>
      <c r="F414" s="2"/>
    </row>
    <row x14ac:dyDescent="0.25" r="415" customHeight="1" ht="17.25">
      <c r="A415" s="7">
        <v>45999</v>
      </c>
      <c r="B415" s="9" t="s">
        <v>56</v>
      </c>
      <c r="C415" s="3"/>
      <c r="D415" s="6">
        <v>26</v>
      </c>
      <c r="E415" s="6">
        <f>E414+C415-D415</f>
      </c>
      <c r="F415" s="2"/>
    </row>
    <row x14ac:dyDescent="0.25" r="416" customHeight="1" ht="17.25">
      <c r="A416" s="8">
        <v>46000</v>
      </c>
      <c r="B416" s="9" t="s">
        <v>53</v>
      </c>
      <c r="C416" s="3"/>
      <c r="D416" s="6">
        <v>20</v>
      </c>
      <c r="E416" s="6">
        <f>E415+C416-D416</f>
      </c>
      <c r="F416" s="2"/>
    </row>
    <row x14ac:dyDescent="0.25" r="417" customHeight="1" ht="17.25">
      <c r="A417" s="8">
        <v>46001</v>
      </c>
      <c r="B417" s="9" t="s">
        <v>321</v>
      </c>
      <c r="C417" s="6">
        <v>25</v>
      </c>
      <c r="D417" s="4"/>
      <c r="E417" s="6">
        <f>E416+C417-D417</f>
      </c>
      <c r="F417" s="2"/>
    </row>
    <row x14ac:dyDescent="0.25" r="418" customHeight="1" ht="17.25">
      <c r="A418" s="7">
        <v>46002</v>
      </c>
      <c r="B418" s="9" t="s">
        <v>512</v>
      </c>
      <c r="C418" s="3"/>
      <c r="D418" s="6">
        <v>50</v>
      </c>
      <c r="E418" s="6">
        <f>E417+C418-D418</f>
      </c>
      <c r="F418" s="2"/>
    </row>
    <row x14ac:dyDescent="0.25" r="419" customHeight="1" ht="17.25">
      <c r="A419" s="7">
        <v>46002</v>
      </c>
      <c r="B419" s="9" t="s">
        <v>42</v>
      </c>
      <c r="C419" s="3"/>
      <c r="D419" s="6">
        <v>50</v>
      </c>
      <c r="E419" s="6">
        <f>E418+C419-D419</f>
      </c>
      <c r="F419" s="2"/>
    </row>
    <row x14ac:dyDescent="0.25" r="420" customHeight="1" ht="17.25">
      <c r="A420" s="7">
        <v>46002</v>
      </c>
      <c r="B420" s="9" t="s">
        <v>4</v>
      </c>
      <c r="C420" s="6">
        <v>83</v>
      </c>
      <c r="D420" s="4"/>
      <c r="E420" s="6">
        <f>E419+C420-D420</f>
      </c>
      <c r="F420" s="2"/>
    </row>
    <row x14ac:dyDescent="0.25" r="421" customHeight="1" ht="17.25">
      <c r="A421" s="7">
        <v>46004</v>
      </c>
      <c r="B421" s="9" t="s">
        <v>297</v>
      </c>
      <c r="C421" s="6">
        <v>17</v>
      </c>
      <c r="D421" s="4"/>
      <c r="E421" s="6">
        <f>E420+C421-D421</f>
      </c>
      <c r="F421" s="2"/>
    </row>
    <row x14ac:dyDescent="0.25" r="422" customHeight="1" ht="17.25">
      <c r="A422" s="7">
        <v>46006</v>
      </c>
      <c r="B422" s="9" t="s">
        <v>53</v>
      </c>
      <c r="C422" s="3"/>
      <c r="D422" s="6">
        <v>50</v>
      </c>
      <c r="E422" s="6">
        <f>E421+C422-D422</f>
      </c>
      <c r="F422" s="2"/>
    </row>
    <row x14ac:dyDescent="0.25" r="423" customHeight="1" ht="17.25">
      <c r="A423" s="7">
        <v>46007</v>
      </c>
      <c r="B423" s="9" t="s">
        <v>609</v>
      </c>
      <c r="C423" s="3"/>
      <c r="D423" s="6">
        <v>21</v>
      </c>
      <c r="E423" s="4"/>
      <c r="F423" s="2"/>
    </row>
    <row x14ac:dyDescent="0.25" r="424" customHeight="1" ht="17.25">
      <c r="A424" s="7">
        <v>46007</v>
      </c>
      <c r="B424" s="9" t="s">
        <v>298</v>
      </c>
      <c r="C424" s="6">
        <v>25</v>
      </c>
      <c r="D424" s="4"/>
      <c r="E424" s="4"/>
      <c r="F424" s="2"/>
    </row>
    <row x14ac:dyDescent="0.25" r="425" customHeight="1" ht="17.25">
      <c r="A425" s="8">
        <v>46007</v>
      </c>
      <c r="B425" s="9" t="s">
        <v>284</v>
      </c>
      <c r="C425" s="6">
        <v>12</v>
      </c>
      <c r="D425" s="4"/>
      <c r="E425" s="4"/>
      <c r="F42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1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0.1478571428571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605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14">
        <v>1304</v>
      </c>
    </row>
    <row x14ac:dyDescent="0.25" r="4" customHeight="1" ht="17.25">
      <c r="A4" s="8">
        <v>45659</v>
      </c>
      <c r="B4" s="9" t="s">
        <v>269</v>
      </c>
      <c r="C4" s="6">
        <v>29</v>
      </c>
      <c r="D4" s="4"/>
      <c r="E4" s="6">
        <f>E3+C4-D4</f>
      </c>
    </row>
    <row x14ac:dyDescent="0.25" r="5" customHeight="1" ht="17.25">
      <c r="A5" s="8">
        <v>45660</v>
      </c>
      <c r="B5" s="9" t="s">
        <v>269</v>
      </c>
      <c r="C5" s="6">
        <v>15</v>
      </c>
      <c r="D5" s="4"/>
      <c r="E5" s="6">
        <f>E4+C5-D5</f>
      </c>
    </row>
    <row x14ac:dyDescent="0.25" r="6" customHeight="1" ht="17.25">
      <c r="A6" s="8">
        <v>45663</v>
      </c>
      <c r="B6" s="9" t="s">
        <v>269</v>
      </c>
      <c r="C6" s="6">
        <v>16</v>
      </c>
      <c r="D6" s="4"/>
      <c r="E6" s="6">
        <f>E5+C6-D6</f>
      </c>
    </row>
    <row x14ac:dyDescent="0.25" r="7" customHeight="1" ht="17.25">
      <c r="A7" s="8">
        <v>45664</v>
      </c>
      <c r="B7" s="9" t="s">
        <v>269</v>
      </c>
      <c r="C7" s="6">
        <v>28</v>
      </c>
      <c r="D7" s="4"/>
      <c r="E7" s="6">
        <f>E6+C7-D7</f>
      </c>
    </row>
    <row x14ac:dyDescent="0.25" r="8" customHeight="1" ht="17.25">
      <c r="A8" s="7">
        <v>45671</v>
      </c>
      <c r="B8" s="9" t="s">
        <v>269</v>
      </c>
      <c r="C8" s="6">
        <v>49</v>
      </c>
      <c r="D8" s="4"/>
      <c r="E8" s="6">
        <f>E7+C8-D8</f>
      </c>
    </row>
    <row x14ac:dyDescent="0.25" r="9" customHeight="1" ht="17.25">
      <c r="A9" s="8">
        <v>45673</v>
      </c>
      <c r="B9" s="9" t="s">
        <v>269</v>
      </c>
      <c r="C9" s="6">
        <v>9</v>
      </c>
      <c r="D9" s="4"/>
      <c r="E9" s="6">
        <f>E8+C9-D9</f>
      </c>
    </row>
    <row x14ac:dyDescent="0.25" r="10" customHeight="1" ht="17.25">
      <c r="A10" s="8">
        <v>45680</v>
      </c>
      <c r="B10" s="9" t="s">
        <v>269</v>
      </c>
      <c r="C10" s="6">
        <v>8</v>
      </c>
      <c r="D10" s="4"/>
      <c r="E10" s="6">
        <f>E9+C10-D10</f>
      </c>
    </row>
    <row x14ac:dyDescent="0.25" r="11" customHeight="1" ht="17.25">
      <c r="A11" s="8">
        <v>45689</v>
      </c>
      <c r="B11" s="9" t="s">
        <v>269</v>
      </c>
      <c r="C11" s="6">
        <v>5</v>
      </c>
      <c r="D11" s="4"/>
      <c r="E11" s="6">
        <f>E10+C11-D11</f>
      </c>
    </row>
    <row x14ac:dyDescent="0.25" r="12" customHeight="1" ht="17.25">
      <c r="A12" s="8">
        <v>45698</v>
      </c>
      <c r="B12" s="9" t="s">
        <v>269</v>
      </c>
      <c r="C12" s="6">
        <v>33</v>
      </c>
      <c r="D12" s="4"/>
      <c r="E12" s="6">
        <f>E11+C12-D12</f>
      </c>
    </row>
    <row x14ac:dyDescent="0.25" r="13" customHeight="1" ht="17.25">
      <c r="A13" s="8">
        <v>45706</v>
      </c>
      <c r="B13" s="9" t="s">
        <v>269</v>
      </c>
      <c r="C13" s="6">
        <v>27</v>
      </c>
      <c r="D13" s="4"/>
      <c r="E13" s="6">
        <f>E12+C13-D13</f>
      </c>
    </row>
    <row x14ac:dyDescent="0.25" r="14" customHeight="1" ht="17.25">
      <c r="A14" s="7">
        <v>45717</v>
      </c>
      <c r="B14" s="9" t="s">
        <v>269</v>
      </c>
      <c r="C14" s="6">
        <v>13</v>
      </c>
      <c r="D14" s="4"/>
      <c r="E14" s="6">
        <f>E13+C14-D14</f>
      </c>
    </row>
    <row x14ac:dyDescent="0.25" r="15" customHeight="1" ht="17.25">
      <c r="A15" s="8">
        <v>45719</v>
      </c>
      <c r="B15" s="9" t="s">
        <v>141</v>
      </c>
      <c r="C15" s="4"/>
      <c r="D15" s="6">
        <v>10</v>
      </c>
      <c r="E15" s="6">
        <f>E14+C15-D15</f>
      </c>
    </row>
    <row x14ac:dyDescent="0.25" r="16" customHeight="1" ht="17.25">
      <c r="A16" s="8">
        <v>45723</v>
      </c>
      <c r="B16" s="9" t="s">
        <v>269</v>
      </c>
      <c r="C16" s="4"/>
      <c r="D16" s="6">
        <v>36</v>
      </c>
      <c r="E16" s="6">
        <f>E15+C16-D16</f>
      </c>
    </row>
    <row x14ac:dyDescent="0.25" r="17" customHeight="1" ht="17.25">
      <c r="A17" s="8">
        <v>45724</v>
      </c>
      <c r="B17" s="9" t="s">
        <v>141</v>
      </c>
      <c r="C17" s="4"/>
      <c r="D17" s="6">
        <v>20</v>
      </c>
      <c r="E17" s="6">
        <f>E16+C17-D17</f>
      </c>
    </row>
    <row x14ac:dyDescent="0.25" r="18" customHeight="1" ht="17.25">
      <c r="A18" s="8">
        <v>45726</v>
      </c>
      <c r="B18" s="9" t="s">
        <v>141</v>
      </c>
      <c r="C18" s="4"/>
      <c r="D18" s="6">
        <v>20</v>
      </c>
      <c r="E18" s="6">
        <f>E17+C18-D18</f>
      </c>
    </row>
    <row x14ac:dyDescent="0.25" r="19" customHeight="1" ht="17.25">
      <c r="A19" s="8">
        <v>45729</v>
      </c>
      <c r="B19" s="9" t="s">
        <v>141</v>
      </c>
      <c r="C19" s="4"/>
      <c r="D19" s="6">
        <v>150</v>
      </c>
      <c r="E19" s="6">
        <f>E18+C19-D19</f>
      </c>
    </row>
    <row x14ac:dyDescent="0.25" r="20" customHeight="1" ht="17.25">
      <c r="A20" s="7">
        <v>45730</v>
      </c>
      <c r="B20" s="9" t="s">
        <v>141</v>
      </c>
      <c r="C20" s="4"/>
      <c r="D20" s="6">
        <v>50</v>
      </c>
      <c r="E20" s="6">
        <f>E19+C20-D20</f>
      </c>
    </row>
    <row x14ac:dyDescent="0.25" r="21" customHeight="1" ht="17.25">
      <c r="A21" s="7">
        <v>45730</v>
      </c>
      <c r="B21" s="9" t="s">
        <v>141</v>
      </c>
      <c r="C21" s="6">
        <v>24</v>
      </c>
      <c r="D21" s="4"/>
      <c r="E21" s="6">
        <f>E20+C21-D21</f>
      </c>
    </row>
    <row x14ac:dyDescent="0.25" r="22" customHeight="1" ht="17.25">
      <c r="A22" s="8">
        <v>45737</v>
      </c>
      <c r="B22" s="9" t="s">
        <v>141</v>
      </c>
      <c r="C22" s="6">
        <v>125</v>
      </c>
      <c r="D22" s="4"/>
      <c r="E22" s="6">
        <f>E21+C22-D22</f>
      </c>
    </row>
    <row x14ac:dyDescent="0.25" r="23" customHeight="1" ht="17.25">
      <c r="A23" s="7">
        <v>45755</v>
      </c>
      <c r="B23" s="9" t="s">
        <v>3</v>
      </c>
      <c r="C23" s="4"/>
      <c r="D23" s="6">
        <v>700</v>
      </c>
      <c r="E23" s="6">
        <f>E22+C23-D23</f>
      </c>
    </row>
    <row x14ac:dyDescent="0.25" r="24" customHeight="1" ht="17.25">
      <c r="A24" s="7">
        <v>45779</v>
      </c>
      <c r="B24" s="9" t="s">
        <v>241</v>
      </c>
      <c r="C24" s="6">
        <v>20</v>
      </c>
      <c r="D24" s="4"/>
      <c r="E24" s="6">
        <f>E23+C24-D24</f>
      </c>
    </row>
    <row x14ac:dyDescent="0.25" r="25" customHeight="1" ht="17.25">
      <c r="A25" s="7">
        <v>45793</v>
      </c>
      <c r="B25" s="9" t="s">
        <v>3</v>
      </c>
      <c r="C25" s="6">
        <v>273</v>
      </c>
      <c r="D25" s="4"/>
      <c r="E25" s="6">
        <f>E24+C25-D25</f>
      </c>
    </row>
    <row x14ac:dyDescent="0.25" r="26" customHeight="1" ht="17.25">
      <c r="A26" s="7">
        <v>45793</v>
      </c>
      <c r="B26" s="9" t="s">
        <v>3</v>
      </c>
      <c r="C26" s="6">
        <v>92</v>
      </c>
      <c r="D26" s="4"/>
      <c r="E26" s="6">
        <f>E25+C26-D26</f>
      </c>
    </row>
    <row x14ac:dyDescent="0.25" r="27" customHeight="1" ht="17.25">
      <c r="A27" s="7">
        <v>45799</v>
      </c>
      <c r="B27" s="9" t="s">
        <v>3</v>
      </c>
      <c r="C27" s="6">
        <v>131</v>
      </c>
      <c r="D27" s="4"/>
      <c r="E27" s="6">
        <f>E26+C27-D27</f>
      </c>
    </row>
    <row x14ac:dyDescent="0.25" r="28" customHeight="1" ht="17.25">
      <c r="A28" s="7">
        <v>45811</v>
      </c>
      <c r="B28" s="9" t="s">
        <v>3</v>
      </c>
      <c r="C28" s="6">
        <v>30</v>
      </c>
      <c r="D28" s="4"/>
      <c r="E28" s="6">
        <f>E27+C28-D28</f>
      </c>
    </row>
    <row x14ac:dyDescent="0.25" r="29" customHeight="1" ht="17.25">
      <c r="A29" s="7">
        <v>45812</v>
      </c>
      <c r="B29" s="9" t="s">
        <v>3</v>
      </c>
      <c r="C29" s="6">
        <v>12</v>
      </c>
      <c r="D29" s="4"/>
      <c r="E29" s="6">
        <f>E28+C29-D29</f>
      </c>
    </row>
    <row x14ac:dyDescent="0.25" r="30" customHeight="1" ht="17.25">
      <c r="A30" s="7">
        <v>45821</v>
      </c>
      <c r="B30" s="9" t="s">
        <v>3</v>
      </c>
      <c r="C30" s="6">
        <v>54</v>
      </c>
      <c r="D30" s="4"/>
      <c r="E30" s="6">
        <f>E29+C30-D30</f>
      </c>
    </row>
    <row x14ac:dyDescent="0.25" r="31" customHeight="1" ht="17.25">
      <c r="A31" s="7">
        <v>45827</v>
      </c>
      <c r="B31" s="9" t="s">
        <v>3</v>
      </c>
      <c r="C31" s="6">
        <v>68</v>
      </c>
      <c r="D31" s="4"/>
      <c r="E31" s="6">
        <f>E30+C31-D31</f>
      </c>
    </row>
    <row x14ac:dyDescent="0.25" r="32" customHeight="1" ht="17.25">
      <c r="A32" s="8">
        <v>45831</v>
      </c>
      <c r="B32" s="9" t="s">
        <v>141</v>
      </c>
      <c r="C32" s="6">
        <v>13</v>
      </c>
      <c r="D32" s="4"/>
      <c r="E32" s="6">
        <f>E31+C32-D32</f>
      </c>
    </row>
    <row x14ac:dyDescent="0.25" r="33" customHeight="1" ht="17.25">
      <c r="A33" s="7">
        <v>45839</v>
      </c>
      <c r="B33" s="9" t="s">
        <v>3</v>
      </c>
      <c r="C33" s="6">
        <v>14</v>
      </c>
      <c r="D33" s="4"/>
      <c r="E33" s="6">
        <f>E32+C33-D33</f>
      </c>
    </row>
    <row x14ac:dyDescent="0.25" r="34" customHeight="1" ht="17.25">
      <c r="A34" s="7">
        <v>45884</v>
      </c>
      <c r="B34" s="9" t="s">
        <v>241</v>
      </c>
      <c r="C34" s="6">
        <v>16</v>
      </c>
      <c r="D34" s="4"/>
      <c r="E34" s="6">
        <f>E33+C34-D34</f>
      </c>
    </row>
    <row x14ac:dyDescent="0.25" r="35" customHeight="1" ht="17.25">
      <c r="A35" s="7">
        <v>45884</v>
      </c>
      <c r="B35" s="9" t="s">
        <v>241</v>
      </c>
      <c r="C35" s="6">
        <v>1</v>
      </c>
      <c r="D35" s="4"/>
      <c r="E35" s="6">
        <f>E34+C35-D35</f>
      </c>
    </row>
    <row x14ac:dyDescent="0.25" r="36" customHeight="1" ht="17.25">
      <c r="A36" s="7">
        <v>45888</v>
      </c>
      <c r="B36" s="9" t="s">
        <v>141</v>
      </c>
      <c r="C36" s="6">
        <v>6</v>
      </c>
      <c r="D36" s="4"/>
      <c r="E36" s="6">
        <f>E35+C36-D36</f>
      </c>
    </row>
    <row x14ac:dyDescent="0.25" r="37" customHeight="1" ht="17.25">
      <c r="A37" s="8">
        <v>45915</v>
      </c>
      <c r="B37" s="9" t="s">
        <v>141</v>
      </c>
      <c r="C37" s="6">
        <v>7</v>
      </c>
      <c r="D37" s="4"/>
      <c r="E37" s="6">
        <f>E36+C37-D37</f>
      </c>
    </row>
    <row x14ac:dyDescent="0.25" r="38" customHeight="1" ht="17.25">
      <c r="A38" s="8">
        <v>45917</v>
      </c>
      <c r="B38" s="9" t="s">
        <v>141</v>
      </c>
      <c r="C38" s="6">
        <v>2</v>
      </c>
      <c r="D38" s="4"/>
      <c r="E38" s="6">
        <f>E37+C38-D38</f>
      </c>
    </row>
    <row x14ac:dyDescent="0.25" r="39" customHeight="1" ht="17.25">
      <c r="A39" s="8">
        <v>45929</v>
      </c>
      <c r="B39" s="9" t="s">
        <v>141</v>
      </c>
      <c r="C39" s="6">
        <v>5</v>
      </c>
      <c r="D39" s="4"/>
      <c r="E39" s="6">
        <f>E38+C39-D39</f>
      </c>
    </row>
    <row x14ac:dyDescent="0.25" r="40" customHeight="1" ht="17.25">
      <c r="A40" s="8">
        <v>45940</v>
      </c>
      <c r="B40" s="9" t="s">
        <v>141</v>
      </c>
      <c r="C40" s="6">
        <v>3</v>
      </c>
      <c r="D40" s="4"/>
      <c r="E40" s="6">
        <f>E39+C40-D40</f>
      </c>
    </row>
    <row x14ac:dyDescent="0.25" r="41" customHeight="1" ht="17.25">
      <c r="A41" s="8">
        <v>45946</v>
      </c>
      <c r="B41" s="9" t="s">
        <v>141</v>
      </c>
      <c r="C41" s="6">
        <v>6</v>
      </c>
      <c r="D41" s="4"/>
      <c r="E41" s="6">
        <f>E40+C41-D41</f>
      </c>
    </row>
    <row x14ac:dyDescent="0.25" r="42" customHeight="1" ht="17.25">
      <c r="A42" s="7">
        <v>45952</v>
      </c>
      <c r="B42" s="9" t="s">
        <v>141</v>
      </c>
      <c r="C42" s="6">
        <v>3</v>
      </c>
      <c r="D42" s="4"/>
      <c r="E42" s="6">
        <f>E41+C42-D42</f>
      </c>
    </row>
    <row x14ac:dyDescent="0.25" r="43" customHeight="1" ht="17.25">
      <c r="A43" s="7">
        <v>45954</v>
      </c>
      <c r="B43" s="9" t="s">
        <v>3</v>
      </c>
      <c r="C43" s="6">
        <v>4</v>
      </c>
      <c r="D43" s="4"/>
      <c r="E43" s="6">
        <f>E42+C43-D43</f>
      </c>
    </row>
    <row x14ac:dyDescent="0.25" r="44" customHeight="1" ht="17.25">
      <c r="A44" s="7">
        <v>45959</v>
      </c>
      <c r="B44" s="9" t="s">
        <v>3</v>
      </c>
      <c r="C44" s="6">
        <v>5</v>
      </c>
      <c r="D44" s="4"/>
      <c r="E44" s="6">
        <f>E43+C44-D44</f>
      </c>
    </row>
    <row x14ac:dyDescent="0.25" r="45" customHeight="1" ht="17.25">
      <c r="A45" s="8">
        <v>45960</v>
      </c>
      <c r="B45" s="9" t="s">
        <v>141</v>
      </c>
      <c r="C45" s="6">
        <v>4</v>
      </c>
      <c r="D45" s="4"/>
      <c r="E45" s="6">
        <f>E44+C45-D45</f>
      </c>
    </row>
    <row x14ac:dyDescent="0.25" r="46" customHeight="1" ht="17.25">
      <c r="A46" s="7">
        <v>45960</v>
      </c>
      <c r="B46" s="9" t="s">
        <v>3</v>
      </c>
      <c r="C46" s="6">
        <v>1</v>
      </c>
      <c r="D46" s="4"/>
      <c r="E46" s="6">
        <f>E45+C46-D46</f>
      </c>
    </row>
    <row x14ac:dyDescent="0.25" r="47" customHeight="1" ht="17.25">
      <c r="A47" s="7">
        <v>45971</v>
      </c>
      <c r="B47" s="9" t="s">
        <v>141</v>
      </c>
      <c r="C47" s="6">
        <v>14</v>
      </c>
      <c r="D47" s="4"/>
      <c r="E47" s="6">
        <f>E46+C47-D47</f>
      </c>
    </row>
    <row x14ac:dyDescent="0.25" r="48" customHeight="1" ht="17.25">
      <c r="A48" s="8">
        <v>45975</v>
      </c>
      <c r="B48" s="9" t="s">
        <v>141</v>
      </c>
      <c r="C48" s="6">
        <v>6</v>
      </c>
      <c r="D48" s="4"/>
      <c r="E48" s="6">
        <f>E47+C48-D48</f>
      </c>
    </row>
    <row x14ac:dyDescent="0.25" r="49" customHeight="1" ht="17.25">
      <c r="A49" s="8">
        <v>45981</v>
      </c>
      <c r="B49" s="9" t="s">
        <v>141</v>
      </c>
      <c r="C49" s="6">
        <v>10</v>
      </c>
      <c r="D49" s="4"/>
      <c r="E49" s="6">
        <f>E48+C49-D49</f>
      </c>
    </row>
    <row x14ac:dyDescent="0.25" r="50" customHeight="1" ht="17.25">
      <c r="A50" s="7">
        <v>45994</v>
      </c>
      <c r="B50" s="9" t="s">
        <v>3</v>
      </c>
      <c r="C50" s="6">
        <v>1</v>
      </c>
      <c r="D50" s="4"/>
      <c r="E50" s="6">
        <f>E49+C50-D50</f>
      </c>
    </row>
    <row x14ac:dyDescent="0.25" r="51" customHeight="1" ht="17.25">
      <c r="A51" s="1"/>
      <c r="B51" s="2"/>
      <c r="C51" s="4"/>
      <c r="D51" s="4"/>
      <c r="E51" s="6">
        <f>E50+C51-D51</f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62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4.29071428571429" customWidth="1" bestFit="1"/>
    <col min="3" max="3" style="13" width="9.147857142857141" customWidth="1" bestFit="1"/>
    <col min="4" max="4" style="13" width="11.005" customWidth="1" bestFit="1"/>
    <col min="5" max="5" style="12" width="12.005" customWidth="1" bestFit="1"/>
    <col min="6" max="6" style="11" width="12.43357142857143" customWidth="1" bestFit="1"/>
  </cols>
  <sheetData>
    <row x14ac:dyDescent="0.25" r="1" customHeight="1" ht="17.25">
      <c r="A1" s="1" t="s">
        <v>586</v>
      </c>
      <c r="B1" s="2"/>
      <c r="C1" s="4"/>
      <c r="D1" s="4"/>
      <c r="E1" s="3"/>
      <c r="F1" s="2"/>
    </row>
    <row x14ac:dyDescent="0.25" r="2" customHeight="1" ht="17.25">
      <c r="A2" s="1"/>
      <c r="B2" s="2"/>
      <c r="C2" s="4"/>
      <c r="D2" s="4"/>
      <c r="E2" s="3"/>
      <c r="F2" s="2"/>
    </row>
    <row x14ac:dyDescent="0.25" r="3" customHeight="1" ht="17.25">
      <c r="A3" s="5">
        <v>45658</v>
      </c>
      <c r="B3" s="2" t="s">
        <v>1</v>
      </c>
      <c r="C3" s="4"/>
      <c r="D3" s="4"/>
      <c r="E3" s="14">
        <v>6347</v>
      </c>
      <c r="F3" s="2" t="s">
        <v>587</v>
      </c>
    </row>
    <row x14ac:dyDescent="0.25" r="4" customHeight="1" ht="17.25">
      <c r="A4" s="7">
        <v>45659</v>
      </c>
      <c r="B4" s="2" t="s">
        <v>131</v>
      </c>
      <c r="C4" s="6">
        <v>38</v>
      </c>
      <c r="D4" s="4"/>
      <c r="E4" s="6">
        <f>E3+C4-D4</f>
      </c>
      <c r="F4" s="2"/>
    </row>
    <row x14ac:dyDescent="0.25" r="5" customHeight="1" ht="17.25">
      <c r="A5" s="7">
        <v>45659</v>
      </c>
      <c r="B5" s="2" t="s">
        <v>269</v>
      </c>
      <c r="C5" s="6">
        <v>112</v>
      </c>
      <c r="D5" s="4"/>
      <c r="E5" s="6">
        <f>E4+C5-D5</f>
      </c>
      <c r="F5" s="2"/>
    </row>
    <row x14ac:dyDescent="0.25" r="6" customHeight="1" ht="17.25">
      <c r="A6" s="8">
        <v>45660</v>
      </c>
      <c r="B6" s="9" t="s">
        <v>483</v>
      </c>
      <c r="C6" s="4"/>
      <c r="D6" s="6">
        <v>100</v>
      </c>
      <c r="E6" s="6">
        <f>E5+C6-D6</f>
      </c>
      <c r="F6" s="2"/>
    </row>
    <row x14ac:dyDescent="0.25" r="7" customHeight="1" ht="17.25">
      <c r="A7" s="8">
        <v>45660</v>
      </c>
      <c r="B7" s="9" t="s">
        <v>375</v>
      </c>
      <c r="C7" s="6">
        <v>55</v>
      </c>
      <c r="D7" s="4"/>
      <c r="E7" s="6">
        <f>E6+C7-D7</f>
      </c>
      <c r="F7" s="2"/>
    </row>
    <row x14ac:dyDescent="0.25" r="8" customHeight="1" ht="17.25">
      <c r="A8" s="8">
        <v>45660</v>
      </c>
      <c r="B8" s="9" t="s">
        <v>269</v>
      </c>
      <c r="C8" s="6">
        <v>150</v>
      </c>
      <c r="D8" s="4"/>
      <c r="E8" s="6">
        <f>E7+C8-D8</f>
      </c>
      <c r="F8" s="2"/>
    </row>
    <row x14ac:dyDescent="0.25" r="9" customHeight="1" ht="17.25">
      <c r="A9" s="8">
        <v>45660</v>
      </c>
      <c r="B9" s="9" t="s">
        <v>410</v>
      </c>
      <c r="C9" s="6">
        <v>29</v>
      </c>
      <c r="D9" s="4"/>
      <c r="E9" s="6">
        <f>E8+C9-D9</f>
      </c>
      <c r="F9" s="2"/>
    </row>
    <row x14ac:dyDescent="0.25" r="10" customHeight="1" ht="17.25">
      <c r="A10" s="8">
        <v>45661</v>
      </c>
      <c r="B10" s="9" t="s">
        <v>484</v>
      </c>
      <c r="C10" s="4"/>
      <c r="D10" s="6">
        <v>300</v>
      </c>
      <c r="E10" s="6">
        <f>E9+C10-D10</f>
      </c>
      <c r="F10" s="2"/>
    </row>
    <row x14ac:dyDescent="0.25" r="11" customHeight="1" ht="17.25">
      <c r="A11" s="8">
        <v>45661</v>
      </c>
      <c r="B11" s="9" t="s">
        <v>257</v>
      </c>
      <c r="C11" s="4"/>
      <c r="D11" s="6">
        <v>90</v>
      </c>
      <c r="E11" s="6">
        <f>E10+C11-D11</f>
      </c>
      <c r="F11" s="2"/>
    </row>
    <row x14ac:dyDescent="0.25" r="12" customHeight="1" ht="17.25">
      <c r="A12" s="8">
        <v>45661</v>
      </c>
      <c r="B12" s="9" t="s">
        <v>35</v>
      </c>
      <c r="C12" s="6">
        <v>909</v>
      </c>
      <c r="D12" s="4"/>
      <c r="E12" s="6">
        <f>E11+C12-D12</f>
      </c>
      <c r="F12" s="2"/>
    </row>
    <row x14ac:dyDescent="0.25" r="13" customHeight="1" ht="17.25">
      <c r="A13" s="7">
        <v>45661</v>
      </c>
      <c r="B13" s="9" t="s">
        <v>375</v>
      </c>
      <c r="C13" s="6">
        <v>100</v>
      </c>
      <c r="D13" s="4"/>
      <c r="E13" s="6">
        <f>E12+C13-D13</f>
      </c>
      <c r="F13" s="2"/>
    </row>
    <row x14ac:dyDescent="0.25" r="14" customHeight="1" ht="17.25">
      <c r="A14" s="7">
        <v>45663</v>
      </c>
      <c r="B14" s="9" t="s">
        <v>484</v>
      </c>
      <c r="C14" s="4"/>
      <c r="D14" s="6">
        <v>150</v>
      </c>
      <c r="E14" s="6">
        <f>E13+C14-D14</f>
      </c>
      <c r="F14" s="2"/>
    </row>
    <row x14ac:dyDescent="0.25" r="15" customHeight="1" ht="17.25">
      <c r="A15" s="7">
        <v>45663</v>
      </c>
      <c r="B15" s="9" t="s">
        <v>255</v>
      </c>
      <c r="C15" s="6">
        <v>20</v>
      </c>
      <c r="D15" s="4"/>
      <c r="E15" s="6">
        <f>E14+C15-D15</f>
      </c>
      <c r="F15" s="2"/>
    </row>
    <row x14ac:dyDescent="0.25" r="16" customHeight="1" ht="17.25">
      <c r="A16" s="8">
        <v>45663</v>
      </c>
      <c r="B16" s="9" t="s">
        <v>35</v>
      </c>
      <c r="C16" s="6">
        <v>370</v>
      </c>
      <c r="D16" s="4"/>
      <c r="E16" s="6">
        <f>E15+C16-D16</f>
      </c>
      <c r="F16" s="2"/>
    </row>
    <row x14ac:dyDescent="0.25" r="17" customHeight="1" ht="17.25">
      <c r="A17" s="8">
        <v>45663</v>
      </c>
      <c r="B17" s="9" t="s">
        <v>269</v>
      </c>
      <c r="C17" s="6">
        <v>58</v>
      </c>
      <c r="D17" s="4"/>
      <c r="E17" s="6">
        <f>E16+C17-D17</f>
      </c>
      <c r="F17" s="2"/>
    </row>
    <row x14ac:dyDescent="0.25" r="18" customHeight="1" ht="17.25">
      <c r="A18" s="7">
        <v>45663</v>
      </c>
      <c r="B18" s="9" t="s">
        <v>375</v>
      </c>
      <c r="C18" s="6">
        <v>118</v>
      </c>
      <c r="D18" s="4"/>
      <c r="E18" s="6">
        <f>E17+C18-D18</f>
      </c>
      <c r="F18" s="2"/>
    </row>
    <row x14ac:dyDescent="0.25" r="19" customHeight="1" ht="17.25">
      <c r="A19" s="8">
        <v>45663</v>
      </c>
      <c r="B19" s="9" t="s">
        <v>412</v>
      </c>
      <c r="C19" s="6">
        <v>96</v>
      </c>
      <c r="D19" s="4"/>
      <c r="E19" s="6">
        <f>E18+C19-D19</f>
      </c>
      <c r="F19" s="2"/>
    </row>
    <row x14ac:dyDescent="0.25" r="20" customHeight="1" ht="17.25">
      <c r="A20" s="7">
        <v>45663</v>
      </c>
      <c r="B20" s="9" t="s">
        <v>189</v>
      </c>
      <c r="C20" s="6">
        <v>225</v>
      </c>
      <c r="D20" s="4"/>
      <c r="E20" s="6">
        <f>E19+C20-D20</f>
      </c>
      <c r="F20" s="2"/>
    </row>
    <row x14ac:dyDescent="0.25" r="21" customHeight="1" ht="17.25">
      <c r="A21" s="8">
        <v>45664</v>
      </c>
      <c r="B21" s="9" t="s">
        <v>257</v>
      </c>
      <c r="C21" s="4"/>
      <c r="D21" s="6">
        <v>288</v>
      </c>
      <c r="E21" s="6">
        <f>E20+C21-D21</f>
      </c>
      <c r="F21" s="2"/>
    </row>
    <row x14ac:dyDescent="0.25" r="22" customHeight="1" ht="17.25">
      <c r="A22" s="8">
        <v>45664</v>
      </c>
      <c r="B22" s="9" t="s">
        <v>269</v>
      </c>
      <c r="C22" s="6">
        <v>90</v>
      </c>
      <c r="D22" s="4"/>
      <c r="E22" s="6">
        <f>E21+C22-D22</f>
      </c>
      <c r="F22" s="2"/>
    </row>
    <row x14ac:dyDescent="0.25" r="23" customHeight="1" ht="17.25">
      <c r="A23" s="8">
        <v>45664</v>
      </c>
      <c r="B23" s="9" t="s">
        <v>131</v>
      </c>
      <c r="C23" s="6">
        <v>32</v>
      </c>
      <c r="D23" s="4"/>
      <c r="E23" s="6">
        <f>E22+C23-D23</f>
      </c>
      <c r="F23" s="2"/>
    </row>
    <row x14ac:dyDescent="0.25" r="24" customHeight="1" ht="17.25">
      <c r="A24" s="8">
        <v>45664</v>
      </c>
      <c r="B24" s="9" t="s">
        <v>376</v>
      </c>
      <c r="C24" s="6">
        <v>179</v>
      </c>
      <c r="D24" s="4"/>
      <c r="E24" s="6">
        <f>E23+C24-D24</f>
      </c>
      <c r="F24" s="2"/>
    </row>
    <row x14ac:dyDescent="0.25" r="25" customHeight="1" ht="17.25">
      <c r="A25" s="7">
        <v>45665</v>
      </c>
      <c r="B25" s="9" t="s">
        <v>39</v>
      </c>
      <c r="C25" s="4"/>
      <c r="D25" s="6">
        <v>100</v>
      </c>
      <c r="E25" s="6">
        <f>E24+C25-D25</f>
      </c>
      <c r="F25" s="2"/>
    </row>
    <row x14ac:dyDescent="0.25" r="26" customHeight="1" ht="17.25">
      <c r="A26" s="7">
        <v>45665</v>
      </c>
      <c r="B26" s="9" t="s">
        <v>486</v>
      </c>
      <c r="C26" s="4"/>
      <c r="D26" s="6">
        <v>200</v>
      </c>
      <c r="E26" s="6">
        <f>E25+C26-D26</f>
      </c>
      <c r="F26" s="2"/>
    </row>
    <row x14ac:dyDescent="0.25" r="27" customHeight="1" ht="17.25">
      <c r="A27" s="7">
        <v>45665</v>
      </c>
      <c r="B27" s="9" t="s">
        <v>189</v>
      </c>
      <c r="C27" s="6">
        <v>110</v>
      </c>
      <c r="D27" s="4"/>
      <c r="E27" s="6">
        <f>E26+C27-D27</f>
      </c>
      <c r="F27" s="2"/>
    </row>
    <row x14ac:dyDescent="0.25" r="28" customHeight="1" ht="17.25">
      <c r="A28" s="7">
        <v>45666</v>
      </c>
      <c r="B28" s="9" t="s">
        <v>486</v>
      </c>
      <c r="C28" s="4"/>
      <c r="D28" s="6">
        <v>150</v>
      </c>
      <c r="E28" s="6">
        <f>E27+C28-D28</f>
      </c>
      <c r="F28" s="2"/>
    </row>
    <row x14ac:dyDescent="0.25" r="29" customHeight="1" ht="17.25">
      <c r="A29" s="7">
        <v>45666</v>
      </c>
      <c r="B29" s="9" t="s">
        <v>35</v>
      </c>
      <c r="C29" s="6">
        <v>300</v>
      </c>
      <c r="D29" s="4"/>
      <c r="E29" s="6">
        <f>E28+C29-D29</f>
      </c>
      <c r="F29" s="2"/>
    </row>
    <row x14ac:dyDescent="0.25" r="30" customHeight="1" ht="17.25">
      <c r="A30" s="7">
        <v>45666</v>
      </c>
      <c r="B30" s="9" t="s">
        <v>376</v>
      </c>
      <c r="C30" s="6">
        <v>46</v>
      </c>
      <c r="D30" s="4"/>
      <c r="E30" s="6">
        <f>E29+C30-D30</f>
      </c>
      <c r="F30" s="2"/>
    </row>
    <row x14ac:dyDescent="0.25" r="31" customHeight="1" ht="17.25">
      <c r="A31" s="7">
        <v>45667</v>
      </c>
      <c r="B31" s="9" t="s">
        <v>270</v>
      </c>
      <c r="C31" s="4"/>
      <c r="D31" s="6">
        <v>32</v>
      </c>
      <c r="E31" s="6">
        <f>E30+C31-D31</f>
      </c>
      <c r="F31" s="2"/>
    </row>
    <row x14ac:dyDescent="0.25" r="32" customHeight="1" ht="17.25">
      <c r="A32" s="7">
        <v>45667</v>
      </c>
      <c r="B32" s="9" t="s">
        <v>71</v>
      </c>
      <c r="C32" s="4"/>
      <c r="D32" s="6">
        <v>198</v>
      </c>
      <c r="E32" s="6">
        <f>E31+C32-D32</f>
      </c>
      <c r="F32" s="2"/>
    </row>
    <row x14ac:dyDescent="0.25" r="33" customHeight="1" ht="17.25">
      <c r="A33" s="7">
        <v>45667</v>
      </c>
      <c r="B33" s="9" t="s">
        <v>486</v>
      </c>
      <c r="C33" s="4"/>
      <c r="D33" s="6">
        <v>150</v>
      </c>
      <c r="E33" s="6">
        <f>E32+C33-D33</f>
      </c>
      <c r="F33" s="2"/>
    </row>
    <row x14ac:dyDescent="0.25" r="34" customHeight="1" ht="17.25">
      <c r="A34" s="7">
        <v>45667</v>
      </c>
      <c r="B34" s="9" t="s">
        <v>35</v>
      </c>
      <c r="C34" s="6">
        <v>565</v>
      </c>
      <c r="D34" s="4"/>
      <c r="E34" s="6">
        <f>E33+C34-D34</f>
      </c>
      <c r="F34" s="2"/>
    </row>
    <row x14ac:dyDescent="0.25" r="35" customHeight="1" ht="17.25">
      <c r="A35" s="7">
        <v>45667</v>
      </c>
      <c r="B35" s="9" t="s">
        <v>227</v>
      </c>
      <c r="C35" s="6">
        <v>30</v>
      </c>
      <c r="D35" s="4"/>
      <c r="E35" s="6">
        <f>E34+C35-D35</f>
      </c>
      <c r="F35" s="2"/>
    </row>
    <row x14ac:dyDescent="0.25" r="36" customHeight="1" ht="17.25">
      <c r="A36" s="7">
        <v>45668</v>
      </c>
      <c r="B36" s="9" t="s">
        <v>270</v>
      </c>
      <c r="C36" s="4"/>
      <c r="D36" s="6">
        <v>238</v>
      </c>
      <c r="E36" s="6">
        <f>E35+C36-D36</f>
      </c>
      <c r="F36" s="2"/>
    </row>
    <row x14ac:dyDescent="0.25" r="37" customHeight="1" ht="17.25">
      <c r="A37" s="7">
        <v>45668</v>
      </c>
      <c r="B37" s="9" t="s">
        <v>411</v>
      </c>
      <c r="C37" s="4"/>
      <c r="D37" s="6">
        <v>120</v>
      </c>
      <c r="E37" s="6">
        <f>E36+C37-D37</f>
      </c>
      <c r="F37" s="2"/>
    </row>
    <row x14ac:dyDescent="0.25" r="38" customHeight="1" ht="17.25">
      <c r="A38" s="7">
        <v>45668</v>
      </c>
      <c r="B38" s="9" t="s">
        <v>256</v>
      </c>
      <c r="C38" s="6">
        <v>17</v>
      </c>
      <c r="D38" s="4"/>
      <c r="E38" s="6">
        <f>E37+C38-D38</f>
      </c>
      <c r="F38" s="2"/>
    </row>
    <row x14ac:dyDescent="0.25" r="39" customHeight="1" ht="17.25">
      <c r="A39" s="8">
        <v>45668</v>
      </c>
      <c r="B39" s="9" t="s">
        <v>413</v>
      </c>
      <c r="C39" s="6">
        <v>17</v>
      </c>
      <c r="D39" s="4"/>
      <c r="E39" s="6">
        <f>E38+C39-D39</f>
      </c>
      <c r="F39" s="2"/>
    </row>
    <row x14ac:dyDescent="0.25" r="40" customHeight="1" ht="17.25">
      <c r="A40" s="7">
        <v>45668</v>
      </c>
      <c r="B40" s="9" t="s">
        <v>375</v>
      </c>
      <c r="C40" s="6">
        <v>79</v>
      </c>
      <c r="D40" s="4"/>
      <c r="E40" s="6">
        <f>E39+C40-D40</f>
      </c>
      <c r="F40" s="2"/>
    </row>
    <row x14ac:dyDescent="0.25" r="41" customHeight="1" ht="17.25">
      <c r="A41" s="8">
        <v>45670</v>
      </c>
      <c r="B41" s="9" t="s">
        <v>31</v>
      </c>
      <c r="C41" s="6">
        <v>130</v>
      </c>
      <c r="D41" s="4"/>
      <c r="E41" s="6">
        <f>E40+C41-D41</f>
      </c>
      <c r="F41" s="2"/>
    </row>
    <row x14ac:dyDescent="0.25" r="42" customHeight="1" ht="17.25">
      <c r="A42" s="7">
        <v>45670</v>
      </c>
      <c r="B42" s="9" t="s">
        <v>189</v>
      </c>
      <c r="C42" s="6">
        <v>235</v>
      </c>
      <c r="D42" s="4"/>
      <c r="E42" s="6">
        <f>E41+C42-D42</f>
      </c>
      <c r="F42" s="2"/>
    </row>
    <row x14ac:dyDescent="0.25" r="43" customHeight="1" ht="17.25">
      <c r="A43" s="8">
        <v>45670</v>
      </c>
      <c r="B43" s="9" t="s">
        <v>35</v>
      </c>
      <c r="C43" s="6">
        <v>300</v>
      </c>
      <c r="D43" s="4"/>
      <c r="E43" s="6">
        <f>E42+C43-D43</f>
      </c>
      <c r="F43" s="2"/>
    </row>
    <row x14ac:dyDescent="0.25" r="44" customHeight="1" ht="17.25">
      <c r="A44" s="8">
        <v>45670</v>
      </c>
      <c r="B44" s="9" t="s">
        <v>35</v>
      </c>
      <c r="C44" s="6">
        <v>116</v>
      </c>
      <c r="D44" s="4"/>
      <c r="E44" s="6">
        <f>E43+C44-D44</f>
      </c>
      <c r="F44" s="2"/>
    </row>
    <row x14ac:dyDescent="0.25" r="45" customHeight="1" ht="17.25">
      <c r="A45" s="8">
        <v>45670</v>
      </c>
      <c r="B45" s="9" t="s">
        <v>410</v>
      </c>
      <c r="C45" s="6">
        <v>80</v>
      </c>
      <c r="D45" s="4"/>
      <c r="E45" s="6">
        <f>E44+C45-D45</f>
      </c>
      <c r="F45" s="2"/>
    </row>
    <row x14ac:dyDescent="0.25" r="46" customHeight="1" ht="17.25">
      <c r="A46" s="7">
        <v>45670</v>
      </c>
      <c r="B46" s="9" t="s">
        <v>375</v>
      </c>
      <c r="C46" s="6">
        <v>56</v>
      </c>
      <c r="D46" s="4"/>
      <c r="E46" s="6">
        <f>E45+C46-D46</f>
      </c>
      <c r="F46" s="2"/>
    </row>
    <row x14ac:dyDescent="0.25" r="47" customHeight="1" ht="17.25">
      <c r="A47" s="7">
        <v>45671</v>
      </c>
      <c r="B47" s="9" t="s">
        <v>269</v>
      </c>
      <c r="C47" s="6">
        <v>93</v>
      </c>
      <c r="D47" s="4"/>
      <c r="E47" s="6">
        <f>E46+C47-D47</f>
      </c>
      <c r="F47" s="2"/>
    </row>
    <row x14ac:dyDescent="0.25" r="48" customHeight="1" ht="17.25">
      <c r="A48" s="7">
        <v>45671</v>
      </c>
      <c r="B48" s="9" t="s">
        <v>127</v>
      </c>
      <c r="C48" s="6">
        <v>472</v>
      </c>
      <c r="D48" s="4"/>
      <c r="E48" s="6">
        <f>E47+C48-D48</f>
      </c>
      <c r="F48" s="2"/>
    </row>
    <row x14ac:dyDescent="0.25" r="49" customHeight="1" ht="17.25">
      <c r="A49" s="8">
        <v>45671</v>
      </c>
      <c r="B49" s="9" t="s">
        <v>375</v>
      </c>
      <c r="C49" s="6">
        <v>216</v>
      </c>
      <c r="D49" s="4"/>
      <c r="E49" s="6">
        <f>E48+C49-D49</f>
      </c>
      <c r="F49" s="2"/>
    </row>
    <row x14ac:dyDescent="0.25" r="50" customHeight="1" ht="17.25">
      <c r="A50" s="8">
        <v>45672</v>
      </c>
      <c r="B50" s="9" t="s">
        <v>485</v>
      </c>
      <c r="C50" s="4"/>
      <c r="D50" s="6">
        <v>150</v>
      </c>
      <c r="E50" s="6">
        <f>E49+C50-D50</f>
      </c>
      <c r="F50" s="2"/>
    </row>
    <row x14ac:dyDescent="0.25" r="51" customHeight="1" ht="17.25">
      <c r="A51" s="8">
        <v>45672</v>
      </c>
      <c r="B51" s="9" t="s">
        <v>431</v>
      </c>
      <c r="C51" s="6">
        <v>79</v>
      </c>
      <c r="D51" s="4"/>
      <c r="E51" s="6">
        <f>E50+C51-D51</f>
      </c>
      <c r="F51" s="2"/>
    </row>
    <row x14ac:dyDescent="0.25" r="52" customHeight="1" ht="17.25">
      <c r="A52" s="7">
        <v>45672</v>
      </c>
      <c r="B52" s="9" t="s">
        <v>255</v>
      </c>
      <c r="C52" s="6">
        <v>32</v>
      </c>
      <c r="D52" s="4"/>
      <c r="E52" s="6">
        <f>E51+C52-D52</f>
      </c>
      <c r="F52" s="2"/>
    </row>
    <row x14ac:dyDescent="0.25" r="53" customHeight="1" ht="17.25">
      <c r="A53" s="7">
        <v>45672</v>
      </c>
      <c r="B53" s="9" t="s">
        <v>539</v>
      </c>
      <c r="C53" s="6">
        <v>18</v>
      </c>
      <c r="D53" s="4"/>
      <c r="E53" s="6">
        <f>E52+C53-D53</f>
      </c>
      <c r="F53" s="2"/>
    </row>
    <row x14ac:dyDescent="0.25" r="54" customHeight="1" ht="17.25">
      <c r="A54" s="7">
        <v>45672</v>
      </c>
      <c r="B54" s="9" t="s">
        <v>375</v>
      </c>
      <c r="C54" s="6">
        <v>152</v>
      </c>
      <c r="D54" s="4"/>
      <c r="E54" s="6">
        <f>E53+C54-D54</f>
      </c>
      <c r="F54" s="2"/>
    </row>
    <row x14ac:dyDescent="0.25" r="55" customHeight="1" ht="17.25">
      <c r="A55" s="8">
        <v>45672</v>
      </c>
      <c r="B55" s="9" t="s">
        <v>412</v>
      </c>
      <c r="C55" s="6">
        <v>30</v>
      </c>
      <c r="D55" s="4"/>
      <c r="E55" s="6">
        <f>E54+C55-D55</f>
      </c>
      <c r="F55" s="2"/>
    </row>
    <row x14ac:dyDescent="0.25" r="56" customHeight="1" ht="17.25">
      <c r="A56" s="7">
        <v>45673</v>
      </c>
      <c r="B56" s="9" t="s">
        <v>382</v>
      </c>
      <c r="C56" s="4"/>
      <c r="D56" s="6">
        <v>514</v>
      </c>
      <c r="E56" s="6">
        <f>E55+C56-D56</f>
      </c>
      <c r="F56" s="2"/>
    </row>
    <row x14ac:dyDescent="0.25" r="57" customHeight="1" ht="17.25">
      <c r="A57" s="7">
        <v>45673</v>
      </c>
      <c r="B57" s="9" t="s">
        <v>2</v>
      </c>
      <c r="C57" s="4"/>
      <c r="D57" s="6">
        <v>40</v>
      </c>
      <c r="E57" s="6">
        <f>E56+C57-D57</f>
      </c>
      <c r="F57" s="2"/>
    </row>
    <row x14ac:dyDescent="0.25" r="58" customHeight="1" ht="17.25">
      <c r="A58" s="7">
        <v>45673</v>
      </c>
      <c r="B58" s="9" t="s">
        <v>540</v>
      </c>
      <c r="C58" s="4"/>
      <c r="D58" s="6">
        <v>20</v>
      </c>
      <c r="E58" s="6">
        <f>E57+C58-D58</f>
      </c>
      <c r="F58" s="2"/>
    </row>
    <row x14ac:dyDescent="0.25" r="59" customHeight="1" ht="17.25">
      <c r="A59" s="8">
        <v>45673</v>
      </c>
      <c r="B59" s="9" t="s">
        <v>272</v>
      </c>
      <c r="C59" s="4"/>
      <c r="D59" s="6">
        <v>248</v>
      </c>
      <c r="E59" s="6">
        <f>E58+C59-D59</f>
      </c>
      <c r="F59" s="2"/>
    </row>
    <row x14ac:dyDescent="0.25" r="60" customHeight="1" ht="17.25">
      <c r="A60" s="7">
        <v>45673</v>
      </c>
      <c r="B60" s="9" t="s">
        <v>415</v>
      </c>
      <c r="C60" s="6">
        <v>37</v>
      </c>
      <c r="D60" s="4"/>
      <c r="E60" s="6">
        <f>E59+C60-D60</f>
      </c>
      <c r="F60" s="2"/>
    </row>
    <row x14ac:dyDescent="0.25" r="61" customHeight="1" ht="17.25">
      <c r="A61" s="7">
        <v>45674</v>
      </c>
      <c r="B61" s="9" t="s">
        <v>588</v>
      </c>
      <c r="C61" s="4"/>
      <c r="D61" s="6">
        <v>272</v>
      </c>
      <c r="E61" s="6">
        <f>E60+C61-D61</f>
      </c>
      <c r="F61" s="2"/>
    </row>
    <row x14ac:dyDescent="0.25" r="62" customHeight="1" ht="17.25">
      <c r="A62" s="7">
        <v>45674</v>
      </c>
      <c r="B62" s="9" t="s">
        <v>44</v>
      </c>
      <c r="C62" s="4"/>
      <c r="D62" s="6">
        <v>80</v>
      </c>
      <c r="E62" s="6">
        <f>E61+C62-D62</f>
      </c>
      <c r="F62" s="2"/>
    </row>
    <row x14ac:dyDescent="0.25" r="63" customHeight="1" ht="17.25">
      <c r="A63" s="8">
        <v>45674</v>
      </c>
      <c r="B63" s="9" t="s">
        <v>189</v>
      </c>
      <c r="C63" s="6">
        <v>75</v>
      </c>
      <c r="D63" s="4"/>
      <c r="E63" s="6">
        <f>E62+C63-D63</f>
      </c>
      <c r="F63" s="2"/>
    </row>
    <row x14ac:dyDescent="0.25" r="64" customHeight="1" ht="17.25">
      <c r="A64" s="8">
        <v>45674</v>
      </c>
      <c r="B64" s="9" t="s">
        <v>413</v>
      </c>
      <c r="C64" s="6">
        <v>139</v>
      </c>
      <c r="D64" s="4"/>
      <c r="E64" s="6">
        <f>E63+C64-D64</f>
      </c>
      <c r="F64" s="2"/>
    </row>
    <row x14ac:dyDescent="0.25" r="65" customHeight="1" ht="17.25">
      <c r="A65" s="7">
        <v>45674</v>
      </c>
      <c r="B65" s="9" t="s">
        <v>432</v>
      </c>
      <c r="C65" s="6">
        <v>15</v>
      </c>
      <c r="D65" s="4"/>
      <c r="E65" s="6">
        <f>E64+C65-D65</f>
      </c>
      <c r="F65" s="2"/>
    </row>
    <row x14ac:dyDescent="0.25" r="66" customHeight="1" ht="17.25">
      <c r="A66" s="7">
        <v>45675</v>
      </c>
      <c r="B66" s="9" t="s">
        <v>272</v>
      </c>
      <c r="C66" s="4"/>
      <c r="D66" s="6">
        <v>352</v>
      </c>
      <c r="E66" s="6">
        <f>E65+C66-D66</f>
      </c>
      <c r="F66" s="2"/>
    </row>
    <row x14ac:dyDescent="0.25" r="67" customHeight="1" ht="17.25">
      <c r="A67" s="7">
        <v>45675</v>
      </c>
      <c r="B67" s="9" t="s">
        <v>240</v>
      </c>
      <c r="C67" s="6">
        <v>40</v>
      </c>
      <c r="D67" s="4"/>
      <c r="E67" s="6">
        <f>E66+C67-D67</f>
      </c>
      <c r="F67" s="2"/>
    </row>
    <row x14ac:dyDescent="0.25" r="68" customHeight="1" ht="17.25">
      <c r="A68" s="8">
        <v>45675</v>
      </c>
      <c r="B68" s="9" t="s">
        <v>413</v>
      </c>
      <c r="C68" s="6">
        <v>32</v>
      </c>
      <c r="D68" s="4"/>
      <c r="E68" s="6">
        <f>E67+C68-D68</f>
      </c>
      <c r="F68" s="2"/>
    </row>
    <row x14ac:dyDescent="0.25" r="69" customHeight="1" ht="17.25">
      <c r="A69" s="7">
        <v>45677</v>
      </c>
      <c r="B69" s="9" t="s">
        <v>382</v>
      </c>
      <c r="C69" s="4"/>
      <c r="D69" s="6">
        <v>30</v>
      </c>
      <c r="E69" s="6">
        <f>E68+C69-D69</f>
      </c>
      <c r="F69" s="2"/>
    </row>
    <row x14ac:dyDescent="0.25" r="70" customHeight="1" ht="17.25">
      <c r="A70" s="7">
        <v>45677</v>
      </c>
      <c r="B70" s="9" t="s">
        <v>485</v>
      </c>
      <c r="C70" s="4"/>
      <c r="D70" s="6">
        <v>50</v>
      </c>
      <c r="E70" s="6">
        <f>E69+C70-D70</f>
      </c>
      <c r="F70" s="2"/>
    </row>
    <row x14ac:dyDescent="0.25" r="71" customHeight="1" ht="17.25">
      <c r="A71" s="7">
        <v>45677</v>
      </c>
      <c r="B71" s="9" t="s">
        <v>486</v>
      </c>
      <c r="C71" s="4"/>
      <c r="D71" s="6">
        <v>50</v>
      </c>
      <c r="E71" s="6">
        <f>E70+C71-D71</f>
      </c>
      <c r="F71" s="2"/>
    </row>
    <row x14ac:dyDescent="0.25" r="72" customHeight="1" ht="17.25">
      <c r="A72" s="7">
        <v>45677</v>
      </c>
      <c r="B72" s="9" t="s">
        <v>486</v>
      </c>
      <c r="C72" s="4"/>
      <c r="D72" s="6">
        <v>150</v>
      </c>
      <c r="E72" s="6">
        <f>E71+C72-D72</f>
      </c>
      <c r="F72" s="2"/>
    </row>
    <row x14ac:dyDescent="0.25" r="73" customHeight="1" ht="17.25">
      <c r="A73" s="8">
        <v>45677</v>
      </c>
      <c r="B73" s="9" t="s">
        <v>378</v>
      </c>
      <c r="C73" s="6">
        <v>181</v>
      </c>
      <c r="D73" s="4"/>
      <c r="E73" s="6">
        <f>E72+C73-D73</f>
      </c>
      <c r="F73" s="2"/>
    </row>
    <row x14ac:dyDescent="0.25" r="74" customHeight="1" ht="17.25">
      <c r="A74" s="8">
        <v>45677</v>
      </c>
      <c r="B74" s="9" t="s">
        <v>410</v>
      </c>
      <c r="C74" s="6">
        <v>27</v>
      </c>
      <c r="D74" s="4"/>
      <c r="E74" s="6">
        <f>E73+C74-D74</f>
      </c>
      <c r="F74" s="2"/>
    </row>
    <row x14ac:dyDescent="0.25" r="75" customHeight="1" ht="17.25">
      <c r="A75" s="8">
        <v>45677</v>
      </c>
      <c r="B75" s="9" t="s">
        <v>365</v>
      </c>
      <c r="C75" s="6">
        <v>62</v>
      </c>
      <c r="D75" s="4"/>
      <c r="E75" s="6">
        <f>E74+C75-D75</f>
      </c>
      <c r="F75" s="2"/>
    </row>
    <row x14ac:dyDescent="0.25" r="76" customHeight="1" ht="17.25">
      <c r="A76" s="8">
        <v>45677</v>
      </c>
      <c r="B76" s="9" t="s">
        <v>35</v>
      </c>
      <c r="C76" s="6">
        <v>300</v>
      </c>
      <c r="D76" s="4"/>
      <c r="E76" s="6">
        <f>E75+C76-D76</f>
      </c>
      <c r="F76" s="2"/>
    </row>
    <row x14ac:dyDescent="0.25" r="77" customHeight="1" ht="17.25">
      <c r="A77" s="8">
        <v>45677</v>
      </c>
      <c r="B77" s="9" t="s">
        <v>131</v>
      </c>
      <c r="C77" s="6">
        <v>114</v>
      </c>
      <c r="D77" s="4"/>
      <c r="E77" s="6">
        <f>E76+C77-D77</f>
      </c>
      <c r="F77" s="2"/>
    </row>
    <row x14ac:dyDescent="0.25" r="78" customHeight="1" ht="17.25">
      <c r="A78" s="7">
        <v>45678</v>
      </c>
      <c r="B78" s="9" t="s">
        <v>382</v>
      </c>
      <c r="C78" s="4"/>
      <c r="D78" s="6">
        <v>140</v>
      </c>
      <c r="E78" s="6">
        <f>E77+C78-D78</f>
      </c>
      <c r="F78" s="2"/>
    </row>
    <row x14ac:dyDescent="0.25" r="79" customHeight="1" ht="17.25">
      <c r="A79" s="8">
        <v>45678</v>
      </c>
      <c r="B79" s="9" t="s">
        <v>485</v>
      </c>
      <c r="C79" s="4"/>
      <c r="D79" s="6">
        <v>50</v>
      </c>
      <c r="E79" s="6">
        <f>E78+C79-D79</f>
      </c>
      <c r="F79" s="2"/>
    </row>
    <row x14ac:dyDescent="0.25" r="80" customHeight="1" ht="17.25">
      <c r="A80" s="7">
        <v>45678</v>
      </c>
      <c r="B80" s="2" t="s">
        <v>35</v>
      </c>
      <c r="C80" s="6">
        <v>140</v>
      </c>
      <c r="D80" s="4"/>
      <c r="E80" s="6">
        <f>E79+C80-D80</f>
      </c>
      <c r="F80" s="2"/>
    </row>
    <row x14ac:dyDescent="0.25" r="81" customHeight="1" ht="17.25">
      <c r="A81" s="7">
        <v>45679</v>
      </c>
      <c r="B81" s="9" t="s">
        <v>382</v>
      </c>
      <c r="C81" s="4"/>
      <c r="D81" s="6">
        <v>460</v>
      </c>
      <c r="E81" s="6">
        <f>E80+C81-D81</f>
      </c>
      <c r="F81" s="2"/>
    </row>
    <row x14ac:dyDescent="0.25" r="82" customHeight="1" ht="17.25">
      <c r="A82" s="8">
        <v>45679</v>
      </c>
      <c r="B82" s="9" t="s">
        <v>256</v>
      </c>
      <c r="C82" s="6">
        <v>2</v>
      </c>
      <c r="D82" s="4"/>
      <c r="E82" s="6">
        <f>E81+C82-D82</f>
      </c>
      <c r="F82" s="2"/>
    </row>
    <row x14ac:dyDescent="0.25" r="83" customHeight="1" ht="17.25">
      <c r="A83" s="7">
        <v>45679</v>
      </c>
      <c r="B83" s="9" t="s">
        <v>414</v>
      </c>
      <c r="C83" s="6">
        <v>21</v>
      </c>
      <c r="D83" s="4"/>
      <c r="E83" s="6">
        <f>E82+C83-D83</f>
      </c>
      <c r="F83" s="2"/>
    </row>
    <row x14ac:dyDescent="0.25" r="84" customHeight="1" ht="17.25">
      <c r="A84" s="8">
        <v>45679</v>
      </c>
      <c r="B84" s="9" t="s">
        <v>375</v>
      </c>
      <c r="C84" s="6">
        <v>97</v>
      </c>
      <c r="D84" s="4"/>
      <c r="E84" s="6">
        <f>E83+C84-D84</f>
      </c>
      <c r="F84" s="2"/>
    </row>
    <row x14ac:dyDescent="0.25" r="85" customHeight="1" ht="17.25">
      <c r="A85" s="8">
        <v>45679</v>
      </c>
      <c r="B85" s="9" t="s">
        <v>376</v>
      </c>
      <c r="C85" s="6">
        <v>87</v>
      </c>
      <c r="D85" s="4"/>
      <c r="E85" s="6">
        <f>E84+C85-D85</f>
      </c>
      <c r="F85" s="2"/>
    </row>
    <row x14ac:dyDescent="0.25" r="86" customHeight="1" ht="17.25">
      <c r="A86" s="8">
        <v>45680</v>
      </c>
      <c r="B86" s="9" t="s">
        <v>132</v>
      </c>
      <c r="C86" s="4"/>
      <c r="D86" s="6">
        <v>80</v>
      </c>
      <c r="E86" s="6">
        <f>E85+C86-D86</f>
      </c>
      <c r="F86" s="2"/>
    </row>
    <row x14ac:dyDescent="0.25" r="87" customHeight="1" ht="17.25">
      <c r="A87" s="7">
        <v>45680</v>
      </c>
      <c r="B87" s="9" t="s">
        <v>548</v>
      </c>
      <c r="C87" s="4"/>
      <c r="D87" s="6">
        <v>2</v>
      </c>
      <c r="E87" s="6">
        <f>E86+C87-D87</f>
      </c>
      <c r="F87" s="2"/>
    </row>
    <row x14ac:dyDescent="0.25" r="88" customHeight="1" ht="17.25">
      <c r="A88" s="8">
        <v>45680</v>
      </c>
      <c r="B88" s="9" t="s">
        <v>326</v>
      </c>
      <c r="C88" s="6">
        <v>24</v>
      </c>
      <c r="D88" s="4"/>
      <c r="E88" s="6">
        <f>E87+C88-D88</f>
      </c>
      <c r="F88" s="2"/>
    </row>
    <row x14ac:dyDescent="0.25" r="89" customHeight="1" ht="17.25">
      <c r="A89" s="7">
        <v>45680</v>
      </c>
      <c r="B89" s="9" t="s">
        <v>35</v>
      </c>
      <c r="C89" s="6">
        <v>130</v>
      </c>
      <c r="D89" s="4"/>
      <c r="E89" s="6">
        <f>E88+C89-D89</f>
      </c>
      <c r="F89" s="2"/>
    </row>
    <row x14ac:dyDescent="0.25" r="90" customHeight="1" ht="17.25">
      <c r="A90" s="8">
        <v>45680</v>
      </c>
      <c r="B90" s="9" t="s">
        <v>269</v>
      </c>
      <c r="C90" s="6">
        <v>154</v>
      </c>
      <c r="D90" s="4"/>
      <c r="E90" s="6">
        <f>E89+C90-D90</f>
      </c>
      <c r="F90" s="2"/>
    </row>
    <row x14ac:dyDescent="0.25" r="91" customHeight="1" ht="17.25">
      <c r="A91" s="8">
        <v>45681</v>
      </c>
      <c r="B91" s="9" t="s">
        <v>189</v>
      </c>
      <c r="C91" s="6">
        <v>107</v>
      </c>
      <c r="D91" s="4"/>
      <c r="E91" s="6">
        <f>E90+C91-D91</f>
      </c>
      <c r="F91" s="2"/>
    </row>
    <row x14ac:dyDescent="0.25" r="92" customHeight="1" ht="17.25">
      <c r="A92" s="7">
        <v>45682</v>
      </c>
      <c r="B92" s="9" t="s">
        <v>2</v>
      </c>
      <c r="C92" s="4"/>
      <c r="D92" s="6">
        <v>20</v>
      </c>
      <c r="E92" s="6">
        <f>E91+C92-D92</f>
      </c>
      <c r="F92" s="2"/>
    </row>
    <row x14ac:dyDescent="0.25" r="93" customHeight="1" ht="17.25">
      <c r="A93" s="7">
        <v>45682</v>
      </c>
      <c r="B93" s="9" t="s">
        <v>71</v>
      </c>
      <c r="C93" s="4"/>
      <c r="D93" s="6">
        <v>100</v>
      </c>
      <c r="E93" s="6">
        <f>E92+C93-D93</f>
      </c>
      <c r="F93" s="2"/>
    </row>
    <row x14ac:dyDescent="0.25" r="94" customHeight="1" ht="17.25">
      <c r="A94" s="7">
        <v>45682</v>
      </c>
      <c r="B94" s="9" t="s">
        <v>35</v>
      </c>
      <c r="C94" s="6">
        <v>498</v>
      </c>
      <c r="D94" s="4"/>
      <c r="E94" s="6">
        <f>E93+C94-D94</f>
      </c>
      <c r="F94" s="2"/>
    </row>
    <row x14ac:dyDescent="0.25" r="95" customHeight="1" ht="17.25">
      <c r="A95" s="7">
        <v>45682</v>
      </c>
      <c r="B95" s="9" t="s">
        <v>414</v>
      </c>
      <c r="C95" s="6">
        <v>31</v>
      </c>
      <c r="D95" s="4"/>
      <c r="E95" s="6">
        <f>E94+C95-D95</f>
      </c>
      <c r="F95" s="2"/>
    </row>
    <row x14ac:dyDescent="0.25" r="96" customHeight="1" ht="17.25">
      <c r="A96" s="8">
        <v>45682</v>
      </c>
      <c r="B96" s="9" t="s">
        <v>123</v>
      </c>
      <c r="C96" s="6">
        <v>165</v>
      </c>
      <c r="D96" s="4"/>
      <c r="E96" s="6">
        <f>E95+C96-D96</f>
      </c>
      <c r="F96" s="2"/>
    </row>
    <row x14ac:dyDescent="0.25" r="97" customHeight="1" ht="17.25">
      <c r="A97" s="8">
        <v>45682</v>
      </c>
      <c r="B97" s="9" t="s">
        <v>189</v>
      </c>
      <c r="C97" s="6">
        <v>133</v>
      </c>
      <c r="D97" s="4"/>
      <c r="E97" s="6">
        <f>E96+C97-D97</f>
      </c>
      <c r="F97" s="2"/>
    </row>
    <row x14ac:dyDescent="0.25" r="98" customHeight="1" ht="17.25">
      <c r="A98" s="7">
        <v>45685</v>
      </c>
      <c r="B98" s="9" t="s">
        <v>413</v>
      </c>
      <c r="C98" s="6">
        <v>26</v>
      </c>
      <c r="D98" s="4"/>
      <c r="E98" s="6">
        <f>E97+C98-D98</f>
      </c>
      <c r="F98" s="2"/>
    </row>
    <row x14ac:dyDescent="0.25" r="99" customHeight="1" ht="17.25">
      <c r="A99" s="8">
        <v>45685</v>
      </c>
      <c r="B99" s="9" t="s">
        <v>412</v>
      </c>
      <c r="C99" s="6">
        <v>60</v>
      </c>
      <c r="D99" s="4"/>
      <c r="E99" s="6">
        <f>E98+C99-D99</f>
      </c>
      <c r="F99" s="2"/>
    </row>
    <row x14ac:dyDescent="0.25" r="100" customHeight="1" ht="17.25">
      <c r="A100" s="39">
        <v>45685</v>
      </c>
      <c r="B100" s="36" t="s">
        <v>227</v>
      </c>
      <c r="C100" s="33">
        <v>24</v>
      </c>
      <c r="D100" s="32"/>
      <c r="E100" s="33">
        <f>E99+C100-D100</f>
      </c>
      <c r="F100" s="31" t="s">
        <v>589</v>
      </c>
    </row>
    <row x14ac:dyDescent="0.25" r="101" customHeight="1" ht="17.25">
      <c r="A101" s="8">
        <v>45685</v>
      </c>
      <c r="B101" s="9" t="s">
        <v>259</v>
      </c>
      <c r="C101" s="6">
        <v>322</v>
      </c>
      <c r="D101" s="4"/>
      <c r="E101" s="6">
        <f>E100+C101-D101</f>
      </c>
      <c r="F101" s="2"/>
    </row>
    <row x14ac:dyDescent="0.25" r="102" customHeight="1" ht="17.25">
      <c r="A102" s="8">
        <v>45685</v>
      </c>
      <c r="B102" s="9" t="s">
        <v>127</v>
      </c>
      <c r="C102" s="6">
        <v>67</v>
      </c>
      <c r="D102" s="4"/>
      <c r="E102" s="6">
        <f>E101+C102-D102</f>
      </c>
      <c r="F102" s="2"/>
    </row>
    <row x14ac:dyDescent="0.25" r="103" customHeight="1" ht="17.25">
      <c r="A103" s="8">
        <v>45687</v>
      </c>
      <c r="B103" s="9" t="s">
        <v>272</v>
      </c>
      <c r="C103" s="4"/>
      <c r="D103" s="6">
        <v>494</v>
      </c>
      <c r="E103" s="6">
        <f>E102+C103-D103</f>
      </c>
      <c r="F103" s="2"/>
    </row>
    <row x14ac:dyDescent="0.25" r="104" customHeight="1" ht="17.25">
      <c r="A104" s="8">
        <v>45687</v>
      </c>
      <c r="B104" s="9" t="s">
        <v>189</v>
      </c>
      <c r="C104" s="6">
        <v>183</v>
      </c>
      <c r="D104" s="4"/>
      <c r="E104" s="6">
        <f>E103+C104-D104</f>
      </c>
      <c r="F104" s="2"/>
    </row>
    <row x14ac:dyDescent="0.25" r="105" customHeight="1" ht="17.25">
      <c r="A105" s="8">
        <v>45688</v>
      </c>
      <c r="B105" s="9" t="s">
        <v>39</v>
      </c>
      <c r="C105" s="6">
        <v>165</v>
      </c>
      <c r="D105" s="4"/>
      <c r="E105" s="6">
        <f>E104+C105-D105</f>
      </c>
      <c r="F105" s="2"/>
    </row>
    <row x14ac:dyDescent="0.25" r="106" customHeight="1" ht="17.25">
      <c r="A106" s="8">
        <v>45688</v>
      </c>
      <c r="B106" s="9" t="s">
        <v>269</v>
      </c>
      <c r="C106" s="6">
        <v>120</v>
      </c>
      <c r="D106" s="4"/>
      <c r="E106" s="6">
        <f>E105+C106-D106</f>
      </c>
      <c r="F106" s="2"/>
    </row>
    <row x14ac:dyDescent="0.25" r="107" customHeight="1" ht="17.25">
      <c r="A107" s="8">
        <v>45688</v>
      </c>
      <c r="B107" s="9" t="s">
        <v>131</v>
      </c>
      <c r="C107" s="6">
        <v>300</v>
      </c>
      <c r="D107" s="4"/>
      <c r="E107" s="6">
        <f>E106+C107-D107</f>
      </c>
      <c r="F107" s="2"/>
    </row>
    <row x14ac:dyDescent="0.25" r="108" customHeight="1" ht="17.25">
      <c r="A108" s="8">
        <v>45688</v>
      </c>
      <c r="B108" s="9" t="s">
        <v>189</v>
      </c>
      <c r="C108" s="6">
        <v>170</v>
      </c>
      <c r="D108" s="4"/>
      <c r="E108" s="6">
        <f>E107+C108-D108</f>
      </c>
      <c r="F108" s="2"/>
    </row>
    <row x14ac:dyDescent="0.25" r="109" customHeight="1" ht="17.25">
      <c r="A109" s="8">
        <v>45688</v>
      </c>
      <c r="B109" s="9" t="s">
        <v>415</v>
      </c>
      <c r="C109" s="6">
        <v>57</v>
      </c>
      <c r="D109" s="4"/>
      <c r="E109" s="6">
        <f>E108+C109-D109</f>
      </c>
      <c r="F109" s="2"/>
    </row>
    <row x14ac:dyDescent="0.25" r="110" customHeight="1" ht="17.25">
      <c r="A110" s="8">
        <v>45688</v>
      </c>
      <c r="B110" s="9" t="s">
        <v>375</v>
      </c>
      <c r="C110" s="6">
        <v>117</v>
      </c>
      <c r="D110" s="4"/>
      <c r="E110" s="6">
        <f>E109+C110-D110</f>
      </c>
      <c r="F110" s="2"/>
    </row>
    <row x14ac:dyDescent="0.25" r="111" customHeight="1" ht="17.25">
      <c r="A111" s="7">
        <v>45688</v>
      </c>
      <c r="B111" s="9" t="s">
        <v>31</v>
      </c>
      <c r="C111" s="6">
        <v>30</v>
      </c>
      <c r="D111" s="4"/>
      <c r="E111" s="6">
        <f>E110+C111-D111</f>
      </c>
      <c r="F111" s="2"/>
    </row>
    <row x14ac:dyDescent="0.25" r="112" customHeight="1" ht="17.25">
      <c r="A112" s="8">
        <v>45689</v>
      </c>
      <c r="B112" s="9" t="s">
        <v>269</v>
      </c>
      <c r="C112" s="6">
        <v>112</v>
      </c>
      <c r="D112" s="4"/>
      <c r="E112" s="6">
        <f>E111+C112-D112</f>
      </c>
      <c r="F112" s="2"/>
    </row>
    <row x14ac:dyDescent="0.25" r="113" customHeight="1" ht="17.25">
      <c r="A113" s="8">
        <v>45689</v>
      </c>
      <c r="B113" s="9" t="s">
        <v>375</v>
      </c>
      <c r="C113" s="6">
        <v>45</v>
      </c>
      <c r="D113" s="4"/>
      <c r="E113" s="6">
        <f>E112+C113-D113</f>
      </c>
      <c r="F113" s="2"/>
    </row>
    <row x14ac:dyDescent="0.25" r="114" customHeight="1" ht="17.25">
      <c r="A114" s="8">
        <v>45689</v>
      </c>
      <c r="B114" s="9" t="s">
        <v>39</v>
      </c>
      <c r="C114" s="6">
        <v>292</v>
      </c>
      <c r="D114" s="4"/>
      <c r="E114" s="6">
        <f>E113+C114-D114</f>
      </c>
      <c r="F114" s="2"/>
    </row>
    <row x14ac:dyDescent="0.25" r="115" customHeight="1" ht="17.25">
      <c r="A115" s="7">
        <v>45691</v>
      </c>
      <c r="B115" s="9" t="s">
        <v>286</v>
      </c>
      <c r="C115" s="4"/>
      <c r="D115" s="6">
        <v>96</v>
      </c>
      <c r="E115" s="6">
        <f>E114+C115-D115</f>
      </c>
      <c r="F115" s="2"/>
    </row>
    <row x14ac:dyDescent="0.25" r="116" customHeight="1" ht="17.25">
      <c r="A116" s="8">
        <v>45691</v>
      </c>
      <c r="B116" s="9" t="s">
        <v>273</v>
      </c>
      <c r="C116" s="6">
        <v>35</v>
      </c>
      <c r="D116" s="4"/>
      <c r="E116" s="6">
        <f>E115+C116-D116</f>
      </c>
      <c r="F116" s="2"/>
    </row>
    <row x14ac:dyDescent="0.25" r="117" customHeight="1" ht="17.25">
      <c r="A117" s="8">
        <v>45691</v>
      </c>
      <c r="B117" s="9" t="s">
        <v>35</v>
      </c>
      <c r="C117" s="6">
        <v>742</v>
      </c>
      <c r="D117" s="4"/>
      <c r="E117" s="6">
        <f>E116+C117-D117</f>
      </c>
      <c r="F117" s="2"/>
    </row>
    <row x14ac:dyDescent="0.25" r="118" customHeight="1" ht="17.25">
      <c r="A118" s="8">
        <v>45692</v>
      </c>
      <c r="B118" s="9" t="s">
        <v>433</v>
      </c>
      <c r="C118" s="4"/>
      <c r="D118" s="6">
        <v>10</v>
      </c>
      <c r="E118" s="6">
        <f>E117+C118-D118</f>
      </c>
      <c r="F118" s="2"/>
    </row>
    <row x14ac:dyDescent="0.25" r="119" customHeight="1" ht="17.25">
      <c r="A119" s="8">
        <v>45692</v>
      </c>
      <c r="B119" s="9" t="s">
        <v>378</v>
      </c>
      <c r="C119" s="6">
        <v>182</v>
      </c>
      <c r="D119" s="4"/>
      <c r="E119" s="6">
        <f>E118+C119-D119</f>
      </c>
      <c r="F119" s="2"/>
    </row>
    <row x14ac:dyDescent="0.25" r="120" customHeight="1" ht="17.25">
      <c r="A120" s="8">
        <v>45692</v>
      </c>
      <c r="B120" s="9" t="s">
        <v>378</v>
      </c>
      <c r="C120" s="6">
        <v>175</v>
      </c>
      <c r="D120" s="4"/>
      <c r="E120" s="6">
        <f>E119+C120-D120</f>
      </c>
      <c r="F120" s="2"/>
    </row>
    <row x14ac:dyDescent="0.25" r="121" customHeight="1" ht="17.25">
      <c r="A121" s="7">
        <v>45693</v>
      </c>
      <c r="B121" s="9" t="s">
        <v>435</v>
      </c>
      <c r="C121" s="4"/>
      <c r="D121" s="6">
        <v>60</v>
      </c>
      <c r="E121" s="6">
        <f>E120+C121-D121</f>
      </c>
      <c r="F121" s="2"/>
    </row>
    <row x14ac:dyDescent="0.25" r="122" customHeight="1" ht="17.25">
      <c r="A122" s="7">
        <v>45693</v>
      </c>
      <c r="B122" s="9" t="s">
        <v>35</v>
      </c>
      <c r="C122" s="6">
        <v>113</v>
      </c>
      <c r="D122" s="4"/>
      <c r="E122" s="6">
        <f>E121+C122-D122</f>
      </c>
      <c r="F122" s="2"/>
    </row>
    <row x14ac:dyDescent="0.25" r="123" customHeight="1" ht="17.25">
      <c r="A123" s="8">
        <v>45693</v>
      </c>
      <c r="B123" s="9" t="s">
        <v>269</v>
      </c>
      <c r="C123" s="6">
        <v>8</v>
      </c>
      <c r="D123" s="4"/>
      <c r="E123" s="6">
        <f>E122+C123-D123</f>
      </c>
      <c r="F123" s="2"/>
    </row>
    <row x14ac:dyDescent="0.25" r="124" customHeight="1" ht="17.25">
      <c r="A124" s="8">
        <v>45693</v>
      </c>
      <c r="B124" s="9" t="s">
        <v>378</v>
      </c>
      <c r="C124" s="6">
        <v>180</v>
      </c>
      <c r="D124" s="4"/>
      <c r="E124" s="6">
        <f>E123+C124-D124</f>
      </c>
      <c r="F124" s="2"/>
    </row>
    <row x14ac:dyDescent="0.25" r="125" customHeight="1" ht="17.25">
      <c r="A125" s="8">
        <v>45693</v>
      </c>
      <c r="B125" s="9" t="s">
        <v>376</v>
      </c>
      <c r="C125" s="6">
        <v>71</v>
      </c>
      <c r="D125" s="4"/>
      <c r="E125" s="6">
        <f>E124+C125-D125</f>
      </c>
      <c r="F125" s="2"/>
    </row>
    <row x14ac:dyDescent="0.25" r="126" customHeight="1" ht="17.25">
      <c r="A126" s="7">
        <v>45694</v>
      </c>
      <c r="B126" s="9" t="s">
        <v>382</v>
      </c>
      <c r="C126" s="6">
        <v>234</v>
      </c>
      <c r="D126" s="4"/>
      <c r="E126" s="6">
        <f>E125+C126-D126</f>
      </c>
      <c r="F126" s="2"/>
    </row>
    <row x14ac:dyDescent="0.25" r="127" customHeight="1" ht="17.25">
      <c r="A127" s="8">
        <v>45694</v>
      </c>
      <c r="B127" s="9" t="s">
        <v>189</v>
      </c>
      <c r="C127" s="6">
        <v>116</v>
      </c>
      <c r="D127" s="4"/>
      <c r="E127" s="6">
        <f>E126+C127-D127</f>
      </c>
      <c r="F127" s="2"/>
    </row>
    <row x14ac:dyDescent="0.25" r="128" customHeight="1" ht="17.25">
      <c r="A128" s="7">
        <v>45695</v>
      </c>
      <c r="B128" s="9" t="s">
        <v>3</v>
      </c>
      <c r="C128" s="4"/>
      <c r="D128" s="6">
        <v>220</v>
      </c>
      <c r="E128" s="6">
        <f>E127+C128-D128</f>
      </c>
      <c r="F128" s="2"/>
    </row>
    <row x14ac:dyDescent="0.25" r="129" customHeight="1" ht="17.25">
      <c r="A129" s="39">
        <v>45695</v>
      </c>
      <c r="B129" s="36" t="s">
        <v>284</v>
      </c>
      <c r="C129" s="32"/>
      <c r="D129" s="33">
        <v>20</v>
      </c>
      <c r="E129" s="33">
        <f>E128+C129-D129</f>
      </c>
      <c r="F129" s="31" t="s">
        <v>380</v>
      </c>
    </row>
    <row x14ac:dyDescent="0.25" r="130" customHeight="1" ht="17.25">
      <c r="A130" s="7">
        <v>45695</v>
      </c>
      <c r="B130" s="9" t="s">
        <v>479</v>
      </c>
      <c r="C130" s="6">
        <v>45</v>
      </c>
      <c r="D130" s="4"/>
      <c r="E130" s="6">
        <f>E129+C130-D130</f>
      </c>
      <c r="F130" s="2"/>
    </row>
    <row x14ac:dyDescent="0.25" r="131" customHeight="1" ht="17.25">
      <c r="A131" s="7">
        <v>45695</v>
      </c>
      <c r="B131" s="9" t="s">
        <v>31</v>
      </c>
      <c r="C131" s="6">
        <v>20</v>
      </c>
      <c r="D131" s="4"/>
      <c r="E131" s="6">
        <f>E130+C131-D131</f>
      </c>
      <c r="F131" s="2"/>
    </row>
    <row x14ac:dyDescent="0.25" r="132" customHeight="1" ht="17.25">
      <c r="A132" s="8">
        <v>45695</v>
      </c>
      <c r="B132" s="9" t="s">
        <v>11</v>
      </c>
      <c r="C132" s="6">
        <v>378</v>
      </c>
      <c r="D132" s="4"/>
      <c r="E132" s="6">
        <f>E131+C132-D132</f>
      </c>
      <c r="F132" s="2"/>
    </row>
    <row x14ac:dyDescent="0.25" r="133" customHeight="1" ht="17.25">
      <c r="A133" s="7">
        <v>45696</v>
      </c>
      <c r="B133" s="9" t="s">
        <v>3</v>
      </c>
      <c r="C133" s="4"/>
      <c r="D133" s="6">
        <v>100</v>
      </c>
      <c r="E133" s="6">
        <f>E132+C133-D133</f>
      </c>
      <c r="F133" s="2"/>
    </row>
    <row x14ac:dyDescent="0.25" r="134" customHeight="1" ht="17.25">
      <c r="A134" s="7">
        <v>45696</v>
      </c>
      <c r="B134" s="9" t="s">
        <v>35</v>
      </c>
      <c r="C134" s="6">
        <v>104</v>
      </c>
      <c r="D134" s="4"/>
      <c r="E134" s="6">
        <f>E133+C134-D134</f>
      </c>
      <c r="F134" s="2"/>
    </row>
    <row x14ac:dyDescent="0.25" r="135" customHeight="1" ht="17.25">
      <c r="A135" s="7">
        <v>45696</v>
      </c>
      <c r="B135" s="9" t="s">
        <v>189</v>
      </c>
      <c r="C135" s="6">
        <v>105</v>
      </c>
      <c r="D135" s="4"/>
      <c r="E135" s="6">
        <f>E134+C135-D135</f>
      </c>
      <c r="F135" s="2"/>
    </row>
    <row x14ac:dyDescent="0.25" r="136" customHeight="1" ht="17.25">
      <c r="A136" s="7">
        <v>45697</v>
      </c>
      <c r="B136" s="9" t="s">
        <v>29</v>
      </c>
      <c r="C136" s="4"/>
      <c r="D136" s="6">
        <v>550</v>
      </c>
      <c r="E136" s="6">
        <f>E135+C136-D136</f>
      </c>
      <c r="F136" s="2"/>
    </row>
    <row x14ac:dyDescent="0.25" r="137" customHeight="1" ht="17.25">
      <c r="A137" s="7">
        <v>45698</v>
      </c>
      <c r="B137" s="9" t="s">
        <v>3</v>
      </c>
      <c r="C137" s="4"/>
      <c r="D137" s="6">
        <v>100</v>
      </c>
      <c r="E137" s="6">
        <f>E136+C137-D137</f>
      </c>
      <c r="F137" s="2"/>
    </row>
    <row x14ac:dyDescent="0.25" r="138" customHeight="1" ht="17.25">
      <c r="A138" s="8">
        <v>45698</v>
      </c>
      <c r="B138" s="9" t="s">
        <v>11</v>
      </c>
      <c r="C138" s="6">
        <v>200</v>
      </c>
      <c r="D138" s="4"/>
      <c r="E138" s="6">
        <f>E137+C138-D138</f>
      </c>
      <c r="F138" s="2"/>
    </row>
    <row x14ac:dyDescent="0.25" r="139" customHeight="1" ht="17.25">
      <c r="A139" s="8">
        <v>45698</v>
      </c>
      <c r="B139" s="9" t="s">
        <v>35</v>
      </c>
      <c r="C139" s="6">
        <v>64</v>
      </c>
      <c r="D139" s="4"/>
      <c r="E139" s="6">
        <f>E138+C139-D139</f>
      </c>
      <c r="F139" s="2"/>
    </row>
    <row x14ac:dyDescent="0.25" r="140" customHeight="1" ht="17.25">
      <c r="A140" s="7">
        <v>45698</v>
      </c>
      <c r="B140" s="9" t="s">
        <v>384</v>
      </c>
      <c r="C140" s="6">
        <v>198</v>
      </c>
      <c r="D140" s="4"/>
      <c r="E140" s="6">
        <f>E139+C140-D140</f>
      </c>
      <c r="F140" s="2"/>
    </row>
    <row x14ac:dyDescent="0.25" r="141" customHeight="1" ht="17.25">
      <c r="A141" s="8">
        <v>45698</v>
      </c>
      <c r="B141" s="9" t="s">
        <v>269</v>
      </c>
      <c r="C141" s="6">
        <v>1</v>
      </c>
      <c r="D141" s="4"/>
      <c r="E141" s="6">
        <f>E140+C141-D141</f>
      </c>
      <c r="F141" s="2"/>
    </row>
    <row x14ac:dyDescent="0.25" r="142" customHeight="1" ht="17.25">
      <c r="A142" s="7">
        <v>45699</v>
      </c>
      <c r="B142" s="9" t="s">
        <v>29</v>
      </c>
      <c r="C142" s="4"/>
      <c r="D142" s="6">
        <v>870</v>
      </c>
      <c r="E142" s="6">
        <f>E141+C142-D142</f>
      </c>
      <c r="F142" s="2"/>
    </row>
    <row x14ac:dyDescent="0.25" r="143" customHeight="1" ht="17.25">
      <c r="A143" s="8">
        <v>45699</v>
      </c>
      <c r="B143" s="9" t="s">
        <v>131</v>
      </c>
      <c r="C143" s="6">
        <v>45</v>
      </c>
      <c r="D143" s="4"/>
      <c r="E143" s="6">
        <f>E142+C143-D143</f>
      </c>
      <c r="F143" s="2"/>
    </row>
    <row x14ac:dyDescent="0.25" r="144" customHeight="1" ht="17.25">
      <c r="A144" s="8">
        <v>45699</v>
      </c>
      <c r="B144" s="9" t="s">
        <v>189</v>
      </c>
      <c r="C144" s="6">
        <v>360</v>
      </c>
      <c r="D144" s="4"/>
      <c r="E144" s="6">
        <f>E143+C144-D144</f>
      </c>
      <c r="F144" s="2"/>
    </row>
    <row x14ac:dyDescent="0.25" r="145" customHeight="1" ht="17.25">
      <c r="A145" s="8">
        <v>45700</v>
      </c>
      <c r="B145" s="9" t="s">
        <v>34</v>
      </c>
      <c r="C145" s="4"/>
      <c r="D145" s="6">
        <v>500</v>
      </c>
      <c r="E145" s="6">
        <f>E144+C145-D145</f>
      </c>
      <c r="F145" s="2"/>
    </row>
    <row x14ac:dyDescent="0.25" r="146" customHeight="1" ht="17.25">
      <c r="A146" s="8">
        <v>45700</v>
      </c>
      <c r="B146" s="9" t="s">
        <v>35</v>
      </c>
      <c r="C146" s="6">
        <v>93</v>
      </c>
      <c r="D146" s="4"/>
      <c r="E146" s="6">
        <f>E145+C146-D146</f>
      </c>
      <c r="F146" s="2"/>
    </row>
    <row x14ac:dyDescent="0.25" r="147" customHeight="1" ht="17.25">
      <c r="A147" s="8">
        <v>45700</v>
      </c>
      <c r="B147" s="9" t="s">
        <v>35</v>
      </c>
      <c r="C147" s="6">
        <v>49</v>
      </c>
      <c r="D147" s="4"/>
      <c r="E147" s="6">
        <f>E146+C147-D147</f>
      </c>
      <c r="F147" s="2"/>
    </row>
    <row x14ac:dyDescent="0.25" r="148" customHeight="1" ht="17.25">
      <c r="A148" s="8">
        <v>45700</v>
      </c>
      <c r="B148" s="9" t="s">
        <v>406</v>
      </c>
      <c r="C148" s="6">
        <v>10</v>
      </c>
      <c r="D148" s="4"/>
      <c r="E148" s="6">
        <f>E147+C148-D148</f>
      </c>
      <c r="F148" s="2"/>
    </row>
    <row x14ac:dyDescent="0.25" r="149" customHeight="1" ht="17.25">
      <c r="A149" s="8">
        <v>45700</v>
      </c>
      <c r="B149" s="9" t="s">
        <v>189</v>
      </c>
      <c r="C149" s="6">
        <v>60</v>
      </c>
      <c r="D149" s="4"/>
      <c r="E149" s="6">
        <f>E148+C149-D149</f>
      </c>
      <c r="F149" s="2"/>
    </row>
    <row x14ac:dyDescent="0.25" r="150" customHeight="1" ht="17.25">
      <c r="A150" s="8">
        <v>45700</v>
      </c>
      <c r="B150" s="9" t="s">
        <v>376</v>
      </c>
      <c r="C150" s="6">
        <v>14</v>
      </c>
      <c r="D150" s="4"/>
      <c r="E150" s="6">
        <f>E149+C150-D150</f>
      </c>
      <c r="F150" s="2"/>
    </row>
    <row x14ac:dyDescent="0.25" r="151" customHeight="1" ht="17.25">
      <c r="A151" s="8">
        <v>45700</v>
      </c>
      <c r="B151" s="9" t="s">
        <v>412</v>
      </c>
      <c r="C151" s="6">
        <v>41</v>
      </c>
      <c r="D151" s="4"/>
      <c r="E151" s="6">
        <f>E150+C151-D151</f>
      </c>
      <c r="F151" s="2"/>
    </row>
    <row x14ac:dyDescent="0.25" r="152" customHeight="1" ht="17.25">
      <c r="A152" s="8">
        <v>45700</v>
      </c>
      <c r="B152" s="9" t="s">
        <v>11</v>
      </c>
      <c r="C152" s="6">
        <v>174</v>
      </c>
      <c r="D152" s="4"/>
      <c r="E152" s="6">
        <f>E151+C152-D152</f>
      </c>
      <c r="F152" s="2"/>
    </row>
    <row x14ac:dyDescent="0.25" r="153" customHeight="1" ht="17.25">
      <c r="A153" s="7">
        <v>45701</v>
      </c>
      <c r="B153" s="9" t="s">
        <v>34</v>
      </c>
      <c r="C153" s="4"/>
      <c r="D153" s="6">
        <v>300</v>
      </c>
      <c r="E153" s="6">
        <f>E152+C153-D153</f>
      </c>
      <c r="F153" s="2"/>
    </row>
    <row x14ac:dyDescent="0.25" r="154" customHeight="1" ht="17.25">
      <c r="A154" s="8">
        <v>45701</v>
      </c>
      <c r="B154" s="9" t="s">
        <v>542</v>
      </c>
      <c r="C154" s="6">
        <v>21</v>
      </c>
      <c r="D154" s="4"/>
      <c r="E154" s="6">
        <f>E153+C154-D154</f>
      </c>
      <c r="F154" s="2"/>
    </row>
    <row x14ac:dyDescent="0.25" r="155" customHeight="1" ht="17.25">
      <c r="A155" s="7">
        <v>45701</v>
      </c>
      <c r="B155" s="9" t="s">
        <v>382</v>
      </c>
      <c r="C155" s="6">
        <v>99</v>
      </c>
      <c r="D155" s="4"/>
      <c r="E155" s="6">
        <f>E154+C155-D155</f>
      </c>
      <c r="F155" s="2"/>
    </row>
    <row x14ac:dyDescent="0.25" r="156" customHeight="1" ht="17.25">
      <c r="A156" s="8">
        <v>45701</v>
      </c>
      <c r="B156" s="9" t="s">
        <v>11</v>
      </c>
      <c r="C156" s="6">
        <v>160</v>
      </c>
      <c r="D156" s="4"/>
      <c r="E156" s="6">
        <f>E155+C156-D156</f>
      </c>
      <c r="F156" s="2"/>
    </row>
    <row x14ac:dyDescent="0.25" r="157" customHeight="1" ht="17.25">
      <c r="A157" s="7">
        <v>45702</v>
      </c>
      <c r="B157" s="9" t="s">
        <v>436</v>
      </c>
      <c r="C157" s="4"/>
      <c r="D157" s="6">
        <v>30</v>
      </c>
      <c r="E157" s="6">
        <f>E156+C157-D157</f>
      </c>
      <c r="F157" s="2"/>
    </row>
    <row x14ac:dyDescent="0.25" r="158" customHeight="1" ht="17.25">
      <c r="A158" s="7">
        <v>45702</v>
      </c>
      <c r="B158" s="9" t="s">
        <v>39</v>
      </c>
      <c r="C158" s="6">
        <v>33</v>
      </c>
      <c r="D158" s="4"/>
      <c r="E158" s="6">
        <f>E157+C158-D158</f>
      </c>
      <c r="F158" s="2"/>
    </row>
    <row x14ac:dyDescent="0.25" r="159" customHeight="1" ht="17.25">
      <c r="A159" s="8">
        <v>45702</v>
      </c>
      <c r="B159" s="9" t="s">
        <v>382</v>
      </c>
      <c r="C159" s="6">
        <v>99</v>
      </c>
      <c r="D159" s="4"/>
      <c r="E159" s="6">
        <f>E158+C159-D159</f>
      </c>
      <c r="F159" s="2"/>
    </row>
    <row x14ac:dyDescent="0.25" r="160" customHeight="1" ht="17.25">
      <c r="A160" s="8">
        <v>45702</v>
      </c>
      <c r="B160" s="9" t="s">
        <v>189</v>
      </c>
      <c r="C160" s="6">
        <v>260</v>
      </c>
      <c r="D160" s="4"/>
      <c r="E160" s="6">
        <f>E159+C160-D160</f>
      </c>
      <c r="F160" s="2"/>
    </row>
    <row x14ac:dyDescent="0.25" r="161" customHeight="1" ht="17.25">
      <c r="A161" s="7">
        <v>45703</v>
      </c>
      <c r="B161" s="9" t="s">
        <v>376</v>
      </c>
      <c r="C161" s="6">
        <v>21</v>
      </c>
      <c r="D161" s="4"/>
      <c r="E161" s="6">
        <f>E160+C161-D161</f>
      </c>
      <c r="F161" s="2"/>
    </row>
    <row x14ac:dyDescent="0.25" r="162" customHeight="1" ht="17.25">
      <c r="A162" s="7">
        <v>45703</v>
      </c>
      <c r="B162" s="9" t="s">
        <v>414</v>
      </c>
      <c r="C162" s="6">
        <v>15</v>
      </c>
      <c r="D162" s="4"/>
      <c r="E162" s="6">
        <f>E161+C162-D162</f>
      </c>
      <c r="F162" s="2"/>
    </row>
    <row x14ac:dyDescent="0.25" r="163" customHeight="1" ht="17.25">
      <c r="A163" s="7">
        <v>45703</v>
      </c>
      <c r="B163" s="9" t="s">
        <v>382</v>
      </c>
      <c r="C163" s="6">
        <v>100</v>
      </c>
      <c r="D163" s="4"/>
      <c r="E163" s="6">
        <f>E162+C163-D163</f>
      </c>
      <c r="F163" s="2"/>
    </row>
    <row x14ac:dyDescent="0.25" r="164" customHeight="1" ht="17.25">
      <c r="A164" s="7">
        <v>45703</v>
      </c>
      <c r="B164" s="9" t="s">
        <v>382</v>
      </c>
      <c r="C164" s="6">
        <v>172</v>
      </c>
      <c r="D164" s="4"/>
      <c r="E164" s="6">
        <f>E163+C164-D164</f>
      </c>
      <c r="F164" s="2"/>
    </row>
    <row x14ac:dyDescent="0.25" r="165" customHeight="1" ht="17.25">
      <c r="A165" s="7">
        <v>45703</v>
      </c>
      <c r="B165" s="9" t="s">
        <v>31</v>
      </c>
      <c r="C165" s="6">
        <v>21</v>
      </c>
      <c r="D165" s="4"/>
      <c r="E165" s="6">
        <f>E164+C165-D165</f>
      </c>
      <c r="F165" s="2"/>
    </row>
    <row x14ac:dyDescent="0.25" r="166" customHeight="1" ht="17.25">
      <c r="A166" s="7">
        <v>45705</v>
      </c>
      <c r="B166" s="9" t="s">
        <v>3</v>
      </c>
      <c r="C166" s="4"/>
      <c r="D166" s="6">
        <v>80</v>
      </c>
      <c r="E166" s="6">
        <f>E165+C166-D166</f>
      </c>
      <c r="F166" s="2"/>
    </row>
    <row x14ac:dyDescent="0.25" r="167" customHeight="1" ht="17.25">
      <c r="A167" s="7">
        <v>45705</v>
      </c>
      <c r="B167" s="9" t="s">
        <v>437</v>
      </c>
      <c r="C167" s="4"/>
      <c r="D167" s="6">
        <v>16</v>
      </c>
      <c r="E167" s="6">
        <f>E166+C167-D167</f>
      </c>
      <c r="F167" s="2"/>
    </row>
    <row x14ac:dyDescent="0.25" r="168" customHeight="1" ht="17.25">
      <c r="A168" s="8">
        <v>45705</v>
      </c>
      <c r="B168" s="9" t="s">
        <v>177</v>
      </c>
      <c r="C168" s="6">
        <v>12</v>
      </c>
      <c r="D168" s="4"/>
      <c r="E168" s="6">
        <f>E167+C168-D168</f>
      </c>
      <c r="F168" s="2"/>
    </row>
    <row x14ac:dyDescent="0.25" r="169" customHeight="1" ht="17.25">
      <c r="A169" s="7">
        <v>45705</v>
      </c>
      <c r="B169" s="9" t="s">
        <v>189</v>
      </c>
      <c r="C169" s="6">
        <v>175</v>
      </c>
      <c r="D169" s="4"/>
      <c r="E169" s="6">
        <f>E168+C169-D169</f>
      </c>
      <c r="F169" s="2"/>
    </row>
    <row x14ac:dyDescent="0.25" r="170" customHeight="1" ht="17.25">
      <c r="A170" s="8">
        <v>45705</v>
      </c>
      <c r="B170" s="9" t="s">
        <v>131</v>
      </c>
      <c r="C170" s="6">
        <v>24</v>
      </c>
      <c r="D170" s="4"/>
      <c r="E170" s="6">
        <f>E169+C170-D170</f>
      </c>
      <c r="F170" s="2"/>
    </row>
    <row x14ac:dyDescent="0.25" r="171" customHeight="1" ht="17.25">
      <c r="A171" s="7">
        <v>45705</v>
      </c>
      <c r="B171" s="9" t="s">
        <v>543</v>
      </c>
      <c r="C171" s="6">
        <v>100</v>
      </c>
      <c r="D171" s="4"/>
      <c r="E171" s="6">
        <f>E170+C171-D171</f>
      </c>
      <c r="F171" s="2"/>
    </row>
    <row x14ac:dyDescent="0.25" r="172" customHeight="1" ht="17.25">
      <c r="A172" s="7">
        <v>45705</v>
      </c>
      <c r="B172" s="9" t="s">
        <v>119</v>
      </c>
      <c r="C172" s="6">
        <v>98</v>
      </c>
      <c r="D172" s="4"/>
      <c r="E172" s="6">
        <f>E171+C172-D172</f>
      </c>
      <c r="F172" s="2"/>
    </row>
    <row x14ac:dyDescent="0.25" r="173" customHeight="1" ht="17.25">
      <c r="A173" s="8">
        <v>45706</v>
      </c>
      <c r="B173" s="9" t="s">
        <v>283</v>
      </c>
      <c r="C173" s="6">
        <v>100</v>
      </c>
      <c r="D173" s="4"/>
      <c r="E173" s="6">
        <f>E172+C173-D173</f>
      </c>
      <c r="F173" s="2"/>
    </row>
    <row x14ac:dyDescent="0.25" r="174" customHeight="1" ht="17.25">
      <c r="A174" s="8">
        <v>45706</v>
      </c>
      <c r="B174" s="9" t="s">
        <v>189</v>
      </c>
      <c r="C174" s="6">
        <v>162</v>
      </c>
      <c r="D174" s="4"/>
      <c r="E174" s="6">
        <f>E173+C174-D174</f>
      </c>
      <c r="F174" s="2"/>
    </row>
    <row x14ac:dyDescent="0.25" r="175" customHeight="1" ht="17.25">
      <c r="A175" s="8">
        <v>45706</v>
      </c>
      <c r="B175" s="9" t="s">
        <v>375</v>
      </c>
      <c r="C175" s="6">
        <v>69</v>
      </c>
      <c r="D175" s="4"/>
      <c r="E175" s="6">
        <f>E174+C175-D175</f>
      </c>
      <c r="F175" s="2"/>
    </row>
    <row x14ac:dyDescent="0.25" r="176" customHeight="1" ht="17.25">
      <c r="A176" s="39">
        <v>45707</v>
      </c>
      <c r="B176" s="36" t="s">
        <v>227</v>
      </c>
      <c r="C176" s="32"/>
      <c r="D176" s="33">
        <v>66</v>
      </c>
      <c r="E176" s="33">
        <f>E175+C176-D176</f>
      </c>
      <c r="F176" s="31" t="s">
        <v>590</v>
      </c>
    </row>
    <row x14ac:dyDescent="0.25" r="177" customHeight="1" ht="17.25">
      <c r="A177" s="8">
        <v>45708</v>
      </c>
      <c r="B177" s="9" t="s">
        <v>3</v>
      </c>
      <c r="C177" s="26"/>
      <c r="D177" s="27">
        <v>100</v>
      </c>
      <c r="E177" s="6">
        <f>E176+C177-D177</f>
      </c>
      <c r="F177" s="2"/>
    </row>
    <row x14ac:dyDescent="0.25" r="178" customHeight="1" ht="17.25">
      <c r="A178" s="8">
        <v>45708</v>
      </c>
      <c r="B178" s="9" t="s">
        <v>3</v>
      </c>
      <c r="C178" s="26"/>
      <c r="D178" s="27">
        <v>300</v>
      </c>
      <c r="E178" s="6">
        <f>E177+C178-D178</f>
      </c>
      <c r="F178" s="2"/>
    </row>
    <row x14ac:dyDescent="0.25" r="179" customHeight="1" ht="17.25">
      <c r="A179" s="7">
        <v>45708</v>
      </c>
      <c r="B179" s="9" t="s">
        <v>437</v>
      </c>
      <c r="C179" s="4"/>
      <c r="D179" s="6">
        <v>10</v>
      </c>
      <c r="E179" s="6">
        <f>E178+C179-D179</f>
      </c>
      <c r="F179" s="2"/>
    </row>
    <row x14ac:dyDescent="0.25" r="180" customHeight="1" ht="17.25">
      <c r="A180" s="7">
        <v>45708</v>
      </c>
      <c r="B180" s="9" t="s">
        <v>272</v>
      </c>
      <c r="C180" s="4"/>
      <c r="D180" s="6">
        <v>200</v>
      </c>
      <c r="E180" s="6">
        <f>E179+C180-D180</f>
      </c>
      <c r="F180" s="2"/>
    </row>
    <row x14ac:dyDescent="0.25" r="181" customHeight="1" ht="17.25">
      <c r="A181" s="7">
        <v>45708</v>
      </c>
      <c r="B181" s="9" t="s">
        <v>485</v>
      </c>
      <c r="C181" s="4"/>
      <c r="D181" s="6">
        <v>85</v>
      </c>
      <c r="E181" s="6">
        <f>E180+C181-D181</f>
      </c>
      <c r="F181" s="2"/>
    </row>
    <row x14ac:dyDescent="0.25" r="182" customHeight="1" ht="17.25">
      <c r="A182" s="7">
        <v>45708</v>
      </c>
      <c r="B182" s="9" t="s">
        <v>433</v>
      </c>
      <c r="C182" s="6">
        <v>10</v>
      </c>
      <c r="D182" s="4"/>
      <c r="E182" s="6">
        <f>E181+C182-D182</f>
      </c>
      <c r="F182" s="2"/>
    </row>
    <row x14ac:dyDescent="0.25" r="183" customHeight="1" ht="17.25">
      <c r="A183" s="7">
        <v>45708</v>
      </c>
      <c r="B183" s="9" t="s">
        <v>189</v>
      </c>
      <c r="C183" s="6">
        <v>143</v>
      </c>
      <c r="D183" s="4"/>
      <c r="E183" s="6">
        <f>E182+C183-D183</f>
      </c>
      <c r="F183" s="2"/>
    </row>
    <row x14ac:dyDescent="0.25" r="184" customHeight="1" ht="17.25">
      <c r="A184" s="8">
        <v>45709</v>
      </c>
      <c r="B184" s="9" t="s">
        <v>227</v>
      </c>
      <c r="C184" s="4"/>
      <c r="D184" s="6">
        <v>50</v>
      </c>
      <c r="E184" s="6">
        <f>E183+C184-D184</f>
      </c>
      <c r="F184" s="2"/>
    </row>
    <row x14ac:dyDescent="0.25" r="185" customHeight="1" ht="17.25">
      <c r="A185" s="7">
        <v>45709</v>
      </c>
      <c r="B185" s="9" t="s">
        <v>452</v>
      </c>
      <c r="C185" s="4"/>
      <c r="D185" s="6">
        <v>100</v>
      </c>
      <c r="E185" s="6">
        <f>E184+C185-D185</f>
      </c>
      <c r="F185" s="2"/>
    </row>
    <row x14ac:dyDescent="0.25" r="186" customHeight="1" ht="17.25">
      <c r="A186" s="7">
        <v>45709</v>
      </c>
      <c r="B186" s="9" t="s">
        <v>485</v>
      </c>
      <c r="C186" s="4"/>
      <c r="D186" s="6">
        <v>38</v>
      </c>
      <c r="E186" s="6">
        <f>E185+C186-D186</f>
      </c>
      <c r="F186" s="2"/>
    </row>
    <row x14ac:dyDescent="0.25" r="187" customHeight="1" ht="17.25">
      <c r="A187" s="8">
        <v>45709</v>
      </c>
      <c r="B187" s="9" t="s">
        <v>39</v>
      </c>
      <c r="C187" s="6">
        <v>63</v>
      </c>
      <c r="D187" s="4"/>
      <c r="E187" s="6">
        <f>E186+C187-D187</f>
      </c>
      <c r="F187" s="2"/>
    </row>
    <row x14ac:dyDescent="0.25" r="188" customHeight="1" ht="17.25">
      <c r="A188" s="8">
        <v>45709</v>
      </c>
      <c r="B188" s="9" t="s">
        <v>131</v>
      </c>
      <c r="C188" s="6">
        <v>57</v>
      </c>
      <c r="D188" s="4"/>
      <c r="E188" s="6">
        <f>E187+C188-D188</f>
      </c>
      <c r="F188" s="2"/>
    </row>
    <row x14ac:dyDescent="0.25" r="189" customHeight="1" ht="17.25">
      <c r="A189" s="8">
        <v>45709</v>
      </c>
      <c r="B189" s="9" t="s">
        <v>189</v>
      </c>
      <c r="C189" s="6">
        <v>104</v>
      </c>
      <c r="D189" s="4"/>
      <c r="E189" s="6">
        <f>E188+C189-D189</f>
      </c>
      <c r="F189" s="2"/>
    </row>
    <row x14ac:dyDescent="0.25" r="190" customHeight="1" ht="17.25">
      <c r="A190" s="7">
        <v>45709</v>
      </c>
      <c r="B190" s="9" t="s">
        <v>415</v>
      </c>
      <c r="C190" s="6">
        <v>61</v>
      </c>
      <c r="D190" s="4"/>
      <c r="E190" s="6">
        <f>E189+C190-D190</f>
      </c>
      <c r="F190" s="2"/>
    </row>
    <row x14ac:dyDescent="0.25" r="191" customHeight="1" ht="17.25">
      <c r="A191" s="8">
        <v>45709</v>
      </c>
      <c r="B191" s="9" t="s">
        <v>35</v>
      </c>
      <c r="C191" s="6">
        <v>102</v>
      </c>
      <c r="D191" s="4"/>
      <c r="E191" s="6">
        <f>E190+C191-D191</f>
      </c>
      <c r="F191" s="2"/>
    </row>
    <row x14ac:dyDescent="0.25" r="192" customHeight="1" ht="17.25">
      <c r="A192" s="8">
        <v>45709</v>
      </c>
      <c r="B192" s="9" t="s">
        <v>35</v>
      </c>
      <c r="C192" s="6">
        <v>151</v>
      </c>
      <c r="D192" s="4"/>
      <c r="E192" s="6">
        <f>E191+C192-D192</f>
      </c>
      <c r="F192" s="2"/>
    </row>
    <row x14ac:dyDescent="0.25" r="193" customHeight="1" ht="17.25">
      <c r="A193" s="8">
        <v>45709</v>
      </c>
      <c r="B193" s="9" t="s">
        <v>269</v>
      </c>
      <c r="C193" s="6">
        <v>92</v>
      </c>
      <c r="D193" s="4"/>
      <c r="E193" s="6">
        <f>E192+C193-D193</f>
      </c>
      <c r="F193" s="2"/>
    </row>
    <row x14ac:dyDescent="0.25" r="194" customHeight="1" ht="17.25">
      <c r="A194" s="7">
        <v>45712</v>
      </c>
      <c r="B194" s="9" t="s">
        <v>4</v>
      </c>
      <c r="C194" s="4"/>
      <c r="D194" s="6">
        <v>82</v>
      </c>
      <c r="E194" s="6">
        <f>E193+C194-D194</f>
      </c>
      <c r="F194" s="2"/>
    </row>
    <row x14ac:dyDescent="0.25" r="195" customHeight="1" ht="17.25">
      <c r="A195" s="7">
        <v>45712</v>
      </c>
      <c r="B195" s="9" t="s">
        <v>413</v>
      </c>
      <c r="C195" s="6">
        <v>24</v>
      </c>
      <c r="D195" s="4"/>
      <c r="E195" s="6">
        <f>E194+C195-D195</f>
      </c>
      <c r="F195" s="2"/>
    </row>
    <row x14ac:dyDescent="0.25" r="196" customHeight="1" ht="17.25">
      <c r="A196" s="7">
        <v>45712</v>
      </c>
      <c r="B196" s="9" t="s">
        <v>591</v>
      </c>
      <c r="C196" s="6">
        <v>8</v>
      </c>
      <c r="D196" s="4"/>
      <c r="E196" s="6">
        <f>E195+C196-D196</f>
      </c>
      <c r="F196" s="2"/>
    </row>
    <row x14ac:dyDescent="0.25" r="197" customHeight="1" ht="17.25">
      <c r="A197" s="7">
        <v>45712</v>
      </c>
      <c r="B197" s="9" t="s">
        <v>257</v>
      </c>
      <c r="C197" s="6">
        <v>80</v>
      </c>
      <c r="D197" s="4"/>
      <c r="E197" s="6">
        <f>E196+C197-D197</f>
      </c>
      <c r="F197" s="2"/>
    </row>
    <row x14ac:dyDescent="0.25" r="198" customHeight="1" ht="17.25">
      <c r="A198" s="8">
        <v>45712</v>
      </c>
      <c r="B198" s="9" t="s">
        <v>270</v>
      </c>
      <c r="C198" s="6">
        <v>270</v>
      </c>
      <c r="D198" s="4"/>
      <c r="E198" s="6">
        <f>E197+C198-D198</f>
      </c>
      <c r="F198" s="2"/>
    </row>
    <row x14ac:dyDescent="0.25" r="199" customHeight="1" ht="17.25">
      <c r="A199" s="8">
        <v>45712</v>
      </c>
      <c r="B199" s="9" t="s">
        <v>189</v>
      </c>
      <c r="C199" s="6">
        <v>100</v>
      </c>
      <c r="D199" s="4"/>
      <c r="E199" s="6">
        <f>E198+C199-D199</f>
      </c>
      <c r="F199" s="2"/>
    </row>
    <row x14ac:dyDescent="0.25" r="200" customHeight="1" ht="17.25">
      <c r="A200" s="7">
        <v>45712</v>
      </c>
      <c r="B200" s="9" t="s">
        <v>274</v>
      </c>
      <c r="C200" s="6">
        <v>18</v>
      </c>
      <c r="D200" s="4"/>
      <c r="E200" s="6">
        <f>E199+C200-D200</f>
      </c>
      <c r="F200" s="2"/>
    </row>
    <row x14ac:dyDescent="0.25" r="201" customHeight="1" ht="17.25">
      <c r="A201" s="7">
        <v>45713</v>
      </c>
      <c r="B201" s="9" t="s">
        <v>29</v>
      </c>
      <c r="C201" s="4"/>
      <c r="D201" s="6">
        <v>840</v>
      </c>
      <c r="E201" s="6">
        <f>E200+C201-D201</f>
      </c>
      <c r="F201" s="2"/>
    </row>
    <row x14ac:dyDescent="0.25" r="202" customHeight="1" ht="17.25">
      <c r="A202" s="7">
        <v>45713</v>
      </c>
      <c r="B202" s="9" t="s">
        <v>44</v>
      </c>
      <c r="C202" s="4"/>
      <c r="D202" s="6">
        <v>60</v>
      </c>
      <c r="E202" s="6">
        <f>E201+C202-D202</f>
      </c>
      <c r="F202" s="2"/>
    </row>
    <row x14ac:dyDescent="0.25" r="203" customHeight="1" ht="17.25">
      <c r="A203" s="8">
        <v>45713</v>
      </c>
      <c r="B203" s="9" t="s">
        <v>131</v>
      </c>
      <c r="C203" s="6">
        <v>14</v>
      </c>
      <c r="D203" s="4"/>
      <c r="E203" s="6">
        <f>E202+C203-D203</f>
      </c>
      <c r="F203" s="2"/>
    </row>
    <row x14ac:dyDescent="0.25" r="204" customHeight="1" ht="17.25">
      <c r="A204" s="8">
        <v>45713</v>
      </c>
      <c r="B204" s="9" t="s">
        <v>131</v>
      </c>
      <c r="C204" s="6">
        <v>54</v>
      </c>
      <c r="D204" s="4"/>
      <c r="E204" s="6">
        <f>E203+C204-D204</f>
      </c>
      <c r="F204" s="2"/>
    </row>
    <row x14ac:dyDescent="0.25" r="205" customHeight="1" ht="17.25">
      <c r="A205" s="7">
        <v>45714</v>
      </c>
      <c r="B205" s="9" t="s">
        <v>3</v>
      </c>
      <c r="C205" s="4"/>
      <c r="D205" s="6">
        <v>200</v>
      </c>
      <c r="E205" s="6">
        <f>E204+C205-D205</f>
      </c>
      <c r="F205" s="2"/>
    </row>
    <row x14ac:dyDescent="0.25" r="206" customHeight="1" ht="17.25">
      <c r="A206" s="8">
        <v>45714</v>
      </c>
      <c r="B206" s="9" t="s">
        <v>39</v>
      </c>
      <c r="C206" s="6">
        <v>180</v>
      </c>
      <c r="D206" s="4"/>
      <c r="E206" s="6">
        <f>E205+C206-D206</f>
      </c>
      <c r="F206" s="2"/>
    </row>
    <row x14ac:dyDescent="0.25" r="207" customHeight="1" ht="17.25">
      <c r="A207" s="7">
        <v>45714</v>
      </c>
      <c r="B207" s="9" t="s">
        <v>2</v>
      </c>
      <c r="C207" s="6">
        <v>52</v>
      </c>
      <c r="D207" s="4"/>
      <c r="E207" s="6">
        <f>E206+C207-D207</f>
      </c>
      <c r="F207" s="2"/>
    </row>
    <row x14ac:dyDescent="0.25" r="208" customHeight="1" ht="17.25">
      <c r="A208" s="7">
        <v>45715</v>
      </c>
      <c r="B208" s="9" t="s">
        <v>291</v>
      </c>
      <c r="C208" s="4"/>
      <c r="D208" s="6">
        <v>410</v>
      </c>
      <c r="E208" s="6">
        <f>E207+C208-D208</f>
      </c>
      <c r="F208" s="2"/>
    </row>
    <row x14ac:dyDescent="0.25" r="209" customHeight="1" ht="17.25">
      <c r="A209" s="7">
        <v>45715</v>
      </c>
      <c r="B209" s="9" t="s">
        <v>3</v>
      </c>
      <c r="C209" s="4"/>
      <c r="D209" s="6">
        <v>100</v>
      </c>
      <c r="E209" s="6">
        <f>E208+C209-D209</f>
      </c>
      <c r="F209" s="2"/>
    </row>
    <row x14ac:dyDescent="0.25" r="210" customHeight="1" ht="17.25">
      <c r="A210" s="7">
        <v>45715</v>
      </c>
      <c r="B210" s="9" t="s">
        <v>266</v>
      </c>
      <c r="C210" s="4"/>
      <c r="D210" s="6">
        <v>20</v>
      </c>
      <c r="E210" s="6">
        <f>E209+C210-D210</f>
      </c>
      <c r="F210" s="2"/>
    </row>
    <row x14ac:dyDescent="0.25" r="211" customHeight="1" ht="17.25">
      <c r="A211" s="7">
        <v>45715</v>
      </c>
      <c r="B211" s="9" t="s">
        <v>440</v>
      </c>
      <c r="C211" s="4"/>
      <c r="D211" s="6">
        <v>14</v>
      </c>
      <c r="E211" s="6">
        <f>E210+C211-D211</f>
      </c>
      <c r="F211" s="2"/>
    </row>
    <row x14ac:dyDescent="0.25" r="212" customHeight="1" ht="17.25">
      <c r="A212" s="7">
        <v>45715</v>
      </c>
      <c r="B212" s="9" t="s">
        <v>240</v>
      </c>
      <c r="C212" s="6">
        <v>2</v>
      </c>
      <c r="D212" s="4"/>
      <c r="E212" s="6">
        <f>E211+C212-D212</f>
      </c>
      <c r="F212" s="2"/>
    </row>
    <row x14ac:dyDescent="0.25" r="213" customHeight="1" ht="17.25">
      <c r="A213" s="7">
        <v>45716</v>
      </c>
      <c r="B213" s="9" t="s">
        <v>179</v>
      </c>
      <c r="C213" s="4"/>
      <c r="D213" s="6">
        <v>80</v>
      </c>
      <c r="E213" s="6">
        <f>E212+C213-D213</f>
      </c>
      <c r="F213" s="2"/>
    </row>
    <row x14ac:dyDescent="0.25" r="214" customHeight="1" ht="17.25">
      <c r="A214" s="7">
        <v>45716</v>
      </c>
      <c r="B214" s="9" t="s">
        <v>227</v>
      </c>
      <c r="C214" s="4"/>
      <c r="D214" s="6">
        <v>40</v>
      </c>
      <c r="E214" s="6">
        <f>E213+C214-D214</f>
      </c>
      <c r="F214" s="2"/>
    </row>
    <row x14ac:dyDescent="0.25" r="215" customHeight="1" ht="17.25">
      <c r="A215" s="7">
        <v>45716</v>
      </c>
      <c r="B215" s="9" t="s">
        <v>540</v>
      </c>
      <c r="C215" s="4"/>
      <c r="D215" s="6">
        <v>40</v>
      </c>
      <c r="E215" s="6">
        <f>E214+C215-D215</f>
      </c>
      <c r="F215" s="2"/>
    </row>
    <row x14ac:dyDescent="0.25" r="216" customHeight="1" ht="17.25">
      <c r="A216" s="8">
        <v>45716</v>
      </c>
      <c r="B216" s="9" t="s">
        <v>487</v>
      </c>
      <c r="C216" s="4"/>
      <c r="D216" s="6">
        <v>50</v>
      </c>
      <c r="E216" s="6">
        <f>E215+C216-D216</f>
      </c>
      <c r="F216" s="2"/>
    </row>
    <row x14ac:dyDescent="0.25" r="217" customHeight="1" ht="17.25">
      <c r="A217" s="8">
        <v>45717</v>
      </c>
      <c r="B217" s="9" t="s">
        <v>592</v>
      </c>
      <c r="C217" s="4"/>
      <c r="D217" s="6">
        <v>200</v>
      </c>
      <c r="E217" s="6">
        <f>E216+C217-D217</f>
      </c>
      <c r="F217" s="2"/>
    </row>
    <row x14ac:dyDescent="0.25" r="218" customHeight="1" ht="17.25">
      <c r="A218" s="8">
        <v>45717</v>
      </c>
      <c r="B218" s="9" t="s">
        <v>487</v>
      </c>
      <c r="C218" s="4"/>
      <c r="D218" s="6">
        <v>50</v>
      </c>
      <c r="E218" s="6">
        <f>E217+C218-D218</f>
      </c>
      <c r="F218" s="2"/>
    </row>
    <row x14ac:dyDescent="0.25" r="219" customHeight="1" ht="17.25">
      <c r="A219" s="8">
        <v>45717</v>
      </c>
      <c r="B219" s="9" t="s">
        <v>189</v>
      </c>
      <c r="C219" s="6">
        <v>47</v>
      </c>
      <c r="D219" s="4"/>
      <c r="E219" s="6">
        <f>E218+C219-D219</f>
      </c>
      <c r="F219" s="2"/>
    </row>
    <row x14ac:dyDescent="0.25" r="220" customHeight="1" ht="17.25">
      <c r="A220" s="7">
        <v>45719</v>
      </c>
      <c r="B220" s="9" t="s">
        <v>3</v>
      </c>
      <c r="C220" s="4"/>
      <c r="D220" s="6">
        <v>100</v>
      </c>
      <c r="E220" s="6">
        <f>E219+C220-D220</f>
      </c>
      <c r="F220" s="2"/>
    </row>
    <row x14ac:dyDescent="0.25" r="221" customHeight="1" ht="17.25">
      <c r="A221" s="7">
        <v>45719</v>
      </c>
      <c r="B221" s="9" t="s">
        <v>141</v>
      </c>
      <c r="C221" s="4"/>
      <c r="D221" s="6">
        <v>150</v>
      </c>
      <c r="E221" s="6">
        <f>E220+C221-D221</f>
      </c>
      <c r="F221" s="2"/>
    </row>
    <row x14ac:dyDescent="0.25" r="222" customHeight="1" ht="17.25">
      <c r="A222" s="7">
        <v>45719</v>
      </c>
      <c r="B222" s="9" t="s">
        <v>315</v>
      </c>
      <c r="C222" s="6">
        <v>105</v>
      </c>
      <c r="D222" s="4"/>
      <c r="E222" s="6">
        <f>E221+C222-D222</f>
      </c>
      <c r="F222" s="2"/>
    </row>
    <row x14ac:dyDescent="0.25" r="223" customHeight="1" ht="17.25">
      <c r="A223" s="7">
        <v>45719</v>
      </c>
      <c r="B223" s="9" t="s">
        <v>35</v>
      </c>
      <c r="C223" s="6">
        <v>59</v>
      </c>
      <c r="D223" s="4"/>
      <c r="E223" s="6">
        <f>E222+C223-D223</f>
      </c>
      <c r="F223" s="2"/>
    </row>
    <row x14ac:dyDescent="0.25" r="224" customHeight="1" ht="17.25">
      <c r="A224" s="8">
        <v>45719</v>
      </c>
      <c r="B224" s="9" t="s">
        <v>118</v>
      </c>
      <c r="C224" s="6">
        <v>175</v>
      </c>
      <c r="D224" s="4"/>
      <c r="E224" s="6">
        <f>E223+C224-D224</f>
      </c>
      <c r="F224" s="2"/>
    </row>
    <row x14ac:dyDescent="0.25" r="225" customHeight="1" ht="17.25">
      <c r="A225" s="7">
        <v>45720</v>
      </c>
      <c r="B225" s="9" t="s">
        <v>387</v>
      </c>
      <c r="C225" s="4"/>
      <c r="D225" s="6">
        <v>235</v>
      </c>
      <c r="E225" s="6">
        <f>E224+C225-D225</f>
      </c>
      <c r="F225" s="2"/>
    </row>
    <row x14ac:dyDescent="0.25" r="226" customHeight="1" ht="17.25">
      <c r="A226" s="7">
        <v>45720</v>
      </c>
      <c r="B226" s="9" t="s">
        <v>412</v>
      </c>
      <c r="C226" s="4"/>
      <c r="D226" s="6">
        <v>70</v>
      </c>
      <c r="E226" s="6">
        <f>E225+C226-D226</f>
      </c>
      <c r="F226" s="2"/>
    </row>
    <row x14ac:dyDescent="0.25" r="227" customHeight="1" ht="17.25">
      <c r="A227" s="7">
        <v>45720</v>
      </c>
      <c r="B227" s="9" t="s">
        <v>3</v>
      </c>
      <c r="C227" s="4"/>
      <c r="D227" s="6">
        <v>50</v>
      </c>
      <c r="E227" s="6">
        <f>E226+C227-D227</f>
      </c>
      <c r="F227" s="2"/>
    </row>
    <row x14ac:dyDescent="0.25" r="228" customHeight="1" ht="17.25">
      <c r="A228" s="7">
        <v>45720</v>
      </c>
      <c r="B228" s="9" t="s">
        <v>440</v>
      </c>
      <c r="C228" s="6">
        <v>14</v>
      </c>
      <c r="D228" s="4"/>
      <c r="E228" s="6">
        <f>E227+C228-D228</f>
      </c>
      <c r="F228" s="2"/>
    </row>
    <row x14ac:dyDescent="0.25" r="229" customHeight="1" ht="17.25">
      <c r="A229" s="7">
        <v>45721</v>
      </c>
      <c r="B229" s="9" t="s">
        <v>3</v>
      </c>
      <c r="C229" s="4"/>
      <c r="D229" s="6">
        <v>50</v>
      </c>
      <c r="E229" s="6">
        <f>E228+C229-D229</f>
      </c>
      <c r="F229" s="2"/>
    </row>
    <row x14ac:dyDescent="0.25" r="230" customHeight="1" ht="17.25">
      <c r="A230" s="7">
        <v>45721</v>
      </c>
      <c r="B230" s="9" t="s">
        <v>3</v>
      </c>
      <c r="C230" s="4"/>
      <c r="D230" s="6">
        <v>150</v>
      </c>
      <c r="E230" s="6">
        <f>E229+C230-D230</f>
      </c>
      <c r="F230" s="2"/>
    </row>
    <row x14ac:dyDescent="0.25" r="231" customHeight="1" ht="17.25">
      <c r="A231" s="7">
        <v>45721</v>
      </c>
      <c r="B231" s="9" t="s">
        <v>3</v>
      </c>
      <c r="C231" s="4"/>
      <c r="D231" s="6">
        <v>50</v>
      </c>
      <c r="E231" s="6">
        <f>E230+C231-D231</f>
      </c>
      <c r="F231" s="2"/>
    </row>
    <row x14ac:dyDescent="0.25" r="232" customHeight="1" ht="17.25">
      <c r="A232" s="8">
        <v>45721</v>
      </c>
      <c r="B232" s="9" t="s">
        <v>39</v>
      </c>
      <c r="C232" s="6">
        <v>390</v>
      </c>
      <c r="D232" s="4"/>
      <c r="E232" s="6">
        <f>E231+C232-D232</f>
      </c>
      <c r="F232" s="2"/>
    </row>
    <row x14ac:dyDescent="0.25" r="233" customHeight="1" ht="17.25">
      <c r="A233" s="7">
        <v>45721</v>
      </c>
      <c r="B233" s="9" t="s">
        <v>437</v>
      </c>
      <c r="C233" s="6">
        <v>26</v>
      </c>
      <c r="D233" s="4"/>
      <c r="E233" s="6">
        <f>E232+C233-D233</f>
      </c>
      <c r="F233" s="2"/>
    </row>
    <row x14ac:dyDescent="0.25" r="234" customHeight="1" ht="17.25">
      <c r="A234" s="7">
        <v>45721</v>
      </c>
      <c r="B234" s="9" t="s">
        <v>543</v>
      </c>
      <c r="C234" s="6">
        <v>74</v>
      </c>
      <c r="D234" s="4"/>
      <c r="E234" s="6">
        <f>E233+C234-D234</f>
      </c>
      <c r="F234" s="2"/>
    </row>
    <row x14ac:dyDescent="0.25" r="235" customHeight="1" ht="17.25">
      <c r="A235" s="7">
        <v>45721</v>
      </c>
      <c r="B235" s="9" t="s">
        <v>375</v>
      </c>
      <c r="C235" s="6">
        <v>50</v>
      </c>
      <c r="D235" s="4"/>
      <c r="E235" s="6">
        <f>E234+C235-D235</f>
      </c>
      <c r="F235" s="2"/>
    </row>
    <row x14ac:dyDescent="0.25" r="236" customHeight="1" ht="17.25">
      <c r="A236" s="7">
        <v>45722</v>
      </c>
      <c r="B236" s="9" t="s">
        <v>387</v>
      </c>
      <c r="C236" s="4"/>
      <c r="D236" s="6">
        <v>234</v>
      </c>
      <c r="E236" s="6">
        <f>E235+C236-D236</f>
      </c>
      <c r="F236" s="2"/>
    </row>
    <row x14ac:dyDescent="0.25" r="237" customHeight="1" ht="17.25">
      <c r="A237" s="7">
        <v>45722</v>
      </c>
      <c r="B237" s="9" t="s">
        <v>29</v>
      </c>
      <c r="C237" s="4"/>
      <c r="D237" s="6">
        <v>800</v>
      </c>
      <c r="E237" s="6">
        <f>E236+C237-D237</f>
      </c>
      <c r="F237" s="2"/>
    </row>
    <row x14ac:dyDescent="0.25" r="238" customHeight="1" ht="17.25">
      <c r="A238" s="7">
        <v>45722</v>
      </c>
      <c r="B238" s="9" t="s">
        <v>489</v>
      </c>
      <c r="C238" s="6">
        <v>200</v>
      </c>
      <c r="D238" s="4"/>
      <c r="E238" s="6">
        <f>E237+C238-D238</f>
      </c>
      <c r="F238" s="2"/>
    </row>
    <row x14ac:dyDescent="0.25" r="239" customHeight="1" ht="17.25">
      <c r="A239" s="8">
        <v>45722</v>
      </c>
      <c r="B239" s="9" t="s">
        <v>283</v>
      </c>
      <c r="C239" s="6">
        <v>128</v>
      </c>
      <c r="D239" s="4"/>
      <c r="E239" s="6">
        <f>E238+C239-D239</f>
      </c>
      <c r="F239" s="2"/>
    </row>
    <row x14ac:dyDescent="0.25" r="240" customHeight="1" ht="17.25">
      <c r="A240" s="8">
        <v>45722</v>
      </c>
      <c r="B240" s="9" t="s">
        <v>275</v>
      </c>
      <c r="C240" s="6">
        <v>31</v>
      </c>
      <c r="D240" s="4"/>
      <c r="E240" s="6">
        <f>E239+C240-D240</f>
      </c>
      <c r="F240" s="2"/>
    </row>
    <row x14ac:dyDescent="0.25" r="241" customHeight="1" ht="17.25">
      <c r="A241" s="8">
        <v>45722</v>
      </c>
      <c r="B241" s="9" t="s">
        <v>35</v>
      </c>
      <c r="C241" s="6">
        <v>46</v>
      </c>
      <c r="D241" s="4"/>
      <c r="E241" s="6">
        <f>E240+C241-D241</f>
      </c>
      <c r="F241" s="2"/>
    </row>
    <row x14ac:dyDescent="0.25" r="242" customHeight="1" ht="17.25">
      <c r="A242" s="7">
        <v>45723</v>
      </c>
      <c r="B242" s="9" t="s">
        <v>412</v>
      </c>
      <c r="C242" s="4"/>
      <c r="D242" s="6">
        <v>80</v>
      </c>
      <c r="E242" s="6">
        <f>E241+C242-D242</f>
      </c>
      <c r="F242" s="2"/>
    </row>
    <row x14ac:dyDescent="0.25" r="243" customHeight="1" ht="17.25">
      <c r="A243" s="7">
        <v>45723</v>
      </c>
      <c r="B243" s="9" t="s">
        <v>257</v>
      </c>
      <c r="C243" s="6">
        <v>99</v>
      </c>
      <c r="D243" s="4"/>
      <c r="E243" s="6">
        <f>E242+C243-D243</f>
      </c>
      <c r="F243" s="2"/>
    </row>
    <row x14ac:dyDescent="0.25" r="244" customHeight="1" ht="17.25">
      <c r="A244" s="8">
        <v>45723</v>
      </c>
      <c r="B244" s="9" t="s">
        <v>273</v>
      </c>
      <c r="C244" s="6">
        <v>12</v>
      </c>
      <c r="D244" s="4"/>
      <c r="E244" s="6">
        <f>E243+C244-D244</f>
      </c>
      <c r="F244" s="2"/>
    </row>
    <row x14ac:dyDescent="0.25" r="245" customHeight="1" ht="17.25">
      <c r="A245" s="8">
        <v>45723</v>
      </c>
      <c r="B245" s="9" t="s">
        <v>189</v>
      </c>
      <c r="C245" s="6">
        <v>150</v>
      </c>
      <c r="D245" s="4"/>
      <c r="E245" s="6">
        <f>E244+C245-D245</f>
      </c>
      <c r="F245" s="2"/>
    </row>
    <row x14ac:dyDescent="0.25" r="246" customHeight="1" ht="17.25">
      <c r="A246" s="7">
        <v>45723</v>
      </c>
      <c r="B246" s="9" t="s">
        <v>489</v>
      </c>
      <c r="C246" s="6">
        <v>100</v>
      </c>
      <c r="D246" s="4"/>
      <c r="E246" s="6">
        <f>E245+C246-D246</f>
      </c>
      <c r="F246" s="2"/>
    </row>
    <row x14ac:dyDescent="0.25" r="247" customHeight="1" ht="17.25">
      <c r="A247" s="7">
        <v>45724</v>
      </c>
      <c r="B247" s="9" t="s">
        <v>141</v>
      </c>
      <c r="C247" s="4"/>
      <c r="D247" s="6">
        <v>150</v>
      </c>
      <c r="E247" s="6">
        <f>E246+C247-D247</f>
      </c>
      <c r="F247" s="2"/>
    </row>
    <row x14ac:dyDescent="0.25" r="248" customHeight="1" ht="17.25">
      <c r="A248" s="7">
        <v>45724</v>
      </c>
      <c r="B248" s="9" t="s">
        <v>412</v>
      </c>
      <c r="C248" s="4"/>
      <c r="D248" s="6">
        <v>100</v>
      </c>
      <c r="E248" s="6">
        <f>E247+C248-D248</f>
      </c>
      <c r="F248" s="2"/>
    </row>
    <row x14ac:dyDescent="0.25" r="249" customHeight="1" ht="17.25">
      <c r="A249" s="8">
        <v>45724</v>
      </c>
      <c r="B249" s="9" t="s">
        <v>35</v>
      </c>
      <c r="C249" s="6">
        <v>85</v>
      </c>
      <c r="D249" s="4"/>
      <c r="E249" s="6">
        <f>E248+C249-D249</f>
      </c>
      <c r="F249" s="2"/>
    </row>
    <row x14ac:dyDescent="0.25" r="250" customHeight="1" ht="17.25">
      <c r="A250" s="8">
        <v>45724</v>
      </c>
      <c r="B250" s="9" t="s">
        <v>189</v>
      </c>
      <c r="C250" s="6">
        <v>35</v>
      </c>
      <c r="D250" s="4"/>
      <c r="E250" s="6">
        <f>E249+C250-D250</f>
      </c>
      <c r="F250" s="2"/>
    </row>
    <row x14ac:dyDescent="0.25" r="251" customHeight="1" ht="17.25">
      <c r="A251" s="8">
        <v>45726</v>
      </c>
      <c r="B251" s="9" t="s">
        <v>31</v>
      </c>
      <c r="C251" s="4"/>
      <c r="D251" s="6">
        <v>1</v>
      </c>
      <c r="E251" s="6">
        <f>E250+C251-D251</f>
      </c>
      <c r="F251" s="2"/>
    </row>
    <row x14ac:dyDescent="0.25" r="252" customHeight="1" ht="17.25">
      <c r="A252" s="7">
        <v>45726</v>
      </c>
      <c r="B252" s="9" t="s">
        <v>141</v>
      </c>
      <c r="C252" s="4"/>
      <c r="D252" s="6">
        <v>250</v>
      </c>
      <c r="E252" s="6">
        <f>E251+C252-D252</f>
      </c>
      <c r="F252" s="2"/>
    </row>
    <row x14ac:dyDescent="0.25" r="253" customHeight="1" ht="17.25">
      <c r="A253" s="7">
        <v>45726</v>
      </c>
      <c r="B253" s="9" t="s">
        <v>3</v>
      </c>
      <c r="C253" s="4"/>
      <c r="D253" s="6">
        <v>100</v>
      </c>
      <c r="E253" s="6">
        <f>E252+C253-D253</f>
      </c>
      <c r="F253" s="2"/>
    </row>
    <row x14ac:dyDescent="0.25" r="254" customHeight="1" ht="17.25">
      <c r="A254" s="7">
        <v>45726</v>
      </c>
      <c r="B254" s="9" t="s">
        <v>35</v>
      </c>
      <c r="C254" s="6">
        <v>49</v>
      </c>
      <c r="D254" s="4"/>
      <c r="E254" s="6">
        <f>E253+C254-D254</f>
      </c>
      <c r="F254" s="2"/>
    </row>
    <row x14ac:dyDescent="0.25" r="255" customHeight="1" ht="17.25">
      <c r="A255" s="8">
        <v>45726</v>
      </c>
      <c r="B255" s="9" t="s">
        <v>275</v>
      </c>
      <c r="C255" s="6">
        <v>7</v>
      </c>
      <c r="D255" s="4"/>
      <c r="E255" s="6">
        <f>E254+C255-D255</f>
      </c>
      <c r="F255" s="2"/>
    </row>
    <row x14ac:dyDescent="0.25" r="256" customHeight="1" ht="17.25">
      <c r="A256" s="7">
        <v>45726</v>
      </c>
      <c r="B256" s="9" t="s">
        <v>385</v>
      </c>
      <c r="C256" s="6">
        <v>27</v>
      </c>
      <c r="D256" s="4"/>
      <c r="E256" s="6">
        <f>E255+C256-D256</f>
      </c>
      <c r="F256" s="2"/>
    </row>
    <row x14ac:dyDescent="0.25" r="257" customHeight="1" ht="17.25">
      <c r="A257" s="8">
        <v>45726</v>
      </c>
      <c r="B257" s="9" t="s">
        <v>189</v>
      </c>
      <c r="C257" s="6">
        <v>132</v>
      </c>
      <c r="D257" s="4"/>
      <c r="E257" s="6">
        <f>E256+C257-D257</f>
      </c>
      <c r="F257" s="2"/>
    </row>
    <row x14ac:dyDescent="0.25" r="258" customHeight="1" ht="17.25">
      <c r="A258" s="8">
        <v>45726</v>
      </c>
      <c r="B258" s="9" t="s">
        <v>415</v>
      </c>
      <c r="C258" s="6">
        <v>26</v>
      </c>
      <c r="D258" s="4"/>
      <c r="E258" s="6">
        <f>E257+C258-D258</f>
      </c>
      <c r="F258" s="2"/>
    </row>
    <row x14ac:dyDescent="0.25" r="259" customHeight="1" ht="17.25">
      <c r="A259" s="8">
        <v>45726</v>
      </c>
      <c r="B259" s="9" t="s">
        <v>375</v>
      </c>
      <c r="C259" s="6">
        <v>22</v>
      </c>
      <c r="D259" s="4"/>
      <c r="E259" s="6">
        <f>E258+C259-D259</f>
      </c>
      <c r="F259" s="2"/>
    </row>
    <row x14ac:dyDescent="0.25" r="260" customHeight="1" ht="17.25">
      <c r="A260" s="8">
        <v>45727</v>
      </c>
      <c r="B260" s="9" t="s">
        <v>412</v>
      </c>
      <c r="C260" s="4"/>
      <c r="D260" s="6">
        <v>180</v>
      </c>
      <c r="E260" s="6">
        <f>E259+C260-D260</f>
      </c>
      <c r="F260" s="2"/>
    </row>
    <row x14ac:dyDescent="0.25" r="261" customHeight="1" ht="17.25">
      <c r="A261" s="8">
        <v>45727</v>
      </c>
      <c r="B261" s="9" t="s">
        <v>119</v>
      </c>
      <c r="C261" s="6">
        <v>151</v>
      </c>
      <c r="D261" s="4"/>
      <c r="E261" s="6">
        <f>E260+C261-D261</f>
      </c>
      <c r="F261" s="2"/>
    </row>
    <row x14ac:dyDescent="0.25" r="262" customHeight="1" ht="17.25">
      <c r="A262" s="8">
        <v>45727</v>
      </c>
      <c r="B262" s="9" t="s">
        <v>39</v>
      </c>
      <c r="C262" s="6">
        <v>178</v>
      </c>
      <c r="D262" s="4"/>
      <c r="E262" s="6">
        <f>E261+C262-D262</f>
      </c>
      <c r="F262" s="2"/>
    </row>
    <row x14ac:dyDescent="0.25" r="263" customHeight="1" ht="17.25">
      <c r="A263" s="8">
        <v>45727</v>
      </c>
      <c r="B263" s="9" t="s">
        <v>189</v>
      </c>
      <c r="C263" s="6">
        <v>46</v>
      </c>
      <c r="D263" s="4"/>
      <c r="E263" s="6">
        <f>E262+C263-D263</f>
      </c>
      <c r="F263" s="2"/>
    </row>
    <row x14ac:dyDescent="0.25" r="264" customHeight="1" ht="17.25">
      <c r="A264" s="8">
        <v>45727</v>
      </c>
      <c r="B264" s="9" t="s">
        <v>35</v>
      </c>
      <c r="C264" s="6">
        <v>60</v>
      </c>
      <c r="D264" s="4"/>
      <c r="E264" s="6">
        <f>E263+C264-D264</f>
      </c>
      <c r="F264" s="2"/>
    </row>
    <row x14ac:dyDescent="0.25" r="265" customHeight="1" ht="17.25">
      <c r="A265" s="7">
        <v>45728</v>
      </c>
      <c r="B265" s="9" t="s">
        <v>547</v>
      </c>
      <c r="C265" s="4"/>
      <c r="D265" s="6">
        <v>54</v>
      </c>
      <c r="E265" s="6">
        <f>E264+C265-D265</f>
      </c>
      <c r="F265" s="2"/>
    </row>
    <row x14ac:dyDescent="0.25" r="266" customHeight="1" ht="17.25">
      <c r="A266" s="7">
        <v>45728</v>
      </c>
      <c r="B266" s="9" t="s">
        <v>3</v>
      </c>
      <c r="C266" s="4"/>
      <c r="D266" s="6">
        <v>100</v>
      </c>
      <c r="E266" s="6">
        <f>E265+C266-D266</f>
      </c>
      <c r="F266" s="2"/>
    </row>
    <row x14ac:dyDescent="0.25" r="267" customHeight="1" ht="17.25">
      <c r="A267" s="7">
        <v>45728</v>
      </c>
      <c r="B267" s="9" t="s">
        <v>283</v>
      </c>
      <c r="C267" s="6">
        <v>175</v>
      </c>
      <c r="D267" s="4"/>
      <c r="E267" s="6">
        <f>E266+C267-D267</f>
      </c>
      <c r="F267" s="2"/>
    </row>
    <row x14ac:dyDescent="0.25" r="268" customHeight="1" ht="17.25">
      <c r="A268" s="7">
        <v>45728</v>
      </c>
      <c r="B268" s="9" t="s">
        <v>35</v>
      </c>
      <c r="C268" s="6">
        <v>16</v>
      </c>
      <c r="D268" s="4"/>
      <c r="E268" s="6">
        <f>E267+C268-D268</f>
      </c>
      <c r="F268" s="2"/>
    </row>
    <row x14ac:dyDescent="0.25" r="269" customHeight="1" ht="17.25">
      <c r="A269" s="7">
        <v>45728</v>
      </c>
      <c r="B269" s="9" t="s">
        <v>384</v>
      </c>
      <c r="C269" s="6">
        <v>120</v>
      </c>
      <c r="D269" s="4"/>
      <c r="E269" s="6">
        <f>E268+C269-D269</f>
      </c>
      <c r="F269" s="2"/>
    </row>
    <row x14ac:dyDescent="0.25" r="270" customHeight="1" ht="17.25">
      <c r="A270" s="7">
        <v>45728</v>
      </c>
      <c r="B270" s="9" t="s">
        <v>132</v>
      </c>
      <c r="C270" s="6">
        <v>80</v>
      </c>
      <c r="D270" s="4"/>
      <c r="E270" s="6">
        <f>E269+C270-D270</f>
      </c>
      <c r="F270" s="2"/>
    </row>
    <row x14ac:dyDescent="0.25" r="271" customHeight="1" ht="17.25">
      <c r="A271" s="8">
        <v>45729</v>
      </c>
      <c r="B271" s="9" t="s">
        <v>141</v>
      </c>
      <c r="C271" s="4"/>
      <c r="D271" s="6">
        <v>100</v>
      </c>
      <c r="E271" s="6">
        <f>E270+C271-D271</f>
      </c>
      <c r="F271" s="2"/>
    </row>
    <row x14ac:dyDescent="0.25" r="272" customHeight="1" ht="17.25">
      <c r="A272" s="8">
        <v>45729</v>
      </c>
      <c r="B272" s="9" t="s">
        <v>3</v>
      </c>
      <c r="C272" s="4"/>
      <c r="D272" s="6">
        <v>50</v>
      </c>
      <c r="E272" s="6">
        <f>E271+C272-D272</f>
      </c>
      <c r="F272" s="2"/>
    </row>
    <row x14ac:dyDescent="0.25" r="273" customHeight="1" ht="17.25">
      <c r="A273" s="8">
        <v>45729</v>
      </c>
      <c r="B273" s="9" t="s">
        <v>3</v>
      </c>
      <c r="C273" s="4"/>
      <c r="D273" s="6">
        <v>50</v>
      </c>
      <c r="E273" s="6">
        <f>E272+C273-D273</f>
      </c>
      <c r="F273" s="2"/>
    </row>
    <row x14ac:dyDescent="0.25" r="274" customHeight="1" ht="17.25">
      <c r="A274" s="7">
        <v>45729</v>
      </c>
      <c r="B274" s="9" t="s">
        <v>365</v>
      </c>
      <c r="C274" s="6">
        <v>8</v>
      </c>
      <c r="D274" s="4"/>
      <c r="E274" s="6">
        <f>E273+C274-D274</f>
      </c>
      <c r="F274" s="2"/>
    </row>
    <row x14ac:dyDescent="0.25" r="275" customHeight="1" ht="17.25">
      <c r="A275" s="8">
        <v>45729</v>
      </c>
      <c r="B275" s="9" t="s">
        <v>189</v>
      </c>
      <c r="C275" s="6">
        <v>8</v>
      </c>
      <c r="D275" s="4"/>
      <c r="E275" s="6">
        <f>E274+C275-D275</f>
      </c>
      <c r="F275" s="2"/>
    </row>
    <row x14ac:dyDescent="0.25" r="276" customHeight="1" ht="17.25">
      <c r="A276" s="7">
        <v>45730</v>
      </c>
      <c r="B276" s="9" t="s">
        <v>11</v>
      </c>
      <c r="C276" s="6">
        <v>198</v>
      </c>
      <c r="D276" s="4"/>
      <c r="E276" s="6">
        <f>E275+C276-D276</f>
      </c>
      <c r="F276" s="2"/>
    </row>
    <row x14ac:dyDescent="0.25" r="277" customHeight="1" ht="17.25">
      <c r="A277" s="8">
        <v>45730</v>
      </c>
      <c r="B277" s="9" t="s">
        <v>35</v>
      </c>
      <c r="C277" s="6">
        <v>34</v>
      </c>
      <c r="D277" s="4"/>
      <c r="E277" s="6">
        <f>E276+C277-D277</f>
      </c>
      <c r="F277" s="2"/>
    </row>
    <row x14ac:dyDescent="0.25" r="278" customHeight="1" ht="17.25">
      <c r="A278" s="7">
        <v>45730</v>
      </c>
      <c r="B278" s="9" t="s">
        <v>435</v>
      </c>
      <c r="C278" s="6">
        <v>48</v>
      </c>
      <c r="D278" s="4"/>
      <c r="E278" s="6">
        <f>E277+C278-D278</f>
      </c>
      <c r="F278" s="2"/>
    </row>
    <row x14ac:dyDescent="0.25" r="279" customHeight="1" ht="17.25">
      <c r="A279" s="7">
        <v>45731</v>
      </c>
      <c r="B279" s="9" t="s">
        <v>141</v>
      </c>
      <c r="C279" s="4"/>
      <c r="D279" s="6">
        <v>150</v>
      </c>
      <c r="E279" s="6">
        <f>E278+C279-D279</f>
      </c>
      <c r="F279" s="2"/>
    </row>
    <row x14ac:dyDescent="0.25" r="280" customHeight="1" ht="17.25">
      <c r="A280" s="7">
        <v>45731</v>
      </c>
      <c r="B280" s="9" t="s">
        <v>361</v>
      </c>
      <c r="C280" s="4"/>
      <c r="D280" s="6">
        <v>50</v>
      </c>
      <c r="E280" s="6">
        <f>E279+C280-D280</f>
      </c>
      <c r="F280" s="2"/>
    </row>
    <row x14ac:dyDescent="0.25" r="281" customHeight="1" ht="17.25">
      <c r="A281" s="7">
        <v>45731</v>
      </c>
      <c r="B281" s="9" t="s">
        <v>189</v>
      </c>
      <c r="C281" s="6">
        <v>188</v>
      </c>
      <c r="D281" s="4"/>
      <c r="E281" s="6">
        <f>E280+C281-D281</f>
      </c>
      <c r="F281" s="2"/>
    </row>
    <row x14ac:dyDescent="0.25" r="282" customHeight="1" ht="17.25">
      <c r="A282" s="7">
        <v>45733</v>
      </c>
      <c r="B282" s="9" t="s">
        <v>141</v>
      </c>
      <c r="C282" s="4"/>
      <c r="D282" s="6">
        <v>286</v>
      </c>
      <c r="E282" s="6">
        <f>E281+C282-D282</f>
      </c>
      <c r="F282" s="2"/>
    </row>
    <row x14ac:dyDescent="0.25" r="283" customHeight="1" ht="17.25">
      <c r="A283" s="8">
        <v>45733</v>
      </c>
      <c r="B283" s="9" t="s">
        <v>234</v>
      </c>
      <c r="C283" s="4"/>
      <c r="D283" s="6">
        <v>200</v>
      </c>
      <c r="E283" s="6">
        <f>E282+C283-D283</f>
      </c>
      <c r="F283" s="2"/>
    </row>
    <row x14ac:dyDescent="0.25" r="284" customHeight="1" ht="17.25">
      <c r="A284" s="8">
        <v>45733</v>
      </c>
      <c r="B284" s="9" t="s">
        <v>384</v>
      </c>
      <c r="C284" s="6">
        <v>220</v>
      </c>
      <c r="D284" s="4"/>
      <c r="E284" s="6">
        <f>E283+C284-D284</f>
      </c>
      <c r="F284" s="2"/>
    </row>
    <row x14ac:dyDescent="0.25" r="285" customHeight="1" ht="17.25">
      <c r="A285" s="8">
        <v>45733</v>
      </c>
      <c r="B285" s="9" t="s">
        <v>39</v>
      </c>
      <c r="C285" s="6">
        <v>56</v>
      </c>
      <c r="D285" s="4"/>
      <c r="E285" s="6">
        <f>E284+C285-D285</f>
      </c>
      <c r="F285" s="2"/>
    </row>
    <row x14ac:dyDescent="0.25" r="286" customHeight="1" ht="17.25">
      <c r="A286" s="7">
        <v>45734</v>
      </c>
      <c r="B286" s="9" t="s">
        <v>141</v>
      </c>
      <c r="C286" s="4"/>
      <c r="D286" s="6">
        <v>46</v>
      </c>
      <c r="E286" s="6">
        <f>E285+C286-D286</f>
      </c>
      <c r="F286" s="2"/>
    </row>
    <row x14ac:dyDescent="0.25" r="287" customHeight="1" ht="17.25">
      <c r="A287" s="7">
        <v>45734</v>
      </c>
      <c r="B287" s="9" t="s">
        <v>365</v>
      </c>
      <c r="C287" s="6">
        <v>26</v>
      </c>
      <c r="D287" s="4"/>
      <c r="E287" s="6">
        <f>E286+C287-D287</f>
      </c>
      <c r="F287" s="2"/>
    </row>
    <row x14ac:dyDescent="0.25" r="288" customHeight="1" ht="17.25">
      <c r="A288" s="8">
        <v>45734</v>
      </c>
      <c r="B288" s="9" t="s">
        <v>382</v>
      </c>
      <c r="C288" s="6">
        <v>60</v>
      </c>
      <c r="D288" s="4"/>
      <c r="E288" s="6">
        <f>E287+C288-D288</f>
      </c>
      <c r="F288" s="2"/>
    </row>
    <row x14ac:dyDescent="0.25" r="289" customHeight="1" ht="17.25">
      <c r="A289" s="7">
        <v>45734</v>
      </c>
      <c r="B289" s="9" t="s">
        <v>486</v>
      </c>
      <c r="C289" s="6">
        <v>140</v>
      </c>
      <c r="D289" s="4"/>
      <c r="E289" s="6">
        <f>E288+C289-D289</f>
      </c>
      <c r="F289" s="2"/>
    </row>
    <row x14ac:dyDescent="0.25" r="290" customHeight="1" ht="17.25">
      <c r="A290" s="7">
        <v>45735</v>
      </c>
      <c r="B290" s="9" t="s">
        <v>520</v>
      </c>
      <c r="C290" s="4"/>
      <c r="D290" s="6">
        <v>8</v>
      </c>
      <c r="E290" s="6">
        <f>E289+C290-D290</f>
      </c>
      <c r="F290" s="2"/>
    </row>
    <row x14ac:dyDescent="0.25" r="291" customHeight="1" ht="17.25">
      <c r="A291" s="7">
        <v>45735</v>
      </c>
      <c r="B291" s="9" t="s">
        <v>35</v>
      </c>
      <c r="C291" s="6">
        <v>99</v>
      </c>
      <c r="D291" s="4"/>
      <c r="E291" s="6">
        <f>E290+C291-D291</f>
      </c>
      <c r="F291" s="2"/>
    </row>
    <row x14ac:dyDescent="0.25" r="292" customHeight="1" ht="17.25">
      <c r="A292" s="7">
        <v>45735</v>
      </c>
      <c r="B292" s="9" t="s">
        <v>541</v>
      </c>
      <c r="C292" s="6">
        <v>209</v>
      </c>
      <c r="D292" s="4"/>
      <c r="E292" s="6">
        <f>E291+C292-D292</f>
      </c>
      <c r="F292" s="2"/>
    </row>
    <row x14ac:dyDescent="0.25" r="293" customHeight="1" ht="17.25">
      <c r="A293" s="8">
        <v>45735</v>
      </c>
      <c r="B293" s="9" t="s">
        <v>542</v>
      </c>
      <c r="C293" s="6">
        <v>120</v>
      </c>
      <c r="D293" s="4"/>
      <c r="E293" s="6">
        <f>E292+C293-D293</f>
      </c>
      <c r="F293" s="2"/>
    </row>
    <row x14ac:dyDescent="0.25" r="294" customHeight="1" ht="17.25">
      <c r="A294" s="7">
        <v>45735</v>
      </c>
      <c r="B294" s="9" t="s">
        <v>257</v>
      </c>
      <c r="C294" s="6">
        <v>23</v>
      </c>
      <c r="D294" s="4"/>
      <c r="E294" s="6">
        <f>E293+C294-D294</f>
      </c>
      <c r="F294" s="2"/>
    </row>
    <row x14ac:dyDescent="0.25" r="295" customHeight="1" ht="17.25">
      <c r="A295" s="8">
        <v>45735</v>
      </c>
      <c r="B295" s="9" t="s">
        <v>257</v>
      </c>
      <c r="C295" s="6">
        <v>50</v>
      </c>
      <c r="D295" s="4"/>
      <c r="E295" s="6">
        <f>E294+C295-D295</f>
      </c>
      <c r="F295" s="2"/>
    </row>
    <row x14ac:dyDescent="0.25" r="296" customHeight="1" ht="17.25">
      <c r="A296" s="8">
        <v>45735</v>
      </c>
      <c r="B296" s="9" t="s">
        <v>283</v>
      </c>
      <c r="C296" s="6">
        <v>151</v>
      </c>
      <c r="D296" s="4"/>
      <c r="E296" s="6">
        <f>E295+C296-D296</f>
      </c>
      <c r="F296" s="2"/>
    </row>
    <row x14ac:dyDescent="0.25" r="297" customHeight="1" ht="17.25">
      <c r="A297" s="7">
        <v>45736</v>
      </c>
      <c r="B297" s="9" t="s">
        <v>382</v>
      </c>
      <c r="C297" s="6">
        <v>178</v>
      </c>
      <c r="D297" s="4"/>
      <c r="E297" s="6">
        <f>E296+C297-D297</f>
      </c>
      <c r="F297" s="2"/>
    </row>
    <row x14ac:dyDescent="0.25" r="298" customHeight="1" ht="17.25">
      <c r="A298" s="8">
        <v>45736</v>
      </c>
      <c r="B298" s="9" t="s">
        <v>382</v>
      </c>
      <c r="C298" s="6">
        <v>200</v>
      </c>
      <c r="D298" s="4"/>
      <c r="E298" s="6">
        <f>E297+C298-D298</f>
      </c>
      <c r="F298" s="2"/>
    </row>
    <row x14ac:dyDescent="0.25" r="299" customHeight="1" ht="17.25">
      <c r="A299" s="8">
        <v>45736</v>
      </c>
      <c r="B299" s="9" t="s">
        <v>11</v>
      </c>
      <c r="C299" s="6">
        <v>105</v>
      </c>
      <c r="D299" s="4"/>
      <c r="E299" s="6">
        <f>E298+C299-D299</f>
      </c>
      <c r="F299" s="2"/>
    </row>
    <row x14ac:dyDescent="0.25" r="300" customHeight="1" ht="17.25">
      <c r="A300" s="8">
        <v>45737</v>
      </c>
      <c r="B300" s="9" t="s">
        <v>189</v>
      </c>
      <c r="C300" s="6">
        <v>15</v>
      </c>
      <c r="D300" s="4"/>
      <c r="E300" s="6">
        <f>E299+C300-D300</f>
      </c>
      <c r="F300" s="2"/>
    </row>
    <row x14ac:dyDescent="0.25" r="301" customHeight="1" ht="17.25">
      <c r="A301" s="8">
        <v>45737</v>
      </c>
      <c r="B301" s="9" t="s">
        <v>189</v>
      </c>
      <c r="C301" s="6">
        <v>444</v>
      </c>
      <c r="D301" s="4"/>
      <c r="E301" s="6">
        <f>E300+C301-D301</f>
      </c>
      <c r="F301" s="2"/>
    </row>
    <row x14ac:dyDescent="0.25" r="302" customHeight="1" ht="17.25">
      <c r="A302" s="7">
        <v>45737</v>
      </c>
      <c r="B302" s="9" t="s">
        <v>141</v>
      </c>
      <c r="C302" s="6">
        <v>100</v>
      </c>
      <c r="D302" s="4"/>
      <c r="E302" s="6">
        <f>E301+C302-D302</f>
      </c>
      <c r="F302" s="2"/>
    </row>
    <row x14ac:dyDescent="0.25" r="303" customHeight="1" ht="17.25">
      <c r="A303" s="7">
        <v>45737</v>
      </c>
      <c r="B303" s="9" t="s">
        <v>414</v>
      </c>
      <c r="C303" s="6">
        <v>4</v>
      </c>
      <c r="D303" s="4"/>
      <c r="E303" s="6">
        <f>E302+C303-D303</f>
      </c>
      <c r="F303" s="2"/>
    </row>
    <row x14ac:dyDescent="0.25" r="304" customHeight="1" ht="17.25">
      <c r="A304" s="39">
        <v>45737</v>
      </c>
      <c r="B304" s="36" t="s">
        <v>275</v>
      </c>
      <c r="C304" s="33">
        <v>12</v>
      </c>
      <c r="D304" s="32"/>
      <c r="E304" s="33">
        <f>E303+C304-D304</f>
      </c>
      <c r="F304" s="31" t="s">
        <v>593</v>
      </c>
    </row>
    <row x14ac:dyDescent="0.25" r="305" customHeight="1" ht="17.25">
      <c r="A305" s="7">
        <v>45737</v>
      </c>
      <c r="B305" s="9" t="s">
        <v>272</v>
      </c>
      <c r="C305" s="6">
        <v>83</v>
      </c>
      <c r="D305" s="4"/>
      <c r="E305" s="6">
        <f>E304+C305-D305</f>
      </c>
      <c r="F305" s="2"/>
    </row>
    <row x14ac:dyDescent="0.25" r="306" customHeight="1" ht="17.25">
      <c r="A306" s="8">
        <v>45737</v>
      </c>
      <c r="B306" s="9" t="s">
        <v>257</v>
      </c>
      <c r="C306" s="6">
        <v>155</v>
      </c>
      <c r="D306" s="4"/>
      <c r="E306" s="6">
        <f>E305+C306-D306</f>
      </c>
      <c r="F306" s="2"/>
    </row>
    <row x14ac:dyDescent="0.25" r="307" customHeight="1" ht="17.25">
      <c r="A307" s="8">
        <v>45737</v>
      </c>
      <c r="B307" s="9" t="s">
        <v>258</v>
      </c>
      <c r="C307" s="6">
        <v>24</v>
      </c>
      <c r="D307" s="4"/>
      <c r="E307" s="6">
        <f>E306+C307-D307</f>
      </c>
      <c r="F307" s="2"/>
    </row>
    <row x14ac:dyDescent="0.25" r="308" customHeight="1" ht="17.25">
      <c r="A308" s="8">
        <v>45738</v>
      </c>
      <c r="B308" s="9" t="s">
        <v>382</v>
      </c>
      <c r="C308" s="6">
        <v>494</v>
      </c>
      <c r="D308" s="4"/>
      <c r="E308" s="6">
        <f>E307+C308-D308</f>
      </c>
      <c r="F308" s="2"/>
    </row>
    <row x14ac:dyDescent="0.25" r="309" customHeight="1" ht="17.25">
      <c r="A309" s="8">
        <v>45738</v>
      </c>
      <c r="B309" s="9" t="s">
        <v>189</v>
      </c>
      <c r="C309" s="6">
        <v>219</v>
      </c>
      <c r="D309" s="4"/>
      <c r="E309" s="6">
        <f>E308+C309-D309</f>
      </c>
      <c r="F309" s="2"/>
    </row>
    <row x14ac:dyDescent="0.25" r="310" customHeight="1" ht="17.25">
      <c r="A310" s="39">
        <v>45738</v>
      </c>
      <c r="B310" s="36" t="s">
        <v>520</v>
      </c>
      <c r="C310" s="33">
        <v>8</v>
      </c>
      <c r="D310" s="32"/>
      <c r="E310" s="33">
        <f>E309+C310-D310</f>
      </c>
      <c r="F310" s="31" t="s">
        <v>204</v>
      </c>
    </row>
    <row x14ac:dyDescent="0.25" r="311" customHeight="1" ht="17.25">
      <c r="A311" s="8">
        <v>45738</v>
      </c>
      <c r="B311" s="9" t="s">
        <v>384</v>
      </c>
      <c r="C311" s="6">
        <v>195</v>
      </c>
      <c r="D311" s="4"/>
      <c r="E311" s="6">
        <f>E310+C311-D311</f>
      </c>
      <c r="F311" s="2"/>
    </row>
    <row x14ac:dyDescent="0.25" r="312" customHeight="1" ht="17.25">
      <c r="A312" s="8">
        <v>45738</v>
      </c>
      <c r="B312" s="9" t="s">
        <v>35</v>
      </c>
      <c r="C312" s="6">
        <v>83</v>
      </c>
      <c r="D312" s="4"/>
      <c r="E312" s="6">
        <f>E311+C312-D312</f>
      </c>
      <c r="F312" s="2"/>
    </row>
    <row x14ac:dyDescent="0.25" r="313" customHeight="1" ht="17.25">
      <c r="A313" s="7">
        <v>45738</v>
      </c>
      <c r="B313" s="9" t="s">
        <v>3</v>
      </c>
      <c r="C313" s="6">
        <v>330</v>
      </c>
      <c r="D313" s="4"/>
      <c r="E313" s="6">
        <f>E312+C313-D313</f>
      </c>
      <c r="F313" s="2"/>
    </row>
    <row x14ac:dyDescent="0.25" r="314" customHeight="1" ht="17.25">
      <c r="A314" s="8">
        <v>45738</v>
      </c>
      <c r="B314" s="9" t="s">
        <v>39</v>
      </c>
      <c r="C314" s="6">
        <v>58</v>
      </c>
      <c r="D314" s="4"/>
      <c r="E314" s="6">
        <f>E313+C314-D314</f>
      </c>
      <c r="F314" s="2"/>
    </row>
    <row x14ac:dyDescent="0.25" r="315" customHeight="1" ht="17.25">
      <c r="A315" s="7">
        <v>45738</v>
      </c>
      <c r="B315" s="9" t="s">
        <v>257</v>
      </c>
      <c r="C315" s="6">
        <v>74</v>
      </c>
      <c r="D315" s="4"/>
      <c r="E315" s="6">
        <f>E314+C315-D315</f>
      </c>
      <c r="F315" s="2"/>
    </row>
    <row x14ac:dyDescent="0.25" r="316" customHeight="1" ht="17.25">
      <c r="A316" s="8">
        <v>45740</v>
      </c>
      <c r="B316" s="9" t="s">
        <v>172</v>
      </c>
      <c r="C316" s="6">
        <v>10</v>
      </c>
      <c r="D316" s="4"/>
      <c r="E316" s="6">
        <f>E315+C316-D316</f>
      </c>
      <c r="F316" s="2"/>
    </row>
    <row x14ac:dyDescent="0.25" r="317" customHeight="1" ht="17.25">
      <c r="A317" s="7">
        <v>45740</v>
      </c>
      <c r="B317" s="9" t="s">
        <v>444</v>
      </c>
      <c r="C317" s="6">
        <v>460</v>
      </c>
      <c r="D317" s="4"/>
      <c r="E317" s="6">
        <f>E316+C317-D317</f>
      </c>
      <c r="F317" s="2"/>
    </row>
    <row x14ac:dyDescent="0.25" r="318" customHeight="1" ht="17.25">
      <c r="A318" s="8">
        <v>45740</v>
      </c>
      <c r="B318" s="9" t="s">
        <v>376</v>
      </c>
      <c r="C318" s="6">
        <v>108</v>
      </c>
      <c r="D318" s="4"/>
      <c r="E318" s="6">
        <f>E317+C318-D318</f>
      </c>
      <c r="F318" s="2"/>
    </row>
    <row x14ac:dyDescent="0.25" r="319" customHeight="1" ht="17.25">
      <c r="A319" s="7">
        <v>45740</v>
      </c>
      <c r="B319" s="9" t="s">
        <v>445</v>
      </c>
      <c r="C319" s="6">
        <v>30</v>
      </c>
      <c r="D319" s="4"/>
      <c r="E319" s="6">
        <f>E318+C319-D319</f>
      </c>
      <c r="F319" s="2"/>
    </row>
    <row x14ac:dyDescent="0.25" r="320" customHeight="1" ht="17.25">
      <c r="A320" s="7">
        <v>45740</v>
      </c>
      <c r="B320" s="9" t="s">
        <v>272</v>
      </c>
      <c r="C320" s="6">
        <v>117</v>
      </c>
      <c r="D320" s="4"/>
      <c r="E320" s="6">
        <f>E319+C320-D320</f>
      </c>
      <c r="F320" s="2"/>
    </row>
    <row x14ac:dyDescent="0.25" r="321" customHeight="1" ht="17.25">
      <c r="A321" s="8">
        <v>45741</v>
      </c>
      <c r="B321" s="9" t="s">
        <v>272</v>
      </c>
      <c r="C321" s="6">
        <v>86</v>
      </c>
      <c r="D321" s="4"/>
      <c r="E321" s="6">
        <f>E320+C321-D321</f>
      </c>
      <c r="F321" s="2"/>
    </row>
    <row x14ac:dyDescent="0.25" r="322" customHeight="1" ht="17.25">
      <c r="A322" s="7">
        <v>45741</v>
      </c>
      <c r="B322" s="9" t="s">
        <v>257</v>
      </c>
      <c r="C322" s="6">
        <v>76</v>
      </c>
      <c r="D322" s="4"/>
      <c r="E322" s="6">
        <f>E321+C322-D322</f>
      </c>
      <c r="F322" s="2"/>
    </row>
    <row x14ac:dyDescent="0.25" r="323" customHeight="1" ht="17.25">
      <c r="A323" s="34">
        <v>45742</v>
      </c>
      <c r="B323" s="36" t="s">
        <v>172</v>
      </c>
      <c r="C323" s="33">
        <v>13</v>
      </c>
      <c r="D323" s="32"/>
      <c r="E323" s="33">
        <f>E322+C323-D323</f>
      </c>
      <c r="F323" s="31" t="s">
        <v>594</v>
      </c>
    </row>
    <row x14ac:dyDescent="0.25" r="324" customHeight="1" ht="17.25">
      <c r="A324" s="7">
        <v>45755</v>
      </c>
      <c r="B324" s="9" t="s">
        <v>232</v>
      </c>
      <c r="C324" s="4"/>
      <c r="D324" s="6">
        <v>8</v>
      </c>
      <c r="E324" s="6">
        <f>E323+C324-D324</f>
      </c>
      <c r="F324" s="2"/>
    </row>
    <row x14ac:dyDescent="0.25" r="325" customHeight="1" ht="17.25">
      <c r="A325" s="7">
        <v>45757</v>
      </c>
      <c r="B325" s="9" t="s">
        <v>189</v>
      </c>
      <c r="C325" s="6">
        <v>53</v>
      </c>
      <c r="D325" s="4"/>
      <c r="E325" s="6">
        <f>E324+C325-D325</f>
      </c>
      <c r="F325" s="2"/>
    </row>
    <row x14ac:dyDescent="0.25" r="326" customHeight="1" ht="17.25">
      <c r="A326" s="7">
        <v>45761</v>
      </c>
      <c r="B326" s="9" t="s">
        <v>282</v>
      </c>
      <c r="C326" s="4"/>
      <c r="D326" s="6">
        <v>40</v>
      </c>
      <c r="E326" s="6">
        <f>E325+C326-D326</f>
      </c>
      <c r="F326" s="2"/>
    </row>
    <row x14ac:dyDescent="0.25" r="327" customHeight="1" ht="17.25">
      <c r="A327" s="8">
        <v>45761</v>
      </c>
      <c r="B327" s="9" t="s">
        <v>39</v>
      </c>
      <c r="C327" s="6">
        <v>75</v>
      </c>
      <c r="D327" s="4"/>
      <c r="E327" s="6">
        <f>E326+C327-D327</f>
      </c>
      <c r="F327" s="2"/>
    </row>
    <row x14ac:dyDescent="0.25" r="328" customHeight="1" ht="17.25">
      <c r="A328" s="7">
        <v>45762</v>
      </c>
      <c r="B328" s="9" t="s">
        <v>257</v>
      </c>
      <c r="C328" s="4"/>
      <c r="D328" s="6">
        <v>60</v>
      </c>
      <c r="E328" s="6">
        <f>E327+C328-D328</f>
      </c>
      <c r="F328" s="2"/>
    </row>
    <row x14ac:dyDescent="0.25" r="329" customHeight="1" ht="17.25">
      <c r="A329" s="7">
        <v>45762</v>
      </c>
      <c r="B329" s="9" t="s">
        <v>228</v>
      </c>
      <c r="C329" s="4"/>
      <c r="D329" s="6">
        <v>108</v>
      </c>
      <c r="E329" s="6">
        <f>E328+C329-D329</f>
      </c>
      <c r="F329" s="2"/>
    </row>
    <row x14ac:dyDescent="0.25" r="330" customHeight="1" ht="17.25">
      <c r="A330" s="7">
        <v>45762</v>
      </c>
      <c r="B330" s="9" t="s">
        <v>389</v>
      </c>
      <c r="C330" s="4"/>
      <c r="D330" s="6">
        <v>92</v>
      </c>
      <c r="E330" s="6">
        <f>E329+C330-D330</f>
      </c>
      <c r="F330" s="2"/>
    </row>
    <row x14ac:dyDescent="0.25" r="331" customHeight="1" ht="17.25">
      <c r="A331" s="7">
        <v>45762</v>
      </c>
      <c r="B331" s="9" t="s">
        <v>595</v>
      </c>
      <c r="C331" s="4"/>
      <c r="D331" s="6">
        <v>500</v>
      </c>
      <c r="E331" s="6">
        <f>E330+C331-D331</f>
      </c>
      <c r="F331" s="2"/>
    </row>
    <row x14ac:dyDescent="0.25" r="332" customHeight="1" ht="17.25">
      <c r="A332" s="7">
        <v>45762</v>
      </c>
      <c r="B332" s="9" t="s">
        <v>189</v>
      </c>
      <c r="C332" s="4"/>
      <c r="D332" s="6">
        <v>200</v>
      </c>
      <c r="E332" s="6">
        <f>E331+C332-D332</f>
      </c>
      <c r="F332" s="2"/>
    </row>
    <row x14ac:dyDescent="0.25" r="333" customHeight="1" ht="17.25">
      <c r="A333" s="8">
        <v>45762</v>
      </c>
      <c r="B333" s="9" t="s">
        <v>283</v>
      </c>
      <c r="C333" s="6">
        <v>50</v>
      </c>
      <c r="D333" s="4"/>
      <c r="E333" s="6">
        <f>E332+C333-D333</f>
      </c>
      <c r="F333" s="2"/>
    </row>
    <row x14ac:dyDescent="0.25" r="334" customHeight="1" ht="17.25">
      <c r="A334" s="8">
        <v>45763</v>
      </c>
      <c r="B334" s="9" t="s">
        <v>416</v>
      </c>
      <c r="C334" s="4"/>
      <c r="D334" s="6">
        <v>24</v>
      </c>
      <c r="E334" s="6">
        <f>E333+C334-D334</f>
      </c>
      <c r="F334" s="2"/>
    </row>
    <row x14ac:dyDescent="0.25" r="335" customHeight="1" ht="17.25">
      <c r="A335" s="8">
        <v>45763</v>
      </c>
      <c r="B335" s="9" t="s">
        <v>2</v>
      </c>
      <c r="C335" s="6">
        <v>30</v>
      </c>
      <c r="D335" s="4"/>
      <c r="E335" s="6">
        <f>E334+C335-D335</f>
      </c>
      <c r="F335" s="2"/>
    </row>
    <row x14ac:dyDescent="0.25" r="336" customHeight="1" ht="17.25">
      <c r="A336" s="7">
        <v>45763</v>
      </c>
      <c r="B336" s="9" t="s">
        <v>283</v>
      </c>
      <c r="C336" s="4"/>
      <c r="D336" s="6">
        <v>155</v>
      </c>
      <c r="E336" s="6">
        <f>E335+C336-D336</f>
      </c>
      <c r="F336" s="2"/>
    </row>
    <row x14ac:dyDescent="0.25" r="337" customHeight="1" ht="17.25">
      <c r="A337" s="7">
        <v>45764</v>
      </c>
      <c r="B337" s="9" t="s">
        <v>286</v>
      </c>
      <c r="C337" s="4"/>
      <c r="D337" s="6">
        <v>100</v>
      </c>
      <c r="E337" s="6">
        <f>E336+C337-D337</f>
      </c>
      <c r="F337" s="2"/>
    </row>
    <row x14ac:dyDescent="0.25" r="338" customHeight="1" ht="17.25">
      <c r="A338" s="7">
        <v>45764</v>
      </c>
      <c r="B338" s="9" t="s">
        <v>259</v>
      </c>
      <c r="C338" s="6">
        <v>498</v>
      </c>
      <c r="D338" s="4"/>
      <c r="E338" s="6">
        <f>E337+C338-D338</f>
      </c>
      <c r="F338" s="2"/>
    </row>
    <row x14ac:dyDescent="0.25" r="339" customHeight="1" ht="17.25">
      <c r="A339" s="7">
        <v>45765</v>
      </c>
      <c r="B339" s="9" t="s">
        <v>297</v>
      </c>
      <c r="C339" s="4"/>
      <c r="D339" s="6">
        <v>30</v>
      </c>
      <c r="E339" s="6">
        <f>E338+C339-D339</f>
      </c>
      <c r="F339" s="2"/>
    </row>
    <row x14ac:dyDescent="0.25" r="340" customHeight="1" ht="17.25">
      <c r="A340" s="7">
        <v>45766</v>
      </c>
      <c r="B340" s="9" t="s">
        <v>384</v>
      </c>
      <c r="C340" s="6">
        <v>230</v>
      </c>
      <c r="D340" s="4"/>
      <c r="E340" s="6">
        <f>E339+C340-D340</f>
      </c>
      <c r="F340" s="2"/>
    </row>
    <row x14ac:dyDescent="0.25" r="341" customHeight="1" ht="17.25">
      <c r="A341" s="8">
        <v>45766</v>
      </c>
      <c r="B341" s="9" t="s">
        <v>484</v>
      </c>
      <c r="C341" s="6">
        <v>100</v>
      </c>
      <c r="D341" s="4"/>
      <c r="E341" s="6">
        <f>E340+C341-D341</f>
      </c>
      <c r="F341" s="2"/>
    </row>
    <row x14ac:dyDescent="0.25" r="342" customHeight="1" ht="17.25">
      <c r="A342" s="8">
        <v>45766</v>
      </c>
      <c r="B342" s="9" t="s">
        <v>484</v>
      </c>
      <c r="C342" s="6">
        <v>40</v>
      </c>
      <c r="D342" s="4"/>
      <c r="E342" s="6">
        <f>E341+C342-D342</f>
      </c>
      <c r="F342" s="2"/>
    </row>
    <row x14ac:dyDescent="0.25" r="343" customHeight="1" ht="17.25">
      <c r="A343" s="7">
        <v>45768</v>
      </c>
      <c r="B343" s="9" t="s">
        <v>412</v>
      </c>
      <c r="C343" s="4"/>
      <c r="D343" s="6">
        <v>40</v>
      </c>
      <c r="E343" s="6">
        <f>E342+C343-D343</f>
      </c>
      <c r="F343" s="2"/>
    </row>
    <row x14ac:dyDescent="0.25" r="344" customHeight="1" ht="17.25">
      <c r="A344" s="7">
        <v>45768</v>
      </c>
      <c r="B344" s="9" t="s">
        <v>284</v>
      </c>
      <c r="C344" s="4"/>
      <c r="D344" s="6">
        <v>355</v>
      </c>
      <c r="E344" s="6">
        <f>E343+C344-D344</f>
      </c>
      <c r="F344" s="2"/>
    </row>
    <row x14ac:dyDescent="0.25" r="345" customHeight="1" ht="17.25">
      <c r="A345" s="8">
        <v>45768</v>
      </c>
      <c r="B345" s="9" t="s">
        <v>272</v>
      </c>
      <c r="C345" s="6">
        <v>123</v>
      </c>
      <c r="D345" s="4"/>
      <c r="E345" s="6">
        <f>E344+C345-D345</f>
      </c>
      <c r="F345" s="2"/>
    </row>
    <row x14ac:dyDescent="0.25" r="346" customHeight="1" ht="17.25">
      <c r="A346" s="7">
        <v>45769</v>
      </c>
      <c r="B346" s="9" t="s">
        <v>499</v>
      </c>
      <c r="C346" s="6">
        <v>275</v>
      </c>
      <c r="D346" s="4"/>
      <c r="E346" s="6">
        <f>E345+C346-D346</f>
      </c>
      <c r="F346" s="2"/>
    </row>
    <row x14ac:dyDescent="0.25" r="347" customHeight="1" ht="17.25">
      <c r="A347" s="8">
        <v>45769</v>
      </c>
      <c r="B347" s="9" t="s">
        <v>39</v>
      </c>
      <c r="C347" s="6">
        <v>7</v>
      </c>
      <c r="D347" s="4"/>
      <c r="E347" s="6">
        <f>E346+C347-D347</f>
      </c>
      <c r="F347" s="2"/>
    </row>
    <row x14ac:dyDescent="0.25" r="348" customHeight="1" ht="17.25">
      <c r="A348" s="7">
        <v>45769</v>
      </c>
      <c r="B348" s="9" t="s">
        <v>361</v>
      </c>
      <c r="C348" s="6">
        <v>30</v>
      </c>
      <c r="D348" s="4"/>
      <c r="E348" s="6">
        <f>E347+C348-D348</f>
      </c>
      <c r="F348" s="2"/>
    </row>
    <row x14ac:dyDescent="0.25" r="349" customHeight="1" ht="17.25">
      <c r="A349" s="7">
        <v>45769</v>
      </c>
      <c r="B349" s="9" t="s">
        <v>118</v>
      </c>
      <c r="C349" s="6">
        <v>57</v>
      </c>
      <c r="D349" s="4"/>
      <c r="E349" s="6">
        <f>E348+C349-D349</f>
      </c>
      <c r="F349" s="2"/>
    </row>
    <row x14ac:dyDescent="0.25" r="350" customHeight="1" ht="17.25">
      <c r="A350" s="7">
        <v>45770</v>
      </c>
      <c r="B350" s="9" t="s">
        <v>286</v>
      </c>
      <c r="C350" s="4"/>
      <c r="D350" s="6">
        <v>160</v>
      </c>
      <c r="E350" s="6">
        <f>E349+C350-D350</f>
      </c>
      <c r="F350" s="2"/>
    </row>
    <row x14ac:dyDescent="0.25" r="351" customHeight="1" ht="17.25">
      <c r="A351" s="8">
        <v>45770</v>
      </c>
      <c r="B351" s="9" t="s">
        <v>228</v>
      </c>
      <c r="C351" s="4"/>
      <c r="D351" s="6">
        <v>100</v>
      </c>
      <c r="E351" s="6">
        <f>E350+C351-D351</f>
      </c>
      <c r="F351" s="2"/>
    </row>
    <row x14ac:dyDescent="0.25" r="352" customHeight="1" ht="17.25">
      <c r="A352" s="8">
        <v>45770</v>
      </c>
      <c r="B352" s="9" t="s">
        <v>485</v>
      </c>
      <c r="C352" s="6">
        <v>120</v>
      </c>
      <c r="D352" s="4"/>
      <c r="E352" s="6">
        <f>E351+C352-D352</f>
      </c>
      <c r="F352" s="2"/>
    </row>
    <row x14ac:dyDescent="0.25" r="353" customHeight="1" ht="17.25">
      <c r="A353" s="7">
        <v>45771</v>
      </c>
      <c r="B353" s="9" t="s">
        <v>228</v>
      </c>
      <c r="C353" s="4"/>
      <c r="D353" s="6">
        <v>70</v>
      </c>
      <c r="E353" s="6">
        <f>E352+C353-D353</f>
      </c>
      <c r="F353" s="2"/>
    </row>
    <row x14ac:dyDescent="0.25" r="354" customHeight="1" ht="17.25">
      <c r="A354" s="7">
        <v>45771</v>
      </c>
      <c r="B354" s="9" t="s">
        <v>411</v>
      </c>
      <c r="C354" s="4"/>
      <c r="D354" s="6">
        <v>60</v>
      </c>
      <c r="E354" s="6">
        <f>E353+C354-D354</f>
      </c>
      <c r="F354" s="2"/>
    </row>
    <row x14ac:dyDescent="0.25" r="355" customHeight="1" ht="17.25">
      <c r="A355" s="7">
        <v>45771</v>
      </c>
      <c r="B355" s="9" t="s">
        <v>289</v>
      </c>
      <c r="C355" s="4"/>
      <c r="D355" s="6">
        <v>50</v>
      </c>
      <c r="E355" s="6">
        <f>E354+C355-D355</f>
      </c>
      <c r="F355" s="2"/>
    </row>
    <row x14ac:dyDescent="0.25" r="356" customHeight="1" ht="17.25">
      <c r="A356" s="7">
        <v>45771</v>
      </c>
      <c r="B356" s="9" t="s">
        <v>521</v>
      </c>
      <c r="C356" s="4"/>
      <c r="D356" s="6">
        <v>100</v>
      </c>
      <c r="E356" s="6">
        <f>E355+C356-D356</f>
      </c>
      <c r="F356" s="2"/>
    </row>
    <row x14ac:dyDescent="0.25" r="357" customHeight="1" ht="17.25">
      <c r="A357" s="8">
        <v>45772</v>
      </c>
      <c r="B357" s="9" t="s">
        <v>228</v>
      </c>
      <c r="C357" s="4"/>
      <c r="D357" s="6">
        <v>150</v>
      </c>
      <c r="E357" s="6">
        <f>E356+C357-D357</f>
      </c>
      <c r="F357" s="2"/>
    </row>
    <row x14ac:dyDescent="0.25" r="358" customHeight="1" ht="17.25">
      <c r="A358" s="7">
        <v>45772</v>
      </c>
      <c r="B358" s="9" t="s">
        <v>44</v>
      </c>
      <c r="C358" s="6">
        <v>25</v>
      </c>
      <c r="D358" s="4"/>
      <c r="E358" s="6">
        <f>E357+C358-D358</f>
      </c>
      <c r="F358" s="2"/>
    </row>
    <row x14ac:dyDescent="0.25" r="359" customHeight="1" ht="17.25">
      <c r="A359" s="7">
        <v>45772</v>
      </c>
      <c r="B359" s="9" t="s">
        <v>549</v>
      </c>
      <c r="C359" s="6">
        <v>110</v>
      </c>
      <c r="D359" s="4"/>
      <c r="E359" s="6">
        <f>E358+C359-D359</f>
      </c>
      <c r="F359" s="2"/>
    </row>
    <row x14ac:dyDescent="0.25" r="360" customHeight="1" ht="17.25">
      <c r="A360" s="8">
        <v>45773</v>
      </c>
      <c r="B360" s="9" t="s">
        <v>228</v>
      </c>
      <c r="C360" s="4"/>
      <c r="D360" s="6">
        <v>100</v>
      </c>
      <c r="E360" s="6">
        <f>E359+C360-D360</f>
      </c>
      <c r="F360" s="2"/>
    </row>
    <row x14ac:dyDescent="0.25" r="361" customHeight="1" ht="17.25">
      <c r="A361" s="7">
        <v>45773</v>
      </c>
      <c r="B361" s="9" t="s">
        <v>389</v>
      </c>
      <c r="C361" s="4"/>
      <c r="D361" s="6">
        <v>200</v>
      </c>
      <c r="E361" s="6">
        <f>E360+C361-D361</f>
      </c>
      <c r="F361" s="2"/>
    </row>
    <row x14ac:dyDescent="0.25" r="362" customHeight="1" ht="17.25">
      <c r="A362" s="7">
        <v>45773</v>
      </c>
      <c r="B362" s="9" t="s">
        <v>486</v>
      </c>
      <c r="C362" s="6">
        <v>150</v>
      </c>
      <c r="D362" s="4"/>
      <c r="E362" s="6">
        <f>E361+C362-D362</f>
      </c>
      <c r="F362" s="2"/>
    </row>
    <row x14ac:dyDescent="0.25" r="363" customHeight="1" ht="17.25">
      <c r="A363" s="7">
        <v>45773</v>
      </c>
      <c r="B363" s="9" t="s">
        <v>549</v>
      </c>
      <c r="C363" s="6">
        <v>102</v>
      </c>
      <c r="D363" s="4"/>
      <c r="E363" s="6">
        <f>E362+C363-D363</f>
      </c>
      <c r="F363" s="2"/>
    </row>
    <row x14ac:dyDescent="0.25" r="364" customHeight="1" ht="17.25">
      <c r="A364" s="8">
        <v>45773</v>
      </c>
      <c r="B364" s="9" t="s">
        <v>287</v>
      </c>
      <c r="C364" s="4"/>
      <c r="D364" s="6">
        <v>20</v>
      </c>
      <c r="E364" s="6">
        <f>E363+C364-D364</f>
      </c>
      <c r="F364" s="2"/>
    </row>
    <row x14ac:dyDescent="0.25" r="365" customHeight="1" ht="17.25">
      <c r="A365" s="8">
        <v>45775</v>
      </c>
      <c r="B365" s="9" t="s">
        <v>412</v>
      </c>
      <c r="C365" s="4"/>
      <c r="D365" s="6">
        <v>40</v>
      </c>
      <c r="E365" s="6">
        <f>E364+C365-D365</f>
      </c>
      <c r="F365" s="2"/>
    </row>
    <row x14ac:dyDescent="0.25" r="366" customHeight="1" ht="17.25">
      <c r="A366" s="7">
        <v>45775</v>
      </c>
      <c r="B366" s="9" t="s">
        <v>228</v>
      </c>
      <c r="C366" s="4"/>
      <c r="D366" s="6">
        <v>100</v>
      </c>
      <c r="E366" s="6">
        <f>E365+C366-D366</f>
      </c>
      <c r="F366" s="2"/>
    </row>
    <row x14ac:dyDescent="0.25" r="367" customHeight="1" ht="17.25">
      <c r="A367" s="8">
        <v>45775</v>
      </c>
      <c r="B367" s="9" t="s">
        <v>283</v>
      </c>
      <c r="C367" s="6">
        <v>12</v>
      </c>
      <c r="D367" s="4"/>
      <c r="E367" s="6">
        <f>E366+C367-D367</f>
      </c>
      <c r="F367" s="2"/>
    </row>
    <row x14ac:dyDescent="0.25" r="368" customHeight="1" ht="17.25">
      <c r="A368" s="7">
        <v>45775</v>
      </c>
      <c r="B368" s="9" t="s">
        <v>549</v>
      </c>
      <c r="C368" s="6">
        <v>100</v>
      </c>
      <c r="D368" s="4"/>
      <c r="E368" s="6">
        <f>E367+C368-D368</f>
      </c>
      <c r="F368" s="2"/>
    </row>
    <row x14ac:dyDescent="0.25" r="369" customHeight="1" ht="17.25">
      <c r="A369" s="7">
        <v>45775</v>
      </c>
      <c r="B369" s="9" t="s">
        <v>384</v>
      </c>
      <c r="C369" s="6">
        <v>305</v>
      </c>
      <c r="D369" s="4"/>
      <c r="E369" s="6">
        <f>E368+C369-D369</f>
      </c>
      <c r="F369" s="2"/>
    </row>
    <row x14ac:dyDescent="0.25" r="370" customHeight="1" ht="17.25">
      <c r="A370" s="8">
        <v>45777</v>
      </c>
      <c r="B370" s="9" t="s">
        <v>311</v>
      </c>
      <c r="C370" s="4"/>
      <c r="D370" s="6">
        <v>200</v>
      </c>
      <c r="E370" s="6">
        <f>E369+C370-D370</f>
      </c>
      <c r="F370" s="2"/>
    </row>
    <row x14ac:dyDescent="0.25" r="371" customHeight="1" ht="17.25">
      <c r="A371" s="7">
        <v>45777</v>
      </c>
      <c r="B371" s="9" t="s">
        <v>289</v>
      </c>
      <c r="C371" s="4"/>
      <c r="D371" s="6">
        <v>100</v>
      </c>
      <c r="E371" s="6">
        <f>E370+C371-D371</f>
      </c>
      <c r="F371" s="2"/>
    </row>
    <row x14ac:dyDescent="0.25" r="372" customHeight="1" ht="17.25">
      <c r="A372" s="8">
        <v>45777</v>
      </c>
      <c r="B372" s="9" t="s">
        <v>412</v>
      </c>
      <c r="C372" s="4"/>
      <c r="D372" s="6">
        <v>20</v>
      </c>
      <c r="E372" s="6">
        <f>E371+C372-D372</f>
      </c>
      <c r="F372" s="2"/>
    </row>
    <row x14ac:dyDescent="0.25" r="373" customHeight="1" ht="17.25">
      <c r="A373" s="8">
        <v>45777</v>
      </c>
      <c r="B373" s="9" t="s">
        <v>412</v>
      </c>
      <c r="C373" s="4"/>
      <c r="D373" s="6">
        <v>20</v>
      </c>
      <c r="E373" s="6">
        <f>E372+C373-D373</f>
      </c>
      <c r="F373" s="2"/>
    </row>
    <row x14ac:dyDescent="0.25" r="374" customHeight="1" ht="17.25">
      <c r="A374" s="8">
        <v>45777</v>
      </c>
      <c r="B374" s="9" t="s">
        <v>286</v>
      </c>
      <c r="C374" s="4"/>
      <c r="D374" s="6">
        <v>160</v>
      </c>
      <c r="E374" s="6">
        <f>E373+C374-D374</f>
      </c>
      <c r="F374" s="2"/>
    </row>
    <row x14ac:dyDescent="0.25" r="375" customHeight="1" ht="17.25">
      <c r="A375" s="8">
        <v>45777</v>
      </c>
      <c r="B375" s="9" t="s">
        <v>275</v>
      </c>
      <c r="C375" s="6">
        <v>21</v>
      </c>
      <c r="D375" s="4"/>
      <c r="E375" s="6">
        <f>E374+C375-D375</f>
      </c>
      <c r="F375" s="2"/>
    </row>
    <row x14ac:dyDescent="0.25" r="376" customHeight="1" ht="17.25">
      <c r="A376" s="7">
        <v>45777</v>
      </c>
      <c r="B376" s="9" t="s">
        <v>382</v>
      </c>
      <c r="C376" s="6">
        <v>88</v>
      </c>
      <c r="D376" s="4"/>
      <c r="E376" s="6">
        <f>E375+C376-D376</f>
      </c>
      <c r="F376" s="2"/>
    </row>
    <row x14ac:dyDescent="0.25" r="377" customHeight="1" ht="17.25">
      <c r="A377" s="7">
        <v>45777</v>
      </c>
      <c r="B377" s="9" t="s">
        <v>549</v>
      </c>
      <c r="C377" s="6">
        <v>100</v>
      </c>
      <c r="D377" s="4"/>
      <c r="E377" s="6">
        <f>E376+C377-D377</f>
      </c>
      <c r="F377" s="2"/>
    </row>
    <row x14ac:dyDescent="0.25" r="378" customHeight="1" ht="17.25">
      <c r="A378" s="8">
        <v>45779</v>
      </c>
      <c r="B378" s="9" t="s">
        <v>241</v>
      </c>
      <c r="C378" s="6">
        <v>100</v>
      </c>
      <c r="D378" s="4"/>
      <c r="E378" s="6">
        <f>E377+C378-D378</f>
      </c>
      <c r="F378" s="2"/>
    </row>
    <row x14ac:dyDescent="0.25" r="379" customHeight="1" ht="17.25">
      <c r="A379" s="7">
        <v>45779</v>
      </c>
      <c r="B379" s="9" t="s">
        <v>286</v>
      </c>
      <c r="C379" s="4"/>
      <c r="D379" s="6">
        <v>112</v>
      </c>
      <c r="E379" s="6">
        <f>E378+C379-D379</f>
      </c>
      <c r="F379" s="2"/>
    </row>
    <row x14ac:dyDescent="0.25" r="380" customHeight="1" ht="17.25">
      <c r="A380" s="8">
        <v>45779</v>
      </c>
      <c r="B380" s="9" t="s">
        <v>272</v>
      </c>
      <c r="C380" s="6">
        <v>114</v>
      </c>
      <c r="D380" s="4"/>
      <c r="E380" s="6">
        <f>E379+C380-D380</f>
      </c>
      <c r="F380" s="2"/>
    </row>
    <row x14ac:dyDescent="0.25" r="381" customHeight="1" ht="17.25">
      <c r="A381" s="7">
        <v>45779</v>
      </c>
      <c r="B381" s="9" t="s">
        <v>382</v>
      </c>
      <c r="C381" s="6">
        <v>108</v>
      </c>
      <c r="D381" s="4"/>
      <c r="E381" s="6">
        <f>E380+C381-D381</f>
      </c>
      <c r="F381" s="2"/>
    </row>
    <row x14ac:dyDescent="0.25" r="382" customHeight="1" ht="17.25">
      <c r="A382" s="7">
        <v>45780</v>
      </c>
      <c r="B382" s="9" t="s">
        <v>58</v>
      </c>
      <c r="C382" s="6">
        <v>20</v>
      </c>
      <c r="D382" s="4"/>
      <c r="E382" s="6">
        <f>E381+C382-D382</f>
      </c>
      <c r="F382" s="2"/>
    </row>
    <row x14ac:dyDescent="0.25" r="383" customHeight="1" ht="17.25">
      <c r="A383" s="7">
        <v>45780</v>
      </c>
      <c r="B383" s="9" t="s">
        <v>550</v>
      </c>
      <c r="C383" s="4"/>
      <c r="D383" s="6">
        <v>20</v>
      </c>
      <c r="E383" s="6">
        <f>E382+C383-D383</f>
      </c>
      <c r="F383" s="2"/>
    </row>
    <row x14ac:dyDescent="0.25" r="384" customHeight="1" ht="17.25">
      <c r="A384" s="7">
        <v>45780</v>
      </c>
      <c r="B384" s="9" t="s">
        <v>232</v>
      </c>
      <c r="C384" s="4"/>
      <c r="D384" s="6">
        <v>20</v>
      </c>
      <c r="E384" s="6">
        <f>E383+C384-D384</f>
      </c>
      <c r="F384" s="2"/>
    </row>
    <row x14ac:dyDescent="0.25" r="385" customHeight="1" ht="17.25">
      <c r="A385" s="7">
        <v>45780</v>
      </c>
      <c r="B385" s="9" t="s">
        <v>549</v>
      </c>
      <c r="C385" s="6">
        <v>119</v>
      </c>
      <c r="D385" s="4"/>
      <c r="E385" s="6">
        <f>E384+C385-D385</f>
      </c>
      <c r="F385" s="2"/>
    </row>
    <row x14ac:dyDescent="0.25" r="386" customHeight="1" ht="17.25">
      <c r="A386" s="7">
        <v>45782</v>
      </c>
      <c r="B386" s="9" t="s">
        <v>284</v>
      </c>
      <c r="C386" s="4"/>
      <c r="D386" s="6">
        <v>200</v>
      </c>
      <c r="E386" s="6">
        <f>E385+C386-D386</f>
      </c>
      <c r="F386" s="2"/>
    </row>
    <row x14ac:dyDescent="0.25" r="387" customHeight="1" ht="17.25">
      <c r="A387" s="8">
        <v>45782</v>
      </c>
      <c r="B387" s="9" t="s">
        <v>389</v>
      </c>
      <c r="C387" s="4"/>
      <c r="D387" s="6">
        <v>100</v>
      </c>
      <c r="E387" s="6">
        <f>E386+C387-D387</f>
      </c>
      <c r="F387" s="2"/>
    </row>
    <row x14ac:dyDescent="0.25" r="388" customHeight="1" ht="17.25">
      <c r="A388" s="7">
        <v>45782</v>
      </c>
      <c r="B388" s="9" t="s">
        <v>341</v>
      </c>
      <c r="C388" s="4"/>
      <c r="D388" s="6">
        <v>72</v>
      </c>
      <c r="E388" s="6">
        <f>E387+C388-D388</f>
      </c>
      <c r="F388" s="2"/>
    </row>
    <row x14ac:dyDescent="0.25" r="389" customHeight="1" ht="17.25">
      <c r="A389" s="8">
        <v>45782</v>
      </c>
      <c r="B389" s="9" t="s">
        <v>189</v>
      </c>
      <c r="C389" s="6">
        <v>50</v>
      </c>
      <c r="D389" s="4"/>
      <c r="E389" s="6">
        <f>E388+C389-D389</f>
      </c>
      <c r="F389" s="2"/>
    </row>
    <row x14ac:dyDescent="0.25" r="390" customHeight="1" ht="17.25">
      <c r="A390" s="7">
        <v>45783</v>
      </c>
      <c r="B390" s="9" t="s">
        <v>448</v>
      </c>
      <c r="C390" s="4"/>
      <c r="D390" s="6">
        <v>80</v>
      </c>
      <c r="E390" s="6">
        <f>E389+C390-D390</f>
      </c>
      <c r="F390" s="2"/>
    </row>
    <row x14ac:dyDescent="0.25" r="391" customHeight="1" ht="17.25">
      <c r="A391" s="7">
        <v>45783</v>
      </c>
      <c r="B391" s="9" t="s">
        <v>141</v>
      </c>
      <c r="C391" s="4"/>
      <c r="D391" s="6">
        <v>360</v>
      </c>
      <c r="E391" s="6">
        <f>E390+C391-D391</f>
      </c>
      <c r="F391" s="2"/>
    </row>
    <row x14ac:dyDescent="0.25" r="392" customHeight="1" ht="17.25">
      <c r="A392" s="7">
        <v>45783</v>
      </c>
      <c r="B392" s="9" t="s">
        <v>286</v>
      </c>
      <c r="C392" s="4"/>
      <c r="D392" s="6">
        <v>60</v>
      </c>
      <c r="E392" s="6">
        <f>E391+C392-D392</f>
      </c>
      <c r="F392" s="2"/>
    </row>
    <row x14ac:dyDescent="0.25" r="393" customHeight="1" ht="17.25">
      <c r="A393" s="7">
        <v>45783</v>
      </c>
      <c r="B393" s="9" t="s">
        <v>241</v>
      </c>
      <c r="C393" s="4"/>
      <c r="D393" s="6">
        <v>50</v>
      </c>
      <c r="E393" s="6">
        <f>E392+C393-D393</f>
      </c>
      <c r="F393" s="2"/>
    </row>
    <row x14ac:dyDescent="0.25" r="394" customHeight="1" ht="17.25">
      <c r="A394" s="7">
        <v>45783</v>
      </c>
      <c r="B394" s="9" t="s">
        <v>449</v>
      </c>
      <c r="C394" s="4"/>
      <c r="D394" s="6">
        <v>24</v>
      </c>
      <c r="E394" s="6">
        <f>E393+C394-D394</f>
      </c>
      <c r="F394" s="2"/>
    </row>
    <row x14ac:dyDescent="0.25" r="395" customHeight="1" ht="17.25">
      <c r="A395" s="7">
        <v>45783</v>
      </c>
      <c r="B395" s="9" t="s">
        <v>549</v>
      </c>
      <c r="C395" s="6">
        <v>118</v>
      </c>
      <c r="D395" s="4"/>
      <c r="E395" s="6">
        <f>E394+C395-D395</f>
      </c>
      <c r="F395" s="2"/>
    </row>
    <row x14ac:dyDescent="0.25" r="396" customHeight="1" ht="17.25">
      <c r="A396" s="7">
        <v>45784</v>
      </c>
      <c r="B396" s="9" t="s">
        <v>289</v>
      </c>
      <c r="C396" s="4"/>
      <c r="D396" s="6">
        <v>120</v>
      </c>
      <c r="E396" s="6">
        <f>E395+C396-D396</f>
      </c>
      <c r="F396" s="2"/>
    </row>
    <row x14ac:dyDescent="0.25" r="397" customHeight="1" ht="17.25">
      <c r="A397" s="7">
        <v>45784</v>
      </c>
      <c r="B397" s="9" t="s">
        <v>262</v>
      </c>
      <c r="C397" s="4"/>
      <c r="D397" s="6">
        <v>40</v>
      </c>
      <c r="E397" s="6">
        <f>E396+C397-D397</f>
      </c>
      <c r="F397" s="2"/>
    </row>
    <row x14ac:dyDescent="0.25" r="398" customHeight="1" ht="17.25">
      <c r="A398" s="8">
        <v>45784</v>
      </c>
      <c r="B398" s="9" t="s">
        <v>485</v>
      </c>
      <c r="C398" s="6">
        <v>15</v>
      </c>
      <c r="D398" s="4"/>
      <c r="E398" s="6">
        <f>E397+C398-D398</f>
      </c>
      <c r="F398" s="2"/>
    </row>
    <row x14ac:dyDescent="0.25" r="399" customHeight="1" ht="17.25">
      <c r="A399" s="8">
        <v>45784</v>
      </c>
      <c r="B399" s="9" t="s">
        <v>384</v>
      </c>
      <c r="C399" s="6">
        <v>52</v>
      </c>
      <c r="D399" s="4"/>
      <c r="E399" s="6">
        <f>E398+C399-D399</f>
      </c>
      <c r="F399" s="2"/>
    </row>
    <row x14ac:dyDescent="0.25" r="400" customHeight="1" ht="17.25">
      <c r="A400" s="7">
        <v>45785</v>
      </c>
      <c r="B400" s="9" t="s">
        <v>286</v>
      </c>
      <c r="C400" s="4"/>
      <c r="D400" s="6">
        <v>150</v>
      </c>
      <c r="E400" s="6">
        <f>E399+C400-D400</f>
      </c>
      <c r="F400" s="2"/>
    </row>
    <row x14ac:dyDescent="0.25" r="401" customHeight="1" ht="17.25">
      <c r="A401" s="7">
        <v>45785</v>
      </c>
      <c r="B401" s="9" t="s">
        <v>35</v>
      </c>
      <c r="C401" s="4"/>
      <c r="D401" s="6">
        <v>350</v>
      </c>
      <c r="E401" s="6">
        <f>E400+C401-D401</f>
      </c>
      <c r="F401" s="2"/>
    </row>
    <row x14ac:dyDescent="0.25" r="402" customHeight="1" ht="17.25">
      <c r="A402" s="8">
        <v>45785</v>
      </c>
      <c r="B402" s="9" t="s">
        <v>388</v>
      </c>
      <c r="C402" s="4"/>
      <c r="D402" s="6">
        <v>16</v>
      </c>
      <c r="E402" s="6">
        <f>E401+C402-D402</f>
      </c>
      <c r="F402" s="2"/>
    </row>
    <row x14ac:dyDescent="0.25" r="403" customHeight="1" ht="17.25">
      <c r="A403" s="7">
        <v>45785</v>
      </c>
      <c r="B403" s="9" t="s">
        <v>385</v>
      </c>
      <c r="C403" s="6">
        <v>90</v>
      </c>
      <c r="D403" s="4"/>
      <c r="E403" s="6">
        <f>E402+C403-D403</f>
      </c>
      <c r="F403" s="2"/>
    </row>
    <row x14ac:dyDescent="0.25" r="404" customHeight="1" ht="17.25">
      <c r="A404" s="7">
        <v>45785</v>
      </c>
      <c r="B404" s="9" t="s">
        <v>42</v>
      </c>
      <c r="C404" s="4"/>
      <c r="D404" s="6">
        <v>56</v>
      </c>
      <c r="E404" s="6">
        <f>E403+C404-D404</f>
      </c>
      <c r="F404" s="2"/>
    </row>
    <row x14ac:dyDescent="0.25" r="405" customHeight="1" ht="17.25">
      <c r="A405" s="7">
        <v>45786</v>
      </c>
      <c r="B405" s="9" t="s">
        <v>484</v>
      </c>
      <c r="C405" s="6">
        <v>200</v>
      </c>
      <c r="D405" s="4"/>
      <c r="E405" s="6">
        <f>E404+C405-D405</f>
      </c>
      <c r="F405" s="2"/>
    </row>
    <row x14ac:dyDescent="0.25" r="406" customHeight="1" ht="17.25">
      <c r="A406" s="7">
        <v>45787</v>
      </c>
      <c r="B406" s="9" t="s">
        <v>382</v>
      </c>
      <c r="C406" s="6">
        <v>35</v>
      </c>
      <c r="D406" s="4"/>
      <c r="E406" s="6">
        <f>E405+C406-D406</f>
      </c>
      <c r="F406" s="2"/>
    </row>
    <row x14ac:dyDescent="0.25" r="407" customHeight="1" ht="17.25">
      <c r="A407" s="7">
        <v>45788</v>
      </c>
      <c r="B407" s="9" t="s">
        <v>291</v>
      </c>
      <c r="C407" s="4"/>
      <c r="D407" s="6">
        <v>1700</v>
      </c>
      <c r="E407" s="6">
        <f>E406+C407-D407</f>
      </c>
      <c r="F407" s="2"/>
    </row>
    <row x14ac:dyDescent="0.25" r="408" customHeight="1" ht="17.25">
      <c r="A408" s="7">
        <v>45789</v>
      </c>
      <c r="B408" s="9" t="s">
        <v>291</v>
      </c>
      <c r="C408" s="4"/>
      <c r="D408" s="6">
        <v>550</v>
      </c>
      <c r="E408" s="6">
        <f>E407+C408-D408</f>
      </c>
      <c r="F408" s="2"/>
    </row>
    <row x14ac:dyDescent="0.25" r="409" customHeight="1" ht="17.25">
      <c r="A409" s="7">
        <v>45790</v>
      </c>
      <c r="B409" s="9" t="s">
        <v>272</v>
      </c>
      <c r="C409" s="6">
        <v>30</v>
      </c>
      <c r="D409" s="4"/>
      <c r="E409" s="6">
        <f>E408+C409-D409</f>
      </c>
      <c r="F409" s="2"/>
    </row>
    <row x14ac:dyDescent="0.25" r="410" customHeight="1" ht="17.25">
      <c r="A410" s="7">
        <v>45791</v>
      </c>
      <c r="B410" s="9" t="s">
        <v>286</v>
      </c>
      <c r="C410" s="4"/>
      <c r="D410" s="6">
        <v>150</v>
      </c>
      <c r="E410" s="6">
        <f>E409+C410-D410</f>
      </c>
      <c r="F410" s="2"/>
    </row>
    <row x14ac:dyDescent="0.25" r="411" customHeight="1" ht="17.25">
      <c r="A411" s="8">
        <v>45791</v>
      </c>
      <c r="B411" s="9" t="s">
        <v>282</v>
      </c>
      <c r="C411" s="6">
        <v>16</v>
      </c>
      <c r="D411" s="4"/>
      <c r="E411" s="6">
        <f>E410+C411-D411</f>
      </c>
      <c r="F411" s="2"/>
    </row>
    <row x14ac:dyDescent="0.25" r="412" customHeight="1" ht="17.25">
      <c r="A412" s="7">
        <v>45791</v>
      </c>
      <c r="B412" s="9" t="s">
        <v>449</v>
      </c>
      <c r="C412" s="6">
        <v>24</v>
      </c>
      <c r="D412" s="4"/>
      <c r="E412" s="6">
        <f>E411+C412-D412</f>
      </c>
      <c r="F412" s="2"/>
    </row>
    <row x14ac:dyDescent="0.25" r="413" customHeight="1" ht="17.25">
      <c r="A413" s="8">
        <v>45792</v>
      </c>
      <c r="B413" s="9" t="s">
        <v>35</v>
      </c>
      <c r="C413" s="4"/>
      <c r="D413" s="6">
        <v>136</v>
      </c>
      <c r="E413" s="6">
        <f>E412+C413-D413</f>
      </c>
      <c r="F413" s="2"/>
    </row>
    <row x14ac:dyDescent="0.25" r="414" customHeight="1" ht="17.25">
      <c r="A414" s="7">
        <v>45792</v>
      </c>
      <c r="B414" s="9" t="s">
        <v>228</v>
      </c>
      <c r="C414" s="4"/>
      <c r="D414" s="6">
        <v>100</v>
      </c>
      <c r="E414" s="6">
        <f>E413+C414-D414</f>
      </c>
      <c r="F414" s="2"/>
    </row>
    <row x14ac:dyDescent="0.25" r="415" customHeight="1" ht="17.25">
      <c r="A415" s="7">
        <v>45792</v>
      </c>
      <c r="B415" s="9" t="s">
        <v>119</v>
      </c>
      <c r="C415" s="6">
        <v>3</v>
      </c>
      <c r="D415" s="4"/>
      <c r="E415" s="6">
        <f>E414+C415-D415</f>
      </c>
      <c r="F415" s="2"/>
    </row>
    <row x14ac:dyDescent="0.25" r="416" customHeight="1" ht="17.25">
      <c r="A416" s="7">
        <v>45793</v>
      </c>
      <c r="B416" s="9" t="s">
        <v>262</v>
      </c>
      <c r="C416" s="4"/>
      <c r="D416" s="6">
        <v>160</v>
      </c>
      <c r="E416" s="6">
        <f>E415+C416-D416</f>
      </c>
      <c r="F416" s="2"/>
    </row>
    <row x14ac:dyDescent="0.25" r="417" customHeight="1" ht="17.25">
      <c r="A417" s="7">
        <v>45793</v>
      </c>
      <c r="B417" s="9" t="s">
        <v>286</v>
      </c>
      <c r="C417" s="4"/>
      <c r="D417" s="6">
        <v>64</v>
      </c>
      <c r="E417" s="6">
        <f>E416+C417-D417</f>
      </c>
      <c r="F417" s="2"/>
    </row>
    <row x14ac:dyDescent="0.25" r="418" customHeight="1" ht="17.25">
      <c r="A418" s="8">
        <v>45793</v>
      </c>
      <c r="B418" s="9" t="s">
        <v>426</v>
      </c>
      <c r="C418" s="4"/>
      <c r="D418" s="6">
        <v>100</v>
      </c>
      <c r="E418" s="6">
        <f>E417+C418-D418</f>
      </c>
      <c r="F418" s="2"/>
    </row>
    <row x14ac:dyDescent="0.25" r="419" customHeight="1" ht="17.25">
      <c r="A419" s="8">
        <v>45793</v>
      </c>
      <c r="B419" s="9" t="s">
        <v>486</v>
      </c>
      <c r="C419" s="6">
        <v>500</v>
      </c>
      <c r="D419" s="4"/>
      <c r="E419" s="6">
        <f>E418+C419-D419</f>
      </c>
      <c r="F419" s="2"/>
    </row>
    <row x14ac:dyDescent="0.25" r="420" customHeight="1" ht="17.25">
      <c r="A420" s="8">
        <v>45793</v>
      </c>
      <c r="B420" s="9" t="s">
        <v>484</v>
      </c>
      <c r="C420" s="6">
        <v>260</v>
      </c>
      <c r="D420" s="4"/>
      <c r="E420" s="6">
        <f>E419+C420-D420</f>
      </c>
      <c r="F420" s="2"/>
    </row>
    <row x14ac:dyDescent="0.25" r="421" customHeight="1" ht="17.25">
      <c r="A421" s="7">
        <v>45793</v>
      </c>
      <c r="B421" s="9" t="s">
        <v>3</v>
      </c>
      <c r="C421" s="6">
        <v>142</v>
      </c>
      <c r="D421" s="4"/>
      <c r="E421" s="6">
        <f>E420+C421-D421</f>
      </c>
      <c r="F421" s="2"/>
    </row>
    <row x14ac:dyDescent="0.25" r="422" customHeight="1" ht="17.25">
      <c r="A422" s="7">
        <v>45794</v>
      </c>
      <c r="B422" s="9" t="s">
        <v>179</v>
      </c>
      <c r="C422" s="4"/>
      <c r="D422" s="6">
        <v>60</v>
      </c>
      <c r="E422" s="6">
        <f>E421+C422-D422</f>
      </c>
      <c r="F422" s="2"/>
    </row>
    <row x14ac:dyDescent="0.25" r="423" customHeight="1" ht="17.25">
      <c r="A423" s="7">
        <v>45794</v>
      </c>
      <c r="B423" s="9" t="s">
        <v>35</v>
      </c>
      <c r="C423" s="4"/>
      <c r="D423" s="6">
        <v>196</v>
      </c>
      <c r="E423" s="6">
        <f>E422+C423-D423</f>
      </c>
      <c r="F423" s="2"/>
    </row>
    <row x14ac:dyDescent="0.25" r="424" customHeight="1" ht="17.25">
      <c r="A424" s="7">
        <v>45796</v>
      </c>
      <c r="B424" s="9" t="s">
        <v>286</v>
      </c>
      <c r="C424" s="4"/>
      <c r="D424" s="6">
        <v>400</v>
      </c>
      <c r="E424" s="6">
        <f>E423+C424-D424</f>
      </c>
      <c r="F424" s="2"/>
    </row>
    <row x14ac:dyDescent="0.25" r="425" customHeight="1" ht="17.25">
      <c r="A425" s="7">
        <v>45796</v>
      </c>
      <c r="B425" s="9" t="s">
        <v>286</v>
      </c>
      <c r="C425" s="4"/>
      <c r="D425" s="6">
        <v>400</v>
      </c>
      <c r="E425" s="6">
        <f>E424+C425-D425</f>
      </c>
      <c r="F425" s="2"/>
    </row>
    <row x14ac:dyDescent="0.25" r="426" customHeight="1" ht="17.25">
      <c r="A426" s="7">
        <v>45796</v>
      </c>
      <c r="B426" s="9" t="s">
        <v>484</v>
      </c>
      <c r="C426" s="6">
        <v>40</v>
      </c>
      <c r="D426" s="4"/>
      <c r="E426" s="6">
        <f>E425+C426-D426</f>
      </c>
      <c r="F426" s="2"/>
    </row>
    <row x14ac:dyDescent="0.25" r="427" customHeight="1" ht="17.25">
      <c r="A427" s="8">
        <v>45797</v>
      </c>
      <c r="B427" s="9" t="s">
        <v>42</v>
      </c>
      <c r="C427" s="4"/>
      <c r="D427" s="6">
        <v>46</v>
      </c>
      <c r="E427" s="6">
        <f>E426+C427-D427</f>
      </c>
      <c r="F427" s="2"/>
    </row>
    <row x14ac:dyDescent="0.25" r="428" customHeight="1" ht="17.25">
      <c r="A428" s="8">
        <v>45797</v>
      </c>
      <c r="B428" s="9" t="s">
        <v>35</v>
      </c>
      <c r="C428" s="4"/>
      <c r="D428" s="6">
        <v>108</v>
      </c>
      <c r="E428" s="6">
        <f>E427+C428-D428</f>
      </c>
      <c r="F428" s="2"/>
    </row>
    <row x14ac:dyDescent="0.25" r="429" customHeight="1" ht="17.25">
      <c r="A429" s="7">
        <v>45797</v>
      </c>
      <c r="B429" s="9" t="s">
        <v>382</v>
      </c>
      <c r="C429" s="6">
        <v>53</v>
      </c>
      <c r="D429" s="4"/>
      <c r="E429" s="6">
        <f>E428+C429-D429</f>
      </c>
      <c r="F429" s="2"/>
    </row>
    <row x14ac:dyDescent="0.25" r="430" customHeight="1" ht="17.25">
      <c r="A430" s="8">
        <v>45798</v>
      </c>
      <c r="B430" s="9" t="s">
        <v>284</v>
      </c>
      <c r="C430" s="4"/>
      <c r="D430" s="6">
        <v>50</v>
      </c>
      <c r="E430" s="6">
        <f>E429+C430-D430</f>
      </c>
      <c r="F430" s="2"/>
    </row>
    <row x14ac:dyDescent="0.25" r="431" customHeight="1" ht="17.25">
      <c r="A431" s="7">
        <v>45798</v>
      </c>
      <c r="B431" s="9" t="s">
        <v>283</v>
      </c>
      <c r="C431" s="4"/>
      <c r="D431" s="6">
        <v>400</v>
      </c>
      <c r="E431" s="6">
        <f>E430+C431-D431</f>
      </c>
      <c r="F431" s="2"/>
    </row>
    <row x14ac:dyDescent="0.25" r="432" customHeight="1" ht="17.25">
      <c r="A432" s="8">
        <v>45799</v>
      </c>
      <c r="B432" s="9" t="s">
        <v>44</v>
      </c>
      <c r="C432" s="6">
        <v>70</v>
      </c>
      <c r="D432" s="4"/>
      <c r="E432" s="6">
        <f>E431+C432-D432</f>
      </c>
      <c r="F432" s="2"/>
    </row>
    <row x14ac:dyDescent="0.25" r="433" customHeight="1" ht="17.25">
      <c r="A433" s="7">
        <v>45800</v>
      </c>
      <c r="B433" s="9" t="s">
        <v>35</v>
      </c>
      <c r="C433" s="4"/>
      <c r="D433" s="6">
        <v>32</v>
      </c>
      <c r="E433" s="6">
        <f>E432+C433-D433</f>
      </c>
      <c r="F433" s="2"/>
    </row>
    <row x14ac:dyDescent="0.25" r="434" customHeight="1" ht="17.25">
      <c r="A434" s="8">
        <v>45800</v>
      </c>
      <c r="B434" s="9" t="s">
        <v>42</v>
      </c>
      <c r="C434" s="4"/>
      <c r="D434" s="6">
        <v>100</v>
      </c>
      <c r="E434" s="6">
        <f>E433+C434-D434</f>
      </c>
      <c r="F434" s="2"/>
    </row>
    <row x14ac:dyDescent="0.25" r="435" customHeight="1" ht="17.25">
      <c r="A435" s="7">
        <v>45800</v>
      </c>
      <c r="B435" s="9" t="s">
        <v>576</v>
      </c>
      <c r="C435" s="6">
        <v>130</v>
      </c>
      <c r="D435" s="4"/>
      <c r="E435" s="6">
        <f>E434+C435-D435</f>
      </c>
      <c r="F435" s="2"/>
    </row>
    <row x14ac:dyDescent="0.25" r="436" customHeight="1" ht="17.25">
      <c r="A436" s="7">
        <v>45801</v>
      </c>
      <c r="B436" s="9" t="s">
        <v>389</v>
      </c>
      <c r="C436" s="4"/>
      <c r="D436" s="6">
        <v>200</v>
      </c>
      <c r="E436" s="6">
        <f>E435+C436-D436</f>
      </c>
      <c r="F436" s="2"/>
    </row>
    <row x14ac:dyDescent="0.25" r="437" customHeight="1" ht="17.25">
      <c r="A437" s="7">
        <v>45801</v>
      </c>
      <c r="B437" s="9" t="s">
        <v>2</v>
      </c>
      <c r="C437" s="4"/>
      <c r="D437" s="6">
        <v>60</v>
      </c>
      <c r="E437" s="6">
        <f>E436+C437-D437</f>
      </c>
      <c r="F437" s="2"/>
    </row>
    <row x14ac:dyDescent="0.25" r="438" customHeight="1" ht="17.25">
      <c r="A438" s="8">
        <v>45803</v>
      </c>
      <c r="B438" s="9" t="s">
        <v>232</v>
      </c>
      <c r="C438" s="4"/>
      <c r="D438" s="6">
        <v>100</v>
      </c>
      <c r="E438" s="6">
        <f>E437+C438-D438</f>
      </c>
      <c r="F438" s="2"/>
    </row>
    <row x14ac:dyDescent="0.25" r="439" customHeight="1" ht="17.25">
      <c r="A439" s="7">
        <v>45803</v>
      </c>
      <c r="B439" s="9" t="s">
        <v>541</v>
      </c>
      <c r="C439" s="6">
        <v>63</v>
      </c>
      <c r="D439" s="4"/>
      <c r="E439" s="6">
        <f>E438+C439-D439</f>
      </c>
      <c r="F439" s="2"/>
    </row>
    <row x14ac:dyDescent="0.25" r="440" customHeight="1" ht="17.25">
      <c r="A440" s="8">
        <v>45804</v>
      </c>
      <c r="B440" s="9" t="s">
        <v>34</v>
      </c>
      <c r="C440" s="4"/>
      <c r="D440" s="6">
        <v>500</v>
      </c>
      <c r="E440" s="6">
        <f>E439+C440-D440</f>
      </c>
      <c r="F440" s="2"/>
    </row>
    <row x14ac:dyDescent="0.25" r="441" customHeight="1" ht="17.25">
      <c r="A441" s="7">
        <v>45804</v>
      </c>
      <c r="B441" s="9" t="s">
        <v>44</v>
      </c>
      <c r="C441" s="6">
        <v>50</v>
      </c>
      <c r="D441" s="4"/>
      <c r="E441" s="6">
        <f>E440+C441-D441</f>
      </c>
      <c r="F441" s="2"/>
    </row>
    <row x14ac:dyDescent="0.25" r="442" customHeight="1" ht="17.25">
      <c r="A442" s="7">
        <v>45805</v>
      </c>
      <c r="B442" s="9" t="s">
        <v>141</v>
      </c>
      <c r="C442" s="4"/>
      <c r="D442" s="6">
        <v>100</v>
      </c>
      <c r="E442" s="6">
        <f>E441+C442-D442</f>
      </c>
      <c r="F442" s="2"/>
    </row>
    <row x14ac:dyDescent="0.25" r="443" customHeight="1" ht="17.25">
      <c r="A443" s="7">
        <v>45805</v>
      </c>
      <c r="B443" s="9" t="s">
        <v>551</v>
      </c>
      <c r="C443" s="4"/>
      <c r="D443" s="6">
        <v>150</v>
      </c>
      <c r="E443" s="6">
        <f>E442+C443-D443</f>
      </c>
      <c r="F443" s="2"/>
    </row>
    <row x14ac:dyDescent="0.25" r="444" customHeight="1" ht="17.25">
      <c r="A444" s="7">
        <v>45805</v>
      </c>
      <c r="B444" s="9" t="s">
        <v>487</v>
      </c>
      <c r="C444" s="4"/>
      <c r="D444" s="6">
        <v>200</v>
      </c>
      <c r="E444" s="6">
        <f>E443+C444-D444</f>
      </c>
      <c r="F444" s="2"/>
    </row>
    <row x14ac:dyDescent="0.25" r="445" customHeight="1" ht="17.25">
      <c r="A445" s="7">
        <v>45805</v>
      </c>
      <c r="B445" s="9" t="s">
        <v>44</v>
      </c>
      <c r="C445" s="6">
        <v>95</v>
      </c>
      <c r="D445" s="4"/>
      <c r="E445" s="6">
        <f>E444+C445-D445</f>
      </c>
      <c r="F445" s="2"/>
    </row>
    <row x14ac:dyDescent="0.25" r="446" customHeight="1" ht="17.25">
      <c r="A446" s="7">
        <v>45805</v>
      </c>
      <c r="B446" s="9" t="s">
        <v>384</v>
      </c>
      <c r="C446" s="6">
        <v>30</v>
      </c>
      <c r="D446" s="4"/>
      <c r="E446" s="6">
        <f>E445+C446-D446</f>
      </c>
      <c r="F446" s="2"/>
    </row>
    <row x14ac:dyDescent="0.25" r="447" customHeight="1" ht="17.25">
      <c r="A447" s="7">
        <v>45806</v>
      </c>
      <c r="B447" s="9" t="s">
        <v>42</v>
      </c>
      <c r="C447" s="4"/>
      <c r="D447" s="6">
        <v>200</v>
      </c>
      <c r="E447" s="6">
        <f>E446+C447-D447</f>
      </c>
      <c r="F447" s="2"/>
    </row>
    <row x14ac:dyDescent="0.25" r="448" customHeight="1" ht="17.25">
      <c r="A448" s="7">
        <v>45807</v>
      </c>
      <c r="B448" s="9" t="s">
        <v>89</v>
      </c>
      <c r="C448" s="4"/>
      <c r="D448" s="6">
        <v>270</v>
      </c>
      <c r="E448" s="6">
        <f>E447+C448-D448</f>
      </c>
      <c r="F448" s="2"/>
    </row>
    <row x14ac:dyDescent="0.25" r="449" customHeight="1" ht="17.25">
      <c r="A449" s="7">
        <v>45807</v>
      </c>
      <c r="B449" s="9" t="s">
        <v>189</v>
      </c>
      <c r="C449" s="4"/>
      <c r="D449" s="6">
        <v>100</v>
      </c>
      <c r="E449" s="6">
        <f>E448+C449-D449</f>
      </c>
      <c r="F449" s="2"/>
    </row>
    <row x14ac:dyDescent="0.25" r="450" customHeight="1" ht="17.25">
      <c r="A450" s="8">
        <v>45807</v>
      </c>
      <c r="B450" s="9" t="s">
        <v>2</v>
      </c>
      <c r="C450" s="4"/>
      <c r="D450" s="6">
        <v>60</v>
      </c>
      <c r="E450" s="6">
        <f>E449+C450-D450</f>
      </c>
      <c r="F450" s="2"/>
    </row>
    <row x14ac:dyDescent="0.25" r="451" customHeight="1" ht="17.25">
      <c r="A451" s="7">
        <v>45808</v>
      </c>
      <c r="B451" s="9" t="s">
        <v>42</v>
      </c>
      <c r="C451" s="4"/>
      <c r="D451" s="6">
        <v>100</v>
      </c>
      <c r="E451" s="6">
        <f>E450+C451-D451</f>
      </c>
      <c r="F451" s="2"/>
    </row>
    <row x14ac:dyDescent="0.25" r="452" customHeight="1" ht="17.25">
      <c r="A452" s="7">
        <v>45808</v>
      </c>
      <c r="B452" s="9" t="s">
        <v>189</v>
      </c>
      <c r="C452" s="4"/>
      <c r="D452" s="6">
        <v>50</v>
      </c>
      <c r="E452" s="6">
        <f>E451+C452-D452</f>
      </c>
      <c r="F452" s="2"/>
    </row>
    <row x14ac:dyDescent="0.25" r="453" customHeight="1" ht="17.25">
      <c r="A453" s="7">
        <v>45808</v>
      </c>
      <c r="B453" s="9" t="s">
        <v>282</v>
      </c>
      <c r="C453" s="6">
        <v>23</v>
      </c>
      <c r="D453" s="4"/>
      <c r="E453" s="6">
        <f>E452+C453-D453</f>
      </c>
      <c r="F453" s="2"/>
    </row>
    <row x14ac:dyDescent="0.25" r="454" customHeight="1" ht="17.25">
      <c r="A454" s="7">
        <v>45808</v>
      </c>
      <c r="B454" s="9" t="s">
        <v>272</v>
      </c>
      <c r="C454" s="6">
        <v>55</v>
      </c>
      <c r="D454" s="4"/>
      <c r="E454" s="6">
        <f>E453+C454-D454</f>
      </c>
      <c r="F454" s="2"/>
    </row>
    <row x14ac:dyDescent="0.25" r="455" customHeight="1" ht="17.25">
      <c r="A455" s="7">
        <v>45810</v>
      </c>
      <c r="B455" s="9" t="s">
        <v>389</v>
      </c>
      <c r="C455" s="4"/>
      <c r="D455" s="6">
        <v>100</v>
      </c>
      <c r="E455" s="6">
        <f>E454+C455-D455</f>
      </c>
      <c r="F455" s="2"/>
    </row>
    <row x14ac:dyDescent="0.25" r="456" customHeight="1" ht="17.25">
      <c r="A456" s="8">
        <v>45810</v>
      </c>
      <c r="B456" s="9" t="s">
        <v>42</v>
      </c>
      <c r="C456" s="4"/>
      <c r="D456" s="6">
        <v>100</v>
      </c>
      <c r="E456" s="6">
        <f>E455+C456-D456</f>
      </c>
      <c r="F456" s="2"/>
    </row>
    <row x14ac:dyDescent="0.25" r="457" customHeight="1" ht="17.25">
      <c r="A457" s="8">
        <v>45810</v>
      </c>
      <c r="B457" s="9" t="s">
        <v>289</v>
      </c>
      <c r="C457" s="6">
        <v>30</v>
      </c>
      <c r="D457" s="4"/>
      <c r="E457" s="6">
        <f>E456+C457-D457</f>
      </c>
      <c r="F457" s="2"/>
    </row>
    <row x14ac:dyDescent="0.25" r="458" customHeight="1" ht="17.25">
      <c r="A458" s="8">
        <v>45810</v>
      </c>
      <c r="B458" s="9" t="s">
        <v>384</v>
      </c>
      <c r="C458" s="6">
        <v>29</v>
      </c>
      <c r="D458" s="4"/>
      <c r="E458" s="6">
        <f>E457+C458-D458</f>
      </c>
      <c r="F458" s="2"/>
    </row>
    <row x14ac:dyDescent="0.25" r="459" customHeight="1" ht="17.25">
      <c r="A459" s="7">
        <v>45811</v>
      </c>
      <c r="B459" s="9" t="s">
        <v>2</v>
      </c>
      <c r="C459" s="4"/>
      <c r="D459" s="6">
        <v>20</v>
      </c>
      <c r="E459" s="6">
        <f>E458+C459-D459</f>
      </c>
      <c r="F459" s="2"/>
    </row>
    <row x14ac:dyDescent="0.25" r="460" customHeight="1" ht="17.25">
      <c r="A460" s="8">
        <v>45811</v>
      </c>
      <c r="B460" s="9" t="s">
        <v>100</v>
      </c>
      <c r="C460" s="4"/>
      <c r="D460" s="6">
        <v>70</v>
      </c>
      <c r="E460" s="6">
        <f>E459+C460-D460</f>
      </c>
      <c r="F460" s="2"/>
    </row>
    <row x14ac:dyDescent="0.25" r="461" customHeight="1" ht="17.25">
      <c r="A461" s="8">
        <v>45811</v>
      </c>
      <c r="B461" s="9" t="s">
        <v>289</v>
      </c>
      <c r="C461" s="6">
        <v>100</v>
      </c>
      <c r="D461" s="4"/>
      <c r="E461" s="6">
        <f>E460+C461-D461</f>
      </c>
      <c r="F461" s="2"/>
    </row>
    <row x14ac:dyDescent="0.25" r="462" customHeight="1" ht="17.25">
      <c r="A462" s="7">
        <v>45811</v>
      </c>
      <c r="B462" s="9" t="s">
        <v>234</v>
      </c>
      <c r="C462" s="6">
        <v>190</v>
      </c>
      <c r="D462" s="4"/>
      <c r="E462" s="6">
        <f>E461+C462-D462</f>
      </c>
      <c r="F462" s="2"/>
    </row>
    <row x14ac:dyDescent="0.25" r="463" customHeight="1" ht="17.25">
      <c r="A463" s="7">
        <v>45812</v>
      </c>
      <c r="B463" s="9" t="s">
        <v>100</v>
      </c>
      <c r="C463" s="4"/>
      <c r="D463" s="6">
        <v>30</v>
      </c>
      <c r="E463" s="6">
        <f>E462+C463-D463</f>
      </c>
      <c r="F463" s="2"/>
    </row>
    <row x14ac:dyDescent="0.25" r="464" customHeight="1" ht="17.25">
      <c r="A464" s="7">
        <v>45812</v>
      </c>
      <c r="B464" s="9" t="s">
        <v>284</v>
      </c>
      <c r="C464" s="4"/>
      <c r="D464" s="6">
        <v>250</v>
      </c>
      <c r="E464" s="6">
        <f>E463+C464-D464</f>
      </c>
      <c r="F464" s="2"/>
    </row>
    <row x14ac:dyDescent="0.25" r="465" customHeight="1" ht="17.25">
      <c r="A465" s="7">
        <v>45812</v>
      </c>
      <c r="B465" s="9" t="s">
        <v>368</v>
      </c>
      <c r="C465" s="6">
        <v>71</v>
      </c>
      <c r="D465" s="4"/>
      <c r="E465" s="6">
        <f>E464+C465-D465</f>
      </c>
      <c r="F465" s="2"/>
    </row>
    <row x14ac:dyDescent="0.25" r="466" customHeight="1" ht="17.25">
      <c r="A466" s="7">
        <v>45812</v>
      </c>
      <c r="B466" s="9" t="s">
        <v>11</v>
      </c>
      <c r="C466" s="6">
        <v>230</v>
      </c>
      <c r="D466" s="4"/>
      <c r="E466" s="6">
        <f>E465+C466-D466</f>
      </c>
      <c r="F466" s="2"/>
    </row>
    <row x14ac:dyDescent="0.25" r="467" customHeight="1" ht="17.25">
      <c r="A467" s="7">
        <v>45813</v>
      </c>
      <c r="B467" s="9" t="s">
        <v>389</v>
      </c>
      <c r="C467" s="4"/>
      <c r="D467" s="6">
        <v>100</v>
      </c>
      <c r="E467" s="6">
        <f>E466+C467-D467</f>
      </c>
      <c r="F467" s="2"/>
    </row>
    <row x14ac:dyDescent="0.25" r="468" customHeight="1" ht="17.25">
      <c r="A468" s="7">
        <v>45813</v>
      </c>
      <c r="B468" s="9" t="s">
        <v>595</v>
      </c>
      <c r="C468" s="4"/>
      <c r="D468" s="6">
        <v>500</v>
      </c>
      <c r="E468" s="6">
        <f>E467+C468-D468</f>
      </c>
      <c r="F468" s="2"/>
    </row>
    <row x14ac:dyDescent="0.25" r="469" customHeight="1" ht="17.25">
      <c r="A469" s="7">
        <v>45813</v>
      </c>
      <c r="B469" s="9" t="s">
        <v>284</v>
      </c>
      <c r="C469" s="4"/>
      <c r="D469" s="6">
        <v>150</v>
      </c>
      <c r="E469" s="6">
        <f>E468+C469-D469</f>
      </c>
      <c r="F469" s="2"/>
    </row>
    <row x14ac:dyDescent="0.25" r="470" customHeight="1" ht="17.25">
      <c r="A470" s="7">
        <v>45813</v>
      </c>
      <c r="B470" s="9" t="s">
        <v>289</v>
      </c>
      <c r="C470" s="6">
        <v>20</v>
      </c>
      <c r="D470" s="4"/>
      <c r="E470" s="6">
        <f>E469+C470-D470</f>
      </c>
      <c r="F470" s="2"/>
    </row>
    <row x14ac:dyDescent="0.25" r="471" customHeight="1" ht="17.25">
      <c r="A471" s="7">
        <v>45813</v>
      </c>
      <c r="B471" s="9" t="s">
        <v>286</v>
      </c>
      <c r="C471" s="6">
        <v>100</v>
      </c>
      <c r="D471" s="4"/>
      <c r="E471" s="6">
        <f>E470+C471-D471</f>
      </c>
      <c r="F471" s="2"/>
    </row>
    <row x14ac:dyDescent="0.25" r="472" customHeight="1" ht="17.25">
      <c r="A472" s="7">
        <v>45815</v>
      </c>
      <c r="B472" s="9" t="s">
        <v>284</v>
      </c>
      <c r="C472" s="4"/>
      <c r="D472" s="6">
        <v>150</v>
      </c>
      <c r="E472" s="6">
        <f>E471+C472-D472</f>
      </c>
      <c r="F472" s="2"/>
    </row>
    <row x14ac:dyDescent="0.25" r="473" customHeight="1" ht="17.25">
      <c r="A473" s="7">
        <v>45815</v>
      </c>
      <c r="B473" s="9" t="s">
        <v>289</v>
      </c>
      <c r="C473" s="6">
        <v>4</v>
      </c>
      <c r="D473" s="4"/>
      <c r="E473" s="6">
        <f>E472+C473-D473</f>
      </c>
      <c r="F473" s="2"/>
    </row>
    <row x14ac:dyDescent="0.25" r="474" customHeight="1" ht="17.25">
      <c r="A474" s="7">
        <v>45815</v>
      </c>
      <c r="B474" s="9" t="s">
        <v>3</v>
      </c>
      <c r="C474" s="6">
        <v>350</v>
      </c>
      <c r="D474" s="4"/>
      <c r="E474" s="6">
        <f>E473+C474-D474</f>
      </c>
      <c r="F474" s="2"/>
    </row>
    <row x14ac:dyDescent="0.25" r="475" customHeight="1" ht="17.25">
      <c r="A475" s="7">
        <v>45817</v>
      </c>
      <c r="B475" s="9" t="s">
        <v>284</v>
      </c>
      <c r="C475" s="4"/>
      <c r="D475" s="6">
        <v>200</v>
      </c>
      <c r="E475" s="6">
        <f>E474+C475-D475</f>
      </c>
      <c r="F475" s="2"/>
    </row>
    <row x14ac:dyDescent="0.25" r="476" customHeight="1" ht="17.25">
      <c r="A476" s="7">
        <v>45817</v>
      </c>
      <c r="B476" s="9" t="s">
        <v>89</v>
      </c>
      <c r="C476" s="4"/>
      <c r="D476" s="6">
        <v>200</v>
      </c>
      <c r="E476" s="6">
        <f>E475+C476-D476</f>
      </c>
      <c r="F476" s="2"/>
    </row>
    <row x14ac:dyDescent="0.25" r="477" customHeight="1" ht="17.25">
      <c r="A477" s="7">
        <v>45817</v>
      </c>
      <c r="B477" s="9" t="s">
        <v>4</v>
      </c>
      <c r="C477" s="4"/>
      <c r="D477" s="6">
        <v>100</v>
      </c>
      <c r="E477" s="6">
        <f>E476+C477-D477</f>
      </c>
      <c r="F477" s="2"/>
    </row>
    <row x14ac:dyDescent="0.25" r="478" customHeight="1" ht="17.25">
      <c r="A478" s="8">
        <v>45817</v>
      </c>
      <c r="B478" s="9" t="s">
        <v>4</v>
      </c>
      <c r="C478" s="4"/>
      <c r="D478" s="6">
        <v>120</v>
      </c>
      <c r="E478" s="6">
        <f>E477+C478-D478</f>
      </c>
      <c r="F478" s="2"/>
    </row>
    <row x14ac:dyDescent="0.25" r="479" customHeight="1" ht="17.25">
      <c r="A479" s="7">
        <v>45817</v>
      </c>
      <c r="B479" s="9" t="s">
        <v>272</v>
      </c>
      <c r="C479" s="6">
        <v>179</v>
      </c>
      <c r="D479" s="4"/>
      <c r="E479" s="6">
        <f>E478+C479-D479</f>
      </c>
      <c r="F479" s="2"/>
    </row>
    <row x14ac:dyDescent="0.25" r="480" customHeight="1" ht="17.25">
      <c r="A480" s="7">
        <v>45817</v>
      </c>
      <c r="B480" s="9" t="s">
        <v>414</v>
      </c>
      <c r="C480" s="6">
        <v>6</v>
      </c>
      <c r="D480" s="4"/>
      <c r="E480" s="6">
        <f>E479+C480-D480</f>
      </c>
      <c r="F480" s="2"/>
    </row>
    <row x14ac:dyDescent="0.25" r="481" customHeight="1" ht="17.25">
      <c r="A481" s="7">
        <v>45817</v>
      </c>
      <c r="B481" s="9" t="s">
        <v>234</v>
      </c>
      <c r="C481" s="6">
        <v>10</v>
      </c>
      <c r="D481" s="4"/>
      <c r="E481" s="6">
        <f>E480+C481-D481</f>
      </c>
      <c r="F481" s="2"/>
    </row>
    <row x14ac:dyDescent="0.25" r="482" customHeight="1" ht="17.25">
      <c r="A482" s="7">
        <v>45818</v>
      </c>
      <c r="B482" s="9" t="s">
        <v>389</v>
      </c>
      <c r="C482" s="4"/>
      <c r="D482" s="6">
        <v>200</v>
      </c>
      <c r="E482" s="6">
        <f>E481+C482-D482</f>
      </c>
      <c r="F482" s="2"/>
    </row>
    <row x14ac:dyDescent="0.25" r="483" customHeight="1" ht="17.25">
      <c r="A483" s="7">
        <v>45818</v>
      </c>
      <c r="B483" s="9" t="s">
        <v>333</v>
      </c>
      <c r="C483" s="4"/>
      <c r="D483" s="6">
        <v>72</v>
      </c>
      <c r="E483" s="6">
        <f>E482+C483-D483</f>
      </c>
      <c r="F483" s="2"/>
    </row>
    <row x14ac:dyDescent="0.25" r="484" customHeight="1" ht="17.25">
      <c r="A484" s="7">
        <v>45818</v>
      </c>
      <c r="B484" s="9" t="s">
        <v>385</v>
      </c>
      <c r="C484" s="6">
        <v>100</v>
      </c>
      <c r="D484" s="4"/>
      <c r="E484" s="6">
        <f>E483+C484-D484</f>
      </c>
      <c r="F484" s="2"/>
    </row>
    <row x14ac:dyDescent="0.25" r="485" customHeight="1" ht="17.25">
      <c r="A485" s="7">
        <v>45818</v>
      </c>
      <c r="B485" s="9" t="s">
        <v>452</v>
      </c>
      <c r="C485" s="6">
        <v>20</v>
      </c>
      <c r="D485" s="4"/>
      <c r="E485" s="6">
        <f>E484+C485-D485</f>
      </c>
      <c r="F485" s="2"/>
    </row>
    <row x14ac:dyDescent="0.25" r="486" customHeight="1" ht="17.25">
      <c r="A486" s="7">
        <v>45818</v>
      </c>
      <c r="B486" s="9" t="s">
        <v>388</v>
      </c>
      <c r="C486" s="6">
        <v>16</v>
      </c>
      <c r="D486" s="4"/>
      <c r="E486" s="6">
        <f>E485+C486-D486</f>
      </c>
      <c r="F486" s="2"/>
    </row>
    <row x14ac:dyDescent="0.25" r="487" customHeight="1" ht="17.25">
      <c r="A487" s="8">
        <v>45819</v>
      </c>
      <c r="B487" s="9" t="s">
        <v>228</v>
      </c>
      <c r="C487" s="4"/>
      <c r="D487" s="6">
        <v>60</v>
      </c>
      <c r="E487" s="6">
        <f>E486+C487-D487</f>
      </c>
      <c r="F487" s="2"/>
    </row>
    <row x14ac:dyDescent="0.25" r="488" customHeight="1" ht="17.25">
      <c r="A488" s="7">
        <v>45819</v>
      </c>
      <c r="B488" s="9" t="s">
        <v>4</v>
      </c>
      <c r="C488" s="4"/>
      <c r="D488" s="6">
        <v>180</v>
      </c>
      <c r="E488" s="6">
        <f>E487+C488-D488</f>
      </c>
      <c r="F488" s="2"/>
    </row>
    <row x14ac:dyDescent="0.25" r="489" customHeight="1" ht="17.25">
      <c r="A489" s="7">
        <v>45819</v>
      </c>
      <c r="B489" s="9" t="s">
        <v>284</v>
      </c>
      <c r="C489" s="4"/>
      <c r="D489" s="6">
        <v>250</v>
      </c>
      <c r="E489" s="6">
        <f>E488+C489-D489</f>
      </c>
      <c r="F489" s="2"/>
    </row>
    <row x14ac:dyDescent="0.25" r="490" customHeight="1" ht="17.25">
      <c r="A490" s="8">
        <v>45819</v>
      </c>
      <c r="B490" s="9" t="s">
        <v>494</v>
      </c>
      <c r="C490" s="4"/>
      <c r="D490" s="6">
        <v>200</v>
      </c>
      <c r="E490" s="6">
        <f>E489+C490-D490</f>
      </c>
      <c r="F490" s="2"/>
    </row>
    <row x14ac:dyDescent="0.25" r="491" customHeight="1" ht="17.25">
      <c r="A491" s="7">
        <v>45819</v>
      </c>
      <c r="B491" s="9" t="s">
        <v>333</v>
      </c>
      <c r="C491" s="4"/>
      <c r="D491" s="6">
        <v>130</v>
      </c>
      <c r="E491" s="6">
        <f>E490+C491-D491</f>
      </c>
      <c r="F491" s="2"/>
    </row>
    <row x14ac:dyDescent="0.25" r="492" customHeight="1" ht="17.25">
      <c r="A492" s="7">
        <v>45819</v>
      </c>
      <c r="B492" s="9" t="s">
        <v>484</v>
      </c>
      <c r="C492" s="6">
        <v>270</v>
      </c>
      <c r="D492" s="4"/>
      <c r="E492" s="6">
        <f>E491+C492-D492</f>
      </c>
      <c r="F492" s="2"/>
    </row>
    <row x14ac:dyDescent="0.25" r="493" customHeight="1" ht="17.25">
      <c r="A493" s="7">
        <v>45820</v>
      </c>
      <c r="B493" s="9" t="s">
        <v>89</v>
      </c>
      <c r="C493" s="4"/>
      <c r="D493" s="6">
        <v>100</v>
      </c>
      <c r="E493" s="6">
        <f>E492+C493-D493</f>
      </c>
      <c r="F493" s="2"/>
    </row>
    <row x14ac:dyDescent="0.25" r="494" customHeight="1" ht="17.25">
      <c r="A494" s="8">
        <v>45820</v>
      </c>
      <c r="B494" s="9" t="s">
        <v>495</v>
      </c>
      <c r="C494" s="4"/>
      <c r="D494" s="6">
        <v>100</v>
      </c>
      <c r="E494" s="6">
        <f>E493+C494-D494</f>
      </c>
      <c r="F494" s="2"/>
    </row>
    <row x14ac:dyDescent="0.25" r="495" customHeight="1" ht="17.25">
      <c r="A495" s="7">
        <v>45821</v>
      </c>
      <c r="B495" s="9" t="s">
        <v>46</v>
      </c>
      <c r="C495" s="4"/>
      <c r="D495" s="6">
        <v>112</v>
      </c>
      <c r="E495" s="6">
        <f>E494+C495-D495</f>
      </c>
      <c r="F495" s="2"/>
    </row>
    <row x14ac:dyDescent="0.25" r="496" customHeight="1" ht="17.25">
      <c r="A496" s="7">
        <v>45821</v>
      </c>
      <c r="B496" s="9" t="s">
        <v>228</v>
      </c>
      <c r="C496" s="4"/>
      <c r="D496" s="6">
        <v>100</v>
      </c>
      <c r="E496" s="6">
        <f>E495+C496-D496</f>
      </c>
      <c r="F496" s="2"/>
    </row>
    <row x14ac:dyDescent="0.25" r="497" customHeight="1" ht="17.25">
      <c r="A497" s="8">
        <v>45821</v>
      </c>
      <c r="B497" s="9" t="s">
        <v>35</v>
      </c>
      <c r="C497" s="4"/>
      <c r="D497" s="6">
        <v>100</v>
      </c>
      <c r="E497" s="6">
        <f>E496+C497-D497</f>
      </c>
      <c r="F497" s="2"/>
    </row>
    <row x14ac:dyDescent="0.25" r="498" customHeight="1" ht="17.25">
      <c r="A498" s="7">
        <v>45821</v>
      </c>
      <c r="B498" s="9" t="s">
        <v>342</v>
      </c>
      <c r="C498" s="4"/>
      <c r="D498" s="6">
        <v>20</v>
      </c>
      <c r="E498" s="6">
        <f>E497+C498-D498</f>
      </c>
      <c r="F498" s="2"/>
    </row>
    <row x14ac:dyDescent="0.25" r="499" customHeight="1" ht="17.25">
      <c r="A499" s="7">
        <v>45821</v>
      </c>
      <c r="B499" s="9" t="s">
        <v>495</v>
      </c>
      <c r="C499" s="4"/>
      <c r="D499" s="6">
        <v>70</v>
      </c>
      <c r="E499" s="6">
        <f>E498+C499-D499</f>
      </c>
      <c r="F499" s="2"/>
    </row>
    <row x14ac:dyDescent="0.25" r="500" customHeight="1" ht="17.25">
      <c r="A500" s="7">
        <v>45821</v>
      </c>
      <c r="B500" s="9" t="s">
        <v>578</v>
      </c>
      <c r="C500" s="6">
        <v>216</v>
      </c>
      <c r="D500" s="4"/>
      <c r="E500" s="6">
        <f>E499+C500-D500</f>
      </c>
      <c r="F500" s="2"/>
    </row>
    <row x14ac:dyDescent="0.25" r="501" customHeight="1" ht="17.25">
      <c r="A501" s="7">
        <v>45821</v>
      </c>
      <c r="B501" s="9" t="s">
        <v>286</v>
      </c>
      <c r="C501" s="6">
        <v>140</v>
      </c>
      <c r="D501" s="4"/>
      <c r="E501" s="6">
        <f>E500+C501-D501</f>
      </c>
      <c r="F501" s="2"/>
    </row>
    <row x14ac:dyDescent="0.25" r="502" customHeight="1" ht="17.25">
      <c r="A502" s="7">
        <v>45821</v>
      </c>
      <c r="B502" s="9" t="s">
        <v>382</v>
      </c>
      <c r="C502" s="6">
        <v>93</v>
      </c>
      <c r="D502" s="4"/>
      <c r="E502" s="6">
        <f>E501+C502-D502</f>
      </c>
      <c r="F502" s="2"/>
    </row>
    <row x14ac:dyDescent="0.25" r="503" customHeight="1" ht="17.25">
      <c r="A503" s="7">
        <v>45822</v>
      </c>
      <c r="B503" s="9" t="s">
        <v>389</v>
      </c>
      <c r="C503" s="4"/>
      <c r="D503" s="6">
        <v>100</v>
      </c>
      <c r="E503" s="6">
        <f>E502+C503-D503</f>
      </c>
      <c r="F503" s="2"/>
    </row>
    <row x14ac:dyDescent="0.25" r="504" customHeight="1" ht="17.25">
      <c r="A504" s="7">
        <v>45822</v>
      </c>
      <c r="B504" s="9" t="s">
        <v>2</v>
      </c>
      <c r="C504" s="4"/>
      <c r="D504" s="6">
        <v>70</v>
      </c>
      <c r="E504" s="6">
        <f>E503+C504-D504</f>
      </c>
      <c r="F504" s="2"/>
    </row>
    <row x14ac:dyDescent="0.25" r="505" customHeight="1" ht="17.25">
      <c r="A505" s="7">
        <v>45822</v>
      </c>
      <c r="B505" s="9" t="s">
        <v>35</v>
      </c>
      <c r="C505" s="4"/>
      <c r="D505" s="6">
        <v>180</v>
      </c>
      <c r="E505" s="6">
        <f>E504+C505-D505</f>
      </c>
      <c r="F505" s="2"/>
    </row>
    <row x14ac:dyDescent="0.25" r="506" customHeight="1" ht="17.25">
      <c r="A506" s="7">
        <v>45823</v>
      </c>
      <c r="B506" s="9" t="s">
        <v>389</v>
      </c>
      <c r="C506" s="4"/>
      <c r="D506" s="6">
        <v>70</v>
      </c>
      <c r="E506" s="6">
        <f>E505+C506-D506</f>
      </c>
      <c r="F506" s="2"/>
    </row>
    <row x14ac:dyDescent="0.25" r="507" customHeight="1" ht="17.25">
      <c r="A507" s="7">
        <v>45824</v>
      </c>
      <c r="B507" s="9" t="s">
        <v>411</v>
      </c>
      <c r="C507" s="4"/>
      <c r="D507" s="6">
        <v>184</v>
      </c>
      <c r="E507" s="6">
        <f>E506+C507-D507</f>
      </c>
      <c r="F507" s="2"/>
    </row>
    <row x14ac:dyDescent="0.25" r="508" customHeight="1" ht="17.25">
      <c r="A508" s="7">
        <v>45824</v>
      </c>
      <c r="B508" s="9" t="s">
        <v>228</v>
      </c>
      <c r="C508" s="4"/>
      <c r="D508" s="6">
        <v>150</v>
      </c>
      <c r="E508" s="6">
        <f>E507+C508-D508</f>
      </c>
      <c r="F508" s="2"/>
    </row>
    <row x14ac:dyDescent="0.25" r="509" customHeight="1" ht="17.25">
      <c r="A509" s="7">
        <v>45824</v>
      </c>
      <c r="B509" s="9" t="s">
        <v>272</v>
      </c>
      <c r="C509" s="6">
        <v>150</v>
      </c>
      <c r="D509" s="4"/>
      <c r="E509" s="6">
        <f>E508+C509-D509</f>
      </c>
      <c r="F509" s="2"/>
    </row>
    <row x14ac:dyDescent="0.25" r="510" customHeight="1" ht="17.25">
      <c r="A510" s="7">
        <v>45824</v>
      </c>
      <c r="B510" s="9" t="s">
        <v>289</v>
      </c>
      <c r="C510" s="6">
        <v>84</v>
      </c>
      <c r="D510" s="4"/>
      <c r="E510" s="6">
        <f>E509+C510-D510</f>
      </c>
      <c r="F510" s="2"/>
    </row>
    <row x14ac:dyDescent="0.25" r="511" customHeight="1" ht="17.25">
      <c r="A511" s="8">
        <v>45824</v>
      </c>
      <c r="B511" s="9" t="s">
        <v>484</v>
      </c>
      <c r="C511" s="6">
        <v>43</v>
      </c>
      <c r="D511" s="4"/>
      <c r="E511" s="6">
        <f>E510+C511-D511</f>
      </c>
      <c r="F511" s="2"/>
    </row>
    <row x14ac:dyDescent="0.25" r="512" customHeight="1" ht="17.25">
      <c r="A512" s="7">
        <v>45824</v>
      </c>
      <c r="B512" s="9" t="s">
        <v>3</v>
      </c>
      <c r="C512" s="6">
        <v>150</v>
      </c>
      <c r="D512" s="4"/>
      <c r="E512" s="6">
        <f>E511+C512-D512</f>
      </c>
      <c r="F512" s="2"/>
    </row>
    <row x14ac:dyDescent="0.25" r="513" customHeight="1" ht="17.25">
      <c r="A513" s="7">
        <v>45825</v>
      </c>
      <c r="B513" s="9" t="s">
        <v>100</v>
      </c>
      <c r="C513" s="4"/>
      <c r="D513" s="6">
        <v>120</v>
      </c>
      <c r="E513" s="6">
        <f>E512+C513-D513</f>
      </c>
      <c r="F513" s="2"/>
    </row>
    <row x14ac:dyDescent="0.25" r="514" customHeight="1" ht="17.25">
      <c r="A514" s="7">
        <v>45825</v>
      </c>
      <c r="B514" s="9" t="s">
        <v>484</v>
      </c>
      <c r="C514" s="4"/>
      <c r="D514" s="6">
        <v>13</v>
      </c>
      <c r="E514" s="6">
        <f>E513+C514-D514</f>
      </c>
      <c r="F514" s="2"/>
    </row>
    <row x14ac:dyDescent="0.25" r="515" customHeight="1" ht="17.25">
      <c r="A515" s="7">
        <v>45825</v>
      </c>
      <c r="B515" s="9" t="s">
        <v>389</v>
      </c>
      <c r="C515" s="4"/>
      <c r="D515" s="6">
        <v>30</v>
      </c>
      <c r="E515" s="6">
        <f>E514+C515-D515</f>
      </c>
      <c r="F515" s="2"/>
    </row>
    <row x14ac:dyDescent="0.25" r="516" customHeight="1" ht="17.25">
      <c r="A516" s="7">
        <v>45825</v>
      </c>
      <c r="B516" s="9" t="s">
        <v>228</v>
      </c>
      <c r="C516" s="4"/>
      <c r="D516" s="6">
        <v>120</v>
      </c>
      <c r="E516" s="6">
        <f>E515+C516-D516</f>
      </c>
      <c r="F516" s="2"/>
    </row>
    <row x14ac:dyDescent="0.25" r="517" customHeight="1" ht="17.25">
      <c r="A517" s="7">
        <v>45826</v>
      </c>
      <c r="B517" s="9" t="s">
        <v>2</v>
      </c>
      <c r="C517" s="4"/>
      <c r="D517" s="6">
        <v>50</v>
      </c>
      <c r="E517" s="6">
        <f>E516+C517-D517</f>
      </c>
      <c r="F517" s="2"/>
    </row>
    <row x14ac:dyDescent="0.25" r="518" customHeight="1" ht="17.25">
      <c r="A518" s="7">
        <v>45826</v>
      </c>
      <c r="B518" s="9" t="s">
        <v>25</v>
      </c>
      <c r="C518" s="4"/>
      <c r="D518" s="6">
        <v>60</v>
      </c>
      <c r="E518" s="6">
        <f>E517+C518-D518</f>
      </c>
      <c r="F518" s="2"/>
    </row>
    <row x14ac:dyDescent="0.25" r="519" customHeight="1" ht="17.25">
      <c r="A519" s="7">
        <v>45826</v>
      </c>
      <c r="B519" s="9" t="s">
        <v>3</v>
      </c>
      <c r="C519" s="6">
        <v>200</v>
      </c>
      <c r="D519" s="4"/>
      <c r="E519" s="6">
        <f>E518+C519-D519</f>
      </c>
      <c r="F519" s="2"/>
    </row>
    <row x14ac:dyDescent="0.25" r="520" customHeight="1" ht="17.25">
      <c r="A520" s="8">
        <v>45827</v>
      </c>
      <c r="B520" s="9" t="s">
        <v>554</v>
      </c>
      <c r="C520" s="4"/>
      <c r="D520" s="6">
        <v>150</v>
      </c>
      <c r="E520" s="6">
        <f>E519+C520-D520</f>
      </c>
      <c r="F520" s="2"/>
    </row>
    <row x14ac:dyDescent="0.25" r="521" customHeight="1" ht="17.25">
      <c r="A521" s="8">
        <v>45827</v>
      </c>
      <c r="B521" s="9" t="s">
        <v>554</v>
      </c>
      <c r="C521" s="4"/>
      <c r="D521" s="6">
        <v>48</v>
      </c>
      <c r="E521" s="6">
        <f>E520+C521-D521</f>
      </c>
      <c r="F521" s="2"/>
    </row>
    <row x14ac:dyDescent="0.25" r="522" customHeight="1" ht="17.25">
      <c r="A522" s="8">
        <v>45827</v>
      </c>
      <c r="B522" s="9" t="s">
        <v>485</v>
      </c>
      <c r="C522" s="6">
        <v>50</v>
      </c>
      <c r="D522" s="4"/>
      <c r="E522" s="6">
        <f>E521+C522-D522</f>
      </c>
      <c r="F522" s="2"/>
    </row>
    <row x14ac:dyDescent="0.25" r="523" customHeight="1" ht="17.25">
      <c r="A523" s="7">
        <v>45827</v>
      </c>
      <c r="B523" s="9" t="s">
        <v>384</v>
      </c>
      <c r="C523" s="6">
        <v>60</v>
      </c>
      <c r="D523" s="4"/>
      <c r="E523" s="6">
        <f>E522+C523-D523</f>
      </c>
      <c r="F523" s="2"/>
    </row>
    <row x14ac:dyDescent="0.25" r="524" customHeight="1" ht="17.25">
      <c r="A524" s="7">
        <v>45827</v>
      </c>
      <c r="B524" s="9" t="s">
        <v>266</v>
      </c>
      <c r="C524" s="6">
        <v>18</v>
      </c>
      <c r="D524" s="4"/>
      <c r="E524" s="6">
        <f>E523+C524-D524</f>
      </c>
      <c r="F524" s="2"/>
    </row>
    <row x14ac:dyDescent="0.25" r="525" customHeight="1" ht="17.25">
      <c r="A525" s="8">
        <v>45827</v>
      </c>
      <c r="B525" s="9" t="s">
        <v>272</v>
      </c>
      <c r="C525" s="6">
        <v>198</v>
      </c>
      <c r="D525" s="4"/>
      <c r="E525" s="6">
        <f>E524+C525-D525</f>
      </c>
      <c r="F525" s="2"/>
    </row>
    <row x14ac:dyDescent="0.25" r="526" customHeight="1" ht="17.25">
      <c r="A526" s="8">
        <v>45828</v>
      </c>
      <c r="B526" s="9" t="s">
        <v>497</v>
      </c>
      <c r="C526" s="6">
        <v>40</v>
      </c>
      <c r="D526" s="4"/>
      <c r="E526" s="6">
        <f>E525+C526-D526</f>
      </c>
      <c r="F526" s="2"/>
    </row>
    <row x14ac:dyDescent="0.25" r="527" customHeight="1" ht="17.25">
      <c r="A527" s="7">
        <v>45828</v>
      </c>
      <c r="B527" s="9" t="s">
        <v>289</v>
      </c>
      <c r="C527" s="6">
        <v>9</v>
      </c>
      <c r="D527" s="4"/>
      <c r="E527" s="6">
        <f>E526+C527-D527</f>
      </c>
      <c r="F527" s="2"/>
    </row>
    <row x14ac:dyDescent="0.25" r="528" customHeight="1" ht="17.25">
      <c r="A528" s="7">
        <v>45829</v>
      </c>
      <c r="B528" s="9" t="s">
        <v>297</v>
      </c>
      <c r="C528" s="4"/>
      <c r="D528" s="6">
        <v>90</v>
      </c>
      <c r="E528" s="6">
        <f>E527+C528-D528</f>
      </c>
      <c r="F528" s="2"/>
    </row>
    <row x14ac:dyDescent="0.25" r="529" customHeight="1" ht="17.25">
      <c r="A529" s="7">
        <v>45829</v>
      </c>
      <c r="B529" s="9" t="s">
        <v>554</v>
      </c>
      <c r="C529" s="4"/>
      <c r="D529" s="6">
        <v>4</v>
      </c>
      <c r="E529" s="6">
        <f>E528+C529-D529</f>
      </c>
      <c r="F529" s="2"/>
    </row>
    <row x14ac:dyDescent="0.25" r="530" customHeight="1" ht="17.25">
      <c r="A530" s="7">
        <v>45829</v>
      </c>
      <c r="B530" s="9" t="s">
        <v>361</v>
      </c>
      <c r="C530" s="6">
        <v>20</v>
      </c>
      <c r="D530" s="4"/>
      <c r="E530" s="6">
        <f>E529+C530-D530</f>
      </c>
      <c r="F530" s="2"/>
    </row>
    <row x14ac:dyDescent="0.25" r="531" customHeight="1" ht="17.25">
      <c r="A531" s="7">
        <v>45829</v>
      </c>
      <c r="B531" s="9" t="s">
        <v>497</v>
      </c>
      <c r="C531" s="6">
        <v>13</v>
      </c>
      <c r="D531" s="4"/>
      <c r="E531" s="6">
        <f>E530+C531-D531</f>
      </c>
      <c r="F531" s="2"/>
    </row>
    <row x14ac:dyDescent="0.25" r="532" customHeight="1" ht="17.25">
      <c r="A532" s="8">
        <v>45831</v>
      </c>
      <c r="B532" s="9" t="s">
        <v>141</v>
      </c>
      <c r="C532" s="6">
        <v>52</v>
      </c>
      <c r="D532" s="4"/>
      <c r="E532" s="6">
        <f>E531+C532-D532</f>
      </c>
      <c r="F532" s="2"/>
    </row>
    <row x14ac:dyDescent="0.25" r="533" customHeight="1" ht="17.25">
      <c r="A533" s="8">
        <v>45831</v>
      </c>
      <c r="B533" s="9" t="s">
        <v>29</v>
      </c>
      <c r="C533" s="6">
        <v>426</v>
      </c>
      <c r="D533" s="4"/>
      <c r="E533" s="6">
        <f>E532+C533-D533</f>
      </c>
      <c r="F533" s="2"/>
    </row>
    <row x14ac:dyDescent="0.25" r="534" customHeight="1" ht="17.25">
      <c r="A534" s="8">
        <v>45832</v>
      </c>
      <c r="B534" s="9" t="s">
        <v>4</v>
      </c>
      <c r="C534" s="4"/>
      <c r="D534" s="6">
        <v>185</v>
      </c>
      <c r="E534" s="6">
        <f>E533+C534-D534</f>
      </c>
      <c r="F534" s="2"/>
    </row>
    <row x14ac:dyDescent="0.25" r="535" customHeight="1" ht="17.25">
      <c r="A535" s="7">
        <v>45832</v>
      </c>
      <c r="B535" s="9" t="s">
        <v>89</v>
      </c>
      <c r="C535" s="4"/>
      <c r="D535" s="6">
        <v>200</v>
      </c>
      <c r="E535" s="6">
        <f>E534+C535-D535</f>
      </c>
      <c r="F535" s="2"/>
    </row>
    <row x14ac:dyDescent="0.25" r="536" customHeight="1" ht="17.25">
      <c r="A536" s="7">
        <v>45832</v>
      </c>
      <c r="B536" s="9" t="s">
        <v>524</v>
      </c>
      <c r="C536" s="6">
        <v>100</v>
      </c>
      <c r="D536" s="4"/>
      <c r="E536" s="6">
        <f>E535+C536-D536</f>
      </c>
      <c r="F536" s="2"/>
    </row>
    <row x14ac:dyDescent="0.25" r="537" customHeight="1" ht="17.25">
      <c r="A537" s="7">
        <v>45833</v>
      </c>
      <c r="B537" s="9" t="s">
        <v>495</v>
      </c>
      <c r="C537" s="4"/>
      <c r="D537" s="6">
        <v>50</v>
      </c>
      <c r="E537" s="6">
        <f>E536+C537-D537</f>
      </c>
      <c r="F537" s="2"/>
    </row>
    <row x14ac:dyDescent="0.25" r="538" customHeight="1" ht="17.25">
      <c r="A538" s="7">
        <v>45833</v>
      </c>
      <c r="B538" s="9" t="s">
        <v>272</v>
      </c>
      <c r="C538" s="6">
        <v>15</v>
      </c>
      <c r="D538" s="4"/>
      <c r="E538" s="6">
        <f>E537+C538-D538</f>
      </c>
      <c r="F538" s="2"/>
    </row>
    <row x14ac:dyDescent="0.25" r="539" customHeight="1" ht="17.25">
      <c r="A539" s="8">
        <v>45833</v>
      </c>
      <c r="B539" s="9" t="s">
        <v>485</v>
      </c>
      <c r="C539" s="6">
        <v>23</v>
      </c>
      <c r="D539" s="4"/>
      <c r="E539" s="6">
        <f>E538+C539-D539</f>
      </c>
      <c r="F539" s="2"/>
    </row>
    <row x14ac:dyDescent="0.25" r="540" customHeight="1" ht="17.25">
      <c r="A540" s="8">
        <v>45833</v>
      </c>
      <c r="B540" s="9" t="s">
        <v>35</v>
      </c>
      <c r="C540" s="6">
        <v>228</v>
      </c>
      <c r="D540" s="4"/>
      <c r="E540" s="6">
        <f>E539+C540-D540</f>
      </c>
      <c r="F540" s="2"/>
    </row>
    <row x14ac:dyDescent="0.25" r="541" customHeight="1" ht="17.25">
      <c r="A541" s="7">
        <v>45833</v>
      </c>
      <c r="B541" s="9" t="s">
        <v>286</v>
      </c>
      <c r="C541" s="6">
        <v>89</v>
      </c>
      <c r="D541" s="4"/>
      <c r="E541" s="6">
        <f>E540+C541-D541</f>
      </c>
      <c r="F541" s="2"/>
    </row>
    <row x14ac:dyDescent="0.25" r="542" customHeight="1" ht="17.25">
      <c r="A542" s="7">
        <v>45834</v>
      </c>
      <c r="B542" s="9" t="s">
        <v>89</v>
      </c>
      <c r="C542" s="4"/>
      <c r="D542" s="6">
        <v>232</v>
      </c>
      <c r="E542" s="6">
        <f>E541+C542-D542</f>
      </c>
      <c r="F542" s="2"/>
    </row>
    <row x14ac:dyDescent="0.25" r="543" customHeight="1" ht="17.25">
      <c r="A543" s="7">
        <v>45834</v>
      </c>
      <c r="B543" s="9" t="s">
        <v>286</v>
      </c>
      <c r="C543" s="6">
        <v>60</v>
      </c>
      <c r="D543" s="4"/>
      <c r="E543" s="6">
        <f>E542+C543-D543</f>
      </c>
      <c r="F543" s="2"/>
    </row>
    <row x14ac:dyDescent="0.25" r="544" customHeight="1" ht="17.25">
      <c r="A544" s="7">
        <v>45836</v>
      </c>
      <c r="B544" s="9" t="s">
        <v>316</v>
      </c>
      <c r="C544" s="4"/>
      <c r="D544" s="6">
        <v>250</v>
      </c>
      <c r="E544" s="6">
        <f>E543+C544-D544</f>
      </c>
      <c r="F544" s="2"/>
    </row>
    <row x14ac:dyDescent="0.25" r="545" customHeight="1" ht="17.25">
      <c r="A545" s="7">
        <v>45836</v>
      </c>
      <c r="B545" s="9" t="s">
        <v>29</v>
      </c>
      <c r="C545" s="6">
        <v>589</v>
      </c>
      <c r="D545" s="4"/>
      <c r="E545" s="6">
        <f>E544+C545-D545</f>
      </c>
      <c r="F545" s="2"/>
    </row>
    <row x14ac:dyDescent="0.25" r="546" customHeight="1" ht="17.25">
      <c r="A546" s="7">
        <v>45836</v>
      </c>
      <c r="B546" s="9" t="s">
        <v>3</v>
      </c>
      <c r="C546" s="6">
        <v>16</v>
      </c>
      <c r="D546" s="4"/>
      <c r="E546" s="6">
        <f>E545+C546-D546</f>
      </c>
      <c r="F546" s="2"/>
    </row>
    <row x14ac:dyDescent="0.25" r="547" customHeight="1" ht="17.25">
      <c r="A547" s="7">
        <v>45838</v>
      </c>
      <c r="B547" s="9" t="s">
        <v>316</v>
      </c>
      <c r="C547" s="4"/>
      <c r="D547" s="6">
        <v>400</v>
      </c>
      <c r="E547" s="6">
        <f>E546+C547-D547</f>
      </c>
      <c r="F547" s="2"/>
    </row>
    <row x14ac:dyDescent="0.25" r="548" customHeight="1" ht="17.25">
      <c r="A548" s="7">
        <v>45838</v>
      </c>
      <c r="B548" s="9" t="s">
        <v>316</v>
      </c>
      <c r="C548" s="4"/>
      <c r="D548" s="6">
        <v>225</v>
      </c>
      <c r="E548" s="6">
        <f>E547+C548-D548</f>
      </c>
      <c r="F548" s="2"/>
    </row>
    <row x14ac:dyDescent="0.25" r="549" customHeight="1" ht="17.25">
      <c r="A549" s="8">
        <v>45838</v>
      </c>
      <c r="B549" s="9" t="s">
        <v>554</v>
      </c>
      <c r="C549" s="4"/>
      <c r="D549" s="6">
        <v>70</v>
      </c>
      <c r="E549" s="6">
        <f>E548+C549-D549</f>
      </c>
      <c r="F549" s="2"/>
    </row>
    <row x14ac:dyDescent="0.25" r="550" customHeight="1" ht="17.25">
      <c r="A550" s="7">
        <v>45838</v>
      </c>
      <c r="B550" s="9" t="s">
        <v>384</v>
      </c>
      <c r="C550" s="6">
        <v>109</v>
      </c>
      <c r="D550" s="4"/>
      <c r="E550" s="6">
        <f>E549+C550-D550</f>
      </c>
      <c r="F550" s="2"/>
    </row>
    <row x14ac:dyDescent="0.25" r="551" customHeight="1" ht="17.25">
      <c r="A551" s="7">
        <v>45838</v>
      </c>
      <c r="B551" s="9" t="s">
        <v>42</v>
      </c>
      <c r="C551" s="6">
        <v>50</v>
      </c>
      <c r="D551" s="4"/>
      <c r="E551" s="6">
        <f>E550+C551-D551</f>
      </c>
      <c r="F551" s="2"/>
    </row>
    <row x14ac:dyDescent="0.25" r="552" customHeight="1" ht="17.25">
      <c r="A552" s="8">
        <v>45839</v>
      </c>
      <c r="B552" s="9" t="s">
        <v>341</v>
      </c>
      <c r="C552" s="4"/>
      <c r="D552" s="6">
        <v>72</v>
      </c>
      <c r="E552" s="6">
        <f>E551+C552-D552</f>
      </c>
      <c r="F552" s="2"/>
    </row>
    <row x14ac:dyDescent="0.25" r="553" customHeight="1" ht="17.25">
      <c r="A553" s="8">
        <v>45839</v>
      </c>
      <c r="B553" s="9" t="s">
        <v>554</v>
      </c>
      <c r="C553" s="4"/>
      <c r="D553" s="6">
        <v>50</v>
      </c>
      <c r="E553" s="6">
        <f>E552+C553-D553</f>
      </c>
      <c r="F553" s="2"/>
    </row>
    <row x14ac:dyDescent="0.25" r="554" customHeight="1" ht="17.25">
      <c r="A554" s="8">
        <v>45839</v>
      </c>
      <c r="B554" s="9" t="s">
        <v>35</v>
      </c>
      <c r="C554" s="6">
        <v>48</v>
      </c>
      <c r="D554" s="4"/>
      <c r="E554" s="6">
        <f>E553+C554-D554</f>
      </c>
      <c r="F554" s="2"/>
    </row>
    <row x14ac:dyDescent="0.25" r="555" customHeight="1" ht="17.25">
      <c r="A555" s="8">
        <v>45839</v>
      </c>
      <c r="B555" s="9" t="s">
        <v>286</v>
      </c>
      <c r="C555" s="6">
        <v>120</v>
      </c>
      <c r="D555" s="4"/>
      <c r="E555" s="6">
        <f>E554+C555-D555</f>
      </c>
      <c r="F555" s="2"/>
    </row>
    <row x14ac:dyDescent="0.25" r="556" customHeight="1" ht="17.25">
      <c r="A556" s="7">
        <v>45840</v>
      </c>
      <c r="B556" s="9" t="s">
        <v>316</v>
      </c>
      <c r="C556" s="4"/>
      <c r="D556" s="6">
        <v>125</v>
      </c>
      <c r="E556" s="6">
        <f>E555+C556-D556</f>
      </c>
      <c r="F556" s="2"/>
    </row>
    <row x14ac:dyDescent="0.25" r="557" customHeight="1" ht="17.25">
      <c r="A557" s="7">
        <v>45840</v>
      </c>
      <c r="B557" s="9" t="s">
        <v>46</v>
      </c>
      <c r="C557" s="4"/>
      <c r="D557" s="6">
        <v>530</v>
      </c>
      <c r="E557" s="6">
        <f>E556+C557-D557</f>
      </c>
      <c r="F557" s="2"/>
    </row>
    <row x14ac:dyDescent="0.25" r="558" customHeight="1" ht="17.25">
      <c r="A558" s="7">
        <v>45840</v>
      </c>
      <c r="B558" s="9" t="s">
        <v>414</v>
      </c>
      <c r="C558" s="6">
        <v>13</v>
      </c>
      <c r="D558" s="4"/>
      <c r="E558" s="6">
        <f>E557+C558-D558</f>
      </c>
      <c r="F558" s="2"/>
    </row>
    <row x14ac:dyDescent="0.25" r="559" customHeight="1" ht="17.25">
      <c r="A559" s="7">
        <v>45840</v>
      </c>
      <c r="B559" s="9" t="s">
        <v>89</v>
      </c>
      <c r="C559" s="6">
        <v>510</v>
      </c>
      <c r="D559" s="4"/>
      <c r="E559" s="6">
        <f>E558+C559-D559</f>
      </c>
      <c r="F559" s="2"/>
    </row>
    <row x14ac:dyDescent="0.25" r="560" customHeight="1" ht="17.25">
      <c r="A560" s="7">
        <v>45841</v>
      </c>
      <c r="B560" s="9" t="s">
        <v>233</v>
      </c>
      <c r="C560" s="4"/>
      <c r="D560" s="6">
        <v>120</v>
      </c>
      <c r="E560" s="6">
        <f>E559+C560-D560</f>
      </c>
      <c r="F560" s="2"/>
    </row>
    <row x14ac:dyDescent="0.25" r="561" customHeight="1" ht="17.25">
      <c r="A561" s="7">
        <v>45841</v>
      </c>
      <c r="B561" s="9" t="s">
        <v>284</v>
      </c>
      <c r="C561" s="4"/>
      <c r="D561" s="6">
        <v>300</v>
      </c>
      <c r="E561" s="6">
        <f>E560+C561-D561</f>
      </c>
      <c r="F561" s="2"/>
    </row>
    <row x14ac:dyDescent="0.25" r="562" customHeight="1" ht="17.25">
      <c r="A562" s="7">
        <v>45841</v>
      </c>
      <c r="B562" s="9" t="s">
        <v>411</v>
      </c>
      <c r="C562" s="6">
        <v>40</v>
      </c>
      <c r="D562" s="4"/>
      <c r="E562" s="6">
        <f>E561+C562-D562</f>
      </c>
      <c r="F562" s="2"/>
    </row>
    <row x14ac:dyDescent="0.25" r="563" customHeight="1" ht="17.25">
      <c r="A563" s="8">
        <v>45842</v>
      </c>
      <c r="B563" s="9" t="s">
        <v>298</v>
      </c>
      <c r="C563" s="4"/>
      <c r="D563" s="6">
        <v>550</v>
      </c>
      <c r="E563" s="6">
        <f>E562+C563-D563</f>
      </c>
      <c r="F563" s="2"/>
    </row>
    <row x14ac:dyDescent="0.25" r="564" customHeight="1" ht="17.25">
      <c r="A564" s="7">
        <v>45842</v>
      </c>
      <c r="B564" s="9" t="s">
        <v>333</v>
      </c>
      <c r="C564" s="4"/>
      <c r="D564" s="6">
        <v>137</v>
      </c>
      <c r="E564" s="6">
        <f>E563+C564-D564</f>
      </c>
      <c r="F564" s="2"/>
    </row>
    <row x14ac:dyDescent="0.25" r="565" customHeight="1" ht="17.25">
      <c r="A565" s="7">
        <v>45842</v>
      </c>
      <c r="B565" s="9" t="s">
        <v>286</v>
      </c>
      <c r="C565" s="6">
        <v>100</v>
      </c>
      <c r="D565" s="4"/>
      <c r="E565" s="6">
        <f>E564+C565-D565</f>
      </c>
      <c r="F565" s="2"/>
    </row>
    <row x14ac:dyDescent="0.25" r="566" customHeight="1" ht="17.25">
      <c r="A566" s="8">
        <v>45842</v>
      </c>
      <c r="B566" s="9" t="s">
        <v>89</v>
      </c>
      <c r="C566" s="6">
        <v>220</v>
      </c>
      <c r="D566" s="4"/>
      <c r="E566" s="6">
        <f>E565+C566-D566</f>
      </c>
      <c r="F566" s="2"/>
    </row>
    <row x14ac:dyDescent="0.25" r="567" customHeight="1" ht="17.25">
      <c r="A567" s="7">
        <v>45843</v>
      </c>
      <c r="B567" s="9" t="s">
        <v>284</v>
      </c>
      <c r="C567" s="4"/>
      <c r="D567" s="6">
        <v>250</v>
      </c>
      <c r="E567" s="6">
        <f>E566+C567-D567</f>
      </c>
      <c r="F567" s="2"/>
    </row>
    <row x14ac:dyDescent="0.25" r="568" customHeight="1" ht="17.25">
      <c r="A568" s="7">
        <v>45843</v>
      </c>
      <c r="B568" s="9" t="s">
        <v>283</v>
      </c>
      <c r="C568" s="6">
        <v>7</v>
      </c>
      <c r="D568" s="4"/>
      <c r="E568" s="6">
        <f>E567+C568-D568</f>
      </c>
      <c r="F568" s="2"/>
    </row>
    <row x14ac:dyDescent="0.25" r="569" customHeight="1" ht="17.25">
      <c r="A569" s="8">
        <v>45843</v>
      </c>
      <c r="B569" s="9" t="s">
        <v>46</v>
      </c>
      <c r="C569" s="4"/>
      <c r="D569" s="6">
        <v>94</v>
      </c>
      <c r="E569" s="6">
        <f>E568+C569-D569</f>
      </c>
      <c r="F569" s="2"/>
    </row>
    <row x14ac:dyDescent="0.25" r="570" customHeight="1" ht="17.25">
      <c r="A570" s="7">
        <v>45845</v>
      </c>
      <c r="B570" s="9" t="s">
        <v>298</v>
      </c>
      <c r="C570" s="4"/>
      <c r="D570" s="6">
        <v>242</v>
      </c>
      <c r="E570" s="6">
        <f>E569+C570-D570</f>
      </c>
      <c r="F570" s="2"/>
    </row>
    <row x14ac:dyDescent="0.25" r="571" customHeight="1" ht="17.25">
      <c r="A571" s="8">
        <v>45845</v>
      </c>
      <c r="B571" s="9" t="s">
        <v>343</v>
      </c>
      <c r="C571" s="4"/>
      <c r="D571" s="6">
        <v>30</v>
      </c>
      <c r="E571" s="6">
        <f>E570+C571-D571</f>
      </c>
      <c r="F571" s="2"/>
    </row>
    <row x14ac:dyDescent="0.25" r="572" customHeight="1" ht="17.25">
      <c r="A572" s="8">
        <v>45845</v>
      </c>
      <c r="B572" s="9" t="s">
        <v>284</v>
      </c>
      <c r="C572" s="4"/>
      <c r="D572" s="6">
        <v>450</v>
      </c>
      <c r="E572" s="6">
        <f>E571+C572-D572</f>
      </c>
      <c r="F572" s="2"/>
    </row>
    <row x14ac:dyDescent="0.25" r="573" customHeight="1" ht="17.25">
      <c r="A573" s="7">
        <v>45845</v>
      </c>
      <c r="B573" s="9" t="s">
        <v>389</v>
      </c>
      <c r="C573" s="4"/>
      <c r="D573" s="6">
        <v>100</v>
      </c>
      <c r="E573" s="6">
        <f>E572+C573-D573</f>
      </c>
      <c r="F573" s="2"/>
    </row>
    <row x14ac:dyDescent="0.25" r="574" customHeight="1" ht="17.25">
      <c r="A574" s="7">
        <v>45846</v>
      </c>
      <c r="B574" s="9" t="s">
        <v>234</v>
      </c>
      <c r="C574" s="4"/>
      <c r="D574" s="6">
        <v>250</v>
      </c>
      <c r="E574" s="6">
        <f>E573+C574-D574</f>
      </c>
      <c r="F574" s="2"/>
    </row>
    <row x14ac:dyDescent="0.25" r="575" customHeight="1" ht="17.25">
      <c r="A575" s="8">
        <v>45846</v>
      </c>
      <c r="B575" s="9" t="s">
        <v>286</v>
      </c>
      <c r="C575" s="6">
        <v>200</v>
      </c>
      <c r="D575" s="4"/>
      <c r="E575" s="6">
        <f>E574+C575-D575</f>
      </c>
      <c r="F575" s="2"/>
    </row>
    <row x14ac:dyDescent="0.25" r="576" customHeight="1" ht="17.25">
      <c r="A576" s="8">
        <v>45846</v>
      </c>
      <c r="B576" s="9" t="s">
        <v>42</v>
      </c>
      <c r="C576" s="6">
        <v>50</v>
      </c>
      <c r="D576" s="4"/>
      <c r="E576" s="6">
        <f>E575+C576-D576</f>
      </c>
      <c r="F576" s="2"/>
    </row>
    <row x14ac:dyDescent="0.25" r="577" customHeight="1" ht="17.25">
      <c r="A577" s="7">
        <v>45847</v>
      </c>
      <c r="B577" s="9" t="s">
        <v>35</v>
      </c>
      <c r="C577" s="6">
        <v>140</v>
      </c>
      <c r="D577" s="4"/>
      <c r="E577" s="6">
        <f>E576+C577-D577</f>
      </c>
      <c r="F577" s="2"/>
    </row>
    <row x14ac:dyDescent="0.25" r="578" customHeight="1" ht="17.25">
      <c r="A578" s="7">
        <v>45847</v>
      </c>
      <c r="B578" s="9" t="s">
        <v>411</v>
      </c>
      <c r="C578" s="6">
        <v>20</v>
      </c>
      <c r="D578" s="4"/>
      <c r="E578" s="6">
        <f>E577+C578-D578</f>
      </c>
      <c r="F578" s="2"/>
    </row>
    <row x14ac:dyDescent="0.25" r="579" customHeight="1" ht="17.25">
      <c r="A579" s="7">
        <v>45847</v>
      </c>
      <c r="B579" s="9" t="s">
        <v>275</v>
      </c>
      <c r="C579" s="6">
        <v>11</v>
      </c>
      <c r="D579" s="4"/>
      <c r="E579" s="6">
        <f>E578+C579-D579</f>
      </c>
      <c r="F579" s="2"/>
    </row>
    <row x14ac:dyDescent="0.25" r="580" customHeight="1" ht="17.25">
      <c r="A580" s="8">
        <v>45847</v>
      </c>
      <c r="B580" s="9" t="s">
        <v>299</v>
      </c>
      <c r="C580" s="4"/>
      <c r="D580" s="6">
        <v>192</v>
      </c>
      <c r="E580" s="6">
        <f>E579+C580-D580</f>
      </c>
      <c r="F580" s="2"/>
    </row>
    <row x14ac:dyDescent="0.25" r="581" customHeight="1" ht="17.25">
      <c r="A581" s="7">
        <v>45848</v>
      </c>
      <c r="B581" s="9" t="s">
        <v>411</v>
      </c>
      <c r="C581" s="6">
        <v>76</v>
      </c>
      <c r="D581" s="4"/>
      <c r="E581" s="6">
        <f>E580+C581-D581</f>
      </c>
      <c r="F581" s="2"/>
    </row>
    <row x14ac:dyDescent="0.25" r="582" customHeight="1" ht="17.25">
      <c r="A582" s="8">
        <v>45848</v>
      </c>
      <c r="B582" s="9" t="s">
        <v>286</v>
      </c>
      <c r="C582" s="6">
        <v>110</v>
      </c>
      <c r="D582" s="4"/>
      <c r="E582" s="6">
        <f>E581+C582-D582</f>
      </c>
      <c r="F582" s="2"/>
    </row>
    <row x14ac:dyDescent="0.25" r="583" customHeight="1" ht="17.25">
      <c r="A583" s="7">
        <v>45848</v>
      </c>
      <c r="B583" s="9" t="s">
        <v>189</v>
      </c>
      <c r="C583" s="6">
        <v>149</v>
      </c>
      <c r="D583" s="4"/>
      <c r="E583" s="6">
        <f>E582+C583-D583</f>
      </c>
      <c r="F583" s="2"/>
    </row>
    <row x14ac:dyDescent="0.25" r="584" customHeight="1" ht="17.25">
      <c r="A584" s="7">
        <v>45850</v>
      </c>
      <c r="B584" s="9" t="s">
        <v>2</v>
      </c>
      <c r="C584" s="4"/>
      <c r="D584" s="6">
        <v>50</v>
      </c>
      <c r="E584" s="6">
        <f>E583+C584-D584</f>
      </c>
      <c r="F584" s="2"/>
    </row>
    <row x14ac:dyDescent="0.25" r="585" customHeight="1" ht="17.25">
      <c r="A585" s="7">
        <v>45850</v>
      </c>
      <c r="B585" s="9" t="s">
        <v>238</v>
      </c>
      <c r="C585" s="6">
        <v>110</v>
      </c>
      <c r="D585" s="4"/>
      <c r="E585" s="6">
        <f>E584+C585-D585</f>
      </c>
      <c r="F585" s="2"/>
    </row>
    <row x14ac:dyDescent="0.25" r="586" customHeight="1" ht="17.25">
      <c r="A586" s="7">
        <v>45850</v>
      </c>
      <c r="B586" s="9" t="s">
        <v>411</v>
      </c>
      <c r="C586" s="6">
        <v>40</v>
      </c>
      <c r="D586" s="4"/>
      <c r="E586" s="6">
        <f>E585+C586-D586</f>
      </c>
      <c r="F586" s="2"/>
    </row>
    <row x14ac:dyDescent="0.25" r="587" customHeight="1" ht="17.25">
      <c r="A587" s="7">
        <v>45850</v>
      </c>
      <c r="B587" s="9" t="s">
        <v>189</v>
      </c>
      <c r="C587" s="6">
        <v>94</v>
      </c>
      <c r="D587" s="4"/>
      <c r="E587" s="6">
        <f>E586+C587-D587</f>
      </c>
      <c r="F587" s="2"/>
    </row>
    <row x14ac:dyDescent="0.25" r="588" customHeight="1" ht="17.25">
      <c r="A588" s="7">
        <v>45852</v>
      </c>
      <c r="B588" s="9" t="s">
        <v>286</v>
      </c>
      <c r="C588" s="6">
        <v>110</v>
      </c>
      <c r="D588" s="4"/>
      <c r="E588" s="6">
        <f>E587+C588-D588</f>
      </c>
      <c r="F588" s="2"/>
    </row>
    <row x14ac:dyDescent="0.25" r="589" customHeight="1" ht="17.25">
      <c r="A589" s="7">
        <v>45853</v>
      </c>
      <c r="B589" s="9" t="s">
        <v>47</v>
      </c>
      <c r="C589" s="4"/>
      <c r="D589" s="6">
        <v>312</v>
      </c>
      <c r="E589" s="6">
        <f>E588+C589-D589</f>
      </c>
      <c r="F589" s="2"/>
    </row>
    <row x14ac:dyDescent="0.25" r="590" customHeight="1" ht="17.25">
      <c r="A590" s="7">
        <v>45853</v>
      </c>
      <c r="B590" s="9" t="s">
        <v>35</v>
      </c>
      <c r="C590" s="6">
        <v>108</v>
      </c>
      <c r="D590" s="4"/>
      <c r="E590" s="6">
        <f>E589+C590-D590</f>
      </c>
      <c r="F590" s="2"/>
    </row>
    <row x14ac:dyDescent="0.25" r="591" customHeight="1" ht="17.25">
      <c r="A591" s="7">
        <v>45853</v>
      </c>
      <c r="B591" s="9" t="s">
        <v>301</v>
      </c>
      <c r="C591" s="4"/>
      <c r="D591" s="6">
        <v>20</v>
      </c>
      <c r="E591" s="6">
        <f>E590+C591-D591</f>
      </c>
      <c r="F591" s="2"/>
    </row>
    <row x14ac:dyDescent="0.25" r="592" customHeight="1" ht="17.25">
      <c r="A592" s="7">
        <v>45854</v>
      </c>
      <c r="B592" s="9" t="s">
        <v>35</v>
      </c>
      <c r="C592" s="6">
        <v>86</v>
      </c>
      <c r="D592" s="4"/>
      <c r="E592" s="6">
        <f>E591+C592-D592</f>
      </c>
      <c r="F592" s="2"/>
    </row>
    <row x14ac:dyDescent="0.25" r="593" customHeight="1" ht="17.25">
      <c r="A593" s="7">
        <v>45854</v>
      </c>
      <c r="B593" s="9" t="s">
        <v>189</v>
      </c>
      <c r="C593" s="6">
        <v>109</v>
      </c>
      <c r="D593" s="4"/>
      <c r="E593" s="6">
        <f>E592+C593-D593</f>
      </c>
      <c r="F593" s="2"/>
    </row>
    <row x14ac:dyDescent="0.25" r="594" customHeight="1" ht="17.25">
      <c r="A594" s="7">
        <v>45854</v>
      </c>
      <c r="B594" s="9" t="s">
        <v>376</v>
      </c>
      <c r="C594" s="6">
        <v>45</v>
      </c>
      <c r="D594" s="4"/>
      <c r="E594" s="6">
        <f>E593+C594-D594</f>
      </c>
      <c r="F594" s="2"/>
    </row>
    <row x14ac:dyDescent="0.25" r="595" customHeight="1" ht="17.25">
      <c r="A595" s="7">
        <v>45855</v>
      </c>
      <c r="B595" s="9" t="s">
        <v>233</v>
      </c>
      <c r="C595" s="4"/>
      <c r="D595" s="6">
        <v>140</v>
      </c>
      <c r="E595" s="6">
        <f>E594+C595-D595</f>
      </c>
      <c r="F595" s="2"/>
    </row>
    <row x14ac:dyDescent="0.25" r="596" customHeight="1" ht="17.25">
      <c r="A596" s="8">
        <v>45855</v>
      </c>
      <c r="B596" s="9" t="s">
        <v>42</v>
      </c>
      <c r="C596" s="6">
        <v>50</v>
      </c>
      <c r="D596" s="4"/>
      <c r="E596" s="6">
        <f>E595+C596-D596</f>
      </c>
      <c r="F596" s="2"/>
    </row>
    <row x14ac:dyDescent="0.25" r="597" customHeight="1" ht="17.25">
      <c r="A597" s="7">
        <v>45855</v>
      </c>
      <c r="B597" s="9" t="s">
        <v>556</v>
      </c>
      <c r="C597" s="6">
        <v>10</v>
      </c>
      <c r="D597" s="4"/>
      <c r="E597" s="6">
        <f>E596+C597-D597</f>
      </c>
      <c r="F597" s="2"/>
    </row>
    <row x14ac:dyDescent="0.25" r="598" customHeight="1" ht="17.25">
      <c r="A598" s="7">
        <v>45855</v>
      </c>
      <c r="B598" s="9" t="s">
        <v>579</v>
      </c>
      <c r="C598" s="6">
        <v>30</v>
      </c>
      <c r="D598" s="4"/>
      <c r="E598" s="6">
        <f>E597+C598-D598</f>
      </c>
      <c r="F598" s="2"/>
    </row>
    <row x14ac:dyDescent="0.25" r="599" customHeight="1" ht="17.25">
      <c r="A599" s="7">
        <v>45856</v>
      </c>
      <c r="B599" s="9" t="s">
        <v>25</v>
      </c>
      <c r="C599" s="4"/>
      <c r="D599" s="6">
        <v>100</v>
      </c>
      <c r="E599" s="6">
        <f>E598+C599-D599</f>
      </c>
      <c r="F599" s="2"/>
    </row>
    <row x14ac:dyDescent="0.25" r="600" customHeight="1" ht="17.25">
      <c r="A600" s="7">
        <v>45856</v>
      </c>
      <c r="B600" s="9" t="s">
        <v>411</v>
      </c>
      <c r="C600" s="6">
        <v>133</v>
      </c>
      <c r="D600" s="4"/>
      <c r="E600" s="6">
        <f>E599+C600-D600</f>
      </c>
      <c r="F600" s="2"/>
    </row>
    <row x14ac:dyDescent="0.25" r="601" customHeight="1" ht="17.25">
      <c r="A601" s="7">
        <v>45857</v>
      </c>
      <c r="B601" s="9" t="s">
        <v>289</v>
      </c>
      <c r="C601" s="4"/>
      <c r="D601" s="6">
        <v>48</v>
      </c>
      <c r="E601" s="6">
        <f>E600+C601-D601</f>
      </c>
      <c r="F601" s="2"/>
    </row>
    <row x14ac:dyDescent="0.25" r="602" customHeight="1" ht="17.25">
      <c r="A602" s="7">
        <v>45857</v>
      </c>
      <c r="B602" s="9" t="s">
        <v>46</v>
      </c>
      <c r="C602" s="4"/>
      <c r="D602" s="6">
        <v>280</v>
      </c>
      <c r="E602" s="6">
        <f>E601+C602-D602</f>
      </c>
      <c r="F602" s="2"/>
    </row>
    <row x14ac:dyDescent="0.25" r="603" customHeight="1" ht="17.25">
      <c r="A603" s="7">
        <v>45857</v>
      </c>
      <c r="B603" s="9" t="s">
        <v>299</v>
      </c>
      <c r="C603" s="4"/>
      <c r="D603" s="6">
        <v>60</v>
      </c>
      <c r="E603" s="6">
        <f>E602+C603-D603</f>
      </c>
      <c r="F603" s="2"/>
    </row>
    <row x14ac:dyDescent="0.25" r="604" customHeight="1" ht="17.25">
      <c r="A604" s="7">
        <v>45859</v>
      </c>
      <c r="B604" s="9" t="s">
        <v>311</v>
      </c>
      <c r="C604" s="4"/>
      <c r="D604" s="6">
        <v>120</v>
      </c>
      <c r="E604" s="6">
        <f>E603+C604-D604</f>
      </c>
      <c r="F604" s="2"/>
    </row>
    <row x14ac:dyDescent="0.25" r="605" customHeight="1" ht="17.25">
      <c r="A605" s="7">
        <v>45859</v>
      </c>
      <c r="B605" s="9" t="s">
        <v>286</v>
      </c>
      <c r="C605" s="6">
        <v>110</v>
      </c>
      <c r="D605" s="4"/>
      <c r="E605" s="6">
        <f>E604+C605-D605</f>
      </c>
      <c r="F605" s="2"/>
    </row>
    <row x14ac:dyDescent="0.25" r="606" customHeight="1" ht="17.25">
      <c r="A606" s="34">
        <v>45859</v>
      </c>
      <c r="B606" s="36" t="s">
        <v>89</v>
      </c>
      <c r="C606" s="33">
        <v>247</v>
      </c>
      <c r="D606" s="32"/>
      <c r="E606" s="33">
        <v>6625</v>
      </c>
      <c r="F606" s="2" t="s">
        <v>596</v>
      </c>
    </row>
    <row x14ac:dyDescent="0.25" r="607" customHeight="1" ht="17.25">
      <c r="A607" s="7">
        <v>45860</v>
      </c>
      <c r="B607" s="9" t="s">
        <v>389</v>
      </c>
      <c r="C607" s="4"/>
      <c r="D607" s="6">
        <v>200</v>
      </c>
      <c r="E607" s="6">
        <f>E606+C607-D607</f>
      </c>
      <c r="F607" s="2"/>
    </row>
    <row x14ac:dyDescent="0.25" r="608" customHeight="1" ht="17.25">
      <c r="A608" s="8">
        <v>45860</v>
      </c>
      <c r="B608" s="9" t="s">
        <v>311</v>
      </c>
      <c r="C608" s="4"/>
      <c r="D608" s="6">
        <v>80</v>
      </c>
      <c r="E608" s="6">
        <f>E607+C608-D608</f>
      </c>
      <c r="F608" s="2"/>
    </row>
    <row x14ac:dyDescent="0.25" r="609" customHeight="1" ht="17.25">
      <c r="A609" s="8">
        <v>45860</v>
      </c>
      <c r="B609" s="9" t="s">
        <v>42</v>
      </c>
      <c r="C609" s="6">
        <v>308</v>
      </c>
      <c r="D609" s="4"/>
      <c r="E609" s="6">
        <f>E608+C609-D609</f>
      </c>
      <c r="F609" s="2"/>
    </row>
    <row x14ac:dyDescent="0.25" r="610" customHeight="1" ht="17.25">
      <c r="A610" s="7">
        <v>45860</v>
      </c>
      <c r="B610" s="9" t="s">
        <v>411</v>
      </c>
      <c r="C610" s="6">
        <v>16</v>
      </c>
      <c r="D610" s="4"/>
      <c r="E610" s="6">
        <f>E609+C610-D610</f>
      </c>
      <c r="F610" s="2"/>
    </row>
    <row x14ac:dyDescent="0.25" r="611" customHeight="1" ht="17.25">
      <c r="A611" s="8">
        <v>45860</v>
      </c>
      <c r="B611" s="9" t="s">
        <v>89</v>
      </c>
      <c r="C611" s="6">
        <v>70</v>
      </c>
      <c r="D611" s="4"/>
      <c r="E611" s="6">
        <f>E610+C611-D611</f>
      </c>
      <c r="F611" s="2"/>
    </row>
    <row x14ac:dyDescent="0.25" r="612" customHeight="1" ht="17.25">
      <c r="A612" s="8">
        <v>45860</v>
      </c>
      <c r="B612" s="9" t="s">
        <v>141</v>
      </c>
      <c r="C612" s="6">
        <v>55</v>
      </c>
      <c r="D612" s="4"/>
      <c r="E612" s="6">
        <f>E611+C612-D612</f>
      </c>
      <c r="F612" s="2"/>
    </row>
    <row x14ac:dyDescent="0.25" r="613" customHeight="1" ht="17.25">
      <c r="A613" s="7">
        <v>45861</v>
      </c>
      <c r="B613" s="9" t="s">
        <v>284</v>
      </c>
      <c r="C613" s="4"/>
      <c r="D613" s="6">
        <v>300</v>
      </c>
      <c r="E613" s="6">
        <f>E612+C613-D613</f>
      </c>
      <c r="F613" s="2"/>
    </row>
    <row x14ac:dyDescent="0.25" r="614" customHeight="1" ht="17.25">
      <c r="A614" s="7">
        <v>45861</v>
      </c>
      <c r="B614" s="9" t="s">
        <v>297</v>
      </c>
      <c r="C614" s="4"/>
      <c r="D614" s="6">
        <v>50</v>
      </c>
      <c r="E614" s="6">
        <f>E613+C614-D614</f>
      </c>
      <c r="F614" s="2"/>
    </row>
    <row x14ac:dyDescent="0.25" r="615" customHeight="1" ht="17.25">
      <c r="A615" s="8">
        <v>45861</v>
      </c>
      <c r="B615" s="9" t="s">
        <v>304</v>
      </c>
      <c r="C615" s="4"/>
      <c r="D615" s="6">
        <v>50</v>
      </c>
      <c r="E615" s="6">
        <f>E614+C615-D615</f>
      </c>
      <c r="F615" s="2"/>
    </row>
    <row x14ac:dyDescent="0.25" r="616" customHeight="1" ht="17.25">
      <c r="A616" s="7">
        <v>45861</v>
      </c>
      <c r="B616" s="9" t="s">
        <v>342</v>
      </c>
      <c r="C616" s="6">
        <v>18</v>
      </c>
      <c r="D616" s="4"/>
      <c r="E616" s="6">
        <f>E615+C616-D616</f>
      </c>
      <c r="F616" s="2"/>
    </row>
    <row x14ac:dyDescent="0.25" r="617" customHeight="1" ht="17.25">
      <c r="A617" s="7">
        <v>45861</v>
      </c>
      <c r="B617" s="9" t="s">
        <v>141</v>
      </c>
      <c r="C617" s="6">
        <v>22</v>
      </c>
      <c r="D617" s="4"/>
      <c r="E617" s="6">
        <f>E616+C617-D617</f>
      </c>
      <c r="F617" s="2"/>
    </row>
    <row x14ac:dyDescent="0.25" r="618" customHeight="1" ht="17.25">
      <c r="A618" s="7">
        <v>45862</v>
      </c>
      <c r="B618" s="9" t="s">
        <v>485</v>
      </c>
      <c r="C618" s="6">
        <v>26</v>
      </c>
      <c r="D618" s="4"/>
      <c r="E618" s="6">
        <f>E617+C618-D618</f>
      </c>
      <c r="F618" s="2"/>
    </row>
    <row x14ac:dyDescent="0.25" r="619" customHeight="1" ht="17.25">
      <c r="A619" s="7">
        <v>45862</v>
      </c>
      <c r="B619" s="9" t="s">
        <v>286</v>
      </c>
      <c r="C619" s="6">
        <v>125</v>
      </c>
      <c r="D619" s="4"/>
      <c r="E619" s="6">
        <f>E618+C619-D619</f>
      </c>
      <c r="F619" s="2"/>
    </row>
    <row x14ac:dyDescent="0.25" r="620" customHeight="1" ht="17.25">
      <c r="A620" s="7">
        <v>45863</v>
      </c>
      <c r="B620" s="9" t="s">
        <v>233</v>
      </c>
      <c r="C620" s="4"/>
      <c r="D620" s="6">
        <v>100</v>
      </c>
      <c r="E620" s="6">
        <f>E619+C620-D620</f>
      </c>
      <c r="F620" s="2"/>
    </row>
    <row x14ac:dyDescent="0.25" r="621" customHeight="1" ht="17.25">
      <c r="A621" s="7">
        <v>45863</v>
      </c>
      <c r="B621" s="9" t="s">
        <v>35</v>
      </c>
      <c r="C621" s="6">
        <v>165</v>
      </c>
      <c r="D621" s="4"/>
      <c r="E621" s="6">
        <f>E620+C621-D621</f>
      </c>
      <c r="F621" s="2"/>
    </row>
    <row x14ac:dyDescent="0.25" r="622" customHeight="1" ht="17.25">
      <c r="A622" s="8">
        <v>45864</v>
      </c>
      <c r="B622" s="9" t="s">
        <v>241</v>
      </c>
      <c r="C622" s="4"/>
      <c r="D622" s="6">
        <v>100</v>
      </c>
      <c r="E622" s="6">
        <f>E621+C622-D622</f>
      </c>
      <c r="F622" s="2"/>
    </row>
    <row x14ac:dyDescent="0.25" r="623" customHeight="1" ht="17.25">
      <c r="A623" s="7">
        <v>45864</v>
      </c>
      <c r="B623" s="9" t="s">
        <v>389</v>
      </c>
      <c r="C623" s="4"/>
      <c r="D623" s="6">
        <v>100</v>
      </c>
      <c r="E623" s="6">
        <f>E622+C623-D623</f>
      </c>
      <c r="F623" s="2"/>
    </row>
    <row x14ac:dyDescent="0.25" r="624" customHeight="1" ht="17.25">
      <c r="A624" s="7">
        <v>45864</v>
      </c>
      <c r="B624" s="9" t="s">
        <v>311</v>
      </c>
      <c r="C624" s="4"/>
      <c r="D624" s="6">
        <v>100</v>
      </c>
      <c r="E624" s="6">
        <f>E623+C624-D624</f>
      </c>
      <c r="F624" s="2"/>
    </row>
    <row x14ac:dyDescent="0.25" r="625" customHeight="1" ht="17.25">
      <c r="A625" s="8">
        <v>45864</v>
      </c>
      <c r="B625" s="9" t="s">
        <v>233</v>
      </c>
      <c r="C625" s="6">
        <v>120</v>
      </c>
      <c r="D625" s="4"/>
      <c r="E625" s="6">
        <f>E624+C625-D625</f>
      </c>
      <c r="F625" s="2"/>
    </row>
    <row x14ac:dyDescent="0.25" r="626" customHeight="1" ht="17.25">
      <c r="A626" s="7">
        <v>45864</v>
      </c>
      <c r="B626" s="9" t="s">
        <v>47</v>
      </c>
      <c r="C626" s="4"/>
      <c r="D626" s="6">
        <v>120</v>
      </c>
      <c r="E626" s="6">
        <f>E625+C626-D626</f>
      </c>
      <c r="F626" s="2"/>
    </row>
    <row x14ac:dyDescent="0.25" r="627" customHeight="1" ht="17.25">
      <c r="A627" s="8">
        <v>45864</v>
      </c>
      <c r="B627" s="9" t="s">
        <v>368</v>
      </c>
      <c r="C627" s="6">
        <v>109</v>
      </c>
      <c r="D627" s="4"/>
      <c r="E627" s="6">
        <f>E626+C627-D627</f>
      </c>
      <c r="F627" s="2"/>
    </row>
    <row x14ac:dyDescent="0.25" r="628" customHeight="1" ht="17.25">
      <c r="A628" s="7">
        <v>45864</v>
      </c>
      <c r="B628" s="9" t="s">
        <v>384</v>
      </c>
      <c r="C628" s="6">
        <v>53</v>
      </c>
      <c r="D628" s="4"/>
      <c r="E628" s="6">
        <f>E627+C628-D628</f>
      </c>
      <c r="F628" s="2"/>
    </row>
    <row x14ac:dyDescent="0.25" r="629" customHeight="1" ht="17.25">
      <c r="A629" s="7">
        <v>45864</v>
      </c>
      <c r="B629" s="9" t="s">
        <v>286</v>
      </c>
      <c r="C629" s="6">
        <v>140</v>
      </c>
      <c r="D629" s="4"/>
      <c r="E629" s="6">
        <f>E628+C629-D629</f>
      </c>
      <c r="F629" s="2"/>
    </row>
    <row x14ac:dyDescent="0.25" r="630" customHeight="1" ht="17.25">
      <c r="A630" s="7">
        <v>45866</v>
      </c>
      <c r="B630" s="9" t="s">
        <v>241</v>
      </c>
      <c r="C630" s="4"/>
      <c r="D630" s="6">
        <v>36</v>
      </c>
      <c r="E630" s="6">
        <f>E629+C630-D630</f>
      </c>
      <c r="F630" s="2"/>
    </row>
    <row x14ac:dyDescent="0.25" r="631" customHeight="1" ht="17.25">
      <c r="A631" s="8">
        <v>45865</v>
      </c>
      <c r="B631" s="9" t="s">
        <v>232</v>
      </c>
      <c r="C631" s="4"/>
      <c r="D631" s="6">
        <v>12</v>
      </c>
      <c r="E631" s="6">
        <f>E630+C631-D631</f>
      </c>
      <c r="F631" s="2"/>
    </row>
    <row x14ac:dyDescent="0.25" r="632" customHeight="1" ht="17.25">
      <c r="A632" s="7">
        <v>45866</v>
      </c>
      <c r="B632" s="9" t="s">
        <v>389</v>
      </c>
      <c r="C632" s="4"/>
      <c r="D632" s="6">
        <v>100</v>
      </c>
      <c r="E632" s="6">
        <f>E631+C632-D632</f>
      </c>
      <c r="F632" s="2"/>
    </row>
    <row x14ac:dyDescent="0.25" r="633" customHeight="1" ht="17.25">
      <c r="A633" s="7">
        <v>45866</v>
      </c>
      <c r="B633" s="9" t="s">
        <v>311</v>
      </c>
      <c r="C633" s="4"/>
      <c r="D633" s="6">
        <v>100</v>
      </c>
      <c r="E633" s="6">
        <f>E632+C633-D633</f>
      </c>
      <c r="F633" s="2"/>
    </row>
    <row x14ac:dyDescent="0.25" r="634" customHeight="1" ht="17.25">
      <c r="A634" s="8">
        <v>45866</v>
      </c>
      <c r="B634" s="9" t="s">
        <v>48</v>
      </c>
      <c r="C634" s="4"/>
      <c r="D634" s="6">
        <v>400</v>
      </c>
      <c r="E634" s="6">
        <f>E633+C634-D634</f>
      </c>
      <c r="F634" s="2"/>
    </row>
    <row x14ac:dyDescent="0.25" r="635" customHeight="1" ht="17.25">
      <c r="A635" s="7">
        <v>45866</v>
      </c>
      <c r="B635" s="9" t="s">
        <v>89</v>
      </c>
      <c r="C635" s="6">
        <v>108</v>
      </c>
      <c r="D635" s="4"/>
      <c r="E635" s="6">
        <f>E634+C635-D635</f>
      </c>
      <c r="F635" s="2"/>
    </row>
    <row x14ac:dyDescent="0.25" r="636" customHeight="1" ht="17.25">
      <c r="A636" s="7">
        <v>45867</v>
      </c>
      <c r="B636" s="9" t="s">
        <v>315</v>
      </c>
      <c r="C636" s="4"/>
      <c r="D636" s="6">
        <v>28</v>
      </c>
      <c r="E636" s="6">
        <f>E635+C636-D636</f>
      </c>
      <c r="F636" s="2"/>
    </row>
    <row x14ac:dyDescent="0.25" r="637" customHeight="1" ht="17.25">
      <c r="A637" s="7">
        <v>45867</v>
      </c>
      <c r="B637" s="9" t="s">
        <v>557</v>
      </c>
      <c r="C637" s="4"/>
      <c r="D637" s="6">
        <v>20</v>
      </c>
      <c r="E637" s="6">
        <f>E636+C637-D637</f>
      </c>
      <c r="F637" s="2"/>
    </row>
    <row x14ac:dyDescent="0.25" r="638" customHeight="1" ht="17.25">
      <c r="A638" s="8">
        <v>45867</v>
      </c>
      <c r="B638" s="9" t="s">
        <v>3</v>
      </c>
      <c r="C638" s="4"/>
      <c r="D638" s="6">
        <v>150</v>
      </c>
      <c r="E638" s="6">
        <f>E637+C638-D638</f>
      </c>
      <c r="F638" s="2"/>
    </row>
    <row x14ac:dyDescent="0.25" r="639" customHeight="1" ht="17.25">
      <c r="A639" s="8">
        <v>45867</v>
      </c>
      <c r="B639" s="9" t="s">
        <v>3</v>
      </c>
      <c r="C639" s="4"/>
      <c r="D639" s="6">
        <v>100</v>
      </c>
      <c r="E639" s="6">
        <f>E638+C639-D639</f>
      </c>
      <c r="F639" s="2"/>
    </row>
    <row x14ac:dyDescent="0.25" r="640" customHeight="1" ht="17.25">
      <c r="A640" s="8">
        <v>45867</v>
      </c>
      <c r="B640" s="9" t="s">
        <v>35</v>
      </c>
      <c r="C640" s="6">
        <v>118</v>
      </c>
      <c r="D640" s="4"/>
      <c r="E640" s="6">
        <f>E639+C640-D640</f>
      </c>
      <c r="F640" s="2"/>
    </row>
    <row x14ac:dyDescent="0.25" r="641" customHeight="1" ht="17.25">
      <c r="A641" s="7">
        <v>45867</v>
      </c>
      <c r="B641" s="9" t="s">
        <v>382</v>
      </c>
      <c r="C641" s="6">
        <v>58</v>
      </c>
      <c r="D641" s="4"/>
      <c r="E641" s="6">
        <f>E640+C641-D641</f>
      </c>
      <c r="F641" s="2"/>
    </row>
    <row x14ac:dyDescent="0.25" r="642" customHeight="1" ht="17.25">
      <c r="A642" s="7">
        <v>45868</v>
      </c>
      <c r="B642" s="9" t="s">
        <v>389</v>
      </c>
      <c r="C642" s="4"/>
      <c r="D642" s="6">
        <v>100</v>
      </c>
      <c r="E642" s="6">
        <f>E641+C642-D642</f>
      </c>
      <c r="F642" s="2"/>
    </row>
    <row x14ac:dyDescent="0.25" r="643" customHeight="1" ht="17.25">
      <c r="A643" s="7">
        <v>45868</v>
      </c>
      <c r="B643" s="9" t="s">
        <v>100</v>
      </c>
      <c r="C643" s="4"/>
      <c r="D643" s="6">
        <v>100</v>
      </c>
      <c r="E643" s="6">
        <f>E642+C643-D643</f>
      </c>
      <c r="F643" s="2"/>
    </row>
    <row x14ac:dyDescent="0.25" r="644" customHeight="1" ht="17.25">
      <c r="A644" s="8">
        <v>45869</v>
      </c>
      <c r="B644" s="9" t="s">
        <v>311</v>
      </c>
      <c r="C644" s="4"/>
      <c r="D644" s="6">
        <v>200</v>
      </c>
      <c r="E644" s="6">
        <f>E643+C644-D644</f>
      </c>
      <c r="F644" s="2"/>
    </row>
    <row x14ac:dyDescent="0.25" r="645" customHeight="1" ht="17.25">
      <c r="A645" s="7">
        <v>45869</v>
      </c>
      <c r="B645" s="9" t="s">
        <v>376</v>
      </c>
      <c r="C645" s="6">
        <v>59</v>
      </c>
      <c r="D645" s="4"/>
      <c r="E645" s="6">
        <f>E644+C645-D645</f>
      </c>
      <c r="F645" s="2"/>
    </row>
    <row x14ac:dyDescent="0.25" r="646" customHeight="1" ht="17.25">
      <c r="A646" s="7">
        <v>45869</v>
      </c>
      <c r="B646" s="9" t="s">
        <v>35</v>
      </c>
      <c r="C646" s="6">
        <v>80</v>
      </c>
      <c r="D646" s="4"/>
      <c r="E646" s="6">
        <f>E645+C646-D646</f>
      </c>
      <c r="F646" s="2"/>
    </row>
    <row x14ac:dyDescent="0.25" r="647" customHeight="1" ht="17.25">
      <c r="A647" s="8">
        <v>45870</v>
      </c>
      <c r="B647" s="9" t="s">
        <v>47</v>
      </c>
      <c r="C647" s="4"/>
      <c r="D647" s="6">
        <v>140</v>
      </c>
      <c r="E647" s="6">
        <f>E646+C647-D647</f>
      </c>
      <c r="F647" s="2"/>
    </row>
    <row x14ac:dyDescent="0.25" r="648" customHeight="1" ht="17.25">
      <c r="A648" s="7">
        <v>45870</v>
      </c>
      <c r="B648" s="9" t="s">
        <v>286</v>
      </c>
      <c r="C648" s="6">
        <v>200</v>
      </c>
      <c r="D648" s="4"/>
      <c r="E648" s="6">
        <f>E647+C648-D648</f>
      </c>
      <c r="F648" s="2"/>
    </row>
    <row x14ac:dyDescent="0.25" r="649" customHeight="1" ht="17.25">
      <c r="A649" s="8">
        <v>45871</v>
      </c>
      <c r="B649" s="9" t="s">
        <v>47</v>
      </c>
      <c r="C649" s="4"/>
      <c r="D649" s="6">
        <v>10</v>
      </c>
      <c r="E649" s="6">
        <f>E648+C649-D649</f>
      </c>
      <c r="F649" s="2"/>
    </row>
    <row x14ac:dyDescent="0.25" r="650" customHeight="1" ht="17.25">
      <c r="A650" s="7">
        <v>45871</v>
      </c>
      <c r="B650" s="9" t="s">
        <v>3</v>
      </c>
      <c r="C650" s="4"/>
      <c r="D650" s="6">
        <v>100</v>
      </c>
      <c r="E650" s="6">
        <f>E649+C650-D650</f>
      </c>
      <c r="F650" s="2"/>
    </row>
    <row x14ac:dyDescent="0.25" r="651" customHeight="1" ht="17.25">
      <c r="A651" s="8">
        <v>45871</v>
      </c>
      <c r="B651" s="9" t="s">
        <v>47</v>
      </c>
      <c r="C651" s="4"/>
      <c r="D651" s="6">
        <v>90</v>
      </c>
      <c r="E651" s="6">
        <f>E650+C651-D651</f>
      </c>
      <c r="F651" s="2"/>
    </row>
    <row x14ac:dyDescent="0.25" r="652" customHeight="1" ht="17.25">
      <c r="A652" s="8">
        <v>45873</v>
      </c>
      <c r="B652" s="9" t="s">
        <v>298</v>
      </c>
      <c r="C652" s="4"/>
      <c r="D652" s="6">
        <v>432</v>
      </c>
      <c r="E652" s="6">
        <f>E651+C652-D652</f>
      </c>
      <c r="F652" s="2"/>
    </row>
    <row x14ac:dyDescent="0.25" r="653" customHeight="1" ht="17.25">
      <c r="A653" s="7">
        <v>45873</v>
      </c>
      <c r="B653" s="9" t="s">
        <v>389</v>
      </c>
      <c r="C653" s="4"/>
      <c r="D653" s="6">
        <v>80</v>
      </c>
      <c r="E653" s="6">
        <f>E652+C653-D653</f>
      </c>
      <c r="F653" s="2"/>
    </row>
    <row x14ac:dyDescent="0.25" r="654" customHeight="1" ht="17.25">
      <c r="A654" s="7">
        <v>45873</v>
      </c>
      <c r="B654" s="9" t="s">
        <v>384</v>
      </c>
      <c r="C654" s="6">
        <v>51</v>
      </c>
      <c r="D654" s="4"/>
      <c r="E654" s="6">
        <f>E653+C654-D654</f>
      </c>
      <c r="F654" s="2"/>
    </row>
    <row x14ac:dyDescent="0.25" r="655" customHeight="1" ht="17.25">
      <c r="A655" s="7">
        <v>45874</v>
      </c>
      <c r="B655" s="9" t="s">
        <v>389</v>
      </c>
      <c r="C655" s="4"/>
      <c r="D655" s="6">
        <v>120</v>
      </c>
      <c r="E655" s="6">
        <f>E654+C655-D655</f>
      </c>
      <c r="F655" s="2"/>
    </row>
    <row x14ac:dyDescent="0.25" r="656" customHeight="1" ht="17.25">
      <c r="A656" s="7">
        <v>45874</v>
      </c>
      <c r="B656" s="9" t="s">
        <v>316</v>
      </c>
      <c r="C656" s="4"/>
      <c r="D656" s="6">
        <v>100</v>
      </c>
      <c r="E656" s="6">
        <f>E655+C656-D656</f>
      </c>
      <c r="F656" s="2"/>
    </row>
    <row x14ac:dyDescent="0.25" r="657" customHeight="1" ht="17.25">
      <c r="A657" s="7">
        <v>45874</v>
      </c>
      <c r="B657" s="9" t="s">
        <v>287</v>
      </c>
      <c r="C657" s="6">
        <v>18</v>
      </c>
      <c r="D657" s="4"/>
      <c r="E657" s="6">
        <f>E656+C657-D657</f>
      </c>
      <c r="F657" s="2"/>
    </row>
    <row x14ac:dyDescent="0.25" r="658" customHeight="1" ht="17.25">
      <c r="A658" s="7">
        <v>45874</v>
      </c>
      <c r="B658" s="9" t="s">
        <v>238</v>
      </c>
      <c r="C658" s="6">
        <v>101</v>
      </c>
      <c r="D658" s="4"/>
      <c r="E658" s="6">
        <f>E657+C658-D658</f>
      </c>
      <c r="F658" s="2"/>
    </row>
    <row x14ac:dyDescent="0.25" r="659" customHeight="1" ht="17.25">
      <c r="A659" s="7">
        <v>45874</v>
      </c>
      <c r="B659" s="9" t="s">
        <v>238</v>
      </c>
      <c r="C659" s="6">
        <v>80</v>
      </c>
      <c r="D659" s="4"/>
      <c r="E659" s="6">
        <f>E658+C659-D659</f>
      </c>
      <c r="F659" s="2"/>
    </row>
    <row x14ac:dyDescent="0.25" r="660" customHeight="1" ht="17.25">
      <c r="A660" s="7">
        <v>45875</v>
      </c>
      <c r="B660" s="9" t="s">
        <v>311</v>
      </c>
      <c r="C660" s="4"/>
      <c r="D660" s="6">
        <v>150</v>
      </c>
      <c r="E660" s="6">
        <f>E659+C660-D660</f>
      </c>
      <c r="F660" s="2"/>
    </row>
    <row x14ac:dyDescent="0.25" r="661" customHeight="1" ht="17.25">
      <c r="A661" s="7">
        <v>45875</v>
      </c>
      <c r="B661" s="9" t="s">
        <v>26</v>
      </c>
      <c r="C661" s="4"/>
      <c r="D661" s="6">
        <v>350</v>
      </c>
      <c r="E661" s="6">
        <f>E660+C661-D661</f>
      </c>
      <c r="F661" s="2"/>
    </row>
    <row x14ac:dyDescent="0.25" r="662" customHeight="1" ht="17.25">
      <c r="A662" s="7">
        <v>45875</v>
      </c>
      <c r="B662" s="9" t="s">
        <v>208</v>
      </c>
      <c r="C662" s="6">
        <v>149</v>
      </c>
      <c r="D662" s="4"/>
      <c r="E662" s="6">
        <f>E661+C662-D662</f>
      </c>
      <c r="F662" s="2"/>
    </row>
    <row x14ac:dyDescent="0.25" r="663" customHeight="1" ht="17.25">
      <c r="A663" s="8">
        <v>45876</v>
      </c>
      <c r="B663" s="9" t="s">
        <v>307</v>
      </c>
      <c r="C663" s="4"/>
      <c r="D663" s="6">
        <v>216</v>
      </c>
      <c r="E663" s="6">
        <f>E662+C663-D663</f>
      </c>
      <c r="F663" s="2"/>
    </row>
    <row x14ac:dyDescent="0.25" r="664" customHeight="1" ht="17.25">
      <c r="A664" s="8">
        <v>45876</v>
      </c>
      <c r="B664" s="9" t="s">
        <v>308</v>
      </c>
      <c r="C664" s="4"/>
      <c r="D664" s="6">
        <v>66</v>
      </c>
      <c r="E664" s="6">
        <f>E663+C664-D664</f>
      </c>
      <c r="F664" s="2"/>
    </row>
    <row x14ac:dyDescent="0.25" r="665" customHeight="1" ht="17.25">
      <c r="A665" s="8">
        <v>45876</v>
      </c>
      <c r="B665" s="9" t="s">
        <v>308</v>
      </c>
      <c r="C665" s="4"/>
      <c r="D665" s="6">
        <v>16</v>
      </c>
      <c r="E665" s="6">
        <f>E664+C665-D665</f>
      </c>
      <c r="F665" s="2"/>
    </row>
    <row x14ac:dyDescent="0.25" r="666" customHeight="1" ht="17.25">
      <c r="A666" s="7">
        <v>45876</v>
      </c>
      <c r="B666" s="9" t="s">
        <v>233</v>
      </c>
      <c r="C666" s="4"/>
      <c r="D666" s="6">
        <v>158</v>
      </c>
      <c r="E666" s="6">
        <f>E665+C666-D666</f>
      </c>
      <c r="F666" s="2"/>
    </row>
    <row x14ac:dyDescent="0.25" r="667" customHeight="1" ht="17.25">
      <c r="A667" s="7">
        <v>45876</v>
      </c>
      <c r="B667" s="9" t="s">
        <v>3</v>
      </c>
      <c r="C667" s="4"/>
      <c r="D667" s="6">
        <v>200</v>
      </c>
      <c r="E667" s="6">
        <f>E666+C667-D667</f>
      </c>
      <c r="F667" s="2"/>
    </row>
    <row x14ac:dyDescent="0.25" r="668" customHeight="1" ht="17.25">
      <c r="A668" s="7">
        <v>45876</v>
      </c>
      <c r="B668" s="9" t="s">
        <v>46</v>
      </c>
      <c r="C668" s="4"/>
      <c r="D668" s="6">
        <v>200</v>
      </c>
      <c r="E668" s="6">
        <f>E667+C668-D668</f>
      </c>
      <c r="F668" s="2"/>
    </row>
    <row x14ac:dyDescent="0.25" r="669" customHeight="1" ht="17.25">
      <c r="A669" s="7">
        <v>45876</v>
      </c>
      <c r="B669" s="9" t="s">
        <v>275</v>
      </c>
      <c r="C669" s="6">
        <v>44</v>
      </c>
      <c r="D669" s="4"/>
      <c r="E669" s="6">
        <f>E668+C669-D669</f>
      </c>
      <c r="F669" s="2"/>
    </row>
    <row x14ac:dyDescent="0.25" r="670" customHeight="1" ht="17.25">
      <c r="A670" s="8">
        <v>45876</v>
      </c>
      <c r="B670" s="9" t="s">
        <v>286</v>
      </c>
      <c r="C670" s="6">
        <v>24</v>
      </c>
      <c r="D670" s="4"/>
      <c r="E670" s="6">
        <f>E669+C670-D670</f>
      </c>
      <c r="F670" s="2"/>
    </row>
    <row x14ac:dyDescent="0.25" r="671" customHeight="1" ht="17.25">
      <c r="A671" s="7">
        <v>45876</v>
      </c>
      <c r="B671" s="9" t="s">
        <v>208</v>
      </c>
      <c r="C671" s="6">
        <v>134</v>
      </c>
      <c r="D671" s="4"/>
      <c r="E671" s="6">
        <f>E670+C671-D671</f>
      </c>
      <c r="F671" s="2"/>
    </row>
    <row x14ac:dyDescent="0.25" r="672" customHeight="1" ht="17.25">
      <c r="A672" s="8">
        <v>45877</v>
      </c>
      <c r="B672" s="9" t="s">
        <v>3</v>
      </c>
      <c r="C672" s="4"/>
      <c r="D672" s="6">
        <v>200</v>
      </c>
      <c r="E672" s="6">
        <f>E671+C672-D672</f>
      </c>
      <c r="F672" s="2"/>
    </row>
    <row x14ac:dyDescent="0.25" r="673" customHeight="1" ht="17.25">
      <c r="A673" s="7">
        <v>45877</v>
      </c>
      <c r="B673" s="9" t="s">
        <v>316</v>
      </c>
      <c r="C673" s="4"/>
      <c r="D673" s="6">
        <v>230</v>
      </c>
      <c r="E673" s="6">
        <f>E672+C673-D673</f>
      </c>
      <c r="F673" s="2"/>
    </row>
    <row x14ac:dyDescent="0.25" r="674" customHeight="1" ht="17.25">
      <c r="A674" s="7">
        <v>45877</v>
      </c>
      <c r="B674" s="9" t="s">
        <v>234</v>
      </c>
      <c r="C674" s="4"/>
      <c r="D674" s="6">
        <v>50</v>
      </c>
      <c r="E674" s="6">
        <f>E673+C674-D674</f>
      </c>
      <c r="F674" s="2"/>
    </row>
    <row x14ac:dyDescent="0.25" r="675" customHeight="1" ht="17.25">
      <c r="A675" s="7">
        <v>45878</v>
      </c>
      <c r="B675" s="9" t="s">
        <v>26</v>
      </c>
      <c r="C675" s="4"/>
      <c r="D675" s="6">
        <v>350</v>
      </c>
      <c r="E675" s="6">
        <f>E674+C675-D675</f>
      </c>
      <c r="F675" s="2"/>
    </row>
    <row x14ac:dyDescent="0.25" r="676" customHeight="1" ht="17.25">
      <c r="A676" s="7">
        <v>45878</v>
      </c>
      <c r="B676" s="9" t="s">
        <v>316</v>
      </c>
      <c r="C676" s="4"/>
      <c r="D676" s="6">
        <v>170</v>
      </c>
      <c r="E676" s="6">
        <f>E675+C676-D676</f>
      </c>
      <c r="F676" s="2"/>
    </row>
    <row x14ac:dyDescent="0.25" r="677" customHeight="1" ht="17.25">
      <c r="A677" s="7">
        <v>45878</v>
      </c>
      <c r="B677" s="9" t="s">
        <v>501</v>
      </c>
      <c r="C677" s="4"/>
      <c r="D677" s="6">
        <v>100</v>
      </c>
      <c r="E677" s="6">
        <f>E676+C677-D677</f>
      </c>
      <c r="F677" s="2"/>
    </row>
    <row x14ac:dyDescent="0.25" r="678" customHeight="1" ht="17.25">
      <c r="A678" s="8">
        <v>45878</v>
      </c>
      <c r="B678" s="9" t="s">
        <v>141</v>
      </c>
      <c r="C678" s="6">
        <v>250</v>
      </c>
      <c r="D678" s="4"/>
      <c r="E678" s="6">
        <f>E677+C678-D678</f>
      </c>
      <c r="F678" s="2"/>
    </row>
    <row x14ac:dyDescent="0.25" r="679" customHeight="1" ht="17.25">
      <c r="A679" s="7">
        <v>45878</v>
      </c>
      <c r="B679" s="9" t="s">
        <v>411</v>
      </c>
      <c r="C679" s="6">
        <v>14</v>
      </c>
      <c r="D679" s="4"/>
      <c r="E679" s="6">
        <f>E678+C679-D679</f>
      </c>
      <c r="F679" s="2"/>
    </row>
    <row x14ac:dyDescent="0.25" r="680" customHeight="1" ht="17.25">
      <c r="A680" s="7">
        <v>45878</v>
      </c>
      <c r="B680" s="9" t="s">
        <v>241</v>
      </c>
      <c r="C680" s="6">
        <v>130</v>
      </c>
      <c r="D680" s="4"/>
      <c r="E680" s="6">
        <f>E679+C680-D680</f>
      </c>
      <c r="F680" s="2"/>
    </row>
    <row x14ac:dyDescent="0.25" r="681" customHeight="1" ht="17.25">
      <c r="A681" s="7">
        <v>45880</v>
      </c>
      <c r="B681" s="9" t="s">
        <v>233</v>
      </c>
      <c r="C681" s="4"/>
      <c r="D681" s="6">
        <v>120</v>
      </c>
      <c r="E681" s="6">
        <f>E680+C681-D681</f>
      </c>
      <c r="F681" s="2"/>
    </row>
    <row x14ac:dyDescent="0.25" r="682" customHeight="1" ht="17.25">
      <c r="A682" s="7">
        <v>45880</v>
      </c>
      <c r="B682" s="9" t="s">
        <v>286</v>
      </c>
      <c r="C682" s="6">
        <v>4</v>
      </c>
      <c r="D682" s="4"/>
      <c r="E682" s="6">
        <f>E681+C682-D682</f>
      </c>
      <c r="F682" s="2"/>
    </row>
    <row x14ac:dyDescent="0.25" r="683" customHeight="1" ht="17.25">
      <c r="A683" s="8">
        <v>45880</v>
      </c>
      <c r="B683" s="9" t="s">
        <v>370</v>
      </c>
      <c r="C683" s="6">
        <v>45</v>
      </c>
      <c r="D683" s="4"/>
      <c r="E683" s="6">
        <f>E682+C683-D683</f>
      </c>
      <c r="F683" s="2"/>
    </row>
    <row x14ac:dyDescent="0.25" r="684" customHeight="1" ht="17.25">
      <c r="A684" s="8">
        <v>45880</v>
      </c>
      <c r="B684" s="9" t="s">
        <v>286</v>
      </c>
      <c r="C684" s="6">
        <v>114</v>
      </c>
      <c r="D684" s="4"/>
      <c r="E684" s="6">
        <f>E683+C684-D684</f>
      </c>
      <c r="F684" s="2"/>
    </row>
    <row x14ac:dyDescent="0.25" r="685" customHeight="1" ht="17.25">
      <c r="A685" s="8">
        <v>45880</v>
      </c>
      <c r="B685" s="9" t="s">
        <v>141</v>
      </c>
      <c r="C685" s="6">
        <v>20</v>
      </c>
      <c r="D685" s="4"/>
      <c r="E685" s="6">
        <f>E684+C685-D685</f>
      </c>
      <c r="F685" s="2"/>
    </row>
    <row x14ac:dyDescent="0.25" r="686" customHeight="1" ht="17.25">
      <c r="A686" s="7">
        <v>45881</v>
      </c>
      <c r="B686" s="9" t="s">
        <v>391</v>
      </c>
      <c r="C686" s="4"/>
      <c r="D686" s="6">
        <v>70</v>
      </c>
      <c r="E686" s="6">
        <f>E685+C686-D686</f>
      </c>
      <c r="F686" s="2"/>
    </row>
    <row x14ac:dyDescent="0.25" r="687" customHeight="1" ht="17.25">
      <c r="A687" s="8">
        <v>45881</v>
      </c>
      <c r="B687" s="9" t="s">
        <v>208</v>
      </c>
      <c r="C687" s="6">
        <v>125</v>
      </c>
      <c r="D687" s="4"/>
      <c r="E687" s="6">
        <f>E686+C687-D687</f>
      </c>
      <c r="F687" s="2"/>
    </row>
    <row x14ac:dyDescent="0.25" r="688" customHeight="1" ht="17.25">
      <c r="A688" s="7">
        <v>45882</v>
      </c>
      <c r="B688" s="9" t="s">
        <v>389</v>
      </c>
      <c r="C688" s="4"/>
      <c r="D688" s="6">
        <v>100</v>
      </c>
      <c r="E688" s="6">
        <f>E687+C688-D688</f>
      </c>
      <c r="F688" s="2"/>
    </row>
    <row x14ac:dyDescent="0.25" r="689" customHeight="1" ht="17.25">
      <c r="A689" s="7">
        <v>45882</v>
      </c>
      <c r="B689" s="9" t="s">
        <v>316</v>
      </c>
      <c r="C689" s="4"/>
      <c r="D689" s="6">
        <v>210</v>
      </c>
      <c r="E689" s="6">
        <f>E688+C689-D689</f>
      </c>
      <c r="F689" s="2"/>
    </row>
    <row x14ac:dyDescent="0.25" r="690" customHeight="1" ht="17.25">
      <c r="A690" s="7">
        <v>45882</v>
      </c>
      <c r="B690" s="9" t="s">
        <v>333</v>
      </c>
      <c r="C690" s="6">
        <v>119</v>
      </c>
      <c r="D690" s="4"/>
      <c r="E690" s="6">
        <f>E689+C690-D690</f>
      </c>
      <c r="F690" s="2"/>
    </row>
    <row x14ac:dyDescent="0.25" r="691" customHeight="1" ht="17.25">
      <c r="A691" s="7">
        <v>45882</v>
      </c>
      <c r="B691" s="9" t="s">
        <v>384</v>
      </c>
      <c r="C691" s="6">
        <v>2</v>
      </c>
      <c r="D691" s="4"/>
      <c r="E691" s="6">
        <f>E690+C691-D691</f>
      </c>
      <c r="F691" s="2"/>
    </row>
    <row x14ac:dyDescent="0.25" r="692" customHeight="1" ht="17.25">
      <c r="A692" s="7">
        <v>45883</v>
      </c>
      <c r="B692" s="9" t="s">
        <v>389</v>
      </c>
      <c r="C692" s="4"/>
      <c r="D692" s="6">
        <v>100</v>
      </c>
      <c r="E692" s="6">
        <f>E691+C692-D692</f>
      </c>
      <c r="F692" s="2"/>
    </row>
    <row x14ac:dyDescent="0.25" r="693" customHeight="1" ht="17.25">
      <c r="A693" s="8">
        <v>45883</v>
      </c>
      <c r="B693" s="9" t="s">
        <v>525</v>
      </c>
      <c r="C693" s="4"/>
      <c r="D693" s="6">
        <v>20</v>
      </c>
      <c r="E693" s="6">
        <f>E692+C693-D693</f>
      </c>
      <c r="F693" s="2"/>
    </row>
    <row x14ac:dyDescent="0.25" r="694" customHeight="1" ht="17.25">
      <c r="A694" s="7">
        <v>45883</v>
      </c>
      <c r="B694" s="9" t="s">
        <v>316</v>
      </c>
      <c r="C694" s="4"/>
      <c r="D694" s="6">
        <v>190</v>
      </c>
      <c r="E694" s="6">
        <f>E693+C694-D694</f>
      </c>
      <c r="F694" s="2"/>
    </row>
    <row x14ac:dyDescent="0.25" r="695" customHeight="1" ht="17.25">
      <c r="A695" s="7">
        <v>45883</v>
      </c>
      <c r="B695" s="9" t="s">
        <v>299</v>
      </c>
      <c r="C695" s="6">
        <v>92</v>
      </c>
      <c r="D695" s="4"/>
      <c r="E695" s="6">
        <f>E694+C695-D695</f>
      </c>
      <c r="F695" s="2"/>
    </row>
    <row x14ac:dyDescent="0.25" r="696" customHeight="1" ht="17.25">
      <c r="A696" s="7">
        <v>45883</v>
      </c>
      <c r="B696" s="9" t="s">
        <v>559</v>
      </c>
      <c r="C696" s="6">
        <v>25</v>
      </c>
      <c r="D696" s="4"/>
      <c r="E696" s="6">
        <f>E695+C696-D696</f>
      </c>
      <c r="F696" s="2"/>
    </row>
    <row x14ac:dyDescent="0.25" r="697" customHeight="1" ht="17.25">
      <c r="A697" s="7">
        <v>45883</v>
      </c>
      <c r="B697" s="9" t="s">
        <v>382</v>
      </c>
      <c r="C697" s="6">
        <v>14</v>
      </c>
      <c r="D697" s="4"/>
      <c r="E697" s="6">
        <f>E696+C697-D697</f>
      </c>
      <c r="F697" s="2"/>
    </row>
    <row x14ac:dyDescent="0.25" r="698" customHeight="1" ht="17.25">
      <c r="A698" s="7">
        <v>45884</v>
      </c>
      <c r="B698" s="9" t="s">
        <v>389</v>
      </c>
      <c r="C698" s="4"/>
      <c r="D698" s="6">
        <v>200</v>
      </c>
      <c r="E698" s="6">
        <f>E697+C698-D698</f>
      </c>
      <c r="F698" s="2"/>
    </row>
    <row x14ac:dyDescent="0.25" r="699" customHeight="1" ht="17.25">
      <c r="A699" s="7">
        <v>45884</v>
      </c>
      <c r="B699" s="9" t="s">
        <v>501</v>
      </c>
      <c r="C699" s="4"/>
      <c r="D699" s="6">
        <v>100</v>
      </c>
      <c r="E699" s="6">
        <f>E698+C699-D699</f>
      </c>
      <c r="F699" s="2"/>
    </row>
    <row x14ac:dyDescent="0.25" r="700" customHeight="1" ht="17.25">
      <c r="A700" s="7">
        <v>45884</v>
      </c>
      <c r="B700" s="9" t="s">
        <v>333</v>
      </c>
      <c r="C700" s="6">
        <v>61</v>
      </c>
      <c r="D700" s="4"/>
      <c r="E700" s="6">
        <f>E699+C700-D700</f>
      </c>
      <c r="F700" s="2"/>
    </row>
    <row x14ac:dyDescent="0.25" r="701" customHeight="1" ht="17.25">
      <c r="A701" s="8">
        <v>45884</v>
      </c>
      <c r="B701" s="9" t="s">
        <v>35</v>
      </c>
      <c r="C701" s="6">
        <v>30</v>
      </c>
      <c r="D701" s="4"/>
      <c r="E701" s="6">
        <f>E700+C701-D701</f>
      </c>
      <c r="F701" s="2"/>
    </row>
    <row x14ac:dyDescent="0.25" r="702" customHeight="1" ht="17.25">
      <c r="A702" s="7">
        <v>45884</v>
      </c>
      <c r="B702" s="9" t="s">
        <v>241</v>
      </c>
      <c r="C702" s="6">
        <v>85</v>
      </c>
      <c r="D702" s="4"/>
      <c r="E702" s="6">
        <f>E701+C702-D702</f>
      </c>
      <c r="F702" s="2"/>
    </row>
    <row x14ac:dyDescent="0.25" r="703" customHeight="1" ht="17.25">
      <c r="A703" s="7">
        <v>45885</v>
      </c>
      <c r="B703" s="9" t="s">
        <v>233</v>
      </c>
      <c r="C703" s="4"/>
      <c r="D703" s="6">
        <v>100</v>
      </c>
      <c r="E703" s="6">
        <f>E702+C703-D703</f>
      </c>
      <c r="F703" s="2"/>
    </row>
    <row x14ac:dyDescent="0.25" r="704" customHeight="1" ht="17.25">
      <c r="A704" s="7">
        <v>45885</v>
      </c>
      <c r="B704" s="9" t="s">
        <v>3</v>
      </c>
      <c r="C704" s="4"/>
      <c r="D704" s="6">
        <v>200</v>
      </c>
      <c r="E704" s="6">
        <f>E703+C704-D704</f>
      </c>
      <c r="F704" s="2"/>
    </row>
    <row x14ac:dyDescent="0.25" r="705" customHeight="1" ht="17.25">
      <c r="A705" s="7">
        <v>45885</v>
      </c>
      <c r="B705" s="9" t="s">
        <v>311</v>
      </c>
      <c r="C705" s="4"/>
      <c r="D705" s="6">
        <v>100</v>
      </c>
      <c r="E705" s="6">
        <f>E704+C705-D705</f>
      </c>
      <c r="F705" s="2"/>
    </row>
    <row x14ac:dyDescent="0.25" r="706" customHeight="1" ht="17.25">
      <c r="A706" s="7">
        <v>45885</v>
      </c>
      <c r="B706" s="9" t="s">
        <v>333</v>
      </c>
      <c r="C706" s="6">
        <v>25</v>
      </c>
      <c r="D706" s="4"/>
      <c r="E706" s="6">
        <f>E705+C706-D706</f>
      </c>
      <c r="F706" s="2"/>
    </row>
    <row x14ac:dyDescent="0.25" r="707" customHeight="1" ht="17.25">
      <c r="A707" s="7">
        <v>45885</v>
      </c>
      <c r="B707" s="9" t="s">
        <v>299</v>
      </c>
      <c r="C707" s="6">
        <v>20</v>
      </c>
      <c r="D707" s="4"/>
      <c r="E707" s="6">
        <f>E706+C707-D707</f>
      </c>
      <c r="F707" s="2"/>
    </row>
    <row x14ac:dyDescent="0.25" r="708" customHeight="1" ht="17.25">
      <c r="A708" s="7">
        <v>45885</v>
      </c>
      <c r="B708" s="9" t="s">
        <v>29</v>
      </c>
      <c r="C708" s="6">
        <v>149</v>
      </c>
      <c r="D708" s="4"/>
      <c r="E708" s="6">
        <f>E707+C708-D708</f>
      </c>
      <c r="F708" s="2"/>
    </row>
    <row x14ac:dyDescent="0.25" r="709" customHeight="1" ht="17.25">
      <c r="A709" s="7">
        <v>45887</v>
      </c>
      <c r="B709" s="9" t="s">
        <v>311</v>
      </c>
      <c r="C709" s="4"/>
      <c r="D709" s="6">
        <v>50</v>
      </c>
      <c r="E709" s="6">
        <f>E708+C709-D709</f>
      </c>
      <c r="F709" s="2"/>
    </row>
    <row x14ac:dyDescent="0.25" r="710" customHeight="1" ht="17.25">
      <c r="A710" s="7">
        <v>45887</v>
      </c>
      <c r="B710" s="9" t="s">
        <v>501</v>
      </c>
      <c r="C710" s="4"/>
      <c r="D710" s="6">
        <v>100</v>
      </c>
      <c r="E710" s="6">
        <f>E709+C710-D710</f>
      </c>
      <c r="F710" s="2"/>
    </row>
    <row x14ac:dyDescent="0.25" r="711" customHeight="1" ht="17.25">
      <c r="A711" s="7">
        <v>45888</v>
      </c>
      <c r="B711" s="9" t="s">
        <v>315</v>
      </c>
      <c r="C711" s="4"/>
      <c r="D711" s="6">
        <v>56</v>
      </c>
      <c r="E711" s="6">
        <f>E710+C711-D711</f>
      </c>
      <c r="F711" s="2"/>
    </row>
    <row x14ac:dyDescent="0.25" r="712" customHeight="1" ht="17.25">
      <c r="A712" s="8">
        <v>45888</v>
      </c>
      <c r="B712" s="9" t="s">
        <v>346</v>
      </c>
      <c r="C712" s="4"/>
      <c r="D712" s="6">
        <v>56</v>
      </c>
      <c r="E712" s="6">
        <f>E711+C712-D712</f>
      </c>
      <c r="F712" s="2"/>
    </row>
    <row x14ac:dyDescent="0.25" r="713" customHeight="1" ht="17.25">
      <c r="A713" s="8">
        <v>45888</v>
      </c>
      <c r="B713" s="9" t="s">
        <v>369</v>
      </c>
      <c r="C713" s="4"/>
      <c r="D713" s="6">
        <v>100</v>
      </c>
      <c r="E713" s="6">
        <f>E712+C713-D713</f>
      </c>
      <c r="F713" s="2"/>
    </row>
    <row x14ac:dyDescent="0.25" r="714" customHeight="1" ht="17.25">
      <c r="A714" s="7">
        <v>45888</v>
      </c>
      <c r="B714" s="9" t="s">
        <v>502</v>
      </c>
      <c r="C714" s="4"/>
      <c r="D714" s="6">
        <v>70</v>
      </c>
      <c r="E714" s="6">
        <f>E713+C714-D714</f>
      </c>
      <c r="F714" s="2"/>
    </row>
    <row x14ac:dyDescent="0.25" r="715" customHeight="1" ht="17.25">
      <c r="A715" s="7">
        <v>45888</v>
      </c>
      <c r="B715" s="9" t="s">
        <v>141</v>
      </c>
      <c r="C715" s="6">
        <v>13</v>
      </c>
      <c r="D715" s="4"/>
      <c r="E715" s="6">
        <f>E714+C715-D715</f>
      </c>
      <c r="F715" s="2"/>
    </row>
    <row x14ac:dyDescent="0.25" r="716" customHeight="1" ht="17.25">
      <c r="A716" s="7">
        <v>45888</v>
      </c>
      <c r="B716" s="9" t="s">
        <v>342</v>
      </c>
      <c r="C716" s="6">
        <v>1</v>
      </c>
      <c r="D716" s="4"/>
      <c r="E716" s="6">
        <f>E715+C716-D716</f>
      </c>
      <c r="F716" s="2"/>
    </row>
    <row x14ac:dyDescent="0.25" r="717" customHeight="1" ht="17.25">
      <c r="A717" s="7">
        <v>45888</v>
      </c>
      <c r="B717" s="9" t="s">
        <v>299</v>
      </c>
      <c r="C717" s="6">
        <v>74</v>
      </c>
      <c r="D717" s="4"/>
      <c r="E717" s="6">
        <f>E716+C717-D717</f>
      </c>
      <c r="F717" s="2"/>
    </row>
    <row x14ac:dyDescent="0.25" r="718" customHeight="1" ht="17.25">
      <c r="A718" s="7">
        <v>45888</v>
      </c>
      <c r="B718" s="9" t="s">
        <v>414</v>
      </c>
      <c r="C718" s="6">
        <v>19</v>
      </c>
      <c r="D718" s="4"/>
      <c r="E718" s="6">
        <f>E717+C718-D718</f>
      </c>
      <c r="F718" s="2"/>
    </row>
    <row x14ac:dyDescent="0.25" r="719" customHeight="1" ht="17.25">
      <c r="A719" s="7">
        <v>45889</v>
      </c>
      <c r="B719" s="9" t="s">
        <v>272</v>
      </c>
      <c r="C719" s="6">
        <v>4</v>
      </c>
      <c r="D719" s="4"/>
      <c r="E719" s="6">
        <f>E718+C719-D719</f>
      </c>
      <c r="F719" s="2"/>
    </row>
    <row x14ac:dyDescent="0.25" r="720" customHeight="1" ht="17.25">
      <c r="A720" s="7">
        <v>45889</v>
      </c>
      <c r="B720" s="9" t="s">
        <v>286</v>
      </c>
      <c r="C720" s="6">
        <v>102</v>
      </c>
      <c r="D720" s="4"/>
      <c r="E720" s="6">
        <f>E719+C720-D720</f>
      </c>
      <c r="F720" s="2"/>
    </row>
    <row x14ac:dyDescent="0.25" r="721" customHeight="1" ht="17.25">
      <c r="A721" s="7">
        <v>45889</v>
      </c>
      <c r="B721" s="9" t="s">
        <v>501</v>
      </c>
      <c r="C721" s="4"/>
      <c r="D721" s="6">
        <v>100</v>
      </c>
      <c r="E721" s="6">
        <f>E720+C721-D721</f>
      </c>
      <c r="F721" s="2"/>
    </row>
    <row x14ac:dyDescent="0.25" r="722" customHeight="1" ht="17.25">
      <c r="A722" s="7">
        <v>45889</v>
      </c>
      <c r="B722" s="9" t="s">
        <v>502</v>
      </c>
      <c r="C722" s="4"/>
      <c r="D722" s="6">
        <v>30</v>
      </c>
      <c r="E722" s="6">
        <f>E721+C722-D722</f>
      </c>
      <c r="F722" s="2"/>
    </row>
    <row x14ac:dyDescent="0.25" r="723" customHeight="1" ht="17.25">
      <c r="A723" s="7">
        <v>45889</v>
      </c>
      <c r="B723" s="9" t="s">
        <v>316</v>
      </c>
      <c r="C723" s="4"/>
      <c r="D723" s="6">
        <v>70</v>
      </c>
      <c r="E723" s="6">
        <f>E722+C723-D723</f>
      </c>
      <c r="F723" s="2"/>
    </row>
    <row x14ac:dyDescent="0.25" r="724" customHeight="1" ht="17.25">
      <c r="A724" s="7">
        <v>45890</v>
      </c>
      <c r="B724" s="9" t="s">
        <v>47</v>
      </c>
      <c r="C724" s="4"/>
      <c r="D724" s="6">
        <v>100</v>
      </c>
      <c r="E724" s="6">
        <f>E723+C724-D724</f>
      </c>
      <c r="F724" s="2"/>
    </row>
    <row x14ac:dyDescent="0.25" r="725" customHeight="1" ht="17.25">
      <c r="A725" s="7">
        <v>45890</v>
      </c>
      <c r="B725" s="9" t="s">
        <v>316</v>
      </c>
      <c r="C725" s="4"/>
      <c r="D725" s="6">
        <v>30</v>
      </c>
      <c r="E725" s="6">
        <f>E724+C725-D725</f>
      </c>
      <c r="F725" s="2"/>
    </row>
    <row x14ac:dyDescent="0.25" r="726" customHeight="1" ht="17.25">
      <c r="A726" s="7">
        <v>45890</v>
      </c>
      <c r="B726" s="9" t="s">
        <v>448</v>
      </c>
      <c r="C726" s="6">
        <v>80</v>
      </c>
      <c r="D726" s="4"/>
      <c r="E726" s="6">
        <f>E725+C726-D726</f>
      </c>
      <c r="F726" s="2"/>
    </row>
    <row x14ac:dyDescent="0.25" r="727" customHeight="1" ht="17.25">
      <c r="A727" s="7">
        <v>45890</v>
      </c>
      <c r="B727" s="9" t="s">
        <v>172</v>
      </c>
      <c r="C727" s="6">
        <v>18</v>
      </c>
      <c r="D727" s="4"/>
      <c r="E727" s="6">
        <f>E726+C727-D727</f>
      </c>
      <c r="F727" s="2"/>
    </row>
    <row x14ac:dyDescent="0.25" r="728" customHeight="1" ht="17.25">
      <c r="A728" s="7">
        <v>45890</v>
      </c>
      <c r="B728" s="9" t="s">
        <v>208</v>
      </c>
      <c r="C728" s="6">
        <v>60</v>
      </c>
      <c r="D728" s="4"/>
      <c r="E728" s="6">
        <f>E727+C728-D728</f>
      </c>
      <c r="F728" s="2"/>
    </row>
    <row x14ac:dyDescent="0.25" r="729" customHeight="1" ht="17.25">
      <c r="A729" s="7">
        <v>45891</v>
      </c>
      <c r="B729" s="9" t="s">
        <v>283</v>
      </c>
      <c r="C729" s="6">
        <v>90</v>
      </c>
      <c r="D729" s="4"/>
      <c r="E729" s="6">
        <f>E728+C729-D729</f>
      </c>
      <c r="F729" s="2"/>
    </row>
    <row x14ac:dyDescent="0.25" r="730" customHeight="1" ht="17.25">
      <c r="A730" s="8">
        <v>45891</v>
      </c>
      <c r="B730" s="9" t="s">
        <v>42</v>
      </c>
      <c r="C730" s="6">
        <v>161</v>
      </c>
      <c r="D730" s="4"/>
      <c r="E730" s="6">
        <f>E729+C730-D730</f>
      </c>
      <c r="F730" s="2"/>
    </row>
    <row x14ac:dyDescent="0.25" r="731" customHeight="1" ht="17.25">
      <c r="A731" s="7">
        <v>45891</v>
      </c>
      <c r="B731" s="9" t="s">
        <v>299</v>
      </c>
      <c r="C731" s="6">
        <v>56</v>
      </c>
      <c r="D731" s="4"/>
      <c r="E731" s="6">
        <f>E730+C731-D731</f>
      </c>
      <c r="F731" s="2"/>
    </row>
    <row x14ac:dyDescent="0.25" r="732" customHeight="1" ht="17.25">
      <c r="A732" s="7">
        <v>45891</v>
      </c>
      <c r="B732" s="9" t="s">
        <v>342</v>
      </c>
      <c r="C732" s="6">
        <v>1</v>
      </c>
      <c r="D732" s="4"/>
      <c r="E732" s="6">
        <f>E731+C732-D732</f>
      </c>
      <c r="F732" s="2"/>
    </row>
    <row x14ac:dyDescent="0.25" r="733" customHeight="1" ht="17.25">
      <c r="A733" s="7">
        <v>45891</v>
      </c>
      <c r="B733" s="9" t="s">
        <v>291</v>
      </c>
      <c r="C733" s="6">
        <v>620</v>
      </c>
      <c r="D733" s="4"/>
      <c r="E733" s="6">
        <f>E732+C733-D733</f>
      </c>
      <c r="F733" s="2"/>
    </row>
    <row x14ac:dyDescent="0.25" r="734" customHeight="1" ht="17.25">
      <c r="A734" s="7">
        <v>45891</v>
      </c>
      <c r="B734" s="9" t="s">
        <v>89</v>
      </c>
      <c r="C734" s="6">
        <v>20</v>
      </c>
      <c r="D734" s="4"/>
      <c r="E734" s="6">
        <f>E733+C734-D734</f>
      </c>
      <c r="F734" s="2"/>
    </row>
    <row x14ac:dyDescent="0.25" r="735" customHeight="1" ht="17.25">
      <c r="A735" s="7">
        <v>45892</v>
      </c>
      <c r="B735" s="9" t="s">
        <v>47</v>
      </c>
      <c r="C735" s="4"/>
      <c r="D735" s="6">
        <v>100</v>
      </c>
      <c r="E735" s="6">
        <f>E734+C735-D735</f>
      </c>
      <c r="F735" s="2"/>
    </row>
    <row x14ac:dyDescent="0.25" r="736" customHeight="1" ht="17.25">
      <c r="A736" s="7">
        <v>45892</v>
      </c>
      <c r="B736" s="9" t="s">
        <v>382</v>
      </c>
      <c r="C736" s="4"/>
      <c r="D736" s="6">
        <v>80</v>
      </c>
      <c r="E736" s="6">
        <f>E735+C736-D736</f>
      </c>
      <c r="F736" s="2"/>
    </row>
    <row x14ac:dyDescent="0.25" r="737" customHeight="1" ht="17.25">
      <c r="A737" s="7">
        <v>45892</v>
      </c>
      <c r="B737" s="9" t="s">
        <v>316</v>
      </c>
      <c r="C737" s="4"/>
      <c r="D737" s="6">
        <v>200</v>
      </c>
      <c r="E737" s="6">
        <f>E736+C737-D737</f>
      </c>
      <c r="F737" s="2"/>
    </row>
    <row x14ac:dyDescent="0.25" r="738" customHeight="1" ht="17.25">
      <c r="A738" s="7">
        <v>45892</v>
      </c>
      <c r="B738" s="9" t="s">
        <v>389</v>
      </c>
      <c r="C738" s="4"/>
      <c r="D738" s="6">
        <v>200</v>
      </c>
      <c r="E738" s="6">
        <f>E737+C738-D738</f>
      </c>
      <c r="F738" s="2"/>
    </row>
    <row x14ac:dyDescent="0.25" r="739" customHeight="1" ht="17.25">
      <c r="A739" s="7">
        <v>45892</v>
      </c>
      <c r="B739" s="9" t="s">
        <v>26</v>
      </c>
      <c r="C739" s="4"/>
      <c r="D739" s="6">
        <v>300</v>
      </c>
      <c r="E739" s="6">
        <f>E738+C739-D739</f>
      </c>
      <c r="F739" s="2"/>
    </row>
    <row x14ac:dyDescent="0.25" r="740" customHeight="1" ht="17.25">
      <c r="A740" s="7">
        <v>45894</v>
      </c>
      <c r="B740" s="9" t="s">
        <v>26</v>
      </c>
      <c r="C740" s="4"/>
      <c r="D740" s="6">
        <v>700</v>
      </c>
      <c r="E740" s="6">
        <f>E739+C740-D740</f>
      </c>
      <c r="F740" s="2"/>
    </row>
    <row x14ac:dyDescent="0.25" r="741" customHeight="1" ht="17.25">
      <c r="A741" s="7">
        <v>45894</v>
      </c>
      <c r="B741" s="9" t="s">
        <v>265</v>
      </c>
      <c r="C741" s="4"/>
      <c r="D741" s="6">
        <v>60</v>
      </c>
      <c r="E741" s="6">
        <f>E740+C741-D741</f>
      </c>
      <c r="F741" s="2"/>
    </row>
    <row x14ac:dyDescent="0.25" r="742" customHeight="1" ht="17.25">
      <c r="A742" s="8">
        <v>45894</v>
      </c>
      <c r="B742" s="9" t="s">
        <v>369</v>
      </c>
      <c r="C742" s="4"/>
      <c r="D742" s="6">
        <v>200</v>
      </c>
      <c r="E742" s="6">
        <f>E741+C742-D742</f>
      </c>
      <c r="F742" s="2"/>
    </row>
    <row x14ac:dyDescent="0.25" r="743" customHeight="1" ht="17.25">
      <c r="A743" s="7">
        <v>45894</v>
      </c>
      <c r="B743" s="9" t="s">
        <v>365</v>
      </c>
      <c r="C743" s="4"/>
      <c r="D743" s="6">
        <v>230</v>
      </c>
      <c r="E743" s="6">
        <f>E742+C743-D743</f>
      </c>
      <c r="F743" s="2"/>
    </row>
    <row x14ac:dyDescent="0.25" r="744" customHeight="1" ht="17.25">
      <c r="A744" s="7">
        <v>45894</v>
      </c>
      <c r="B744" s="9" t="s">
        <v>597</v>
      </c>
      <c r="C744" s="4"/>
      <c r="D744" s="6">
        <v>10</v>
      </c>
      <c r="E744" s="6">
        <f>E743+C744-D744</f>
      </c>
      <c r="F744" s="2"/>
    </row>
    <row x14ac:dyDescent="0.25" r="745" customHeight="1" ht="17.25">
      <c r="A745" s="7">
        <v>45894</v>
      </c>
      <c r="B745" s="9" t="s">
        <v>331</v>
      </c>
      <c r="C745" s="4"/>
      <c r="D745" s="6">
        <v>10</v>
      </c>
      <c r="E745" s="6">
        <f>E744+C745-D745</f>
      </c>
      <c r="F745" s="2"/>
    </row>
    <row x14ac:dyDescent="0.25" r="746" customHeight="1" ht="17.25">
      <c r="A746" s="7">
        <v>45894</v>
      </c>
      <c r="B746" s="9" t="s">
        <v>452</v>
      </c>
      <c r="C746" s="6">
        <v>129</v>
      </c>
      <c r="D746" s="4"/>
      <c r="E746" s="6">
        <f>E745+C746-D746</f>
      </c>
      <c r="F746" s="2"/>
    </row>
    <row x14ac:dyDescent="0.25" r="747" customHeight="1" ht="17.25">
      <c r="A747" s="8">
        <v>45895</v>
      </c>
      <c r="B747" s="9" t="s">
        <v>418</v>
      </c>
      <c r="C747" s="4"/>
      <c r="D747" s="6">
        <v>40</v>
      </c>
      <c r="E747" s="6">
        <f>E746+C747-D747</f>
      </c>
      <c r="F747" s="2"/>
    </row>
    <row x14ac:dyDescent="0.25" r="748" customHeight="1" ht="17.25">
      <c r="A748" s="7">
        <v>45895</v>
      </c>
      <c r="B748" s="9" t="s">
        <v>316</v>
      </c>
      <c r="C748" s="4"/>
      <c r="D748" s="6">
        <v>100</v>
      </c>
      <c r="E748" s="6">
        <f>E747+C748-D748</f>
      </c>
      <c r="F748" s="2"/>
    </row>
    <row x14ac:dyDescent="0.25" r="749" customHeight="1" ht="17.25">
      <c r="A749" s="7">
        <v>45895</v>
      </c>
      <c r="B749" s="9" t="s">
        <v>316</v>
      </c>
      <c r="C749" s="4"/>
      <c r="D749" s="6">
        <v>100</v>
      </c>
      <c r="E749" s="6">
        <f>E748+C749-D749</f>
      </c>
      <c r="F749" s="2"/>
    </row>
    <row x14ac:dyDescent="0.25" r="750" customHeight="1" ht="17.25">
      <c r="A750" s="7">
        <v>45895</v>
      </c>
      <c r="B750" s="9" t="s">
        <v>391</v>
      </c>
      <c r="C750" s="4"/>
      <c r="D750" s="6">
        <v>100</v>
      </c>
      <c r="E750" s="6">
        <f>E749+C750-D750</f>
      </c>
      <c r="F750" s="2"/>
    </row>
    <row x14ac:dyDescent="0.25" r="751" customHeight="1" ht="17.25">
      <c r="A751" s="7">
        <v>45895</v>
      </c>
      <c r="B751" s="9" t="s">
        <v>26</v>
      </c>
      <c r="C751" s="4"/>
      <c r="D751" s="6">
        <v>320</v>
      </c>
      <c r="E751" s="6">
        <f>E750+C751-D751</f>
      </c>
      <c r="F751" s="2"/>
    </row>
    <row x14ac:dyDescent="0.25" r="752" customHeight="1" ht="17.25">
      <c r="A752" s="7">
        <v>45895</v>
      </c>
      <c r="B752" s="9" t="s">
        <v>272</v>
      </c>
      <c r="C752" s="6">
        <v>38</v>
      </c>
      <c r="D752" s="4"/>
      <c r="E752" s="6">
        <f>E751+C752-D752</f>
      </c>
      <c r="F752" s="2"/>
    </row>
    <row x14ac:dyDescent="0.25" r="753" customHeight="1" ht="17.25">
      <c r="A753" s="7">
        <v>45896</v>
      </c>
      <c r="B753" s="9" t="s">
        <v>316</v>
      </c>
      <c r="C753" s="4"/>
      <c r="D753" s="6">
        <v>200</v>
      </c>
      <c r="E753" s="6">
        <f>E752+C753-D753</f>
      </c>
      <c r="F753" s="2"/>
    </row>
    <row x14ac:dyDescent="0.25" r="754" customHeight="1" ht="17.25">
      <c r="A754" s="7">
        <v>45896</v>
      </c>
      <c r="B754" s="9" t="s">
        <v>333</v>
      </c>
      <c r="C754" s="6">
        <v>90</v>
      </c>
      <c r="D754" s="4"/>
      <c r="E754" s="6">
        <f>E753+C754-D754</f>
      </c>
      <c r="F754" s="2"/>
    </row>
    <row x14ac:dyDescent="0.25" r="755" customHeight="1" ht="17.25">
      <c r="A755" s="1"/>
      <c r="B755" s="9" t="s">
        <v>598</v>
      </c>
      <c r="C755" s="4"/>
      <c r="D755" s="4"/>
      <c r="E755" s="6">
        <f>E754+C755-D755</f>
      </c>
      <c r="F755" s="2"/>
    </row>
    <row x14ac:dyDescent="0.25" r="756" customHeight="1" ht="17.25">
      <c r="A756" s="8">
        <v>45897</v>
      </c>
      <c r="B756" s="9" t="s">
        <v>47</v>
      </c>
      <c r="C756" s="6">
        <v>170</v>
      </c>
      <c r="D756" s="4"/>
      <c r="E756" s="6">
        <f>E755+C756-D756</f>
      </c>
      <c r="F756" s="2"/>
    </row>
    <row x14ac:dyDescent="0.25" r="757" customHeight="1" ht="17.25">
      <c r="A757" s="8">
        <v>45897</v>
      </c>
      <c r="B757" s="9" t="s">
        <v>172</v>
      </c>
      <c r="C757" s="6">
        <v>5</v>
      </c>
      <c r="D757" s="4"/>
      <c r="E757" s="6">
        <f>E756+C757-D757</f>
      </c>
      <c r="F757" s="2"/>
    </row>
    <row x14ac:dyDescent="0.25" r="758" customHeight="1" ht="17.25">
      <c r="A758" s="8">
        <v>45897</v>
      </c>
      <c r="B758" s="9" t="s">
        <v>376</v>
      </c>
      <c r="C758" s="6">
        <v>37</v>
      </c>
      <c r="D758" s="4"/>
      <c r="E758" s="6">
        <f>E757+C758-D758</f>
      </c>
      <c r="F758" s="2"/>
    </row>
    <row x14ac:dyDescent="0.25" r="759" customHeight="1" ht="17.25">
      <c r="A759" s="8">
        <v>45898</v>
      </c>
      <c r="B759" s="9" t="s">
        <v>333</v>
      </c>
      <c r="C759" s="6">
        <v>11</v>
      </c>
      <c r="D759" s="4"/>
      <c r="E759" s="6">
        <f>E758+C759-D759</f>
      </c>
      <c r="F759" s="2"/>
    </row>
    <row x14ac:dyDescent="0.25" r="760" customHeight="1" ht="17.25">
      <c r="A760" s="7">
        <v>45898</v>
      </c>
      <c r="B760" s="9" t="s">
        <v>299</v>
      </c>
      <c r="C760" s="6">
        <v>10</v>
      </c>
      <c r="D760" s="4"/>
      <c r="E760" s="6">
        <f>E759+C760-D760</f>
      </c>
      <c r="F760" s="2"/>
    </row>
    <row x14ac:dyDescent="0.25" r="761" customHeight="1" ht="17.25">
      <c r="A761" s="8">
        <v>45899</v>
      </c>
      <c r="B761" s="9" t="s">
        <v>297</v>
      </c>
      <c r="C761" s="4"/>
      <c r="D761" s="6">
        <v>380</v>
      </c>
      <c r="E761" s="6">
        <f>E760+C761-D761</f>
      </c>
      <c r="F761" s="2"/>
    </row>
    <row x14ac:dyDescent="0.25" r="762" customHeight="1" ht="17.25">
      <c r="A762" s="8">
        <v>45899</v>
      </c>
      <c r="B762" s="9" t="s">
        <v>264</v>
      </c>
      <c r="C762" s="4"/>
      <c r="D762" s="6">
        <v>64</v>
      </c>
      <c r="E762" s="6">
        <f>E761+C762-D762</f>
      </c>
      <c r="F762" s="2"/>
    </row>
    <row x14ac:dyDescent="0.25" r="763" customHeight="1" ht="17.25">
      <c r="A763" s="7">
        <v>45901</v>
      </c>
      <c r="B763" s="9" t="s">
        <v>63</v>
      </c>
      <c r="C763" s="6">
        <v>6</v>
      </c>
      <c r="D763" s="4"/>
      <c r="E763" s="6">
        <f>E762+C763-D763</f>
      </c>
      <c r="F763" s="2"/>
    </row>
    <row x14ac:dyDescent="0.25" r="764" customHeight="1" ht="17.25">
      <c r="A764" s="7">
        <v>45901</v>
      </c>
      <c r="B764" s="9" t="s">
        <v>582</v>
      </c>
      <c r="C764" s="4"/>
      <c r="D764" s="6">
        <v>100</v>
      </c>
      <c r="E764" s="6">
        <f>E763+C764-D764</f>
      </c>
      <c r="F764" s="2"/>
    </row>
    <row x14ac:dyDescent="0.25" r="765" customHeight="1" ht="17.25">
      <c r="A765" s="7">
        <v>45901</v>
      </c>
      <c r="B765" s="9" t="s">
        <v>172</v>
      </c>
      <c r="C765" s="6">
        <v>23</v>
      </c>
      <c r="D765" s="4"/>
      <c r="E765" s="6">
        <f>E764+C765-D765</f>
      </c>
      <c r="F765" s="2"/>
    </row>
    <row x14ac:dyDescent="0.25" r="766" customHeight="1" ht="17.25">
      <c r="A766" s="7">
        <v>45901</v>
      </c>
      <c r="B766" s="9" t="s">
        <v>47</v>
      </c>
      <c r="C766" s="6">
        <v>200</v>
      </c>
      <c r="D766" s="4"/>
      <c r="E766" s="6">
        <f>E765+C766-D766</f>
      </c>
      <c r="F766" s="2"/>
    </row>
    <row x14ac:dyDescent="0.25" r="767" customHeight="1" ht="17.25">
      <c r="A767" s="7">
        <v>45902</v>
      </c>
      <c r="B767" s="9" t="s">
        <v>56</v>
      </c>
      <c r="C767" s="6">
        <v>36</v>
      </c>
      <c r="D767" s="4"/>
      <c r="E767" s="6">
        <f>E766+C767-D767</f>
      </c>
      <c r="F767" s="2"/>
    </row>
    <row x14ac:dyDescent="0.25" r="768" customHeight="1" ht="17.25">
      <c r="A768" s="7">
        <v>45902</v>
      </c>
      <c r="B768" s="9" t="s">
        <v>311</v>
      </c>
      <c r="C768" s="4"/>
      <c r="D768" s="6">
        <v>50</v>
      </c>
      <c r="E768" s="6">
        <f>E767+C768-D768</f>
      </c>
      <c r="F768" s="2"/>
    </row>
    <row x14ac:dyDescent="0.25" r="769" customHeight="1" ht="17.25">
      <c r="A769" s="7">
        <v>45902</v>
      </c>
      <c r="B769" s="9" t="s">
        <v>369</v>
      </c>
      <c r="C769" s="4"/>
      <c r="D769" s="6">
        <v>30</v>
      </c>
      <c r="E769" s="6">
        <f>E768+C769-D769</f>
      </c>
      <c r="F769" s="2"/>
    </row>
    <row x14ac:dyDescent="0.25" r="770" customHeight="1" ht="17.25">
      <c r="A770" s="8">
        <v>45902</v>
      </c>
      <c r="B770" s="9" t="s">
        <v>141</v>
      </c>
      <c r="C770" s="6">
        <v>88</v>
      </c>
      <c r="D770" s="4"/>
      <c r="E770" s="6">
        <f>E769+C770-D770</f>
      </c>
      <c r="F770" s="2"/>
    </row>
    <row x14ac:dyDescent="0.25" r="771" customHeight="1" ht="17.25">
      <c r="A771" s="8">
        <v>45902</v>
      </c>
      <c r="B771" s="9" t="s">
        <v>47</v>
      </c>
      <c r="C771" s="6">
        <v>100</v>
      </c>
      <c r="D771" s="4"/>
      <c r="E771" s="6">
        <f>E770+C771-D771</f>
      </c>
      <c r="F771" s="2"/>
    </row>
    <row x14ac:dyDescent="0.25" r="772" customHeight="1" ht="17.25">
      <c r="A772" s="7">
        <v>45903</v>
      </c>
      <c r="B772" s="9" t="s">
        <v>311</v>
      </c>
      <c r="C772" s="4"/>
      <c r="D772" s="6">
        <v>50</v>
      </c>
      <c r="E772" s="6">
        <f>E771+C772-D772</f>
      </c>
      <c r="F772" s="2"/>
    </row>
    <row x14ac:dyDescent="0.25" r="773" customHeight="1" ht="17.25">
      <c r="A773" s="7">
        <v>45903</v>
      </c>
      <c r="B773" s="9" t="s">
        <v>384</v>
      </c>
      <c r="C773" s="4"/>
      <c r="D773" s="6">
        <v>4</v>
      </c>
      <c r="E773" s="6">
        <f>E772+C773-D773</f>
      </c>
      <c r="F773" s="2"/>
    </row>
    <row x14ac:dyDescent="0.25" r="774" customHeight="1" ht="17.25">
      <c r="A774" s="7">
        <v>45903</v>
      </c>
      <c r="B774" s="9" t="s">
        <v>283</v>
      </c>
      <c r="C774" s="6">
        <v>150</v>
      </c>
      <c r="D774" s="4"/>
      <c r="E774" s="6">
        <f>E773+C774-D774</f>
      </c>
      <c r="F774" s="2"/>
    </row>
    <row x14ac:dyDescent="0.25" r="775" customHeight="1" ht="17.25">
      <c r="A775" s="8">
        <v>45904</v>
      </c>
      <c r="B775" s="9" t="s">
        <v>454</v>
      </c>
      <c r="C775" s="4"/>
      <c r="D775" s="6">
        <v>8</v>
      </c>
      <c r="E775" s="6">
        <f>E774+C775-D775</f>
      </c>
      <c r="F775" s="2"/>
    </row>
    <row x14ac:dyDescent="0.25" r="776" customHeight="1" ht="17.25">
      <c r="A776" s="7">
        <v>45904</v>
      </c>
      <c r="B776" s="9" t="s">
        <v>283</v>
      </c>
      <c r="C776" s="6">
        <v>230</v>
      </c>
      <c r="D776" s="4"/>
      <c r="E776" s="6">
        <f>E775+C776-D776</f>
      </c>
      <c r="F776" s="2"/>
    </row>
    <row x14ac:dyDescent="0.25" r="777" customHeight="1" ht="17.25">
      <c r="A777" s="7">
        <v>45904</v>
      </c>
      <c r="B777" s="9" t="s">
        <v>89</v>
      </c>
      <c r="C777" s="6">
        <v>43</v>
      </c>
      <c r="D777" s="4"/>
      <c r="E777" s="6">
        <f>E776+C777-D777</f>
      </c>
      <c r="F777" s="2"/>
    </row>
    <row x14ac:dyDescent="0.25" r="778" customHeight="1" ht="17.25">
      <c r="A778" s="7">
        <v>45906</v>
      </c>
      <c r="B778" s="9" t="s">
        <v>389</v>
      </c>
      <c r="C778" s="6">
        <v>90</v>
      </c>
      <c r="D778" s="4"/>
      <c r="E778" s="6">
        <f>E777+C778-D778</f>
      </c>
      <c r="F778" s="2"/>
    </row>
    <row x14ac:dyDescent="0.25" r="779" customHeight="1" ht="17.25">
      <c r="A779" s="7">
        <v>45906</v>
      </c>
      <c r="B779" s="9" t="s">
        <v>283</v>
      </c>
      <c r="C779" s="6">
        <v>106</v>
      </c>
      <c r="D779" s="4"/>
      <c r="E779" s="6">
        <f>E778+C779-D779</f>
      </c>
      <c r="F779" s="2"/>
    </row>
    <row x14ac:dyDescent="0.25" r="780" customHeight="1" ht="17.25">
      <c r="A780" s="8">
        <v>45906</v>
      </c>
      <c r="B780" s="9" t="s">
        <v>71</v>
      </c>
      <c r="C780" s="6">
        <v>90</v>
      </c>
      <c r="D780" s="4"/>
      <c r="E780" s="6">
        <f>E779+C780-D780</f>
      </c>
      <c r="F780" s="2"/>
    </row>
    <row x14ac:dyDescent="0.25" r="781" customHeight="1" ht="17.25">
      <c r="A781" s="7">
        <v>45906</v>
      </c>
      <c r="B781" s="9" t="s">
        <v>172</v>
      </c>
      <c r="C781" s="6">
        <v>1</v>
      </c>
      <c r="D781" s="4"/>
      <c r="E781" s="6">
        <f>E780+C781-D781</f>
      </c>
      <c r="F781" s="2"/>
    </row>
    <row x14ac:dyDescent="0.25" r="782" customHeight="1" ht="17.25">
      <c r="A782" s="7">
        <v>45906</v>
      </c>
      <c r="B782" s="9" t="s">
        <v>316</v>
      </c>
      <c r="C782" s="4"/>
      <c r="D782" s="6">
        <v>400</v>
      </c>
      <c r="E782" s="6">
        <f>E781+C782-D782</f>
      </c>
      <c r="F782" s="2"/>
    </row>
    <row x14ac:dyDescent="0.25" r="783" customHeight="1" ht="17.25">
      <c r="A783" s="7">
        <v>45908</v>
      </c>
      <c r="B783" s="9" t="s">
        <v>284</v>
      </c>
      <c r="C783" s="6">
        <v>296</v>
      </c>
      <c r="D783" s="4"/>
      <c r="E783" s="6">
        <f>E782+C783-D783</f>
      </c>
      <c r="F783" s="2"/>
    </row>
    <row x14ac:dyDescent="0.25" r="784" customHeight="1" ht="17.25">
      <c r="A784" s="8">
        <v>45906</v>
      </c>
      <c r="B784" s="9" t="s">
        <v>283</v>
      </c>
      <c r="C784" s="6">
        <v>65</v>
      </c>
      <c r="D784" s="4"/>
      <c r="E784" s="6">
        <f>E783+C784-D784</f>
      </c>
      <c r="F784" s="2"/>
    </row>
    <row x14ac:dyDescent="0.25" r="785" customHeight="1" ht="17.25">
      <c r="A785" s="7">
        <v>45909</v>
      </c>
      <c r="B785" s="9" t="s">
        <v>297</v>
      </c>
      <c r="C785" s="4"/>
      <c r="D785" s="6">
        <v>70</v>
      </c>
      <c r="E785" s="6">
        <f>E784+C785-D785</f>
      </c>
      <c r="F785" s="2"/>
    </row>
    <row x14ac:dyDescent="0.25" r="786" customHeight="1" ht="17.25">
      <c r="A786" s="8">
        <v>45909</v>
      </c>
      <c r="B786" s="9" t="s">
        <v>524</v>
      </c>
      <c r="C786" s="6">
        <v>20</v>
      </c>
      <c r="D786" s="4"/>
      <c r="E786" s="6">
        <f>E785+C786-D786</f>
      </c>
      <c r="F786" s="2"/>
    </row>
    <row x14ac:dyDescent="0.25" r="787" customHeight="1" ht="17.25">
      <c r="A787" s="7">
        <v>45909</v>
      </c>
      <c r="B787" s="9" t="s">
        <v>376</v>
      </c>
      <c r="C787" s="6">
        <v>42</v>
      </c>
      <c r="D787" s="4"/>
      <c r="E787" s="6">
        <f>E786+C787-D787</f>
      </c>
      <c r="F787" s="2"/>
    </row>
    <row x14ac:dyDescent="0.25" r="788" customHeight="1" ht="17.25">
      <c r="A788" s="7">
        <v>45910</v>
      </c>
      <c r="B788" s="9" t="s">
        <v>309</v>
      </c>
      <c r="C788" s="4"/>
      <c r="D788" s="6">
        <v>60</v>
      </c>
      <c r="E788" s="6">
        <f>E787+C788-D788</f>
      </c>
      <c r="F788" s="2"/>
    </row>
    <row x14ac:dyDescent="0.25" r="789" customHeight="1" ht="17.25">
      <c r="A789" s="8">
        <v>45910</v>
      </c>
      <c r="B789" s="9" t="s">
        <v>332</v>
      </c>
      <c r="C789" s="4"/>
      <c r="D789" s="6">
        <v>60</v>
      </c>
      <c r="E789" s="6">
        <f>E788+C789-D789</f>
      </c>
      <c r="F789" s="2"/>
    </row>
    <row x14ac:dyDescent="0.25" r="790" customHeight="1" ht="17.25">
      <c r="A790" s="8">
        <v>45910</v>
      </c>
      <c r="B790" s="9" t="s">
        <v>310</v>
      </c>
      <c r="C790" s="4"/>
      <c r="D790" s="6">
        <v>60</v>
      </c>
      <c r="E790" s="6">
        <f>E789+C790-D790</f>
      </c>
      <c r="F790" s="2"/>
    </row>
    <row x14ac:dyDescent="0.25" r="791" customHeight="1" ht="17.25">
      <c r="A791" s="7">
        <v>45911</v>
      </c>
      <c r="B791" s="9" t="s">
        <v>124</v>
      </c>
      <c r="C791" s="4"/>
      <c r="D791" s="6">
        <v>563</v>
      </c>
      <c r="E791" s="6">
        <f>E790+C791-D791</f>
      </c>
      <c r="F791" s="2"/>
    </row>
    <row x14ac:dyDescent="0.25" r="792" customHeight="1" ht="17.25">
      <c r="A792" s="7">
        <v>45911</v>
      </c>
      <c r="B792" s="9" t="s">
        <v>389</v>
      </c>
      <c r="C792" s="6">
        <v>109</v>
      </c>
      <c r="D792" s="4"/>
      <c r="E792" s="6">
        <f>E791+C792-D792</f>
      </c>
      <c r="F792" s="2"/>
    </row>
    <row x14ac:dyDescent="0.25" r="793" customHeight="1" ht="17.25">
      <c r="A793" s="8">
        <v>45911</v>
      </c>
      <c r="B793" s="9" t="s">
        <v>284</v>
      </c>
      <c r="C793" s="6">
        <v>30</v>
      </c>
      <c r="D793" s="4"/>
      <c r="E793" s="6">
        <f>E792+C793-D793</f>
      </c>
      <c r="F793" s="2"/>
    </row>
    <row x14ac:dyDescent="0.25" r="794" customHeight="1" ht="17.25">
      <c r="A794" s="8">
        <v>45912</v>
      </c>
      <c r="B794" s="9" t="s">
        <v>233</v>
      </c>
      <c r="C794" s="4"/>
      <c r="D794" s="6">
        <v>44</v>
      </c>
      <c r="E794" s="6">
        <f>E793+C794-D794</f>
      </c>
      <c r="F794" s="2"/>
    </row>
    <row x14ac:dyDescent="0.25" r="795" customHeight="1" ht="17.25">
      <c r="A795" s="8">
        <v>45912</v>
      </c>
      <c r="B795" s="9" t="s">
        <v>427</v>
      </c>
      <c r="C795" s="4"/>
      <c r="D795" s="6">
        <v>180</v>
      </c>
      <c r="E795" s="6">
        <f>E794+C795-D795</f>
      </c>
      <c r="F795" s="2"/>
    </row>
    <row x14ac:dyDescent="0.25" r="796" customHeight="1" ht="17.25">
      <c r="A796" s="8">
        <v>45912</v>
      </c>
      <c r="B796" s="9" t="s">
        <v>503</v>
      </c>
      <c r="C796" s="6">
        <v>50</v>
      </c>
      <c r="D796" s="4"/>
      <c r="E796" s="6">
        <f>E795+C796-D796</f>
      </c>
      <c r="F796" s="2"/>
    </row>
    <row x14ac:dyDescent="0.25" r="797" customHeight="1" ht="17.25">
      <c r="A797" s="8">
        <v>45912</v>
      </c>
      <c r="B797" s="9" t="s">
        <v>89</v>
      </c>
      <c r="C797" s="6">
        <v>25</v>
      </c>
      <c r="D797" s="4"/>
      <c r="E797" s="6">
        <f>E796+C797-D797</f>
      </c>
      <c r="F797" s="2"/>
    </row>
    <row x14ac:dyDescent="0.25" r="798" customHeight="1" ht="17.25">
      <c r="A798" s="7">
        <v>45913</v>
      </c>
      <c r="B798" s="9" t="s">
        <v>233</v>
      </c>
      <c r="C798" s="4"/>
      <c r="D798" s="6">
        <v>100</v>
      </c>
      <c r="E798" s="6">
        <f>E797+C798-D798</f>
      </c>
      <c r="F798" s="2"/>
    </row>
    <row x14ac:dyDescent="0.25" r="799" customHeight="1" ht="17.25">
      <c r="A799" s="7">
        <v>45913</v>
      </c>
      <c r="B799" s="9" t="s">
        <v>124</v>
      </c>
      <c r="C799" s="4"/>
      <c r="D799" s="6">
        <v>87</v>
      </c>
      <c r="E799" s="6">
        <f>E798+C799-D799</f>
      </c>
      <c r="F799" s="2"/>
    </row>
    <row x14ac:dyDescent="0.25" r="800" customHeight="1" ht="17.25">
      <c r="A800" s="7">
        <v>45913</v>
      </c>
      <c r="B800" s="9" t="s">
        <v>289</v>
      </c>
      <c r="C800" s="4"/>
      <c r="D800" s="6">
        <v>250</v>
      </c>
      <c r="E800" s="6">
        <f>E799+C800-D800</f>
      </c>
      <c r="F800" s="2"/>
    </row>
    <row x14ac:dyDescent="0.25" r="801" customHeight="1" ht="17.25">
      <c r="A801" s="1"/>
      <c r="B801" s="2" t="s">
        <v>599</v>
      </c>
      <c r="C801" s="4"/>
      <c r="D801" s="4"/>
      <c r="E801" s="6">
        <f>E800+C801-D801</f>
      </c>
      <c r="F801" s="2"/>
    </row>
    <row x14ac:dyDescent="0.25" r="802" customHeight="1" ht="17.25">
      <c r="A802" s="7">
        <v>45915</v>
      </c>
      <c r="B802" s="9" t="s">
        <v>63</v>
      </c>
      <c r="C802" s="6">
        <v>500</v>
      </c>
      <c r="D802" s="4"/>
      <c r="E802" s="6">
        <f>E801+C802-D802</f>
      </c>
      <c r="F802" s="2"/>
    </row>
    <row x14ac:dyDescent="0.25" r="803" customHeight="1" ht="17.25">
      <c r="A803" s="7">
        <v>45915</v>
      </c>
      <c r="B803" s="9" t="s">
        <v>297</v>
      </c>
      <c r="C803" s="4"/>
      <c r="D803" s="6">
        <v>610</v>
      </c>
      <c r="E803" s="6">
        <f>E802+C803-D803</f>
      </c>
      <c r="F803" s="2"/>
    </row>
    <row x14ac:dyDescent="0.25" r="804" customHeight="1" ht="17.25">
      <c r="A804" s="7">
        <v>45915</v>
      </c>
      <c r="B804" s="9" t="s">
        <v>182</v>
      </c>
      <c r="C804" s="6">
        <v>90</v>
      </c>
      <c r="D804" s="4"/>
      <c r="E804" s="6">
        <f>E803+C804-D804</f>
      </c>
      <c r="F804" s="2"/>
    </row>
    <row x14ac:dyDescent="0.25" r="805" customHeight="1" ht="17.25">
      <c r="A805" s="8">
        <v>45915</v>
      </c>
      <c r="B805" s="9" t="s">
        <v>141</v>
      </c>
      <c r="C805" s="6">
        <v>112</v>
      </c>
      <c r="D805" s="4"/>
      <c r="E805" s="6">
        <f>E804+C805-D805</f>
      </c>
      <c r="F805" s="2"/>
    </row>
    <row x14ac:dyDescent="0.25" r="806" customHeight="1" ht="17.25">
      <c r="A806" s="7">
        <v>45915</v>
      </c>
      <c r="B806" s="9" t="s">
        <v>365</v>
      </c>
      <c r="C806" s="6">
        <v>150</v>
      </c>
      <c r="D806" s="4"/>
      <c r="E806" s="6">
        <f>E805+C806-D806</f>
      </c>
      <c r="F806" s="2"/>
    </row>
    <row x14ac:dyDescent="0.25" r="807" customHeight="1" ht="17.25">
      <c r="A807" s="7">
        <v>45916</v>
      </c>
      <c r="B807" s="9" t="s">
        <v>124</v>
      </c>
      <c r="C807" s="4"/>
      <c r="D807" s="6">
        <v>163</v>
      </c>
      <c r="E807" s="6">
        <f>E806+C807-D807</f>
      </c>
      <c r="F807" s="2"/>
    </row>
    <row x14ac:dyDescent="0.25" r="808" customHeight="1" ht="17.25">
      <c r="A808" s="7">
        <v>45916</v>
      </c>
      <c r="B808" s="9" t="s">
        <v>58</v>
      </c>
      <c r="C808" s="6">
        <v>1000</v>
      </c>
      <c r="D808" s="4"/>
      <c r="E808" s="6">
        <f>E807+C808-D808</f>
      </c>
      <c r="F808" s="2"/>
    </row>
    <row x14ac:dyDescent="0.25" r="809" customHeight="1" ht="17.25">
      <c r="A809" s="8">
        <v>45916</v>
      </c>
      <c r="B809" s="9" t="s">
        <v>228</v>
      </c>
      <c r="C809" s="6">
        <v>113</v>
      </c>
      <c r="D809" s="4"/>
      <c r="E809" s="6">
        <f>E808+C809-D809</f>
      </c>
      <c r="F809" s="2"/>
    </row>
    <row x14ac:dyDescent="0.25" r="810" customHeight="1" ht="17.25">
      <c r="A810" s="7">
        <v>45916</v>
      </c>
      <c r="B810" s="9" t="s">
        <v>208</v>
      </c>
      <c r="C810" s="6">
        <v>116</v>
      </c>
      <c r="D810" s="4"/>
      <c r="E810" s="6">
        <f>E809+C810-D810</f>
      </c>
      <c r="F810" s="2"/>
    </row>
    <row x14ac:dyDescent="0.25" r="811" customHeight="1" ht="17.25">
      <c r="A811" s="7">
        <v>45917</v>
      </c>
      <c r="B811" s="9" t="s">
        <v>371</v>
      </c>
      <c r="C811" s="4"/>
      <c r="D811" s="6">
        <v>335</v>
      </c>
      <c r="E811" s="6">
        <f>E810+C811-D811</f>
      </c>
      <c r="F811" s="2"/>
    </row>
    <row x14ac:dyDescent="0.25" r="812" customHeight="1" ht="17.25">
      <c r="A812" s="7">
        <v>45917</v>
      </c>
      <c r="B812" s="9" t="s">
        <v>233</v>
      </c>
      <c r="C812" s="6">
        <v>22</v>
      </c>
      <c r="D812" s="4"/>
      <c r="E812" s="6">
        <f>E811+C812-D812</f>
      </c>
      <c r="F812" s="2"/>
    </row>
    <row x14ac:dyDescent="0.25" r="813" customHeight="1" ht="17.25">
      <c r="A813" s="8">
        <v>45917</v>
      </c>
      <c r="B813" s="9" t="s">
        <v>141</v>
      </c>
      <c r="C813" s="6">
        <v>36</v>
      </c>
      <c r="D813" s="4"/>
      <c r="E813" s="6">
        <f>E812+C813-D813</f>
      </c>
      <c r="F813" s="2"/>
    </row>
    <row x14ac:dyDescent="0.25" r="814" customHeight="1" ht="17.25">
      <c r="A814" s="7">
        <v>45917</v>
      </c>
      <c r="B814" s="9" t="s">
        <v>35</v>
      </c>
      <c r="C814" s="6">
        <v>70</v>
      </c>
      <c r="D814" s="4"/>
      <c r="E814" s="6">
        <f>E813+C814-D814</f>
      </c>
      <c r="F814" s="2"/>
    </row>
    <row x14ac:dyDescent="0.25" r="815" customHeight="1" ht="17.25">
      <c r="A815" s="7">
        <v>45918</v>
      </c>
      <c r="B815" s="9" t="s">
        <v>371</v>
      </c>
      <c r="C815" s="4"/>
      <c r="D815" s="6">
        <v>335</v>
      </c>
      <c r="E815" s="6">
        <f>E814+C815-D815</f>
      </c>
      <c r="F815" s="2"/>
    </row>
    <row x14ac:dyDescent="0.25" r="816" customHeight="1" ht="17.25">
      <c r="A816" s="7">
        <v>45918</v>
      </c>
      <c r="B816" s="9" t="s">
        <v>124</v>
      </c>
      <c r="C816" s="4"/>
      <c r="D816" s="6">
        <v>100</v>
      </c>
      <c r="E816" s="6">
        <f>E815+C816-D816</f>
      </c>
      <c r="F816" s="2"/>
    </row>
    <row x14ac:dyDescent="0.25" r="817" customHeight="1" ht="17.25">
      <c r="A817" s="7">
        <v>45918</v>
      </c>
      <c r="B817" s="9" t="s">
        <v>234</v>
      </c>
      <c r="C817" s="4"/>
      <c r="D817" s="6">
        <v>32</v>
      </c>
      <c r="E817" s="6">
        <f>E816+C817-D817</f>
      </c>
      <c r="F817" s="2"/>
    </row>
    <row x14ac:dyDescent="0.25" r="818" customHeight="1" ht="17.25">
      <c r="A818" s="7">
        <v>45918</v>
      </c>
      <c r="B818" s="9" t="s">
        <v>316</v>
      </c>
      <c r="C818" s="4"/>
      <c r="D818" s="6">
        <v>180</v>
      </c>
      <c r="E818" s="6">
        <f>E817+C818-D818</f>
      </c>
      <c r="F818" s="2"/>
    </row>
    <row x14ac:dyDescent="0.25" r="819" customHeight="1" ht="17.25">
      <c r="A819" s="7">
        <v>45918</v>
      </c>
      <c r="B819" s="9" t="s">
        <v>316</v>
      </c>
      <c r="C819" s="4"/>
      <c r="D819" s="6">
        <v>50</v>
      </c>
      <c r="E819" s="6">
        <f>E818+C819-D819</f>
      </c>
      <c r="F819" s="2"/>
    </row>
    <row x14ac:dyDescent="0.25" r="820" customHeight="1" ht="17.25">
      <c r="A820" s="7">
        <v>45918</v>
      </c>
      <c r="B820" s="9" t="s">
        <v>311</v>
      </c>
      <c r="C820" s="4"/>
      <c r="D820" s="6">
        <v>110</v>
      </c>
      <c r="E820" s="6">
        <f>E819+C820-D820</f>
      </c>
      <c r="F820" s="2"/>
    </row>
    <row x14ac:dyDescent="0.25" r="821" customHeight="1" ht="17.25">
      <c r="A821" s="7">
        <v>45918</v>
      </c>
      <c r="B821" s="9" t="s">
        <v>289</v>
      </c>
      <c r="C821" s="4"/>
      <c r="D821" s="6">
        <v>250</v>
      </c>
      <c r="E821" s="6">
        <f>E820+C821-D821</f>
      </c>
      <c r="F821" s="2"/>
    </row>
    <row x14ac:dyDescent="0.25" r="822" customHeight="1" ht="17.25">
      <c r="A822" s="7">
        <v>45918</v>
      </c>
      <c r="B822" s="9" t="s">
        <v>34</v>
      </c>
      <c r="C822" s="6">
        <v>31</v>
      </c>
      <c r="D822" s="4"/>
      <c r="E822" s="6">
        <f>E821+C822-D822</f>
      </c>
      <c r="F822" s="2"/>
    </row>
    <row x14ac:dyDescent="0.25" r="823" customHeight="1" ht="17.25">
      <c r="A823" s="8">
        <v>45918</v>
      </c>
      <c r="B823" s="9" t="s">
        <v>34</v>
      </c>
      <c r="C823" s="6">
        <v>200</v>
      </c>
      <c r="D823" s="4"/>
      <c r="E823" s="6">
        <f>E822+C823-D823</f>
      </c>
      <c r="F823" s="2"/>
    </row>
    <row x14ac:dyDescent="0.25" r="824" customHeight="1" ht="17.25">
      <c r="A824" s="7">
        <v>45918</v>
      </c>
      <c r="B824" s="9" t="s">
        <v>411</v>
      </c>
      <c r="C824" s="6">
        <v>37</v>
      </c>
      <c r="D824" s="4"/>
      <c r="E824" s="6">
        <f>E823+C824-D824</f>
      </c>
      <c r="F824" s="2"/>
    </row>
    <row x14ac:dyDescent="0.25" r="825" customHeight="1" ht="17.25">
      <c r="A825" s="7">
        <v>45918</v>
      </c>
      <c r="B825" s="9" t="s">
        <v>389</v>
      </c>
      <c r="C825" s="6">
        <v>240</v>
      </c>
      <c r="D825" s="4"/>
      <c r="E825" s="6">
        <f>E824+C825-D825</f>
      </c>
      <c r="F825" s="2"/>
    </row>
    <row x14ac:dyDescent="0.25" r="826" customHeight="1" ht="17.25">
      <c r="A826" s="7">
        <v>45918</v>
      </c>
      <c r="B826" s="9" t="s">
        <v>389</v>
      </c>
      <c r="C826" s="6">
        <v>20</v>
      </c>
      <c r="D826" s="4"/>
      <c r="E826" s="6">
        <f>E825+C826-D826</f>
      </c>
      <c r="F826" s="2"/>
    </row>
    <row x14ac:dyDescent="0.25" r="827" customHeight="1" ht="17.25">
      <c r="A827" s="7">
        <v>45918</v>
      </c>
      <c r="B827" s="9" t="s">
        <v>58</v>
      </c>
      <c r="C827" s="6">
        <v>500</v>
      </c>
      <c r="D827" s="4"/>
      <c r="E827" s="6">
        <f>E826+C827-D827</f>
      </c>
      <c r="F827" s="2"/>
    </row>
    <row x14ac:dyDescent="0.25" r="828" customHeight="1" ht="17.25">
      <c r="A828" s="7">
        <v>45919</v>
      </c>
      <c r="B828" s="9" t="s">
        <v>311</v>
      </c>
      <c r="C828" s="4"/>
      <c r="D828" s="6">
        <v>200</v>
      </c>
      <c r="E828" s="6">
        <f>E827+C828-D828</f>
      </c>
      <c r="F828" s="2"/>
    </row>
    <row x14ac:dyDescent="0.25" r="829" customHeight="1" ht="17.25">
      <c r="A829" s="7">
        <v>45919</v>
      </c>
      <c r="B829" s="9" t="s">
        <v>291</v>
      </c>
      <c r="C829" s="6">
        <v>307</v>
      </c>
      <c r="D829" s="4"/>
      <c r="E829" s="6">
        <f>E828+C829-D829</f>
      </c>
      <c r="F829" s="2"/>
    </row>
    <row x14ac:dyDescent="0.25" r="830" customHeight="1" ht="17.25">
      <c r="A830" s="7">
        <v>45919</v>
      </c>
      <c r="B830" s="9" t="s">
        <v>311</v>
      </c>
      <c r="C830" s="4"/>
      <c r="D830" s="6">
        <v>300</v>
      </c>
      <c r="E830" s="6">
        <f>E829+C830-D830</f>
      </c>
      <c r="F830" s="2"/>
    </row>
    <row x14ac:dyDescent="0.25" r="831" customHeight="1" ht="17.25">
      <c r="A831" s="7">
        <v>45919</v>
      </c>
      <c r="B831" s="9" t="s">
        <v>124</v>
      </c>
      <c r="C831" s="4"/>
      <c r="D831" s="6">
        <v>150</v>
      </c>
      <c r="E831" s="6">
        <f>E830+C831-D831</f>
      </c>
      <c r="F831" s="2"/>
    </row>
    <row x14ac:dyDescent="0.25" r="832" customHeight="1" ht="17.25">
      <c r="A832" s="7">
        <v>45919</v>
      </c>
      <c r="B832" s="9" t="s">
        <v>123</v>
      </c>
      <c r="C832" s="4"/>
      <c r="D832" s="6">
        <v>160</v>
      </c>
      <c r="E832" s="6">
        <f>E831+C832-D832</f>
      </c>
      <c r="F832" s="2"/>
    </row>
    <row x14ac:dyDescent="0.25" r="833" customHeight="1" ht="17.25">
      <c r="A833" s="7">
        <v>45919</v>
      </c>
      <c r="B833" s="9" t="s">
        <v>389</v>
      </c>
      <c r="C833" s="6">
        <v>40</v>
      </c>
      <c r="D833" s="4"/>
      <c r="E833" s="6">
        <f>E832+C833-D833</f>
      </c>
      <c r="F833" s="2"/>
    </row>
    <row x14ac:dyDescent="0.25" r="834" customHeight="1" ht="17.25">
      <c r="A834" s="7">
        <v>45919</v>
      </c>
      <c r="B834" s="9" t="s">
        <v>376</v>
      </c>
      <c r="C834" s="6">
        <v>5</v>
      </c>
      <c r="D834" s="4"/>
      <c r="E834" s="6">
        <f>E833+C834-D834</f>
      </c>
      <c r="F834" s="2"/>
    </row>
    <row x14ac:dyDescent="0.25" r="835" customHeight="1" ht="17.25">
      <c r="A835" s="1"/>
      <c r="B835" s="2" t="s">
        <v>600</v>
      </c>
      <c r="C835" s="4"/>
      <c r="D835" s="4"/>
      <c r="E835" s="6">
        <f>E834+C835-D835</f>
      </c>
      <c r="F835" s="2"/>
    </row>
    <row x14ac:dyDescent="0.25" r="836" customHeight="1" ht="17.25">
      <c r="A836" s="7">
        <v>45920</v>
      </c>
      <c r="B836" s="9" t="s">
        <v>63</v>
      </c>
      <c r="C836" s="6">
        <v>1000</v>
      </c>
      <c r="D836" s="4"/>
      <c r="E836" s="6">
        <f>E835+C836-D836</f>
      </c>
      <c r="F836" s="2"/>
    </row>
    <row x14ac:dyDescent="0.25" r="837" customHeight="1" ht="17.25">
      <c r="A837" s="7">
        <v>45920</v>
      </c>
      <c r="B837" s="9" t="s">
        <v>124</v>
      </c>
      <c r="C837" s="4"/>
      <c r="D837" s="6">
        <v>250</v>
      </c>
      <c r="E837" s="6">
        <f>E836+C837-D837</f>
      </c>
      <c r="F837" s="2"/>
    </row>
    <row x14ac:dyDescent="0.25" r="838" customHeight="1" ht="17.25">
      <c r="A838" s="7">
        <v>45922</v>
      </c>
      <c r="B838" s="9" t="s">
        <v>371</v>
      </c>
      <c r="C838" s="4"/>
      <c r="D838" s="6">
        <v>330</v>
      </c>
      <c r="E838" s="6">
        <f>E837+C838-D838</f>
      </c>
      <c r="F838" s="2"/>
    </row>
    <row x14ac:dyDescent="0.25" r="839" customHeight="1" ht="17.25">
      <c r="A839" s="7">
        <v>45922</v>
      </c>
      <c r="B839" s="9" t="s">
        <v>124</v>
      </c>
      <c r="C839" s="4"/>
      <c r="D839" s="6">
        <v>400</v>
      </c>
      <c r="E839" s="6">
        <f>E838+C839-D839</f>
      </c>
      <c r="F839" s="2"/>
    </row>
    <row x14ac:dyDescent="0.25" r="840" customHeight="1" ht="17.25">
      <c r="A840" s="7">
        <v>45922</v>
      </c>
      <c r="B840" s="9" t="s">
        <v>311</v>
      </c>
      <c r="C840" s="4"/>
      <c r="D840" s="6">
        <v>140</v>
      </c>
      <c r="E840" s="6">
        <f>E839+C840-D840</f>
      </c>
      <c r="F840" s="2"/>
    </row>
    <row x14ac:dyDescent="0.25" r="841" customHeight="1" ht="17.25">
      <c r="A841" s="7">
        <v>45922</v>
      </c>
      <c r="B841" s="9" t="s">
        <v>311</v>
      </c>
      <c r="C841" s="4"/>
      <c r="D841" s="6">
        <v>150</v>
      </c>
      <c r="E841" s="6">
        <f>E840+C841-D841</f>
      </c>
      <c r="F841" s="2"/>
    </row>
    <row x14ac:dyDescent="0.25" r="842" customHeight="1" ht="17.25">
      <c r="A842" s="7">
        <v>45922</v>
      </c>
      <c r="B842" s="9" t="s">
        <v>389</v>
      </c>
      <c r="C842" s="6">
        <v>199</v>
      </c>
      <c r="D842" s="4"/>
      <c r="E842" s="6">
        <f>E841+C842-D842</f>
      </c>
      <c r="F842" s="2"/>
    </row>
    <row x14ac:dyDescent="0.25" r="843" customHeight="1" ht="17.25">
      <c r="A843" s="7">
        <v>45922</v>
      </c>
      <c r="B843" s="9" t="s">
        <v>266</v>
      </c>
      <c r="C843" s="4"/>
      <c r="D843" s="6">
        <v>50</v>
      </c>
      <c r="E843" s="6">
        <f>E842+C843-D843</f>
      </c>
      <c r="F843" s="2"/>
    </row>
    <row x14ac:dyDescent="0.25" r="844" customHeight="1" ht="17.25">
      <c r="A844" s="7">
        <v>45922</v>
      </c>
      <c r="B844" s="9" t="s">
        <v>35</v>
      </c>
      <c r="C844" s="6">
        <v>8</v>
      </c>
      <c r="D844" s="4"/>
      <c r="E844" s="6">
        <f>E843+C844-D844</f>
      </c>
      <c r="F844" s="2"/>
    </row>
    <row x14ac:dyDescent="0.25" r="845" customHeight="1" ht="17.25">
      <c r="A845" s="7">
        <v>45923</v>
      </c>
      <c r="B845" s="9" t="s">
        <v>63</v>
      </c>
      <c r="C845" s="6">
        <v>400</v>
      </c>
      <c r="D845" s="4"/>
      <c r="E845" s="6">
        <f>E844+C845-D845</f>
      </c>
      <c r="F845" s="2"/>
    </row>
    <row x14ac:dyDescent="0.25" r="846" customHeight="1" ht="17.25">
      <c r="A846" s="7">
        <v>45923</v>
      </c>
      <c r="B846" s="9" t="s">
        <v>343</v>
      </c>
      <c r="C846" s="6">
        <v>70</v>
      </c>
      <c r="D846" s="4"/>
      <c r="E846" s="6">
        <f>E845+C846-D846</f>
      </c>
      <c r="F846" s="2"/>
    </row>
    <row x14ac:dyDescent="0.25" r="847" customHeight="1" ht="17.25">
      <c r="A847" s="7">
        <v>45923</v>
      </c>
      <c r="B847" s="9" t="s">
        <v>389</v>
      </c>
      <c r="C847" s="6">
        <v>50</v>
      </c>
      <c r="D847" s="4"/>
      <c r="E847" s="6">
        <f>E846+C847-D847</f>
      </c>
      <c r="F847" s="2"/>
    </row>
    <row x14ac:dyDescent="0.25" r="848" customHeight="1" ht="17.25">
      <c r="A848" s="7">
        <v>45924</v>
      </c>
      <c r="B848" s="9" t="s">
        <v>124</v>
      </c>
      <c r="C848" s="4"/>
      <c r="D848" s="6">
        <v>150</v>
      </c>
      <c r="E848" s="6">
        <f>E847+C848-D848</f>
      </c>
      <c r="F848" s="2"/>
    </row>
    <row x14ac:dyDescent="0.25" r="849" customHeight="1" ht="17.25">
      <c r="A849" s="7">
        <v>45924</v>
      </c>
      <c r="B849" s="9" t="s">
        <v>284</v>
      </c>
      <c r="C849" s="6">
        <v>198</v>
      </c>
      <c r="D849" s="4"/>
      <c r="E849" s="6">
        <f>E848+C849-D849</f>
      </c>
      <c r="F849" s="2"/>
    </row>
    <row x14ac:dyDescent="0.25" r="850" customHeight="1" ht="17.25">
      <c r="A850" s="8">
        <v>45924</v>
      </c>
      <c r="B850" s="9" t="s">
        <v>42</v>
      </c>
      <c r="C850" s="6">
        <v>25</v>
      </c>
      <c r="D850" s="4"/>
      <c r="E850" s="6">
        <f>E849+C850-D850</f>
      </c>
      <c r="F850" s="2"/>
    </row>
    <row x14ac:dyDescent="0.25" r="851" customHeight="1" ht="17.25">
      <c r="A851" s="7">
        <v>45924</v>
      </c>
      <c r="B851" s="9" t="s">
        <v>34</v>
      </c>
      <c r="C851" s="6">
        <v>70</v>
      </c>
      <c r="D851" s="4"/>
      <c r="E851" s="6">
        <f>E850+C851-D851</f>
      </c>
      <c r="F851" s="2"/>
    </row>
    <row x14ac:dyDescent="0.25" r="852" customHeight="1" ht="17.25">
      <c r="A852" s="7">
        <v>45925</v>
      </c>
      <c r="B852" s="9" t="s">
        <v>46</v>
      </c>
      <c r="C852" s="4"/>
      <c r="D852" s="6">
        <v>200</v>
      </c>
      <c r="E852" s="6">
        <f>E851+C852-D852</f>
      </c>
      <c r="F852" s="2"/>
    </row>
    <row x14ac:dyDescent="0.25" r="853" customHeight="1" ht="17.25">
      <c r="A853" s="8">
        <v>45925</v>
      </c>
      <c r="B853" s="9" t="s">
        <v>311</v>
      </c>
      <c r="C853" s="4"/>
      <c r="D853" s="6">
        <v>80</v>
      </c>
      <c r="E853" s="6">
        <f>E852+C853-D853</f>
      </c>
      <c r="F853" s="2"/>
    </row>
    <row x14ac:dyDescent="0.25" r="854" customHeight="1" ht="17.25">
      <c r="A854" s="8">
        <v>45925</v>
      </c>
      <c r="B854" s="9" t="s">
        <v>233</v>
      </c>
      <c r="C854" s="4"/>
      <c r="D854" s="6">
        <v>160</v>
      </c>
      <c r="E854" s="6">
        <f>E853+C854-D854</f>
      </c>
      <c r="F854" s="2"/>
    </row>
    <row x14ac:dyDescent="0.25" r="855" customHeight="1" ht="17.25">
      <c r="A855" s="8">
        <v>45925</v>
      </c>
      <c r="B855" s="9" t="s">
        <v>508</v>
      </c>
      <c r="C855" s="4"/>
      <c r="D855" s="6">
        <v>25</v>
      </c>
      <c r="E855" s="6">
        <f>E854+C855-D855</f>
      </c>
      <c r="F855" s="2"/>
    </row>
    <row x14ac:dyDescent="0.25" r="856" customHeight="1" ht="17.25">
      <c r="A856" s="7">
        <v>45925</v>
      </c>
      <c r="B856" s="9" t="s">
        <v>554</v>
      </c>
      <c r="C856" s="6">
        <v>100</v>
      </c>
      <c r="D856" s="4"/>
      <c r="E856" s="6">
        <f>E855+C856-D856</f>
      </c>
      <c r="F856" s="2"/>
    </row>
    <row x14ac:dyDescent="0.25" r="857" customHeight="1" ht="17.25">
      <c r="A857" s="8">
        <v>45926</v>
      </c>
      <c r="B857" s="9" t="s">
        <v>564</v>
      </c>
      <c r="C857" s="4"/>
      <c r="D857" s="6">
        <v>200</v>
      </c>
      <c r="E857" s="6">
        <f>E856+C857-D857</f>
      </c>
      <c r="F857" s="2"/>
    </row>
    <row x14ac:dyDescent="0.25" r="858" customHeight="1" ht="17.25">
      <c r="A858" s="7">
        <v>45926</v>
      </c>
      <c r="B858" s="9" t="s">
        <v>124</v>
      </c>
      <c r="C858" s="4"/>
      <c r="D858" s="6">
        <v>150</v>
      </c>
      <c r="E858" s="6">
        <f>E857+C858-D858</f>
      </c>
      <c r="F858" s="2"/>
    </row>
    <row x14ac:dyDescent="0.25" r="859" customHeight="1" ht="17.25">
      <c r="A859" s="8">
        <v>45926</v>
      </c>
      <c r="B859" s="9" t="s">
        <v>365</v>
      </c>
      <c r="C859" s="6">
        <v>77</v>
      </c>
      <c r="D859" s="4"/>
      <c r="E859" s="6">
        <f>E858+C859-D859</f>
      </c>
      <c r="F859" s="2"/>
    </row>
    <row x14ac:dyDescent="0.25" r="860" customHeight="1" ht="17.25">
      <c r="A860" s="7">
        <v>45926</v>
      </c>
      <c r="B860" s="9" t="s">
        <v>63</v>
      </c>
      <c r="C860" s="6">
        <v>200</v>
      </c>
      <c r="D860" s="4"/>
      <c r="E860" s="6">
        <f>E859+C860-D860</f>
      </c>
      <c r="F860" s="2"/>
    </row>
    <row x14ac:dyDescent="0.25" r="861" customHeight="1" ht="17.25">
      <c r="A861" s="7">
        <v>45926</v>
      </c>
      <c r="B861" s="9" t="s">
        <v>291</v>
      </c>
      <c r="C861" s="6">
        <v>142</v>
      </c>
      <c r="D861" s="4"/>
      <c r="E861" s="6">
        <f>E860+C861-D861</f>
      </c>
      <c r="F861" s="2"/>
    </row>
    <row x14ac:dyDescent="0.25" r="862" customHeight="1" ht="17.25">
      <c r="A862" s="7">
        <v>45927</v>
      </c>
      <c r="B862" s="9" t="s">
        <v>564</v>
      </c>
      <c r="C862" s="4"/>
      <c r="D862" s="6">
        <v>150</v>
      </c>
      <c r="E862" s="6">
        <f>E861+C862-D862</f>
      </c>
      <c r="F862" s="2"/>
    </row>
    <row x14ac:dyDescent="0.25" r="863" customHeight="1" ht="17.25">
      <c r="A863" s="7">
        <v>45927</v>
      </c>
      <c r="B863" s="9" t="s">
        <v>554</v>
      </c>
      <c r="C863" s="6">
        <v>8</v>
      </c>
      <c r="D863" s="4"/>
      <c r="E863" s="6">
        <f>E862+C863-D863</f>
      </c>
      <c r="F863" s="2"/>
    </row>
    <row x14ac:dyDescent="0.25" r="864" customHeight="1" ht="17.25">
      <c r="A864" s="7">
        <v>45929</v>
      </c>
      <c r="B864" s="9" t="s">
        <v>316</v>
      </c>
      <c r="C864" s="4"/>
      <c r="D864" s="6">
        <v>200</v>
      </c>
      <c r="E864" s="6">
        <f>E863+C864-D864</f>
      </c>
      <c r="F864" s="2"/>
    </row>
    <row x14ac:dyDescent="0.25" r="865" customHeight="1" ht="17.25">
      <c r="A865" s="7">
        <v>45930</v>
      </c>
      <c r="B865" s="9" t="s">
        <v>385</v>
      </c>
      <c r="C865" s="4"/>
      <c r="D865" s="6">
        <v>120</v>
      </c>
      <c r="E865" s="6">
        <f>E864+C865-D865</f>
      </c>
      <c r="F865" s="2"/>
    </row>
    <row x14ac:dyDescent="0.25" r="866" customHeight="1" ht="17.25">
      <c r="A866" s="7">
        <v>45930</v>
      </c>
      <c r="B866" s="9" t="s">
        <v>311</v>
      </c>
      <c r="C866" s="4"/>
      <c r="D866" s="6">
        <v>190</v>
      </c>
      <c r="E866" s="6">
        <f>E865+C866-D866</f>
      </c>
      <c r="F866" s="2"/>
    </row>
    <row x14ac:dyDescent="0.25" r="867" customHeight="1" ht="17.25">
      <c r="A867" s="7">
        <v>45930</v>
      </c>
      <c r="B867" s="9" t="s">
        <v>382</v>
      </c>
      <c r="C867" s="6">
        <v>68</v>
      </c>
      <c r="D867" s="4"/>
      <c r="E867" s="6">
        <f>E866+C867-D867</f>
      </c>
      <c r="F867" s="2"/>
    </row>
    <row x14ac:dyDescent="0.25" r="868" customHeight="1" ht="17.25">
      <c r="A868" s="8">
        <v>45930</v>
      </c>
      <c r="B868" s="9" t="s">
        <v>543</v>
      </c>
      <c r="C868" s="6">
        <v>35</v>
      </c>
      <c r="D868" s="4"/>
      <c r="E868" s="6">
        <f>E867+C868-D868</f>
      </c>
      <c r="F868" s="2"/>
    </row>
    <row x14ac:dyDescent="0.25" r="869" customHeight="1" ht="17.25">
      <c r="A869" s="7">
        <v>45930</v>
      </c>
      <c r="B869" s="9" t="s">
        <v>47</v>
      </c>
      <c r="C869" s="6">
        <v>81</v>
      </c>
      <c r="D869" s="4"/>
      <c r="E869" s="6">
        <f>E868+C869-D869</f>
      </c>
      <c r="F869" s="2"/>
    </row>
    <row x14ac:dyDescent="0.25" r="870" customHeight="1" ht="17.25">
      <c r="A870" s="8">
        <v>45931</v>
      </c>
      <c r="B870" s="9" t="s">
        <v>44</v>
      </c>
      <c r="C870" s="6">
        <v>3</v>
      </c>
      <c r="D870" s="4"/>
      <c r="E870" s="6">
        <f>E869+C870-D870</f>
      </c>
      <c r="F870" s="2"/>
    </row>
    <row x14ac:dyDescent="0.25" r="871" customHeight="1" ht="17.25">
      <c r="A871" s="7">
        <v>45931</v>
      </c>
      <c r="B871" s="9" t="s">
        <v>228</v>
      </c>
      <c r="C871" s="6">
        <v>74</v>
      </c>
      <c r="D871" s="4"/>
      <c r="E871" s="6">
        <f>E870+C871-D871</f>
      </c>
      <c r="F871" s="2"/>
    </row>
    <row x14ac:dyDescent="0.25" r="872" customHeight="1" ht="17.25">
      <c r="A872" s="7">
        <v>45932</v>
      </c>
      <c r="B872" s="9" t="s">
        <v>316</v>
      </c>
      <c r="C872" s="4"/>
      <c r="D872" s="6">
        <v>150</v>
      </c>
      <c r="E872" s="6">
        <f>E871+C872-D872</f>
      </c>
      <c r="F872" s="2"/>
    </row>
    <row x14ac:dyDescent="0.25" r="873" customHeight="1" ht="17.25">
      <c r="A873" s="7">
        <v>45932</v>
      </c>
      <c r="B873" s="9" t="s">
        <v>456</v>
      </c>
      <c r="C873" s="4"/>
      <c r="D873" s="6">
        <v>30</v>
      </c>
      <c r="E873" s="6">
        <f>E872+C873-D873</f>
      </c>
      <c r="F873" s="2"/>
    </row>
    <row x14ac:dyDescent="0.25" r="874" customHeight="1" ht="17.25">
      <c r="A874" s="7">
        <v>45932</v>
      </c>
      <c r="B874" s="9" t="s">
        <v>264</v>
      </c>
      <c r="C874" s="6">
        <v>68</v>
      </c>
      <c r="D874" s="4"/>
      <c r="E874" s="6">
        <f>E873+C874-D874</f>
      </c>
      <c r="F874" s="2"/>
    </row>
    <row x14ac:dyDescent="0.25" r="875" customHeight="1" ht="17.25">
      <c r="A875" s="7">
        <v>45932</v>
      </c>
      <c r="B875" s="2" t="s">
        <v>184</v>
      </c>
      <c r="C875" s="6">
        <v>20</v>
      </c>
      <c r="D875" s="4"/>
      <c r="E875" s="6">
        <f>E874+C875-D875</f>
      </c>
      <c r="F875" s="2"/>
    </row>
    <row x14ac:dyDescent="0.25" r="876" customHeight="1" ht="17.25">
      <c r="A876" s="7">
        <v>45932</v>
      </c>
      <c r="B876" s="9" t="s">
        <v>3</v>
      </c>
      <c r="C876" s="6">
        <v>160</v>
      </c>
      <c r="D876" s="4"/>
      <c r="E876" s="6">
        <f>E875+C876-D876</f>
      </c>
      <c r="F876" s="2"/>
    </row>
    <row x14ac:dyDescent="0.25" r="877" customHeight="1" ht="17.25">
      <c r="A877" s="7">
        <v>45932</v>
      </c>
      <c r="B877" s="9" t="s">
        <v>426</v>
      </c>
      <c r="C877" s="6">
        <v>100</v>
      </c>
      <c r="D877" s="4"/>
      <c r="E877" s="6">
        <f>E876+C877-D877</f>
      </c>
      <c r="F877" s="2"/>
    </row>
    <row x14ac:dyDescent="0.25" r="878" customHeight="1" ht="17.25">
      <c r="A878" s="7">
        <v>45932</v>
      </c>
      <c r="B878" s="9" t="s">
        <v>291</v>
      </c>
      <c r="C878" s="6">
        <f>338+6</f>
      </c>
      <c r="D878" s="4"/>
      <c r="E878" s="6">
        <f>E877+C878-D878</f>
      </c>
      <c r="F878" s="2"/>
    </row>
    <row x14ac:dyDescent="0.25" r="879" customHeight="1" ht="17.25">
      <c r="A879" s="7">
        <v>45932</v>
      </c>
      <c r="B879" s="9" t="s">
        <v>4</v>
      </c>
      <c r="C879" s="6">
        <v>12</v>
      </c>
      <c r="D879" s="4"/>
      <c r="E879" s="6">
        <f>E878+C879-D879</f>
      </c>
      <c r="F879" s="2"/>
    </row>
    <row x14ac:dyDescent="0.25" r="880" customHeight="1" ht="17.25">
      <c r="A880" s="7">
        <v>45933</v>
      </c>
      <c r="B880" s="9" t="s">
        <v>46</v>
      </c>
      <c r="C880" s="4"/>
      <c r="D880" s="6">
        <v>200</v>
      </c>
      <c r="E880" s="6">
        <f>E879+C880-D880</f>
      </c>
      <c r="F880" s="2"/>
    </row>
    <row x14ac:dyDescent="0.25" r="881" customHeight="1" ht="17.25">
      <c r="A881" s="7">
        <v>45933</v>
      </c>
      <c r="B881" s="9" t="s">
        <v>508</v>
      </c>
      <c r="C881" s="4"/>
      <c r="D881" s="6">
        <v>62</v>
      </c>
      <c r="E881" s="6">
        <f>E880+C881-D881</f>
      </c>
      <c r="F881" s="2"/>
    </row>
    <row x14ac:dyDescent="0.25" r="882" customHeight="1" ht="17.25">
      <c r="A882" s="7">
        <v>45934</v>
      </c>
      <c r="B882" s="9" t="s">
        <v>46</v>
      </c>
      <c r="C882" s="4"/>
      <c r="D882" s="6">
        <v>400</v>
      </c>
      <c r="E882" s="6">
        <f>E881+C882-D882</f>
      </c>
      <c r="F882" s="2"/>
    </row>
    <row x14ac:dyDescent="0.25" r="883" customHeight="1" ht="17.25">
      <c r="A883" s="7">
        <v>45934</v>
      </c>
      <c r="B883" s="9" t="s">
        <v>184</v>
      </c>
      <c r="C883" s="6">
        <v>236</v>
      </c>
      <c r="D883" s="4"/>
      <c r="E883" s="6">
        <f>E882+C883-D883</f>
      </c>
      <c r="F883" s="2"/>
    </row>
    <row x14ac:dyDescent="0.25" r="884" customHeight="1" ht="17.25">
      <c r="A884" s="8">
        <v>45936</v>
      </c>
      <c r="B884" s="9" t="s">
        <v>504</v>
      </c>
      <c r="C884" s="4"/>
      <c r="D884" s="6">
        <v>252</v>
      </c>
      <c r="E884" s="6">
        <f>E883+C884-D884</f>
      </c>
      <c r="F884" s="2"/>
    </row>
    <row x14ac:dyDescent="0.25" r="885" customHeight="1" ht="17.25">
      <c r="A885" s="7">
        <v>45936</v>
      </c>
      <c r="B885" s="9" t="s">
        <v>321</v>
      </c>
      <c r="C885" s="6">
        <v>50</v>
      </c>
      <c r="D885" s="4"/>
      <c r="E885" s="6">
        <f>E884+C885-D885</f>
      </c>
      <c r="F885" s="2"/>
    </row>
    <row x14ac:dyDescent="0.25" r="886" customHeight="1" ht="17.25">
      <c r="A886" s="7">
        <v>45936</v>
      </c>
      <c r="B886" s="9" t="s">
        <v>291</v>
      </c>
      <c r="C886" s="6">
        <v>304</v>
      </c>
      <c r="D886" s="4"/>
      <c r="E886" s="6">
        <f>E885+C886-D886</f>
      </c>
      <c r="F886" s="2"/>
    </row>
    <row x14ac:dyDescent="0.25" r="887" customHeight="1" ht="17.25">
      <c r="A887" s="7">
        <v>45936</v>
      </c>
      <c r="B887" s="9" t="s">
        <v>389</v>
      </c>
      <c r="C887" s="6">
        <v>158</v>
      </c>
      <c r="D887" s="4"/>
      <c r="E887" s="6">
        <f>E886+C887-D887</f>
      </c>
      <c r="F887" s="2"/>
    </row>
    <row x14ac:dyDescent="0.25" r="888" customHeight="1" ht="17.25">
      <c r="A888" s="7">
        <v>45937</v>
      </c>
      <c r="B888" s="9" t="s">
        <v>312</v>
      </c>
      <c r="C888" s="4"/>
      <c r="D888" s="6">
        <v>10</v>
      </c>
      <c r="E888" s="6">
        <f>E887+C888-D888</f>
      </c>
      <c r="F888" s="2"/>
    </row>
    <row x14ac:dyDescent="0.25" r="889" customHeight="1" ht="17.25">
      <c r="A889" s="7">
        <v>45937</v>
      </c>
      <c r="B889" s="9" t="s">
        <v>191</v>
      </c>
      <c r="C889" s="6">
        <v>30</v>
      </c>
      <c r="D889" s="4"/>
      <c r="E889" s="6">
        <f>E888+C889-D889</f>
      </c>
      <c r="F889" s="2"/>
    </row>
    <row x14ac:dyDescent="0.25" r="890" customHeight="1" ht="17.25">
      <c r="A890" s="7">
        <v>45937</v>
      </c>
      <c r="B890" s="9" t="s">
        <v>389</v>
      </c>
      <c r="C890" s="6">
        <v>100</v>
      </c>
      <c r="D890" s="4"/>
      <c r="E890" s="6">
        <f>E889+C890-D890</f>
      </c>
      <c r="F890" s="2"/>
    </row>
    <row x14ac:dyDescent="0.25" r="891" customHeight="1" ht="17.25">
      <c r="A891" s="7">
        <v>45938</v>
      </c>
      <c r="B891" s="9" t="s">
        <v>233</v>
      </c>
      <c r="C891" s="4"/>
      <c r="D891" s="6">
        <v>90</v>
      </c>
      <c r="E891" s="6">
        <f>E890+C891-D891</f>
      </c>
      <c r="F891" s="2"/>
    </row>
    <row x14ac:dyDescent="0.25" r="892" customHeight="1" ht="17.25">
      <c r="A892" s="7">
        <v>45938</v>
      </c>
      <c r="B892" s="9" t="s">
        <v>458</v>
      </c>
      <c r="C892" s="4"/>
      <c r="D892" s="6">
        <v>4</v>
      </c>
      <c r="E892" s="6">
        <f>E891+C892-D892</f>
      </c>
      <c r="F892" s="2"/>
    </row>
    <row x14ac:dyDescent="0.25" r="893" customHeight="1" ht="17.25">
      <c r="A893" s="8">
        <v>45938</v>
      </c>
      <c r="B893" s="9" t="s">
        <v>313</v>
      </c>
      <c r="C893" s="4"/>
      <c r="D893" s="6">
        <v>140</v>
      </c>
      <c r="E893" s="6">
        <f>E892+C893-D893</f>
      </c>
      <c r="F893" s="2"/>
    </row>
    <row x14ac:dyDescent="0.25" r="894" customHeight="1" ht="17.25">
      <c r="A894" s="7">
        <v>45938</v>
      </c>
      <c r="B894" s="9" t="s">
        <v>316</v>
      </c>
      <c r="C894" s="4"/>
      <c r="D894" s="6">
        <v>200</v>
      </c>
      <c r="E894" s="6">
        <f>E893+C894-D894</f>
      </c>
      <c r="F894" s="2"/>
    </row>
    <row x14ac:dyDescent="0.25" r="895" customHeight="1" ht="17.25">
      <c r="A895" s="7">
        <v>45938</v>
      </c>
      <c r="B895" s="9" t="s">
        <v>389</v>
      </c>
      <c r="C895" s="6">
        <v>60</v>
      </c>
      <c r="D895" s="4"/>
      <c r="E895" s="6">
        <f>E894+C895-D895</f>
      </c>
      <c r="F895" s="2"/>
    </row>
    <row x14ac:dyDescent="0.25" r="896" customHeight="1" ht="17.25">
      <c r="A896" s="7">
        <v>45939</v>
      </c>
      <c r="B896" s="9" t="s">
        <v>233</v>
      </c>
      <c r="C896" s="4"/>
      <c r="D896" s="6">
        <v>150</v>
      </c>
      <c r="E896" s="6">
        <f>E895+C896-D896</f>
      </c>
      <c r="F896" s="2"/>
    </row>
    <row x14ac:dyDescent="0.25" r="897" customHeight="1" ht="17.25">
      <c r="A897" s="8">
        <v>45939</v>
      </c>
      <c r="B897" s="9" t="s">
        <v>314</v>
      </c>
      <c r="C897" s="6">
        <v>132</v>
      </c>
      <c r="D897" s="4"/>
      <c r="E897" s="6">
        <f>E896+C897-D897</f>
      </c>
      <c r="F897" s="2"/>
    </row>
    <row x14ac:dyDescent="0.25" r="898" customHeight="1" ht="17.25">
      <c r="A898" s="7">
        <v>45939</v>
      </c>
      <c r="B898" s="9" t="s">
        <v>389</v>
      </c>
      <c r="C898" s="6">
        <v>199</v>
      </c>
      <c r="D898" s="4"/>
      <c r="E898" s="6">
        <f>E897+C898-D898</f>
      </c>
      <c r="F898" s="2"/>
    </row>
    <row x14ac:dyDescent="0.25" r="899" customHeight="1" ht="17.25">
      <c r="A899" s="7">
        <v>45940</v>
      </c>
      <c r="B899" s="9" t="s">
        <v>311</v>
      </c>
      <c r="C899" s="4"/>
      <c r="D899" s="6">
        <v>300</v>
      </c>
      <c r="E899" s="6">
        <f>E898+C899-D899</f>
      </c>
      <c r="F899" s="2"/>
    </row>
    <row x14ac:dyDescent="0.25" r="900" customHeight="1" ht="17.25">
      <c r="A900" s="8">
        <v>45940</v>
      </c>
      <c r="B900" s="9" t="s">
        <v>141</v>
      </c>
      <c r="C900" s="6">
        <v>74</v>
      </c>
      <c r="D900" s="4"/>
      <c r="E900" s="6">
        <f>E899+C900-D900</f>
      </c>
      <c r="F900" s="2"/>
    </row>
    <row x14ac:dyDescent="0.25" r="901" customHeight="1" ht="17.25">
      <c r="A901" s="7">
        <v>45940</v>
      </c>
      <c r="B901" s="9" t="s">
        <v>389</v>
      </c>
      <c r="C901" s="6">
        <v>130</v>
      </c>
      <c r="D901" s="4"/>
      <c r="E901" s="6">
        <f>E900+C901-D901</f>
      </c>
      <c r="F901" s="2"/>
    </row>
    <row x14ac:dyDescent="0.25" r="902" customHeight="1" ht="17.25">
      <c r="A902" s="7">
        <v>45941</v>
      </c>
      <c r="B902" s="9" t="s">
        <v>316</v>
      </c>
      <c r="C902" s="4"/>
      <c r="D902" s="6">
        <v>200</v>
      </c>
      <c r="E902" s="6">
        <f>E901+C902-D902</f>
      </c>
      <c r="F902" s="2"/>
    </row>
    <row x14ac:dyDescent="0.25" r="903" customHeight="1" ht="17.25">
      <c r="A903" s="7">
        <v>45941</v>
      </c>
      <c r="B903" s="9" t="s">
        <v>565</v>
      </c>
      <c r="C903" s="6">
        <v>46</v>
      </c>
      <c r="D903" s="4"/>
      <c r="E903" s="6">
        <f>E902+C903-D903</f>
      </c>
      <c r="F903" s="2"/>
    </row>
    <row x14ac:dyDescent="0.25" r="904" customHeight="1" ht="17.25">
      <c r="A904" s="8">
        <v>45941</v>
      </c>
      <c r="B904" s="9" t="s">
        <v>287</v>
      </c>
      <c r="C904" s="6">
        <v>2</v>
      </c>
      <c r="D904" s="4"/>
      <c r="E904" s="6">
        <f>E903+C904-D904</f>
      </c>
      <c r="F904" s="2"/>
    </row>
    <row x14ac:dyDescent="0.25" r="905" customHeight="1" ht="17.25">
      <c r="A905" s="7">
        <v>45941</v>
      </c>
      <c r="B905" s="9" t="s">
        <v>184</v>
      </c>
      <c r="C905" s="6">
        <v>122</v>
      </c>
      <c r="D905" s="4"/>
      <c r="E905" s="6">
        <f>E904+C905-D905</f>
      </c>
      <c r="F905" s="2"/>
    </row>
    <row x14ac:dyDescent="0.25" r="906" customHeight="1" ht="17.25">
      <c r="A906" s="7">
        <v>45943</v>
      </c>
      <c r="B906" s="9" t="s">
        <v>304</v>
      </c>
      <c r="C906" s="4"/>
      <c r="D906" s="6">
        <v>110</v>
      </c>
      <c r="E906" s="6">
        <f>E905+C906-D906</f>
      </c>
      <c r="F906" s="2"/>
    </row>
    <row x14ac:dyDescent="0.25" r="907" customHeight="1" ht="17.25">
      <c r="A907" s="7">
        <v>45943</v>
      </c>
      <c r="B907" s="9" t="s">
        <v>46</v>
      </c>
      <c r="C907" s="4"/>
      <c r="D907" s="6">
        <v>200</v>
      </c>
      <c r="E907" s="6">
        <f>E906+C907-D907</f>
      </c>
      <c r="F907" s="2"/>
    </row>
    <row x14ac:dyDescent="0.25" r="908" customHeight="1" ht="17.25">
      <c r="A908" s="7">
        <v>45943</v>
      </c>
      <c r="B908" s="9" t="s">
        <v>304</v>
      </c>
      <c r="C908" s="4"/>
      <c r="D908" s="6">
        <v>190</v>
      </c>
      <c r="E908" s="6">
        <f>E907+C908-D908</f>
      </c>
      <c r="F908" s="2"/>
    </row>
    <row x14ac:dyDescent="0.25" r="909" customHeight="1" ht="17.25">
      <c r="A909" s="8">
        <v>45943</v>
      </c>
      <c r="B909" s="9" t="s">
        <v>512</v>
      </c>
      <c r="C909" s="4"/>
      <c r="D909" s="6">
        <v>100</v>
      </c>
      <c r="E909" s="6">
        <f>E908+C909-D909</f>
      </c>
      <c r="F909" s="2"/>
    </row>
    <row x14ac:dyDescent="0.25" r="910" customHeight="1" ht="17.25">
      <c r="A910" s="8">
        <v>45943</v>
      </c>
      <c r="B910" s="9" t="s">
        <v>512</v>
      </c>
      <c r="C910" s="4"/>
      <c r="D910" s="6">
        <v>100</v>
      </c>
      <c r="E910" s="6">
        <f>E909+C910-D910</f>
      </c>
      <c r="F910" s="2"/>
    </row>
    <row x14ac:dyDescent="0.25" r="911" customHeight="1" ht="17.25">
      <c r="A911" s="7">
        <v>45943</v>
      </c>
      <c r="B911" s="9" t="s">
        <v>63</v>
      </c>
      <c r="C911" s="6">
        <v>300</v>
      </c>
      <c r="D911" s="4"/>
      <c r="E911" s="6">
        <f>E910+C911-D911</f>
      </c>
      <c r="F911" s="2"/>
    </row>
    <row x14ac:dyDescent="0.25" r="912" customHeight="1" ht="17.25">
      <c r="A912" s="8">
        <v>45943</v>
      </c>
      <c r="B912" s="9" t="s">
        <v>7</v>
      </c>
      <c r="C912" s="6">
        <v>66</v>
      </c>
      <c r="D912" s="4"/>
      <c r="E912" s="6">
        <f>E911+C912-D912</f>
      </c>
      <c r="F912" s="2"/>
    </row>
    <row x14ac:dyDescent="0.25" r="913" customHeight="1" ht="17.25">
      <c r="A913" s="7">
        <v>45943</v>
      </c>
      <c r="B913" s="9" t="s">
        <v>291</v>
      </c>
      <c r="C913" s="6">
        <v>384</v>
      </c>
      <c r="D913" s="4"/>
      <c r="E913" s="6">
        <f>E912+C913-D913</f>
      </c>
      <c r="F913" s="2"/>
    </row>
    <row x14ac:dyDescent="0.25" r="914" customHeight="1" ht="17.25">
      <c r="A914" s="8">
        <v>45943</v>
      </c>
      <c r="B914" s="9" t="s">
        <v>298</v>
      </c>
      <c r="C914" s="6">
        <v>540</v>
      </c>
      <c r="D914" s="4"/>
      <c r="E914" s="6">
        <f>E913+C914-D914</f>
      </c>
      <c r="F914" s="2"/>
    </row>
    <row x14ac:dyDescent="0.25" r="915" customHeight="1" ht="17.25">
      <c r="A915" s="7">
        <v>45944</v>
      </c>
      <c r="B915" s="9" t="s">
        <v>459</v>
      </c>
      <c r="C915" s="6">
        <v>30</v>
      </c>
      <c r="D915" s="4"/>
      <c r="E915" s="6">
        <f>E914+C915-D915</f>
      </c>
      <c r="F915" s="2"/>
    </row>
    <row x14ac:dyDescent="0.25" r="916" customHeight="1" ht="17.25">
      <c r="A916" s="8">
        <v>45944</v>
      </c>
      <c r="B916" s="9" t="s">
        <v>283</v>
      </c>
      <c r="C916" s="6">
        <v>71</v>
      </c>
      <c r="D916" s="4"/>
      <c r="E916" s="6">
        <f>E915+C916-D916</f>
      </c>
      <c r="F916" s="2"/>
    </row>
    <row x14ac:dyDescent="0.25" r="917" customHeight="1" ht="17.25">
      <c r="A917" s="7">
        <v>45945</v>
      </c>
      <c r="B917" s="9" t="s">
        <v>179</v>
      </c>
      <c r="C917" s="4"/>
      <c r="D917" s="6">
        <v>50</v>
      </c>
      <c r="E917" s="6">
        <f>E916+C917-D917</f>
      </c>
      <c r="F917" s="2"/>
    </row>
    <row x14ac:dyDescent="0.25" r="918" customHeight="1" ht="17.25">
      <c r="A918" s="8">
        <v>45945</v>
      </c>
      <c r="B918" s="9" t="s">
        <v>283</v>
      </c>
      <c r="C918" s="6">
        <v>10</v>
      </c>
      <c r="D918" s="4"/>
      <c r="E918" s="6">
        <f>E917+C918-D918</f>
      </c>
      <c r="F918" s="2"/>
    </row>
    <row x14ac:dyDescent="0.25" r="919" customHeight="1" ht="17.25">
      <c r="A919" s="7">
        <v>45946</v>
      </c>
      <c r="B919" s="9" t="s">
        <v>512</v>
      </c>
      <c r="C919" s="4"/>
      <c r="D919" s="6">
        <v>80</v>
      </c>
      <c r="E919" s="6">
        <f>E918+C919-D919</f>
      </c>
      <c r="F919" s="2"/>
    </row>
    <row x14ac:dyDescent="0.25" r="920" customHeight="1" ht="17.25">
      <c r="A920" s="7">
        <v>45946</v>
      </c>
      <c r="B920" s="9" t="s">
        <v>512</v>
      </c>
      <c r="C920" s="4"/>
      <c r="D920" s="6">
        <v>80</v>
      </c>
      <c r="E920" s="6">
        <f>E919+C920-D920</f>
      </c>
      <c r="F920" s="2"/>
    </row>
    <row x14ac:dyDescent="0.25" r="921" customHeight="1" ht="17.25">
      <c r="A921" s="7">
        <v>45946</v>
      </c>
      <c r="B921" s="9" t="s">
        <v>420</v>
      </c>
      <c r="C921" s="4"/>
      <c r="D921" s="6">
        <v>48</v>
      </c>
      <c r="E921" s="6">
        <f>E920+C921-D921</f>
      </c>
      <c r="F921" s="2"/>
    </row>
    <row x14ac:dyDescent="0.25" r="922" customHeight="1" ht="17.25">
      <c r="A922" s="8">
        <v>45946</v>
      </c>
      <c r="B922" s="9" t="s">
        <v>141</v>
      </c>
      <c r="C922" s="6">
        <v>70</v>
      </c>
      <c r="D922" s="4"/>
      <c r="E922" s="6">
        <f>E921+C922-D922</f>
      </c>
      <c r="F922" s="2"/>
    </row>
    <row x14ac:dyDescent="0.25" r="923" customHeight="1" ht="17.25">
      <c r="A923" s="8">
        <v>45946</v>
      </c>
      <c r="B923" s="9" t="s">
        <v>389</v>
      </c>
      <c r="C923" s="6">
        <v>230</v>
      </c>
      <c r="D923" s="4"/>
      <c r="E923" s="6">
        <f>E922+C923-D923</f>
      </c>
      <c r="F923" s="2"/>
    </row>
    <row x14ac:dyDescent="0.25" r="924" customHeight="1" ht="17.25">
      <c r="A924" s="7">
        <v>45946</v>
      </c>
      <c r="B924" s="9" t="s">
        <v>184</v>
      </c>
      <c r="C924" s="6">
        <v>65</v>
      </c>
      <c r="D924" s="4"/>
      <c r="E924" s="6">
        <f>E923+C924-D924</f>
      </c>
      <c r="F924" s="2"/>
    </row>
    <row x14ac:dyDescent="0.25" r="925" customHeight="1" ht="17.25">
      <c r="A925" s="7">
        <v>45946</v>
      </c>
      <c r="B925" s="9" t="s">
        <v>3</v>
      </c>
      <c r="C925" s="6">
        <v>220</v>
      </c>
      <c r="D925" s="4"/>
      <c r="E925" s="6">
        <f>E924+C925-D925</f>
      </c>
      <c r="F925" s="2"/>
    </row>
    <row x14ac:dyDescent="0.25" r="926" customHeight="1" ht="17.25">
      <c r="A926" s="8">
        <v>45947</v>
      </c>
      <c r="B926" s="9" t="s">
        <v>512</v>
      </c>
      <c r="C926" s="4"/>
      <c r="D926" s="6">
        <v>50</v>
      </c>
      <c r="E926" s="6">
        <f>E925+C926-D926</f>
      </c>
      <c r="F926" s="2"/>
    </row>
    <row x14ac:dyDescent="0.25" r="927" customHeight="1" ht="17.25">
      <c r="A927" s="8">
        <v>45947</v>
      </c>
      <c r="B927" s="9" t="s">
        <v>512</v>
      </c>
      <c r="C927" s="4"/>
      <c r="D927" s="6">
        <v>80</v>
      </c>
      <c r="E927" s="6">
        <f>E926+C927-D927</f>
      </c>
      <c r="F927" s="2"/>
    </row>
    <row x14ac:dyDescent="0.25" r="928" customHeight="1" ht="17.25">
      <c r="A928" s="8">
        <v>45947</v>
      </c>
      <c r="B928" s="9" t="s">
        <v>7</v>
      </c>
      <c r="C928" s="6">
        <v>72</v>
      </c>
      <c r="D928" s="4"/>
      <c r="E928" s="6">
        <f>E927+C928-D928</f>
      </c>
      <c r="F928" s="2"/>
    </row>
    <row x14ac:dyDescent="0.25" r="929" customHeight="1" ht="17.25">
      <c r="A929" s="8">
        <v>45947</v>
      </c>
      <c r="B929" s="9" t="s">
        <v>389</v>
      </c>
      <c r="C929" s="6">
        <v>60</v>
      </c>
      <c r="D929" s="4"/>
      <c r="E929" s="6">
        <f>E928+C929-D929</f>
      </c>
      <c r="F929" s="2"/>
    </row>
    <row x14ac:dyDescent="0.25" r="930" customHeight="1" ht="17.25">
      <c r="A930" s="7">
        <v>45947</v>
      </c>
      <c r="B930" s="9" t="s">
        <v>3</v>
      </c>
      <c r="C930" s="6">
        <v>53</v>
      </c>
      <c r="D930" s="4"/>
      <c r="E930" s="6">
        <f>E929+C930-D930</f>
      </c>
      <c r="F930" s="2"/>
    </row>
    <row x14ac:dyDescent="0.25" r="931" customHeight="1" ht="17.25">
      <c r="A931" s="7">
        <v>45948</v>
      </c>
      <c r="B931" s="9" t="s">
        <v>46</v>
      </c>
      <c r="C931" s="4"/>
      <c r="D931" s="6">
        <v>250</v>
      </c>
      <c r="E931" s="6">
        <f>E930+C931-D931</f>
      </c>
      <c r="F931" s="2"/>
    </row>
    <row x14ac:dyDescent="0.25" r="932" customHeight="1" ht="17.25">
      <c r="A932" s="7">
        <v>45949</v>
      </c>
      <c r="B932" s="9" t="s">
        <v>304</v>
      </c>
      <c r="C932" s="4"/>
      <c r="D932" s="6">
        <v>130</v>
      </c>
      <c r="E932" s="6">
        <f>E931+C932-D932</f>
      </c>
      <c r="F932" s="2"/>
    </row>
    <row x14ac:dyDescent="0.25" r="933" customHeight="1" ht="17.25">
      <c r="A933" s="7">
        <v>45949</v>
      </c>
      <c r="B933" s="9" t="s">
        <v>304</v>
      </c>
      <c r="C933" s="4"/>
      <c r="D933" s="6">
        <v>130</v>
      </c>
      <c r="E933" s="6">
        <f>E932+C933-D933</f>
      </c>
      <c r="F933" s="2"/>
    </row>
    <row x14ac:dyDescent="0.25" r="934" customHeight="1" ht="17.25">
      <c r="A934" s="7">
        <v>45950</v>
      </c>
      <c r="B934" s="9" t="s">
        <v>304</v>
      </c>
      <c r="C934" s="4"/>
      <c r="D934" s="6">
        <v>40</v>
      </c>
      <c r="E934" s="6">
        <f>E933+C934-D934</f>
      </c>
      <c r="F934" s="2"/>
    </row>
    <row x14ac:dyDescent="0.25" r="935" customHeight="1" ht="17.25">
      <c r="A935" s="7">
        <v>45950</v>
      </c>
      <c r="B935" s="9" t="s">
        <v>7</v>
      </c>
      <c r="C935" s="6">
        <v>30</v>
      </c>
      <c r="D935" s="4"/>
      <c r="E935" s="6">
        <f>E934+C935-D935</f>
      </c>
      <c r="F935" s="2"/>
    </row>
    <row x14ac:dyDescent="0.25" r="936" customHeight="1" ht="17.25">
      <c r="A936" s="7">
        <v>45950</v>
      </c>
      <c r="B936" s="9" t="s">
        <v>208</v>
      </c>
      <c r="C936" s="6">
        <v>131</v>
      </c>
      <c r="D936" s="4"/>
      <c r="E936" s="6">
        <f>E935+C936-D936</f>
      </c>
      <c r="F936" s="2"/>
    </row>
    <row x14ac:dyDescent="0.25" r="937" customHeight="1" ht="17.25">
      <c r="A937" s="7">
        <v>45951</v>
      </c>
      <c r="B937" s="9" t="s">
        <v>46</v>
      </c>
      <c r="C937" s="4"/>
      <c r="D937" s="6">
        <v>200</v>
      </c>
      <c r="E937" s="6">
        <f>E936+C937-D937</f>
      </c>
      <c r="F937" s="2"/>
    </row>
    <row x14ac:dyDescent="0.25" r="938" customHeight="1" ht="17.25">
      <c r="A938" s="7">
        <v>45951</v>
      </c>
      <c r="B938" s="9" t="s">
        <v>315</v>
      </c>
      <c r="C938" s="4"/>
      <c r="D938" s="6">
        <v>184</v>
      </c>
      <c r="E938" s="6">
        <f>E937+C938-D938</f>
      </c>
      <c r="F938" s="2"/>
    </row>
    <row x14ac:dyDescent="0.25" r="939" customHeight="1" ht="17.25">
      <c r="A939" s="7">
        <v>45951</v>
      </c>
      <c r="B939" s="9" t="s">
        <v>3</v>
      </c>
      <c r="C939" s="6">
        <v>263</v>
      </c>
      <c r="D939" s="4"/>
      <c r="E939" s="6">
        <f>E938+C939-D939</f>
      </c>
      <c r="F939" s="2"/>
    </row>
    <row x14ac:dyDescent="0.25" r="940" customHeight="1" ht="17.25">
      <c r="A940" s="7">
        <v>45952</v>
      </c>
      <c r="B940" s="9" t="s">
        <v>233</v>
      </c>
      <c r="C940" s="4"/>
      <c r="D940" s="6">
        <v>180</v>
      </c>
      <c r="E940" s="6">
        <f>E939+C940-D940</f>
      </c>
      <c r="F940" s="2"/>
    </row>
    <row x14ac:dyDescent="0.25" r="941" customHeight="1" ht="17.25">
      <c r="A941" s="7">
        <v>45952</v>
      </c>
      <c r="B941" s="9" t="s">
        <v>313</v>
      </c>
      <c r="C941" s="4"/>
      <c r="D941" s="6">
        <v>140</v>
      </c>
      <c r="E941" s="6">
        <f>E940+C941-D941</f>
      </c>
      <c r="F941" s="2"/>
    </row>
    <row x14ac:dyDescent="0.25" r="942" customHeight="1" ht="17.25">
      <c r="A942" s="7">
        <v>45952</v>
      </c>
      <c r="B942" s="9" t="s">
        <v>141</v>
      </c>
      <c r="C942" s="6">
        <v>53</v>
      </c>
      <c r="D942" s="4"/>
      <c r="E942" s="6">
        <f>E941+C942-D942</f>
      </c>
      <c r="F942" s="2"/>
    </row>
    <row x14ac:dyDescent="0.25" r="943" customHeight="1" ht="17.25">
      <c r="A943" s="7">
        <v>45952</v>
      </c>
      <c r="B943" s="9" t="s">
        <v>389</v>
      </c>
      <c r="C943" s="6">
        <v>228</v>
      </c>
      <c r="D943" s="4"/>
      <c r="E943" s="6">
        <f>E942+C943-D943</f>
      </c>
      <c r="F943" s="2"/>
    </row>
    <row x14ac:dyDescent="0.25" r="944" customHeight="1" ht="17.25">
      <c r="A944" s="7">
        <v>45952</v>
      </c>
      <c r="B944" s="9" t="s">
        <v>576</v>
      </c>
      <c r="C944" s="6">
        <v>102</v>
      </c>
      <c r="D944" s="4"/>
      <c r="E944" s="6">
        <f>E943+C944-D944</f>
      </c>
      <c r="F944" s="2"/>
    </row>
    <row x14ac:dyDescent="0.25" r="945" customHeight="1" ht="17.25">
      <c r="A945" s="7">
        <v>45952</v>
      </c>
      <c r="B945" s="9" t="s">
        <v>3</v>
      </c>
      <c r="C945" s="6">
        <v>90</v>
      </c>
      <c r="D945" s="4"/>
      <c r="E945" s="6">
        <f>E944+C945-D945</f>
      </c>
      <c r="F945" s="2"/>
    </row>
    <row x14ac:dyDescent="0.25" r="946" customHeight="1" ht="17.25">
      <c r="A946" s="7">
        <v>45953</v>
      </c>
      <c r="B946" s="9" t="s">
        <v>316</v>
      </c>
      <c r="C946" s="4"/>
      <c r="D946" s="6">
        <v>200</v>
      </c>
      <c r="E946" s="6">
        <f>E945+C946-D946</f>
      </c>
      <c r="F946" s="2"/>
    </row>
    <row x14ac:dyDescent="0.25" r="947" customHeight="1" ht="17.25">
      <c r="A947" s="7">
        <v>45953</v>
      </c>
      <c r="B947" s="9" t="s">
        <v>566</v>
      </c>
      <c r="C947" s="4"/>
      <c r="D947" s="6">
        <v>20</v>
      </c>
      <c r="E947" s="6">
        <f>E946+C947-D947</f>
      </c>
      <c r="F947" s="2"/>
    </row>
    <row x14ac:dyDescent="0.25" r="948" customHeight="1" ht="17.25">
      <c r="A948" s="7">
        <v>45953</v>
      </c>
      <c r="B948" s="9" t="s">
        <v>233</v>
      </c>
      <c r="C948" s="4"/>
      <c r="D948" s="6">
        <v>28</v>
      </c>
      <c r="E948" s="6">
        <f>E947+C948-D948</f>
      </c>
      <c r="F948" s="2"/>
    </row>
    <row x14ac:dyDescent="0.25" r="949" customHeight="1" ht="17.25">
      <c r="A949" s="7">
        <v>45953</v>
      </c>
      <c r="B949" s="9" t="s">
        <v>63</v>
      </c>
      <c r="C949" s="6">
        <v>500</v>
      </c>
      <c r="D949" s="4"/>
      <c r="E949" s="6">
        <f>E948+C949-D949</f>
      </c>
      <c r="F949" s="2"/>
    </row>
    <row x14ac:dyDescent="0.25" r="950" customHeight="1" ht="17.25">
      <c r="A950" s="8">
        <v>45953</v>
      </c>
      <c r="B950" s="9" t="s">
        <v>47</v>
      </c>
      <c r="C950" s="6">
        <v>97</v>
      </c>
      <c r="D950" s="4"/>
      <c r="E950" s="6">
        <f>E949+C950-D950</f>
      </c>
      <c r="F950" s="2"/>
    </row>
    <row x14ac:dyDescent="0.25" r="951" customHeight="1" ht="17.25">
      <c r="A951" s="7">
        <v>45953</v>
      </c>
      <c r="B951" s="9" t="s">
        <v>208</v>
      </c>
      <c r="C951" s="6">
        <v>28</v>
      </c>
      <c r="D951" s="4"/>
      <c r="E951" s="6">
        <f>E950+C951-D951</f>
      </c>
      <c r="F951" s="2"/>
    </row>
    <row x14ac:dyDescent="0.25" r="952" customHeight="1" ht="17.25">
      <c r="A952" s="7">
        <v>45953</v>
      </c>
      <c r="B952" s="9" t="s">
        <v>291</v>
      </c>
      <c r="C952" s="6">
        <v>176</v>
      </c>
      <c r="D952" s="4"/>
      <c r="E952" s="6">
        <f>E951+C952-D952</f>
      </c>
      <c r="F952" s="2"/>
    </row>
    <row x14ac:dyDescent="0.25" r="953" customHeight="1" ht="17.25">
      <c r="A953" s="7">
        <v>45954</v>
      </c>
      <c r="B953" s="9" t="s">
        <v>311</v>
      </c>
      <c r="C953" s="4"/>
      <c r="D953" s="6">
        <v>300</v>
      </c>
      <c r="E953" s="6">
        <f>E952+C953-D953</f>
      </c>
      <c r="F953" s="2"/>
    </row>
    <row x14ac:dyDescent="0.25" r="954" customHeight="1" ht="17.25">
      <c r="A954" s="7">
        <v>45954</v>
      </c>
      <c r="B954" s="9" t="s">
        <v>504</v>
      </c>
      <c r="C954" s="4"/>
      <c r="D954" s="6">
        <v>550</v>
      </c>
      <c r="E954" s="6">
        <f>E953+C954-D954</f>
      </c>
      <c r="F954" s="2"/>
    </row>
    <row x14ac:dyDescent="0.25" r="955" customHeight="1" ht="17.25">
      <c r="A955" s="7">
        <v>45954</v>
      </c>
      <c r="B955" s="9" t="s">
        <v>504</v>
      </c>
      <c r="C955" s="4"/>
      <c r="D955" s="6">
        <v>100</v>
      </c>
      <c r="E955" s="6">
        <f>E954+C955-D955</f>
      </c>
      <c r="F955" s="2"/>
    </row>
    <row x14ac:dyDescent="0.25" r="956" customHeight="1" ht="17.25">
      <c r="A956" s="7">
        <v>45954</v>
      </c>
      <c r="B956" s="9" t="s">
        <v>389</v>
      </c>
      <c r="C956" s="6">
        <v>10</v>
      </c>
      <c r="D956" s="4"/>
      <c r="E956" s="6">
        <f>E955+C956-D956</f>
      </c>
      <c r="F956" s="2"/>
    </row>
    <row x14ac:dyDescent="0.25" r="957" customHeight="1" ht="17.25">
      <c r="A957" s="7">
        <v>45955</v>
      </c>
      <c r="B957" s="9" t="s">
        <v>63</v>
      </c>
      <c r="C957" s="6">
        <v>600</v>
      </c>
      <c r="D957" s="4"/>
      <c r="E957" s="6">
        <f>E956+C957-D957</f>
      </c>
      <c r="F957" s="2"/>
    </row>
    <row x14ac:dyDescent="0.25" r="958" customHeight="1" ht="17.25">
      <c r="A958" s="7">
        <v>45955</v>
      </c>
      <c r="B958" s="9" t="s">
        <v>504</v>
      </c>
      <c r="C958" s="4"/>
      <c r="D958" s="6">
        <v>550</v>
      </c>
      <c r="E958" s="6">
        <f>E957+C958-D958</f>
      </c>
      <c r="F958" s="2"/>
    </row>
    <row x14ac:dyDescent="0.25" r="959" customHeight="1" ht="17.25">
      <c r="A959" s="7">
        <v>45955</v>
      </c>
      <c r="B959" s="9" t="s">
        <v>316</v>
      </c>
      <c r="C959" s="4"/>
      <c r="D959" s="6">
        <v>120</v>
      </c>
      <c r="E959" s="6">
        <f>E958+C959-D959</f>
      </c>
      <c r="F959" s="2"/>
    </row>
    <row x14ac:dyDescent="0.25" r="960" customHeight="1" ht="17.25">
      <c r="A960" s="7">
        <v>45957</v>
      </c>
      <c r="B960" s="9" t="s">
        <v>316</v>
      </c>
      <c r="C960" s="4"/>
      <c r="D960" s="6">
        <v>50</v>
      </c>
      <c r="E960" s="6">
        <f>E959+C960-D960</f>
      </c>
      <c r="F960" s="2"/>
    </row>
    <row x14ac:dyDescent="0.25" r="961" customHeight="1" ht="17.25">
      <c r="A961" s="7">
        <v>45957</v>
      </c>
      <c r="B961" s="9" t="s">
        <v>3</v>
      </c>
      <c r="C961" s="6">
        <v>20</v>
      </c>
      <c r="D961" s="4"/>
      <c r="E961" s="6">
        <f>E960+C961-D961</f>
      </c>
      <c r="F961" s="2"/>
    </row>
    <row x14ac:dyDescent="0.25" r="962" customHeight="1" ht="17.25">
      <c r="A962" s="7">
        <v>45957</v>
      </c>
      <c r="B962" s="9" t="s">
        <v>495</v>
      </c>
      <c r="C962" s="6">
        <v>120</v>
      </c>
      <c r="D962" s="4"/>
      <c r="E962" s="6">
        <f>E961+C962-D962</f>
      </c>
      <c r="F962" s="2"/>
    </row>
    <row x14ac:dyDescent="0.25" r="963" customHeight="1" ht="17.25">
      <c r="A963" s="7">
        <v>45957</v>
      </c>
      <c r="B963" s="9" t="s">
        <v>141</v>
      </c>
      <c r="C963" s="6">
        <v>137</v>
      </c>
      <c r="D963" s="4"/>
      <c r="E963" s="6">
        <f>E962+C963-D963</f>
      </c>
      <c r="F963" s="2"/>
    </row>
    <row x14ac:dyDescent="0.25" r="964" customHeight="1" ht="17.25">
      <c r="A964" s="7">
        <v>45958</v>
      </c>
      <c r="B964" s="9" t="s">
        <v>347</v>
      </c>
      <c r="C964" s="4"/>
      <c r="D964" s="6">
        <v>10</v>
      </c>
      <c r="E964" s="6">
        <f>E963+C964-D964</f>
      </c>
      <c r="F964" s="2"/>
    </row>
    <row x14ac:dyDescent="0.25" r="965" customHeight="1" ht="17.25">
      <c r="A965" s="8">
        <v>45958</v>
      </c>
      <c r="B965" s="9" t="s">
        <v>317</v>
      </c>
      <c r="C965" s="6">
        <v>10</v>
      </c>
      <c r="D965" s="4"/>
      <c r="E965" s="6">
        <f>E964+C965-D965</f>
      </c>
      <c r="F965" s="2"/>
    </row>
    <row x14ac:dyDescent="0.25" r="966" customHeight="1" ht="17.25">
      <c r="A966" s="8">
        <v>45958</v>
      </c>
      <c r="B966" s="9" t="s">
        <v>493</v>
      </c>
      <c r="C966" s="6">
        <v>105</v>
      </c>
      <c r="D966" s="4"/>
      <c r="E966" s="6">
        <f>E965+C966-D966</f>
      </c>
      <c r="F966" s="2"/>
    </row>
    <row x14ac:dyDescent="0.25" r="967" customHeight="1" ht="17.25">
      <c r="A967" s="7">
        <v>45958</v>
      </c>
      <c r="B967" s="9" t="s">
        <v>7</v>
      </c>
      <c r="C967" s="6">
        <v>100</v>
      </c>
      <c r="D967" s="4"/>
      <c r="E967" s="6">
        <f>E966+C967-D967</f>
      </c>
      <c r="F967" s="2"/>
    </row>
    <row x14ac:dyDescent="0.25" r="968" customHeight="1" ht="17.25">
      <c r="A968" s="8">
        <v>45958</v>
      </c>
      <c r="B968" s="9" t="s">
        <v>3</v>
      </c>
      <c r="C968" s="6">
        <v>88</v>
      </c>
      <c r="D968" s="4"/>
      <c r="E968" s="6">
        <f>E967+C968-D968</f>
      </c>
      <c r="F968" s="2"/>
    </row>
    <row x14ac:dyDescent="0.25" r="969" customHeight="1" ht="17.25">
      <c r="A969" s="7">
        <v>45959</v>
      </c>
      <c r="B969" s="9" t="s">
        <v>311</v>
      </c>
      <c r="C969" s="4"/>
      <c r="D969" s="6">
        <v>200</v>
      </c>
      <c r="E969" s="6">
        <f>E968+C969-D969</f>
      </c>
      <c r="F969" s="2"/>
    </row>
    <row x14ac:dyDescent="0.25" r="970" customHeight="1" ht="17.25">
      <c r="A970" s="7">
        <v>45959</v>
      </c>
      <c r="B970" s="9" t="s">
        <v>184</v>
      </c>
      <c r="C970" s="6">
        <v>119</v>
      </c>
      <c r="D970" s="4"/>
      <c r="E970" s="6">
        <f>E969+C970-D970</f>
      </c>
      <c r="F970" s="2"/>
    </row>
    <row x14ac:dyDescent="0.25" r="971" customHeight="1" ht="17.25">
      <c r="A971" s="8">
        <v>45959</v>
      </c>
      <c r="B971" s="9" t="s">
        <v>389</v>
      </c>
      <c r="C971" s="6">
        <v>58</v>
      </c>
      <c r="D971" s="4"/>
      <c r="E971" s="6">
        <f>E970+C971-D971</f>
      </c>
      <c r="F971" s="2"/>
    </row>
    <row x14ac:dyDescent="0.25" r="972" customHeight="1" ht="17.25">
      <c r="A972" s="8">
        <v>45959</v>
      </c>
      <c r="B972" s="9" t="s">
        <v>578</v>
      </c>
      <c r="C972" s="6">
        <v>24</v>
      </c>
      <c r="D972" s="4"/>
      <c r="E972" s="6">
        <f>E971+C972-D972</f>
      </c>
      <c r="F972" s="2"/>
    </row>
    <row x14ac:dyDescent="0.25" r="973" customHeight="1" ht="17.25">
      <c r="A973" s="7">
        <v>45959</v>
      </c>
      <c r="B973" s="9" t="s">
        <v>370</v>
      </c>
      <c r="C973" s="6">
        <v>42</v>
      </c>
      <c r="D973" s="4"/>
      <c r="E973" s="6">
        <f>E972+C973-D973</f>
      </c>
      <c r="F973" s="2"/>
    </row>
    <row x14ac:dyDescent="0.25" r="974" customHeight="1" ht="17.25">
      <c r="A974" s="7">
        <v>45959</v>
      </c>
      <c r="B974" s="9" t="s">
        <v>3</v>
      </c>
      <c r="C974" s="6">
        <v>56</v>
      </c>
      <c r="D974" s="4"/>
      <c r="E974" s="6">
        <f>E973+C974-D974</f>
      </c>
      <c r="F974" s="2"/>
    </row>
    <row x14ac:dyDescent="0.25" r="975" customHeight="1" ht="17.25">
      <c r="A975" s="7">
        <v>45960</v>
      </c>
      <c r="B975" s="9" t="s">
        <v>316</v>
      </c>
      <c r="C975" s="4"/>
      <c r="D975" s="6">
        <v>200</v>
      </c>
      <c r="E975" s="6">
        <f>E974+C975-D975</f>
      </c>
      <c r="F975" s="2"/>
    </row>
    <row x14ac:dyDescent="0.25" r="976" customHeight="1" ht="17.25">
      <c r="A976" s="7">
        <v>45960</v>
      </c>
      <c r="B976" s="9" t="s">
        <v>601</v>
      </c>
      <c r="C976" s="4"/>
      <c r="D976" s="6">
        <v>100</v>
      </c>
      <c r="E976" s="6">
        <f>E975+C976-D976</f>
      </c>
      <c r="F976" s="2"/>
    </row>
    <row x14ac:dyDescent="0.25" r="977" customHeight="1" ht="17.25">
      <c r="A977" s="8">
        <v>45960</v>
      </c>
      <c r="B977" s="9" t="s">
        <v>347</v>
      </c>
      <c r="C977" s="4"/>
      <c r="D977" s="6">
        <v>60</v>
      </c>
      <c r="E977" s="6">
        <f>E976+C977-D977</f>
      </c>
      <c r="F977" s="2"/>
    </row>
    <row x14ac:dyDescent="0.25" r="978" customHeight="1" ht="17.25">
      <c r="A978" s="8">
        <v>45960</v>
      </c>
      <c r="B978" s="9" t="s">
        <v>51</v>
      </c>
      <c r="C978" s="4"/>
      <c r="D978" s="6">
        <v>150</v>
      </c>
      <c r="E978" s="6">
        <f>E977+C978-D978</f>
      </c>
      <c r="F978" s="2"/>
    </row>
    <row x14ac:dyDescent="0.25" r="979" customHeight="1" ht="17.25">
      <c r="A979" s="8">
        <v>45960</v>
      </c>
      <c r="B979" s="9" t="s">
        <v>51</v>
      </c>
      <c r="C979" s="4"/>
      <c r="D979" s="6">
        <v>150</v>
      </c>
      <c r="E979" s="6">
        <f>E978+C979-D979</f>
      </c>
      <c r="F979" s="2"/>
    </row>
    <row x14ac:dyDescent="0.25" r="980" customHeight="1" ht="17.25">
      <c r="A980" s="7">
        <v>45960</v>
      </c>
      <c r="B980" s="9" t="s">
        <v>318</v>
      </c>
      <c r="C980" s="4"/>
      <c r="D980" s="6">
        <v>160</v>
      </c>
      <c r="E980" s="6">
        <f>E979+C980-D980</f>
      </c>
      <c r="F980" s="2"/>
    </row>
    <row x14ac:dyDescent="0.25" r="981" customHeight="1" ht="17.25">
      <c r="A981" s="7">
        <v>45960</v>
      </c>
      <c r="B981" s="9" t="s">
        <v>179</v>
      </c>
      <c r="C981" s="4"/>
      <c r="D981" s="6">
        <v>60</v>
      </c>
      <c r="E981" s="6">
        <f>E980+C981-D981</f>
      </c>
      <c r="F981" s="2"/>
    </row>
    <row x14ac:dyDescent="0.25" r="982" customHeight="1" ht="17.25">
      <c r="A982" s="8">
        <v>45960</v>
      </c>
      <c r="B982" s="9" t="s">
        <v>141</v>
      </c>
      <c r="C982" s="6">
        <v>15</v>
      </c>
      <c r="D982" s="4"/>
      <c r="E982" s="6">
        <f>E981+C982-D982</f>
      </c>
      <c r="F982" s="2"/>
    </row>
    <row x14ac:dyDescent="0.25" r="983" customHeight="1" ht="17.25">
      <c r="A983" s="7">
        <v>45960</v>
      </c>
      <c r="B983" s="9" t="s">
        <v>3</v>
      </c>
      <c r="C983" s="6">
        <v>74</v>
      </c>
      <c r="D983" s="4"/>
      <c r="E983" s="6">
        <f>E982+C983-D983</f>
      </c>
      <c r="F983" s="2"/>
    </row>
    <row x14ac:dyDescent="0.25" r="984" customHeight="1" ht="17.25">
      <c r="A984" s="7">
        <v>45960</v>
      </c>
      <c r="B984" s="9" t="s">
        <v>291</v>
      </c>
      <c r="C984" s="6">
        <v>88</v>
      </c>
      <c r="D984" s="4"/>
      <c r="E984" s="6">
        <f>E983+C984-D984</f>
      </c>
      <c r="F984" s="2"/>
    </row>
    <row x14ac:dyDescent="0.25" r="985" customHeight="1" ht="17.25">
      <c r="A985" s="7">
        <v>45961</v>
      </c>
      <c r="B985" s="9" t="s">
        <v>179</v>
      </c>
      <c r="C985" s="4"/>
      <c r="D985" s="6">
        <v>190</v>
      </c>
      <c r="E985" s="6">
        <f>E984+C985-D985</f>
      </c>
      <c r="F985" s="2"/>
    </row>
    <row x14ac:dyDescent="0.25" r="986" customHeight="1" ht="17.25">
      <c r="A986" s="7">
        <v>45961</v>
      </c>
      <c r="B986" s="9" t="s">
        <v>311</v>
      </c>
      <c r="C986" s="4"/>
      <c r="D986" s="6">
        <v>250</v>
      </c>
      <c r="E986" s="6">
        <f>E985+C986-D986</f>
      </c>
      <c r="F986" s="2"/>
    </row>
    <row x14ac:dyDescent="0.25" r="987" customHeight="1" ht="17.25">
      <c r="A987" s="7">
        <v>45961</v>
      </c>
      <c r="B987" s="9" t="s">
        <v>319</v>
      </c>
      <c r="C987" s="4"/>
      <c r="D987" s="6">
        <v>100</v>
      </c>
      <c r="E987" s="6">
        <f>E986+C987-D987</f>
      </c>
      <c r="F987" s="2"/>
    </row>
    <row x14ac:dyDescent="0.25" r="988" customHeight="1" ht="17.25">
      <c r="A988" s="7">
        <v>45961</v>
      </c>
      <c r="B988" s="9" t="s">
        <v>489</v>
      </c>
      <c r="C988" s="4"/>
      <c r="D988" s="6">
        <v>97</v>
      </c>
      <c r="E988" s="6">
        <f>E987+C988-D988</f>
      </c>
      <c r="F988" s="2"/>
    </row>
    <row x14ac:dyDescent="0.25" r="989" customHeight="1" ht="17.25">
      <c r="A989" s="7">
        <v>45961</v>
      </c>
      <c r="B989" s="9" t="s">
        <v>51</v>
      </c>
      <c r="C989" s="4"/>
      <c r="D989" s="6">
        <v>100</v>
      </c>
      <c r="E989" s="6">
        <f>E988+C989-D989</f>
      </c>
      <c r="F989" s="2"/>
    </row>
    <row x14ac:dyDescent="0.25" r="990" customHeight="1" ht="17.25">
      <c r="A990" s="7">
        <v>45961</v>
      </c>
      <c r="B990" s="9" t="s">
        <v>334</v>
      </c>
      <c r="C990" s="6">
        <v>10</v>
      </c>
      <c r="D990" s="4"/>
      <c r="E990" s="6">
        <f>E989+C990-D990</f>
      </c>
      <c r="F990" s="2"/>
    </row>
    <row x14ac:dyDescent="0.25" r="991" customHeight="1" ht="17.25">
      <c r="A991" s="7">
        <v>45961</v>
      </c>
      <c r="B991" s="9" t="s">
        <v>568</v>
      </c>
      <c r="C991" s="6">
        <v>40</v>
      </c>
      <c r="D991" s="4"/>
      <c r="E991" s="6">
        <f>E990+C991-D991</f>
      </c>
      <c r="F991" s="2"/>
    </row>
    <row x14ac:dyDescent="0.25" r="992" customHeight="1" ht="17.25">
      <c r="A992" s="7">
        <v>45961</v>
      </c>
      <c r="B992" s="9" t="s">
        <v>184</v>
      </c>
      <c r="C992" s="6">
        <v>72</v>
      </c>
      <c r="D992" s="4"/>
      <c r="E992" s="6">
        <f>E991+C992-D992</f>
      </c>
      <c r="F992" s="2"/>
    </row>
    <row x14ac:dyDescent="0.25" r="993" customHeight="1" ht="17.25">
      <c r="A993" s="1"/>
      <c r="B993" s="9" t="s">
        <v>602</v>
      </c>
      <c r="C993" s="4"/>
      <c r="D993" s="4"/>
      <c r="E993" s="6">
        <f>E992+C993-D993</f>
      </c>
      <c r="F993" s="2"/>
    </row>
    <row x14ac:dyDescent="0.25" r="994" customHeight="1" ht="17.25">
      <c r="A994" s="7">
        <v>45962</v>
      </c>
      <c r="B994" s="9" t="s">
        <v>63</v>
      </c>
      <c r="C994" s="6">
        <v>100</v>
      </c>
      <c r="D994" s="4"/>
      <c r="E994" s="6">
        <f>E993+C994-D994</f>
      </c>
      <c r="F994" s="2"/>
    </row>
    <row x14ac:dyDescent="0.25" r="995" customHeight="1" ht="17.25">
      <c r="A995" s="8">
        <v>45962</v>
      </c>
      <c r="B995" s="9" t="s">
        <v>3</v>
      </c>
      <c r="C995" s="6">
        <v>121</v>
      </c>
      <c r="D995" s="4"/>
      <c r="E995" s="6">
        <f>E994+C995-D995</f>
      </c>
      <c r="F995" s="2"/>
    </row>
    <row x14ac:dyDescent="0.25" r="996" customHeight="1" ht="17.25">
      <c r="A996" s="7">
        <v>45964</v>
      </c>
      <c r="B996" s="9" t="s">
        <v>423</v>
      </c>
      <c r="C996" s="4"/>
      <c r="D996" s="6">
        <v>18</v>
      </c>
      <c r="E996" s="6">
        <f>E995+C996-D996</f>
      </c>
      <c r="F996" s="2"/>
    </row>
    <row x14ac:dyDescent="0.25" r="997" customHeight="1" ht="17.25">
      <c r="A997" s="8">
        <v>45964</v>
      </c>
      <c r="B997" s="9" t="s">
        <v>319</v>
      </c>
      <c r="C997" s="4"/>
      <c r="D997" s="6">
        <v>140</v>
      </c>
      <c r="E997" s="6">
        <f>E996+C997-D997</f>
      </c>
      <c r="F997" s="2"/>
    </row>
    <row x14ac:dyDescent="0.25" r="998" customHeight="1" ht="17.25">
      <c r="A998" s="7">
        <v>45964</v>
      </c>
      <c r="B998" s="9" t="s">
        <v>320</v>
      </c>
      <c r="C998" s="4"/>
      <c r="D998" s="6">
        <v>40</v>
      </c>
      <c r="E998" s="6">
        <f>E997+C998-D998</f>
      </c>
      <c r="F998" s="2"/>
    </row>
    <row x14ac:dyDescent="0.25" r="999" customHeight="1" ht="17.25">
      <c r="A999" s="7">
        <v>45964</v>
      </c>
      <c r="B999" s="9" t="s">
        <v>266</v>
      </c>
      <c r="C999" s="4"/>
      <c r="D999" s="6">
        <v>100</v>
      </c>
      <c r="E999" s="6">
        <f>E998+C999-D999</f>
      </c>
      <c r="F999" s="2"/>
    </row>
    <row x14ac:dyDescent="0.25" r="1000" customHeight="1" ht="17.25">
      <c r="A1000" s="7">
        <v>45964</v>
      </c>
      <c r="B1000" s="9" t="s">
        <v>63</v>
      </c>
      <c r="C1000" s="6">
        <v>150</v>
      </c>
      <c r="D1000" s="4"/>
      <c r="E1000" s="6">
        <f>E999+C1000-D1000</f>
      </c>
      <c r="F1000" s="2"/>
    </row>
    <row x14ac:dyDescent="0.25" r="1001" customHeight="1" ht="17.25">
      <c r="A1001" s="7">
        <v>45964</v>
      </c>
      <c r="B1001" s="9" t="s">
        <v>382</v>
      </c>
      <c r="C1001" s="6">
        <v>12</v>
      </c>
      <c r="D1001" s="4"/>
      <c r="E1001" s="6">
        <f>E1000+C1001-D1001</f>
      </c>
      <c r="F1001" s="2"/>
    </row>
    <row x14ac:dyDescent="0.25" r="1002" customHeight="1" ht="17.25">
      <c r="A1002" s="7">
        <v>45965</v>
      </c>
      <c r="B1002" s="9" t="s">
        <v>320</v>
      </c>
      <c r="C1002" s="4"/>
      <c r="D1002" s="6">
        <v>20</v>
      </c>
      <c r="E1002" s="6">
        <f>E1001+C1002-D1002</f>
      </c>
      <c r="F1002" s="2"/>
    </row>
    <row x14ac:dyDescent="0.25" r="1003" customHeight="1" ht="17.25">
      <c r="A1003" s="7">
        <v>45965</v>
      </c>
      <c r="B1003" s="9" t="s">
        <v>424</v>
      </c>
      <c r="C1003" s="4"/>
      <c r="D1003" s="6">
        <v>40</v>
      </c>
      <c r="E1003" s="6">
        <f>E1002+C1003-D1003</f>
      </c>
      <c r="F1003" s="2"/>
    </row>
    <row x14ac:dyDescent="0.25" r="1004" customHeight="1" ht="17.25">
      <c r="A1004" s="7">
        <v>45965</v>
      </c>
      <c r="B1004" s="9" t="s">
        <v>389</v>
      </c>
      <c r="C1004" s="6">
        <v>70</v>
      </c>
      <c r="D1004" s="4"/>
      <c r="E1004" s="6">
        <f>E1003+C1004-D1004</f>
      </c>
      <c r="F1004" s="2"/>
    </row>
    <row x14ac:dyDescent="0.25" r="1005" customHeight="1" ht="17.25">
      <c r="A1005" s="7">
        <v>45965</v>
      </c>
      <c r="B1005" s="9" t="s">
        <v>3</v>
      </c>
      <c r="C1005" s="6">
        <v>85</v>
      </c>
      <c r="D1005" s="4"/>
      <c r="E1005" s="6">
        <f>E1004+C1005-D1005</f>
      </c>
      <c r="F1005" s="2"/>
    </row>
    <row x14ac:dyDescent="0.25" r="1006" customHeight="1" ht="17.25">
      <c r="A1006" s="7">
        <v>45965</v>
      </c>
      <c r="B1006" s="9" t="s">
        <v>316</v>
      </c>
      <c r="C1006" s="4"/>
      <c r="D1006" s="6">
        <v>85</v>
      </c>
      <c r="E1006" s="6">
        <f>E1005+C1006-D1006</f>
      </c>
      <c r="F1006" s="2"/>
    </row>
    <row x14ac:dyDescent="0.25" r="1007" customHeight="1" ht="17.25">
      <c r="A1007" s="7">
        <v>45966</v>
      </c>
      <c r="B1007" s="9" t="s">
        <v>318</v>
      </c>
      <c r="C1007" s="4"/>
      <c r="D1007" s="6">
        <v>172</v>
      </c>
      <c r="E1007" s="6">
        <f>E1006+C1007-D1007</f>
      </c>
      <c r="F1007" s="2"/>
    </row>
    <row x14ac:dyDescent="0.25" r="1008" customHeight="1" ht="17.25">
      <c r="A1008" s="8">
        <v>45966</v>
      </c>
      <c r="B1008" s="9" t="s">
        <v>347</v>
      </c>
      <c r="C1008" s="6">
        <v>32</v>
      </c>
      <c r="D1008" s="4"/>
      <c r="E1008" s="6">
        <f>E1007+C1008-D1008</f>
      </c>
      <c r="F1008" s="2"/>
    </row>
    <row x14ac:dyDescent="0.25" r="1009" customHeight="1" ht="17.25">
      <c r="A1009" s="7">
        <v>45966</v>
      </c>
      <c r="B1009" s="9" t="s">
        <v>184</v>
      </c>
      <c r="C1009" s="6">
        <v>137</v>
      </c>
      <c r="D1009" s="4"/>
      <c r="E1009" s="6">
        <f>E1008+C1009-D1009</f>
      </c>
      <c r="F1009" s="2"/>
    </row>
    <row x14ac:dyDescent="0.25" r="1010" customHeight="1" ht="17.25">
      <c r="A1010" s="7">
        <v>45966</v>
      </c>
      <c r="B1010" s="9" t="s">
        <v>3</v>
      </c>
      <c r="C1010" s="6">
        <v>54</v>
      </c>
      <c r="D1010" s="4"/>
      <c r="E1010" s="6">
        <f>E1009+C1010-D1010</f>
      </c>
      <c r="F1010" s="2"/>
    </row>
    <row x14ac:dyDescent="0.25" r="1011" customHeight="1" ht="17.25">
      <c r="A1011" s="7">
        <v>45967</v>
      </c>
      <c r="B1011" s="9" t="s">
        <v>313</v>
      </c>
      <c r="C1011" s="4"/>
      <c r="D1011" s="6">
        <v>20</v>
      </c>
      <c r="E1011" s="6">
        <f>E1010+C1011-D1011</f>
      </c>
      <c r="F1011" s="2"/>
    </row>
    <row x14ac:dyDescent="0.25" r="1012" customHeight="1" ht="17.25">
      <c r="A1012" s="7">
        <v>45967</v>
      </c>
      <c r="B1012" s="9" t="s">
        <v>63</v>
      </c>
      <c r="C1012" s="6">
        <v>300</v>
      </c>
      <c r="D1012" s="4"/>
      <c r="E1012" s="6">
        <f>E1011+C1012-D1012</f>
      </c>
      <c r="F1012" s="2"/>
    </row>
    <row x14ac:dyDescent="0.25" r="1013" customHeight="1" ht="17.25">
      <c r="A1013" s="7">
        <v>45967</v>
      </c>
      <c r="B1013" s="9" t="s">
        <v>46</v>
      </c>
      <c r="C1013" s="4"/>
      <c r="D1013" s="6">
        <v>250</v>
      </c>
      <c r="E1013" s="6">
        <f>E1012+C1013-D1013</f>
      </c>
      <c r="F1013" s="2"/>
    </row>
    <row x14ac:dyDescent="0.25" r="1014" customHeight="1" ht="17.25">
      <c r="A1014" s="8">
        <v>45968</v>
      </c>
      <c r="B1014" s="9" t="s">
        <v>26</v>
      </c>
      <c r="C1014" s="4"/>
      <c r="D1014" s="6">
        <v>240</v>
      </c>
      <c r="E1014" s="6">
        <f>E1013+C1014-D1014</f>
      </c>
      <c r="F1014" s="2"/>
    </row>
    <row x14ac:dyDescent="0.25" r="1015" customHeight="1" ht="17.25">
      <c r="A1015" s="7">
        <v>45968</v>
      </c>
      <c r="B1015" s="9" t="s">
        <v>316</v>
      </c>
      <c r="C1015" s="4"/>
      <c r="D1015" s="6">
        <v>50</v>
      </c>
      <c r="E1015" s="6">
        <f>E1014+C1015-D1015</f>
      </c>
      <c r="F1015" s="2"/>
    </row>
    <row x14ac:dyDescent="0.25" r="1016" customHeight="1" ht="17.25">
      <c r="A1016" s="7">
        <v>45968</v>
      </c>
      <c r="B1016" s="9" t="s">
        <v>63</v>
      </c>
      <c r="C1016" s="6">
        <v>200</v>
      </c>
      <c r="D1016" s="4"/>
      <c r="E1016" s="6">
        <f>E1015+C1016-D1016</f>
      </c>
      <c r="F1016" s="2"/>
    </row>
    <row x14ac:dyDescent="0.25" r="1017" customHeight="1" ht="17.25">
      <c r="A1017" s="7">
        <v>45968</v>
      </c>
      <c r="B1017" s="9" t="s">
        <v>3</v>
      </c>
      <c r="C1017" s="6">
        <v>18</v>
      </c>
      <c r="D1017" s="4"/>
      <c r="E1017" s="6">
        <f>E1016+C1017-D1017</f>
      </c>
      <c r="F1017" s="2"/>
    </row>
    <row x14ac:dyDescent="0.25" r="1018" customHeight="1" ht="17.25">
      <c r="A1018" s="7">
        <v>45969</v>
      </c>
      <c r="B1018" s="9" t="s">
        <v>460</v>
      </c>
      <c r="C1018" s="4"/>
      <c r="D1018" s="6">
        <v>40</v>
      </c>
      <c r="E1018" s="6">
        <f>E1017+C1018-D1018</f>
      </c>
      <c r="F1018" s="2"/>
    </row>
    <row x14ac:dyDescent="0.25" r="1019" customHeight="1" ht="17.25">
      <c r="A1019" s="7">
        <v>45969</v>
      </c>
      <c r="B1019" s="9" t="s">
        <v>26</v>
      </c>
      <c r="C1019" s="4"/>
      <c r="D1019" s="6">
        <v>240</v>
      </c>
      <c r="E1019" s="6">
        <f>E1018+C1019-D1019</f>
      </c>
      <c r="F1019" s="2"/>
    </row>
    <row x14ac:dyDescent="0.25" r="1020" customHeight="1" ht="17.25">
      <c r="A1020" s="7">
        <v>45969</v>
      </c>
      <c r="B1020" s="9" t="s">
        <v>63</v>
      </c>
      <c r="C1020" s="6">
        <v>250</v>
      </c>
      <c r="D1020" s="4"/>
      <c r="E1020" s="6">
        <f>E1019+C1020-D1020</f>
      </c>
      <c r="F1020" s="2"/>
    </row>
    <row x14ac:dyDescent="0.25" r="1021" customHeight="1" ht="17.25">
      <c r="A1021" s="7">
        <v>45969</v>
      </c>
      <c r="B1021" s="9" t="s">
        <v>297</v>
      </c>
      <c r="C1021" s="6">
        <v>188</v>
      </c>
      <c r="D1021" s="4"/>
      <c r="E1021" s="6">
        <f>E1020+C1021-D1021</f>
      </c>
      <c r="F1021" s="2"/>
    </row>
    <row x14ac:dyDescent="0.25" r="1022" customHeight="1" ht="17.25">
      <c r="A1022" s="7">
        <v>45969</v>
      </c>
      <c r="B1022" s="9" t="s">
        <v>184</v>
      </c>
      <c r="C1022" s="6">
        <v>102</v>
      </c>
      <c r="D1022" s="4"/>
      <c r="E1022" s="6">
        <f>E1021+C1022-D1022</f>
      </c>
      <c r="F1022" s="2"/>
    </row>
    <row x14ac:dyDescent="0.25" r="1023" customHeight="1" ht="17.25">
      <c r="A1023" s="7">
        <v>45971</v>
      </c>
      <c r="B1023" s="9" t="s">
        <v>316</v>
      </c>
      <c r="C1023" s="4"/>
      <c r="D1023" s="6">
        <v>80</v>
      </c>
      <c r="E1023" s="6">
        <f>E1022+C1023-D1023</f>
      </c>
      <c r="F1023" s="2"/>
    </row>
    <row x14ac:dyDescent="0.25" r="1024" customHeight="1" ht="17.25">
      <c r="A1024" s="7">
        <v>45971</v>
      </c>
      <c r="B1024" s="9" t="s">
        <v>26</v>
      </c>
      <c r="C1024" s="4"/>
      <c r="D1024" s="6">
        <v>120</v>
      </c>
      <c r="E1024" s="6">
        <f>E1023+C1024-D1024</f>
      </c>
      <c r="F1024" s="2"/>
    </row>
    <row x14ac:dyDescent="0.25" r="1025" customHeight="1" ht="17.25">
      <c r="A1025" s="7">
        <v>45971</v>
      </c>
      <c r="B1025" s="9" t="s">
        <v>141</v>
      </c>
      <c r="C1025" s="6">
        <v>54</v>
      </c>
      <c r="D1025" s="4"/>
      <c r="E1025" s="6">
        <f>E1024+C1025-D1025</f>
      </c>
      <c r="F1025" s="2"/>
    </row>
    <row x14ac:dyDescent="0.25" r="1026" customHeight="1" ht="17.25">
      <c r="A1026" s="7">
        <v>45972</v>
      </c>
      <c r="B1026" s="9" t="s">
        <v>313</v>
      </c>
      <c r="C1026" s="4"/>
      <c r="D1026" s="6">
        <v>80</v>
      </c>
      <c r="E1026" s="6">
        <f>E1025+C1026-D1026</f>
      </c>
      <c r="F1026" s="2"/>
    </row>
    <row x14ac:dyDescent="0.25" r="1027" customHeight="1" ht="17.25">
      <c r="A1027" s="7">
        <v>45972</v>
      </c>
      <c r="B1027" s="9" t="s">
        <v>316</v>
      </c>
      <c r="C1027" s="4"/>
      <c r="D1027" s="6">
        <v>100</v>
      </c>
      <c r="E1027" s="6">
        <f>E1026+C1027-D1027</f>
      </c>
      <c r="F1027" s="2"/>
    </row>
    <row x14ac:dyDescent="0.25" r="1028" customHeight="1" ht="17.25">
      <c r="A1028" s="7">
        <v>45972</v>
      </c>
      <c r="B1028" s="9" t="s">
        <v>603</v>
      </c>
      <c r="C1028" s="4"/>
      <c r="D1028" s="6">
        <v>50</v>
      </c>
      <c r="E1028" s="6">
        <f>E1027+C1028-D1028</f>
      </c>
      <c r="F1028" s="2"/>
    </row>
    <row x14ac:dyDescent="0.25" r="1029" customHeight="1" ht="17.25">
      <c r="A1029" s="7">
        <v>45973</v>
      </c>
      <c r="B1029" s="9" t="s">
        <v>63</v>
      </c>
      <c r="C1029" s="6">
        <v>90</v>
      </c>
      <c r="D1029" s="4"/>
      <c r="E1029" s="6">
        <f>E1028+C1029-D1029</f>
      </c>
      <c r="F1029" s="2"/>
    </row>
    <row x14ac:dyDescent="0.25" r="1030" customHeight="1" ht="17.25">
      <c r="A1030" s="8">
        <v>45973</v>
      </c>
      <c r="B1030" s="9" t="s">
        <v>234</v>
      </c>
      <c r="C1030" s="6">
        <v>188</v>
      </c>
      <c r="D1030" s="4"/>
      <c r="E1030" s="6">
        <f>E1029+C1030-D1030</f>
      </c>
      <c r="F1030" s="2"/>
    </row>
    <row x14ac:dyDescent="0.25" r="1031" customHeight="1" ht="17.25">
      <c r="A1031" s="8">
        <v>45973</v>
      </c>
      <c r="B1031" s="9" t="s">
        <v>42</v>
      </c>
      <c r="C1031" s="4"/>
      <c r="D1031" s="6">
        <v>120</v>
      </c>
      <c r="E1031" s="6">
        <f>E1030+C1031-D1031</f>
      </c>
      <c r="F1031" s="2"/>
    </row>
    <row x14ac:dyDescent="0.25" r="1032" customHeight="1" ht="17.25">
      <c r="A1032" s="7">
        <v>45973</v>
      </c>
      <c r="B1032" s="9" t="s">
        <v>313</v>
      </c>
      <c r="C1032" s="4"/>
      <c r="D1032" s="6">
        <v>50</v>
      </c>
      <c r="E1032" s="6">
        <f>E1031+C1032-D1032</f>
      </c>
      <c r="F1032" s="2"/>
    </row>
    <row x14ac:dyDescent="0.25" r="1033" customHeight="1" ht="17.25">
      <c r="A1033" s="8">
        <v>45974</v>
      </c>
      <c r="B1033" s="9" t="s">
        <v>29</v>
      </c>
      <c r="C1033" s="6">
        <v>395</v>
      </c>
      <c r="D1033" s="4"/>
      <c r="E1033" s="6">
        <f>E1032+C1033-D1033</f>
      </c>
      <c r="F1033" s="2"/>
    </row>
    <row x14ac:dyDescent="0.25" r="1034" customHeight="1" ht="17.25">
      <c r="A1034" s="8">
        <v>45974</v>
      </c>
      <c r="B1034" s="9" t="s">
        <v>228</v>
      </c>
      <c r="C1034" s="6">
        <v>104</v>
      </c>
      <c r="D1034" s="4"/>
      <c r="E1034" s="6">
        <f>E1033+C1034-D1034</f>
      </c>
      <c r="F1034" s="2"/>
    </row>
    <row x14ac:dyDescent="0.25" r="1035" customHeight="1" ht="17.25">
      <c r="A1035" s="7">
        <v>45975</v>
      </c>
      <c r="B1035" s="9" t="s">
        <v>391</v>
      </c>
      <c r="C1035" s="6">
        <v>40</v>
      </c>
      <c r="D1035" s="4"/>
      <c r="E1035" s="6">
        <f>E1034+C1035-D1035</f>
      </c>
      <c r="F1035" s="2"/>
    </row>
    <row x14ac:dyDescent="0.25" r="1036" customHeight="1" ht="17.25">
      <c r="A1036" s="8">
        <v>45975</v>
      </c>
      <c r="B1036" s="9" t="s">
        <v>141</v>
      </c>
      <c r="C1036" s="6">
        <v>33</v>
      </c>
      <c r="D1036" s="4"/>
      <c r="E1036" s="6">
        <f>E1035+C1036-D1036</f>
      </c>
      <c r="F1036" s="2"/>
    </row>
    <row x14ac:dyDescent="0.25" r="1037" customHeight="1" ht="17.25">
      <c r="A1037" s="8">
        <v>45976</v>
      </c>
      <c r="B1037" s="9" t="s">
        <v>141</v>
      </c>
      <c r="C1037" s="6">
        <v>98</v>
      </c>
      <c r="D1037" s="4"/>
      <c r="E1037" s="6">
        <f>E1036+C1037-D1037</f>
      </c>
      <c r="F1037" s="2"/>
    </row>
    <row x14ac:dyDescent="0.25" r="1038" customHeight="1" ht="17.25">
      <c r="A1038" s="7">
        <v>45976</v>
      </c>
      <c r="B1038" s="9" t="s">
        <v>2</v>
      </c>
      <c r="C1038" s="4"/>
      <c r="D1038" s="6">
        <v>100</v>
      </c>
      <c r="E1038" s="6">
        <f>E1037+C1038-D1038</f>
      </c>
      <c r="F1038" s="2"/>
    </row>
    <row x14ac:dyDescent="0.25" r="1039" customHeight="1" ht="17.25">
      <c r="A1039" s="7">
        <v>45978</v>
      </c>
      <c r="B1039" s="9" t="s">
        <v>2</v>
      </c>
      <c r="C1039" s="4"/>
      <c r="D1039" s="6">
        <v>110</v>
      </c>
      <c r="E1039" s="6">
        <f>E1038+C1039-D1039</f>
      </c>
      <c r="F1039" s="2"/>
    </row>
    <row x14ac:dyDescent="0.25" r="1040" customHeight="1" ht="17.25">
      <c r="A1040" s="7">
        <v>45978</v>
      </c>
      <c r="B1040" s="9" t="s">
        <v>461</v>
      </c>
      <c r="C1040" s="4"/>
      <c r="D1040" s="6">
        <v>20</v>
      </c>
      <c r="E1040" s="6">
        <f>E1039+C1040-D1040</f>
      </c>
      <c r="F1040" s="2"/>
    </row>
    <row x14ac:dyDescent="0.25" r="1041" customHeight="1" ht="17.25">
      <c r="A1041" s="8">
        <v>45978</v>
      </c>
      <c r="B1041" s="9" t="s">
        <v>320</v>
      </c>
      <c r="C1041" s="6">
        <v>60</v>
      </c>
      <c r="D1041" s="4"/>
      <c r="E1041" s="6">
        <f>E1040+C1041-D1041</f>
      </c>
      <c r="F1041" s="2"/>
    </row>
    <row x14ac:dyDescent="0.25" r="1042" customHeight="1" ht="17.25">
      <c r="A1042" s="7">
        <v>45979</v>
      </c>
      <c r="B1042" s="9" t="s">
        <v>54</v>
      </c>
      <c r="C1042" s="4"/>
      <c r="D1042" s="6">
        <v>320</v>
      </c>
      <c r="E1042" s="6">
        <f>E1041+C1042-D1042</f>
      </c>
      <c r="F1042" s="2"/>
    </row>
    <row x14ac:dyDescent="0.25" r="1043" customHeight="1" ht="17.25">
      <c r="A1043" s="7">
        <v>45979</v>
      </c>
      <c r="B1043" s="9" t="s">
        <v>182</v>
      </c>
      <c r="C1043" s="6">
        <v>122</v>
      </c>
      <c r="D1043" s="4"/>
      <c r="E1043" s="6">
        <f>E1042+C1043-D1043</f>
      </c>
      <c r="F1043" s="2"/>
    </row>
    <row x14ac:dyDescent="0.25" r="1044" customHeight="1" ht="17.25">
      <c r="A1044" s="8">
        <v>45979</v>
      </c>
      <c r="B1044" s="9" t="s">
        <v>321</v>
      </c>
      <c r="C1044" s="6">
        <v>81</v>
      </c>
      <c r="D1044" s="4"/>
      <c r="E1044" s="6">
        <f>E1043+C1044-D1044</f>
      </c>
      <c r="F1044" s="2"/>
    </row>
    <row x14ac:dyDescent="0.25" r="1045" customHeight="1" ht="17.25">
      <c r="A1045" s="7">
        <v>45980</v>
      </c>
      <c r="B1045" s="9" t="s">
        <v>316</v>
      </c>
      <c r="C1045" s="4"/>
      <c r="D1045" s="6">
        <v>200</v>
      </c>
      <c r="E1045" s="6">
        <f>E1044+C1045-D1045</f>
      </c>
      <c r="F1045" s="2"/>
    </row>
    <row x14ac:dyDescent="0.25" r="1046" customHeight="1" ht="17.25">
      <c r="A1046" s="7">
        <v>45980</v>
      </c>
      <c r="B1046" s="9" t="s">
        <v>42</v>
      </c>
      <c r="C1046" s="4"/>
      <c r="D1046" s="6">
        <v>100</v>
      </c>
      <c r="E1046" s="6">
        <f>E1045+C1046-D1046</f>
      </c>
      <c r="F1046" s="2"/>
    </row>
    <row x14ac:dyDescent="0.25" r="1047" customHeight="1" ht="17.25">
      <c r="A1047" s="8">
        <v>45980</v>
      </c>
      <c r="B1047" s="9" t="s">
        <v>42</v>
      </c>
      <c r="C1047" s="4"/>
      <c r="D1047" s="6">
        <v>50</v>
      </c>
      <c r="E1047" s="6">
        <f>E1046+C1047-D1047</f>
      </c>
      <c r="F1047" s="2"/>
    </row>
    <row x14ac:dyDescent="0.25" r="1048" customHeight="1" ht="17.25">
      <c r="A1048" s="8">
        <v>45980</v>
      </c>
      <c r="B1048" s="9" t="s">
        <v>313</v>
      </c>
      <c r="C1048" s="4"/>
      <c r="D1048" s="6">
        <v>224</v>
      </c>
      <c r="E1048" s="6">
        <f>E1047+C1048-D1048</f>
      </c>
      <c r="F1048" s="2"/>
    </row>
    <row x14ac:dyDescent="0.25" r="1049" customHeight="1" ht="17.25">
      <c r="A1049" s="7">
        <v>45980</v>
      </c>
      <c r="B1049" s="9" t="s">
        <v>385</v>
      </c>
      <c r="C1049" s="6">
        <v>120</v>
      </c>
      <c r="D1049" s="4"/>
      <c r="E1049" s="6">
        <f>E1048+C1049-D1049</f>
      </c>
      <c r="F1049" s="2"/>
    </row>
    <row x14ac:dyDescent="0.25" r="1050" customHeight="1" ht="17.25">
      <c r="A1050" s="7">
        <v>45981</v>
      </c>
      <c r="B1050" s="9" t="s">
        <v>291</v>
      </c>
      <c r="C1050" s="6">
        <v>135</v>
      </c>
      <c r="D1050" s="4"/>
      <c r="E1050" s="6">
        <f>E1049+C1050-D1050</f>
      </c>
      <c r="F1050" s="2"/>
    </row>
    <row x14ac:dyDescent="0.25" r="1051" customHeight="1" ht="17.25">
      <c r="A1051" s="8">
        <v>45981</v>
      </c>
      <c r="B1051" s="9" t="s">
        <v>141</v>
      </c>
      <c r="C1051" s="6">
        <v>68</v>
      </c>
      <c r="D1051" s="4"/>
      <c r="E1051" s="6">
        <f>E1050+C1051-D1051</f>
      </c>
      <c r="F1051" s="2"/>
    </row>
    <row x14ac:dyDescent="0.25" r="1052" customHeight="1" ht="17.25">
      <c r="A1052" s="7">
        <v>45982</v>
      </c>
      <c r="B1052" s="9" t="s">
        <v>535</v>
      </c>
      <c r="C1052" s="4"/>
      <c r="D1052" s="6">
        <v>20</v>
      </c>
      <c r="E1052" s="6">
        <f>E1051+C1052-D1052</f>
      </c>
      <c r="F1052" s="2"/>
    </row>
    <row x14ac:dyDescent="0.25" r="1053" customHeight="1" ht="17.25">
      <c r="A1053" s="7">
        <v>45982</v>
      </c>
      <c r="B1053" s="9" t="s">
        <v>512</v>
      </c>
      <c r="C1053" s="4"/>
      <c r="D1053" s="6">
        <v>50</v>
      </c>
      <c r="E1053" s="6">
        <f>E1052+C1053-D1053</f>
      </c>
      <c r="F1053" s="2"/>
    </row>
    <row x14ac:dyDescent="0.25" r="1054" customHeight="1" ht="17.25">
      <c r="A1054" s="7">
        <v>45982</v>
      </c>
      <c r="B1054" s="9" t="s">
        <v>34</v>
      </c>
      <c r="C1054" s="6">
        <v>200</v>
      </c>
      <c r="D1054" s="4"/>
      <c r="E1054" s="6">
        <f>E1053+C1054-D1054</f>
      </c>
      <c r="F1054" s="2"/>
    </row>
    <row x14ac:dyDescent="0.25" r="1055" customHeight="1" ht="17.25">
      <c r="A1055" s="7">
        <v>45982</v>
      </c>
      <c r="B1055" s="9" t="s">
        <v>123</v>
      </c>
      <c r="C1055" s="6">
        <v>160</v>
      </c>
      <c r="D1055" s="4"/>
      <c r="E1055" s="6">
        <f>E1054+C1055-D1055</f>
      </c>
      <c r="F1055" s="2"/>
    </row>
    <row x14ac:dyDescent="0.25" r="1056" customHeight="1" ht="17.25">
      <c r="A1056" s="7">
        <v>45982</v>
      </c>
      <c r="B1056" s="9" t="s">
        <v>495</v>
      </c>
      <c r="C1056" s="6">
        <v>100</v>
      </c>
      <c r="D1056" s="4"/>
      <c r="E1056" s="6">
        <f>E1055+C1056-D1056</f>
      </c>
      <c r="F1056" s="2"/>
    </row>
    <row x14ac:dyDescent="0.25" r="1057" customHeight="1" ht="17.25">
      <c r="A1057" s="8">
        <v>45983</v>
      </c>
      <c r="B1057" s="9" t="s">
        <v>462</v>
      </c>
      <c r="C1057" s="4"/>
      <c r="D1057" s="6">
        <v>10</v>
      </c>
      <c r="E1057" s="6">
        <f>E1056+C1057-D1057</f>
      </c>
      <c r="F1057" s="2"/>
    </row>
    <row x14ac:dyDescent="0.25" r="1058" customHeight="1" ht="17.25">
      <c r="A1058" s="7">
        <v>45983</v>
      </c>
      <c r="B1058" s="9" t="s">
        <v>34</v>
      </c>
      <c r="C1058" s="6">
        <v>24</v>
      </c>
      <c r="D1058" s="4"/>
      <c r="E1058" s="6">
        <f>E1057+C1058-D1058</f>
      </c>
      <c r="F1058" s="2"/>
    </row>
    <row x14ac:dyDescent="0.25" r="1059" customHeight="1" ht="17.25">
      <c r="A1059" s="8">
        <v>45983</v>
      </c>
      <c r="B1059" s="9" t="s">
        <v>583</v>
      </c>
      <c r="C1059" s="6">
        <v>98</v>
      </c>
      <c r="D1059" s="4"/>
      <c r="E1059" s="6">
        <f>E1058+C1059-D1059</f>
      </c>
      <c r="F1059" s="2"/>
    </row>
    <row x14ac:dyDescent="0.25" r="1060" customHeight="1" ht="17.25">
      <c r="A1060" s="7">
        <v>45985</v>
      </c>
      <c r="B1060" s="9" t="s">
        <v>389</v>
      </c>
      <c r="C1060" s="4"/>
      <c r="D1060" s="6">
        <v>200</v>
      </c>
      <c r="E1060" s="6">
        <f>E1059+C1060-D1060</f>
      </c>
      <c r="F1060" s="2"/>
    </row>
    <row x14ac:dyDescent="0.25" r="1061" customHeight="1" ht="17.25">
      <c r="A1061" s="7">
        <v>45985</v>
      </c>
      <c r="B1061" s="9" t="s">
        <v>286</v>
      </c>
      <c r="C1061" s="4"/>
      <c r="D1061" s="6">
        <v>174</v>
      </c>
      <c r="E1061" s="6">
        <f>E1060+C1061-D1061</f>
      </c>
      <c r="F1061" s="2"/>
    </row>
    <row x14ac:dyDescent="0.25" r="1062" customHeight="1" ht="17.25">
      <c r="A1062" s="8">
        <v>45985</v>
      </c>
      <c r="B1062" s="9" t="s">
        <v>265</v>
      </c>
      <c r="C1062" s="6">
        <v>20</v>
      </c>
      <c r="D1062" s="4"/>
      <c r="E1062" s="6">
        <f>E1061+C1062-D1062</f>
      </c>
      <c r="F1062" s="2"/>
    </row>
    <row x14ac:dyDescent="0.25" r="1063" customHeight="1" ht="17.25">
      <c r="A1063" s="7">
        <v>45985</v>
      </c>
      <c r="B1063" s="9" t="s">
        <v>29</v>
      </c>
      <c r="C1063" s="6">
        <v>489</v>
      </c>
      <c r="D1063" s="4"/>
      <c r="E1063" s="6">
        <f>E1062+C1063-D1063</f>
      </c>
      <c r="F1063" s="2"/>
    </row>
    <row x14ac:dyDescent="0.25" r="1064" customHeight="1" ht="17.25">
      <c r="A1064" s="8">
        <v>45985</v>
      </c>
      <c r="B1064" s="9" t="s">
        <v>182</v>
      </c>
      <c r="C1064" s="6">
        <v>144</v>
      </c>
      <c r="D1064" s="4"/>
      <c r="E1064" s="6">
        <f>E1063+C1064-D1064</f>
      </c>
      <c r="F1064" s="2"/>
    </row>
    <row x14ac:dyDescent="0.25" r="1065" customHeight="1" ht="17.25">
      <c r="A1065" s="7">
        <v>45985</v>
      </c>
      <c r="B1065" s="9" t="s">
        <v>228</v>
      </c>
      <c r="C1065" s="6">
        <v>107</v>
      </c>
      <c r="D1065" s="4"/>
      <c r="E1065" s="6">
        <f>E1064+C1065-D1065</f>
      </c>
      <c r="F1065" s="2"/>
    </row>
    <row x14ac:dyDescent="0.25" r="1066" customHeight="1" ht="17.25">
      <c r="A1066" s="7">
        <v>45986</v>
      </c>
      <c r="B1066" s="9" t="s">
        <v>316</v>
      </c>
      <c r="C1066" s="4"/>
      <c r="D1066" s="6">
        <v>100</v>
      </c>
      <c r="E1066" s="6">
        <f>E1065+C1066-D1066</f>
      </c>
      <c r="F1066" s="2"/>
    </row>
    <row x14ac:dyDescent="0.25" r="1067" customHeight="1" ht="17.25">
      <c r="A1067" s="7">
        <v>45986</v>
      </c>
      <c r="B1067" s="9" t="s">
        <v>3</v>
      </c>
      <c r="C1067" s="6">
        <v>58</v>
      </c>
      <c r="D1067" s="4"/>
      <c r="E1067" s="6">
        <f>E1066+C1067-D1067</f>
      </c>
      <c r="F1067" s="2"/>
    </row>
    <row x14ac:dyDescent="0.25" r="1068" customHeight="1" ht="17.25">
      <c r="A1068" s="7">
        <v>45987</v>
      </c>
      <c r="B1068" s="9" t="s">
        <v>2</v>
      </c>
      <c r="C1068" s="4"/>
      <c r="D1068" s="6">
        <v>50</v>
      </c>
      <c r="E1068" s="6">
        <f>E1067+C1068-D1068</f>
      </c>
      <c r="F1068" s="2"/>
    </row>
    <row x14ac:dyDescent="0.25" r="1069" customHeight="1" ht="17.25">
      <c r="A1069" s="7">
        <v>45987</v>
      </c>
      <c r="B1069" s="9" t="s">
        <v>53</v>
      </c>
      <c r="C1069" s="4"/>
      <c r="D1069" s="6">
        <v>100</v>
      </c>
      <c r="E1069" s="6">
        <f>E1068+C1069-D1069</f>
      </c>
      <c r="F1069" s="2"/>
    </row>
    <row x14ac:dyDescent="0.25" r="1070" customHeight="1" ht="17.25">
      <c r="A1070" s="8">
        <v>45987</v>
      </c>
      <c r="B1070" s="9" t="s">
        <v>487</v>
      </c>
      <c r="C1070" s="6">
        <v>32</v>
      </c>
      <c r="D1070" s="4"/>
      <c r="E1070" s="6">
        <f>E1069+C1070-D1070</f>
      </c>
      <c r="F1070" s="2"/>
    </row>
    <row x14ac:dyDescent="0.25" r="1071" customHeight="1" ht="17.25">
      <c r="A1071" s="7">
        <v>45988</v>
      </c>
      <c r="B1071" s="9" t="s">
        <v>208</v>
      </c>
      <c r="C1071" s="6">
        <v>63</v>
      </c>
      <c r="D1071" s="4"/>
      <c r="E1071" s="6">
        <f>E1070+C1071-D1071</f>
      </c>
      <c r="F1071" s="2"/>
    </row>
    <row x14ac:dyDescent="0.25" r="1072" customHeight="1" ht="17.25">
      <c r="A1072" s="8">
        <v>45987</v>
      </c>
      <c r="B1072" s="9" t="s">
        <v>347</v>
      </c>
      <c r="C1072" s="6">
        <v>31</v>
      </c>
      <c r="D1072" s="4"/>
      <c r="E1072" s="6">
        <f>E1071+C1072-D1072</f>
      </c>
      <c r="F1072" s="2"/>
    </row>
    <row x14ac:dyDescent="0.25" r="1073" customHeight="1" ht="17.25">
      <c r="A1073" s="7">
        <v>45987</v>
      </c>
      <c r="B1073" s="9" t="s">
        <v>228</v>
      </c>
      <c r="C1073" s="6">
        <v>28</v>
      </c>
      <c r="D1073" s="4"/>
      <c r="E1073" s="6">
        <f>E1072+C1073-D1073</f>
      </c>
      <c r="F1073" s="2"/>
    </row>
    <row x14ac:dyDescent="0.25" r="1074" customHeight="1" ht="17.25">
      <c r="A1074" s="7">
        <v>45988</v>
      </c>
      <c r="B1074" s="9" t="s">
        <v>315</v>
      </c>
      <c r="C1074" s="6">
        <v>191</v>
      </c>
      <c r="D1074" s="4"/>
      <c r="E1074" s="6">
        <f>E1073+C1074-D1074</f>
      </c>
      <c r="F1074" s="2"/>
    </row>
    <row x14ac:dyDescent="0.25" r="1075" customHeight="1" ht="17.25">
      <c r="A1075" s="7">
        <v>45989</v>
      </c>
      <c r="B1075" s="9" t="s">
        <v>233</v>
      </c>
      <c r="C1075" s="4"/>
      <c r="D1075" s="6">
        <v>600</v>
      </c>
      <c r="E1075" s="6">
        <f>E1074+C1075-D1075</f>
      </c>
      <c r="F1075" s="2"/>
    </row>
    <row x14ac:dyDescent="0.25" r="1076" customHeight="1" ht="17.25">
      <c r="A1076" s="7">
        <v>45989</v>
      </c>
      <c r="B1076" s="9" t="s">
        <v>316</v>
      </c>
      <c r="C1076" s="4"/>
      <c r="D1076" s="6">
        <v>100</v>
      </c>
      <c r="E1076" s="6">
        <f>E1075+C1076-D1076</f>
      </c>
      <c r="F1076" s="2"/>
    </row>
    <row x14ac:dyDescent="0.25" r="1077" customHeight="1" ht="17.25">
      <c r="A1077" s="7">
        <v>45989</v>
      </c>
      <c r="B1077" s="9" t="s">
        <v>289</v>
      </c>
      <c r="C1077" s="4"/>
      <c r="D1077" s="6">
        <v>100</v>
      </c>
      <c r="E1077" s="6">
        <f>E1076+C1077-D1077</f>
      </c>
      <c r="F1077" s="2"/>
    </row>
    <row x14ac:dyDescent="0.25" r="1078" customHeight="1" ht="17.25">
      <c r="A1078" s="7">
        <v>45989</v>
      </c>
      <c r="B1078" s="9" t="s">
        <v>403</v>
      </c>
      <c r="C1078" s="4"/>
      <c r="D1078" s="6">
        <v>174</v>
      </c>
      <c r="E1078" s="6">
        <f>E1077+C1078-D1078</f>
      </c>
      <c r="F1078" s="2"/>
    </row>
    <row x14ac:dyDescent="0.25" r="1079" customHeight="1" ht="17.25">
      <c r="A1079" s="8">
        <v>45989</v>
      </c>
      <c r="B1079" s="9" t="s">
        <v>584</v>
      </c>
      <c r="C1079" s="6">
        <v>70</v>
      </c>
      <c r="D1079" s="4"/>
      <c r="E1079" s="6">
        <f>E1078+C1079-D1079</f>
      </c>
      <c r="F1079" s="2"/>
    </row>
    <row x14ac:dyDescent="0.25" r="1080" customHeight="1" ht="17.25">
      <c r="A1080" s="7">
        <v>45989</v>
      </c>
      <c r="B1080" s="9" t="s">
        <v>461</v>
      </c>
      <c r="C1080" s="6">
        <v>20</v>
      </c>
      <c r="D1080" s="4"/>
      <c r="E1080" s="6">
        <f>E1079+C1080-D1080</f>
      </c>
      <c r="F1080" s="2"/>
    </row>
    <row x14ac:dyDescent="0.25" r="1081" customHeight="1" ht="17.25">
      <c r="A1081" s="7">
        <v>45990</v>
      </c>
      <c r="B1081" s="9" t="s">
        <v>53</v>
      </c>
      <c r="C1081" s="4"/>
      <c r="D1081" s="6">
        <v>200</v>
      </c>
      <c r="E1081" s="6">
        <f>E1080+C1081-D1081</f>
      </c>
      <c r="F1081" s="2"/>
    </row>
    <row x14ac:dyDescent="0.25" r="1082" customHeight="1" ht="17.25">
      <c r="A1082" s="7">
        <v>45990</v>
      </c>
      <c r="B1082" s="9" t="s">
        <v>289</v>
      </c>
      <c r="C1082" s="4"/>
      <c r="D1082" s="6">
        <v>100</v>
      </c>
      <c r="E1082" s="6">
        <f>E1081+C1082-D1082</f>
      </c>
      <c r="F1082" s="2"/>
    </row>
    <row x14ac:dyDescent="0.25" r="1083" customHeight="1" ht="17.25">
      <c r="A1083" s="7">
        <v>45990</v>
      </c>
      <c r="B1083" s="9" t="s">
        <v>63</v>
      </c>
      <c r="C1083" s="6">
        <v>600</v>
      </c>
      <c r="D1083" s="4"/>
      <c r="E1083" s="6">
        <f>E1082+C1083-D1083</f>
      </c>
      <c r="F1083" s="2"/>
    </row>
    <row x14ac:dyDescent="0.25" r="1084" customHeight="1" ht="17.25">
      <c r="A1084" s="7">
        <v>45990</v>
      </c>
      <c r="B1084" s="9" t="s">
        <v>491</v>
      </c>
      <c r="C1084" s="6">
        <v>80</v>
      </c>
      <c r="D1084" s="4"/>
      <c r="E1084" s="6">
        <f>E1083+C1084-D1084</f>
      </c>
      <c r="F1084" s="2"/>
    </row>
    <row x14ac:dyDescent="0.25" r="1085" customHeight="1" ht="17.25">
      <c r="A1085" s="7">
        <v>45990</v>
      </c>
      <c r="B1085" s="9" t="s">
        <v>228</v>
      </c>
      <c r="C1085" s="6">
        <v>100</v>
      </c>
      <c r="D1085" s="4"/>
      <c r="E1085" s="6">
        <f>E1084+C1085-D1085</f>
      </c>
      <c r="F1085" s="2"/>
    </row>
    <row x14ac:dyDescent="0.25" r="1086" customHeight="1" ht="17.25">
      <c r="A1086" s="7">
        <v>45992</v>
      </c>
      <c r="B1086" s="9" t="s">
        <v>54</v>
      </c>
      <c r="C1086" s="4"/>
      <c r="D1086" s="6">
        <v>194</v>
      </c>
      <c r="E1086" s="6">
        <f>E1085+C1086-D1086</f>
      </c>
      <c r="F1086" s="2"/>
    </row>
    <row x14ac:dyDescent="0.25" r="1087" customHeight="1" ht="17.25">
      <c r="A1087" s="7">
        <v>45992</v>
      </c>
      <c r="B1087" s="9" t="s">
        <v>424</v>
      </c>
      <c r="C1087" s="4"/>
      <c r="D1087" s="6">
        <v>80</v>
      </c>
      <c r="E1087" s="6">
        <f>E1086+C1087-D1087</f>
      </c>
      <c r="F1087" s="2"/>
    </row>
    <row x14ac:dyDescent="0.25" r="1088" customHeight="1" ht="17.25">
      <c r="A1088" s="8">
        <v>45992</v>
      </c>
      <c r="B1088" s="9" t="s">
        <v>185</v>
      </c>
      <c r="C1088" s="4"/>
      <c r="D1088" s="6">
        <v>150</v>
      </c>
      <c r="E1088" s="6">
        <f>E1087+C1088-D1088</f>
      </c>
      <c r="F1088" s="2"/>
    </row>
    <row x14ac:dyDescent="0.25" r="1089" customHeight="1" ht="17.25">
      <c r="A1089" s="7">
        <v>45992</v>
      </c>
      <c r="B1089" s="9" t="s">
        <v>53</v>
      </c>
      <c r="C1089" s="4"/>
      <c r="D1089" s="6">
        <v>100</v>
      </c>
      <c r="E1089" s="6">
        <f>E1088+C1089-D1089</f>
      </c>
      <c r="F1089" s="2"/>
    </row>
    <row x14ac:dyDescent="0.25" r="1090" customHeight="1" ht="17.25">
      <c r="A1090" s="7">
        <v>45992</v>
      </c>
      <c r="B1090" s="9" t="s">
        <v>233</v>
      </c>
      <c r="C1090" s="4"/>
      <c r="D1090" s="6">
        <v>100</v>
      </c>
      <c r="E1090" s="6">
        <f>E1089+C1090-D1090</f>
      </c>
      <c r="F1090" s="2"/>
    </row>
    <row x14ac:dyDescent="0.25" r="1091" customHeight="1" ht="17.25">
      <c r="A1091" s="8">
        <v>45992</v>
      </c>
      <c r="B1091" s="9" t="s">
        <v>284</v>
      </c>
      <c r="C1091" s="6">
        <v>12</v>
      </c>
      <c r="D1091" s="4"/>
      <c r="E1091" s="6">
        <f>E1090+C1091-D1091</f>
      </c>
      <c r="F1091" s="2"/>
    </row>
    <row x14ac:dyDescent="0.25" r="1092" customHeight="1" ht="17.25">
      <c r="A1092" s="7">
        <v>45992</v>
      </c>
      <c r="B1092" s="9" t="s">
        <v>228</v>
      </c>
      <c r="C1092" s="6">
        <v>39</v>
      </c>
      <c r="D1092" s="4"/>
      <c r="E1092" s="6">
        <f>E1091+C1092-D1092</f>
      </c>
      <c r="F1092" s="2"/>
    </row>
    <row x14ac:dyDescent="0.25" r="1093" customHeight="1" ht="17.25">
      <c r="A1093" s="7">
        <v>45993</v>
      </c>
      <c r="B1093" s="9" t="s">
        <v>460</v>
      </c>
      <c r="C1093" s="4"/>
      <c r="D1093" s="6">
        <v>60</v>
      </c>
      <c r="E1093" s="6">
        <f>E1092+C1093-D1093</f>
      </c>
      <c r="F1093" s="2"/>
    </row>
    <row x14ac:dyDescent="0.25" r="1094" customHeight="1" ht="17.25">
      <c r="A1094" s="7">
        <v>45993</v>
      </c>
      <c r="B1094" s="9" t="s">
        <v>42</v>
      </c>
      <c r="C1094" s="4"/>
      <c r="D1094" s="6">
        <v>100</v>
      </c>
      <c r="E1094" s="6">
        <f>E1093+C1094-D1094</f>
      </c>
      <c r="F1094" s="2"/>
    </row>
    <row x14ac:dyDescent="0.25" r="1095" customHeight="1" ht="17.25">
      <c r="A1095" s="7">
        <v>45993</v>
      </c>
      <c r="B1095" s="9" t="s">
        <v>141</v>
      </c>
      <c r="C1095" s="4"/>
      <c r="D1095" s="6">
        <v>48</v>
      </c>
      <c r="E1095" s="6">
        <f>E1094+C1095-D1095</f>
      </c>
      <c r="F1095" s="2"/>
    </row>
    <row x14ac:dyDescent="0.25" r="1096" customHeight="1" ht="17.25">
      <c r="A1096" s="7">
        <v>45993</v>
      </c>
      <c r="B1096" s="9" t="s">
        <v>535</v>
      </c>
      <c r="C1096" s="4"/>
      <c r="D1096" s="6">
        <v>240</v>
      </c>
      <c r="E1096" s="6">
        <f>E1095+C1096-D1096</f>
      </c>
      <c r="F1096" s="2"/>
    </row>
    <row x14ac:dyDescent="0.25" r="1097" customHeight="1" ht="17.25">
      <c r="A1097" s="7">
        <v>45993</v>
      </c>
      <c r="B1097" s="9" t="s">
        <v>34</v>
      </c>
      <c r="C1097" s="6">
        <v>40</v>
      </c>
      <c r="D1097" s="4"/>
      <c r="E1097" s="6">
        <f>E1096+C1097-D1097</f>
      </c>
      <c r="F1097" s="2"/>
    </row>
    <row x14ac:dyDescent="0.25" r="1098" customHeight="1" ht="17.25">
      <c r="A1098" s="7">
        <v>45993</v>
      </c>
      <c r="B1098" s="9" t="s">
        <v>315</v>
      </c>
      <c r="C1098" s="6">
        <v>9</v>
      </c>
      <c r="D1098" s="4"/>
      <c r="E1098" s="6">
        <f>E1097+C1098-D1098</f>
      </c>
      <c r="F1098" s="2"/>
    </row>
    <row x14ac:dyDescent="0.25" r="1099" customHeight="1" ht="17.25">
      <c r="A1099" s="7">
        <v>45994</v>
      </c>
      <c r="B1099" s="9" t="s">
        <v>313</v>
      </c>
      <c r="C1099" s="4"/>
      <c r="D1099" s="6">
        <v>50</v>
      </c>
      <c r="E1099" s="6">
        <f>E1098+C1099-D1099</f>
      </c>
      <c r="F1099" s="2"/>
    </row>
    <row x14ac:dyDescent="0.25" r="1100" customHeight="1" ht="17.25">
      <c r="A1100" s="7">
        <v>45994</v>
      </c>
      <c r="B1100" s="9" t="s">
        <v>63</v>
      </c>
      <c r="C1100" s="6">
        <v>100</v>
      </c>
      <c r="D1100" s="4"/>
      <c r="E1100" s="6">
        <f>E1099+C1100-D1100</f>
      </c>
      <c r="F1100" s="2"/>
    </row>
    <row x14ac:dyDescent="0.25" r="1101" customHeight="1" ht="17.25">
      <c r="A1101" s="7">
        <v>45994</v>
      </c>
      <c r="B1101" s="9" t="s">
        <v>63</v>
      </c>
      <c r="C1101" s="6">
        <v>300</v>
      </c>
      <c r="D1101" s="4"/>
      <c r="E1101" s="6">
        <f>E1100+C1101-D1101</f>
      </c>
      <c r="F1101" s="2"/>
    </row>
    <row x14ac:dyDescent="0.25" r="1102" customHeight="1" ht="17.25">
      <c r="A1102" s="7">
        <v>45994</v>
      </c>
      <c r="B1102" s="9" t="s">
        <v>26</v>
      </c>
      <c r="C1102" s="4"/>
      <c r="D1102" s="6">
        <v>200</v>
      </c>
      <c r="E1102" s="6">
        <f>E1101+C1102-D1102</f>
      </c>
      <c r="F1102" s="2"/>
    </row>
    <row x14ac:dyDescent="0.25" r="1103" customHeight="1" ht="17.25">
      <c r="A1103" s="7">
        <v>45994</v>
      </c>
      <c r="B1103" s="9" t="s">
        <v>2</v>
      </c>
      <c r="C1103" s="4"/>
      <c r="D1103" s="6">
        <v>70</v>
      </c>
      <c r="E1103" s="6">
        <f>E1102+C1103-D1103</f>
      </c>
      <c r="F1103" s="2"/>
    </row>
    <row x14ac:dyDescent="0.25" r="1104" customHeight="1" ht="17.25">
      <c r="A1104" s="7">
        <v>45994</v>
      </c>
      <c r="B1104" s="9" t="s">
        <v>402</v>
      </c>
      <c r="C1104" s="4"/>
      <c r="D1104" s="6">
        <v>50</v>
      </c>
      <c r="E1104" s="6">
        <f>E1103+C1104-D1104</f>
      </c>
      <c r="F1104" s="2"/>
    </row>
    <row x14ac:dyDescent="0.25" r="1105" customHeight="1" ht="17.25">
      <c r="A1105" s="8">
        <v>45994</v>
      </c>
      <c r="B1105" s="9" t="s">
        <v>34</v>
      </c>
      <c r="C1105" s="6">
        <v>47</v>
      </c>
      <c r="D1105" s="4"/>
      <c r="E1105" s="6">
        <f>E1104+C1105-D1105</f>
      </c>
      <c r="F1105" s="2"/>
    </row>
    <row x14ac:dyDescent="0.25" r="1106" customHeight="1" ht="17.25">
      <c r="A1106" s="7">
        <v>45994</v>
      </c>
      <c r="B1106" s="9" t="s">
        <v>3</v>
      </c>
      <c r="C1106" s="6">
        <v>7</v>
      </c>
      <c r="D1106" s="4"/>
      <c r="E1106" s="6">
        <f>E1105+C1106-D1106</f>
      </c>
      <c r="F1106" s="2"/>
    </row>
    <row x14ac:dyDescent="0.25" r="1107" customHeight="1" ht="17.25">
      <c r="A1107" s="7">
        <v>45995</v>
      </c>
      <c r="B1107" s="9" t="s">
        <v>313</v>
      </c>
      <c r="C1107" s="4"/>
      <c r="D1107" s="6">
        <v>52</v>
      </c>
      <c r="E1107" s="6">
        <f>E1106+C1107-D1107</f>
      </c>
      <c r="F1107" s="2"/>
    </row>
    <row x14ac:dyDescent="0.25" r="1108" customHeight="1" ht="17.25">
      <c r="A1108" s="7">
        <v>45995</v>
      </c>
      <c r="B1108" s="9" t="s">
        <v>316</v>
      </c>
      <c r="C1108" s="4"/>
      <c r="D1108" s="6">
        <v>60</v>
      </c>
      <c r="E1108" s="6">
        <f>E1107+C1108-D1108</f>
      </c>
      <c r="F1108" s="2"/>
    </row>
    <row x14ac:dyDescent="0.25" r="1109" customHeight="1" ht="17.25">
      <c r="A1109" s="7">
        <v>45995</v>
      </c>
      <c r="B1109" s="9" t="s">
        <v>402</v>
      </c>
      <c r="C1109" s="4"/>
      <c r="D1109" s="6">
        <v>50</v>
      </c>
      <c r="E1109" s="6">
        <f>E1108+C1109-D1109</f>
      </c>
      <c r="F1109" s="2"/>
    </row>
    <row x14ac:dyDescent="0.25" r="1110" customHeight="1" ht="17.25">
      <c r="A1110" s="7">
        <v>45995</v>
      </c>
      <c r="B1110" s="9" t="s">
        <v>34</v>
      </c>
      <c r="C1110" s="6">
        <v>70</v>
      </c>
      <c r="D1110" s="4"/>
      <c r="E1110" s="6">
        <f>E1109+C1110-D1110</f>
      </c>
      <c r="F1110" s="2"/>
    </row>
    <row x14ac:dyDescent="0.25" r="1111" customHeight="1" ht="17.25">
      <c r="A1111" s="7">
        <v>45995</v>
      </c>
      <c r="B1111" s="9" t="s">
        <v>310</v>
      </c>
      <c r="C1111" s="6">
        <v>50</v>
      </c>
      <c r="D1111" s="4"/>
      <c r="E1111" s="6">
        <f>E1110+C1111-D1111</f>
      </c>
      <c r="F1111" s="2"/>
    </row>
    <row x14ac:dyDescent="0.25" r="1112" customHeight="1" ht="17.25">
      <c r="A1112" s="7">
        <v>45996</v>
      </c>
      <c r="B1112" s="9" t="s">
        <v>313</v>
      </c>
      <c r="C1112" s="4"/>
      <c r="D1112" s="6">
        <v>90</v>
      </c>
      <c r="E1112" s="6">
        <f>E1111+C1112-D1112</f>
      </c>
      <c r="F1112" s="2"/>
    </row>
    <row x14ac:dyDescent="0.25" r="1113" customHeight="1" ht="17.25">
      <c r="A1113" s="7">
        <v>45996</v>
      </c>
      <c r="B1113" s="9" t="s">
        <v>316</v>
      </c>
      <c r="C1113" s="4"/>
      <c r="D1113" s="6">
        <v>40</v>
      </c>
      <c r="E1113" s="6">
        <f>E1112+C1113-D1113</f>
      </c>
      <c r="F1113" s="2"/>
    </row>
    <row x14ac:dyDescent="0.25" r="1114" customHeight="1" ht="17.25">
      <c r="A1114" s="7">
        <v>45996</v>
      </c>
      <c r="B1114" s="9" t="s">
        <v>297</v>
      </c>
      <c r="C1114" s="6">
        <v>200</v>
      </c>
      <c r="D1114" s="4"/>
      <c r="E1114" s="6">
        <f>E1113+C1114-D1114</f>
      </c>
      <c r="F1114" s="2"/>
    </row>
    <row x14ac:dyDescent="0.25" r="1115" customHeight="1" ht="17.25">
      <c r="A1115" s="7">
        <v>45996</v>
      </c>
      <c r="B1115" s="9" t="s">
        <v>228</v>
      </c>
      <c r="C1115" s="6">
        <v>40</v>
      </c>
      <c r="D1115" s="4"/>
      <c r="E1115" s="6">
        <f>E1114+C1115-D1115</f>
      </c>
      <c r="F1115" s="2"/>
    </row>
    <row x14ac:dyDescent="0.25" r="1116" customHeight="1" ht="17.25">
      <c r="A1116" s="7">
        <v>45997</v>
      </c>
      <c r="B1116" s="9" t="s">
        <v>535</v>
      </c>
      <c r="C1116" s="4"/>
      <c r="D1116" s="6">
        <v>90</v>
      </c>
      <c r="E1116" s="6">
        <f>E1115+C1116-D1116</f>
      </c>
      <c r="F1116" s="2"/>
    </row>
    <row x14ac:dyDescent="0.25" r="1117" customHeight="1" ht="17.25">
      <c r="A1117" s="1"/>
      <c r="B1117" s="2"/>
      <c r="C1117" s="4"/>
      <c r="D1117" s="4"/>
      <c r="E1117" s="6">
        <f>E1116+C1117-D1117</f>
      </c>
      <c r="F1117" s="2"/>
    </row>
    <row x14ac:dyDescent="0.25" r="1118" customHeight="1" ht="17.25">
      <c r="A1118" s="1"/>
      <c r="B1118" s="9" t="s">
        <v>604</v>
      </c>
      <c r="C1118" s="4"/>
      <c r="D1118" s="4"/>
      <c r="E1118" s="6">
        <f>E1117+C1118-D1118</f>
      </c>
      <c r="F1118" s="2"/>
    </row>
    <row x14ac:dyDescent="0.25" r="1119" customHeight="1" ht="17.25">
      <c r="A1119" s="7">
        <v>45999</v>
      </c>
      <c r="B1119" s="9" t="s">
        <v>56</v>
      </c>
      <c r="C1119" s="4"/>
      <c r="D1119" s="6">
        <v>26</v>
      </c>
      <c r="E1119" s="6">
        <f>E1118+C1119-D1119</f>
      </c>
      <c r="F1119" s="2"/>
    </row>
    <row x14ac:dyDescent="0.25" r="1120" customHeight="1" ht="17.25">
      <c r="A1120" s="7">
        <v>45999</v>
      </c>
      <c r="B1120" s="9" t="s">
        <v>517</v>
      </c>
      <c r="C1120" s="6">
        <v>170</v>
      </c>
      <c r="D1120" s="4"/>
      <c r="E1120" s="6">
        <f>E1119+C1120-D1120</f>
      </c>
      <c r="F1120" s="2"/>
    </row>
    <row x14ac:dyDescent="0.25" r="1121" customHeight="1" ht="17.25">
      <c r="A1121" s="7">
        <v>46000</v>
      </c>
      <c r="B1121" s="9" t="s">
        <v>63</v>
      </c>
      <c r="C1121" s="6">
        <v>74</v>
      </c>
      <c r="D1121" s="4"/>
      <c r="E1121" s="6">
        <f>E1120+C1121-D1121</f>
      </c>
      <c r="F1121" s="2"/>
    </row>
    <row x14ac:dyDescent="0.25" r="1122" customHeight="1" ht="17.25">
      <c r="A1122" s="7">
        <v>46000</v>
      </c>
      <c r="B1122" s="9" t="s">
        <v>228</v>
      </c>
      <c r="C1122" s="6">
        <v>20</v>
      </c>
      <c r="D1122" s="4"/>
      <c r="E1122" s="6">
        <f>E1121+C1122-D1122</f>
      </c>
      <c r="F1122" s="2"/>
    </row>
    <row x14ac:dyDescent="0.25" r="1123" customHeight="1" ht="17.25">
      <c r="A1123" s="7">
        <v>46000</v>
      </c>
      <c r="B1123" s="9" t="s">
        <v>391</v>
      </c>
      <c r="C1123" s="6">
        <v>35</v>
      </c>
      <c r="D1123" s="4"/>
      <c r="E1123" s="6">
        <f>E1122+C1123-D1123</f>
      </c>
      <c r="F1123" s="2"/>
    </row>
    <row x14ac:dyDescent="0.25" r="1124" customHeight="1" ht="17.25">
      <c r="A1124" s="7">
        <v>46000</v>
      </c>
      <c r="B1124" s="9" t="s">
        <v>369</v>
      </c>
      <c r="C1124" s="6">
        <v>36</v>
      </c>
      <c r="D1124" s="4"/>
      <c r="E1124" s="6">
        <f>E1123+C1124-D1124</f>
      </c>
      <c r="F1124" s="2"/>
    </row>
    <row x14ac:dyDescent="0.25" r="1125" customHeight="1" ht="17.25">
      <c r="A1125" s="7">
        <v>46000</v>
      </c>
      <c r="B1125" s="9" t="s">
        <v>535</v>
      </c>
      <c r="C1125" s="4"/>
      <c r="D1125" s="6">
        <v>150</v>
      </c>
      <c r="E1125" s="6">
        <f>E1124+C1125-D1125</f>
      </c>
      <c r="F1125" s="2"/>
    </row>
    <row x14ac:dyDescent="0.25" r="1126" customHeight="1" ht="17.25">
      <c r="A1126" s="7">
        <v>46000</v>
      </c>
      <c r="B1126" s="9" t="s">
        <v>569</v>
      </c>
      <c r="C1126" s="4"/>
      <c r="D1126" s="6">
        <v>160</v>
      </c>
      <c r="E1126" s="6">
        <f>E1125+C1126-D1126</f>
      </c>
      <c r="F1126" s="2"/>
    </row>
    <row x14ac:dyDescent="0.25" r="1127" customHeight="1" ht="17.25">
      <c r="A1127" s="8">
        <v>46000</v>
      </c>
      <c r="B1127" s="9" t="s">
        <v>53</v>
      </c>
      <c r="C1127" s="4"/>
      <c r="D1127" s="6">
        <v>110</v>
      </c>
      <c r="E1127" s="6">
        <f>E1126+C1127-D1127</f>
      </c>
      <c r="F1127" s="2"/>
    </row>
    <row x14ac:dyDescent="0.25" r="1128" customHeight="1" ht="17.25">
      <c r="A1128" s="7">
        <v>46001</v>
      </c>
      <c r="B1128" s="9" t="s">
        <v>53</v>
      </c>
      <c r="C1128" s="4"/>
      <c r="D1128" s="6">
        <v>50</v>
      </c>
      <c r="E1128" s="6">
        <f>E1127+C1128-D1128</f>
      </c>
      <c r="F1128" s="2"/>
    </row>
    <row x14ac:dyDescent="0.25" r="1129" customHeight="1" ht="17.25">
      <c r="A1129" s="7">
        <v>46001</v>
      </c>
      <c r="B1129" s="9" t="s">
        <v>233</v>
      </c>
      <c r="C1129" s="4"/>
      <c r="D1129" s="6">
        <v>118</v>
      </c>
      <c r="E1129" s="6">
        <f>E1128+C1129-D1129</f>
      </c>
      <c r="F1129" s="2"/>
    </row>
    <row x14ac:dyDescent="0.25" r="1130" customHeight="1" ht="17.25">
      <c r="A1130" s="7">
        <v>46001</v>
      </c>
      <c r="B1130" s="9" t="s">
        <v>63</v>
      </c>
      <c r="C1130" s="6">
        <v>100</v>
      </c>
      <c r="D1130" s="4"/>
      <c r="E1130" s="6">
        <f>E1129+C1130-D1130</f>
      </c>
      <c r="F1130" s="2"/>
    </row>
    <row x14ac:dyDescent="0.25" r="1131" customHeight="1" ht="17.25">
      <c r="A1131" s="7">
        <v>46001</v>
      </c>
      <c r="B1131" s="9" t="s">
        <v>63</v>
      </c>
      <c r="C1131" s="6">
        <v>300</v>
      </c>
      <c r="D1131" s="4"/>
      <c r="E1131" s="6">
        <f>E1130+C1131-D1131</f>
      </c>
      <c r="F1131" s="2"/>
    </row>
    <row x14ac:dyDescent="0.25" r="1132" customHeight="1" ht="17.25">
      <c r="A1132" s="7">
        <v>46001</v>
      </c>
      <c r="B1132" s="9" t="s">
        <v>316</v>
      </c>
      <c r="C1132" s="4"/>
      <c r="D1132" s="6">
        <v>75</v>
      </c>
      <c r="E1132" s="6">
        <f>E1131+C1132-D1132</f>
      </c>
      <c r="F1132" s="2"/>
    </row>
    <row x14ac:dyDescent="0.25" r="1133" customHeight="1" ht="17.25">
      <c r="A1133" s="8">
        <v>46001</v>
      </c>
      <c r="B1133" s="9" t="s">
        <v>321</v>
      </c>
      <c r="C1133" s="6">
        <v>52</v>
      </c>
      <c r="D1133" s="4"/>
      <c r="E1133" s="6">
        <f>E1132+C1133-D1133</f>
      </c>
      <c r="F1133" s="2"/>
    </row>
    <row x14ac:dyDescent="0.25" r="1134" customHeight="1" ht="17.25">
      <c r="A1134" s="7">
        <v>46002</v>
      </c>
      <c r="B1134" s="9" t="s">
        <v>289</v>
      </c>
      <c r="C1134" s="4"/>
      <c r="D1134" s="6">
        <v>100</v>
      </c>
      <c r="E1134" s="6">
        <f>E1133+C1134-D1134</f>
      </c>
      <c r="F1134" s="2"/>
    </row>
    <row x14ac:dyDescent="0.25" r="1135" customHeight="1" ht="17.25">
      <c r="A1135" s="7">
        <v>46002</v>
      </c>
      <c r="B1135" s="9" t="s">
        <v>512</v>
      </c>
      <c r="C1135" s="4"/>
      <c r="D1135" s="6">
        <v>50</v>
      </c>
      <c r="E1135" s="6">
        <f>E1134+C1135-D1135</f>
      </c>
      <c r="F1135" s="2"/>
    </row>
    <row x14ac:dyDescent="0.25" r="1136" customHeight="1" ht="17.25">
      <c r="A1136" s="7">
        <v>46002</v>
      </c>
      <c r="B1136" s="9" t="s">
        <v>63</v>
      </c>
      <c r="C1136" s="6">
        <v>100</v>
      </c>
      <c r="D1136" s="4"/>
      <c r="E1136" s="6">
        <f>E1135+C1136-D1136</f>
      </c>
      <c r="F1136" s="2"/>
    </row>
    <row x14ac:dyDescent="0.25" r="1137" customHeight="1" ht="17.25">
      <c r="A1137" s="7">
        <v>46002</v>
      </c>
      <c r="B1137" s="9" t="s">
        <v>316</v>
      </c>
      <c r="C1137" s="4"/>
      <c r="D1137" s="6">
        <v>60</v>
      </c>
      <c r="E1137" s="6">
        <f>E1136+C1137-D1137</f>
      </c>
      <c r="F1137" s="2"/>
    </row>
    <row x14ac:dyDescent="0.25" r="1138" customHeight="1" ht="17.25">
      <c r="A1138" s="8">
        <v>46002</v>
      </c>
      <c r="B1138" s="9" t="s">
        <v>42</v>
      </c>
      <c r="C1138" s="4"/>
      <c r="D1138" s="6">
        <v>110</v>
      </c>
      <c r="E1138" s="6">
        <f>E1137+C1138-D1138</f>
      </c>
      <c r="F1138" s="2"/>
    </row>
    <row x14ac:dyDescent="0.25" r="1139" customHeight="1" ht="17.25">
      <c r="A1139" s="8">
        <v>46002</v>
      </c>
      <c r="B1139" s="9" t="s">
        <v>4</v>
      </c>
      <c r="C1139" s="6">
        <v>60</v>
      </c>
      <c r="D1139" s="4"/>
      <c r="E1139" s="6">
        <f>E1138+C1139-D1139</f>
      </c>
      <c r="F1139" s="2"/>
    </row>
    <row x14ac:dyDescent="0.25" r="1140" customHeight="1" ht="17.25">
      <c r="A1140" s="7">
        <v>46003</v>
      </c>
      <c r="B1140" s="9" t="s">
        <v>63</v>
      </c>
      <c r="C1140" s="6">
        <v>550</v>
      </c>
      <c r="D1140" s="4"/>
      <c r="E1140" s="6">
        <f>E1139+C1140-D1140</f>
      </c>
      <c r="F1140" s="2"/>
    </row>
    <row x14ac:dyDescent="0.25" r="1141" customHeight="1" ht="17.25">
      <c r="A1141" s="8">
        <v>46003</v>
      </c>
      <c r="B1141" s="9" t="s">
        <v>42</v>
      </c>
      <c r="C1141" s="4"/>
      <c r="D1141" s="6">
        <v>90</v>
      </c>
      <c r="E1141" s="6">
        <f>E1140+C1141-D1141</f>
      </c>
      <c r="F1141" s="2"/>
    </row>
    <row x14ac:dyDescent="0.25" r="1142" customHeight="1" ht="17.25">
      <c r="A1142" s="7">
        <v>46003</v>
      </c>
      <c r="B1142" s="9" t="s">
        <v>316</v>
      </c>
      <c r="C1142" s="4"/>
      <c r="D1142" s="6">
        <v>150</v>
      </c>
      <c r="E1142" s="6">
        <f>E1141+C1142-D1142</f>
      </c>
      <c r="F1142" s="2"/>
    </row>
    <row x14ac:dyDescent="0.25" r="1143" customHeight="1" ht="17.25">
      <c r="A1143" s="7">
        <v>46003</v>
      </c>
      <c r="B1143" s="9" t="s">
        <v>402</v>
      </c>
      <c r="C1143" s="4"/>
      <c r="D1143" s="6">
        <v>50</v>
      </c>
      <c r="E1143" s="6">
        <f>E1142+C1143-D1143</f>
      </c>
      <c r="F1143" s="2"/>
    </row>
    <row x14ac:dyDescent="0.25" r="1144" customHeight="1" ht="17.25">
      <c r="A1144" s="7">
        <v>46003</v>
      </c>
      <c r="B1144" s="9" t="s">
        <v>46</v>
      </c>
      <c r="C1144" s="4"/>
      <c r="D1144" s="6">
        <v>100</v>
      </c>
      <c r="E1144" s="6">
        <f>E1143+C1144-D1144</f>
      </c>
      <c r="F1144" s="2"/>
    </row>
    <row x14ac:dyDescent="0.25" r="1145" customHeight="1" ht="17.25">
      <c r="A1145" s="8">
        <v>46003</v>
      </c>
      <c r="B1145" s="9" t="s">
        <v>314</v>
      </c>
      <c r="C1145" s="6">
        <v>346</v>
      </c>
      <c r="D1145" s="4"/>
      <c r="E1145" s="6">
        <f>E1144+C1145-D1145</f>
      </c>
      <c r="F1145" s="2"/>
    </row>
    <row x14ac:dyDescent="0.25" r="1146" customHeight="1" ht="17.25">
      <c r="A1146" s="7">
        <v>46004</v>
      </c>
      <c r="B1146" s="9" t="s">
        <v>297</v>
      </c>
      <c r="C1146" s="6">
        <v>106</v>
      </c>
      <c r="D1146" s="4"/>
      <c r="E1146" s="6">
        <f>E1145+C1146-D1146</f>
      </c>
      <c r="F1146" s="2"/>
    </row>
    <row x14ac:dyDescent="0.25" r="1147" customHeight="1" ht="17.25">
      <c r="A1147" s="7">
        <v>46004</v>
      </c>
      <c r="B1147" s="9" t="s">
        <v>233</v>
      </c>
      <c r="C1147" s="4"/>
      <c r="D1147" s="6">
        <v>100</v>
      </c>
      <c r="E1147" s="6">
        <f>E1146+C1147-D1147</f>
      </c>
      <c r="F1147" s="2"/>
    </row>
    <row x14ac:dyDescent="0.25" r="1148" customHeight="1" ht="17.25">
      <c r="A1148" s="7">
        <v>46006</v>
      </c>
      <c r="B1148" s="9" t="s">
        <v>316</v>
      </c>
      <c r="C1148" s="4"/>
      <c r="D1148" s="6">
        <v>100</v>
      </c>
      <c r="E1148" s="6">
        <f>E1147+C1148-D1148</f>
      </c>
      <c r="F1148" s="2"/>
    </row>
    <row x14ac:dyDescent="0.25" r="1149" customHeight="1" ht="17.25">
      <c r="A1149" s="7">
        <v>46006</v>
      </c>
      <c r="B1149" s="9" t="s">
        <v>124</v>
      </c>
      <c r="C1149" s="6">
        <v>218</v>
      </c>
      <c r="D1149" s="4"/>
      <c r="E1149" s="6">
        <f>E1148+C1149-D1149</f>
      </c>
      <c r="F1149" s="2"/>
    </row>
    <row x14ac:dyDescent="0.25" r="1150" customHeight="1" ht="17.25">
      <c r="A1150" s="7">
        <v>46006</v>
      </c>
      <c r="B1150" s="9" t="s">
        <v>311</v>
      </c>
      <c r="C1150" s="6">
        <v>470</v>
      </c>
      <c r="D1150" s="4"/>
      <c r="E1150" s="6">
        <f>E1149+C1150-D1150</f>
      </c>
      <c r="F1150" s="2"/>
    </row>
    <row x14ac:dyDescent="0.25" r="1151" customHeight="1" ht="17.25">
      <c r="A1151" s="7">
        <v>46006</v>
      </c>
      <c r="B1151" s="9" t="s">
        <v>2</v>
      </c>
      <c r="C1151" s="4"/>
      <c r="D1151" s="6">
        <v>200</v>
      </c>
      <c r="E1151" s="6">
        <f>E1150+C1151-D1151</f>
      </c>
      <c r="F1151" s="2"/>
    </row>
    <row x14ac:dyDescent="0.25" r="1152" customHeight="1" ht="17.25">
      <c r="A1152" s="7">
        <v>46006</v>
      </c>
      <c r="B1152" s="9" t="s">
        <v>53</v>
      </c>
      <c r="C1152" s="4"/>
      <c r="D1152" s="6">
        <v>320</v>
      </c>
      <c r="E1152" s="6">
        <f>E1151+C1152-D1152</f>
      </c>
      <c r="F1152" s="2"/>
    </row>
    <row x14ac:dyDescent="0.25" r="1153" customHeight="1" ht="17.25">
      <c r="A1153" s="8">
        <v>46007</v>
      </c>
      <c r="B1153" s="9" t="s">
        <v>460</v>
      </c>
      <c r="C1153" s="4"/>
      <c r="D1153" s="6">
        <v>80</v>
      </c>
      <c r="E1153" s="6">
        <f>E1152+C1153-D1153</f>
      </c>
      <c r="F1153" s="2"/>
    </row>
    <row x14ac:dyDescent="0.25" r="1154" customHeight="1" ht="17.25">
      <c r="A1154" s="7">
        <v>46007</v>
      </c>
      <c r="B1154" s="9" t="s">
        <v>2</v>
      </c>
      <c r="C1154" s="4"/>
      <c r="D1154" s="6">
        <v>100</v>
      </c>
      <c r="E1154" s="6">
        <f>E1153+C1154-D1154</f>
      </c>
      <c r="F1154" s="2"/>
    </row>
    <row x14ac:dyDescent="0.25" r="1155" customHeight="1" ht="17.25">
      <c r="A1155" s="7">
        <v>46007</v>
      </c>
      <c r="B1155" s="9" t="s">
        <v>298</v>
      </c>
      <c r="C1155" s="6">
        <v>300</v>
      </c>
      <c r="D1155" s="4"/>
      <c r="E1155" s="6">
        <f>E1154+C1155-D1155</f>
      </c>
      <c r="F1155" s="2"/>
    </row>
    <row x14ac:dyDescent="0.25" r="1156" customHeight="1" ht="17.25">
      <c r="A1156" s="8">
        <v>46007</v>
      </c>
      <c r="B1156" s="9" t="s">
        <v>284</v>
      </c>
      <c r="C1156" s="6">
        <v>647</v>
      </c>
      <c r="D1156" s="4"/>
      <c r="E1156" s="6">
        <f>E1155+C1156-D1156</f>
      </c>
      <c r="F1156" s="2"/>
    </row>
    <row x14ac:dyDescent="0.25" r="1157" customHeight="1" ht="17.25">
      <c r="A1157" s="8">
        <v>46007</v>
      </c>
      <c r="B1157" s="9" t="s">
        <v>512</v>
      </c>
      <c r="C1157" s="4"/>
      <c r="D1157" s="6">
        <v>200</v>
      </c>
      <c r="E1157" s="6">
        <f>E1156+C1157-D1157</f>
      </c>
      <c r="F1157" s="2"/>
    </row>
    <row x14ac:dyDescent="0.25" r="1158" customHeight="1" ht="17.25">
      <c r="A1158" s="1"/>
      <c r="B1158" s="2"/>
      <c r="C1158" s="4"/>
      <c r="D1158" s="4"/>
      <c r="E1158" s="6">
        <f>E1157+C1158-D1158</f>
      </c>
      <c r="F1158" s="2"/>
    </row>
    <row x14ac:dyDescent="0.25" r="1159" customHeight="1" ht="17.25">
      <c r="A1159" s="1"/>
      <c r="B1159" s="2"/>
      <c r="C1159" s="4"/>
      <c r="D1159" s="4"/>
      <c r="E1159" s="6">
        <f>E1158+C1159-D1159</f>
      </c>
      <c r="F1159" s="2"/>
    </row>
    <row x14ac:dyDescent="0.25" r="1160" customHeight="1" ht="17.25">
      <c r="A1160" s="1"/>
      <c r="B1160" s="2"/>
      <c r="C1160" s="4"/>
      <c r="D1160" s="4"/>
      <c r="E1160" s="6">
        <f>E1159+C1160-D1160</f>
      </c>
      <c r="F1160" s="2"/>
    </row>
    <row x14ac:dyDescent="0.25" r="1161" customHeight="1" ht="17.25">
      <c r="A1161" s="1"/>
      <c r="B1161" s="2"/>
      <c r="C1161" s="4"/>
      <c r="D1161" s="4"/>
      <c r="E1161" s="6">
        <f>E1160+C1161-D1161</f>
      </c>
      <c r="F1161" s="2"/>
    </row>
    <row x14ac:dyDescent="0.25" r="1162" customHeight="1" ht="17.25">
      <c r="A1162" s="1"/>
      <c r="B1162" s="2"/>
      <c r="C1162" s="4"/>
      <c r="D1162" s="4"/>
      <c r="E1162" s="6">
        <f>E1161+C1162-D1162</f>
      </c>
      <c r="F1162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9.29071428571428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585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1</v>
      </c>
      <c r="C3" s="3"/>
      <c r="D3" s="4"/>
      <c r="E3" s="6">
        <v>233</v>
      </c>
    </row>
    <row x14ac:dyDescent="0.25" r="4" customHeight="1" ht="17.25">
      <c r="A4" s="8">
        <v>45674</v>
      </c>
      <c r="B4" s="9" t="s">
        <v>189</v>
      </c>
      <c r="C4" s="6">
        <v>5</v>
      </c>
      <c r="D4" s="4"/>
      <c r="E4" s="4"/>
    </row>
    <row x14ac:dyDescent="0.25" r="5" customHeight="1" ht="17.25">
      <c r="A5" s="8">
        <v>45926</v>
      </c>
      <c r="B5" s="9" t="s">
        <v>428</v>
      </c>
      <c r="C5" s="3"/>
      <c r="D5" s="6">
        <v>190</v>
      </c>
      <c r="E5" s="4"/>
    </row>
    <row x14ac:dyDescent="0.25" r="6" customHeight="1" ht="17.25">
      <c r="A6" s="7">
        <v>45929</v>
      </c>
      <c r="B6" s="2" t="s">
        <v>428</v>
      </c>
      <c r="C6" s="3"/>
      <c r="D6" s="6">
        <v>110</v>
      </c>
      <c r="E6" s="4"/>
    </row>
    <row x14ac:dyDescent="0.25" r="7" customHeight="1" ht="17.25">
      <c r="A7" s="8">
        <v>45958</v>
      </c>
      <c r="B7" s="9" t="s">
        <v>3</v>
      </c>
      <c r="C7" s="6">
        <v>9</v>
      </c>
      <c r="D7" s="4"/>
      <c r="E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0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1.576428571428572" customWidth="1" bestFit="1"/>
    <col min="3" max="3" style="13" width="10.576428571428572" customWidth="1" bestFit="1"/>
    <col min="4" max="4" style="13" width="9.290714285714287" customWidth="1" bestFit="1"/>
    <col min="5" max="5" style="12" width="9.290714285714287" customWidth="1" bestFit="1"/>
    <col min="6" max="6" style="11" width="12.43357142857143" customWidth="1" bestFit="1"/>
  </cols>
  <sheetData>
    <row x14ac:dyDescent="0.25" r="1" customHeight="1" ht="17.25">
      <c r="A1" s="1" t="s">
        <v>571</v>
      </c>
      <c r="B1" s="2"/>
      <c r="C1" s="4"/>
      <c r="D1" s="4"/>
      <c r="E1" s="3"/>
      <c r="F1" s="2"/>
    </row>
    <row x14ac:dyDescent="0.25" r="2" customHeight="1" ht="17.25">
      <c r="A2" s="1"/>
      <c r="B2" s="2"/>
      <c r="C2" s="4"/>
      <c r="D2" s="4"/>
      <c r="E2" s="3"/>
      <c r="F2" s="2"/>
    </row>
    <row x14ac:dyDescent="0.25" r="3" customHeight="1" ht="17.25">
      <c r="A3" s="7">
        <v>45658</v>
      </c>
      <c r="B3" s="2" t="s">
        <v>1</v>
      </c>
      <c r="C3" s="4"/>
      <c r="D3" s="4"/>
      <c r="E3" s="14">
        <v>1031</v>
      </c>
      <c r="F3" s="2" t="s">
        <v>572</v>
      </c>
    </row>
    <row x14ac:dyDescent="0.25" r="4" customHeight="1" ht="17.25">
      <c r="A4" s="8">
        <v>45659</v>
      </c>
      <c r="B4" s="9" t="s">
        <v>269</v>
      </c>
      <c r="C4" s="6">
        <v>23</v>
      </c>
      <c r="D4" s="4"/>
      <c r="E4" s="6">
        <f>E3+C4-D4</f>
      </c>
      <c r="F4" s="2"/>
    </row>
    <row x14ac:dyDescent="0.25" r="5" customHeight="1" ht="17.25">
      <c r="A5" s="8">
        <v>45660</v>
      </c>
      <c r="B5" s="9" t="s">
        <v>483</v>
      </c>
      <c r="C5" s="4"/>
      <c r="D5" s="6">
        <v>200</v>
      </c>
      <c r="E5" s="6">
        <f>E4+C5-D5</f>
      </c>
      <c r="F5" s="2"/>
    </row>
    <row x14ac:dyDescent="0.25" r="6" customHeight="1" ht="17.25">
      <c r="A6" s="8">
        <v>45660</v>
      </c>
      <c r="B6" s="9" t="s">
        <v>269</v>
      </c>
      <c r="C6" s="6">
        <v>36</v>
      </c>
      <c r="D6" s="4"/>
      <c r="E6" s="6">
        <f>E5+C6-D6</f>
      </c>
      <c r="F6" s="2"/>
    </row>
    <row x14ac:dyDescent="0.25" r="7" customHeight="1" ht="17.25">
      <c r="A7" s="8">
        <v>45661</v>
      </c>
      <c r="B7" s="9" t="s">
        <v>35</v>
      </c>
      <c r="C7" s="6">
        <v>29</v>
      </c>
      <c r="D7" s="4"/>
      <c r="E7" s="6">
        <f>E6+C7-D7</f>
      </c>
      <c r="F7" s="2"/>
    </row>
    <row x14ac:dyDescent="0.25" r="8" customHeight="1" ht="17.25">
      <c r="A8" s="8">
        <v>45663</v>
      </c>
      <c r="B8" s="9" t="s">
        <v>269</v>
      </c>
      <c r="C8" s="6">
        <v>28</v>
      </c>
      <c r="D8" s="4"/>
      <c r="E8" s="6">
        <f>E7+C8-D8</f>
      </c>
      <c r="F8" s="2"/>
    </row>
    <row x14ac:dyDescent="0.25" r="9" customHeight="1" ht="17.25">
      <c r="A9" s="7">
        <v>45663</v>
      </c>
      <c r="B9" s="9" t="s">
        <v>375</v>
      </c>
      <c r="C9" s="6">
        <v>2</v>
      </c>
      <c r="D9" s="4"/>
      <c r="E9" s="6">
        <f>E8+C9-D9</f>
      </c>
      <c r="F9" s="2"/>
    </row>
    <row x14ac:dyDescent="0.25" r="10" customHeight="1" ht="17.25">
      <c r="A10" s="8">
        <v>45664</v>
      </c>
      <c r="B10" s="9" t="s">
        <v>269</v>
      </c>
      <c r="C10" s="6">
        <v>10</v>
      </c>
      <c r="D10" s="4"/>
      <c r="E10" s="6">
        <f>E9+C10-D10</f>
      </c>
      <c r="F10" s="2"/>
    </row>
    <row x14ac:dyDescent="0.25" r="11" customHeight="1" ht="17.25">
      <c r="A11" s="7">
        <v>45666</v>
      </c>
      <c r="B11" s="9" t="s">
        <v>177</v>
      </c>
      <c r="C11" s="6">
        <v>2</v>
      </c>
      <c r="D11" s="4"/>
      <c r="E11" s="6">
        <f>E10+C11-D11</f>
      </c>
      <c r="F11" s="2"/>
    </row>
    <row x14ac:dyDescent="0.25" r="12" customHeight="1" ht="17.25">
      <c r="A12" s="7">
        <v>45666</v>
      </c>
      <c r="B12" s="9" t="s">
        <v>376</v>
      </c>
      <c r="C12" s="6">
        <v>38</v>
      </c>
      <c r="D12" s="4"/>
      <c r="E12" s="6">
        <f>E11+C12-D12</f>
      </c>
      <c r="F12" s="2"/>
    </row>
    <row x14ac:dyDescent="0.25" r="13" customHeight="1" ht="17.25">
      <c r="A13" s="7">
        <v>45667</v>
      </c>
      <c r="B13" s="9" t="s">
        <v>71</v>
      </c>
      <c r="C13" s="4"/>
      <c r="D13" s="6">
        <v>72</v>
      </c>
      <c r="E13" s="6">
        <f>E12+C13-D13</f>
      </c>
      <c r="F13" s="2"/>
    </row>
    <row x14ac:dyDescent="0.25" r="14" customHeight="1" ht="17.25">
      <c r="A14" s="7">
        <v>45667</v>
      </c>
      <c r="B14" s="9" t="s">
        <v>35</v>
      </c>
      <c r="C14" s="6">
        <v>71</v>
      </c>
      <c r="D14" s="4"/>
      <c r="E14" s="6">
        <f>E13+C14-D14</f>
      </c>
      <c r="F14" s="2"/>
    </row>
    <row x14ac:dyDescent="0.25" r="15" customHeight="1" ht="17.25">
      <c r="A15" s="7">
        <v>45667</v>
      </c>
      <c r="B15" s="9" t="s">
        <v>227</v>
      </c>
      <c r="C15" s="6">
        <v>19</v>
      </c>
      <c r="D15" s="4"/>
      <c r="E15" s="6">
        <f>E14+C15-D15</f>
      </c>
      <c r="F15" s="2"/>
    </row>
    <row x14ac:dyDescent="0.25" r="16" customHeight="1" ht="17.25">
      <c r="A16" s="7">
        <v>45668</v>
      </c>
      <c r="B16" s="9" t="s">
        <v>256</v>
      </c>
      <c r="C16" s="6">
        <v>12</v>
      </c>
      <c r="D16" s="4"/>
      <c r="E16" s="6">
        <f>E15+C16-D16</f>
      </c>
      <c r="F16" s="2"/>
    </row>
    <row x14ac:dyDescent="0.25" r="17" customHeight="1" ht="17.25">
      <c r="A17" s="8">
        <v>45670</v>
      </c>
      <c r="B17" s="9" t="s">
        <v>31</v>
      </c>
      <c r="C17" s="6">
        <v>26</v>
      </c>
      <c r="D17" s="4"/>
      <c r="E17" s="6">
        <f>E16+C17-D17</f>
      </c>
      <c r="F17" s="2"/>
    </row>
    <row x14ac:dyDescent="0.25" r="18" customHeight="1" ht="17.25">
      <c r="A18" s="7">
        <v>45670</v>
      </c>
      <c r="B18" s="9" t="s">
        <v>189</v>
      </c>
      <c r="C18" s="6">
        <v>30</v>
      </c>
      <c r="D18" s="4"/>
      <c r="E18" s="6">
        <f>E17+C18-D18</f>
      </c>
      <c r="F18" s="2"/>
    </row>
    <row x14ac:dyDescent="0.25" r="19" customHeight="1" ht="17.25">
      <c r="A19" s="8">
        <v>45670</v>
      </c>
      <c r="B19" s="9" t="s">
        <v>35</v>
      </c>
      <c r="C19" s="6">
        <v>78</v>
      </c>
      <c r="D19" s="4"/>
      <c r="E19" s="6">
        <f>E18+C19-D19</f>
      </c>
      <c r="F19" s="2"/>
    </row>
    <row x14ac:dyDescent="0.25" r="20" customHeight="1" ht="17.25">
      <c r="A20" s="39">
        <v>45671</v>
      </c>
      <c r="B20" s="36" t="s">
        <v>375</v>
      </c>
      <c r="C20" s="33">
        <v>1</v>
      </c>
      <c r="D20" s="32"/>
      <c r="E20" s="33">
        <f>E19+C20-D20</f>
      </c>
      <c r="F20" s="31" t="s">
        <v>178</v>
      </c>
    </row>
    <row x14ac:dyDescent="0.25" r="21" customHeight="1" ht="17.25">
      <c r="A21" s="8">
        <v>45671</v>
      </c>
      <c r="B21" s="9" t="s">
        <v>269</v>
      </c>
      <c r="C21" s="6">
        <v>37</v>
      </c>
      <c r="D21" s="4"/>
      <c r="E21" s="6">
        <f>E20+C21-D21</f>
      </c>
      <c r="F21" s="2"/>
    </row>
    <row x14ac:dyDescent="0.25" r="22" customHeight="1" ht="17.25">
      <c r="A22" s="8">
        <v>45671</v>
      </c>
      <c r="B22" s="9" t="s">
        <v>127</v>
      </c>
      <c r="C22" s="6">
        <v>150</v>
      </c>
      <c r="D22" s="4"/>
      <c r="E22" s="6">
        <f>E21+C22-D22</f>
      </c>
      <c r="F22" s="2"/>
    </row>
    <row x14ac:dyDescent="0.25" r="23" customHeight="1" ht="17.25">
      <c r="A23" s="8">
        <v>45672</v>
      </c>
      <c r="B23" s="9" t="s">
        <v>485</v>
      </c>
      <c r="C23" s="4"/>
      <c r="D23" s="6">
        <v>150</v>
      </c>
      <c r="E23" s="6">
        <f>E22+C23-D23</f>
      </c>
      <c r="F23" s="2"/>
    </row>
    <row x14ac:dyDescent="0.25" r="24" customHeight="1" ht="17.25">
      <c r="A24" s="8">
        <v>45673</v>
      </c>
      <c r="B24" s="9" t="s">
        <v>540</v>
      </c>
      <c r="C24" s="4"/>
      <c r="D24" s="6">
        <v>20</v>
      </c>
      <c r="E24" s="6">
        <f>E23+C24-D24</f>
      </c>
      <c r="F24" s="2"/>
    </row>
    <row x14ac:dyDescent="0.25" r="25" customHeight="1" ht="17.25">
      <c r="A25" s="8">
        <v>45673</v>
      </c>
      <c r="B25" s="9" t="s">
        <v>272</v>
      </c>
      <c r="C25" s="4"/>
      <c r="D25" s="6">
        <v>49</v>
      </c>
      <c r="E25" s="6">
        <f>E24+C25-D25</f>
      </c>
      <c r="F25" s="2"/>
    </row>
    <row x14ac:dyDescent="0.25" r="26" customHeight="1" ht="17.25">
      <c r="A26" s="7">
        <v>45673</v>
      </c>
      <c r="B26" s="9" t="s">
        <v>71</v>
      </c>
      <c r="C26" s="4"/>
      <c r="D26" s="6">
        <v>100</v>
      </c>
      <c r="E26" s="6">
        <f>E25+C26-D26</f>
      </c>
      <c r="F26" s="2"/>
    </row>
    <row x14ac:dyDescent="0.25" r="27" customHeight="1" ht="17.25">
      <c r="A27" s="39">
        <v>45674</v>
      </c>
      <c r="B27" s="36" t="s">
        <v>189</v>
      </c>
      <c r="C27" s="33">
        <v>51</v>
      </c>
      <c r="D27" s="32"/>
      <c r="E27" s="33">
        <f>E26+C27-D27</f>
      </c>
      <c r="F27" s="31" t="s">
        <v>178</v>
      </c>
    </row>
    <row x14ac:dyDescent="0.25" r="28" customHeight="1" ht="17.25">
      <c r="A28" s="8">
        <v>45674</v>
      </c>
      <c r="B28" s="9" t="s">
        <v>413</v>
      </c>
      <c r="C28" s="6">
        <v>1</v>
      </c>
      <c r="D28" s="4"/>
      <c r="E28" s="6">
        <f>E27+C28-D28</f>
      </c>
      <c r="F28" s="2"/>
    </row>
    <row x14ac:dyDescent="0.25" r="29" customHeight="1" ht="17.25">
      <c r="A29" s="7">
        <v>45675</v>
      </c>
      <c r="B29" s="9" t="s">
        <v>272</v>
      </c>
      <c r="C29" s="4"/>
      <c r="D29" s="6">
        <v>1</v>
      </c>
      <c r="E29" s="6">
        <f>E28+C29-D29</f>
      </c>
      <c r="F29" s="2"/>
    </row>
    <row x14ac:dyDescent="0.25" r="30" customHeight="1" ht="17.25">
      <c r="A30" s="8">
        <v>45675</v>
      </c>
      <c r="B30" s="9" t="s">
        <v>240</v>
      </c>
      <c r="C30" s="6">
        <v>2</v>
      </c>
      <c r="D30" s="4"/>
      <c r="E30" s="6">
        <f>E29+C30-D30</f>
      </c>
      <c r="F30" s="2"/>
    </row>
    <row x14ac:dyDescent="0.25" r="31" customHeight="1" ht="17.25">
      <c r="A31" s="7">
        <v>45677</v>
      </c>
      <c r="B31" s="9" t="s">
        <v>485</v>
      </c>
      <c r="C31" s="4"/>
      <c r="D31" s="6">
        <v>50</v>
      </c>
      <c r="E31" s="6">
        <f>E30+C31-D31</f>
      </c>
      <c r="F31" s="2"/>
    </row>
    <row x14ac:dyDescent="0.25" r="32" customHeight="1" ht="17.25">
      <c r="A32" s="8">
        <v>45677</v>
      </c>
      <c r="B32" s="9" t="s">
        <v>410</v>
      </c>
      <c r="C32" s="6">
        <v>31</v>
      </c>
      <c r="D32" s="4"/>
      <c r="E32" s="6">
        <f>E31+C32-D32</f>
      </c>
      <c r="F32" s="2"/>
    </row>
    <row x14ac:dyDescent="0.25" r="33" customHeight="1" ht="17.25">
      <c r="A33" s="8">
        <v>45677</v>
      </c>
      <c r="B33" s="9" t="s">
        <v>365</v>
      </c>
      <c r="C33" s="6">
        <v>11</v>
      </c>
      <c r="D33" s="4"/>
      <c r="E33" s="6">
        <f>E32+C33-D33</f>
      </c>
      <c r="F33" s="2"/>
    </row>
    <row x14ac:dyDescent="0.25" r="34" customHeight="1" ht="17.25">
      <c r="A34" s="8">
        <v>45677</v>
      </c>
      <c r="B34" s="9" t="s">
        <v>35</v>
      </c>
      <c r="C34" s="6">
        <v>100</v>
      </c>
      <c r="D34" s="4"/>
      <c r="E34" s="6">
        <f>E33+C34-D34</f>
      </c>
      <c r="F34" s="2"/>
    </row>
    <row x14ac:dyDescent="0.25" r="35" customHeight="1" ht="17.25">
      <c r="A35" s="8">
        <v>45677</v>
      </c>
      <c r="B35" s="9" t="s">
        <v>131</v>
      </c>
      <c r="C35" s="6">
        <v>2</v>
      </c>
      <c r="D35" s="4"/>
      <c r="E35" s="6">
        <f>E34+C35-D35</f>
      </c>
      <c r="F35" s="2"/>
    </row>
    <row x14ac:dyDescent="0.25" r="36" customHeight="1" ht="17.25">
      <c r="A36" s="8">
        <v>45678</v>
      </c>
      <c r="B36" s="9" t="s">
        <v>485</v>
      </c>
      <c r="C36" s="4"/>
      <c r="D36" s="6">
        <v>50</v>
      </c>
      <c r="E36" s="6">
        <f>E35+C36-D36</f>
      </c>
      <c r="F36" s="2"/>
    </row>
    <row x14ac:dyDescent="0.25" r="37" customHeight="1" ht="17.25">
      <c r="A37" s="8">
        <v>45678</v>
      </c>
      <c r="B37" s="9" t="s">
        <v>35</v>
      </c>
      <c r="C37" s="6">
        <v>150</v>
      </c>
      <c r="D37" s="4"/>
      <c r="E37" s="6">
        <f>E36+C37-D37</f>
      </c>
      <c r="F37" s="2"/>
    </row>
    <row x14ac:dyDescent="0.25" r="38" customHeight="1" ht="17.25">
      <c r="A38" s="8">
        <v>45679</v>
      </c>
      <c r="B38" s="9" t="s">
        <v>256</v>
      </c>
      <c r="C38" s="6">
        <v>12</v>
      </c>
      <c r="D38" s="4"/>
      <c r="E38" s="6">
        <f>E37+C38-D38</f>
      </c>
      <c r="F38" s="2"/>
    </row>
    <row x14ac:dyDescent="0.25" r="39" customHeight="1" ht="17.25">
      <c r="A39" s="8">
        <v>45679</v>
      </c>
      <c r="B39" s="9" t="s">
        <v>375</v>
      </c>
      <c r="C39" s="6">
        <v>1</v>
      </c>
      <c r="D39" s="4"/>
      <c r="E39" s="6">
        <f>E38+C39-D39</f>
      </c>
      <c r="F39" s="2"/>
    </row>
    <row x14ac:dyDescent="0.25" r="40" customHeight="1" ht="17.25">
      <c r="A40" s="8">
        <v>45679</v>
      </c>
      <c r="B40" s="9" t="s">
        <v>376</v>
      </c>
      <c r="C40" s="6">
        <v>40</v>
      </c>
      <c r="D40" s="4"/>
      <c r="E40" s="6">
        <f>E39+C40-D40</f>
      </c>
      <c r="F40" s="2"/>
    </row>
    <row x14ac:dyDescent="0.25" r="41" customHeight="1" ht="17.25">
      <c r="A41" s="7">
        <v>45680</v>
      </c>
      <c r="B41" s="9" t="s">
        <v>35</v>
      </c>
      <c r="C41" s="6">
        <v>30</v>
      </c>
      <c r="D41" s="4"/>
      <c r="E41" s="6">
        <f>E40+C41-D41</f>
      </c>
      <c r="F41" s="2"/>
    </row>
    <row x14ac:dyDescent="0.25" r="42" customHeight="1" ht="17.25">
      <c r="A42" s="8">
        <v>45680</v>
      </c>
      <c r="B42" s="9" t="s">
        <v>269</v>
      </c>
      <c r="C42" s="6">
        <v>72</v>
      </c>
      <c r="D42" s="4"/>
      <c r="E42" s="6">
        <f>E41+C42-D42</f>
      </c>
      <c r="F42" s="2"/>
    </row>
    <row x14ac:dyDescent="0.25" r="43" customHeight="1" ht="17.25">
      <c r="A43" s="7">
        <v>45682</v>
      </c>
      <c r="B43" s="9" t="s">
        <v>71</v>
      </c>
      <c r="C43" s="4"/>
      <c r="D43" s="6">
        <v>100</v>
      </c>
      <c r="E43" s="6">
        <f>E42+C43-D43</f>
      </c>
      <c r="F43" s="2"/>
    </row>
    <row x14ac:dyDescent="0.25" r="44" customHeight="1" ht="17.25">
      <c r="A44" s="7">
        <v>45682</v>
      </c>
      <c r="B44" s="9" t="s">
        <v>35</v>
      </c>
      <c r="C44" s="6">
        <v>40</v>
      </c>
      <c r="D44" s="4"/>
      <c r="E44" s="6">
        <f>E43+C44-D44</f>
      </c>
      <c r="F44" s="2"/>
    </row>
    <row x14ac:dyDescent="0.25" r="45" customHeight="1" ht="17.25">
      <c r="A45" s="8">
        <v>45682</v>
      </c>
      <c r="B45" s="9" t="s">
        <v>189</v>
      </c>
      <c r="C45" s="6">
        <v>10</v>
      </c>
      <c r="D45" s="4"/>
      <c r="E45" s="6">
        <f>E44+C45-D45</f>
      </c>
      <c r="F45" s="2"/>
    </row>
    <row x14ac:dyDescent="0.25" r="46" customHeight="1" ht="17.25">
      <c r="A46" s="8">
        <v>45685</v>
      </c>
      <c r="B46" s="9" t="s">
        <v>259</v>
      </c>
      <c r="C46" s="6">
        <v>30</v>
      </c>
      <c r="D46" s="4"/>
      <c r="E46" s="6">
        <f>E45+C46-D46</f>
      </c>
      <c r="F46" s="2"/>
    </row>
    <row x14ac:dyDescent="0.25" r="47" customHeight="1" ht="17.25">
      <c r="A47" s="8">
        <v>45685</v>
      </c>
      <c r="B47" s="9" t="s">
        <v>127</v>
      </c>
      <c r="C47" s="6">
        <v>28</v>
      </c>
      <c r="D47" s="4"/>
      <c r="E47" s="6">
        <f>E46+C47-D47</f>
      </c>
      <c r="F47" s="2"/>
    </row>
    <row x14ac:dyDescent="0.25" r="48" customHeight="1" ht="17.25">
      <c r="A48" s="7">
        <v>45688</v>
      </c>
      <c r="B48" s="9" t="s">
        <v>131</v>
      </c>
      <c r="C48" s="6">
        <v>40</v>
      </c>
      <c r="D48" s="4"/>
      <c r="E48" s="6">
        <f>E47+C48-D48</f>
      </c>
      <c r="F48" s="2"/>
    </row>
    <row x14ac:dyDescent="0.25" r="49" customHeight="1" ht="17.25">
      <c r="A49" s="8">
        <v>45688</v>
      </c>
      <c r="B49" s="9" t="s">
        <v>31</v>
      </c>
      <c r="C49" s="6">
        <v>2</v>
      </c>
      <c r="D49" s="4"/>
      <c r="E49" s="6">
        <f>E48+C49-D49</f>
      </c>
      <c r="F49" s="2"/>
    </row>
    <row x14ac:dyDescent="0.25" r="50" customHeight="1" ht="17.25">
      <c r="A50" s="8">
        <v>45689</v>
      </c>
      <c r="B50" s="9" t="s">
        <v>269</v>
      </c>
      <c r="C50" s="6">
        <v>48</v>
      </c>
      <c r="D50" s="4"/>
      <c r="E50" s="6">
        <f>E49+C50-D50</f>
      </c>
      <c r="F50" s="2"/>
    </row>
    <row x14ac:dyDescent="0.25" r="51" customHeight="1" ht="17.25">
      <c r="A51" s="8">
        <v>45689</v>
      </c>
      <c r="B51" s="9" t="s">
        <v>39</v>
      </c>
      <c r="C51" s="6">
        <v>93</v>
      </c>
      <c r="D51" s="4"/>
      <c r="E51" s="6">
        <f>E50+C51-D51</f>
      </c>
      <c r="F51" s="2"/>
    </row>
    <row x14ac:dyDescent="0.25" r="52" customHeight="1" ht="17.25">
      <c r="A52" s="8">
        <v>45691</v>
      </c>
      <c r="B52" s="9" t="s">
        <v>35</v>
      </c>
      <c r="C52" s="6">
        <v>77</v>
      </c>
      <c r="D52" s="4"/>
      <c r="E52" s="6">
        <f>E51+C52-D52</f>
      </c>
      <c r="F52" s="2"/>
    </row>
    <row x14ac:dyDescent="0.25" r="53" customHeight="1" ht="17.25">
      <c r="A53" s="7">
        <v>45693</v>
      </c>
      <c r="B53" s="9" t="s">
        <v>35</v>
      </c>
      <c r="C53" s="6">
        <v>31</v>
      </c>
      <c r="D53" s="4"/>
      <c r="E53" s="6">
        <f>E52+C53-D53</f>
      </c>
      <c r="F53" s="2"/>
    </row>
    <row x14ac:dyDescent="0.25" r="54" customHeight="1" ht="17.25">
      <c r="A54" s="8">
        <v>45693</v>
      </c>
      <c r="B54" s="9" t="s">
        <v>378</v>
      </c>
      <c r="C54" s="6">
        <v>13</v>
      </c>
      <c r="D54" s="4"/>
      <c r="E54" s="6">
        <f>E53+C54-D54</f>
      </c>
      <c r="F54" s="2"/>
    </row>
    <row x14ac:dyDescent="0.25" r="55" customHeight="1" ht="17.25">
      <c r="A55" s="8">
        <v>45693</v>
      </c>
      <c r="B55" s="9" t="s">
        <v>376</v>
      </c>
      <c r="C55" s="6">
        <v>40</v>
      </c>
      <c r="D55" s="4"/>
      <c r="E55" s="6">
        <f>E54+C55-D55</f>
      </c>
      <c r="F55" s="2"/>
    </row>
    <row x14ac:dyDescent="0.25" r="56" customHeight="1" ht="17.25">
      <c r="A56" s="39">
        <v>45695</v>
      </c>
      <c r="B56" s="36" t="s">
        <v>284</v>
      </c>
      <c r="C56" s="32"/>
      <c r="D56" s="33">
        <v>10</v>
      </c>
      <c r="E56" s="33">
        <f>E55+C56-D56</f>
      </c>
      <c r="F56" s="31" t="s">
        <v>380</v>
      </c>
    </row>
    <row x14ac:dyDescent="0.25" r="57" customHeight="1" ht="17.25">
      <c r="A57" s="8">
        <v>45695</v>
      </c>
      <c r="B57" s="9" t="s">
        <v>31</v>
      </c>
      <c r="C57" s="6">
        <v>2</v>
      </c>
      <c r="D57" s="4"/>
      <c r="E57" s="6">
        <f>E56+C57-D57</f>
      </c>
      <c r="F57" s="2"/>
    </row>
    <row x14ac:dyDescent="0.25" r="58" customHeight="1" ht="17.25">
      <c r="A58" s="8">
        <v>45695</v>
      </c>
      <c r="B58" s="9" t="s">
        <v>11</v>
      </c>
      <c r="C58" s="6">
        <v>20</v>
      </c>
      <c r="D58" s="4"/>
      <c r="E58" s="6">
        <f>E57+C58-D58</f>
      </c>
      <c r="F58" s="2"/>
    </row>
    <row x14ac:dyDescent="0.25" r="59" customHeight="1" ht="17.25">
      <c r="A59" s="7">
        <v>45696</v>
      </c>
      <c r="B59" s="9" t="s">
        <v>189</v>
      </c>
      <c r="C59" s="6">
        <v>10</v>
      </c>
      <c r="D59" s="4"/>
      <c r="E59" s="6">
        <f>E58+C59-D59</f>
      </c>
      <c r="F59" s="2"/>
    </row>
    <row x14ac:dyDescent="0.25" r="60" customHeight="1" ht="17.25">
      <c r="A60" s="8">
        <v>45698</v>
      </c>
      <c r="B60" s="9" t="s">
        <v>35</v>
      </c>
      <c r="C60" s="6">
        <v>17</v>
      </c>
      <c r="D60" s="4"/>
      <c r="E60" s="6">
        <f>E59+C60-D60</f>
      </c>
      <c r="F60" s="2"/>
    </row>
    <row x14ac:dyDescent="0.25" r="61" customHeight="1" ht="17.25">
      <c r="A61" s="8">
        <v>45698</v>
      </c>
      <c r="B61" s="9" t="s">
        <v>269</v>
      </c>
      <c r="C61" s="6">
        <v>3</v>
      </c>
      <c r="D61" s="4"/>
      <c r="E61" s="6">
        <f>E60+C61-D61</f>
      </c>
      <c r="F61" s="2"/>
    </row>
    <row x14ac:dyDescent="0.25" r="62" customHeight="1" ht="17.25">
      <c r="A62" s="7">
        <v>45699</v>
      </c>
      <c r="B62" s="9" t="s">
        <v>381</v>
      </c>
      <c r="C62" s="4"/>
      <c r="D62" s="6">
        <v>2</v>
      </c>
      <c r="E62" s="6">
        <f>E61+C62-D62</f>
      </c>
      <c r="F62" s="2"/>
    </row>
    <row x14ac:dyDescent="0.25" r="63" customHeight="1" ht="17.25">
      <c r="A63" s="8">
        <v>45699</v>
      </c>
      <c r="B63" s="9" t="s">
        <v>131</v>
      </c>
      <c r="C63" s="6">
        <v>5</v>
      </c>
      <c r="D63" s="4"/>
      <c r="E63" s="6">
        <f>E62+C63-D63</f>
      </c>
      <c r="F63" s="2"/>
    </row>
    <row x14ac:dyDescent="0.25" r="64" customHeight="1" ht="17.25">
      <c r="A64" s="8">
        <v>45700</v>
      </c>
      <c r="B64" s="9" t="s">
        <v>34</v>
      </c>
      <c r="C64" s="4"/>
      <c r="D64" s="6">
        <v>150</v>
      </c>
      <c r="E64" s="6">
        <f>E63+C64-D64</f>
      </c>
      <c r="F64" s="2"/>
    </row>
    <row x14ac:dyDescent="0.25" r="65" customHeight="1" ht="17.25">
      <c r="A65" s="8">
        <v>45700</v>
      </c>
      <c r="B65" s="9" t="s">
        <v>35</v>
      </c>
      <c r="C65" s="6">
        <v>5</v>
      </c>
      <c r="D65" s="4"/>
      <c r="E65" s="6">
        <f>E64+C65-D65</f>
      </c>
      <c r="F65" s="2"/>
    </row>
    <row x14ac:dyDescent="0.25" r="66" customHeight="1" ht="17.25">
      <c r="A66" s="8">
        <v>45700</v>
      </c>
      <c r="B66" s="9" t="s">
        <v>189</v>
      </c>
      <c r="C66" s="6">
        <v>10</v>
      </c>
      <c r="D66" s="4"/>
      <c r="E66" s="6">
        <f>E65+C66-D66</f>
      </c>
      <c r="F66" s="2"/>
    </row>
    <row x14ac:dyDescent="0.25" r="67" customHeight="1" ht="17.25">
      <c r="A67" s="8">
        <v>45700</v>
      </c>
      <c r="B67" s="9" t="s">
        <v>376</v>
      </c>
      <c r="C67" s="6">
        <v>6</v>
      </c>
      <c r="D67" s="4"/>
      <c r="E67" s="6">
        <f>E66+C67-D67</f>
      </c>
      <c r="F67" s="2"/>
    </row>
    <row x14ac:dyDescent="0.25" r="68" customHeight="1" ht="17.25">
      <c r="A68" s="8">
        <v>45700</v>
      </c>
      <c r="B68" s="9" t="s">
        <v>412</v>
      </c>
      <c r="C68" s="6">
        <v>3</v>
      </c>
      <c r="D68" s="4"/>
      <c r="E68" s="6">
        <f>E67+C68-D68</f>
      </c>
      <c r="F68" s="2"/>
    </row>
    <row x14ac:dyDescent="0.25" r="69" customHeight="1" ht="17.25">
      <c r="A69" s="8">
        <v>45700</v>
      </c>
      <c r="B69" s="9" t="s">
        <v>11</v>
      </c>
      <c r="C69" s="6">
        <v>2</v>
      </c>
      <c r="D69" s="4"/>
      <c r="E69" s="6">
        <f>E68+C69-D69</f>
      </c>
      <c r="F69" s="2"/>
    </row>
    <row x14ac:dyDescent="0.25" r="70" customHeight="1" ht="17.25">
      <c r="A70" s="7">
        <v>45701</v>
      </c>
      <c r="B70" s="9" t="s">
        <v>34</v>
      </c>
      <c r="C70" s="4"/>
      <c r="D70" s="6">
        <v>350</v>
      </c>
      <c r="E70" s="6">
        <f>E69+C70-D70</f>
      </c>
      <c r="F70" s="2"/>
    </row>
    <row x14ac:dyDescent="0.25" r="71" customHeight="1" ht="17.25">
      <c r="A71" s="8">
        <v>45701</v>
      </c>
      <c r="B71" s="9" t="s">
        <v>542</v>
      </c>
      <c r="C71" s="6">
        <v>19</v>
      </c>
      <c r="D71" s="4"/>
      <c r="E71" s="6">
        <f>E70+C71-D71</f>
      </c>
      <c r="F71" s="2"/>
    </row>
    <row x14ac:dyDescent="0.25" r="72" customHeight="1" ht="17.25">
      <c r="A72" s="7">
        <v>45703</v>
      </c>
      <c r="B72" s="9" t="s">
        <v>376</v>
      </c>
      <c r="C72" s="6">
        <v>12</v>
      </c>
      <c r="D72" s="4"/>
      <c r="E72" s="6">
        <f>E71+C72-D72</f>
      </c>
      <c r="F72" s="2"/>
    </row>
    <row x14ac:dyDescent="0.25" r="73" customHeight="1" ht="17.25">
      <c r="A73" s="7">
        <v>45703</v>
      </c>
      <c r="B73" s="9" t="s">
        <v>31</v>
      </c>
      <c r="C73" s="6">
        <v>3</v>
      </c>
      <c r="D73" s="4"/>
      <c r="E73" s="6">
        <f>E72+C73-D73</f>
      </c>
      <c r="F73" s="2"/>
    </row>
    <row x14ac:dyDescent="0.25" r="74" customHeight="1" ht="17.25">
      <c r="A74" s="8">
        <v>45705</v>
      </c>
      <c r="B74" s="9" t="s">
        <v>131</v>
      </c>
      <c r="C74" s="6">
        <v>6</v>
      </c>
      <c r="D74" s="4"/>
      <c r="E74" s="6">
        <f>E73+C74-D74</f>
      </c>
      <c r="F74" s="2"/>
    </row>
    <row x14ac:dyDescent="0.25" r="75" customHeight="1" ht="17.25">
      <c r="A75" s="7">
        <v>45705</v>
      </c>
      <c r="B75" s="9" t="s">
        <v>543</v>
      </c>
      <c r="C75" s="6">
        <v>5</v>
      </c>
      <c r="D75" s="4"/>
      <c r="E75" s="6">
        <f>E74+C75-D75</f>
      </c>
      <c r="F75" s="2"/>
    </row>
    <row x14ac:dyDescent="0.25" r="76" customHeight="1" ht="17.25">
      <c r="A76" s="8">
        <v>45708</v>
      </c>
      <c r="B76" s="9" t="s">
        <v>485</v>
      </c>
      <c r="C76" s="4"/>
      <c r="D76" s="6">
        <v>50</v>
      </c>
      <c r="E76" s="6">
        <f>E75+C76-D76</f>
      </c>
      <c r="F76" s="2"/>
    </row>
    <row x14ac:dyDescent="0.25" r="77" customHeight="1" ht="17.25">
      <c r="A77" s="8">
        <v>45709</v>
      </c>
      <c r="B77" s="9" t="s">
        <v>227</v>
      </c>
      <c r="C77" s="4"/>
      <c r="D77" s="6">
        <v>40</v>
      </c>
      <c r="E77" s="6">
        <f>E76+C77-D77</f>
      </c>
      <c r="F77" s="2"/>
    </row>
    <row x14ac:dyDescent="0.25" r="78" customHeight="1" ht="17.25">
      <c r="A78" s="8">
        <v>45709</v>
      </c>
      <c r="B78" s="9" t="s">
        <v>485</v>
      </c>
      <c r="C78" s="4"/>
      <c r="D78" s="6">
        <v>73</v>
      </c>
      <c r="E78" s="6">
        <f>E77+C78-D78</f>
      </c>
      <c r="F78" s="2"/>
    </row>
    <row x14ac:dyDescent="0.25" r="79" customHeight="1" ht="17.25">
      <c r="A79" s="8">
        <v>45709</v>
      </c>
      <c r="B79" s="9" t="s">
        <v>131</v>
      </c>
      <c r="C79" s="6">
        <v>16</v>
      </c>
      <c r="D79" s="4"/>
      <c r="E79" s="6">
        <f>E78+C79-D79</f>
      </c>
      <c r="F79" s="2"/>
    </row>
    <row x14ac:dyDescent="0.25" r="80" customHeight="1" ht="17.25">
      <c r="A80" s="8">
        <v>45709</v>
      </c>
      <c r="B80" s="9" t="s">
        <v>35</v>
      </c>
      <c r="C80" s="6">
        <v>5</v>
      </c>
      <c r="D80" s="4"/>
      <c r="E80" s="6">
        <f>E79+C80-D80</f>
      </c>
      <c r="F80" s="2"/>
    </row>
    <row x14ac:dyDescent="0.25" r="81" customHeight="1" ht="17.25">
      <c r="A81" s="8">
        <v>45709</v>
      </c>
      <c r="B81" s="9" t="s">
        <v>35</v>
      </c>
      <c r="C81" s="6">
        <v>2</v>
      </c>
      <c r="D81" s="4"/>
      <c r="E81" s="6">
        <f>E80+C81-D81</f>
      </c>
      <c r="F81" s="2"/>
    </row>
    <row x14ac:dyDescent="0.25" r="82" customHeight="1" ht="17.25">
      <c r="A82" s="7">
        <v>45712</v>
      </c>
      <c r="B82" s="9" t="s">
        <v>227</v>
      </c>
      <c r="C82" s="4"/>
      <c r="D82" s="6">
        <v>20</v>
      </c>
      <c r="E82" s="6">
        <f>E81+C82-D82</f>
      </c>
      <c r="F82" s="2"/>
    </row>
    <row x14ac:dyDescent="0.25" r="83" customHeight="1" ht="17.25">
      <c r="A83" s="8">
        <v>45712</v>
      </c>
      <c r="B83" s="9" t="s">
        <v>257</v>
      </c>
      <c r="C83" s="6">
        <v>3</v>
      </c>
      <c r="D83" s="4"/>
      <c r="E83" s="6">
        <f>E82+C83-D83</f>
      </c>
      <c r="F83" s="2"/>
    </row>
    <row x14ac:dyDescent="0.25" r="84" customHeight="1" ht="17.25">
      <c r="A84" s="8">
        <v>45712</v>
      </c>
      <c r="B84" s="9" t="s">
        <v>189</v>
      </c>
      <c r="C84" s="6">
        <v>24</v>
      </c>
      <c r="D84" s="4"/>
      <c r="E84" s="6">
        <f>E83+C84-D84</f>
      </c>
      <c r="F84" s="2"/>
    </row>
    <row x14ac:dyDescent="0.25" r="85" customHeight="1" ht="17.25">
      <c r="A85" s="8">
        <v>45713</v>
      </c>
      <c r="B85" s="9" t="s">
        <v>44</v>
      </c>
      <c r="C85" s="4"/>
      <c r="D85" s="6">
        <v>30</v>
      </c>
      <c r="E85" s="6">
        <f>E84+C85-D85</f>
      </c>
      <c r="F85" s="2"/>
    </row>
    <row x14ac:dyDescent="0.25" r="86" customHeight="1" ht="17.25">
      <c r="A86" s="7">
        <v>45713</v>
      </c>
      <c r="B86" s="9" t="s">
        <v>131</v>
      </c>
      <c r="C86" s="6">
        <v>1</v>
      </c>
      <c r="D86" s="4"/>
      <c r="E86" s="6">
        <f>E85+C86-D86</f>
      </c>
      <c r="F86" s="2"/>
    </row>
    <row x14ac:dyDescent="0.25" r="87" customHeight="1" ht="17.25">
      <c r="A87" s="8">
        <v>45713</v>
      </c>
      <c r="B87" s="9" t="s">
        <v>131</v>
      </c>
      <c r="C87" s="6">
        <v>6</v>
      </c>
      <c r="D87" s="4"/>
      <c r="E87" s="6">
        <f>E86+C87-D87</f>
      </c>
      <c r="F87" s="2"/>
    </row>
    <row x14ac:dyDescent="0.25" r="88" customHeight="1" ht="17.25">
      <c r="A88" s="7">
        <v>45714</v>
      </c>
      <c r="B88" s="9" t="s">
        <v>3</v>
      </c>
      <c r="C88" s="4"/>
      <c r="D88" s="6">
        <v>200</v>
      </c>
      <c r="E88" s="6">
        <f>E87+C88-D88</f>
      </c>
      <c r="F88" s="2"/>
    </row>
    <row x14ac:dyDescent="0.25" r="89" customHeight="1" ht="17.25">
      <c r="A89" s="8">
        <v>45714</v>
      </c>
      <c r="B89" s="9" t="s">
        <v>39</v>
      </c>
      <c r="C89" s="6">
        <v>7</v>
      </c>
      <c r="D89" s="4"/>
      <c r="E89" s="6">
        <f>E88+C89-D89</f>
      </c>
      <c r="F89" s="2"/>
    </row>
    <row x14ac:dyDescent="0.25" r="90" customHeight="1" ht="17.25">
      <c r="A90" s="7">
        <v>45714</v>
      </c>
      <c r="B90" s="9" t="s">
        <v>2</v>
      </c>
      <c r="C90" s="6">
        <v>7</v>
      </c>
      <c r="D90" s="4"/>
      <c r="E90" s="6">
        <f>E89+C90-D90</f>
      </c>
      <c r="F90" s="2"/>
    </row>
    <row x14ac:dyDescent="0.25" r="91" customHeight="1" ht="17.25">
      <c r="A91" s="8">
        <v>45716</v>
      </c>
      <c r="B91" s="9" t="s">
        <v>487</v>
      </c>
      <c r="C91" s="4"/>
      <c r="D91" s="6">
        <v>50</v>
      </c>
      <c r="E91" s="6">
        <f>E90+C91-D91</f>
      </c>
      <c r="F91" s="2"/>
    </row>
    <row x14ac:dyDescent="0.25" r="92" customHeight="1" ht="17.25">
      <c r="A92" s="7">
        <v>45716</v>
      </c>
      <c r="B92" s="9" t="s">
        <v>140</v>
      </c>
      <c r="C92" s="6">
        <v>2</v>
      </c>
      <c r="D92" s="4"/>
      <c r="E92" s="6">
        <f>E91+C92-D92</f>
      </c>
      <c r="F92" s="2"/>
    </row>
    <row x14ac:dyDescent="0.25" r="93" customHeight="1" ht="17.25">
      <c r="A93" s="8">
        <v>45716</v>
      </c>
      <c r="B93" s="9" t="s">
        <v>487</v>
      </c>
      <c r="C93" s="4"/>
      <c r="D93" s="4"/>
      <c r="E93" s="6">
        <f>E92+C93-D93</f>
      </c>
      <c r="F93" s="2"/>
    </row>
    <row x14ac:dyDescent="0.25" r="94" customHeight="1" ht="17.25">
      <c r="A94" s="8">
        <v>45717</v>
      </c>
      <c r="B94" s="9" t="s">
        <v>487</v>
      </c>
      <c r="C94" s="4"/>
      <c r="D94" s="6">
        <v>50</v>
      </c>
      <c r="E94" s="6">
        <f>E93+C94-D94</f>
      </c>
      <c r="F94" s="2"/>
    </row>
    <row x14ac:dyDescent="0.25" r="95" customHeight="1" ht="17.25">
      <c r="A95" s="7">
        <v>45717</v>
      </c>
      <c r="B95" s="9" t="s">
        <v>3</v>
      </c>
      <c r="C95" s="4"/>
      <c r="D95" s="6">
        <v>60</v>
      </c>
      <c r="E95" s="6">
        <f>E94+C95-D95</f>
      </c>
      <c r="F95" s="2"/>
    </row>
    <row x14ac:dyDescent="0.25" r="96" customHeight="1" ht="17.25">
      <c r="A96" s="7">
        <v>45717</v>
      </c>
      <c r="B96" s="9" t="s">
        <v>189</v>
      </c>
      <c r="C96" s="6">
        <v>9</v>
      </c>
      <c r="D96" s="4"/>
      <c r="E96" s="6">
        <f>E95+C96-D96</f>
      </c>
      <c r="F96" s="2"/>
    </row>
    <row x14ac:dyDescent="0.25" r="97" customHeight="1" ht="17.25">
      <c r="A97" s="7">
        <v>45719</v>
      </c>
      <c r="B97" s="9" t="s">
        <v>3</v>
      </c>
      <c r="C97" s="4"/>
      <c r="D97" s="6">
        <v>40</v>
      </c>
      <c r="E97" s="6">
        <f>E96+C97-D97</f>
      </c>
      <c r="F97" s="2"/>
    </row>
    <row x14ac:dyDescent="0.25" r="98" customHeight="1" ht="17.25">
      <c r="A98" s="8">
        <v>45719</v>
      </c>
      <c r="B98" s="9" t="s">
        <v>141</v>
      </c>
      <c r="C98" s="4"/>
      <c r="D98" s="6">
        <v>20</v>
      </c>
      <c r="E98" s="6">
        <f>E97+C98-D98</f>
      </c>
      <c r="F98" s="2"/>
    </row>
    <row x14ac:dyDescent="0.25" r="99" customHeight="1" ht="17.25">
      <c r="A99" s="8">
        <v>45720</v>
      </c>
      <c r="B99" s="9" t="s">
        <v>387</v>
      </c>
      <c r="C99" s="4"/>
      <c r="D99" s="6">
        <v>50</v>
      </c>
      <c r="E99" s="6">
        <f>E98+C99-D99</f>
      </c>
      <c r="F99" s="2"/>
    </row>
    <row x14ac:dyDescent="0.25" r="100" customHeight="1" ht="17.25">
      <c r="A100" s="7">
        <v>45720</v>
      </c>
      <c r="B100" s="9" t="s">
        <v>3</v>
      </c>
      <c r="C100" s="4"/>
      <c r="D100" s="6">
        <v>50</v>
      </c>
      <c r="E100" s="6">
        <f>E99+C100-D100</f>
      </c>
      <c r="F100" s="2"/>
    </row>
    <row x14ac:dyDescent="0.25" r="101" customHeight="1" ht="17.25">
      <c r="A101" s="7">
        <v>45721</v>
      </c>
      <c r="B101" s="9" t="s">
        <v>3</v>
      </c>
      <c r="C101" s="4"/>
      <c r="D101" s="6">
        <v>70</v>
      </c>
      <c r="E101" s="6">
        <f>E100+C101-D101</f>
      </c>
      <c r="F101" s="2"/>
    </row>
    <row x14ac:dyDescent="0.25" r="102" customHeight="1" ht="17.25">
      <c r="A102" s="7">
        <v>45721</v>
      </c>
      <c r="B102" s="9" t="s">
        <v>3</v>
      </c>
      <c r="C102" s="4"/>
      <c r="D102" s="6">
        <v>180</v>
      </c>
      <c r="E102" s="6">
        <f>E101+C102-D102</f>
      </c>
      <c r="F102" s="2"/>
    </row>
    <row x14ac:dyDescent="0.25" r="103" customHeight="1" ht="17.25">
      <c r="A103" s="7">
        <v>45721</v>
      </c>
      <c r="B103" s="9" t="s">
        <v>3</v>
      </c>
      <c r="C103" s="4"/>
      <c r="D103" s="6">
        <v>50</v>
      </c>
      <c r="E103" s="6">
        <f>E102+C103-D103</f>
      </c>
      <c r="F103" s="2"/>
    </row>
    <row x14ac:dyDescent="0.25" r="104" customHeight="1" ht="17.25">
      <c r="A104" s="8">
        <v>45721</v>
      </c>
      <c r="B104" s="9" t="s">
        <v>39</v>
      </c>
      <c r="C104" s="6">
        <v>8</v>
      </c>
      <c r="D104" s="4"/>
      <c r="E104" s="6">
        <f>E103+C104-D104</f>
      </c>
      <c r="F104" s="2"/>
    </row>
    <row x14ac:dyDescent="0.25" r="105" customHeight="1" ht="17.25">
      <c r="A105" s="7">
        <v>45722</v>
      </c>
      <c r="B105" s="9" t="s">
        <v>387</v>
      </c>
      <c r="C105" s="4"/>
      <c r="D105" s="6">
        <v>67</v>
      </c>
      <c r="E105" s="6">
        <f>E104+C105-D105</f>
      </c>
      <c r="F105" s="2"/>
    </row>
    <row x14ac:dyDescent="0.25" r="106" customHeight="1" ht="17.25">
      <c r="A106" s="8">
        <v>45722</v>
      </c>
      <c r="B106" s="9" t="s">
        <v>275</v>
      </c>
      <c r="C106" s="6">
        <v>5</v>
      </c>
      <c r="D106" s="4"/>
      <c r="E106" s="6">
        <f>E105+C106-D106</f>
      </c>
      <c r="F106" s="2"/>
    </row>
    <row x14ac:dyDescent="0.25" r="107" customHeight="1" ht="17.25">
      <c r="A107" s="8">
        <v>45723</v>
      </c>
      <c r="B107" s="9" t="s">
        <v>269</v>
      </c>
      <c r="C107" s="4"/>
      <c r="D107" s="6">
        <v>3</v>
      </c>
      <c r="E107" s="6">
        <f>E106+C107-D107</f>
      </c>
      <c r="F107" s="2"/>
    </row>
    <row x14ac:dyDescent="0.25" r="108" customHeight="1" ht="17.25">
      <c r="A108" s="7">
        <v>45723</v>
      </c>
      <c r="B108" s="9" t="s">
        <v>3</v>
      </c>
      <c r="C108" s="4"/>
      <c r="D108" s="6">
        <v>50</v>
      </c>
      <c r="E108" s="6">
        <f>E107+C108-D108</f>
      </c>
      <c r="F108" s="2"/>
    </row>
    <row x14ac:dyDescent="0.25" r="109" customHeight="1" ht="17.25">
      <c r="A109" s="8">
        <v>45723</v>
      </c>
      <c r="B109" s="9" t="s">
        <v>273</v>
      </c>
      <c r="C109" s="6">
        <v>1</v>
      </c>
      <c r="D109" s="4"/>
      <c r="E109" s="6">
        <f>E108+C109-D109</f>
      </c>
      <c r="F109" s="2"/>
    </row>
    <row x14ac:dyDescent="0.25" r="110" customHeight="1" ht="17.25">
      <c r="A110" s="8">
        <v>45723</v>
      </c>
      <c r="B110" s="9" t="s">
        <v>189</v>
      </c>
      <c r="C110" s="6">
        <v>20</v>
      </c>
      <c r="D110" s="4"/>
      <c r="E110" s="6">
        <f>E109+C110-D110</f>
      </c>
      <c r="F110" s="2"/>
    </row>
    <row x14ac:dyDescent="0.25" r="111" customHeight="1" ht="17.25">
      <c r="A111" s="7">
        <v>45723</v>
      </c>
      <c r="B111" s="9" t="s">
        <v>489</v>
      </c>
      <c r="C111" s="6">
        <v>10</v>
      </c>
      <c r="D111" s="4"/>
      <c r="E111" s="6">
        <f>E110+C111-D111</f>
      </c>
      <c r="F111" s="2"/>
    </row>
    <row x14ac:dyDescent="0.25" r="112" customHeight="1" ht="17.25">
      <c r="A112" s="8">
        <v>45724</v>
      </c>
      <c r="B112" s="9" t="s">
        <v>412</v>
      </c>
      <c r="C112" s="4"/>
      <c r="D112" s="6">
        <v>60</v>
      </c>
      <c r="E112" s="6">
        <f>E111+C112-D112</f>
      </c>
      <c r="F112" s="2"/>
    </row>
    <row x14ac:dyDescent="0.25" r="113" customHeight="1" ht="17.25">
      <c r="A113" s="7">
        <v>45724</v>
      </c>
      <c r="B113" s="9" t="s">
        <v>3</v>
      </c>
      <c r="C113" s="4"/>
      <c r="D113" s="6">
        <v>180</v>
      </c>
      <c r="E113" s="6">
        <f>E112+C113-D113</f>
      </c>
      <c r="F113" s="2"/>
    </row>
    <row x14ac:dyDescent="0.25" r="114" customHeight="1" ht="17.25">
      <c r="A114" s="8">
        <v>45724</v>
      </c>
      <c r="B114" s="9" t="s">
        <v>35</v>
      </c>
      <c r="C114" s="6">
        <v>1</v>
      </c>
      <c r="D114" s="4"/>
      <c r="E114" s="6">
        <f>E113+C114-D114</f>
      </c>
      <c r="F114" s="2"/>
    </row>
    <row x14ac:dyDescent="0.25" r="115" customHeight="1" ht="17.25">
      <c r="A115" s="7">
        <v>45726</v>
      </c>
      <c r="B115" s="9" t="s">
        <v>35</v>
      </c>
      <c r="C115" s="6">
        <v>2</v>
      </c>
      <c r="D115" s="4"/>
      <c r="E115" s="6">
        <f>E114+C115-D115</f>
      </c>
      <c r="F115" s="2"/>
    </row>
    <row x14ac:dyDescent="0.25" r="116" customHeight="1" ht="17.25">
      <c r="A116" s="34">
        <v>45726</v>
      </c>
      <c r="B116" s="36" t="s">
        <v>35</v>
      </c>
      <c r="C116" s="32"/>
      <c r="D116" s="32"/>
      <c r="E116" s="33">
        <f>E115+C116-D116</f>
      </c>
      <c r="F116" s="31" t="s">
        <v>573</v>
      </c>
    </row>
    <row x14ac:dyDescent="0.25" r="117" customHeight="1" ht="17.25">
      <c r="A117" s="7">
        <v>45726</v>
      </c>
      <c r="B117" s="9" t="s">
        <v>141</v>
      </c>
      <c r="C117" s="6">
        <v>20</v>
      </c>
      <c r="D117" s="4"/>
      <c r="E117" s="6">
        <f>E116+C117-D117</f>
      </c>
      <c r="F117" s="2"/>
    </row>
    <row x14ac:dyDescent="0.25" r="118" customHeight="1" ht="17.25">
      <c r="A118" s="8">
        <v>45726</v>
      </c>
      <c r="B118" s="9" t="s">
        <v>189</v>
      </c>
      <c r="C118" s="6">
        <v>5</v>
      </c>
      <c r="D118" s="4"/>
      <c r="E118" s="6">
        <f>E117+C118-D118</f>
      </c>
      <c r="F118" s="2"/>
    </row>
    <row x14ac:dyDescent="0.25" r="119" customHeight="1" ht="17.25">
      <c r="A119" s="8">
        <v>45727</v>
      </c>
      <c r="B119" s="9" t="s">
        <v>412</v>
      </c>
      <c r="C119" s="4"/>
      <c r="D119" s="6">
        <v>60</v>
      </c>
      <c r="E119" s="6">
        <f>E118+C119-D119</f>
      </c>
      <c r="F119" s="2"/>
    </row>
    <row x14ac:dyDescent="0.25" r="120" customHeight="1" ht="17.25">
      <c r="A120" s="8">
        <v>45727</v>
      </c>
      <c r="B120" s="9" t="s">
        <v>39</v>
      </c>
      <c r="C120" s="6">
        <v>6</v>
      </c>
      <c r="D120" s="4"/>
      <c r="E120" s="6">
        <f>E119+C120-D120</f>
      </c>
      <c r="F120" s="2"/>
    </row>
    <row x14ac:dyDescent="0.25" r="121" customHeight="1" ht="17.25">
      <c r="A121" s="8">
        <v>45727</v>
      </c>
      <c r="B121" s="9" t="s">
        <v>35</v>
      </c>
      <c r="C121" s="6">
        <v>12</v>
      </c>
      <c r="D121" s="4"/>
      <c r="E121" s="6">
        <f>E120+C121-D121</f>
      </c>
      <c r="F121" s="2"/>
    </row>
    <row x14ac:dyDescent="0.25" r="122" customHeight="1" ht="17.25">
      <c r="A122" s="7">
        <v>45728</v>
      </c>
      <c r="B122" s="9" t="s">
        <v>514</v>
      </c>
      <c r="C122" s="4"/>
      <c r="D122" s="6">
        <v>20</v>
      </c>
      <c r="E122" s="6">
        <f>E121+C122-D122</f>
      </c>
      <c r="F122" s="2"/>
    </row>
    <row x14ac:dyDescent="0.25" r="123" customHeight="1" ht="17.25">
      <c r="A123" s="8">
        <v>45728</v>
      </c>
      <c r="B123" s="9" t="s">
        <v>283</v>
      </c>
      <c r="C123" s="6">
        <v>21</v>
      </c>
      <c r="D123" s="4"/>
      <c r="E123" s="6">
        <f>E122+C123-D123</f>
      </c>
      <c r="F123" s="2"/>
    </row>
    <row x14ac:dyDescent="0.25" r="124" customHeight="1" ht="17.25">
      <c r="A124" s="7">
        <v>45728</v>
      </c>
      <c r="B124" s="9" t="s">
        <v>35</v>
      </c>
      <c r="C124" s="6">
        <v>1</v>
      </c>
      <c r="D124" s="4"/>
      <c r="E124" s="6">
        <f>E123+C124-D124</f>
      </c>
      <c r="F124" s="2"/>
    </row>
    <row x14ac:dyDescent="0.25" r="125" customHeight="1" ht="17.25">
      <c r="A125" s="8">
        <v>45729</v>
      </c>
      <c r="B125" s="9" t="s">
        <v>3</v>
      </c>
      <c r="C125" s="4"/>
      <c r="D125" s="6">
        <v>50</v>
      </c>
      <c r="E125" s="6">
        <f>E124+C125-D125</f>
      </c>
      <c r="F125" s="2"/>
    </row>
    <row x14ac:dyDescent="0.25" r="126" customHeight="1" ht="17.25">
      <c r="A126" s="8">
        <v>45729</v>
      </c>
      <c r="B126" s="9" t="s">
        <v>3</v>
      </c>
      <c r="C126" s="4"/>
      <c r="D126" s="6">
        <v>50</v>
      </c>
      <c r="E126" s="6">
        <f>E125+C126-D126</f>
      </c>
      <c r="F126" s="2"/>
    </row>
    <row x14ac:dyDescent="0.25" r="127" customHeight="1" ht="17.25">
      <c r="A127" s="8">
        <v>45729</v>
      </c>
      <c r="B127" s="9" t="s">
        <v>365</v>
      </c>
      <c r="C127" s="6">
        <v>4</v>
      </c>
      <c r="D127" s="4"/>
      <c r="E127" s="6">
        <f>E126+C127-D127</f>
      </c>
      <c r="F127" s="2"/>
    </row>
    <row x14ac:dyDescent="0.25" r="128" customHeight="1" ht="17.25">
      <c r="A128" s="8">
        <v>45730</v>
      </c>
      <c r="B128" s="9" t="s">
        <v>35</v>
      </c>
      <c r="C128" s="6">
        <v>1</v>
      </c>
      <c r="D128" s="4"/>
      <c r="E128" s="6">
        <v>1</v>
      </c>
      <c r="F128" s="2"/>
    </row>
    <row x14ac:dyDescent="0.25" r="129" customHeight="1" ht="17.25">
      <c r="A129" s="8">
        <v>45733</v>
      </c>
      <c r="B129" s="9" t="s">
        <v>39</v>
      </c>
      <c r="C129" s="6">
        <v>3</v>
      </c>
      <c r="D129" s="4"/>
      <c r="E129" s="6">
        <f>E128+C129-D129</f>
      </c>
      <c r="F129" s="2"/>
    </row>
    <row x14ac:dyDescent="0.25" r="130" customHeight="1" ht="17.25">
      <c r="A130" s="8">
        <v>45734</v>
      </c>
      <c r="B130" s="9" t="s">
        <v>365</v>
      </c>
      <c r="C130" s="6">
        <v>2</v>
      </c>
      <c r="D130" s="4"/>
      <c r="E130" s="6">
        <f>E129+C130-D130</f>
      </c>
      <c r="F130" s="2"/>
    </row>
    <row x14ac:dyDescent="0.25" r="131" customHeight="1" ht="17.25">
      <c r="A131" s="7">
        <v>45735</v>
      </c>
      <c r="B131" s="9" t="s">
        <v>35</v>
      </c>
      <c r="C131" s="6">
        <v>7</v>
      </c>
      <c r="D131" s="4"/>
      <c r="E131" s="6">
        <f>E130+C131-D131</f>
      </c>
      <c r="F131" s="2"/>
    </row>
    <row x14ac:dyDescent="0.25" r="132" customHeight="1" ht="17.25">
      <c r="A132" s="8">
        <v>45735</v>
      </c>
      <c r="B132" s="9" t="s">
        <v>542</v>
      </c>
      <c r="C132" s="6">
        <v>40</v>
      </c>
      <c r="D132" s="4"/>
      <c r="E132" s="6">
        <f>E131+C132-D132</f>
      </c>
      <c r="F132" s="2"/>
    </row>
    <row x14ac:dyDescent="0.25" r="133" customHeight="1" ht="17.25">
      <c r="A133" s="8">
        <v>45735</v>
      </c>
      <c r="B133" s="9" t="s">
        <v>257</v>
      </c>
      <c r="C133" s="6">
        <v>4</v>
      </c>
      <c r="D133" s="4"/>
      <c r="E133" s="6">
        <f>E132+C133-D133</f>
      </c>
      <c r="F133" s="2"/>
    </row>
    <row x14ac:dyDescent="0.25" r="134" customHeight="1" ht="17.25">
      <c r="A134" s="8">
        <v>45737</v>
      </c>
      <c r="B134" s="9" t="s">
        <v>275</v>
      </c>
      <c r="C134" s="6">
        <v>2</v>
      </c>
      <c r="D134" s="4"/>
      <c r="E134" s="6">
        <f>E133+C134-D134</f>
      </c>
      <c r="F134" s="2"/>
    </row>
    <row x14ac:dyDescent="0.25" r="135" customHeight="1" ht="17.25">
      <c r="A135" s="8">
        <v>45737</v>
      </c>
      <c r="B135" s="9" t="s">
        <v>272</v>
      </c>
      <c r="C135" s="6">
        <v>5</v>
      </c>
      <c r="D135" s="4"/>
      <c r="E135" s="6">
        <f>E134+C135-D135</f>
      </c>
      <c r="F135" s="2"/>
    </row>
    <row x14ac:dyDescent="0.25" r="136" customHeight="1" ht="17.25">
      <c r="A136" s="8">
        <v>45737</v>
      </c>
      <c r="B136" s="9" t="s">
        <v>257</v>
      </c>
      <c r="C136" s="6">
        <v>52</v>
      </c>
      <c r="D136" s="4"/>
      <c r="E136" s="6">
        <f>E135+C136-D136</f>
      </c>
      <c r="F136" s="2"/>
    </row>
    <row x14ac:dyDescent="0.25" r="137" customHeight="1" ht="17.25">
      <c r="A137" s="8">
        <v>45738</v>
      </c>
      <c r="B137" s="9" t="s">
        <v>35</v>
      </c>
      <c r="C137" s="6">
        <v>14</v>
      </c>
      <c r="D137" s="4"/>
      <c r="E137" s="6">
        <f>E136+C137-D137</f>
      </c>
      <c r="F137" s="2"/>
    </row>
    <row x14ac:dyDescent="0.25" r="138" customHeight="1" ht="17.25">
      <c r="A138" s="8">
        <v>45738</v>
      </c>
      <c r="B138" s="9" t="s">
        <v>39</v>
      </c>
      <c r="C138" s="6">
        <v>4</v>
      </c>
      <c r="D138" s="4"/>
      <c r="E138" s="6">
        <f>E137+C138-D138</f>
      </c>
      <c r="F138" s="2"/>
    </row>
    <row x14ac:dyDescent="0.25" r="139" customHeight="1" ht="17.25">
      <c r="A139" s="8">
        <v>45740</v>
      </c>
      <c r="B139" s="9" t="s">
        <v>376</v>
      </c>
      <c r="C139" s="6">
        <v>21</v>
      </c>
      <c r="D139" s="4"/>
      <c r="E139" s="6">
        <f>E138+C139-D139</f>
      </c>
      <c r="F139" s="2"/>
    </row>
    <row x14ac:dyDescent="0.25" r="140" customHeight="1" ht="17.25">
      <c r="A140" s="7">
        <v>45741</v>
      </c>
      <c r="B140" s="9" t="s">
        <v>257</v>
      </c>
      <c r="C140" s="4"/>
      <c r="D140" s="6">
        <v>19</v>
      </c>
      <c r="E140" s="6">
        <f>E139+C140-D140</f>
      </c>
      <c r="F140" s="2"/>
    </row>
    <row x14ac:dyDescent="0.25" r="141" customHeight="1" ht="17.25">
      <c r="A141" s="8">
        <v>45741</v>
      </c>
      <c r="B141" s="9" t="s">
        <v>272</v>
      </c>
      <c r="C141" s="6">
        <v>4</v>
      </c>
      <c r="D141" s="4"/>
      <c r="E141" s="6">
        <f>E140+C141-D141</f>
      </c>
      <c r="F141" s="2"/>
    </row>
    <row x14ac:dyDescent="0.25" r="142" customHeight="1" ht="17.25">
      <c r="A142" s="8">
        <v>45741</v>
      </c>
      <c r="B142" s="9" t="s">
        <v>257</v>
      </c>
      <c r="C142" s="6">
        <v>1</v>
      </c>
      <c r="D142" s="4"/>
      <c r="E142" s="3"/>
      <c r="F142" s="2"/>
    </row>
    <row x14ac:dyDescent="0.25" r="143" customHeight="1" ht="17.25">
      <c r="A143" s="7">
        <v>45755</v>
      </c>
      <c r="B143" s="9" t="s">
        <v>184</v>
      </c>
      <c r="C143" s="4"/>
      <c r="D143" s="6">
        <v>144</v>
      </c>
      <c r="E143" s="6">
        <v>0</v>
      </c>
      <c r="F143" s="2"/>
    </row>
    <row x14ac:dyDescent="0.25" r="144" customHeight="1" ht="17.25">
      <c r="A144" s="7">
        <v>45757</v>
      </c>
      <c r="B144" s="9" t="s">
        <v>189</v>
      </c>
      <c r="C144" s="6">
        <v>14</v>
      </c>
      <c r="D144" s="4"/>
      <c r="E144" s="6">
        <v>14</v>
      </c>
      <c r="F144" s="2"/>
    </row>
    <row x14ac:dyDescent="0.25" r="145" customHeight="1" ht="17.25">
      <c r="A145" s="8">
        <v>45761</v>
      </c>
      <c r="B145" s="9" t="s">
        <v>39</v>
      </c>
      <c r="C145" s="6">
        <v>5</v>
      </c>
      <c r="D145" s="4"/>
      <c r="E145" s="6">
        <f>E144+C145-D145</f>
      </c>
      <c r="F145" s="2"/>
    </row>
    <row x14ac:dyDescent="0.25" r="146" customHeight="1" ht="17.25">
      <c r="A146" s="8">
        <v>45762</v>
      </c>
      <c r="B146" s="9" t="s">
        <v>189</v>
      </c>
      <c r="C146" s="4"/>
      <c r="D146" s="6">
        <v>47</v>
      </c>
      <c r="E146" s="6">
        <v>0</v>
      </c>
      <c r="F146" s="2"/>
    </row>
    <row x14ac:dyDescent="0.25" r="147" customHeight="1" ht="17.25">
      <c r="A147" s="8">
        <v>45763</v>
      </c>
      <c r="B147" s="9" t="s">
        <v>416</v>
      </c>
      <c r="C147" s="4"/>
      <c r="D147" s="6">
        <v>24</v>
      </c>
      <c r="E147" s="6">
        <f>E146+C147-D147</f>
      </c>
      <c r="F147" s="2"/>
    </row>
    <row x14ac:dyDescent="0.25" r="148" customHeight="1" ht="17.25">
      <c r="A148" s="39">
        <v>45763</v>
      </c>
      <c r="B148" s="36" t="s">
        <v>2</v>
      </c>
      <c r="C148" s="32"/>
      <c r="D148" s="33">
        <v>30</v>
      </c>
      <c r="E148" s="33">
        <f>E147+C148-D148</f>
      </c>
      <c r="F148" s="31" t="s">
        <v>380</v>
      </c>
    </row>
    <row x14ac:dyDescent="0.25" r="149" customHeight="1" ht="17.25">
      <c r="A149" s="7">
        <v>45763</v>
      </c>
      <c r="B149" s="9" t="s">
        <v>574</v>
      </c>
      <c r="C149" s="6">
        <v>500</v>
      </c>
      <c r="D149" s="4"/>
      <c r="E149" s="6">
        <f>E148+C149-D149</f>
      </c>
      <c r="F149" s="2"/>
    </row>
    <row x14ac:dyDescent="0.25" r="150" customHeight="1" ht="17.25">
      <c r="A150" s="7">
        <v>45763</v>
      </c>
      <c r="B150" s="9" t="s">
        <v>58</v>
      </c>
      <c r="C150" s="6">
        <v>48</v>
      </c>
      <c r="D150" s="4"/>
      <c r="E150" s="6">
        <f>E149+C150-D150</f>
      </c>
      <c r="F150" s="2"/>
    </row>
    <row x14ac:dyDescent="0.25" r="151" customHeight="1" ht="17.25">
      <c r="A151" s="8">
        <v>45766</v>
      </c>
      <c r="B151" s="9" t="s">
        <v>484</v>
      </c>
      <c r="C151" s="6">
        <v>42</v>
      </c>
      <c r="D151" s="4"/>
      <c r="E151" s="6">
        <f>E150+C151-D151</f>
      </c>
      <c r="F151" s="2"/>
    </row>
    <row x14ac:dyDescent="0.25" r="152" customHeight="1" ht="17.25">
      <c r="A152" s="8">
        <v>45768</v>
      </c>
      <c r="B152" s="9" t="s">
        <v>412</v>
      </c>
      <c r="C152" s="4"/>
      <c r="D152" s="6">
        <v>21</v>
      </c>
      <c r="E152" s="6">
        <f>E151+C152-D152</f>
      </c>
      <c r="F152" s="2"/>
    </row>
    <row x14ac:dyDescent="0.25" r="153" customHeight="1" ht="17.25">
      <c r="A153" s="8">
        <v>45768</v>
      </c>
      <c r="B153" s="9" t="s">
        <v>284</v>
      </c>
      <c r="C153" s="4"/>
      <c r="D153" s="6">
        <v>31</v>
      </c>
      <c r="E153" s="6">
        <f>E152+C153-D153</f>
      </c>
      <c r="F153" s="2"/>
    </row>
    <row x14ac:dyDescent="0.25" r="154" customHeight="1" ht="17.25">
      <c r="A154" s="8">
        <v>45768</v>
      </c>
      <c r="B154" s="9" t="s">
        <v>272</v>
      </c>
      <c r="C154" s="6">
        <v>16</v>
      </c>
      <c r="D154" s="4"/>
      <c r="E154" s="6">
        <f>E153+C154-D154</f>
      </c>
      <c r="F154" s="2"/>
    </row>
    <row x14ac:dyDescent="0.25" r="155" customHeight="1" ht="17.25">
      <c r="A155" s="8">
        <v>45769</v>
      </c>
      <c r="B155" s="9" t="s">
        <v>412</v>
      </c>
      <c r="C155" s="4"/>
      <c r="D155" s="6">
        <v>20</v>
      </c>
      <c r="E155" s="6">
        <f>E154+C155-D155</f>
      </c>
      <c r="F155" s="2"/>
    </row>
    <row x14ac:dyDescent="0.25" r="156" customHeight="1" ht="17.25">
      <c r="A156" s="8">
        <v>45769</v>
      </c>
      <c r="B156" s="9" t="s">
        <v>39</v>
      </c>
      <c r="C156" s="6">
        <v>3</v>
      </c>
      <c r="D156" s="4"/>
      <c r="E156" s="6">
        <f>E155+C156-D156</f>
      </c>
      <c r="F156" s="2"/>
    </row>
    <row x14ac:dyDescent="0.25" r="157" customHeight="1" ht="17.25">
      <c r="A157" s="8">
        <v>45769</v>
      </c>
      <c r="B157" s="9" t="s">
        <v>228</v>
      </c>
      <c r="C157" s="4"/>
      <c r="D157" s="6">
        <v>60</v>
      </c>
      <c r="E157" s="6">
        <f>E156+C157-D157</f>
      </c>
      <c r="F157" s="2"/>
    </row>
    <row x14ac:dyDescent="0.25" r="158" customHeight="1" ht="17.25">
      <c r="A158" s="8">
        <v>45771</v>
      </c>
      <c r="B158" s="9" t="s">
        <v>228</v>
      </c>
      <c r="C158" s="4"/>
      <c r="D158" s="6">
        <v>60</v>
      </c>
      <c r="E158" s="6">
        <f>E157+C158-D158</f>
      </c>
      <c r="F158" s="2"/>
    </row>
    <row x14ac:dyDescent="0.25" r="159" customHeight="1" ht="17.25">
      <c r="A159" s="8">
        <v>45772</v>
      </c>
      <c r="B159" s="9" t="s">
        <v>228</v>
      </c>
      <c r="C159" s="4"/>
      <c r="D159" s="6">
        <v>68</v>
      </c>
      <c r="E159" s="6">
        <f>E158+C159-D159</f>
      </c>
      <c r="F159" s="2"/>
    </row>
    <row x14ac:dyDescent="0.25" r="160" customHeight="1" ht="17.25">
      <c r="A160" s="8">
        <v>45772</v>
      </c>
      <c r="B160" s="9" t="s">
        <v>491</v>
      </c>
      <c r="C160" s="4"/>
      <c r="D160" s="6">
        <v>200</v>
      </c>
      <c r="E160" s="6">
        <f>E159+C160-D160</f>
      </c>
      <c r="F160" s="2"/>
    </row>
    <row x14ac:dyDescent="0.25" r="161" customHeight="1" ht="17.25">
      <c r="A161" s="8">
        <v>45772</v>
      </c>
      <c r="B161" s="9" t="s">
        <v>44</v>
      </c>
      <c r="C161" s="6">
        <v>43</v>
      </c>
      <c r="D161" s="4"/>
      <c r="E161" s="6">
        <f>E160+C161-D161</f>
      </c>
      <c r="F161" s="2"/>
    </row>
    <row x14ac:dyDescent="0.25" r="162" customHeight="1" ht="17.25">
      <c r="A162" s="7">
        <v>45777</v>
      </c>
      <c r="B162" s="9" t="s">
        <v>491</v>
      </c>
      <c r="C162" s="4"/>
      <c r="D162" s="6">
        <v>100</v>
      </c>
      <c r="E162" s="6">
        <f>E161+C162-D162</f>
      </c>
      <c r="F162" s="2"/>
    </row>
    <row x14ac:dyDescent="0.25" r="163" customHeight="1" ht="17.25">
      <c r="A163" s="8">
        <v>45779</v>
      </c>
      <c r="B163" s="9" t="s">
        <v>272</v>
      </c>
      <c r="C163" s="6">
        <v>1</v>
      </c>
      <c r="D163" s="4"/>
      <c r="E163" s="6">
        <f>E162+C163-D163</f>
      </c>
      <c r="F163" s="2"/>
    </row>
    <row x14ac:dyDescent="0.25" r="164" customHeight="1" ht="17.25">
      <c r="A164" s="8">
        <v>45780</v>
      </c>
      <c r="B164" s="9" t="s">
        <v>232</v>
      </c>
      <c r="C164" s="4"/>
      <c r="D164" s="6">
        <v>20</v>
      </c>
      <c r="E164" s="6">
        <f>E163+C164-D164</f>
      </c>
      <c r="F164" s="2"/>
    </row>
    <row x14ac:dyDescent="0.25" r="165" customHeight="1" ht="17.25">
      <c r="A165" s="8">
        <v>45784</v>
      </c>
      <c r="B165" s="9" t="s">
        <v>485</v>
      </c>
      <c r="C165" s="6">
        <v>70</v>
      </c>
      <c r="D165" s="4"/>
      <c r="E165" s="6">
        <f>E164+C165-D165</f>
      </c>
      <c r="F165" s="2"/>
    </row>
    <row x14ac:dyDescent="0.25" r="166" customHeight="1" ht="17.25">
      <c r="A166" s="7">
        <v>45786</v>
      </c>
      <c r="B166" s="9" t="s">
        <v>484</v>
      </c>
      <c r="C166" s="6">
        <v>100</v>
      </c>
      <c r="D166" s="4"/>
      <c r="E166" s="6">
        <f>E165+C166-D166</f>
      </c>
      <c r="F166" s="2"/>
    </row>
    <row x14ac:dyDescent="0.25" r="167" customHeight="1" ht="17.25">
      <c r="A167" s="7">
        <v>45790</v>
      </c>
      <c r="B167" s="9" t="s">
        <v>272</v>
      </c>
      <c r="C167" s="6">
        <v>1</v>
      </c>
      <c r="D167" s="4"/>
      <c r="E167" s="6">
        <f>E166+C167-D167</f>
      </c>
      <c r="F167" s="2"/>
    </row>
    <row x14ac:dyDescent="0.25" r="168" customHeight="1" ht="17.25">
      <c r="A168" s="8">
        <v>45793</v>
      </c>
      <c r="B168" s="9" t="s">
        <v>484</v>
      </c>
      <c r="C168" s="6">
        <v>76</v>
      </c>
      <c r="D168" s="4"/>
      <c r="E168" s="6">
        <f>E167+C168-D168</f>
      </c>
      <c r="F168" s="2"/>
    </row>
    <row x14ac:dyDescent="0.25" r="169" customHeight="1" ht="17.25">
      <c r="A169" s="7">
        <v>45793</v>
      </c>
      <c r="B169" s="9" t="s">
        <v>3</v>
      </c>
      <c r="C169" s="6">
        <v>41</v>
      </c>
      <c r="D169" s="4"/>
      <c r="E169" s="6">
        <f>E168+C169-D169</f>
      </c>
      <c r="F169" s="2"/>
    </row>
    <row x14ac:dyDescent="0.25" r="170" customHeight="1" ht="17.25">
      <c r="A170" s="7">
        <v>45794</v>
      </c>
      <c r="B170" s="9" t="s">
        <v>575</v>
      </c>
      <c r="C170" s="6">
        <v>200</v>
      </c>
      <c r="D170" s="4"/>
      <c r="E170" s="6">
        <f>E169+C170-D170</f>
      </c>
      <c r="F170" s="2"/>
    </row>
    <row x14ac:dyDescent="0.25" r="171" customHeight="1" ht="17.25">
      <c r="A171" s="8">
        <v>45797</v>
      </c>
      <c r="B171" s="9" t="s">
        <v>42</v>
      </c>
      <c r="C171" s="4"/>
      <c r="D171" s="6">
        <v>12</v>
      </c>
      <c r="E171" s="6">
        <f>E170+C171-D171</f>
      </c>
      <c r="F171" s="2"/>
    </row>
    <row x14ac:dyDescent="0.25" r="172" customHeight="1" ht="17.25">
      <c r="A172" s="8">
        <v>45798</v>
      </c>
      <c r="B172" s="9" t="s">
        <v>284</v>
      </c>
      <c r="C172" s="4"/>
      <c r="D172" s="6">
        <v>50</v>
      </c>
      <c r="E172" s="6">
        <f>E171+C172-D172</f>
      </c>
      <c r="F172" s="2"/>
    </row>
    <row x14ac:dyDescent="0.25" r="173" customHeight="1" ht="17.25">
      <c r="A173" s="7">
        <v>45798</v>
      </c>
      <c r="B173" s="9" t="s">
        <v>35</v>
      </c>
      <c r="C173" s="4"/>
      <c r="D173" s="6">
        <v>4</v>
      </c>
      <c r="E173" s="6">
        <f>E172+C173-D173</f>
      </c>
      <c r="F173" s="2"/>
    </row>
    <row x14ac:dyDescent="0.25" r="174" customHeight="1" ht="17.25">
      <c r="A174" s="8">
        <v>45799</v>
      </c>
      <c r="B174" s="9" t="s">
        <v>44</v>
      </c>
      <c r="C174" s="6">
        <v>66</v>
      </c>
      <c r="D174" s="4"/>
      <c r="E174" s="6">
        <f>E173+C174-D174</f>
      </c>
      <c r="F174" s="2"/>
    </row>
    <row x14ac:dyDescent="0.25" r="175" customHeight="1" ht="17.25">
      <c r="A175" s="8">
        <v>45800</v>
      </c>
      <c r="B175" s="9" t="s">
        <v>42</v>
      </c>
      <c r="C175" s="4"/>
      <c r="D175" s="6">
        <v>80</v>
      </c>
      <c r="E175" s="6">
        <f>E174+C175-D175</f>
      </c>
      <c r="F175" s="2"/>
    </row>
    <row x14ac:dyDescent="0.25" r="176" customHeight="1" ht="17.25">
      <c r="A176" s="7">
        <v>45800</v>
      </c>
      <c r="B176" s="9" t="s">
        <v>576</v>
      </c>
      <c r="C176" s="6">
        <v>16</v>
      </c>
      <c r="D176" s="4"/>
      <c r="E176" s="6">
        <f>E175+C176-D176</f>
      </c>
      <c r="F176" s="2"/>
    </row>
    <row x14ac:dyDescent="0.25" r="177" customHeight="1" ht="17.25">
      <c r="A177" s="7">
        <v>45801</v>
      </c>
      <c r="B177" s="9" t="s">
        <v>2</v>
      </c>
      <c r="C177" s="4"/>
      <c r="D177" s="6">
        <v>10</v>
      </c>
      <c r="E177" s="6">
        <f>E176+C177-D177</f>
      </c>
      <c r="F177" s="2"/>
    </row>
    <row x14ac:dyDescent="0.25" r="178" customHeight="1" ht="17.25">
      <c r="A178" s="8">
        <v>45803</v>
      </c>
      <c r="B178" s="9" t="s">
        <v>232</v>
      </c>
      <c r="C178" s="4"/>
      <c r="D178" s="6">
        <v>20</v>
      </c>
      <c r="E178" s="6">
        <f>E177+C178-D178</f>
      </c>
      <c r="F178" s="2"/>
    </row>
    <row x14ac:dyDescent="0.25" r="179" customHeight="1" ht="17.25">
      <c r="A179" s="8">
        <v>45804</v>
      </c>
      <c r="B179" s="9" t="s">
        <v>34</v>
      </c>
      <c r="C179" s="4"/>
      <c r="D179" s="6">
        <v>100</v>
      </c>
      <c r="E179" s="6">
        <f>E178+C179-D179</f>
      </c>
      <c r="F179" s="2"/>
    </row>
    <row x14ac:dyDescent="0.25" r="180" customHeight="1" ht="17.25">
      <c r="A180" s="7">
        <v>45804</v>
      </c>
      <c r="B180" s="9" t="s">
        <v>44</v>
      </c>
      <c r="C180" s="6">
        <v>70</v>
      </c>
      <c r="D180" s="4"/>
      <c r="E180" s="6">
        <f>E179+C180-D180</f>
      </c>
      <c r="F180" s="2"/>
    </row>
    <row x14ac:dyDescent="0.25" r="181" customHeight="1" ht="17.25">
      <c r="A181" s="7">
        <v>45805</v>
      </c>
      <c r="B181" s="9" t="s">
        <v>34</v>
      </c>
      <c r="C181" s="4"/>
      <c r="D181" s="6">
        <v>200</v>
      </c>
      <c r="E181" s="6">
        <f>E180+C181-D181</f>
      </c>
      <c r="F181" s="2"/>
    </row>
    <row x14ac:dyDescent="0.25" r="182" customHeight="1" ht="17.25">
      <c r="A182" s="7">
        <v>45805</v>
      </c>
      <c r="B182" s="9" t="s">
        <v>44</v>
      </c>
      <c r="C182" s="6">
        <v>51</v>
      </c>
      <c r="D182" s="4"/>
      <c r="E182" s="6">
        <f>E181+C182-D182</f>
      </c>
      <c r="F182" s="2"/>
    </row>
    <row x14ac:dyDescent="0.25" r="183" customHeight="1" ht="17.25">
      <c r="A183" s="8">
        <v>45806</v>
      </c>
      <c r="B183" s="9" t="s">
        <v>42</v>
      </c>
      <c r="C183" s="4"/>
      <c r="D183" s="6">
        <v>200</v>
      </c>
      <c r="E183" s="6">
        <f>E182+C183-D183</f>
      </c>
      <c r="F183" s="2"/>
    </row>
    <row x14ac:dyDescent="0.25" r="184" customHeight="1" ht="17.25">
      <c r="A184" s="8">
        <v>45807</v>
      </c>
      <c r="B184" s="9" t="s">
        <v>2</v>
      </c>
      <c r="C184" s="4"/>
      <c r="D184" s="6">
        <v>20</v>
      </c>
      <c r="E184" s="6">
        <f>E183+C184-D184</f>
      </c>
      <c r="F184" s="2"/>
    </row>
    <row x14ac:dyDescent="0.25" r="185" customHeight="1" ht="17.25">
      <c r="A185" s="8">
        <v>45808</v>
      </c>
      <c r="B185" s="9" t="s">
        <v>272</v>
      </c>
      <c r="C185" s="6">
        <v>3</v>
      </c>
      <c r="D185" s="4"/>
      <c r="E185" s="6">
        <f>E184+C185-D185</f>
      </c>
      <c r="F185" s="2"/>
    </row>
    <row x14ac:dyDescent="0.25" r="186" customHeight="1" ht="17.25">
      <c r="A186" s="8">
        <v>45811</v>
      </c>
      <c r="B186" s="9" t="s">
        <v>100</v>
      </c>
      <c r="C186" s="4"/>
      <c r="D186" s="6">
        <v>20</v>
      </c>
      <c r="E186" s="6">
        <v>0</v>
      </c>
      <c r="F186" s="2"/>
    </row>
    <row x14ac:dyDescent="0.25" r="187" customHeight="1" ht="17.25">
      <c r="A187" s="7">
        <v>45812</v>
      </c>
      <c r="B187" s="9" t="s">
        <v>198</v>
      </c>
      <c r="C187" s="6">
        <v>11</v>
      </c>
      <c r="D187" s="4"/>
      <c r="E187" s="33">
        <f>E186+C187-D187</f>
      </c>
      <c r="F187" s="31" t="s">
        <v>577</v>
      </c>
    </row>
    <row x14ac:dyDescent="0.25" r="188" customHeight="1" ht="17.25">
      <c r="A188" s="7">
        <v>45813</v>
      </c>
      <c r="B188" s="9" t="s">
        <v>63</v>
      </c>
      <c r="C188" s="6">
        <v>46</v>
      </c>
      <c r="D188" s="4"/>
      <c r="E188" s="6">
        <f>E187+C188-D188</f>
      </c>
      <c r="F188" s="2"/>
    </row>
    <row x14ac:dyDescent="0.25" r="189" customHeight="1" ht="17.25">
      <c r="A189" s="7">
        <v>45815</v>
      </c>
      <c r="B189" s="9" t="s">
        <v>42</v>
      </c>
      <c r="C189" s="4"/>
      <c r="D189" s="6">
        <v>46</v>
      </c>
      <c r="E189" s="6">
        <f>E188+C189-D189</f>
      </c>
      <c r="F189" s="2"/>
    </row>
    <row x14ac:dyDescent="0.25" r="190" customHeight="1" ht="17.25">
      <c r="A190" s="7">
        <v>45815</v>
      </c>
      <c r="B190" s="9" t="s">
        <v>3</v>
      </c>
      <c r="C190" s="6">
        <v>303</v>
      </c>
      <c r="D190" s="4"/>
      <c r="E190" s="6">
        <f>E189+C190-D190</f>
      </c>
      <c r="F190" s="2"/>
    </row>
    <row x14ac:dyDescent="0.25" r="191" customHeight="1" ht="17.25">
      <c r="A191" s="8">
        <v>45817</v>
      </c>
      <c r="B191" s="9" t="s">
        <v>4</v>
      </c>
      <c r="C191" s="4"/>
      <c r="D191" s="6">
        <v>25</v>
      </c>
      <c r="E191" s="6">
        <f>E190+C191-D191</f>
      </c>
      <c r="F191" s="2"/>
    </row>
    <row x14ac:dyDescent="0.25" r="192" customHeight="1" ht="17.25">
      <c r="A192" s="8">
        <v>45817</v>
      </c>
      <c r="B192" s="9" t="s">
        <v>4</v>
      </c>
      <c r="C192" s="4"/>
      <c r="D192" s="6">
        <v>30</v>
      </c>
      <c r="E192" s="6">
        <f>E191+C192-D192</f>
      </c>
      <c r="F192" s="2"/>
    </row>
    <row x14ac:dyDescent="0.25" r="193" customHeight="1" ht="17.25">
      <c r="A193" s="8">
        <v>45817</v>
      </c>
      <c r="B193" s="9" t="s">
        <v>272</v>
      </c>
      <c r="C193" s="6">
        <v>2</v>
      </c>
      <c r="D193" s="4"/>
      <c r="E193" s="6">
        <f>E192+C193-D193</f>
      </c>
      <c r="F193" s="2"/>
    </row>
    <row x14ac:dyDescent="0.25" r="194" customHeight="1" ht="17.25">
      <c r="A194" s="7">
        <v>45818</v>
      </c>
      <c r="B194" s="9" t="s">
        <v>385</v>
      </c>
      <c r="C194" s="6">
        <v>13</v>
      </c>
      <c r="D194" s="4"/>
      <c r="E194" s="6">
        <f>E193+C194-D194</f>
      </c>
      <c r="F194" s="2"/>
    </row>
    <row x14ac:dyDescent="0.25" r="195" customHeight="1" ht="17.25">
      <c r="A195" s="7">
        <v>45818</v>
      </c>
      <c r="B195" s="9" t="s">
        <v>574</v>
      </c>
      <c r="C195" s="6">
        <v>500</v>
      </c>
      <c r="D195" s="4"/>
      <c r="E195" s="6">
        <f>E194+C195-D195</f>
      </c>
      <c r="F195" s="2"/>
    </row>
    <row x14ac:dyDescent="0.25" r="196" customHeight="1" ht="17.25">
      <c r="A196" s="7">
        <v>45819</v>
      </c>
      <c r="B196" s="9" t="s">
        <v>4</v>
      </c>
      <c r="C196" s="4"/>
      <c r="D196" s="6">
        <v>20</v>
      </c>
      <c r="E196" s="6">
        <f>E195+C196-D196</f>
      </c>
      <c r="F196" s="2"/>
    </row>
    <row x14ac:dyDescent="0.25" r="197" customHeight="1" ht="17.25">
      <c r="A197" s="8">
        <v>45820</v>
      </c>
      <c r="B197" s="9" t="s">
        <v>495</v>
      </c>
      <c r="C197" s="4"/>
      <c r="D197" s="6">
        <v>50</v>
      </c>
      <c r="E197" s="6">
        <f>E196+C197-D197</f>
      </c>
      <c r="F197" s="2"/>
    </row>
    <row x14ac:dyDescent="0.25" r="198" customHeight="1" ht="17.25">
      <c r="A198" s="8">
        <v>45821</v>
      </c>
      <c r="B198" s="9" t="s">
        <v>495</v>
      </c>
      <c r="C198" s="4"/>
      <c r="D198" s="6">
        <v>70</v>
      </c>
      <c r="E198" s="6">
        <f>E197+C198-D198</f>
      </c>
      <c r="F198" s="2"/>
    </row>
    <row x14ac:dyDescent="0.25" r="199" customHeight="1" ht="17.25">
      <c r="A199" s="8">
        <v>45821</v>
      </c>
      <c r="B199" s="9" t="s">
        <v>578</v>
      </c>
      <c r="C199" s="6">
        <v>22</v>
      </c>
      <c r="D199" s="4"/>
      <c r="E199" s="6">
        <f>E198+C199-D199</f>
      </c>
      <c r="F199" s="2"/>
    </row>
    <row x14ac:dyDescent="0.25" r="200" customHeight="1" ht="17.25">
      <c r="A200" s="7">
        <v>45822</v>
      </c>
      <c r="B200" s="9" t="s">
        <v>42</v>
      </c>
      <c r="C200" s="4"/>
      <c r="D200" s="6">
        <v>8</v>
      </c>
      <c r="E200" s="6">
        <f>E199+C200-D200</f>
      </c>
      <c r="F200" s="2"/>
    </row>
    <row x14ac:dyDescent="0.25" r="201" customHeight="1" ht="17.25">
      <c r="A201" s="7">
        <v>45824</v>
      </c>
      <c r="B201" s="9" t="s">
        <v>2</v>
      </c>
      <c r="C201" s="4"/>
      <c r="D201" s="6">
        <v>90</v>
      </c>
      <c r="E201" s="6">
        <f>E200+C201-D201</f>
      </c>
      <c r="F201" s="2"/>
    </row>
    <row x14ac:dyDescent="0.25" r="202" customHeight="1" ht="17.25">
      <c r="A202" s="7">
        <v>45824</v>
      </c>
      <c r="B202" s="9" t="s">
        <v>272</v>
      </c>
      <c r="C202" s="6">
        <v>2</v>
      </c>
      <c r="D202" s="4"/>
      <c r="E202" s="6">
        <f>E201+C202-D202</f>
      </c>
      <c r="F202" s="2"/>
    </row>
    <row x14ac:dyDescent="0.25" r="203" customHeight="1" ht="17.25">
      <c r="A203" s="8">
        <v>45824</v>
      </c>
      <c r="B203" s="9" t="s">
        <v>484</v>
      </c>
      <c r="C203" s="6">
        <v>126</v>
      </c>
      <c r="D203" s="4"/>
      <c r="E203" s="6">
        <f>E202+C203-D203</f>
      </c>
      <c r="F203" s="2"/>
    </row>
    <row x14ac:dyDescent="0.25" r="204" customHeight="1" ht="17.25">
      <c r="A204" s="7">
        <v>45824</v>
      </c>
      <c r="B204" s="9" t="s">
        <v>3</v>
      </c>
      <c r="C204" s="6">
        <v>120</v>
      </c>
      <c r="D204" s="4"/>
      <c r="E204" s="6">
        <f>E203+C204-D204</f>
      </c>
      <c r="F204" s="2"/>
    </row>
    <row x14ac:dyDescent="0.25" r="205" customHeight="1" ht="17.25">
      <c r="A205" s="7">
        <v>45825</v>
      </c>
      <c r="B205" s="9" t="s">
        <v>484</v>
      </c>
      <c r="C205" s="4"/>
      <c r="D205" s="6">
        <v>94</v>
      </c>
      <c r="E205" s="6">
        <f>E204+C205-D205</f>
      </c>
      <c r="F205" s="2"/>
    </row>
    <row x14ac:dyDescent="0.25" r="206" customHeight="1" ht="17.25">
      <c r="A206" s="7">
        <v>45825</v>
      </c>
      <c r="B206" s="9" t="s">
        <v>35</v>
      </c>
      <c r="C206" s="4"/>
      <c r="D206" s="6">
        <v>30</v>
      </c>
      <c r="E206" s="6">
        <f>E205+C206-D206</f>
      </c>
      <c r="F206" s="2"/>
    </row>
    <row x14ac:dyDescent="0.25" r="207" customHeight="1" ht="17.25">
      <c r="A207" s="7">
        <v>45826</v>
      </c>
      <c r="B207" s="9" t="s">
        <v>3</v>
      </c>
      <c r="C207" s="6">
        <v>190</v>
      </c>
      <c r="D207" s="4"/>
      <c r="E207" s="6">
        <f>E206+C207-D207</f>
      </c>
      <c r="F207" s="2"/>
    </row>
    <row x14ac:dyDescent="0.25" r="208" customHeight="1" ht="17.25">
      <c r="A208" s="8">
        <v>45827</v>
      </c>
      <c r="B208" s="9" t="s">
        <v>485</v>
      </c>
      <c r="C208" s="6">
        <v>50</v>
      </c>
      <c r="D208" s="4"/>
      <c r="E208" s="6">
        <f>E207+C208-D208</f>
      </c>
      <c r="F208" s="2"/>
    </row>
    <row x14ac:dyDescent="0.25" r="209" customHeight="1" ht="17.25">
      <c r="A209" s="8">
        <v>45827</v>
      </c>
      <c r="B209" s="9" t="s">
        <v>272</v>
      </c>
      <c r="C209" s="6">
        <v>9</v>
      </c>
      <c r="D209" s="4"/>
      <c r="E209" s="6">
        <f>E208+C209-D209</f>
      </c>
      <c r="F209" s="2"/>
    </row>
    <row x14ac:dyDescent="0.25" r="210" customHeight="1" ht="17.25">
      <c r="A210" s="8">
        <v>45828</v>
      </c>
      <c r="B210" s="9" t="s">
        <v>497</v>
      </c>
      <c r="C210" s="6">
        <v>15</v>
      </c>
      <c r="D210" s="4"/>
      <c r="E210" s="6">
        <f>E209+C210-D210</f>
      </c>
      <c r="F210" s="2"/>
    </row>
    <row x14ac:dyDescent="0.25" r="211" customHeight="1" ht="17.25">
      <c r="A211" s="8">
        <v>45829</v>
      </c>
      <c r="B211" s="9" t="s">
        <v>497</v>
      </c>
      <c r="C211" s="6">
        <v>33</v>
      </c>
      <c r="D211" s="4"/>
      <c r="E211" s="6">
        <f>E210+C211-D211</f>
      </c>
      <c r="F211" s="2"/>
    </row>
    <row x14ac:dyDescent="0.25" r="212" customHeight="1" ht="17.25">
      <c r="A212" s="8">
        <v>45831</v>
      </c>
      <c r="B212" s="9" t="s">
        <v>4</v>
      </c>
      <c r="C212" s="4"/>
      <c r="D212" s="6">
        <v>50</v>
      </c>
      <c r="E212" s="6">
        <f>E211+C212-D212</f>
      </c>
      <c r="F212" s="2"/>
    </row>
    <row x14ac:dyDescent="0.25" r="213" customHeight="1" ht="17.25">
      <c r="A213" s="8">
        <v>45831</v>
      </c>
      <c r="B213" s="9" t="s">
        <v>29</v>
      </c>
      <c r="C213" s="6">
        <v>4</v>
      </c>
      <c r="D213" s="4"/>
      <c r="E213" s="6">
        <f>E212+C213-D213</f>
      </c>
      <c r="F213" s="2"/>
    </row>
    <row x14ac:dyDescent="0.25" r="214" customHeight="1" ht="17.25">
      <c r="A214" s="8">
        <v>45832</v>
      </c>
      <c r="B214" s="9" t="s">
        <v>4</v>
      </c>
      <c r="C214" s="4"/>
      <c r="D214" s="6">
        <v>200</v>
      </c>
      <c r="E214" s="6">
        <f>E213+C214-D214</f>
      </c>
      <c r="F214" s="2"/>
    </row>
    <row x14ac:dyDescent="0.25" r="215" customHeight="1" ht="17.25">
      <c r="A215" s="7">
        <v>45833</v>
      </c>
      <c r="B215" s="9" t="s">
        <v>495</v>
      </c>
      <c r="C215" s="4"/>
      <c r="D215" s="6">
        <v>100</v>
      </c>
      <c r="E215" s="6">
        <f>E214+C215-D215</f>
      </c>
      <c r="F215" s="2"/>
    </row>
    <row x14ac:dyDescent="0.25" r="216" customHeight="1" ht="17.25">
      <c r="A216" s="8">
        <v>45833</v>
      </c>
      <c r="B216" s="9" t="s">
        <v>485</v>
      </c>
      <c r="C216" s="6">
        <v>94</v>
      </c>
      <c r="D216" s="4"/>
      <c r="E216" s="6">
        <f>E215+C216-D216</f>
      </c>
      <c r="F216" s="2"/>
    </row>
    <row x14ac:dyDescent="0.25" r="217" customHeight="1" ht="17.25">
      <c r="A217" s="8">
        <v>45836</v>
      </c>
      <c r="B217" s="9" t="s">
        <v>316</v>
      </c>
      <c r="C217" s="4"/>
      <c r="D217" s="6">
        <v>50</v>
      </c>
      <c r="E217" s="6">
        <f>E216+C217-D217</f>
      </c>
      <c r="F217" s="2"/>
    </row>
    <row x14ac:dyDescent="0.25" r="218" customHeight="1" ht="17.25">
      <c r="A218" s="7">
        <v>45836</v>
      </c>
      <c r="B218" s="9" t="s">
        <v>3</v>
      </c>
      <c r="C218" s="6">
        <f>134+12</f>
      </c>
      <c r="D218" s="4"/>
      <c r="E218" s="6">
        <f>E217+C218-D218</f>
      </c>
      <c r="F218" s="2"/>
    </row>
    <row x14ac:dyDescent="0.25" r="219" customHeight="1" ht="17.25">
      <c r="A219" s="8">
        <v>45838</v>
      </c>
      <c r="B219" s="9" t="s">
        <v>554</v>
      </c>
      <c r="C219" s="4"/>
      <c r="D219" s="6">
        <v>70</v>
      </c>
      <c r="E219" s="6">
        <f>E218+C219-D219</f>
      </c>
      <c r="F219" s="2"/>
    </row>
    <row x14ac:dyDescent="0.25" r="220" customHeight="1" ht="17.25">
      <c r="A220" s="8">
        <v>45839</v>
      </c>
      <c r="B220" s="9" t="s">
        <v>554</v>
      </c>
      <c r="C220" s="4"/>
      <c r="D220" s="6">
        <v>30</v>
      </c>
      <c r="E220" s="6">
        <f>E219+C220-D220</f>
      </c>
      <c r="F220" s="2"/>
    </row>
    <row x14ac:dyDescent="0.25" r="221" customHeight="1" ht="17.25">
      <c r="A221" s="8">
        <v>45839</v>
      </c>
      <c r="B221" s="9" t="s">
        <v>35</v>
      </c>
      <c r="C221" s="6">
        <v>6</v>
      </c>
      <c r="D221" s="4"/>
      <c r="E221" s="6">
        <f>E220+C221-D221</f>
      </c>
      <c r="F221" s="2"/>
    </row>
    <row x14ac:dyDescent="0.25" r="222" customHeight="1" ht="17.25">
      <c r="A222" s="7">
        <v>45841</v>
      </c>
      <c r="B222" s="9" t="s">
        <v>233</v>
      </c>
      <c r="C222" s="4"/>
      <c r="D222" s="6">
        <v>40</v>
      </c>
      <c r="E222" s="6">
        <f>E221+C222-D222</f>
      </c>
      <c r="F222" s="2"/>
    </row>
    <row x14ac:dyDescent="0.25" r="223" customHeight="1" ht="17.25">
      <c r="A223" s="7">
        <v>45845</v>
      </c>
      <c r="B223" s="9" t="s">
        <v>298</v>
      </c>
      <c r="C223" s="4"/>
      <c r="D223" s="6">
        <v>66</v>
      </c>
      <c r="E223" s="6">
        <f>E222+C223-D223</f>
      </c>
      <c r="F223" s="2"/>
    </row>
    <row x14ac:dyDescent="0.25" r="224" customHeight="1" ht="17.25">
      <c r="A224" s="8">
        <v>45845</v>
      </c>
      <c r="B224" s="9" t="s">
        <v>343</v>
      </c>
      <c r="C224" s="4"/>
      <c r="D224" s="6">
        <v>8</v>
      </c>
      <c r="E224" s="6">
        <f>E223+C224-D224</f>
      </c>
      <c r="F224" s="2"/>
    </row>
    <row x14ac:dyDescent="0.25" r="225" customHeight="1" ht="17.25">
      <c r="A225" s="8">
        <v>45846</v>
      </c>
      <c r="B225" s="9" t="s">
        <v>42</v>
      </c>
      <c r="C225" s="6">
        <v>100</v>
      </c>
      <c r="D225" s="4"/>
      <c r="E225" s="6">
        <f>E224+C225-D225</f>
      </c>
      <c r="F225" s="2"/>
    </row>
    <row x14ac:dyDescent="0.25" r="226" customHeight="1" ht="17.25">
      <c r="A226" s="8">
        <v>45850</v>
      </c>
      <c r="B226" s="9" t="s">
        <v>238</v>
      </c>
      <c r="C226" s="6">
        <v>15</v>
      </c>
      <c r="D226" s="4"/>
      <c r="E226" s="6">
        <f>E225+C226-D226</f>
      </c>
      <c r="F226" s="2"/>
    </row>
    <row x14ac:dyDescent="0.25" r="227" customHeight="1" ht="17.25">
      <c r="A227" s="7">
        <v>45850</v>
      </c>
      <c r="B227" s="9" t="s">
        <v>189</v>
      </c>
      <c r="C227" s="6">
        <v>20</v>
      </c>
      <c r="D227" s="4"/>
      <c r="E227" s="6">
        <f>E226+C227-D227</f>
      </c>
      <c r="F227" s="2"/>
    </row>
    <row x14ac:dyDescent="0.25" r="228" customHeight="1" ht="17.25">
      <c r="A228" s="7">
        <v>45854</v>
      </c>
      <c r="B228" s="9" t="s">
        <v>189</v>
      </c>
      <c r="C228" s="6">
        <v>9</v>
      </c>
      <c r="D228" s="4"/>
      <c r="E228" s="6">
        <f>E227+C228-D228</f>
      </c>
      <c r="F228" s="2"/>
    </row>
    <row x14ac:dyDescent="0.25" r="229" customHeight="1" ht="17.25">
      <c r="A229" s="7">
        <v>45854</v>
      </c>
      <c r="B229" s="9" t="s">
        <v>376</v>
      </c>
      <c r="C229" s="6">
        <v>9</v>
      </c>
      <c r="D229" s="4"/>
      <c r="E229" s="6">
        <f>E228+C229-D229</f>
      </c>
      <c r="F229" s="2"/>
    </row>
    <row x14ac:dyDescent="0.25" r="230" customHeight="1" ht="17.25">
      <c r="A230" s="8">
        <v>45855</v>
      </c>
      <c r="B230" s="9" t="s">
        <v>233</v>
      </c>
      <c r="C230" s="4"/>
      <c r="D230" s="6">
        <v>40</v>
      </c>
      <c r="E230" s="6">
        <f>E229+C230-D230</f>
      </c>
      <c r="F230" s="2"/>
    </row>
    <row x14ac:dyDescent="0.25" r="231" customHeight="1" ht="17.25">
      <c r="A231" s="7">
        <v>45855</v>
      </c>
      <c r="B231" s="9" t="s">
        <v>579</v>
      </c>
      <c r="C231" s="6">
        <v>50</v>
      </c>
      <c r="D231" s="4"/>
      <c r="E231" s="6">
        <f>E230+C231-D231</f>
      </c>
      <c r="F231" s="2" t="s">
        <v>580</v>
      </c>
    </row>
    <row x14ac:dyDescent="0.25" r="232" customHeight="1" ht="17.25">
      <c r="A232" s="7">
        <v>45857</v>
      </c>
      <c r="B232" s="9" t="s">
        <v>303</v>
      </c>
      <c r="C232" s="4"/>
      <c r="D232" s="6">
        <v>100</v>
      </c>
      <c r="E232" s="6">
        <f>E231+C232-D232</f>
      </c>
      <c r="F232" s="2"/>
    </row>
    <row x14ac:dyDescent="0.25" r="233" customHeight="1" ht="17.25">
      <c r="A233" s="7">
        <v>45858</v>
      </c>
      <c r="B233" s="9" t="s">
        <v>303</v>
      </c>
      <c r="C233" s="4"/>
      <c r="D233" s="6">
        <v>88</v>
      </c>
      <c r="E233" s="6">
        <f>E232+C233-D233</f>
      </c>
      <c r="F233" s="2"/>
    </row>
    <row x14ac:dyDescent="0.25" r="234" customHeight="1" ht="17.25">
      <c r="A234" s="34">
        <v>45859</v>
      </c>
      <c r="B234" s="36" t="s">
        <v>4</v>
      </c>
      <c r="C234" s="33">
        <v>159</v>
      </c>
      <c r="D234" s="32"/>
      <c r="E234" s="33">
        <f>E233+C234-D234</f>
      </c>
      <c r="F234" s="31" t="s">
        <v>178</v>
      </c>
    </row>
    <row x14ac:dyDescent="0.25" r="235" customHeight="1" ht="17.25">
      <c r="A235" s="8">
        <v>45860</v>
      </c>
      <c r="B235" s="9" t="s">
        <v>42</v>
      </c>
      <c r="C235" s="6">
        <v>234</v>
      </c>
      <c r="D235" s="4"/>
      <c r="E235" s="6">
        <f>E234+C235-D235</f>
      </c>
      <c r="F235" s="2"/>
    </row>
    <row x14ac:dyDescent="0.25" r="236" customHeight="1" ht="17.25">
      <c r="A236" s="7">
        <v>45862</v>
      </c>
      <c r="B236" s="9" t="s">
        <v>333</v>
      </c>
      <c r="C236" s="4"/>
      <c r="D236" s="6">
        <v>76</v>
      </c>
      <c r="E236" s="6">
        <f>E235+C236-D236</f>
      </c>
      <c r="F236" s="2"/>
    </row>
    <row x14ac:dyDescent="0.25" r="237" customHeight="1" ht="17.25">
      <c r="A237" s="7">
        <v>45862</v>
      </c>
      <c r="B237" s="9" t="s">
        <v>485</v>
      </c>
      <c r="C237" s="6">
        <v>24</v>
      </c>
      <c r="D237" s="4"/>
      <c r="E237" s="6">
        <f>E236+C237-D237</f>
      </c>
      <c r="F237" s="2"/>
    </row>
    <row x14ac:dyDescent="0.25" r="238" customHeight="1" ht="17.25">
      <c r="A238" s="7">
        <v>45863</v>
      </c>
      <c r="B238" s="9" t="s">
        <v>233</v>
      </c>
      <c r="C238" s="4"/>
      <c r="D238" s="6">
        <v>120</v>
      </c>
      <c r="E238" s="6">
        <f>E237+C238-D238</f>
      </c>
      <c r="F238" s="2"/>
    </row>
    <row x14ac:dyDescent="0.25" r="239" customHeight="1" ht="17.25">
      <c r="A239" s="8">
        <v>45864</v>
      </c>
      <c r="B239" s="9" t="s">
        <v>233</v>
      </c>
      <c r="C239" s="4"/>
      <c r="D239" s="6">
        <v>120</v>
      </c>
      <c r="E239" s="6">
        <f>E238+C239-D239</f>
      </c>
      <c r="F239" s="2"/>
    </row>
    <row x14ac:dyDescent="0.25" r="240" customHeight="1" ht="17.25">
      <c r="A240" s="8">
        <v>45864</v>
      </c>
      <c r="B240" s="9" t="s">
        <v>368</v>
      </c>
      <c r="C240" s="6">
        <v>86</v>
      </c>
      <c r="D240" s="4"/>
      <c r="E240" s="6">
        <f>E239+C240-D240</f>
      </c>
      <c r="F240" s="2"/>
    </row>
    <row x14ac:dyDescent="0.25" r="241" customHeight="1" ht="17.25">
      <c r="A241" s="8">
        <v>45868</v>
      </c>
      <c r="B241" s="9" t="s">
        <v>100</v>
      </c>
      <c r="C241" s="4"/>
      <c r="D241" s="6">
        <v>70</v>
      </c>
      <c r="E241" s="6">
        <f>E240+C241-D241</f>
      </c>
      <c r="F241" s="2"/>
    </row>
    <row x14ac:dyDescent="0.25" r="242" customHeight="1" ht="17.25">
      <c r="A242" s="7">
        <v>45870</v>
      </c>
      <c r="B242" s="9" t="s">
        <v>100</v>
      </c>
      <c r="C242" s="4"/>
      <c r="D242" s="6">
        <v>30</v>
      </c>
      <c r="E242" s="6">
        <f>E241+C242-D242</f>
      </c>
      <c r="F242" s="2"/>
    </row>
    <row x14ac:dyDescent="0.25" r="243" customHeight="1" ht="17.25">
      <c r="A243" s="8">
        <v>45876</v>
      </c>
      <c r="B243" s="9" t="s">
        <v>307</v>
      </c>
      <c r="C243" s="4"/>
      <c r="D243" s="6">
        <v>10</v>
      </c>
      <c r="E243" s="6">
        <f>E242+C243-D243</f>
      </c>
      <c r="F243" s="2"/>
    </row>
    <row x14ac:dyDescent="0.25" r="244" customHeight="1" ht="17.25">
      <c r="A244" s="7">
        <v>45876</v>
      </c>
      <c r="B244" s="9" t="s">
        <v>234</v>
      </c>
      <c r="C244" s="4"/>
      <c r="D244" s="6">
        <v>20</v>
      </c>
      <c r="E244" s="6">
        <f>E243+C244-D244</f>
      </c>
      <c r="F244" s="2"/>
    </row>
    <row x14ac:dyDescent="0.25" r="245" customHeight="1" ht="17.25">
      <c r="A245" s="7">
        <v>45876</v>
      </c>
      <c r="B245" s="9" t="s">
        <v>275</v>
      </c>
      <c r="C245" s="6">
        <v>3</v>
      </c>
      <c r="D245" s="4"/>
      <c r="E245" s="6">
        <f>E244+C245-D245</f>
      </c>
      <c r="F245" s="2"/>
    </row>
    <row x14ac:dyDescent="0.25" r="246" customHeight="1" ht="17.25">
      <c r="A246" s="7">
        <v>45876</v>
      </c>
      <c r="B246" s="9" t="s">
        <v>208</v>
      </c>
      <c r="C246" s="6">
        <v>79</v>
      </c>
      <c r="D246" s="4"/>
      <c r="E246" s="6">
        <f>E245+C246-D246</f>
      </c>
      <c r="F246" s="2"/>
    </row>
    <row x14ac:dyDescent="0.25" r="247" customHeight="1" ht="17.25">
      <c r="A247" s="8">
        <v>45880</v>
      </c>
      <c r="B247" s="9" t="s">
        <v>370</v>
      </c>
      <c r="C247" s="6">
        <v>11</v>
      </c>
      <c r="D247" s="4"/>
      <c r="E247" s="6">
        <f>E246+C247-D247</f>
      </c>
      <c r="F247" s="2"/>
    </row>
    <row x14ac:dyDescent="0.25" r="248" customHeight="1" ht="17.25">
      <c r="A248" s="7">
        <v>45881</v>
      </c>
      <c r="B248" s="9" t="s">
        <v>501</v>
      </c>
      <c r="C248" s="4"/>
      <c r="D248" s="6">
        <v>100</v>
      </c>
      <c r="E248" s="6">
        <f>E247+C248-D248</f>
      </c>
      <c r="F248" s="2"/>
    </row>
    <row x14ac:dyDescent="0.25" r="249" customHeight="1" ht="17.25">
      <c r="A249" s="8">
        <v>45881</v>
      </c>
      <c r="B249" s="9" t="s">
        <v>208</v>
      </c>
      <c r="C249" s="6">
        <v>75</v>
      </c>
      <c r="D249" s="4"/>
      <c r="E249" s="6">
        <f>E248+C249-D249</f>
      </c>
      <c r="F249" s="2"/>
    </row>
    <row x14ac:dyDescent="0.25" r="250" customHeight="1" ht="17.25">
      <c r="A250" s="7">
        <v>45882</v>
      </c>
      <c r="B250" s="9" t="s">
        <v>307</v>
      </c>
      <c r="C250" s="4"/>
      <c r="D250" s="6">
        <v>30</v>
      </c>
      <c r="E250" s="6">
        <f>E249+C250-D250</f>
      </c>
      <c r="F250" s="2"/>
    </row>
    <row x14ac:dyDescent="0.25" r="251" customHeight="1" ht="17.25">
      <c r="A251" s="7">
        <v>45883</v>
      </c>
      <c r="B251" s="9" t="s">
        <v>48</v>
      </c>
      <c r="C251" s="4"/>
      <c r="D251" s="6">
        <v>180</v>
      </c>
      <c r="E251" s="6">
        <f>E250+C251-D251</f>
      </c>
      <c r="F251" s="2"/>
    </row>
    <row x14ac:dyDescent="0.25" r="252" customHeight="1" ht="17.25">
      <c r="A252" s="8">
        <v>45883</v>
      </c>
      <c r="B252" s="9" t="s">
        <v>525</v>
      </c>
      <c r="C252" s="4"/>
      <c r="D252" s="6">
        <v>20</v>
      </c>
      <c r="E252" s="6">
        <f>E251+C252-D252</f>
      </c>
      <c r="F252" s="2"/>
    </row>
    <row x14ac:dyDescent="0.25" r="253" customHeight="1" ht="17.25">
      <c r="A253" s="7">
        <v>45884</v>
      </c>
      <c r="B253" s="9" t="s">
        <v>501</v>
      </c>
      <c r="C253" s="4"/>
      <c r="D253" s="6">
        <v>200</v>
      </c>
      <c r="E253" s="6">
        <f>E252+C253-D253</f>
      </c>
      <c r="F253" s="2"/>
    </row>
    <row x14ac:dyDescent="0.25" r="254" customHeight="1" ht="17.25">
      <c r="A254" s="7">
        <v>45884</v>
      </c>
      <c r="B254" s="9" t="s">
        <v>48</v>
      </c>
      <c r="C254" s="4"/>
      <c r="D254" s="6">
        <v>20</v>
      </c>
      <c r="E254" s="6">
        <f>E253+C254-D254</f>
      </c>
      <c r="F254" s="2"/>
    </row>
    <row x14ac:dyDescent="0.25" r="255" customHeight="1" ht="17.25">
      <c r="A255" s="8">
        <v>45884</v>
      </c>
      <c r="B255" s="9" t="s">
        <v>35</v>
      </c>
      <c r="C255" s="6">
        <v>8</v>
      </c>
      <c r="D255" s="4"/>
      <c r="E255" s="6">
        <f>E254+C255-D255</f>
      </c>
      <c r="F255" s="2"/>
    </row>
    <row x14ac:dyDescent="0.25" r="256" customHeight="1" ht="17.25">
      <c r="A256" s="8">
        <v>45888</v>
      </c>
      <c r="B256" s="9" t="s">
        <v>502</v>
      </c>
      <c r="C256" s="4"/>
      <c r="D256" s="6">
        <v>75</v>
      </c>
      <c r="E256" s="6">
        <f>E255+C256-D256</f>
      </c>
      <c r="F256" s="2"/>
    </row>
    <row x14ac:dyDescent="0.25" r="257" customHeight="1" ht="17.25">
      <c r="A257" s="7">
        <v>45888</v>
      </c>
      <c r="B257" s="9" t="s">
        <v>501</v>
      </c>
      <c r="C257" s="4"/>
      <c r="D257" s="6">
        <v>50</v>
      </c>
      <c r="E257" s="6">
        <f>E256+C257-D257</f>
      </c>
      <c r="F257" s="2"/>
    </row>
    <row x14ac:dyDescent="0.25" r="258" customHeight="1" ht="17.25">
      <c r="A258" s="7">
        <v>45888</v>
      </c>
      <c r="B258" s="9" t="s">
        <v>303</v>
      </c>
      <c r="C258" s="6">
        <v>188</v>
      </c>
      <c r="D258" s="4"/>
      <c r="E258" s="6">
        <f>E257+C258-D258</f>
      </c>
      <c r="F258" s="2"/>
    </row>
    <row x14ac:dyDescent="0.25" r="259" customHeight="1" ht="17.25">
      <c r="A259" s="7">
        <v>45888</v>
      </c>
      <c r="B259" s="9" t="s">
        <v>414</v>
      </c>
      <c r="C259" s="6">
        <v>2</v>
      </c>
      <c r="D259" s="4"/>
      <c r="E259" s="6">
        <f>E258+C259-D259</f>
      </c>
      <c r="F259" s="2"/>
    </row>
    <row x14ac:dyDescent="0.25" r="260" customHeight="1" ht="17.25">
      <c r="A260" s="7">
        <v>45889</v>
      </c>
      <c r="B260" s="9" t="s">
        <v>501</v>
      </c>
      <c r="C260" s="4"/>
      <c r="D260" s="6">
        <v>150</v>
      </c>
      <c r="E260" s="6">
        <f>E259+C260-D260</f>
      </c>
      <c r="F260" s="2"/>
    </row>
    <row x14ac:dyDescent="0.25" r="261" customHeight="1" ht="17.25">
      <c r="A261" s="7">
        <v>45890</v>
      </c>
      <c r="B261" s="9" t="s">
        <v>47</v>
      </c>
      <c r="C261" s="4"/>
      <c r="D261" s="6">
        <v>50</v>
      </c>
      <c r="E261" s="6">
        <f>E260+C261-D261</f>
      </c>
      <c r="F261" s="2"/>
    </row>
    <row x14ac:dyDescent="0.25" r="262" customHeight="1" ht="17.25">
      <c r="A262" s="7">
        <v>45890</v>
      </c>
      <c r="B262" s="9" t="s">
        <v>208</v>
      </c>
      <c r="C262" s="6">
        <v>15</v>
      </c>
      <c r="D262" s="4"/>
      <c r="E262" s="6">
        <f>E261+C262-D262</f>
      </c>
      <c r="F262" s="2"/>
    </row>
    <row x14ac:dyDescent="0.25" r="263" customHeight="1" ht="17.25">
      <c r="A263" s="8">
        <v>45891</v>
      </c>
      <c r="B263" s="9" t="s">
        <v>283</v>
      </c>
      <c r="C263" s="6">
        <v>10</v>
      </c>
      <c r="D263" s="4"/>
      <c r="E263" s="6">
        <f>E262+C263-D263</f>
      </c>
      <c r="F263" s="2"/>
    </row>
    <row x14ac:dyDescent="0.25" r="264" customHeight="1" ht="17.25">
      <c r="A264" s="7">
        <v>45894</v>
      </c>
      <c r="B264" s="9" t="s">
        <v>58</v>
      </c>
      <c r="C264" s="6">
        <v>750</v>
      </c>
      <c r="D264" s="4"/>
      <c r="E264" s="6">
        <f>E263+C264-D264</f>
      </c>
      <c r="F264" s="2"/>
    </row>
    <row x14ac:dyDescent="0.25" r="265" customHeight="1" ht="17.25">
      <c r="A265" s="7">
        <v>45894</v>
      </c>
      <c r="B265" s="9" t="s">
        <v>26</v>
      </c>
      <c r="C265" s="4"/>
      <c r="D265" s="6">
        <v>832</v>
      </c>
      <c r="E265" s="6">
        <f>E264+C265-D265</f>
      </c>
      <c r="F265" s="2"/>
    </row>
    <row x14ac:dyDescent="0.25" r="266" customHeight="1" ht="17.25">
      <c r="A266" s="7">
        <v>45894</v>
      </c>
      <c r="B266" s="9" t="s">
        <v>365</v>
      </c>
      <c r="C266" s="4"/>
      <c r="D266" s="6">
        <v>68</v>
      </c>
      <c r="E266" s="6">
        <f>E265+C266-D266</f>
      </c>
      <c r="F266" s="2"/>
    </row>
    <row x14ac:dyDescent="0.25" r="267" customHeight="1" ht="17.25">
      <c r="A267" s="7">
        <v>45894</v>
      </c>
      <c r="B267" s="9" t="s">
        <v>385</v>
      </c>
      <c r="C267" s="6">
        <v>3</v>
      </c>
      <c r="D267" s="4"/>
      <c r="E267" s="6">
        <f>E266+C267-D267</f>
      </c>
      <c r="F267" s="2"/>
    </row>
    <row x14ac:dyDescent="0.25" r="268" customHeight="1" ht="17.25">
      <c r="A268" s="8">
        <v>45895</v>
      </c>
      <c r="B268" s="9" t="s">
        <v>418</v>
      </c>
      <c r="C268" s="4"/>
      <c r="D268" s="6">
        <v>20</v>
      </c>
      <c r="E268" s="6">
        <v>0</v>
      </c>
      <c r="F268" s="2"/>
    </row>
    <row x14ac:dyDescent="0.25" r="269" customHeight="1" ht="17.25">
      <c r="A269" s="7">
        <v>45895</v>
      </c>
      <c r="B269" s="9" t="s">
        <v>272</v>
      </c>
      <c r="C269" s="6">
        <v>5</v>
      </c>
      <c r="D269" s="4"/>
      <c r="E269" s="6">
        <v>5</v>
      </c>
      <c r="F269" s="2"/>
    </row>
    <row x14ac:dyDescent="0.25" r="270" customHeight="1" ht="17.25">
      <c r="A270" s="7">
        <v>45896</v>
      </c>
      <c r="B270" s="9" t="s">
        <v>333</v>
      </c>
      <c r="C270" s="6">
        <v>10</v>
      </c>
      <c r="D270" s="4"/>
      <c r="E270" s="6">
        <v>15</v>
      </c>
      <c r="F270" s="2"/>
    </row>
    <row x14ac:dyDescent="0.25" r="271" customHeight="1" ht="17.25">
      <c r="A271" s="8">
        <v>45897</v>
      </c>
      <c r="B271" s="9" t="s">
        <v>172</v>
      </c>
      <c r="C271" s="6">
        <v>4</v>
      </c>
      <c r="D271" s="4"/>
      <c r="E271" s="6">
        <v>19</v>
      </c>
      <c r="F271" s="2"/>
    </row>
    <row x14ac:dyDescent="0.25" r="272" customHeight="1" ht="17.25">
      <c r="A272" s="8">
        <v>45897</v>
      </c>
      <c r="B272" s="9" t="s">
        <v>376</v>
      </c>
      <c r="C272" s="6">
        <v>19</v>
      </c>
      <c r="D272" s="4"/>
      <c r="E272" s="6">
        <v>38</v>
      </c>
      <c r="F272" s="2"/>
    </row>
    <row x14ac:dyDescent="0.25" r="273" customHeight="1" ht="17.25">
      <c r="A273" s="1"/>
      <c r="B273" s="9" t="s">
        <v>581</v>
      </c>
      <c r="C273" s="4"/>
      <c r="D273" s="4"/>
      <c r="E273" s="6">
        <v>59</v>
      </c>
      <c r="F273" s="2"/>
    </row>
    <row x14ac:dyDescent="0.25" r="274" customHeight="1" ht="17.25">
      <c r="A274" s="7">
        <v>45898</v>
      </c>
      <c r="B274" s="9" t="s">
        <v>63</v>
      </c>
      <c r="C274" s="6">
        <v>41</v>
      </c>
      <c r="D274" s="4"/>
      <c r="E274" s="6">
        <v>100</v>
      </c>
      <c r="F274" s="2"/>
    </row>
    <row x14ac:dyDescent="0.25" r="275" customHeight="1" ht="17.25">
      <c r="A275" s="7">
        <v>45898</v>
      </c>
      <c r="B275" s="9" t="s">
        <v>316</v>
      </c>
      <c r="C275" s="4"/>
      <c r="D275" s="6">
        <v>100</v>
      </c>
      <c r="E275" s="6">
        <v>0</v>
      </c>
      <c r="F275" s="2"/>
    </row>
    <row x14ac:dyDescent="0.25" r="276" customHeight="1" ht="17.25">
      <c r="A276" s="8">
        <v>45898</v>
      </c>
      <c r="B276" s="9" t="s">
        <v>333</v>
      </c>
      <c r="C276" s="6">
        <v>50</v>
      </c>
      <c r="D276" s="4"/>
      <c r="E276" s="6">
        <v>50</v>
      </c>
      <c r="F276" s="2"/>
    </row>
    <row x14ac:dyDescent="0.25" r="277" customHeight="1" ht="17.25">
      <c r="A277" s="7">
        <v>45901</v>
      </c>
      <c r="B277" s="9" t="s">
        <v>63</v>
      </c>
      <c r="C277" s="6">
        <v>50</v>
      </c>
      <c r="D277" s="4"/>
      <c r="E277" s="6">
        <v>100</v>
      </c>
      <c r="F277" s="2"/>
    </row>
    <row x14ac:dyDescent="0.25" r="278" customHeight="1" ht="17.25">
      <c r="A278" s="8">
        <v>45901</v>
      </c>
      <c r="B278" s="9" t="s">
        <v>582</v>
      </c>
      <c r="C278" s="4"/>
      <c r="D278" s="6">
        <v>100</v>
      </c>
      <c r="E278" s="6">
        <v>0</v>
      </c>
      <c r="F278" s="2"/>
    </row>
    <row x14ac:dyDescent="0.25" r="279" customHeight="1" ht="17.25">
      <c r="A279" s="7">
        <v>45902</v>
      </c>
      <c r="B279" s="9" t="s">
        <v>63</v>
      </c>
      <c r="C279" s="6">
        <v>12</v>
      </c>
      <c r="D279" s="4"/>
      <c r="E279" s="6">
        <v>12</v>
      </c>
      <c r="F279" s="2"/>
    </row>
    <row x14ac:dyDescent="0.25" r="280" customHeight="1" ht="17.25">
      <c r="A280" s="7">
        <v>45903</v>
      </c>
      <c r="B280" s="9" t="s">
        <v>56</v>
      </c>
      <c r="C280" s="4"/>
      <c r="D280" s="6">
        <v>12</v>
      </c>
      <c r="E280" s="6">
        <v>0</v>
      </c>
      <c r="F280" s="2"/>
    </row>
    <row x14ac:dyDescent="0.25" r="281" customHeight="1" ht="17.25">
      <c r="A281" s="8">
        <v>45906</v>
      </c>
      <c r="B281" s="9" t="s">
        <v>71</v>
      </c>
      <c r="C281" s="6">
        <v>80</v>
      </c>
      <c r="D281" s="4"/>
      <c r="E281" s="6">
        <v>80</v>
      </c>
      <c r="F281" s="2"/>
    </row>
    <row x14ac:dyDescent="0.25" r="282" customHeight="1" ht="17.25">
      <c r="A282" s="8">
        <v>45908</v>
      </c>
      <c r="B282" s="9" t="s">
        <v>284</v>
      </c>
      <c r="C282" s="6">
        <v>2</v>
      </c>
      <c r="D282" s="4"/>
      <c r="E282" s="6">
        <f>E281+C282-D282</f>
      </c>
      <c r="F282" s="2"/>
    </row>
    <row x14ac:dyDescent="0.25" r="283" customHeight="1" ht="17.25">
      <c r="A283" s="8">
        <v>45906</v>
      </c>
      <c r="B283" s="9" t="s">
        <v>283</v>
      </c>
      <c r="C283" s="6">
        <v>18</v>
      </c>
      <c r="D283" s="4"/>
      <c r="E283" s="6">
        <f>E282+C283-D283</f>
      </c>
      <c r="F283" s="2"/>
    </row>
    <row x14ac:dyDescent="0.25" r="284" customHeight="1" ht="17.25">
      <c r="A284" s="7">
        <v>45909</v>
      </c>
      <c r="B284" s="9" t="s">
        <v>524</v>
      </c>
      <c r="C284" s="6">
        <v>46</v>
      </c>
      <c r="D284" s="4"/>
      <c r="E284" s="6">
        <f>E283+C284-D284</f>
      </c>
      <c r="F284" s="2"/>
    </row>
    <row x14ac:dyDescent="0.25" r="285" customHeight="1" ht="17.25">
      <c r="A285" s="7">
        <v>45909</v>
      </c>
      <c r="B285" s="9" t="s">
        <v>376</v>
      </c>
      <c r="C285" s="6">
        <v>14</v>
      </c>
      <c r="D285" s="4"/>
      <c r="E285" s="6">
        <f>E284+C285-D285</f>
      </c>
      <c r="F285" s="2"/>
    </row>
    <row x14ac:dyDescent="0.25" r="286" customHeight="1" ht="17.25">
      <c r="A286" s="8">
        <v>45910</v>
      </c>
      <c r="B286" s="9" t="s">
        <v>310</v>
      </c>
      <c r="C286" s="4"/>
      <c r="D286" s="6">
        <v>60</v>
      </c>
      <c r="E286" s="6">
        <f>E285+C286-D286</f>
      </c>
      <c r="F286" s="2"/>
    </row>
    <row x14ac:dyDescent="0.25" r="287" customHeight="1" ht="17.25">
      <c r="A287" s="8">
        <v>45911</v>
      </c>
      <c r="B287" s="9" t="s">
        <v>124</v>
      </c>
      <c r="C287" s="4"/>
      <c r="D287" s="6">
        <v>109</v>
      </c>
      <c r="E287" s="6">
        <f>E286+C287-D287</f>
      </c>
      <c r="F287" s="2"/>
    </row>
    <row x14ac:dyDescent="0.25" r="288" customHeight="1" ht="17.25">
      <c r="A288" s="8">
        <v>45911</v>
      </c>
      <c r="B288" s="9" t="s">
        <v>284</v>
      </c>
      <c r="C288" s="6">
        <v>1</v>
      </c>
      <c r="D288" s="4"/>
      <c r="E288" s="3"/>
      <c r="F288" s="2"/>
    </row>
    <row x14ac:dyDescent="0.25" r="289" customHeight="1" ht="17.25">
      <c r="A289" s="7">
        <v>45915</v>
      </c>
      <c r="B289" s="9" t="s">
        <v>365</v>
      </c>
      <c r="C289" s="6">
        <v>68</v>
      </c>
      <c r="D289" s="4"/>
      <c r="E289" s="6">
        <v>70</v>
      </c>
      <c r="F289" s="2"/>
    </row>
    <row x14ac:dyDescent="0.25" r="290" customHeight="1" ht="17.25">
      <c r="A290" s="7">
        <v>45916</v>
      </c>
      <c r="B290" s="9" t="s">
        <v>3</v>
      </c>
      <c r="C290" s="4"/>
      <c r="D290" s="6">
        <v>30</v>
      </c>
      <c r="E290" s="6">
        <f>E289+C290-D290</f>
      </c>
      <c r="F290" s="2"/>
    </row>
    <row x14ac:dyDescent="0.25" r="291" customHeight="1" ht="17.25">
      <c r="A291" s="7">
        <v>45916</v>
      </c>
      <c r="B291" s="9" t="s">
        <v>63</v>
      </c>
      <c r="C291" s="6">
        <v>550</v>
      </c>
      <c r="D291" s="4"/>
      <c r="E291" s="6">
        <f>E290+C291-D291</f>
      </c>
      <c r="F291" s="2"/>
    </row>
    <row x14ac:dyDescent="0.25" r="292" customHeight="1" ht="17.25">
      <c r="A292" s="7">
        <v>45916</v>
      </c>
      <c r="B292" s="9" t="s">
        <v>124</v>
      </c>
      <c r="C292" s="4"/>
      <c r="D292" s="6">
        <v>18</v>
      </c>
      <c r="E292" s="6">
        <f>E291+C292-D292</f>
      </c>
      <c r="F292" s="2"/>
    </row>
    <row x14ac:dyDescent="0.25" r="293" customHeight="1" ht="17.25">
      <c r="A293" s="8">
        <v>45916</v>
      </c>
      <c r="B293" s="9" t="s">
        <v>228</v>
      </c>
      <c r="C293" s="6">
        <v>20</v>
      </c>
      <c r="D293" s="4"/>
      <c r="E293" s="6">
        <f>E292+C293-D293</f>
      </c>
      <c r="F293" s="2"/>
    </row>
    <row x14ac:dyDescent="0.25" r="294" customHeight="1" ht="17.25">
      <c r="A294" s="7">
        <v>45916</v>
      </c>
      <c r="B294" s="9" t="s">
        <v>208</v>
      </c>
      <c r="C294" s="6">
        <v>5</v>
      </c>
      <c r="D294" s="4"/>
      <c r="E294" s="6">
        <f>E293+C294-D294</f>
      </c>
      <c r="F294" s="2"/>
    </row>
    <row x14ac:dyDescent="0.25" r="295" customHeight="1" ht="17.25">
      <c r="A295" s="8">
        <v>45917</v>
      </c>
      <c r="B295" s="9" t="s">
        <v>371</v>
      </c>
      <c r="C295" s="4"/>
      <c r="D295" s="6">
        <v>170</v>
      </c>
      <c r="E295" s="6">
        <f>E294+C295-D295</f>
      </c>
      <c r="F295" s="2"/>
    </row>
    <row x14ac:dyDescent="0.25" r="296" customHeight="1" ht="17.25">
      <c r="A296" s="7">
        <v>45918</v>
      </c>
      <c r="B296" s="9" t="s">
        <v>371</v>
      </c>
      <c r="C296" s="4"/>
      <c r="D296" s="6">
        <v>170</v>
      </c>
      <c r="E296" s="6">
        <f>E295+C296-D296</f>
      </c>
      <c r="F296" s="2"/>
    </row>
    <row x14ac:dyDescent="0.25" r="297" customHeight="1" ht="17.25">
      <c r="A297" s="7">
        <v>45918</v>
      </c>
      <c r="B297" s="9" t="s">
        <v>124</v>
      </c>
      <c r="C297" s="4"/>
      <c r="D297" s="6">
        <v>90</v>
      </c>
      <c r="E297" s="6">
        <f>E296+C297-D297</f>
      </c>
      <c r="F297" s="2"/>
    </row>
    <row x14ac:dyDescent="0.25" r="298" customHeight="1" ht="17.25">
      <c r="A298" s="7">
        <v>45918</v>
      </c>
      <c r="B298" s="9" t="s">
        <v>34</v>
      </c>
      <c r="C298" s="6">
        <v>108</v>
      </c>
      <c r="D298" s="4"/>
      <c r="E298" s="6">
        <f>E297+C298-D298</f>
      </c>
      <c r="F298" s="2"/>
    </row>
    <row x14ac:dyDescent="0.25" r="299" customHeight="1" ht="17.25">
      <c r="A299" s="7">
        <v>45918</v>
      </c>
      <c r="B299" s="9" t="s">
        <v>47</v>
      </c>
      <c r="C299" s="6">
        <v>19</v>
      </c>
      <c r="D299" s="4"/>
      <c r="E299" s="6">
        <f>E298+C299-D299</f>
      </c>
      <c r="F299" s="2"/>
    </row>
    <row x14ac:dyDescent="0.25" r="300" customHeight="1" ht="17.25">
      <c r="A300" s="7">
        <v>45922</v>
      </c>
      <c r="B300" s="9" t="s">
        <v>371</v>
      </c>
      <c r="C300" s="4"/>
      <c r="D300" s="6">
        <v>160</v>
      </c>
      <c r="E300" s="6">
        <f>E299+C300-D300</f>
      </c>
      <c r="F300" s="2"/>
    </row>
    <row x14ac:dyDescent="0.25" r="301" customHeight="1" ht="17.25">
      <c r="A301" s="7">
        <v>45922</v>
      </c>
      <c r="B301" s="9" t="s">
        <v>35</v>
      </c>
      <c r="C301" s="6">
        <v>1</v>
      </c>
      <c r="D301" s="4"/>
      <c r="E301" s="6">
        <f>E300+C301-D301</f>
      </c>
      <c r="F301" s="2"/>
    </row>
    <row x14ac:dyDescent="0.25" r="302" customHeight="1" ht="17.25">
      <c r="A302" s="7">
        <v>45923</v>
      </c>
      <c r="B302" s="9" t="s">
        <v>4</v>
      </c>
      <c r="C302" s="4"/>
      <c r="D302" s="6">
        <v>132</v>
      </c>
      <c r="E302" s="6">
        <f>E301+C302-D302</f>
      </c>
      <c r="F302" s="2"/>
    </row>
    <row x14ac:dyDescent="0.25" r="303" customHeight="1" ht="17.25">
      <c r="A303" s="7">
        <v>45924</v>
      </c>
      <c r="B303" s="9" t="s">
        <v>284</v>
      </c>
      <c r="C303" s="6">
        <v>5</v>
      </c>
      <c r="D303" s="4"/>
      <c r="E303" s="6">
        <f>E302+C303-D303</f>
      </c>
      <c r="F303" s="2"/>
    </row>
    <row x14ac:dyDescent="0.25" r="304" customHeight="1" ht="17.25">
      <c r="A304" s="8">
        <v>45924</v>
      </c>
      <c r="B304" s="9" t="s">
        <v>42</v>
      </c>
      <c r="C304" s="6">
        <v>21</v>
      </c>
      <c r="D304" s="4"/>
      <c r="E304" s="6">
        <f>E303+C304-D304</f>
      </c>
      <c r="F304" s="2"/>
    </row>
    <row x14ac:dyDescent="0.25" r="305" customHeight="1" ht="17.25">
      <c r="A305" s="7">
        <v>45924</v>
      </c>
      <c r="B305" s="9" t="s">
        <v>524</v>
      </c>
      <c r="C305" s="6">
        <v>8</v>
      </c>
      <c r="D305" s="4"/>
      <c r="E305" s="6">
        <f>E304+C305-D305</f>
      </c>
      <c r="F305" s="2"/>
    </row>
    <row x14ac:dyDescent="0.25" r="306" customHeight="1" ht="17.25">
      <c r="A306" s="7">
        <v>45924</v>
      </c>
      <c r="B306" s="9" t="s">
        <v>34</v>
      </c>
      <c r="C306" s="6">
        <v>92</v>
      </c>
      <c r="D306" s="4"/>
      <c r="E306" s="6">
        <f>E305+C306-D306</f>
      </c>
      <c r="F306" s="2"/>
    </row>
    <row x14ac:dyDescent="0.25" r="307" customHeight="1" ht="17.25">
      <c r="A307" s="8">
        <v>45925</v>
      </c>
      <c r="B307" s="9" t="s">
        <v>233</v>
      </c>
      <c r="C307" s="4"/>
      <c r="D307" s="6">
        <v>80</v>
      </c>
      <c r="E307" s="6">
        <f>E306+C307-D307</f>
      </c>
      <c r="F307" s="2"/>
    </row>
    <row x14ac:dyDescent="0.25" r="308" customHeight="1" ht="17.25">
      <c r="A308" s="7">
        <v>45927</v>
      </c>
      <c r="B308" s="9" t="s">
        <v>554</v>
      </c>
      <c r="C308" s="6">
        <v>8</v>
      </c>
      <c r="D308" s="4"/>
      <c r="E308" s="6">
        <f>E307+C308-D308</f>
      </c>
      <c r="F308" s="2"/>
    </row>
    <row x14ac:dyDescent="0.25" r="309" customHeight="1" ht="17.25">
      <c r="A309" s="7">
        <v>45927</v>
      </c>
      <c r="B309" s="9" t="s">
        <v>343</v>
      </c>
      <c r="C309" s="6">
        <v>5</v>
      </c>
      <c r="D309" s="4"/>
      <c r="E309" s="6">
        <f>E308+C309-D309</f>
      </c>
      <c r="F309" s="2"/>
    </row>
    <row x14ac:dyDescent="0.25" r="310" customHeight="1" ht="17.25">
      <c r="A310" s="7">
        <v>45930</v>
      </c>
      <c r="B310" s="9" t="s">
        <v>4</v>
      </c>
      <c r="C310" s="6">
        <v>65</v>
      </c>
      <c r="D310" s="4"/>
      <c r="E310" s="6">
        <f>E309+C310-D310</f>
      </c>
      <c r="F310" s="2"/>
    </row>
    <row x14ac:dyDescent="0.25" r="311" customHeight="1" ht="17.25">
      <c r="A311" s="8">
        <v>45930</v>
      </c>
      <c r="B311" s="9" t="s">
        <v>543</v>
      </c>
      <c r="C311" s="6">
        <v>18</v>
      </c>
      <c r="D311" s="4"/>
      <c r="E311" s="6">
        <f>E310+C311-D311</f>
      </c>
      <c r="F311" s="2"/>
    </row>
    <row x14ac:dyDescent="0.25" r="312" customHeight="1" ht="17.25">
      <c r="A312" s="7">
        <v>45930</v>
      </c>
      <c r="B312" s="9" t="s">
        <v>47</v>
      </c>
      <c r="C312" s="6">
        <v>11</v>
      </c>
      <c r="D312" s="4"/>
      <c r="E312" s="6">
        <f>E311+C312-D312</f>
      </c>
      <c r="F312" s="2"/>
    </row>
    <row x14ac:dyDescent="0.25" r="313" customHeight="1" ht="17.25">
      <c r="A313" s="7">
        <v>45930</v>
      </c>
      <c r="B313" s="9" t="s">
        <v>414</v>
      </c>
      <c r="C313" s="4"/>
      <c r="D313" s="6">
        <v>2</v>
      </c>
      <c r="E313" s="6">
        <f>E312+C313-D313</f>
      </c>
      <c r="F313" s="2"/>
    </row>
    <row x14ac:dyDescent="0.25" r="314" customHeight="1" ht="17.25">
      <c r="A314" s="8">
        <v>45931</v>
      </c>
      <c r="B314" s="9" t="s">
        <v>44</v>
      </c>
      <c r="C314" s="6">
        <v>11</v>
      </c>
      <c r="D314" s="4"/>
      <c r="E314" s="6">
        <f>E313+C314-D314</f>
      </c>
      <c r="F314" s="2"/>
    </row>
    <row x14ac:dyDescent="0.25" r="315" customHeight="1" ht="17.25">
      <c r="A315" s="7">
        <v>45931</v>
      </c>
      <c r="B315" s="9" t="s">
        <v>228</v>
      </c>
      <c r="C315" s="6">
        <v>6</v>
      </c>
      <c r="D315" s="4"/>
      <c r="E315" s="6">
        <f>E314+C315-D315</f>
      </c>
      <c r="F315" s="2"/>
    </row>
    <row x14ac:dyDescent="0.25" r="316" customHeight="1" ht="17.25">
      <c r="A316" s="8">
        <v>45932</v>
      </c>
      <c r="B316" s="9" t="s">
        <v>184</v>
      </c>
      <c r="C316" s="6">
        <v>24</v>
      </c>
      <c r="D316" s="4"/>
      <c r="E316" s="6">
        <f>E315+C316-D316</f>
      </c>
      <c r="F316" s="2"/>
    </row>
    <row x14ac:dyDescent="0.25" r="317" customHeight="1" ht="17.25">
      <c r="A317" s="7">
        <v>45932</v>
      </c>
      <c r="B317" s="9" t="s">
        <v>3</v>
      </c>
      <c r="C317" s="6">
        <v>4</v>
      </c>
      <c r="D317" s="4"/>
      <c r="E317" s="6">
        <f>E316+C317-D317</f>
      </c>
      <c r="F317" s="2"/>
    </row>
    <row x14ac:dyDescent="0.25" r="318" customHeight="1" ht="17.25">
      <c r="A318" s="7">
        <v>45932</v>
      </c>
      <c r="B318" s="9" t="s">
        <v>4</v>
      </c>
      <c r="C318" s="6">
        <v>3</v>
      </c>
      <c r="D318" s="4"/>
      <c r="E318" s="6">
        <f>E317+C318-D318</f>
      </c>
      <c r="F318" s="2"/>
    </row>
    <row x14ac:dyDescent="0.25" r="319" customHeight="1" ht="17.25">
      <c r="A319" s="7">
        <v>45934</v>
      </c>
      <c r="B319" s="9" t="s">
        <v>184</v>
      </c>
      <c r="C319" s="6">
        <v>65</v>
      </c>
      <c r="D319" s="4"/>
      <c r="E319" s="6">
        <f>E318+C319-D319</f>
      </c>
      <c r="F319" s="2"/>
    </row>
    <row x14ac:dyDescent="0.25" r="320" customHeight="1" ht="17.25">
      <c r="A320" s="8">
        <v>45936</v>
      </c>
      <c r="B320" s="9" t="s">
        <v>504</v>
      </c>
      <c r="C320" s="4"/>
      <c r="D320" s="6">
        <v>126</v>
      </c>
      <c r="E320" s="6">
        <f>E319+C320-D320</f>
      </c>
      <c r="F320" s="2"/>
    </row>
    <row x14ac:dyDescent="0.25" r="321" customHeight="1" ht="17.25">
      <c r="A321" s="7">
        <v>45936</v>
      </c>
      <c r="B321" s="9" t="s">
        <v>397</v>
      </c>
      <c r="C321" s="4"/>
      <c r="D321" s="6">
        <v>80</v>
      </c>
      <c r="E321" s="6">
        <f>E320+C321-D321</f>
      </c>
      <c r="F321" s="2"/>
    </row>
    <row x14ac:dyDescent="0.25" r="322" customHeight="1" ht="17.25">
      <c r="A322" s="7">
        <v>45937</v>
      </c>
      <c r="B322" s="9" t="s">
        <v>315</v>
      </c>
      <c r="C322" s="4"/>
      <c r="D322" s="6">
        <v>30</v>
      </c>
      <c r="E322" s="6">
        <f>E321+C322-D322</f>
      </c>
      <c r="F322" s="2"/>
    </row>
    <row x14ac:dyDescent="0.25" r="323" customHeight="1" ht="17.25">
      <c r="A323" s="7">
        <v>45937</v>
      </c>
      <c r="B323" s="9" t="s">
        <v>189</v>
      </c>
      <c r="C323" s="6">
        <v>12</v>
      </c>
      <c r="D323" s="4"/>
      <c r="E323" s="6">
        <f>E322+C323-D323</f>
      </c>
      <c r="F323" s="2"/>
    </row>
    <row x14ac:dyDescent="0.25" r="324" customHeight="1" ht="17.25">
      <c r="A324" s="7">
        <v>45941</v>
      </c>
      <c r="B324" s="9" t="s">
        <v>63</v>
      </c>
      <c r="C324" s="6">
        <v>200</v>
      </c>
      <c r="D324" s="4"/>
      <c r="E324" s="6">
        <f>E323+C324-D324</f>
      </c>
      <c r="F324" s="2"/>
    </row>
    <row x14ac:dyDescent="0.25" r="325" customHeight="1" ht="17.25">
      <c r="A325" s="7">
        <v>45941</v>
      </c>
      <c r="B325" s="9" t="s">
        <v>504</v>
      </c>
      <c r="C325" s="4"/>
      <c r="D325" s="6">
        <v>200</v>
      </c>
      <c r="E325" s="6">
        <f>E324+C325-D325</f>
      </c>
      <c r="F325" s="2"/>
    </row>
    <row x14ac:dyDescent="0.25" r="326" customHeight="1" ht="17.25">
      <c r="A326" s="7">
        <v>45941</v>
      </c>
      <c r="B326" s="9" t="s">
        <v>565</v>
      </c>
      <c r="C326" s="6">
        <v>2</v>
      </c>
      <c r="D326" s="4"/>
      <c r="E326" s="6">
        <f>E325+C326-D326</f>
      </c>
      <c r="F326" s="2"/>
    </row>
    <row x14ac:dyDescent="0.25" r="327" customHeight="1" ht="17.25">
      <c r="A327" s="7">
        <v>45941</v>
      </c>
      <c r="B327" s="9" t="s">
        <v>184</v>
      </c>
      <c r="C327" s="6">
        <v>2</v>
      </c>
      <c r="D327" s="4"/>
      <c r="E327" s="6">
        <f>E326+C327-D327</f>
      </c>
      <c r="F327" s="2"/>
    </row>
    <row x14ac:dyDescent="0.25" r="328" customHeight="1" ht="17.25">
      <c r="A328" s="8">
        <v>45944</v>
      </c>
      <c r="B328" s="9" t="s">
        <v>283</v>
      </c>
      <c r="C328" s="6">
        <v>5</v>
      </c>
      <c r="D328" s="4"/>
      <c r="E328" s="6">
        <f>E327+C328-D328</f>
      </c>
      <c r="F328" s="2"/>
    </row>
    <row x14ac:dyDescent="0.25" r="329" customHeight="1" ht="17.25">
      <c r="A329" s="7">
        <v>45945</v>
      </c>
      <c r="B329" s="9" t="s">
        <v>283</v>
      </c>
      <c r="C329" s="6">
        <v>5</v>
      </c>
      <c r="D329" s="4"/>
      <c r="E329" s="6">
        <f>E328+C329-D329</f>
      </c>
      <c r="F329" s="2"/>
    </row>
    <row x14ac:dyDescent="0.25" r="330" customHeight="1" ht="17.25">
      <c r="A330" s="7">
        <v>45945</v>
      </c>
      <c r="B330" s="9" t="s">
        <v>316</v>
      </c>
      <c r="C330" s="6">
        <v>68</v>
      </c>
      <c r="D330" s="4"/>
      <c r="E330" s="6">
        <f>E329+C330-D330</f>
      </c>
      <c r="F330" s="2"/>
    </row>
    <row x14ac:dyDescent="0.25" r="331" customHeight="1" ht="17.25">
      <c r="A331" s="7">
        <v>45946</v>
      </c>
      <c r="B331" s="9" t="s">
        <v>184</v>
      </c>
      <c r="C331" s="6">
        <v>3</v>
      </c>
      <c r="D331" s="4"/>
      <c r="E331" s="6">
        <f>E330+C331-D331</f>
      </c>
      <c r="F331" s="2"/>
    </row>
    <row x14ac:dyDescent="0.25" r="332" customHeight="1" ht="17.25">
      <c r="A332" s="7">
        <v>45946</v>
      </c>
      <c r="B332" s="9" t="s">
        <v>3</v>
      </c>
      <c r="C332" s="6">
        <v>10</v>
      </c>
      <c r="D332" s="4"/>
      <c r="E332" s="6">
        <f>E331+C332-D332</f>
      </c>
      <c r="F332" s="2"/>
    </row>
    <row x14ac:dyDescent="0.25" r="333" customHeight="1" ht="17.25">
      <c r="A333" s="8">
        <v>45947</v>
      </c>
      <c r="B333" s="9" t="s">
        <v>512</v>
      </c>
      <c r="C333" s="4"/>
      <c r="D333" s="6">
        <v>50</v>
      </c>
      <c r="E333" s="6">
        <f>E332+C333-D333</f>
      </c>
      <c r="F333" s="2"/>
    </row>
    <row x14ac:dyDescent="0.25" r="334" customHeight="1" ht="17.25">
      <c r="A334" s="7">
        <v>45947</v>
      </c>
      <c r="B334" s="9" t="s">
        <v>3</v>
      </c>
      <c r="C334" s="6">
        <v>48</v>
      </c>
      <c r="D334" s="4"/>
      <c r="E334" s="6">
        <f>E333+C334-D334</f>
      </c>
      <c r="F334" s="2"/>
    </row>
    <row x14ac:dyDescent="0.25" r="335" customHeight="1" ht="17.25">
      <c r="A335" s="8">
        <v>45948</v>
      </c>
      <c r="B335" s="9" t="s">
        <v>2</v>
      </c>
      <c r="C335" s="6">
        <v>51</v>
      </c>
      <c r="D335" s="4"/>
      <c r="E335" s="6">
        <f>E334+C335-D335</f>
      </c>
      <c r="F335" s="2"/>
    </row>
    <row x14ac:dyDescent="0.25" r="336" customHeight="1" ht="17.25">
      <c r="A336" s="7">
        <v>45950</v>
      </c>
      <c r="B336" s="9" t="s">
        <v>208</v>
      </c>
      <c r="C336" s="6">
        <v>17</v>
      </c>
      <c r="D336" s="4"/>
      <c r="E336" s="6">
        <f>E335+C336-D336</f>
      </c>
      <c r="F336" s="2"/>
    </row>
    <row x14ac:dyDescent="0.25" r="337" customHeight="1" ht="17.25">
      <c r="A337" s="7">
        <v>45951</v>
      </c>
      <c r="B337" s="9" t="s">
        <v>512</v>
      </c>
      <c r="C337" s="4"/>
      <c r="D337" s="6">
        <v>50</v>
      </c>
      <c r="E337" s="6">
        <f>E336+C337-D337</f>
      </c>
      <c r="F337" s="2"/>
    </row>
    <row x14ac:dyDescent="0.25" r="338" customHeight="1" ht="17.25">
      <c r="A338" s="7">
        <v>45952</v>
      </c>
      <c r="B338" s="9" t="s">
        <v>233</v>
      </c>
      <c r="C338" s="4"/>
      <c r="D338" s="6">
        <v>30</v>
      </c>
      <c r="E338" s="6">
        <f>E337+C338-D338</f>
      </c>
      <c r="F338" s="2"/>
    </row>
    <row x14ac:dyDescent="0.25" r="339" customHeight="1" ht="17.25">
      <c r="A339" s="7">
        <v>45952</v>
      </c>
      <c r="B339" s="9" t="s">
        <v>502</v>
      </c>
      <c r="C339" s="4"/>
      <c r="D339" s="6">
        <v>94</v>
      </c>
      <c r="E339" s="6">
        <f>E338+C339-D339</f>
      </c>
      <c r="F339" s="2"/>
    </row>
    <row x14ac:dyDescent="0.25" r="340" customHeight="1" ht="17.25">
      <c r="A340" s="7">
        <v>45952</v>
      </c>
      <c r="B340" s="9" t="s">
        <v>3</v>
      </c>
      <c r="C340" s="6">
        <v>1</v>
      </c>
      <c r="D340" s="4"/>
      <c r="E340" s="6">
        <v>31</v>
      </c>
      <c r="F340" s="2"/>
    </row>
    <row x14ac:dyDescent="0.25" r="341" customHeight="1" ht="17.25">
      <c r="A341" s="7">
        <v>45953</v>
      </c>
      <c r="B341" s="9" t="s">
        <v>47</v>
      </c>
      <c r="C341" s="6">
        <v>13</v>
      </c>
      <c r="D341" s="4"/>
      <c r="E341" s="3"/>
      <c r="F341" s="2"/>
    </row>
    <row x14ac:dyDescent="0.25" r="342" customHeight="1" ht="17.25">
      <c r="A342" s="7">
        <v>45953</v>
      </c>
      <c r="B342" s="9" t="s">
        <v>208</v>
      </c>
      <c r="C342" s="6">
        <v>3</v>
      </c>
      <c r="D342" s="4"/>
      <c r="E342" s="3"/>
      <c r="F342" s="2"/>
    </row>
    <row x14ac:dyDescent="0.25" r="343" customHeight="1" ht="17.25">
      <c r="A343" s="7">
        <v>45954</v>
      </c>
      <c r="B343" s="2" t="s">
        <v>504</v>
      </c>
      <c r="C343" s="4"/>
      <c r="D343" s="6">
        <v>64</v>
      </c>
      <c r="E343" s="6">
        <v>0</v>
      </c>
      <c r="F343" s="2"/>
    </row>
    <row x14ac:dyDescent="0.25" r="344" customHeight="1" ht="17.25">
      <c r="A344" s="1"/>
      <c r="B344" s="2" t="s">
        <v>422</v>
      </c>
      <c r="C344" s="4"/>
      <c r="D344" s="4"/>
      <c r="E344" s="3"/>
      <c r="F344" s="2"/>
    </row>
    <row x14ac:dyDescent="0.25" r="345" customHeight="1" ht="17.25">
      <c r="A345" s="7">
        <v>45955</v>
      </c>
      <c r="B345" s="9" t="s">
        <v>63</v>
      </c>
      <c r="C345" s="6">
        <v>262</v>
      </c>
      <c r="D345" s="4"/>
      <c r="E345" s="3"/>
      <c r="F345" s="2"/>
    </row>
    <row x14ac:dyDescent="0.25" r="346" customHeight="1" ht="17.25">
      <c r="A346" s="7">
        <v>45955</v>
      </c>
      <c r="B346" s="9" t="s">
        <v>504</v>
      </c>
      <c r="C346" s="4"/>
      <c r="D346" s="6">
        <v>262</v>
      </c>
      <c r="E346" s="6">
        <v>0</v>
      </c>
      <c r="F346" s="2"/>
    </row>
    <row x14ac:dyDescent="0.25" r="347" customHeight="1" ht="17.25">
      <c r="A347" s="7">
        <v>45957</v>
      </c>
      <c r="B347" s="9" t="s">
        <v>3</v>
      </c>
      <c r="C347" s="6">
        <v>15</v>
      </c>
      <c r="D347" s="4"/>
      <c r="E347" s="6">
        <v>15</v>
      </c>
      <c r="F347" s="2"/>
    </row>
    <row x14ac:dyDescent="0.25" r="348" customHeight="1" ht="17.25">
      <c r="A348" s="7">
        <v>45957</v>
      </c>
      <c r="B348" s="9" t="s">
        <v>495</v>
      </c>
      <c r="C348" s="6">
        <v>135</v>
      </c>
      <c r="D348" s="4"/>
      <c r="E348" s="6">
        <f>E347+C348-D348</f>
      </c>
      <c r="F348" s="2"/>
    </row>
    <row x14ac:dyDescent="0.25" r="349" customHeight="1" ht="17.25">
      <c r="A349" s="8">
        <v>45958</v>
      </c>
      <c r="B349" s="9" t="s">
        <v>493</v>
      </c>
      <c r="C349" s="6">
        <v>30</v>
      </c>
      <c r="D349" s="4"/>
      <c r="E349" s="6">
        <f>E348+C349-D349</f>
      </c>
      <c r="F349" s="2"/>
    </row>
    <row x14ac:dyDescent="0.25" r="350" customHeight="1" ht="17.25">
      <c r="A350" s="8">
        <v>45958</v>
      </c>
      <c r="B350" s="9" t="s">
        <v>3</v>
      </c>
      <c r="C350" s="6">
        <v>3</v>
      </c>
      <c r="D350" s="4"/>
      <c r="E350" s="6">
        <f>E349+C350-D350</f>
      </c>
      <c r="F350" s="2"/>
    </row>
    <row x14ac:dyDescent="0.25" r="351" customHeight="1" ht="17.25">
      <c r="A351" s="8">
        <v>45959</v>
      </c>
      <c r="B351" s="9" t="s">
        <v>184</v>
      </c>
      <c r="C351" s="6">
        <v>26</v>
      </c>
      <c r="D351" s="4"/>
      <c r="E351" s="6">
        <f>E350+C351-D351</f>
      </c>
      <c r="F351" s="2"/>
    </row>
    <row x14ac:dyDescent="0.25" r="352" customHeight="1" ht="17.25">
      <c r="A352" s="8">
        <v>45959</v>
      </c>
      <c r="B352" s="9" t="s">
        <v>578</v>
      </c>
      <c r="C352" s="6">
        <v>14</v>
      </c>
      <c r="D352" s="4"/>
      <c r="E352" s="6">
        <f>E351+C352-D352</f>
      </c>
      <c r="F352" s="2"/>
    </row>
    <row x14ac:dyDescent="0.25" r="353" customHeight="1" ht="17.25">
      <c r="A353" s="7">
        <v>45959</v>
      </c>
      <c r="B353" s="9" t="s">
        <v>370</v>
      </c>
      <c r="C353" s="6">
        <v>19</v>
      </c>
      <c r="D353" s="4"/>
      <c r="E353" s="6">
        <f>E352+C353-D353</f>
      </c>
      <c r="F353" s="2"/>
    </row>
    <row x14ac:dyDescent="0.25" r="354" customHeight="1" ht="17.25">
      <c r="A354" s="7">
        <v>45959</v>
      </c>
      <c r="B354" s="9" t="s">
        <v>3</v>
      </c>
      <c r="C354" s="6">
        <v>7</v>
      </c>
      <c r="D354" s="4"/>
      <c r="E354" s="6">
        <f>E353+C354-D354</f>
      </c>
      <c r="F354" s="2"/>
    </row>
    <row x14ac:dyDescent="0.25" r="355" customHeight="1" ht="17.25">
      <c r="A355" s="8">
        <v>45960</v>
      </c>
      <c r="B355" s="9" t="s">
        <v>347</v>
      </c>
      <c r="C355" s="4"/>
      <c r="D355" s="6">
        <v>24</v>
      </c>
      <c r="E355" s="6">
        <f>E354+C355-D355</f>
      </c>
      <c r="F355" s="2"/>
    </row>
    <row x14ac:dyDescent="0.25" r="356" customHeight="1" ht="17.25">
      <c r="A356" s="7">
        <v>45960</v>
      </c>
      <c r="B356" s="9" t="s">
        <v>3</v>
      </c>
      <c r="C356" s="6">
        <v>2</v>
      </c>
      <c r="D356" s="4"/>
      <c r="E356" s="6">
        <f>E355+C356-D356</f>
      </c>
      <c r="F356" s="2"/>
    </row>
    <row x14ac:dyDescent="0.25" r="357" customHeight="1" ht="17.25">
      <c r="A357" s="7">
        <v>45961</v>
      </c>
      <c r="B357" s="9" t="s">
        <v>51</v>
      </c>
      <c r="C357" s="4"/>
      <c r="D357" s="6">
        <v>150</v>
      </c>
      <c r="E357" s="6">
        <f>E356+C357-D357</f>
      </c>
      <c r="F357" s="2"/>
    </row>
    <row x14ac:dyDescent="0.25" r="358" customHeight="1" ht="17.25">
      <c r="A358" s="7">
        <v>45961</v>
      </c>
      <c r="B358" s="9" t="s">
        <v>184</v>
      </c>
      <c r="C358" s="6">
        <v>5</v>
      </c>
      <c r="D358" s="4"/>
      <c r="E358" s="6">
        <f>E357+C358-D358</f>
      </c>
      <c r="F358" s="2"/>
    </row>
    <row x14ac:dyDescent="0.25" r="359" customHeight="1" ht="17.25">
      <c r="A359" s="8">
        <v>45962</v>
      </c>
      <c r="B359" s="9" t="s">
        <v>3</v>
      </c>
      <c r="C359" s="6">
        <v>12</v>
      </c>
      <c r="D359" s="4"/>
      <c r="E359" s="6">
        <f>E358+C359-D359</f>
      </c>
      <c r="F359" s="2"/>
    </row>
    <row x14ac:dyDescent="0.25" r="360" customHeight="1" ht="17.25">
      <c r="A360" s="7">
        <v>45964</v>
      </c>
      <c r="B360" s="9" t="s">
        <v>51</v>
      </c>
      <c r="C360" s="4"/>
      <c r="D360" s="6">
        <v>60</v>
      </c>
      <c r="E360" s="6">
        <f>E359+C360-D360</f>
      </c>
      <c r="F360" s="2"/>
    </row>
    <row x14ac:dyDescent="0.25" r="361" customHeight="1" ht="17.25">
      <c r="A361" s="8">
        <v>45965</v>
      </c>
      <c r="B361" s="9" t="s">
        <v>320</v>
      </c>
      <c r="C361" s="4"/>
      <c r="D361" s="6">
        <v>12</v>
      </c>
      <c r="E361" s="6">
        <f>E360+C361-D361</f>
      </c>
      <c r="F361" s="2"/>
    </row>
    <row x14ac:dyDescent="0.25" r="362" customHeight="1" ht="17.25">
      <c r="A362" s="8">
        <v>45966</v>
      </c>
      <c r="B362" s="9" t="s">
        <v>347</v>
      </c>
      <c r="C362" s="6">
        <v>24</v>
      </c>
      <c r="D362" s="4"/>
      <c r="E362" s="6">
        <f>E361+C362-D362</f>
      </c>
      <c r="F362" s="2"/>
    </row>
    <row x14ac:dyDescent="0.25" r="363" customHeight="1" ht="17.25">
      <c r="A363" s="7">
        <v>45966</v>
      </c>
      <c r="B363" s="9" t="s">
        <v>184</v>
      </c>
      <c r="C363" s="6">
        <v>5</v>
      </c>
      <c r="D363" s="4"/>
      <c r="E363" s="6">
        <f>E362+C363-D363</f>
      </c>
      <c r="F363" s="2"/>
    </row>
    <row x14ac:dyDescent="0.25" r="364" customHeight="1" ht="17.25">
      <c r="A364" s="8">
        <v>45966</v>
      </c>
      <c r="B364" s="9" t="s">
        <v>3</v>
      </c>
      <c r="C364" s="6">
        <v>8</v>
      </c>
      <c r="D364" s="4"/>
      <c r="E364" s="6">
        <f>E363+C364-D364</f>
      </c>
      <c r="F364" s="2"/>
    </row>
    <row x14ac:dyDescent="0.25" r="365" customHeight="1" ht="17.25">
      <c r="A365" s="7">
        <v>45968</v>
      </c>
      <c r="B365" s="9" t="s">
        <v>533</v>
      </c>
      <c r="C365" s="4"/>
      <c r="D365" s="6">
        <v>24</v>
      </c>
      <c r="E365" s="6">
        <f>E364+C365-D365</f>
      </c>
      <c r="F365" s="2"/>
    </row>
    <row x14ac:dyDescent="0.25" r="366" customHeight="1" ht="17.25">
      <c r="A366" s="7">
        <v>45968</v>
      </c>
      <c r="B366" s="9" t="s">
        <v>3</v>
      </c>
      <c r="C366" s="6">
        <v>12</v>
      </c>
      <c r="D366" s="4"/>
      <c r="E366" s="6">
        <f>E365+C366-D366</f>
      </c>
      <c r="F366" s="2"/>
    </row>
    <row x14ac:dyDescent="0.25" r="367" customHeight="1" ht="17.25">
      <c r="A367" s="8">
        <v>45973</v>
      </c>
      <c r="B367" s="9" t="s">
        <v>234</v>
      </c>
      <c r="C367" s="6">
        <v>16</v>
      </c>
      <c r="D367" s="4"/>
      <c r="E367" s="6">
        <f>E366+C367-D367</f>
      </c>
      <c r="F367" s="2"/>
    </row>
    <row x14ac:dyDescent="0.25" r="368" customHeight="1" ht="17.25">
      <c r="A368" s="7">
        <v>45973</v>
      </c>
      <c r="B368" s="9" t="s">
        <v>272</v>
      </c>
      <c r="C368" s="4"/>
      <c r="D368" s="6">
        <v>1</v>
      </c>
      <c r="E368" s="6">
        <f>E367+C368-D368</f>
      </c>
      <c r="F368" s="2"/>
    </row>
    <row x14ac:dyDescent="0.25" r="369" customHeight="1" ht="17.25">
      <c r="A369" s="8">
        <v>45974</v>
      </c>
      <c r="B369" s="9" t="s">
        <v>29</v>
      </c>
      <c r="C369" s="6">
        <v>10</v>
      </c>
      <c r="D369" s="4"/>
      <c r="E369" s="6">
        <f>E368+C369-D369</f>
      </c>
      <c r="F369" s="2"/>
    </row>
    <row x14ac:dyDescent="0.25" r="370" customHeight="1" ht="17.25">
      <c r="A370" s="8">
        <v>45974</v>
      </c>
      <c r="B370" s="9" t="s">
        <v>228</v>
      </c>
      <c r="C370" s="6">
        <v>5</v>
      </c>
      <c r="D370" s="4"/>
      <c r="E370" s="6">
        <f>E369+C370-D370</f>
      </c>
      <c r="F370" s="2"/>
    </row>
    <row x14ac:dyDescent="0.25" r="371" customHeight="1" ht="17.25">
      <c r="A371" s="8">
        <v>45976</v>
      </c>
      <c r="B371" s="9" t="s">
        <v>141</v>
      </c>
      <c r="C371" s="6">
        <v>18</v>
      </c>
      <c r="D371" s="4"/>
      <c r="E371" s="6">
        <f>E370+C371-D371</f>
      </c>
      <c r="F371" s="2"/>
    </row>
    <row x14ac:dyDescent="0.25" r="372" customHeight="1" ht="17.25">
      <c r="A372" s="8">
        <v>45978</v>
      </c>
      <c r="B372" s="9" t="s">
        <v>320</v>
      </c>
      <c r="C372" s="6">
        <v>12</v>
      </c>
      <c r="D372" s="4"/>
      <c r="E372" s="6">
        <f>E371+C372-D372</f>
      </c>
      <c r="F372" s="2"/>
    </row>
    <row x14ac:dyDescent="0.25" r="373" customHeight="1" ht="17.25">
      <c r="A373" s="7">
        <v>45978</v>
      </c>
      <c r="B373" s="9" t="s">
        <v>63</v>
      </c>
      <c r="C373" s="6">
        <v>50</v>
      </c>
      <c r="D373" s="4"/>
      <c r="E373" s="6">
        <f>E372+C373-D373</f>
      </c>
      <c r="F373" s="2"/>
    </row>
    <row x14ac:dyDescent="0.25" r="374" customHeight="1" ht="17.25">
      <c r="A374" s="8">
        <v>45979</v>
      </c>
      <c r="B374" s="9" t="s">
        <v>54</v>
      </c>
      <c r="C374" s="4"/>
      <c r="D374" s="6">
        <v>40</v>
      </c>
      <c r="E374" s="6">
        <f>E373+C374-D374</f>
      </c>
      <c r="F374" s="2"/>
    </row>
    <row x14ac:dyDescent="0.25" r="375" customHeight="1" ht="17.25">
      <c r="A375" s="8">
        <v>45979</v>
      </c>
      <c r="B375" s="9" t="s">
        <v>182</v>
      </c>
      <c r="C375" s="6">
        <v>10</v>
      </c>
      <c r="D375" s="4"/>
      <c r="E375" s="6">
        <f>E374+C375-D375</f>
      </c>
      <c r="F375" s="2"/>
    </row>
    <row x14ac:dyDescent="0.25" r="376" customHeight="1" ht="17.25">
      <c r="A376" s="8">
        <v>45982</v>
      </c>
      <c r="B376" s="9" t="s">
        <v>495</v>
      </c>
      <c r="C376" s="6">
        <v>84</v>
      </c>
      <c r="D376" s="4"/>
      <c r="E376" s="6">
        <f>E375+C376-D376</f>
      </c>
      <c r="F376" s="2"/>
    </row>
    <row x14ac:dyDescent="0.25" r="377" customHeight="1" ht="17.25">
      <c r="A377" s="8">
        <v>45983</v>
      </c>
      <c r="B377" s="9" t="s">
        <v>583</v>
      </c>
      <c r="C377" s="6">
        <v>65</v>
      </c>
      <c r="D377" s="4"/>
      <c r="E377" s="6">
        <f>E376+C377-D377</f>
      </c>
      <c r="F377" s="2"/>
    </row>
    <row x14ac:dyDescent="0.25" r="378" customHeight="1" ht="17.25">
      <c r="A378" s="7">
        <v>45983</v>
      </c>
      <c r="B378" s="9" t="s">
        <v>34</v>
      </c>
      <c r="C378" s="6">
        <v>61</v>
      </c>
      <c r="D378" s="4"/>
      <c r="E378" s="6">
        <f>E377+C378-D378</f>
      </c>
      <c r="F378" s="2"/>
    </row>
    <row x14ac:dyDescent="0.25" r="379" customHeight="1" ht="17.25">
      <c r="A379" s="8">
        <v>45985</v>
      </c>
      <c r="B379" s="9" t="s">
        <v>265</v>
      </c>
      <c r="C379" s="6">
        <v>7</v>
      </c>
      <c r="D379" s="4"/>
      <c r="E379" s="6">
        <f>E378+C379-D379</f>
      </c>
      <c r="F379" s="2"/>
    </row>
    <row x14ac:dyDescent="0.25" r="380" customHeight="1" ht="17.25">
      <c r="A380" s="8">
        <v>45985</v>
      </c>
      <c r="B380" s="9" t="s">
        <v>182</v>
      </c>
      <c r="C380" s="6">
        <v>24</v>
      </c>
      <c r="D380" s="4"/>
      <c r="E380" s="6">
        <f>E379+C380-D380</f>
      </c>
      <c r="F380" s="2"/>
    </row>
    <row x14ac:dyDescent="0.25" r="381" customHeight="1" ht="17.25">
      <c r="A381" s="7">
        <v>45986</v>
      </c>
      <c r="B381" s="9" t="s">
        <v>124</v>
      </c>
      <c r="C381" s="4"/>
      <c r="D381" s="6">
        <v>270</v>
      </c>
      <c r="E381" s="6">
        <f>E380+C381-D381</f>
      </c>
      <c r="F381" s="2"/>
    </row>
    <row x14ac:dyDescent="0.25" r="382" customHeight="1" ht="17.25">
      <c r="A382" s="7">
        <v>45988</v>
      </c>
      <c r="B382" s="9" t="s">
        <v>208</v>
      </c>
      <c r="C382" s="6">
        <v>1</v>
      </c>
      <c r="D382" s="4"/>
      <c r="E382" s="6">
        <f>E381+C382-D382</f>
      </c>
      <c r="F382" s="2"/>
    </row>
    <row x14ac:dyDescent="0.25" r="383" customHeight="1" ht="17.25">
      <c r="A383" s="7">
        <v>45988</v>
      </c>
      <c r="B383" s="9" t="s">
        <v>315</v>
      </c>
      <c r="C383" s="6">
        <v>29</v>
      </c>
      <c r="D383" s="4"/>
      <c r="E383" s="6">
        <f>E382+C383-D383</f>
      </c>
      <c r="F383" s="2"/>
    </row>
    <row x14ac:dyDescent="0.25" r="384" customHeight="1" ht="17.25">
      <c r="A384" s="7">
        <v>45989</v>
      </c>
      <c r="B384" s="9" t="s">
        <v>584</v>
      </c>
      <c r="C384" s="6">
        <v>58</v>
      </c>
      <c r="D384" s="4"/>
      <c r="E384" s="6">
        <f>E383+C384-D384</f>
      </c>
      <c r="F384" s="2"/>
    </row>
    <row x14ac:dyDescent="0.25" r="385" customHeight="1" ht="17.25">
      <c r="A385" s="8">
        <v>45990</v>
      </c>
      <c r="B385" s="9" t="s">
        <v>53</v>
      </c>
      <c r="C385" s="4"/>
      <c r="D385" s="6">
        <v>30</v>
      </c>
      <c r="E385" s="6">
        <f>E384+C385-D385</f>
      </c>
      <c r="F385" s="2"/>
    </row>
    <row x14ac:dyDescent="0.25" r="386" customHeight="1" ht="17.25">
      <c r="A386" s="7">
        <v>45990</v>
      </c>
      <c r="B386" s="9" t="s">
        <v>491</v>
      </c>
      <c r="C386" s="6">
        <v>180</v>
      </c>
      <c r="D386" s="4"/>
      <c r="E386" s="6">
        <f>E385+C386-D386</f>
      </c>
      <c r="F386" s="2"/>
    </row>
    <row x14ac:dyDescent="0.25" r="387" customHeight="1" ht="17.25">
      <c r="A387" s="7">
        <v>45990</v>
      </c>
      <c r="B387" s="9" t="s">
        <v>228</v>
      </c>
      <c r="C387" s="6">
        <v>2</v>
      </c>
      <c r="D387" s="4"/>
      <c r="E387" s="6">
        <f>E386+C387-D387</f>
      </c>
      <c r="F387" s="2"/>
    </row>
    <row x14ac:dyDescent="0.25" r="388" customHeight="1" ht="17.25">
      <c r="A388" s="7">
        <v>45992</v>
      </c>
      <c r="B388" s="9" t="s">
        <v>228</v>
      </c>
      <c r="C388" s="6">
        <v>7</v>
      </c>
      <c r="D388" s="4"/>
      <c r="E388" s="6">
        <f>E387+C388-D388</f>
      </c>
      <c r="F388" s="2"/>
    </row>
    <row x14ac:dyDescent="0.25" r="389" customHeight="1" ht="17.25">
      <c r="A389" s="7">
        <v>45993</v>
      </c>
      <c r="B389" s="9" t="s">
        <v>34</v>
      </c>
      <c r="C389" s="6">
        <v>70</v>
      </c>
      <c r="D389" s="4"/>
      <c r="E389" s="6">
        <f>E388+C389-D389</f>
      </c>
      <c r="F389" s="2"/>
    </row>
    <row x14ac:dyDescent="0.25" r="390" customHeight="1" ht="17.25">
      <c r="A390" s="8">
        <v>45994</v>
      </c>
      <c r="B390" s="9" t="s">
        <v>34</v>
      </c>
      <c r="C390" s="6">
        <v>55</v>
      </c>
      <c r="D390" s="4"/>
      <c r="E390" s="6">
        <f>E389+C390-D390</f>
      </c>
      <c r="F390" s="2"/>
    </row>
    <row x14ac:dyDescent="0.25" r="391" customHeight="1" ht="17.25">
      <c r="A391" s="7">
        <v>45995</v>
      </c>
      <c r="B391" s="9" t="s">
        <v>34</v>
      </c>
      <c r="C391" s="6">
        <v>47</v>
      </c>
      <c r="D391" s="4"/>
      <c r="E391" s="6">
        <f>E390+C391-D391</f>
      </c>
      <c r="F391" s="2"/>
    </row>
    <row x14ac:dyDescent="0.25" r="392" customHeight="1" ht="17.25">
      <c r="A392" s="7">
        <v>45995</v>
      </c>
      <c r="B392" s="9" t="s">
        <v>310</v>
      </c>
      <c r="C392" s="6">
        <v>65</v>
      </c>
      <c r="D392" s="4"/>
      <c r="E392" s="6">
        <f>E391+C392-D392</f>
      </c>
      <c r="F392" s="2"/>
    </row>
    <row x14ac:dyDescent="0.25" r="393" customHeight="1" ht="17.25">
      <c r="A393" s="7">
        <v>45995</v>
      </c>
      <c r="B393" s="9" t="s">
        <v>228</v>
      </c>
      <c r="C393" s="6">
        <v>2</v>
      </c>
      <c r="D393" s="4"/>
      <c r="E393" s="6">
        <f>E392+C393-D393</f>
      </c>
      <c r="F393" s="2"/>
    </row>
    <row x14ac:dyDescent="0.25" r="394" customHeight="1" ht="17.25">
      <c r="A394" s="7">
        <v>45999</v>
      </c>
      <c r="B394" s="9" t="s">
        <v>56</v>
      </c>
      <c r="C394" s="4"/>
      <c r="D394" s="6">
        <v>26</v>
      </c>
      <c r="E394" s="6">
        <f>E393+C394-D394</f>
      </c>
      <c r="F394" s="2"/>
    </row>
    <row x14ac:dyDescent="0.25" r="395" customHeight="1" ht="17.25">
      <c r="A395" s="7">
        <v>45999</v>
      </c>
      <c r="B395" s="9" t="s">
        <v>517</v>
      </c>
      <c r="C395" s="6">
        <v>40</v>
      </c>
      <c r="D395" s="4"/>
      <c r="E395" s="6">
        <f>E394+C395-D395</f>
      </c>
      <c r="F395" s="2"/>
    </row>
    <row x14ac:dyDescent="0.25" r="396" customHeight="1" ht="17.25">
      <c r="A396" s="7">
        <v>46000</v>
      </c>
      <c r="B396" s="9" t="s">
        <v>54</v>
      </c>
      <c r="C396" s="4"/>
      <c r="D396" s="6">
        <v>292</v>
      </c>
      <c r="E396" s="6">
        <f>E395+C396-D396</f>
      </c>
      <c r="F396" s="2"/>
    </row>
    <row x14ac:dyDescent="0.25" r="397" customHeight="1" ht="17.25">
      <c r="A397" s="8">
        <v>46000</v>
      </c>
      <c r="B397" s="9" t="s">
        <v>53</v>
      </c>
      <c r="C397" s="4"/>
      <c r="D397" s="6">
        <v>20</v>
      </c>
      <c r="E397" s="6">
        <f>E396+C397-D397</f>
      </c>
      <c r="F397" s="2"/>
    </row>
    <row x14ac:dyDescent="0.25" r="398" customHeight="1" ht="17.25">
      <c r="A398" s="8">
        <v>46001</v>
      </c>
      <c r="B398" s="9" t="s">
        <v>321</v>
      </c>
      <c r="C398" s="6">
        <v>32</v>
      </c>
      <c r="D398" s="4"/>
      <c r="E398" s="6">
        <f>E397+C398-D398</f>
      </c>
      <c r="F398" s="2"/>
    </row>
    <row x14ac:dyDescent="0.25" r="399" customHeight="1" ht="17.25">
      <c r="A399" s="7">
        <v>46002</v>
      </c>
      <c r="B399" s="9" t="s">
        <v>512</v>
      </c>
      <c r="C399" s="4"/>
      <c r="D399" s="6">
        <v>50</v>
      </c>
      <c r="E399" s="6">
        <f>E398+C399-D399</f>
      </c>
      <c r="F399" s="2"/>
    </row>
    <row x14ac:dyDescent="0.25" r="400" customHeight="1" ht="17.25">
      <c r="A400" s="8">
        <v>46002</v>
      </c>
      <c r="B400" s="9" t="s">
        <v>42</v>
      </c>
      <c r="C400" s="4"/>
      <c r="D400" s="6">
        <v>40</v>
      </c>
      <c r="E400" s="6">
        <f>E399+C400-D400</f>
      </c>
      <c r="F400" s="2"/>
    </row>
    <row x14ac:dyDescent="0.25" r="401" customHeight="1" ht="17.25">
      <c r="A401" s="8">
        <v>46002</v>
      </c>
      <c r="B401" s="9" t="s">
        <v>4</v>
      </c>
      <c r="C401" s="6">
        <v>58</v>
      </c>
      <c r="D401" s="4"/>
      <c r="E401" s="6">
        <f>E400+C401-D401</f>
      </c>
      <c r="F401" s="2"/>
    </row>
    <row x14ac:dyDescent="0.25" r="402" customHeight="1" ht="17.25">
      <c r="A402" s="7">
        <v>46006</v>
      </c>
      <c r="B402" s="9" t="s">
        <v>53</v>
      </c>
      <c r="C402" s="4"/>
      <c r="D402" s="6">
        <v>50</v>
      </c>
      <c r="E402" s="6">
        <f>E401+C402-D402</f>
      </c>
      <c r="F402" s="2"/>
    </row>
    <row x14ac:dyDescent="0.25" r="403" customHeight="1" ht="17.25">
      <c r="A403" s="1"/>
      <c r="B403" s="2"/>
      <c r="C403" s="4"/>
      <c r="D403" s="4"/>
      <c r="E403" s="6">
        <f>E402+C403-D403</f>
      </c>
      <c r="F403" s="2"/>
    </row>
    <row x14ac:dyDescent="0.25" r="404" customHeight="1" ht="17.25">
      <c r="A404" s="1"/>
      <c r="B404" s="2"/>
      <c r="C404" s="4"/>
      <c r="D404" s="4"/>
      <c r="E404" s="6">
        <f>E403+C404-D404</f>
      </c>
      <c r="F404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9.7192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570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14">
        <v>461</v>
      </c>
    </row>
    <row x14ac:dyDescent="0.25" r="4" customHeight="1" ht="17.25">
      <c r="A4" s="7">
        <v>45659</v>
      </c>
      <c r="B4" s="2" t="s">
        <v>269</v>
      </c>
      <c r="C4" s="6">
        <v>40</v>
      </c>
      <c r="D4" s="4"/>
      <c r="E4" s="6">
        <f>E3+C4-D4</f>
      </c>
    </row>
    <row x14ac:dyDescent="0.25" r="5" customHeight="1" ht="17.25">
      <c r="A5" s="8">
        <v>45660</v>
      </c>
      <c r="B5" s="9" t="s">
        <v>269</v>
      </c>
      <c r="C5" s="6">
        <v>52</v>
      </c>
      <c r="D5" s="4"/>
      <c r="E5" s="6">
        <f>E4+C5-D5</f>
      </c>
    </row>
    <row x14ac:dyDescent="0.25" r="6" customHeight="1" ht="17.25">
      <c r="A6" s="8">
        <v>45663</v>
      </c>
      <c r="B6" s="9" t="s">
        <v>269</v>
      </c>
      <c r="C6" s="6">
        <v>40</v>
      </c>
      <c r="D6" s="4"/>
      <c r="E6" s="6">
        <f>E5+C6-D6</f>
      </c>
    </row>
    <row x14ac:dyDescent="0.25" r="7" customHeight="1" ht="17.25">
      <c r="A7" s="8">
        <v>45664</v>
      </c>
      <c r="B7" s="9" t="s">
        <v>269</v>
      </c>
      <c r="C7" s="6">
        <v>30</v>
      </c>
      <c r="D7" s="4"/>
      <c r="E7" s="6">
        <f>E6+C7-D7</f>
      </c>
    </row>
    <row x14ac:dyDescent="0.25" r="8" customHeight="1" ht="17.25">
      <c r="A8" s="7">
        <v>45671</v>
      </c>
      <c r="B8" s="9" t="s">
        <v>269</v>
      </c>
      <c r="C8" s="6">
        <v>46</v>
      </c>
      <c r="D8" s="4"/>
      <c r="E8" s="6">
        <f>E7+C8-D8</f>
      </c>
    </row>
    <row x14ac:dyDescent="0.25" r="9" customHeight="1" ht="17.25">
      <c r="A9" s="8">
        <v>45680</v>
      </c>
      <c r="B9" s="9" t="s">
        <v>269</v>
      </c>
      <c r="C9" s="6">
        <v>167</v>
      </c>
      <c r="D9" s="4"/>
      <c r="E9" s="6">
        <f>E8+C9-D9</f>
      </c>
    </row>
    <row x14ac:dyDescent="0.25" r="10" customHeight="1" ht="17.25">
      <c r="A10" s="8">
        <v>45689</v>
      </c>
      <c r="B10" s="9" t="s">
        <v>269</v>
      </c>
      <c r="C10" s="6">
        <v>128</v>
      </c>
      <c r="D10" s="4"/>
      <c r="E10" s="6">
        <f>E9+C10-D10</f>
      </c>
    </row>
    <row x14ac:dyDescent="0.25" r="11" customHeight="1" ht="17.25">
      <c r="A11" s="7">
        <v>45693</v>
      </c>
      <c r="B11" s="9" t="s">
        <v>269</v>
      </c>
      <c r="C11" s="6">
        <v>4</v>
      </c>
      <c r="D11" s="4"/>
      <c r="E11" s="6">
        <f>E10+C11-D11</f>
      </c>
    </row>
    <row x14ac:dyDescent="0.25" r="12" customHeight="1" ht="17.25">
      <c r="A12" s="8">
        <v>45698</v>
      </c>
      <c r="B12" s="9" t="s">
        <v>269</v>
      </c>
      <c r="C12" s="6">
        <v>6</v>
      </c>
      <c r="D12" s="4"/>
      <c r="E12" s="6">
        <f>E11+C12-D12</f>
      </c>
    </row>
    <row x14ac:dyDescent="0.25" r="13" customHeight="1" ht="17.25">
      <c r="A13" s="8">
        <v>45709</v>
      </c>
      <c r="B13" s="9" t="s">
        <v>269</v>
      </c>
      <c r="C13" s="6">
        <v>10</v>
      </c>
      <c r="D13" s="4"/>
      <c r="E13" s="6">
        <f>E12+C13-D13</f>
      </c>
    </row>
    <row x14ac:dyDescent="0.25" r="14" customHeight="1" ht="17.25">
      <c r="A14" s="8">
        <v>45724</v>
      </c>
      <c r="B14" s="9" t="s">
        <v>141</v>
      </c>
      <c r="C14" s="3"/>
      <c r="D14" s="6">
        <v>40</v>
      </c>
      <c r="E14" s="6">
        <f>E13+C14-D14</f>
      </c>
    </row>
    <row x14ac:dyDescent="0.25" r="15" customHeight="1" ht="17.25">
      <c r="A15" s="8">
        <v>45726</v>
      </c>
      <c r="B15" s="9" t="s">
        <v>141</v>
      </c>
      <c r="C15" s="3"/>
      <c r="D15" s="6">
        <v>60</v>
      </c>
      <c r="E15" s="6">
        <f>E14+C15-D15</f>
      </c>
    </row>
    <row x14ac:dyDescent="0.25" r="16" customHeight="1" ht="17.25">
      <c r="A16" s="7">
        <v>45731</v>
      </c>
      <c r="B16" s="9" t="s">
        <v>141</v>
      </c>
      <c r="C16" s="6">
        <v>22</v>
      </c>
      <c r="D16" s="4"/>
      <c r="E16" s="6">
        <f>E15+C16-D16</f>
      </c>
    </row>
    <row x14ac:dyDescent="0.25" r="17" customHeight="1" ht="17.25">
      <c r="A17" s="7">
        <v>45755</v>
      </c>
      <c r="B17" s="9" t="s">
        <v>3</v>
      </c>
      <c r="C17" s="3"/>
      <c r="D17" s="6">
        <v>600</v>
      </c>
      <c r="E17" s="6">
        <f>E16+C17-D17</f>
      </c>
    </row>
    <row x14ac:dyDescent="0.25" r="18" customHeight="1" ht="17.25">
      <c r="A18" s="7">
        <v>45757</v>
      </c>
      <c r="B18" s="9" t="s">
        <v>3</v>
      </c>
      <c r="C18" s="3"/>
      <c r="D18" s="6">
        <v>220</v>
      </c>
      <c r="E18" s="6">
        <f>E17+C18-D18</f>
      </c>
    </row>
    <row x14ac:dyDescent="0.25" r="19" customHeight="1" ht="17.25">
      <c r="A19" s="7">
        <v>45766</v>
      </c>
      <c r="B19" s="9" t="s">
        <v>107</v>
      </c>
      <c r="C19" s="6">
        <v>350</v>
      </c>
      <c r="D19" s="4"/>
      <c r="E19" s="6">
        <f>E18+C19-D19</f>
      </c>
    </row>
    <row x14ac:dyDescent="0.25" r="20" customHeight="1" ht="17.25">
      <c r="A20" s="7">
        <v>45793</v>
      </c>
      <c r="B20" s="9" t="s">
        <v>3</v>
      </c>
      <c r="C20" s="6">
        <v>300</v>
      </c>
      <c r="D20" s="4"/>
      <c r="E20" s="6">
        <f>E19+C20-D20</f>
      </c>
    </row>
    <row x14ac:dyDescent="0.25" r="21" customHeight="1" ht="17.25">
      <c r="A21" s="7">
        <v>45815</v>
      </c>
      <c r="B21" s="9" t="s">
        <v>3</v>
      </c>
      <c r="C21" s="6">
        <v>38</v>
      </c>
      <c r="D21" s="4"/>
      <c r="E21" s="6">
        <f>E20+C21-D21</f>
      </c>
    </row>
    <row x14ac:dyDescent="0.25" r="22" customHeight="1" ht="17.25">
      <c r="A22" s="7">
        <v>45826</v>
      </c>
      <c r="B22" s="9" t="s">
        <v>3</v>
      </c>
      <c r="C22" s="6">
        <v>70</v>
      </c>
      <c r="D22" s="4"/>
      <c r="E22" s="6">
        <f>E21+C22-D22</f>
      </c>
    </row>
    <row x14ac:dyDescent="0.25" r="23" customHeight="1" ht="17.25">
      <c r="A23" s="7">
        <v>45836</v>
      </c>
      <c r="B23" s="9" t="s">
        <v>3</v>
      </c>
      <c r="C23" s="6">
        <v>84</v>
      </c>
      <c r="D23" s="4"/>
      <c r="E23" s="4"/>
    </row>
    <row x14ac:dyDescent="0.25" r="24" customHeight="1" ht="17.25">
      <c r="A24" s="7">
        <v>78</v>
      </c>
      <c r="B24" s="9" t="s">
        <v>3</v>
      </c>
      <c r="C24" s="3"/>
      <c r="D24" s="6">
        <v>22</v>
      </c>
      <c r="E24" s="4"/>
    </row>
    <row x14ac:dyDescent="0.25" r="25" customHeight="1" ht="17.25">
      <c r="A25" s="8">
        <v>45940</v>
      </c>
      <c r="B25" s="9" t="s">
        <v>141</v>
      </c>
      <c r="C25" s="6">
        <v>33</v>
      </c>
      <c r="D25" s="4"/>
      <c r="E25" s="4"/>
    </row>
    <row x14ac:dyDescent="0.25" r="26" customHeight="1" ht="17.25">
      <c r="A26" s="8">
        <v>45946</v>
      </c>
      <c r="B26" s="9" t="s">
        <v>141</v>
      </c>
      <c r="C26" s="6">
        <v>13</v>
      </c>
      <c r="D26" s="4"/>
      <c r="E26" s="4"/>
    </row>
    <row x14ac:dyDescent="0.25" r="27" customHeight="1" ht="17.25">
      <c r="A27" s="7">
        <v>45946</v>
      </c>
      <c r="B27" s="9" t="s">
        <v>3</v>
      </c>
      <c r="C27" s="6">
        <v>30</v>
      </c>
      <c r="D27" s="4"/>
      <c r="E27" s="4"/>
    </row>
    <row x14ac:dyDescent="0.25" r="28" customHeight="1" ht="17.25">
      <c r="A28" s="7">
        <v>45947</v>
      </c>
      <c r="B28" s="9" t="s">
        <v>3</v>
      </c>
      <c r="C28" s="6">
        <v>22</v>
      </c>
      <c r="D28" s="4"/>
      <c r="E28" s="4"/>
    </row>
    <row x14ac:dyDescent="0.25" r="29" customHeight="1" ht="17.25">
      <c r="A29" s="7">
        <v>45957</v>
      </c>
      <c r="B29" s="9" t="s">
        <v>3</v>
      </c>
      <c r="C29" s="6">
        <v>3</v>
      </c>
      <c r="D29" s="4"/>
      <c r="E29" s="4"/>
    </row>
    <row x14ac:dyDescent="0.25" r="30" customHeight="1" ht="17.25">
      <c r="A30" s="7">
        <v>45959</v>
      </c>
      <c r="B30" s="9" t="s">
        <v>3</v>
      </c>
      <c r="C30" s="6">
        <v>3</v>
      </c>
      <c r="D30" s="4"/>
      <c r="E30" s="4"/>
    </row>
    <row x14ac:dyDescent="0.25" r="31" customHeight="1" ht="17.25">
      <c r="A31" s="7">
        <v>45960</v>
      </c>
      <c r="B31" s="9" t="s">
        <v>3</v>
      </c>
      <c r="C31" s="6">
        <v>1</v>
      </c>
      <c r="D31" s="4"/>
      <c r="E31" s="4"/>
    </row>
    <row x14ac:dyDescent="0.25" r="32" customHeight="1" ht="17.25">
      <c r="A32" s="8">
        <v>45981</v>
      </c>
      <c r="B32" s="9" t="s">
        <v>141</v>
      </c>
      <c r="C32" s="6">
        <v>10</v>
      </c>
      <c r="D32" s="4"/>
      <c r="E3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79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6.005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537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6">
        <v>9627</v>
      </c>
    </row>
    <row x14ac:dyDescent="0.25" r="4" customHeight="1" ht="17.25">
      <c r="A4" s="7">
        <v>45659</v>
      </c>
      <c r="B4" s="2" t="s">
        <v>131</v>
      </c>
      <c r="C4" s="6">
        <v>191</v>
      </c>
      <c r="D4" s="4"/>
      <c r="E4" s="6">
        <f>E3+C4-D4</f>
      </c>
    </row>
    <row x14ac:dyDescent="0.25" r="5" customHeight="1" ht="17.25">
      <c r="A5" s="8">
        <v>45660</v>
      </c>
      <c r="B5" s="9" t="s">
        <v>483</v>
      </c>
      <c r="C5" s="4"/>
      <c r="D5" s="6">
        <v>100</v>
      </c>
      <c r="E5" s="6">
        <f>E4+C5-D5</f>
      </c>
    </row>
    <row x14ac:dyDescent="0.25" r="6" customHeight="1" ht="17.25">
      <c r="A6" s="7">
        <v>45660</v>
      </c>
      <c r="B6" s="2" t="s">
        <v>375</v>
      </c>
      <c r="C6" s="6">
        <v>100</v>
      </c>
      <c r="D6" s="4"/>
      <c r="E6" s="6">
        <f>E5+C6-D6</f>
      </c>
    </row>
    <row x14ac:dyDescent="0.25" r="7" customHeight="1" ht="17.25">
      <c r="A7" s="8">
        <v>45660</v>
      </c>
      <c r="B7" s="9" t="s">
        <v>410</v>
      </c>
      <c r="C7" s="6">
        <v>88</v>
      </c>
      <c r="D7" s="4"/>
      <c r="E7" s="6">
        <f>E6+C7-D7</f>
      </c>
    </row>
    <row x14ac:dyDescent="0.25" r="8" customHeight="1" ht="17.25">
      <c r="A8" s="8">
        <v>45661</v>
      </c>
      <c r="B8" s="9" t="s">
        <v>484</v>
      </c>
      <c r="C8" s="4"/>
      <c r="D8" s="6">
        <v>600</v>
      </c>
      <c r="E8" s="6">
        <f>E7+C8-D8</f>
      </c>
    </row>
    <row x14ac:dyDescent="0.25" r="9" customHeight="1" ht="17.25">
      <c r="A9" s="8">
        <v>45661</v>
      </c>
      <c r="B9" s="9" t="s">
        <v>257</v>
      </c>
      <c r="C9" s="4"/>
      <c r="D9" s="6">
        <v>294</v>
      </c>
      <c r="E9" s="6">
        <f>E8+C9-D9</f>
      </c>
    </row>
    <row x14ac:dyDescent="0.25" r="10" customHeight="1" ht="17.25">
      <c r="A10" s="8">
        <v>45663</v>
      </c>
      <c r="B10" s="9" t="s">
        <v>255</v>
      </c>
      <c r="C10" s="6">
        <v>66</v>
      </c>
      <c r="D10" s="4"/>
      <c r="E10" s="6">
        <f>E9+C10-D10</f>
      </c>
    </row>
    <row x14ac:dyDescent="0.25" r="11" customHeight="1" ht="17.25">
      <c r="A11" s="8">
        <v>45663</v>
      </c>
      <c r="B11" s="9" t="s">
        <v>35</v>
      </c>
      <c r="C11" s="6">
        <v>1260</v>
      </c>
      <c r="D11" s="4"/>
      <c r="E11" s="6">
        <f>E10+C11-D11</f>
      </c>
    </row>
    <row x14ac:dyDescent="0.25" r="12" customHeight="1" ht="17.25">
      <c r="A12" s="8">
        <v>45663</v>
      </c>
      <c r="B12" s="9" t="s">
        <v>35</v>
      </c>
      <c r="C12" s="6">
        <v>1922</v>
      </c>
      <c r="D12" s="4"/>
      <c r="E12" s="6">
        <f>E11+C12-D12</f>
      </c>
    </row>
    <row x14ac:dyDescent="0.25" r="13" customHeight="1" ht="17.25">
      <c r="A13" s="7">
        <v>45663</v>
      </c>
      <c r="B13" s="9" t="s">
        <v>375</v>
      </c>
      <c r="C13" s="6">
        <v>50</v>
      </c>
      <c r="D13" s="4"/>
      <c r="E13" s="6">
        <f>E12+C13-D13</f>
      </c>
    </row>
    <row x14ac:dyDescent="0.25" r="14" customHeight="1" ht="17.25">
      <c r="A14" s="8">
        <v>45663</v>
      </c>
      <c r="B14" s="9" t="s">
        <v>412</v>
      </c>
      <c r="C14" s="6">
        <v>100</v>
      </c>
      <c r="D14" s="4"/>
      <c r="E14" s="6">
        <f>E13+C14-D14</f>
      </c>
    </row>
    <row x14ac:dyDescent="0.25" r="15" customHeight="1" ht="17.25">
      <c r="A15" s="8">
        <v>45664</v>
      </c>
      <c r="B15" s="9" t="s">
        <v>257</v>
      </c>
      <c r="C15" s="4"/>
      <c r="D15" s="6">
        <v>180</v>
      </c>
      <c r="E15" s="6">
        <f>E14+C15-D15</f>
      </c>
    </row>
    <row x14ac:dyDescent="0.25" r="16" customHeight="1" ht="17.25">
      <c r="A16" s="8">
        <v>45664</v>
      </c>
      <c r="B16" s="9" t="s">
        <v>269</v>
      </c>
      <c r="C16" s="6">
        <v>47</v>
      </c>
      <c r="D16" s="4"/>
      <c r="E16" s="6">
        <f>E15+C16-D16</f>
      </c>
    </row>
    <row x14ac:dyDescent="0.25" r="17" customHeight="1" ht="17.25">
      <c r="A17" s="8">
        <v>45664</v>
      </c>
      <c r="B17" s="9" t="s">
        <v>131</v>
      </c>
      <c r="C17" s="6">
        <v>42</v>
      </c>
      <c r="D17" s="4"/>
      <c r="E17" s="6">
        <f>E16+C17-D17</f>
      </c>
    </row>
    <row x14ac:dyDescent="0.25" r="18" customHeight="1" ht="17.25">
      <c r="A18" s="7">
        <v>45664</v>
      </c>
      <c r="B18" s="9" t="s">
        <v>376</v>
      </c>
      <c r="C18" s="6">
        <v>68</v>
      </c>
      <c r="D18" s="4"/>
      <c r="E18" s="6">
        <f>E17+C18-D18</f>
      </c>
    </row>
    <row x14ac:dyDescent="0.25" r="19" customHeight="1" ht="17.25">
      <c r="A19" s="7">
        <v>45665</v>
      </c>
      <c r="B19" s="9" t="s">
        <v>382</v>
      </c>
      <c r="C19" s="4"/>
      <c r="D19" s="6">
        <v>700</v>
      </c>
      <c r="E19" s="6">
        <f>E18+C19-D19</f>
      </c>
    </row>
    <row x14ac:dyDescent="0.25" r="20" customHeight="1" ht="17.25">
      <c r="A20" s="7">
        <v>45665</v>
      </c>
      <c r="B20" s="9" t="s">
        <v>486</v>
      </c>
      <c r="C20" s="4"/>
      <c r="D20" s="6">
        <v>300</v>
      </c>
      <c r="E20" s="6">
        <f>E19+C20-D20</f>
      </c>
    </row>
    <row x14ac:dyDescent="0.25" r="21" customHeight="1" ht="17.25">
      <c r="A21" s="7">
        <v>45666</v>
      </c>
      <c r="B21" s="9" t="s">
        <v>538</v>
      </c>
      <c r="C21" s="4"/>
      <c r="D21" s="6">
        <v>200</v>
      </c>
      <c r="E21" s="6">
        <f>E20+C21-D21</f>
      </c>
    </row>
    <row x14ac:dyDescent="0.25" r="22" customHeight="1" ht="17.25">
      <c r="A22" s="7">
        <v>45666</v>
      </c>
      <c r="B22" s="9" t="s">
        <v>486</v>
      </c>
      <c r="C22" s="4"/>
      <c r="D22" s="6">
        <v>400</v>
      </c>
      <c r="E22" s="6">
        <f>E21+C22-D22</f>
      </c>
    </row>
    <row x14ac:dyDescent="0.25" r="23" customHeight="1" ht="17.25">
      <c r="A23" s="7">
        <v>45666</v>
      </c>
      <c r="B23" s="9" t="s">
        <v>376</v>
      </c>
      <c r="C23" s="6">
        <v>66</v>
      </c>
      <c r="D23" s="4"/>
      <c r="E23" s="6">
        <f>E22+C23-D23</f>
      </c>
    </row>
    <row x14ac:dyDescent="0.25" r="24" customHeight="1" ht="17.25">
      <c r="A24" s="7">
        <v>45667</v>
      </c>
      <c r="B24" s="9" t="s">
        <v>270</v>
      </c>
      <c r="C24" s="4"/>
      <c r="D24" s="6">
        <v>256</v>
      </c>
      <c r="E24" s="6">
        <f>E23+C24-D24</f>
      </c>
    </row>
    <row x14ac:dyDescent="0.25" r="25" customHeight="1" ht="17.25">
      <c r="A25" s="7">
        <v>45667</v>
      </c>
      <c r="B25" s="9" t="s">
        <v>71</v>
      </c>
      <c r="C25" s="4"/>
      <c r="D25" s="6">
        <v>66</v>
      </c>
      <c r="E25" s="6">
        <f>E24+C25-D25</f>
      </c>
    </row>
    <row x14ac:dyDescent="0.25" r="26" customHeight="1" ht="17.25">
      <c r="A26" s="7">
        <v>45668</v>
      </c>
      <c r="B26" s="9" t="s">
        <v>411</v>
      </c>
      <c r="C26" s="4"/>
      <c r="D26" s="6">
        <v>80</v>
      </c>
      <c r="E26" s="6">
        <f>E25+C26-D26</f>
      </c>
    </row>
    <row x14ac:dyDescent="0.25" r="27" customHeight="1" ht="17.25">
      <c r="A27" s="8">
        <v>45668</v>
      </c>
      <c r="B27" s="9" t="s">
        <v>413</v>
      </c>
      <c r="C27" s="6">
        <v>60</v>
      </c>
      <c r="D27" s="4"/>
      <c r="E27" s="6">
        <f>E26+C27-D27</f>
      </c>
    </row>
    <row x14ac:dyDescent="0.25" r="28" customHeight="1" ht="17.25">
      <c r="A28" s="8">
        <v>45670</v>
      </c>
      <c r="B28" s="9" t="s">
        <v>410</v>
      </c>
      <c r="C28" s="6">
        <v>45</v>
      </c>
      <c r="D28" s="4"/>
      <c r="E28" s="6">
        <f>E27+C28-D28</f>
      </c>
    </row>
    <row x14ac:dyDescent="0.25" r="29" customHeight="1" ht="17.25">
      <c r="A29" s="8">
        <v>45671</v>
      </c>
      <c r="B29" s="9" t="s">
        <v>269</v>
      </c>
      <c r="C29" s="6">
        <v>160</v>
      </c>
      <c r="D29" s="4"/>
      <c r="E29" s="6">
        <f>E28+C29-D29</f>
      </c>
    </row>
    <row x14ac:dyDescent="0.25" r="30" customHeight="1" ht="17.25">
      <c r="A30" s="8">
        <v>45671</v>
      </c>
      <c r="B30" s="9" t="s">
        <v>375</v>
      </c>
      <c r="C30" s="6">
        <v>451</v>
      </c>
      <c r="D30" s="4"/>
      <c r="E30" s="6">
        <f>E29+C30-D30</f>
      </c>
    </row>
    <row x14ac:dyDescent="0.25" r="31" customHeight="1" ht="17.25">
      <c r="A31" s="8">
        <v>45672</v>
      </c>
      <c r="B31" s="9" t="s">
        <v>485</v>
      </c>
      <c r="C31" s="4"/>
      <c r="D31" s="6">
        <v>200</v>
      </c>
      <c r="E31" s="6">
        <f>E30+C31-D31</f>
      </c>
    </row>
    <row x14ac:dyDescent="0.25" r="32" customHeight="1" ht="17.25">
      <c r="A32" s="7">
        <v>45672</v>
      </c>
      <c r="B32" s="9" t="s">
        <v>255</v>
      </c>
      <c r="C32" s="6">
        <v>5</v>
      </c>
      <c r="D32" s="4"/>
      <c r="E32" s="6">
        <f>E31+C32-D32</f>
      </c>
    </row>
    <row x14ac:dyDescent="0.25" r="33" customHeight="1" ht="17.25">
      <c r="A33" s="8">
        <v>45672</v>
      </c>
      <c r="B33" s="9" t="s">
        <v>539</v>
      </c>
      <c r="C33" s="6">
        <v>20</v>
      </c>
      <c r="D33" s="4"/>
      <c r="E33" s="6">
        <f>E32+C33-D33</f>
      </c>
    </row>
    <row x14ac:dyDescent="0.25" r="34" customHeight="1" ht="17.25">
      <c r="A34" s="7">
        <v>45672</v>
      </c>
      <c r="B34" s="9" t="s">
        <v>375</v>
      </c>
      <c r="C34" s="6">
        <v>171</v>
      </c>
      <c r="D34" s="4"/>
      <c r="E34" s="6">
        <f>E33+C34-D34</f>
      </c>
    </row>
    <row x14ac:dyDescent="0.25" r="35" customHeight="1" ht="17.25">
      <c r="A35" s="8">
        <v>45673</v>
      </c>
      <c r="B35" s="9" t="s">
        <v>382</v>
      </c>
      <c r="C35" s="4"/>
      <c r="D35" s="6">
        <v>650</v>
      </c>
      <c r="E35" s="6">
        <f>E34+C35-D35</f>
      </c>
    </row>
    <row x14ac:dyDescent="0.25" r="36" customHeight="1" ht="17.25">
      <c r="A36" s="8">
        <v>45673</v>
      </c>
      <c r="B36" s="9" t="s">
        <v>540</v>
      </c>
      <c r="C36" s="4"/>
      <c r="D36" s="6">
        <v>40</v>
      </c>
      <c r="E36" s="6">
        <f>E35+C36-D36</f>
      </c>
    </row>
    <row x14ac:dyDescent="0.25" r="37" customHeight="1" ht="17.25">
      <c r="A37" s="8">
        <v>45673</v>
      </c>
      <c r="B37" s="9" t="s">
        <v>415</v>
      </c>
      <c r="C37" s="6">
        <v>62</v>
      </c>
      <c r="D37" s="4"/>
      <c r="E37" s="6">
        <f>E36+C37-D37</f>
      </c>
    </row>
    <row x14ac:dyDescent="0.25" r="38" customHeight="1" ht="17.25">
      <c r="A38" s="8">
        <v>45673</v>
      </c>
      <c r="B38" s="9" t="s">
        <v>269</v>
      </c>
      <c r="C38" s="6">
        <v>77</v>
      </c>
      <c r="D38" s="4"/>
      <c r="E38" s="6">
        <f>E37+C38-D38</f>
      </c>
    </row>
    <row x14ac:dyDescent="0.25" r="39" customHeight="1" ht="17.25">
      <c r="A39" s="7">
        <v>45674</v>
      </c>
      <c r="B39" s="9" t="s">
        <v>541</v>
      </c>
      <c r="C39" s="4"/>
      <c r="D39" s="6">
        <v>288</v>
      </c>
      <c r="E39" s="6">
        <f>E38+C39-D39</f>
      </c>
    </row>
    <row x14ac:dyDescent="0.25" r="40" customHeight="1" ht="17.25">
      <c r="A40" s="7">
        <v>45674</v>
      </c>
      <c r="B40" s="9" t="s">
        <v>44</v>
      </c>
      <c r="C40" s="4"/>
      <c r="D40" s="6">
        <v>100</v>
      </c>
      <c r="E40" s="6">
        <f>E39+C40-D40</f>
      </c>
    </row>
    <row x14ac:dyDescent="0.25" r="41" customHeight="1" ht="17.25">
      <c r="A41" s="7">
        <v>45674</v>
      </c>
      <c r="B41" s="9" t="s">
        <v>338</v>
      </c>
      <c r="C41" s="6">
        <v>100</v>
      </c>
      <c r="D41" s="4"/>
      <c r="E41" s="6">
        <f>E40+C41-D41</f>
      </c>
    </row>
    <row x14ac:dyDescent="0.25" r="42" customHeight="1" ht="17.25">
      <c r="A42" s="8">
        <v>45674</v>
      </c>
      <c r="B42" s="9" t="s">
        <v>189</v>
      </c>
      <c r="C42" s="6">
        <v>65</v>
      </c>
      <c r="D42" s="4"/>
      <c r="E42" s="6">
        <f>E41+C42-D42</f>
      </c>
    </row>
    <row x14ac:dyDescent="0.25" r="43" customHeight="1" ht="17.25">
      <c r="A43" s="8">
        <v>45674</v>
      </c>
      <c r="B43" s="9" t="s">
        <v>413</v>
      </c>
      <c r="C43" s="6">
        <v>25</v>
      </c>
      <c r="D43" s="4"/>
      <c r="E43" s="6">
        <f>E42+C43-D43</f>
      </c>
    </row>
    <row x14ac:dyDescent="0.25" r="44" customHeight="1" ht="17.25">
      <c r="A44" s="8">
        <v>45674</v>
      </c>
      <c r="B44" s="9" t="s">
        <v>432</v>
      </c>
      <c r="C44" s="6">
        <v>40</v>
      </c>
      <c r="D44" s="4"/>
      <c r="E44" s="6">
        <f>E43+C44-D44</f>
      </c>
    </row>
    <row x14ac:dyDescent="0.25" r="45" customHeight="1" ht="17.25">
      <c r="A45" s="8">
        <v>45675</v>
      </c>
      <c r="B45" s="9" t="s">
        <v>240</v>
      </c>
      <c r="C45" s="6">
        <v>83</v>
      </c>
      <c r="D45" s="4"/>
      <c r="E45" s="6">
        <f>E44+C45-D45</f>
      </c>
    </row>
    <row x14ac:dyDescent="0.25" r="46" customHeight="1" ht="17.25">
      <c r="A46" s="8">
        <v>45675</v>
      </c>
      <c r="B46" s="9" t="s">
        <v>413</v>
      </c>
      <c r="C46" s="6">
        <v>36</v>
      </c>
      <c r="D46" s="4"/>
      <c r="E46" s="6">
        <f>E45+C46-D46</f>
      </c>
    </row>
    <row x14ac:dyDescent="0.25" r="47" customHeight="1" ht="17.25">
      <c r="A47" s="7">
        <v>45677</v>
      </c>
      <c r="B47" s="9" t="s">
        <v>382</v>
      </c>
      <c r="C47" s="4"/>
      <c r="D47" s="6">
        <v>60</v>
      </c>
      <c r="E47" s="6">
        <f>E46+C47-D47</f>
      </c>
    </row>
    <row x14ac:dyDescent="0.25" r="48" customHeight="1" ht="17.25">
      <c r="A48" s="7">
        <v>45677</v>
      </c>
      <c r="B48" s="9" t="s">
        <v>485</v>
      </c>
      <c r="C48" s="4"/>
      <c r="D48" s="6">
        <v>100</v>
      </c>
      <c r="E48" s="6">
        <f>E47+C48-D48</f>
      </c>
    </row>
    <row x14ac:dyDescent="0.25" r="49" customHeight="1" ht="17.25">
      <c r="A49" s="8">
        <v>45677</v>
      </c>
      <c r="B49" s="9" t="s">
        <v>486</v>
      </c>
      <c r="C49" s="4"/>
      <c r="D49" s="6">
        <v>150</v>
      </c>
      <c r="E49" s="6">
        <f>E48+C49-D49</f>
      </c>
    </row>
    <row x14ac:dyDescent="0.25" r="50" customHeight="1" ht="17.25">
      <c r="A50" s="7">
        <v>45677</v>
      </c>
      <c r="B50" s="9" t="s">
        <v>486</v>
      </c>
      <c r="C50" s="4"/>
      <c r="D50" s="6">
        <v>150</v>
      </c>
      <c r="E50" s="6">
        <f>E49+C50-D50</f>
      </c>
    </row>
    <row x14ac:dyDescent="0.25" r="51" customHeight="1" ht="17.25">
      <c r="A51" s="8">
        <v>45677</v>
      </c>
      <c r="B51" s="9" t="s">
        <v>410</v>
      </c>
      <c r="C51" s="6">
        <v>56</v>
      </c>
      <c r="D51" s="4"/>
      <c r="E51" s="6">
        <f>E50+C51-D51</f>
      </c>
    </row>
    <row x14ac:dyDescent="0.25" r="52" customHeight="1" ht="17.25">
      <c r="A52" s="7">
        <v>45677</v>
      </c>
      <c r="B52" s="9" t="s">
        <v>365</v>
      </c>
      <c r="C52" s="6">
        <v>102</v>
      </c>
      <c r="D52" s="4"/>
      <c r="E52" s="6">
        <f>E51+C52-D52</f>
      </c>
    </row>
    <row x14ac:dyDescent="0.25" r="53" customHeight="1" ht="17.25">
      <c r="A53" s="8">
        <v>45677</v>
      </c>
      <c r="B53" s="9" t="s">
        <v>35</v>
      </c>
      <c r="C53" s="6">
        <v>1053</v>
      </c>
      <c r="D53" s="4"/>
      <c r="E53" s="6">
        <f>E52+C53-D53</f>
      </c>
    </row>
    <row x14ac:dyDescent="0.25" r="54" customHeight="1" ht="17.25">
      <c r="A54" s="8">
        <v>45677</v>
      </c>
      <c r="B54" s="9" t="s">
        <v>131</v>
      </c>
      <c r="C54" s="6">
        <v>170</v>
      </c>
      <c r="D54" s="4"/>
      <c r="E54" s="6">
        <f>E53+C54-D54</f>
      </c>
    </row>
    <row x14ac:dyDescent="0.25" r="55" customHeight="1" ht="17.25">
      <c r="A55" s="8">
        <v>45678</v>
      </c>
      <c r="B55" s="9" t="s">
        <v>382</v>
      </c>
      <c r="C55" s="4"/>
      <c r="D55" s="6">
        <v>300</v>
      </c>
      <c r="E55" s="6">
        <f>E54+C55-D55</f>
      </c>
    </row>
    <row x14ac:dyDescent="0.25" r="56" customHeight="1" ht="17.25">
      <c r="A56" s="8">
        <v>45678</v>
      </c>
      <c r="B56" s="9" t="s">
        <v>485</v>
      </c>
      <c r="C56" s="4"/>
      <c r="D56" s="6">
        <v>100</v>
      </c>
      <c r="E56" s="6">
        <f>E55+C56-D56</f>
      </c>
    </row>
    <row x14ac:dyDescent="0.25" r="57" customHeight="1" ht="17.25">
      <c r="A57" s="8">
        <v>45679</v>
      </c>
      <c r="B57" s="9" t="s">
        <v>382</v>
      </c>
      <c r="C57" s="4"/>
      <c r="D57" s="6">
        <v>500</v>
      </c>
      <c r="E57" s="6">
        <f>E56+C57-D57</f>
      </c>
    </row>
    <row x14ac:dyDescent="0.25" r="58" customHeight="1" ht="17.25">
      <c r="A58" s="8">
        <v>45679</v>
      </c>
      <c r="B58" s="9" t="s">
        <v>256</v>
      </c>
      <c r="C58" s="6">
        <v>950</v>
      </c>
      <c r="D58" s="4"/>
      <c r="E58" s="6">
        <f>E57+C58-D58</f>
      </c>
    </row>
    <row x14ac:dyDescent="0.25" r="59" customHeight="1" ht="17.25">
      <c r="A59" s="8">
        <v>45679</v>
      </c>
      <c r="B59" s="9" t="s">
        <v>375</v>
      </c>
      <c r="C59" s="6">
        <v>358</v>
      </c>
      <c r="D59" s="4"/>
      <c r="E59" s="6">
        <f>E58+C59-D59</f>
      </c>
    </row>
    <row x14ac:dyDescent="0.25" r="60" customHeight="1" ht="17.25">
      <c r="A60" s="7">
        <v>45679</v>
      </c>
      <c r="B60" s="9" t="s">
        <v>376</v>
      </c>
      <c r="C60" s="6">
        <v>3</v>
      </c>
      <c r="D60" s="4"/>
      <c r="E60" s="6">
        <f>E59+C60-D60</f>
      </c>
    </row>
    <row x14ac:dyDescent="0.25" r="61" customHeight="1" ht="17.25">
      <c r="A61" s="8">
        <v>45680</v>
      </c>
      <c r="B61" s="9" t="s">
        <v>132</v>
      </c>
      <c r="C61" s="4"/>
      <c r="D61" s="6">
        <v>84</v>
      </c>
      <c r="E61" s="6">
        <f>E60+C61-D61</f>
      </c>
    </row>
    <row x14ac:dyDescent="0.25" r="62" customHeight="1" ht="17.25">
      <c r="A62" s="8">
        <v>45680</v>
      </c>
      <c r="B62" s="9" t="s">
        <v>326</v>
      </c>
      <c r="C62" s="6">
        <v>40</v>
      </c>
      <c r="D62" s="4"/>
      <c r="E62" s="6">
        <f>E61+C62-D62</f>
      </c>
    </row>
    <row x14ac:dyDescent="0.25" r="63" customHeight="1" ht="17.25">
      <c r="A63" s="8">
        <v>45680</v>
      </c>
      <c r="B63" s="9" t="s">
        <v>35</v>
      </c>
      <c r="C63" s="6">
        <v>600</v>
      </c>
      <c r="D63" s="4"/>
      <c r="E63" s="6">
        <f>E62+C63-D63</f>
      </c>
    </row>
    <row x14ac:dyDescent="0.25" r="64" customHeight="1" ht="17.25">
      <c r="A64" s="8">
        <v>45680</v>
      </c>
      <c r="B64" s="9" t="s">
        <v>269</v>
      </c>
      <c r="C64" s="6">
        <v>46</v>
      </c>
      <c r="D64" s="4"/>
      <c r="E64" s="6">
        <f>E63+C64-D64</f>
      </c>
    </row>
    <row x14ac:dyDescent="0.25" r="65" customHeight="1" ht="17.25">
      <c r="A65" s="7">
        <v>45682</v>
      </c>
      <c r="B65" s="9" t="s">
        <v>35</v>
      </c>
      <c r="C65" s="6">
        <v>965</v>
      </c>
      <c r="D65" s="4"/>
      <c r="E65" s="6">
        <f>E64+C65-D65</f>
      </c>
    </row>
    <row x14ac:dyDescent="0.25" r="66" customHeight="1" ht="17.25">
      <c r="A66" s="8">
        <v>45682</v>
      </c>
      <c r="B66" s="9" t="s">
        <v>414</v>
      </c>
      <c r="C66" s="6">
        <v>13</v>
      </c>
      <c r="D66" s="4"/>
      <c r="E66" s="6">
        <f>E65+C66-D66</f>
      </c>
    </row>
    <row x14ac:dyDescent="0.25" r="67" customHeight="1" ht="17.25">
      <c r="A67" s="8">
        <v>45682</v>
      </c>
      <c r="B67" s="9" t="s">
        <v>123</v>
      </c>
      <c r="C67" s="6">
        <v>166</v>
      </c>
      <c r="D67" s="4"/>
      <c r="E67" s="6">
        <f>E66+C67-D67</f>
      </c>
    </row>
    <row x14ac:dyDescent="0.25" r="68" customHeight="1" ht="17.25">
      <c r="A68" s="8">
        <v>45685</v>
      </c>
      <c r="B68" s="9" t="s">
        <v>412</v>
      </c>
      <c r="C68" s="6">
        <v>95</v>
      </c>
      <c r="D68" s="4"/>
      <c r="E68" s="6">
        <f>E67+C68-D68</f>
      </c>
    </row>
    <row x14ac:dyDescent="0.25" r="69" customHeight="1" ht="17.25">
      <c r="A69" s="8">
        <v>45685</v>
      </c>
      <c r="B69" s="9" t="s">
        <v>259</v>
      </c>
      <c r="C69" s="6">
        <v>956</v>
      </c>
      <c r="D69" s="4"/>
      <c r="E69" s="6">
        <f>E68+C69-D69</f>
      </c>
    </row>
    <row x14ac:dyDescent="0.25" r="70" customHeight="1" ht="17.25">
      <c r="A70" s="7">
        <v>45685</v>
      </c>
      <c r="B70" s="9" t="s">
        <v>127</v>
      </c>
      <c r="C70" s="6">
        <v>348</v>
      </c>
      <c r="D70" s="4"/>
      <c r="E70" s="6">
        <f>E69+C70-D70</f>
      </c>
    </row>
    <row x14ac:dyDescent="0.25" r="71" customHeight="1" ht="17.25">
      <c r="A71" s="8">
        <v>45686</v>
      </c>
      <c r="B71" s="9" t="s">
        <v>272</v>
      </c>
      <c r="C71" s="4"/>
      <c r="D71" s="6">
        <v>491</v>
      </c>
      <c r="E71" s="6">
        <f>E70+C71-D71</f>
      </c>
    </row>
    <row x14ac:dyDescent="0.25" r="72" customHeight="1" ht="17.25">
      <c r="A72" s="8">
        <v>45688</v>
      </c>
      <c r="B72" s="9" t="s">
        <v>39</v>
      </c>
      <c r="C72" s="6">
        <v>350</v>
      </c>
      <c r="D72" s="4"/>
      <c r="E72" s="6">
        <f>E71+C72-D72</f>
      </c>
    </row>
    <row x14ac:dyDescent="0.25" r="73" customHeight="1" ht="17.25">
      <c r="A73" s="8">
        <v>45688</v>
      </c>
      <c r="B73" s="9" t="s">
        <v>269</v>
      </c>
      <c r="C73" s="6">
        <v>65</v>
      </c>
      <c r="D73" s="4"/>
      <c r="E73" s="6">
        <f>E72+C73-D73</f>
      </c>
    </row>
    <row x14ac:dyDescent="0.25" r="74" customHeight="1" ht="17.25">
      <c r="A74" s="8">
        <v>45688</v>
      </c>
      <c r="B74" s="9" t="s">
        <v>415</v>
      </c>
      <c r="C74" s="6">
        <v>60</v>
      </c>
      <c r="D74" s="4"/>
      <c r="E74" s="6">
        <f>E73+C74-D74</f>
      </c>
    </row>
    <row x14ac:dyDescent="0.25" r="75" customHeight="1" ht="17.25">
      <c r="A75" s="7">
        <v>45688</v>
      </c>
      <c r="B75" s="9" t="s">
        <v>375</v>
      </c>
      <c r="C75" s="6">
        <v>175</v>
      </c>
      <c r="D75" s="4"/>
      <c r="E75" s="6">
        <f>E74+C75-D75</f>
      </c>
    </row>
    <row x14ac:dyDescent="0.25" r="76" customHeight="1" ht="17.25">
      <c r="A76" s="8">
        <v>45688</v>
      </c>
      <c r="B76" s="9" t="s">
        <v>31</v>
      </c>
      <c r="C76" s="6">
        <v>36</v>
      </c>
      <c r="D76" s="4"/>
      <c r="E76" s="6">
        <f>E75+C76-D76</f>
      </c>
    </row>
    <row x14ac:dyDescent="0.25" r="77" customHeight="1" ht="17.25">
      <c r="A77" s="8">
        <v>45689</v>
      </c>
      <c r="B77" s="9" t="s">
        <v>375</v>
      </c>
      <c r="C77" s="6">
        <v>50</v>
      </c>
      <c r="D77" s="4"/>
      <c r="E77" s="6">
        <f>E76+C77-D77</f>
      </c>
    </row>
    <row x14ac:dyDescent="0.25" r="78" customHeight="1" ht="17.25">
      <c r="A78" s="8">
        <v>45691</v>
      </c>
      <c r="B78" s="9" t="s">
        <v>273</v>
      </c>
      <c r="C78" s="6">
        <v>28</v>
      </c>
      <c r="D78" s="4"/>
      <c r="E78" s="6">
        <f>E77+C78-D78</f>
      </c>
    </row>
    <row x14ac:dyDescent="0.25" r="79" customHeight="1" ht="17.25">
      <c r="A79" s="8">
        <v>45692</v>
      </c>
      <c r="B79" s="9" t="s">
        <v>433</v>
      </c>
      <c r="C79" s="4"/>
      <c r="D79" s="6">
        <v>20</v>
      </c>
      <c r="E79" s="6">
        <f>E78+C79-D79</f>
      </c>
    </row>
    <row x14ac:dyDescent="0.25" r="80" customHeight="1" ht="17.25">
      <c r="A80" s="7">
        <v>45692</v>
      </c>
      <c r="B80" s="9" t="s">
        <v>131</v>
      </c>
      <c r="C80" s="6">
        <v>301</v>
      </c>
      <c r="D80" s="4"/>
      <c r="E80" s="6">
        <f>E79+C80-D80</f>
      </c>
    </row>
    <row x14ac:dyDescent="0.25" r="81" customHeight="1" ht="17.25">
      <c r="A81" s="8">
        <v>45692</v>
      </c>
      <c r="B81" s="9" t="s">
        <v>378</v>
      </c>
      <c r="C81" s="6">
        <v>168</v>
      </c>
      <c r="D81" s="4"/>
      <c r="E81" s="6">
        <f>E80+C81-D81</f>
      </c>
    </row>
    <row x14ac:dyDescent="0.25" r="82" customHeight="1" ht="17.25">
      <c r="A82" s="8">
        <v>45693</v>
      </c>
      <c r="B82" s="9" t="s">
        <v>435</v>
      </c>
      <c r="C82" s="4"/>
      <c r="D82" s="6">
        <v>60</v>
      </c>
      <c r="E82" s="6">
        <f>E81+C82-D82</f>
      </c>
    </row>
    <row x14ac:dyDescent="0.25" r="83" customHeight="1" ht="17.25">
      <c r="A83" s="7">
        <v>45693</v>
      </c>
      <c r="B83" s="9" t="s">
        <v>35</v>
      </c>
      <c r="C83" s="6">
        <v>500</v>
      </c>
      <c r="D83" s="4"/>
      <c r="E83" s="6">
        <f>E82+C83-D83</f>
      </c>
    </row>
    <row x14ac:dyDescent="0.25" r="84" customHeight="1" ht="17.25">
      <c r="A84" s="8">
        <v>45693</v>
      </c>
      <c r="B84" s="9" t="s">
        <v>376</v>
      </c>
      <c r="C84" s="6">
        <v>3</v>
      </c>
      <c r="D84" s="4"/>
      <c r="E84" s="6">
        <f>E83+C84-D84</f>
      </c>
    </row>
    <row x14ac:dyDescent="0.25" r="85" customHeight="1" ht="17.25">
      <c r="A85" s="7">
        <v>45694</v>
      </c>
      <c r="B85" s="9" t="s">
        <v>445</v>
      </c>
      <c r="C85" s="4"/>
      <c r="D85" s="6">
        <v>30</v>
      </c>
      <c r="E85" s="6">
        <f>E84+C85-D85</f>
      </c>
    </row>
    <row x14ac:dyDescent="0.25" r="86" customHeight="1" ht="17.25">
      <c r="A86" s="7">
        <v>45694</v>
      </c>
      <c r="B86" s="9" t="s">
        <v>382</v>
      </c>
      <c r="C86" s="6">
        <v>127</v>
      </c>
      <c r="D86" s="4"/>
      <c r="E86" s="6">
        <f>E85+C86-D86</f>
      </c>
    </row>
    <row x14ac:dyDescent="0.25" r="87" customHeight="1" ht="17.25">
      <c r="A87" s="7">
        <v>45694</v>
      </c>
      <c r="B87" s="9" t="s">
        <v>189</v>
      </c>
      <c r="C87" s="6">
        <v>140</v>
      </c>
      <c r="D87" s="4"/>
      <c r="E87" s="6">
        <f>E86+C87-D87</f>
      </c>
    </row>
    <row x14ac:dyDescent="0.25" r="88" customHeight="1" ht="17.25">
      <c r="A88" s="8">
        <v>45694</v>
      </c>
      <c r="B88" s="9" t="s">
        <v>127</v>
      </c>
      <c r="C88" s="6">
        <v>12</v>
      </c>
      <c r="D88" s="4"/>
      <c r="E88" s="6">
        <f>E87+C88-D88</f>
      </c>
    </row>
    <row x14ac:dyDescent="0.25" r="89" customHeight="1" ht="17.25">
      <c r="A89" s="8">
        <v>45694</v>
      </c>
      <c r="B89" s="9" t="s">
        <v>275</v>
      </c>
      <c r="C89" s="6">
        <v>7</v>
      </c>
      <c r="D89" s="4"/>
      <c r="E89" s="6">
        <f>E88+C89-D89</f>
      </c>
    </row>
    <row x14ac:dyDescent="0.25" r="90" customHeight="1" ht="17.25">
      <c r="A90" s="8">
        <v>45695</v>
      </c>
      <c r="B90" s="9" t="s">
        <v>284</v>
      </c>
      <c r="C90" s="6">
        <v>30</v>
      </c>
      <c r="D90" s="4"/>
      <c r="E90" s="6">
        <f>E89+C90-D90</f>
      </c>
    </row>
    <row x14ac:dyDescent="0.25" r="91" customHeight="1" ht="17.25">
      <c r="A91" s="8">
        <v>45695</v>
      </c>
      <c r="B91" s="9" t="s">
        <v>11</v>
      </c>
      <c r="C91" s="6">
        <v>250</v>
      </c>
      <c r="D91" s="4"/>
      <c r="E91" s="6">
        <f>E90+C91-D91</f>
      </c>
    </row>
    <row x14ac:dyDescent="0.25" r="92" customHeight="1" ht="17.25">
      <c r="A92" s="8">
        <v>45697</v>
      </c>
      <c r="B92" s="9" t="s">
        <v>29</v>
      </c>
      <c r="C92" s="4"/>
      <c r="D92" s="6">
        <v>1200</v>
      </c>
      <c r="E92" s="6">
        <f>E91+C92-D92</f>
      </c>
    </row>
    <row x14ac:dyDescent="0.25" r="93" customHeight="1" ht="17.25">
      <c r="A93" s="8">
        <v>45698</v>
      </c>
      <c r="B93" s="9" t="s">
        <v>11</v>
      </c>
      <c r="C93" s="6">
        <v>471</v>
      </c>
      <c r="D93" s="4"/>
      <c r="E93" s="6">
        <f>E92+C93-D93</f>
      </c>
    </row>
    <row x14ac:dyDescent="0.25" r="94" customHeight="1" ht="17.25">
      <c r="A94" s="7">
        <v>45699</v>
      </c>
      <c r="B94" s="9" t="s">
        <v>29</v>
      </c>
      <c r="C94" s="4"/>
      <c r="D94" s="6">
        <v>1200</v>
      </c>
      <c r="E94" s="6">
        <f>E93+C94-D94</f>
      </c>
    </row>
    <row x14ac:dyDescent="0.25" r="95" customHeight="1" ht="17.25">
      <c r="A95" s="8">
        <v>45699</v>
      </c>
      <c r="B95" s="9" t="s">
        <v>131</v>
      </c>
      <c r="C95" s="6">
        <v>13</v>
      </c>
      <c r="D95" s="4"/>
      <c r="E95" s="6">
        <f>E94+C95-D95</f>
      </c>
    </row>
    <row x14ac:dyDescent="0.25" r="96" customHeight="1" ht="17.25">
      <c r="A96" s="8">
        <v>45699</v>
      </c>
      <c r="B96" s="9" t="s">
        <v>189</v>
      </c>
      <c r="C96" s="6">
        <v>250</v>
      </c>
      <c r="D96" s="4"/>
      <c r="E96" s="6">
        <f>E95+C96-D96</f>
      </c>
    </row>
    <row x14ac:dyDescent="0.25" r="97" customHeight="1" ht="17.25">
      <c r="A97" s="8">
        <v>45700</v>
      </c>
      <c r="B97" s="9" t="s">
        <v>34</v>
      </c>
      <c r="C97" s="4"/>
      <c r="D97" s="6">
        <v>500</v>
      </c>
      <c r="E97" s="6">
        <f>E96+C97-D97</f>
      </c>
    </row>
    <row x14ac:dyDescent="0.25" r="98" customHeight="1" ht="17.25">
      <c r="A98" s="8">
        <v>45700</v>
      </c>
      <c r="B98" s="9" t="s">
        <v>406</v>
      </c>
      <c r="C98" s="6">
        <v>25</v>
      </c>
      <c r="D98" s="4"/>
      <c r="E98" s="6">
        <f>E97+C98-D98</f>
      </c>
    </row>
    <row x14ac:dyDescent="0.25" r="99" customHeight="1" ht="17.25">
      <c r="A99" s="8">
        <v>45700</v>
      </c>
      <c r="B99" s="9" t="s">
        <v>376</v>
      </c>
      <c r="C99" s="6">
        <v>2</v>
      </c>
      <c r="D99" s="4"/>
      <c r="E99" s="6">
        <f>E98+C99-D99</f>
      </c>
    </row>
    <row x14ac:dyDescent="0.25" r="100" customHeight="1" ht="17.25">
      <c r="A100" s="8">
        <v>45700</v>
      </c>
      <c r="B100" s="9" t="s">
        <v>412</v>
      </c>
      <c r="C100" s="6">
        <v>140</v>
      </c>
      <c r="D100" s="4"/>
      <c r="E100" s="6">
        <f>E99+C100-D100</f>
      </c>
    </row>
    <row x14ac:dyDescent="0.25" r="101" customHeight="1" ht="17.25">
      <c r="A101" s="8">
        <v>45700</v>
      </c>
      <c r="B101" s="9" t="s">
        <v>11</v>
      </c>
      <c r="C101" s="6">
        <v>372</v>
      </c>
      <c r="D101" s="4"/>
      <c r="E101" s="6">
        <f>E100+C101-D101</f>
      </c>
    </row>
    <row x14ac:dyDescent="0.25" r="102" customHeight="1" ht="17.25">
      <c r="A102" s="8">
        <v>45701</v>
      </c>
      <c r="B102" s="9" t="s">
        <v>34</v>
      </c>
      <c r="C102" s="4"/>
      <c r="D102" s="6">
        <v>500</v>
      </c>
      <c r="E102" s="6">
        <f>E101+C102-D102</f>
      </c>
    </row>
    <row x14ac:dyDescent="0.25" r="103" customHeight="1" ht="17.25">
      <c r="A103" s="8">
        <v>45701</v>
      </c>
      <c r="B103" s="9" t="s">
        <v>542</v>
      </c>
      <c r="C103" s="6">
        <v>120</v>
      </c>
      <c r="D103" s="4"/>
      <c r="E103" s="6">
        <f>E102+C103-D103</f>
      </c>
    </row>
    <row x14ac:dyDescent="0.25" r="104" customHeight="1" ht="17.25">
      <c r="A104" s="7">
        <v>45701</v>
      </c>
      <c r="B104" s="9" t="s">
        <v>189</v>
      </c>
      <c r="C104" s="6">
        <v>40</v>
      </c>
      <c r="D104" s="4"/>
      <c r="E104" s="6">
        <f>E103+C104-D104</f>
      </c>
    </row>
    <row x14ac:dyDescent="0.25" r="105" customHeight="1" ht="17.25">
      <c r="A105" s="8">
        <v>45701</v>
      </c>
      <c r="B105" s="9" t="s">
        <v>11</v>
      </c>
      <c r="C105" s="6">
        <v>275</v>
      </c>
      <c r="D105" s="4"/>
      <c r="E105" s="6">
        <f>E104+C105-D105</f>
      </c>
    </row>
    <row x14ac:dyDescent="0.25" r="106" customHeight="1" ht="17.25">
      <c r="A106" s="7">
        <v>45701</v>
      </c>
      <c r="B106" s="9" t="s">
        <v>338</v>
      </c>
      <c r="C106" s="6">
        <v>55</v>
      </c>
      <c r="D106" s="4"/>
      <c r="E106" s="6">
        <f>E105+C106-D106</f>
      </c>
    </row>
    <row x14ac:dyDescent="0.25" r="107" customHeight="1" ht="17.25">
      <c r="A107" s="7">
        <v>45702</v>
      </c>
      <c r="B107" s="9" t="s">
        <v>3</v>
      </c>
      <c r="C107" s="4"/>
      <c r="D107" s="6">
        <v>40</v>
      </c>
      <c r="E107" s="6">
        <f>E106+C107-D107</f>
      </c>
    </row>
    <row x14ac:dyDescent="0.25" r="108" customHeight="1" ht="17.25">
      <c r="A108" s="7">
        <v>45702</v>
      </c>
      <c r="B108" s="9" t="s">
        <v>445</v>
      </c>
      <c r="C108" s="6">
        <v>30</v>
      </c>
      <c r="D108" s="4"/>
      <c r="E108" s="6">
        <f>E107+C108-D108</f>
      </c>
    </row>
    <row x14ac:dyDescent="0.25" r="109" customHeight="1" ht="17.25">
      <c r="A109" s="8">
        <v>45702</v>
      </c>
      <c r="B109" s="9" t="s">
        <v>39</v>
      </c>
      <c r="C109" s="6">
        <v>100</v>
      </c>
      <c r="D109" s="4"/>
      <c r="E109" s="6">
        <f>E108+C109-D109</f>
      </c>
    </row>
    <row x14ac:dyDescent="0.25" r="110" customHeight="1" ht="17.25">
      <c r="A110" s="8">
        <v>45702</v>
      </c>
      <c r="B110" s="9" t="s">
        <v>189</v>
      </c>
      <c r="C110" s="6">
        <v>71</v>
      </c>
      <c r="D110" s="4"/>
      <c r="E110" s="6">
        <f>E109+C110-D110</f>
      </c>
    </row>
    <row x14ac:dyDescent="0.25" r="111" customHeight="1" ht="17.25">
      <c r="A111" s="7">
        <v>45703</v>
      </c>
      <c r="B111" s="9" t="s">
        <v>376</v>
      </c>
      <c r="C111" s="6">
        <v>2</v>
      </c>
      <c r="D111" s="4"/>
      <c r="E111" s="6">
        <f>E110+C111-D111</f>
      </c>
    </row>
    <row x14ac:dyDescent="0.25" r="112" customHeight="1" ht="17.25">
      <c r="A112" s="8">
        <v>45703</v>
      </c>
      <c r="B112" s="9" t="s">
        <v>414</v>
      </c>
      <c r="C112" s="6">
        <v>12</v>
      </c>
      <c r="D112" s="4"/>
      <c r="E112" s="6">
        <f>E111+C112-D112</f>
      </c>
    </row>
    <row x14ac:dyDescent="0.25" r="113" customHeight="1" ht="17.25">
      <c r="A113" s="7">
        <v>45703</v>
      </c>
      <c r="B113" s="9" t="s">
        <v>382</v>
      </c>
      <c r="C113" s="6">
        <v>465</v>
      </c>
      <c r="D113" s="4"/>
      <c r="E113" s="6">
        <f>E112+C113-D113</f>
      </c>
    </row>
    <row x14ac:dyDescent="0.25" r="114" customHeight="1" ht="17.25">
      <c r="A114" s="7">
        <v>45703</v>
      </c>
      <c r="B114" s="9" t="s">
        <v>31</v>
      </c>
      <c r="C114" s="6">
        <v>66</v>
      </c>
      <c r="D114" s="4"/>
      <c r="E114" s="6">
        <f>E113+C114-D114</f>
      </c>
    </row>
    <row x14ac:dyDescent="0.25" r="115" customHeight="1" ht="17.25">
      <c r="A115" s="8">
        <v>45705</v>
      </c>
      <c r="B115" s="9" t="s">
        <v>437</v>
      </c>
      <c r="C115" s="4"/>
      <c r="D115" s="6">
        <v>32</v>
      </c>
      <c r="E115" s="6">
        <f>E114+C115-D115</f>
      </c>
    </row>
    <row x14ac:dyDescent="0.25" r="116" customHeight="1" ht="17.25">
      <c r="A116" s="8">
        <v>45705</v>
      </c>
      <c r="B116" s="9" t="s">
        <v>177</v>
      </c>
      <c r="C116" s="6">
        <v>12</v>
      </c>
      <c r="D116" s="4"/>
      <c r="E116" s="6">
        <f>E115+C116-D116</f>
      </c>
    </row>
    <row x14ac:dyDescent="0.25" r="117" customHeight="1" ht="17.25">
      <c r="A117" s="7">
        <v>45705</v>
      </c>
      <c r="B117" s="9" t="s">
        <v>189</v>
      </c>
      <c r="C117" s="6">
        <v>160</v>
      </c>
      <c r="D117" s="4"/>
      <c r="E117" s="6">
        <f>E116+C117-D117</f>
      </c>
    </row>
    <row x14ac:dyDescent="0.25" r="118" customHeight="1" ht="17.25">
      <c r="A118" s="8">
        <v>45705</v>
      </c>
      <c r="B118" s="9" t="s">
        <v>131</v>
      </c>
      <c r="C118" s="6">
        <v>337</v>
      </c>
      <c r="D118" s="4"/>
      <c r="E118" s="6">
        <f>E117+C118-D118</f>
      </c>
    </row>
    <row x14ac:dyDescent="0.25" r="119" customHeight="1" ht="17.25">
      <c r="A119" s="7">
        <v>45705</v>
      </c>
      <c r="B119" s="9" t="s">
        <v>543</v>
      </c>
      <c r="C119" s="6">
        <v>250</v>
      </c>
      <c r="D119" s="4"/>
      <c r="E119" s="6">
        <f>E118+C119-D119</f>
      </c>
    </row>
    <row x14ac:dyDescent="0.25" r="120" customHeight="1" ht="17.25">
      <c r="A120" s="7">
        <v>45705</v>
      </c>
      <c r="B120" s="9" t="s">
        <v>128</v>
      </c>
      <c r="C120" s="6">
        <v>91</v>
      </c>
      <c r="D120" s="4"/>
      <c r="E120" s="6">
        <f>E119+C120-D120</f>
      </c>
    </row>
    <row x14ac:dyDescent="0.25" r="121" customHeight="1" ht="17.25">
      <c r="A121" s="8">
        <v>45706</v>
      </c>
      <c r="B121" s="9" t="s">
        <v>189</v>
      </c>
      <c r="C121" s="6">
        <v>331</v>
      </c>
      <c r="D121" s="4"/>
      <c r="E121" s="6">
        <f>E120+C121-D121</f>
      </c>
    </row>
    <row x14ac:dyDescent="0.25" r="122" customHeight="1" ht="17.25">
      <c r="A122" s="7">
        <v>45706</v>
      </c>
      <c r="B122" s="9" t="s">
        <v>375</v>
      </c>
      <c r="C122" s="6">
        <v>95</v>
      </c>
      <c r="D122" s="4"/>
      <c r="E122" s="6">
        <f>E121+C122-D122</f>
      </c>
    </row>
    <row x14ac:dyDescent="0.25" r="123" customHeight="1" ht="17.25">
      <c r="A123" s="7">
        <v>45707</v>
      </c>
      <c r="B123" s="9" t="s">
        <v>227</v>
      </c>
      <c r="C123" s="4"/>
      <c r="D123" s="6">
        <v>200</v>
      </c>
      <c r="E123" s="6">
        <f>E122+C123-D123</f>
      </c>
    </row>
    <row x14ac:dyDescent="0.25" r="124" customHeight="1" ht="17.25">
      <c r="A124" s="7">
        <v>45707</v>
      </c>
      <c r="B124" s="9" t="s">
        <v>544</v>
      </c>
      <c r="C124" s="6">
        <v>8</v>
      </c>
      <c r="D124" s="4"/>
      <c r="E124" s="6">
        <f>E123+C124-D124</f>
      </c>
    </row>
    <row x14ac:dyDescent="0.25" r="125" customHeight="1" ht="17.25">
      <c r="A125" s="7">
        <v>45708</v>
      </c>
      <c r="B125" s="9" t="s">
        <v>437</v>
      </c>
      <c r="C125" s="4"/>
      <c r="D125" s="6">
        <v>20</v>
      </c>
      <c r="E125" s="6">
        <f>E124+C125-D125</f>
      </c>
    </row>
    <row x14ac:dyDescent="0.25" r="126" customHeight="1" ht="17.25">
      <c r="A126" s="7">
        <v>45708</v>
      </c>
      <c r="B126" s="9" t="s">
        <v>272</v>
      </c>
      <c r="C126" s="4"/>
      <c r="D126" s="6">
        <v>200</v>
      </c>
      <c r="E126" s="6">
        <f>E125+C126-D126</f>
      </c>
    </row>
    <row x14ac:dyDescent="0.25" r="127" customHeight="1" ht="17.25">
      <c r="A127" s="8">
        <v>45708</v>
      </c>
      <c r="B127" s="9" t="s">
        <v>485</v>
      </c>
      <c r="C127" s="4"/>
      <c r="D127" s="6">
        <v>50</v>
      </c>
      <c r="E127" s="6">
        <f>E126+C127-D127</f>
      </c>
    </row>
    <row x14ac:dyDescent="0.25" r="128" customHeight="1" ht="17.25">
      <c r="A128" s="8">
        <v>45708</v>
      </c>
      <c r="B128" s="9" t="s">
        <v>485</v>
      </c>
      <c r="C128" s="4"/>
      <c r="D128" s="6">
        <v>200</v>
      </c>
      <c r="E128" s="6">
        <f>E127+C128-D128</f>
      </c>
    </row>
    <row x14ac:dyDescent="0.25" r="129" customHeight="1" ht="17.25">
      <c r="A129" s="7">
        <v>45708</v>
      </c>
      <c r="B129" s="9" t="s">
        <v>433</v>
      </c>
      <c r="C129" s="6">
        <v>20</v>
      </c>
      <c r="D129" s="4"/>
      <c r="E129" s="6">
        <f>E128+C129-D129</f>
      </c>
    </row>
    <row x14ac:dyDescent="0.25" r="130" customHeight="1" ht="17.25">
      <c r="A130" s="7">
        <v>45708</v>
      </c>
      <c r="B130" s="9" t="s">
        <v>338</v>
      </c>
      <c r="C130" s="6">
        <v>48</v>
      </c>
      <c r="D130" s="4"/>
      <c r="E130" s="6">
        <f>E129+C130-D130</f>
      </c>
    </row>
    <row x14ac:dyDescent="0.25" r="131" customHeight="1" ht="17.25">
      <c r="A131" s="7">
        <v>45708</v>
      </c>
      <c r="B131" s="9" t="s">
        <v>376</v>
      </c>
      <c r="C131" s="6">
        <v>149</v>
      </c>
      <c r="D131" s="4"/>
      <c r="E131" s="6">
        <f>E130+C131-D131</f>
      </c>
    </row>
    <row x14ac:dyDescent="0.25" r="132" customHeight="1" ht="17.25">
      <c r="A132" s="7">
        <v>45708</v>
      </c>
      <c r="B132" s="9" t="s">
        <v>189</v>
      </c>
      <c r="C132" s="6">
        <v>183</v>
      </c>
      <c r="D132" s="4"/>
      <c r="E132" s="6">
        <f>E131+C132-D132</f>
      </c>
    </row>
    <row x14ac:dyDescent="0.25" r="133" customHeight="1" ht="17.25">
      <c r="A133" s="8">
        <v>45709</v>
      </c>
      <c r="B133" s="9" t="s">
        <v>452</v>
      </c>
      <c r="C133" s="4"/>
      <c r="D133" s="6">
        <v>100</v>
      </c>
      <c r="E133" s="6">
        <f>E132+C133-D133</f>
      </c>
    </row>
    <row x14ac:dyDescent="0.25" r="134" customHeight="1" ht="17.25">
      <c r="A134" s="8">
        <v>45709</v>
      </c>
      <c r="B134" s="9" t="s">
        <v>39</v>
      </c>
      <c r="C134" s="6">
        <v>146</v>
      </c>
      <c r="D134" s="4"/>
      <c r="E134" s="6">
        <f>E133+C134-D134</f>
      </c>
    </row>
    <row x14ac:dyDescent="0.25" r="135" customHeight="1" ht="17.25">
      <c r="A135" s="8">
        <v>45709</v>
      </c>
      <c r="B135" s="9" t="s">
        <v>131</v>
      </c>
      <c r="C135" s="6">
        <v>93</v>
      </c>
      <c r="D135" s="4"/>
      <c r="E135" s="6">
        <f>E134+C135-D135</f>
      </c>
    </row>
    <row x14ac:dyDescent="0.25" r="136" customHeight="1" ht="17.25">
      <c r="A136" s="8">
        <v>45709</v>
      </c>
      <c r="B136" s="9" t="s">
        <v>189</v>
      </c>
      <c r="C136" s="6">
        <v>701</v>
      </c>
      <c r="D136" s="4"/>
      <c r="E136" s="6">
        <f>E135+C136-D136</f>
      </c>
    </row>
    <row x14ac:dyDescent="0.25" r="137" customHeight="1" ht="17.25">
      <c r="A137" s="7">
        <v>45712</v>
      </c>
      <c r="B137" s="9" t="s">
        <v>4</v>
      </c>
      <c r="C137" s="4"/>
      <c r="D137" s="6">
        <v>114</v>
      </c>
      <c r="E137" s="6">
        <f>E136+C137-D137</f>
      </c>
    </row>
    <row x14ac:dyDescent="0.25" r="138" customHeight="1" ht="17.25">
      <c r="A138" s="7">
        <v>45712</v>
      </c>
      <c r="B138" s="9" t="s">
        <v>35</v>
      </c>
      <c r="C138" s="6">
        <v>2</v>
      </c>
      <c r="D138" s="4"/>
      <c r="E138" s="6">
        <f>E137+C138-D138</f>
      </c>
    </row>
    <row x14ac:dyDescent="0.25" r="139" customHeight="1" ht="17.25">
      <c r="A139" s="8">
        <v>45712</v>
      </c>
      <c r="B139" s="9" t="s">
        <v>413</v>
      </c>
      <c r="C139" s="6">
        <v>17</v>
      </c>
      <c r="D139" s="4"/>
      <c r="E139" s="6">
        <f>E138+C139-D139</f>
      </c>
    </row>
    <row x14ac:dyDescent="0.25" r="140" customHeight="1" ht="17.25">
      <c r="A140" s="8">
        <v>45712</v>
      </c>
      <c r="B140" s="9" t="s">
        <v>257</v>
      </c>
      <c r="C140" s="6">
        <v>21</v>
      </c>
      <c r="D140" s="4"/>
      <c r="E140" s="6">
        <f>E139+C140-D140</f>
      </c>
    </row>
    <row x14ac:dyDescent="0.25" r="141" customHeight="1" ht="17.25">
      <c r="A141" s="8">
        <v>45712</v>
      </c>
      <c r="B141" s="9" t="s">
        <v>270</v>
      </c>
      <c r="C141" s="6">
        <v>256</v>
      </c>
      <c r="D141" s="4"/>
      <c r="E141" s="6">
        <f>E140+C141-D141</f>
      </c>
    </row>
    <row x14ac:dyDescent="0.25" r="142" customHeight="1" ht="17.25">
      <c r="A142" s="8">
        <v>45712</v>
      </c>
      <c r="B142" s="9" t="s">
        <v>255</v>
      </c>
      <c r="C142" s="6">
        <v>5</v>
      </c>
      <c r="D142" s="4"/>
      <c r="E142" s="6">
        <f>E141+C142-D142</f>
      </c>
    </row>
    <row x14ac:dyDescent="0.25" r="143" customHeight="1" ht="17.25">
      <c r="A143" s="8">
        <v>45712</v>
      </c>
      <c r="B143" s="9" t="s">
        <v>189</v>
      </c>
      <c r="C143" s="6">
        <v>290</v>
      </c>
      <c r="D143" s="4"/>
      <c r="E143" s="6">
        <f>E142+C143-D143</f>
      </c>
    </row>
    <row x14ac:dyDescent="0.25" r="144" customHeight="1" ht="17.25">
      <c r="A144" s="8">
        <v>45712</v>
      </c>
      <c r="B144" s="9" t="s">
        <v>274</v>
      </c>
      <c r="C144" s="6">
        <v>24</v>
      </c>
      <c r="D144" s="4"/>
      <c r="E144" s="6">
        <f>E143+C144-D144</f>
      </c>
    </row>
    <row x14ac:dyDescent="0.25" r="145" customHeight="1" ht="17.25">
      <c r="A145" s="7">
        <v>45713</v>
      </c>
      <c r="B145" s="9" t="s">
        <v>28</v>
      </c>
      <c r="C145" s="4"/>
      <c r="D145" s="6">
        <v>46</v>
      </c>
      <c r="E145" s="6">
        <f>E144+C145-D145</f>
      </c>
    </row>
    <row x14ac:dyDescent="0.25" r="146" customHeight="1" ht="17.25">
      <c r="A146" s="8">
        <v>45713</v>
      </c>
      <c r="B146" s="9" t="s">
        <v>131</v>
      </c>
      <c r="C146" s="6">
        <v>117</v>
      </c>
      <c r="D146" s="4"/>
      <c r="E146" s="6">
        <f>E145+C146-D146</f>
      </c>
    </row>
    <row x14ac:dyDescent="0.25" r="147" customHeight="1" ht="17.25">
      <c r="A147" s="7">
        <v>45713</v>
      </c>
      <c r="B147" s="9" t="s">
        <v>544</v>
      </c>
      <c r="C147" s="6">
        <v>94</v>
      </c>
      <c r="D147" s="4"/>
      <c r="E147" s="6">
        <f>E146+C147-D147</f>
      </c>
    </row>
    <row x14ac:dyDescent="0.25" r="148" customHeight="1" ht="17.25">
      <c r="A148" s="7">
        <v>45713</v>
      </c>
      <c r="B148" s="9" t="s">
        <v>382</v>
      </c>
      <c r="C148" s="6">
        <v>196</v>
      </c>
      <c r="D148" s="4"/>
      <c r="E148" s="6">
        <f>E147+C148-D148</f>
      </c>
    </row>
    <row x14ac:dyDescent="0.25" r="149" customHeight="1" ht="17.25">
      <c r="A149" s="8">
        <v>45713</v>
      </c>
      <c r="B149" s="9" t="s">
        <v>118</v>
      </c>
      <c r="C149" s="6">
        <v>177</v>
      </c>
      <c r="D149" s="4"/>
      <c r="E149" s="6">
        <f>E148+C149-D149</f>
      </c>
    </row>
    <row x14ac:dyDescent="0.25" r="150" customHeight="1" ht="17.25">
      <c r="A150" s="7">
        <v>45714</v>
      </c>
      <c r="B150" s="9" t="s">
        <v>3</v>
      </c>
      <c r="C150" s="4"/>
      <c r="D150" s="6">
        <v>500</v>
      </c>
      <c r="E150" s="6">
        <f>E149+C150-D150</f>
      </c>
    </row>
    <row x14ac:dyDescent="0.25" r="151" customHeight="1" ht="17.25">
      <c r="A151" s="8">
        <v>45714</v>
      </c>
      <c r="B151" s="9" t="s">
        <v>39</v>
      </c>
      <c r="C151" s="6">
        <v>300</v>
      </c>
      <c r="D151" s="4"/>
      <c r="E151" s="6">
        <f>E150+C151-D151</f>
      </c>
    </row>
    <row x14ac:dyDescent="0.25" r="152" customHeight="1" ht="17.25">
      <c r="A152" s="7">
        <v>45715</v>
      </c>
      <c r="B152" s="9" t="s">
        <v>291</v>
      </c>
      <c r="C152" s="4"/>
      <c r="D152" s="6">
        <v>570</v>
      </c>
      <c r="E152" s="6">
        <f>E151+C152-D152</f>
      </c>
    </row>
    <row x14ac:dyDescent="0.25" r="153" customHeight="1" ht="17.25">
      <c r="A153" s="7">
        <v>45715</v>
      </c>
      <c r="B153" s="9" t="s">
        <v>3</v>
      </c>
      <c r="C153" s="4"/>
      <c r="D153" s="6">
        <v>200</v>
      </c>
      <c r="E153" s="6">
        <f>E152+C153-D153</f>
      </c>
    </row>
    <row x14ac:dyDescent="0.25" r="154" customHeight="1" ht="17.25">
      <c r="A154" s="7">
        <v>45715</v>
      </c>
      <c r="B154" s="9" t="s">
        <v>266</v>
      </c>
      <c r="C154" s="4"/>
      <c r="D154" s="6">
        <v>80</v>
      </c>
      <c r="E154" s="6">
        <f>E153+C154-D154</f>
      </c>
    </row>
    <row x14ac:dyDescent="0.25" r="155" customHeight="1" ht="17.25">
      <c r="A155" s="8">
        <v>45715</v>
      </c>
      <c r="B155" s="9" t="s">
        <v>440</v>
      </c>
      <c r="C155" s="4"/>
      <c r="D155" s="6">
        <v>28</v>
      </c>
      <c r="E155" s="6">
        <f>E154+C155-D155</f>
      </c>
    </row>
    <row x14ac:dyDescent="0.25" r="156" customHeight="1" ht="17.25">
      <c r="A156" s="7">
        <v>45715</v>
      </c>
      <c r="B156" s="9" t="s">
        <v>240</v>
      </c>
      <c r="C156" s="6">
        <v>28</v>
      </c>
      <c r="D156" s="4"/>
      <c r="E156" s="6">
        <f>E155+C156-D156</f>
      </c>
    </row>
    <row x14ac:dyDescent="0.25" r="157" customHeight="1" ht="17.25">
      <c r="A157" s="7">
        <v>45715</v>
      </c>
      <c r="B157" s="9" t="s">
        <v>538</v>
      </c>
      <c r="C157" s="6">
        <v>325</v>
      </c>
      <c r="D157" s="4"/>
      <c r="E157" s="6">
        <f>E156+C157-D157</f>
      </c>
    </row>
    <row x14ac:dyDescent="0.25" r="158" customHeight="1" ht="17.25">
      <c r="A158" s="7">
        <v>45716</v>
      </c>
      <c r="B158" s="9" t="s">
        <v>179</v>
      </c>
      <c r="C158" s="4"/>
      <c r="D158" s="6">
        <v>80</v>
      </c>
      <c r="E158" s="6">
        <f>E157+C158-D158</f>
      </c>
    </row>
    <row x14ac:dyDescent="0.25" r="159" customHeight="1" ht="17.25">
      <c r="A159" s="7">
        <v>45716</v>
      </c>
      <c r="B159" s="9" t="s">
        <v>540</v>
      </c>
      <c r="C159" s="4"/>
      <c r="D159" s="6">
        <v>80</v>
      </c>
      <c r="E159" s="6">
        <f>E158+C159-D159</f>
      </c>
    </row>
    <row x14ac:dyDescent="0.25" r="160" customHeight="1" ht="17.25">
      <c r="A160" s="7">
        <v>45716</v>
      </c>
      <c r="B160" s="9" t="s">
        <v>545</v>
      </c>
      <c r="C160" s="4"/>
      <c r="D160" s="6">
        <v>100</v>
      </c>
      <c r="E160" s="6">
        <f>E159+C160-D160</f>
      </c>
    </row>
    <row x14ac:dyDescent="0.25" r="161" customHeight="1" ht="17.25">
      <c r="A161" s="8">
        <v>45716</v>
      </c>
      <c r="B161" s="9" t="s">
        <v>487</v>
      </c>
      <c r="C161" s="4"/>
      <c r="D161" s="6">
        <v>200</v>
      </c>
      <c r="E161" s="6">
        <f>E160+C161-D161</f>
      </c>
    </row>
    <row x14ac:dyDescent="0.25" r="162" customHeight="1" ht="17.25">
      <c r="A162" s="8">
        <v>45717</v>
      </c>
      <c r="B162" s="9" t="s">
        <v>546</v>
      </c>
      <c r="C162" s="4"/>
      <c r="D162" s="4"/>
      <c r="E162" s="6">
        <f>E161+C162-D162</f>
      </c>
    </row>
    <row x14ac:dyDescent="0.25" r="163" customHeight="1" ht="17.25">
      <c r="A163" s="8">
        <v>45717</v>
      </c>
      <c r="B163" s="9" t="s">
        <v>189</v>
      </c>
      <c r="C163" s="6">
        <v>78</v>
      </c>
      <c r="D163" s="4"/>
      <c r="E163" s="6">
        <f>E162+C163-D163</f>
      </c>
    </row>
    <row x14ac:dyDescent="0.25" r="164" customHeight="1" ht="17.25">
      <c r="A164" s="7">
        <v>45719</v>
      </c>
      <c r="B164" s="9" t="s">
        <v>3</v>
      </c>
      <c r="C164" s="4"/>
      <c r="D164" s="6">
        <v>200</v>
      </c>
      <c r="E164" s="6">
        <f>E163+C164-D164</f>
      </c>
    </row>
    <row x14ac:dyDescent="0.25" r="165" customHeight="1" ht="17.25">
      <c r="A165" s="8">
        <v>45719</v>
      </c>
      <c r="B165" s="9" t="s">
        <v>141</v>
      </c>
      <c r="C165" s="4"/>
      <c r="D165" s="6">
        <v>300</v>
      </c>
      <c r="E165" s="6">
        <f>E164+C165-D165</f>
      </c>
    </row>
    <row x14ac:dyDescent="0.25" r="166" customHeight="1" ht="17.25">
      <c r="A166" s="8">
        <v>45719</v>
      </c>
      <c r="B166" s="9" t="s">
        <v>118</v>
      </c>
      <c r="C166" s="6">
        <v>128</v>
      </c>
      <c r="D166" s="4"/>
      <c r="E166" s="6">
        <f>E165+C166-D166</f>
      </c>
    </row>
    <row x14ac:dyDescent="0.25" r="167" customHeight="1" ht="17.25">
      <c r="A167" s="8">
        <v>45720</v>
      </c>
      <c r="B167" s="9" t="s">
        <v>387</v>
      </c>
      <c r="C167" s="4"/>
      <c r="D167" s="6">
        <v>500</v>
      </c>
      <c r="E167" s="6">
        <f>E166+C167-D167</f>
      </c>
    </row>
    <row x14ac:dyDescent="0.25" r="168" customHeight="1" ht="17.25">
      <c r="A168" s="7">
        <v>45720</v>
      </c>
      <c r="B168" s="9" t="s">
        <v>412</v>
      </c>
      <c r="C168" s="4"/>
      <c r="D168" s="6">
        <v>50</v>
      </c>
      <c r="E168" s="6">
        <f>E167+C168-D168</f>
      </c>
    </row>
    <row x14ac:dyDescent="0.25" r="169" customHeight="1" ht="17.25">
      <c r="A169" s="7">
        <v>45720</v>
      </c>
      <c r="B169" s="9" t="s">
        <v>3</v>
      </c>
      <c r="C169" s="4"/>
      <c r="D169" s="6">
        <v>500</v>
      </c>
      <c r="E169" s="6">
        <f>E168+C169-D169</f>
      </c>
    </row>
    <row x14ac:dyDescent="0.25" r="170" customHeight="1" ht="17.25">
      <c r="A170" s="8">
        <v>45720</v>
      </c>
      <c r="B170" s="9" t="s">
        <v>440</v>
      </c>
      <c r="C170" s="6">
        <v>28</v>
      </c>
      <c r="D170" s="4"/>
      <c r="E170" s="6">
        <f>E169+C170-D170</f>
      </c>
    </row>
    <row x14ac:dyDescent="0.25" r="171" customHeight="1" ht="17.25">
      <c r="A171" s="8">
        <v>45721</v>
      </c>
      <c r="B171" s="9" t="s">
        <v>39</v>
      </c>
      <c r="C171" s="6">
        <v>570</v>
      </c>
      <c r="D171" s="4"/>
      <c r="E171" s="6">
        <f>E170+C171-D171</f>
      </c>
    </row>
    <row x14ac:dyDescent="0.25" r="172" customHeight="1" ht="17.25">
      <c r="A172" s="8">
        <v>45721</v>
      </c>
      <c r="B172" s="9" t="s">
        <v>437</v>
      </c>
      <c r="C172" s="6">
        <v>52</v>
      </c>
      <c r="D172" s="4"/>
      <c r="E172" s="6">
        <f>E171+C172-D172</f>
      </c>
    </row>
    <row x14ac:dyDescent="0.25" r="173" customHeight="1" ht="17.25">
      <c r="A173" s="7">
        <v>45721</v>
      </c>
      <c r="B173" s="9" t="s">
        <v>543</v>
      </c>
      <c r="C173" s="6">
        <v>10</v>
      </c>
      <c r="D173" s="4"/>
      <c r="E173" s="6">
        <f>E172+C173-D173</f>
      </c>
    </row>
    <row x14ac:dyDescent="0.25" r="174" customHeight="1" ht="17.25">
      <c r="A174" s="7">
        <v>45721</v>
      </c>
      <c r="B174" s="9" t="s">
        <v>375</v>
      </c>
      <c r="C174" s="6">
        <v>64</v>
      </c>
      <c r="D174" s="4"/>
      <c r="E174" s="6">
        <f>E173+C174-D174</f>
      </c>
    </row>
    <row x14ac:dyDescent="0.25" r="175" customHeight="1" ht="17.25">
      <c r="A175" s="7">
        <v>45721</v>
      </c>
      <c r="B175" s="9" t="s">
        <v>387</v>
      </c>
      <c r="C175" s="4"/>
      <c r="D175" s="6">
        <v>437</v>
      </c>
      <c r="E175" s="6">
        <f>E174+C175-D175</f>
      </c>
    </row>
    <row x14ac:dyDescent="0.25" r="176" customHeight="1" ht="17.25">
      <c r="A176" s="7">
        <v>45722</v>
      </c>
      <c r="B176" s="9" t="s">
        <v>489</v>
      </c>
      <c r="C176" s="6">
        <v>270</v>
      </c>
      <c r="D176" s="4"/>
      <c r="E176" s="6">
        <f>E175+C176-D176</f>
      </c>
    </row>
    <row x14ac:dyDescent="0.25" r="177" customHeight="1" ht="17.25">
      <c r="A177" s="8">
        <v>45722</v>
      </c>
      <c r="B177" s="9" t="s">
        <v>275</v>
      </c>
      <c r="C177" s="6">
        <v>92</v>
      </c>
      <c r="D177" s="4"/>
      <c r="E177" s="6">
        <f>E176+C177-D177</f>
      </c>
    </row>
    <row x14ac:dyDescent="0.25" r="178" customHeight="1" ht="17.25">
      <c r="A178" s="7">
        <v>45723</v>
      </c>
      <c r="B178" s="9" t="s">
        <v>412</v>
      </c>
      <c r="C178" s="4"/>
      <c r="D178" s="6">
        <v>198</v>
      </c>
      <c r="E178" s="6">
        <f>E177+C178-D178</f>
      </c>
    </row>
    <row x14ac:dyDescent="0.25" r="179" customHeight="1" ht="17.25">
      <c r="A179" s="8">
        <v>45723</v>
      </c>
      <c r="B179" s="9" t="s">
        <v>257</v>
      </c>
      <c r="C179" s="6">
        <v>139</v>
      </c>
      <c r="D179" s="4"/>
      <c r="E179" s="6">
        <f>E178+C179-D179</f>
      </c>
    </row>
    <row x14ac:dyDescent="0.25" r="180" customHeight="1" ht="17.25">
      <c r="A180" s="8">
        <v>45724</v>
      </c>
      <c r="B180" s="9" t="s">
        <v>141</v>
      </c>
      <c r="C180" s="4"/>
      <c r="D180" s="6">
        <v>190</v>
      </c>
      <c r="E180" s="6">
        <f>E179+C180-D180</f>
      </c>
    </row>
    <row x14ac:dyDescent="0.25" r="181" customHeight="1" ht="17.25">
      <c r="A181" s="7">
        <v>45724</v>
      </c>
      <c r="B181" s="9" t="s">
        <v>3</v>
      </c>
      <c r="C181" s="4"/>
      <c r="D181" s="6">
        <v>400</v>
      </c>
      <c r="E181" s="6">
        <f>E180+C181-D181</f>
      </c>
    </row>
    <row x14ac:dyDescent="0.25" r="182" customHeight="1" ht="17.25">
      <c r="A182" s="8">
        <v>45724</v>
      </c>
      <c r="B182" s="9" t="s">
        <v>189</v>
      </c>
      <c r="C182" s="6">
        <v>48</v>
      </c>
      <c r="D182" s="4"/>
      <c r="E182" s="6">
        <f>E181+C182-D182</f>
      </c>
    </row>
    <row x14ac:dyDescent="0.25" r="183" customHeight="1" ht="17.25">
      <c r="A183" s="8">
        <v>45726</v>
      </c>
      <c r="B183" s="9" t="s">
        <v>141</v>
      </c>
      <c r="C183" s="4"/>
      <c r="D183" s="6">
        <v>310</v>
      </c>
      <c r="E183" s="6">
        <f>E182+C183-D183</f>
      </c>
    </row>
    <row x14ac:dyDescent="0.25" r="184" customHeight="1" ht="17.25">
      <c r="A184" s="7">
        <v>45726</v>
      </c>
      <c r="B184" s="9" t="s">
        <v>35</v>
      </c>
      <c r="C184" s="6">
        <v>316</v>
      </c>
      <c r="D184" s="4"/>
      <c r="E184" s="6">
        <f>E183+C184-D184</f>
      </c>
    </row>
    <row x14ac:dyDescent="0.25" r="185" customHeight="1" ht="17.25">
      <c r="A185" s="8">
        <v>45726</v>
      </c>
      <c r="B185" s="9" t="s">
        <v>189</v>
      </c>
      <c r="C185" s="6">
        <v>451</v>
      </c>
      <c r="D185" s="4"/>
      <c r="E185" s="6">
        <f>E184+C185-D185</f>
      </c>
    </row>
    <row x14ac:dyDescent="0.25" r="186" customHeight="1" ht="17.25">
      <c r="A186" s="7">
        <v>45726</v>
      </c>
      <c r="B186" s="9" t="s">
        <v>415</v>
      </c>
      <c r="C186" s="6">
        <v>54</v>
      </c>
      <c r="D186" s="4"/>
      <c r="E186" s="6">
        <f>E185+C186-D186</f>
      </c>
    </row>
    <row x14ac:dyDescent="0.25" r="187" customHeight="1" ht="17.25">
      <c r="A187" s="8">
        <v>45726</v>
      </c>
      <c r="B187" s="9" t="s">
        <v>375</v>
      </c>
      <c r="C187" s="6">
        <v>48</v>
      </c>
      <c r="D187" s="4"/>
      <c r="E187" s="6">
        <f>E186+C187-D187</f>
      </c>
    </row>
    <row x14ac:dyDescent="0.25" r="188" customHeight="1" ht="17.25">
      <c r="A188" s="7">
        <v>45726</v>
      </c>
      <c r="B188" s="9" t="s">
        <v>538</v>
      </c>
      <c r="C188" s="6">
        <v>120</v>
      </c>
      <c r="D188" s="4"/>
      <c r="E188" s="6">
        <f>E187+C188-D188</f>
      </c>
    </row>
    <row x14ac:dyDescent="0.25" r="189" customHeight="1" ht="17.25">
      <c r="A189" s="8">
        <v>45727</v>
      </c>
      <c r="B189" s="9" t="s">
        <v>412</v>
      </c>
      <c r="C189" s="4"/>
      <c r="D189" s="6">
        <v>198</v>
      </c>
      <c r="E189" s="6">
        <f>E188+C189-D189</f>
      </c>
    </row>
    <row x14ac:dyDescent="0.25" r="190" customHeight="1" ht="17.25">
      <c r="A190" s="7">
        <v>45727</v>
      </c>
      <c r="B190" s="9" t="s">
        <v>39</v>
      </c>
      <c r="C190" s="4"/>
      <c r="D190" s="6">
        <v>190</v>
      </c>
      <c r="E190" s="6">
        <f>E189+C190-D190</f>
      </c>
    </row>
    <row x14ac:dyDescent="0.25" r="191" customHeight="1" ht="17.25">
      <c r="A191" s="7">
        <v>45727</v>
      </c>
      <c r="B191" s="9" t="s">
        <v>189</v>
      </c>
      <c r="C191" s="6">
        <v>221</v>
      </c>
      <c r="D191" s="4"/>
      <c r="E191" s="6">
        <f>E190+C191-D191</f>
      </c>
    </row>
    <row x14ac:dyDescent="0.25" r="192" customHeight="1" ht="17.25">
      <c r="A192" s="8">
        <v>45728</v>
      </c>
      <c r="B192" s="9" t="s">
        <v>547</v>
      </c>
      <c r="C192" s="4"/>
      <c r="D192" s="6">
        <v>96</v>
      </c>
      <c r="E192" s="6">
        <f>E191+C192-D192</f>
      </c>
    </row>
    <row x14ac:dyDescent="0.25" r="193" customHeight="1" ht="17.25">
      <c r="A193" s="7">
        <v>45728</v>
      </c>
      <c r="B193" s="9" t="s">
        <v>3</v>
      </c>
      <c r="C193" s="4"/>
      <c r="D193" s="6">
        <v>200</v>
      </c>
      <c r="E193" s="6">
        <f>E192+C193-D193</f>
      </c>
    </row>
    <row x14ac:dyDescent="0.25" r="194" customHeight="1" ht="17.25">
      <c r="A194" s="8">
        <v>45728</v>
      </c>
      <c r="B194" s="9" t="s">
        <v>283</v>
      </c>
      <c r="C194" s="6">
        <v>350</v>
      </c>
      <c r="D194" s="4"/>
      <c r="E194" s="6">
        <f>E193+C194-D194</f>
      </c>
    </row>
    <row x14ac:dyDescent="0.25" r="195" customHeight="1" ht="17.25">
      <c r="A195" s="7">
        <v>45728</v>
      </c>
      <c r="B195" s="9" t="s">
        <v>132</v>
      </c>
      <c r="C195" s="6">
        <v>84</v>
      </c>
      <c r="D195" s="4"/>
      <c r="E195" s="6">
        <f>E194+C195-D195</f>
      </c>
    </row>
    <row x14ac:dyDescent="0.25" r="196" customHeight="1" ht="17.25">
      <c r="A196" s="8">
        <v>45729</v>
      </c>
      <c r="B196" s="9" t="s">
        <v>365</v>
      </c>
      <c r="C196" s="6">
        <v>20</v>
      </c>
      <c r="D196" s="4"/>
      <c r="E196" s="6">
        <f>E195+C196-D196</f>
      </c>
    </row>
    <row x14ac:dyDescent="0.25" r="197" customHeight="1" ht="17.25">
      <c r="A197" s="7">
        <v>45729</v>
      </c>
      <c r="B197" s="9" t="s">
        <v>140</v>
      </c>
      <c r="C197" s="6">
        <v>300</v>
      </c>
      <c r="D197" s="4"/>
      <c r="E197" s="6">
        <f>E196+C197-D197</f>
      </c>
    </row>
    <row x14ac:dyDescent="0.25" r="198" customHeight="1" ht="17.25">
      <c r="A198" s="7">
        <v>45729</v>
      </c>
      <c r="B198" s="9" t="s">
        <v>338</v>
      </c>
      <c r="C198" s="6">
        <v>171</v>
      </c>
      <c r="D198" s="4"/>
      <c r="E198" s="6">
        <f>E197+C198-D198</f>
      </c>
    </row>
    <row x14ac:dyDescent="0.25" r="199" customHeight="1" ht="17.25">
      <c r="A199" s="8">
        <v>45729</v>
      </c>
      <c r="B199" s="9" t="s">
        <v>119</v>
      </c>
      <c r="C199" s="6">
        <v>20</v>
      </c>
      <c r="D199" s="4"/>
      <c r="E199" s="6">
        <f>E198+C199-D199</f>
      </c>
    </row>
    <row x14ac:dyDescent="0.25" r="200" customHeight="1" ht="17.25">
      <c r="A200" s="8">
        <v>45729</v>
      </c>
      <c r="B200" s="9" t="s">
        <v>189</v>
      </c>
      <c r="C200" s="6">
        <v>90</v>
      </c>
      <c r="D200" s="4"/>
      <c r="E200" s="6">
        <f>E199+C200-D200</f>
      </c>
    </row>
    <row x14ac:dyDescent="0.25" r="201" customHeight="1" ht="17.25">
      <c r="A201" s="8">
        <v>45730</v>
      </c>
      <c r="B201" s="9" t="s">
        <v>435</v>
      </c>
      <c r="C201" s="6">
        <v>48</v>
      </c>
      <c r="D201" s="4"/>
      <c r="E201" s="6">
        <f>E200+C201-D201</f>
      </c>
    </row>
    <row x14ac:dyDescent="0.25" r="202" customHeight="1" ht="17.25">
      <c r="A202" s="7">
        <v>45731</v>
      </c>
      <c r="B202" s="9" t="s">
        <v>141</v>
      </c>
      <c r="C202" s="4"/>
      <c r="D202" s="6">
        <v>150</v>
      </c>
      <c r="E202" s="6">
        <f>E201+C202-D202</f>
      </c>
    </row>
    <row x14ac:dyDescent="0.25" r="203" customHeight="1" ht="17.25">
      <c r="A203" s="7">
        <v>45731</v>
      </c>
      <c r="B203" s="9" t="s">
        <v>189</v>
      </c>
      <c r="C203" s="6">
        <v>376</v>
      </c>
      <c r="D203" s="4"/>
      <c r="E203" s="6">
        <f>E202+C203-D203</f>
      </c>
    </row>
    <row x14ac:dyDescent="0.25" r="204" customHeight="1" ht="17.25">
      <c r="A204" s="7">
        <v>45733</v>
      </c>
      <c r="B204" s="9" t="s">
        <v>141</v>
      </c>
      <c r="C204" s="4"/>
      <c r="D204" s="6">
        <v>42</v>
      </c>
      <c r="E204" s="6">
        <f>E203+C204-D204</f>
      </c>
    </row>
    <row x14ac:dyDescent="0.25" r="205" customHeight="1" ht="17.25">
      <c r="A205" s="8">
        <v>45733</v>
      </c>
      <c r="B205" s="9" t="s">
        <v>234</v>
      </c>
      <c r="C205" s="4"/>
      <c r="D205" s="6">
        <v>150</v>
      </c>
      <c r="E205" s="6">
        <f>E204+C205-D205</f>
      </c>
    </row>
    <row x14ac:dyDescent="0.25" r="206" customHeight="1" ht="17.25">
      <c r="A206" s="7">
        <v>45733</v>
      </c>
      <c r="B206" s="9" t="s">
        <v>486</v>
      </c>
      <c r="C206" s="6">
        <v>660</v>
      </c>
      <c r="D206" s="4"/>
      <c r="E206" s="6">
        <f>E205+C206-D206</f>
      </c>
    </row>
    <row x14ac:dyDescent="0.25" r="207" customHeight="1" ht="17.25">
      <c r="A207" s="8">
        <v>45733</v>
      </c>
      <c r="B207" s="9" t="s">
        <v>384</v>
      </c>
      <c r="C207" s="6">
        <v>290</v>
      </c>
      <c r="D207" s="4"/>
      <c r="E207" s="6">
        <f>E206+C207-D207</f>
      </c>
    </row>
    <row x14ac:dyDescent="0.25" r="208" customHeight="1" ht="17.25">
      <c r="A208" s="8">
        <v>45734</v>
      </c>
      <c r="B208" s="9" t="s">
        <v>141</v>
      </c>
      <c r="C208" s="4"/>
      <c r="D208" s="6">
        <v>300</v>
      </c>
      <c r="E208" s="6">
        <f>E207+C208-D208</f>
      </c>
    </row>
    <row x14ac:dyDescent="0.25" r="209" customHeight="1" ht="17.25">
      <c r="A209" s="7">
        <v>45734</v>
      </c>
      <c r="B209" s="9" t="s">
        <v>28</v>
      </c>
      <c r="C209" s="4"/>
      <c r="D209" s="6">
        <v>152</v>
      </c>
      <c r="E209" s="6">
        <f>E208+C209-D209</f>
      </c>
    </row>
    <row x14ac:dyDescent="0.25" r="210" customHeight="1" ht="17.25">
      <c r="A210" s="8">
        <v>45734</v>
      </c>
      <c r="B210" s="9" t="s">
        <v>365</v>
      </c>
      <c r="C210" s="6">
        <v>59</v>
      </c>
      <c r="D210" s="4"/>
      <c r="E210" s="6">
        <f>E209+C210-D210</f>
      </c>
    </row>
    <row x14ac:dyDescent="0.25" r="211" customHeight="1" ht="17.25">
      <c r="A211" s="8">
        <v>45734</v>
      </c>
      <c r="B211" s="9" t="s">
        <v>382</v>
      </c>
      <c r="C211" s="6">
        <v>23</v>
      </c>
      <c r="D211" s="4"/>
      <c r="E211" s="6">
        <f>E210+C211-D211</f>
      </c>
    </row>
    <row x14ac:dyDescent="0.25" r="212" customHeight="1" ht="17.25">
      <c r="A212" s="8">
        <v>45734</v>
      </c>
      <c r="B212" s="9" t="s">
        <v>11</v>
      </c>
      <c r="C212" s="6">
        <v>307</v>
      </c>
      <c r="D212" s="4"/>
      <c r="E212" s="6">
        <f>E211+C212-D212</f>
      </c>
    </row>
    <row x14ac:dyDescent="0.25" r="213" customHeight="1" ht="17.25">
      <c r="A213" s="7">
        <v>45735</v>
      </c>
      <c r="B213" s="9" t="s">
        <v>520</v>
      </c>
      <c r="C213" s="4"/>
      <c r="D213" s="6">
        <v>12</v>
      </c>
      <c r="E213" s="6">
        <f>E212+C213-D213</f>
      </c>
    </row>
    <row x14ac:dyDescent="0.25" r="214" customHeight="1" ht="17.25">
      <c r="A214" s="8">
        <v>45735</v>
      </c>
      <c r="B214" s="9" t="s">
        <v>35</v>
      </c>
      <c r="C214" s="6">
        <v>14</v>
      </c>
      <c r="D214" s="4"/>
      <c r="E214" s="6">
        <f>E213+C214-D214</f>
      </c>
    </row>
    <row x14ac:dyDescent="0.25" r="215" customHeight="1" ht="17.25">
      <c r="A215" s="8">
        <v>45735</v>
      </c>
      <c r="B215" s="9" t="s">
        <v>541</v>
      </c>
      <c r="C215" s="6">
        <v>262</v>
      </c>
      <c r="D215" s="4"/>
      <c r="E215" s="6">
        <f>E214+C215-D215</f>
      </c>
    </row>
    <row x14ac:dyDescent="0.25" r="216" customHeight="1" ht="17.25">
      <c r="A216" s="8">
        <v>45735</v>
      </c>
      <c r="B216" s="9" t="s">
        <v>542</v>
      </c>
      <c r="C216" s="6">
        <v>270</v>
      </c>
      <c r="D216" s="4"/>
      <c r="E216" s="6">
        <f>E215+C216-D216</f>
      </c>
    </row>
    <row x14ac:dyDescent="0.25" r="217" customHeight="1" ht="17.25">
      <c r="A217" s="8">
        <v>45735</v>
      </c>
      <c r="B217" s="9" t="s">
        <v>257</v>
      </c>
      <c r="C217" s="6">
        <v>50</v>
      </c>
      <c r="D217" s="4"/>
      <c r="E217" s="6">
        <f>E216+C217-D217</f>
      </c>
    </row>
    <row x14ac:dyDescent="0.25" r="218" customHeight="1" ht="17.25">
      <c r="A218" s="8">
        <v>45735</v>
      </c>
      <c r="B218" s="9" t="s">
        <v>257</v>
      </c>
      <c r="C218" s="6">
        <v>95</v>
      </c>
      <c r="D218" s="4"/>
      <c r="E218" s="6">
        <f>E217+C218-D218</f>
      </c>
    </row>
    <row x14ac:dyDescent="0.25" r="219" customHeight="1" ht="17.25">
      <c r="A219" s="8">
        <v>45737</v>
      </c>
      <c r="B219" s="9" t="s">
        <v>189</v>
      </c>
      <c r="C219" s="6">
        <v>465</v>
      </c>
      <c r="D219" s="4"/>
      <c r="E219" s="6">
        <f>E218+C219-D219</f>
      </c>
    </row>
    <row x14ac:dyDescent="0.25" r="220" customHeight="1" ht="17.25">
      <c r="A220" s="7">
        <v>45737</v>
      </c>
      <c r="B220" s="9" t="s">
        <v>338</v>
      </c>
      <c r="C220" s="6">
        <v>152</v>
      </c>
      <c r="D220" s="4"/>
      <c r="E220" s="6">
        <f>E219+C220-D220</f>
      </c>
    </row>
    <row x14ac:dyDescent="0.25" r="221" customHeight="1" ht="17.25">
      <c r="A221" s="8">
        <v>45737</v>
      </c>
      <c r="B221" s="9" t="s">
        <v>484</v>
      </c>
      <c r="C221" s="6">
        <v>138</v>
      </c>
      <c r="D221" s="4"/>
      <c r="E221" s="6">
        <f>E220+C221-D221</f>
      </c>
    </row>
    <row x14ac:dyDescent="0.25" r="222" customHeight="1" ht="17.25">
      <c r="A222" s="7">
        <v>45737</v>
      </c>
      <c r="B222" s="9" t="s">
        <v>548</v>
      </c>
      <c r="C222" s="6">
        <v>2</v>
      </c>
      <c r="D222" s="4"/>
      <c r="E222" s="6">
        <f>E221+C222-D222</f>
      </c>
    </row>
    <row x14ac:dyDescent="0.25" r="223" customHeight="1" ht="17.25">
      <c r="A223" s="8">
        <v>45737</v>
      </c>
      <c r="B223" s="9" t="s">
        <v>414</v>
      </c>
      <c r="C223" s="6">
        <v>16</v>
      </c>
      <c r="D223" s="4"/>
      <c r="E223" s="6">
        <f>E222+C223-D223</f>
      </c>
    </row>
    <row x14ac:dyDescent="0.25" r="224" customHeight="1" ht="17.25">
      <c r="A224" s="8">
        <v>45737</v>
      </c>
      <c r="B224" s="9" t="s">
        <v>272</v>
      </c>
      <c r="C224" s="6">
        <v>53</v>
      </c>
      <c r="D224" s="4"/>
      <c r="E224" s="6">
        <f>E223+C224-D224</f>
      </c>
    </row>
    <row x14ac:dyDescent="0.25" r="225" customHeight="1" ht="17.25">
      <c r="A225" s="7">
        <v>45737</v>
      </c>
      <c r="B225" s="9" t="s">
        <v>198</v>
      </c>
      <c r="C225" s="6">
        <v>114</v>
      </c>
      <c r="D225" s="4"/>
      <c r="E225" s="6">
        <f>E224+C225-D225</f>
      </c>
    </row>
    <row x14ac:dyDescent="0.25" r="226" customHeight="1" ht="17.25">
      <c r="A226" s="8">
        <v>45737</v>
      </c>
      <c r="B226" s="9" t="s">
        <v>257</v>
      </c>
      <c r="C226" s="6">
        <v>73</v>
      </c>
      <c r="D226" s="4"/>
      <c r="E226" s="6">
        <f>E225+C226-D226</f>
      </c>
    </row>
    <row x14ac:dyDescent="0.25" r="227" customHeight="1" ht="17.25">
      <c r="A227" s="8">
        <v>45737</v>
      </c>
      <c r="B227" s="9" t="s">
        <v>258</v>
      </c>
      <c r="C227" s="6">
        <v>28</v>
      </c>
      <c r="D227" s="4"/>
      <c r="E227" s="6">
        <f>E226+C227-D227</f>
      </c>
    </row>
    <row x14ac:dyDescent="0.25" r="228" customHeight="1" ht="17.25">
      <c r="A228" s="8">
        <v>45738</v>
      </c>
      <c r="B228" s="9" t="s">
        <v>189</v>
      </c>
      <c r="C228" s="6">
        <v>42</v>
      </c>
      <c r="D228" s="4"/>
      <c r="E228" s="6">
        <f>E227+C228-D228</f>
      </c>
    </row>
    <row x14ac:dyDescent="0.25" r="229" customHeight="1" ht="17.25">
      <c r="A229" s="8">
        <v>45738</v>
      </c>
      <c r="B229" s="9" t="s">
        <v>520</v>
      </c>
      <c r="C229" s="6">
        <v>12</v>
      </c>
      <c r="D229" s="4"/>
      <c r="E229" s="6">
        <f>E228+C229-D229</f>
      </c>
    </row>
    <row x14ac:dyDescent="0.25" r="230" customHeight="1" ht="17.25">
      <c r="A230" s="8">
        <v>45738</v>
      </c>
      <c r="B230" s="9" t="s">
        <v>384</v>
      </c>
      <c r="C230" s="6">
        <v>247</v>
      </c>
      <c r="D230" s="4"/>
      <c r="E230" s="6">
        <f>E229+C230-D230</f>
      </c>
    </row>
    <row x14ac:dyDescent="0.25" r="231" customHeight="1" ht="17.25">
      <c r="A231" s="8">
        <v>45738</v>
      </c>
      <c r="B231" s="9" t="s">
        <v>35</v>
      </c>
      <c r="C231" s="6">
        <v>72</v>
      </c>
      <c r="D231" s="4"/>
      <c r="E231" s="6">
        <f>E230+C231-D231</f>
      </c>
    </row>
    <row x14ac:dyDescent="0.25" r="232" customHeight="1" ht="17.25">
      <c r="A232" s="8">
        <v>45738</v>
      </c>
      <c r="B232" s="9" t="s">
        <v>257</v>
      </c>
      <c r="C232" s="6">
        <v>80</v>
      </c>
      <c r="D232" s="4"/>
      <c r="E232" s="6">
        <f>E231+C232-D232</f>
      </c>
    </row>
    <row x14ac:dyDescent="0.25" r="233" customHeight="1" ht="17.25">
      <c r="A233" s="8">
        <v>45740</v>
      </c>
      <c r="B233" s="9" t="s">
        <v>444</v>
      </c>
      <c r="C233" s="6">
        <v>441</v>
      </c>
      <c r="D233" s="4"/>
      <c r="E233" s="6">
        <f>E232+C233-D233</f>
      </c>
    </row>
    <row x14ac:dyDescent="0.25" r="234" customHeight="1" ht="17.25">
      <c r="A234" s="8">
        <v>45740</v>
      </c>
      <c r="B234" s="9" t="s">
        <v>376</v>
      </c>
      <c r="C234" s="6">
        <v>110</v>
      </c>
      <c r="D234" s="4"/>
      <c r="E234" s="6">
        <f>E233+C234-D234</f>
      </c>
    </row>
    <row x14ac:dyDescent="0.25" r="235" customHeight="1" ht="17.25">
      <c r="A235" s="8">
        <v>45740</v>
      </c>
      <c r="B235" s="9" t="s">
        <v>272</v>
      </c>
      <c r="C235" s="6">
        <v>196</v>
      </c>
      <c r="D235" s="4"/>
      <c r="E235" s="6">
        <f>E234+C235-D235</f>
      </c>
    </row>
    <row x14ac:dyDescent="0.25" r="236" customHeight="1" ht="17.25">
      <c r="A236" s="8">
        <v>45741</v>
      </c>
      <c r="B236" s="9" t="s">
        <v>272</v>
      </c>
      <c r="C236" s="6">
        <v>135</v>
      </c>
      <c r="D236" s="4"/>
      <c r="E236" s="6">
        <f>E235+C236-D236</f>
      </c>
    </row>
    <row x14ac:dyDescent="0.25" r="237" customHeight="1" ht="17.25">
      <c r="A237" s="8">
        <v>45741</v>
      </c>
      <c r="B237" s="9" t="s">
        <v>257</v>
      </c>
      <c r="C237" s="6">
        <v>53</v>
      </c>
      <c r="D237" s="4"/>
      <c r="E237" s="6">
        <f>E236+C237-D237</f>
      </c>
    </row>
    <row x14ac:dyDescent="0.25" r="238" customHeight="1" ht="17.25">
      <c r="A238" s="8">
        <v>45741</v>
      </c>
      <c r="B238" s="9" t="s">
        <v>257</v>
      </c>
      <c r="C238" s="6">
        <v>185</v>
      </c>
      <c r="D238" s="4"/>
      <c r="E238" s="6">
        <f>E237+C238-D238</f>
      </c>
    </row>
    <row x14ac:dyDescent="0.25" r="239" customHeight="1" ht="17.25">
      <c r="A239" s="7">
        <v>45755</v>
      </c>
      <c r="B239" s="9" t="s">
        <v>184</v>
      </c>
      <c r="C239" s="4"/>
      <c r="D239" s="6">
        <v>14</v>
      </c>
      <c r="E239" s="6">
        <f>E238+C239-D239</f>
      </c>
    </row>
    <row x14ac:dyDescent="0.25" r="240" customHeight="1" ht="17.25">
      <c r="A240" s="7">
        <v>45755</v>
      </c>
      <c r="B240" s="9" t="s">
        <v>3</v>
      </c>
      <c r="C240" s="4"/>
      <c r="D240" s="6">
        <v>1400</v>
      </c>
      <c r="E240" s="6">
        <f>E239+C240-D240</f>
      </c>
    </row>
    <row x14ac:dyDescent="0.25" r="241" customHeight="1" ht="17.25">
      <c r="A241" s="7">
        <v>45756</v>
      </c>
      <c r="B241" s="9" t="s">
        <v>382</v>
      </c>
      <c r="C241" s="6">
        <v>874</v>
      </c>
      <c r="D241" s="4"/>
      <c r="E241" s="6">
        <f>E240+C241-D241</f>
      </c>
    </row>
    <row x14ac:dyDescent="0.25" r="242" customHeight="1" ht="17.25">
      <c r="A242" s="8">
        <v>45755</v>
      </c>
      <c r="B242" s="9" t="s">
        <v>232</v>
      </c>
      <c r="C242" s="6">
        <v>679</v>
      </c>
      <c r="D242" s="4"/>
      <c r="E242" s="6">
        <f>E241+C242-D242</f>
      </c>
    </row>
    <row x14ac:dyDescent="0.25" r="243" customHeight="1" ht="17.25">
      <c r="A243" s="8">
        <v>45757</v>
      </c>
      <c r="B243" s="9" t="s">
        <v>275</v>
      </c>
      <c r="C243" s="6">
        <v>38</v>
      </c>
      <c r="D243" s="4"/>
      <c r="E243" s="6">
        <f>E242+C243-D243</f>
      </c>
    </row>
    <row x14ac:dyDescent="0.25" r="244" customHeight="1" ht="17.25">
      <c r="A244" s="7">
        <v>45757</v>
      </c>
      <c r="B244" s="9" t="s">
        <v>189</v>
      </c>
      <c r="C244" s="6">
        <v>174</v>
      </c>
      <c r="D244" s="4"/>
      <c r="E244" s="6">
        <f>E243+C244-D244</f>
      </c>
    </row>
    <row x14ac:dyDescent="0.25" r="245" customHeight="1" ht="17.25">
      <c r="A245" s="7">
        <v>45760</v>
      </c>
      <c r="B245" s="9" t="s">
        <v>189</v>
      </c>
      <c r="C245" s="4"/>
      <c r="D245" s="6">
        <v>350</v>
      </c>
      <c r="E245" s="6">
        <f>E244+C245-D245</f>
      </c>
    </row>
    <row x14ac:dyDescent="0.25" r="246" customHeight="1" ht="17.25">
      <c r="A246" s="8">
        <v>45761</v>
      </c>
      <c r="B246" s="9" t="s">
        <v>282</v>
      </c>
      <c r="C246" s="4"/>
      <c r="D246" s="6">
        <v>80</v>
      </c>
      <c r="E246" s="6">
        <f>E245+C246-D246</f>
      </c>
    </row>
    <row x14ac:dyDescent="0.25" r="247" customHeight="1" ht="17.25">
      <c r="A247" s="8">
        <v>45762</v>
      </c>
      <c r="B247" s="9" t="s">
        <v>189</v>
      </c>
      <c r="C247" s="4"/>
      <c r="D247" s="6">
        <v>500</v>
      </c>
      <c r="E247" s="6">
        <f>E246+C247-D247</f>
      </c>
    </row>
    <row x14ac:dyDescent="0.25" r="248" customHeight="1" ht="17.25">
      <c r="A248" s="7">
        <v>45763</v>
      </c>
      <c r="B248" s="9" t="s">
        <v>416</v>
      </c>
      <c r="C248" s="4"/>
      <c r="D248" s="6">
        <v>24</v>
      </c>
      <c r="E248" s="6">
        <f>E247+C248-D248</f>
      </c>
    </row>
    <row x14ac:dyDescent="0.25" r="249" customHeight="1" ht="17.25">
      <c r="A249" s="8">
        <v>45763</v>
      </c>
      <c r="B249" s="9" t="s">
        <v>2</v>
      </c>
      <c r="C249" s="6">
        <v>50</v>
      </c>
      <c r="D249" s="4"/>
      <c r="E249" s="6">
        <f>E248+C249-D249</f>
      </c>
    </row>
    <row x14ac:dyDescent="0.25" r="250" customHeight="1" ht="17.25">
      <c r="A250" s="8">
        <v>45763</v>
      </c>
      <c r="B250" s="9" t="s">
        <v>283</v>
      </c>
      <c r="C250" s="6">
        <v>200</v>
      </c>
      <c r="D250" s="4"/>
      <c r="E250" s="6">
        <f>E249+C250-D250</f>
      </c>
    </row>
    <row x14ac:dyDescent="0.25" r="251" customHeight="1" ht="17.25">
      <c r="A251" s="7">
        <v>45764</v>
      </c>
      <c r="B251" s="9" t="s">
        <v>286</v>
      </c>
      <c r="C251" s="4"/>
      <c r="D251" s="6">
        <v>200</v>
      </c>
      <c r="E251" s="6">
        <f>E250+C251-D251</f>
      </c>
    </row>
    <row x14ac:dyDescent="0.25" r="252" customHeight="1" ht="17.25">
      <c r="A252" s="7">
        <v>45764</v>
      </c>
      <c r="B252" s="9" t="s">
        <v>259</v>
      </c>
      <c r="C252" s="6">
        <v>360</v>
      </c>
      <c r="D252" s="4"/>
      <c r="E252" s="6">
        <f>E251+C252-D252</f>
      </c>
    </row>
    <row x14ac:dyDescent="0.25" r="253" customHeight="1" ht="17.25">
      <c r="A253" s="8">
        <v>45766</v>
      </c>
      <c r="B253" s="9" t="s">
        <v>384</v>
      </c>
      <c r="C253" s="6">
        <v>125</v>
      </c>
      <c r="D253" s="4"/>
      <c r="E253" s="6">
        <f>E252+C253-D253</f>
      </c>
    </row>
    <row x14ac:dyDescent="0.25" r="254" customHeight="1" ht="17.25">
      <c r="A254" s="8">
        <v>45766</v>
      </c>
      <c r="B254" s="9" t="s">
        <v>484</v>
      </c>
      <c r="C254" s="6">
        <v>50</v>
      </c>
      <c r="D254" s="4"/>
      <c r="E254" s="6">
        <f>E253+C254-D254</f>
      </c>
    </row>
    <row x14ac:dyDescent="0.25" r="255" customHeight="1" ht="17.25">
      <c r="A255" s="8">
        <v>45768</v>
      </c>
      <c r="B255" s="9" t="s">
        <v>412</v>
      </c>
      <c r="C255" s="4"/>
      <c r="D255" s="6">
        <v>100</v>
      </c>
      <c r="E255" s="6">
        <f>E254+C255-D255</f>
      </c>
    </row>
    <row x14ac:dyDescent="0.25" r="256" customHeight="1" ht="17.25">
      <c r="A256" s="8">
        <v>45768</v>
      </c>
      <c r="B256" s="9" t="s">
        <v>284</v>
      </c>
      <c r="C256" s="4"/>
      <c r="D256" s="6">
        <v>710</v>
      </c>
      <c r="E256" s="6">
        <f>E255+C256-D256</f>
      </c>
    </row>
    <row x14ac:dyDescent="0.25" r="257" customHeight="1" ht="17.25">
      <c r="A257" s="8">
        <v>45769</v>
      </c>
      <c r="B257" s="9" t="s">
        <v>286</v>
      </c>
      <c r="C257" s="4"/>
      <c r="D257" s="6">
        <v>280</v>
      </c>
      <c r="E257" s="6">
        <f>E256+C257-D257</f>
      </c>
    </row>
    <row x14ac:dyDescent="0.25" r="258" customHeight="1" ht="17.25">
      <c r="A258" s="7">
        <v>45769</v>
      </c>
      <c r="B258" s="9" t="s">
        <v>228</v>
      </c>
      <c r="C258" s="4"/>
      <c r="D258" s="6">
        <v>500</v>
      </c>
      <c r="E258" s="6">
        <f>E257+C258-D258</f>
      </c>
    </row>
    <row x14ac:dyDescent="0.25" r="259" customHeight="1" ht="17.25">
      <c r="A259" s="7">
        <v>45769</v>
      </c>
      <c r="B259" s="9" t="s">
        <v>275</v>
      </c>
      <c r="C259" s="6">
        <v>11</v>
      </c>
      <c r="D259" s="4"/>
      <c r="E259" s="6">
        <f>E258+C259-D259</f>
      </c>
    </row>
    <row x14ac:dyDescent="0.25" r="260" customHeight="1" ht="17.25">
      <c r="A260" s="7">
        <v>45770</v>
      </c>
      <c r="B260" s="9" t="s">
        <v>499</v>
      </c>
      <c r="C260" s="6">
        <v>986</v>
      </c>
      <c r="D260" s="4"/>
      <c r="E260" s="6">
        <f>E259+C260-D260</f>
      </c>
    </row>
    <row x14ac:dyDescent="0.25" r="261" customHeight="1" ht="17.25">
      <c r="A261" s="8">
        <v>45771</v>
      </c>
      <c r="B261" s="9" t="s">
        <v>228</v>
      </c>
      <c r="C261" s="4"/>
      <c r="D261" s="6">
        <v>200</v>
      </c>
      <c r="E261" s="6">
        <f>E260+C261-D261</f>
      </c>
    </row>
    <row x14ac:dyDescent="0.25" r="262" customHeight="1" ht="17.25">
      <c r="A262" s="8">
        <v>45771</v>
      </c>
      <c r="B262" s="9" t="s">
        <v>411</v>
      </c>
      <c r="C262" s="4"/>
      <c r="D262" s="6">
        <v>96</v>
      </c>
      <c r="E262" s="6">
        <f>E261+C262-D262</f>
      </c>
    </row>
    <row x14ac:dyDescent="0.25" r="263" customHeight="1" ht="17.25">
      <c r="A263" s="7">
        <v>45771</v>
      </c>
      <c r="B263" s="9" t="s">
        <v>521</v>
      </c>
      <c r="C263" s="4"/>
      <c r="D263" s="6">
        <v>50</v>
      </c>
      <c r="E263" s="6">
        <f>E262+C263-D263</f>
      </c>
    </row>
    <row x14ac:dyDescent="0.25" r="264" customHeight="1" ht="17.25">
      <c r="A264" s="8">
        <v>45772</v>
      </c>
      <c r="B264" s="9" t="s">
        <v>228</v>
      </c>
      <c r="C264" s="4"/>
      <c r="D264" s="6">
        <v>200</v>
      </c>
      <c r="E264" s="6">
        <f>E263+C264-D264</f>
      </c>
    </row>
    <row x14ac:dyDescent="0.25" r="265" customHeight="1" ht="17.25">
      <c r="A265" s="8">
        <v>45772</v>
      </c>
      <c r="B265" s="9" t="s">
        <v>491</v>
      </c>
      <c r="C265" s="4"/>
      <c r="D265" s="6">
        <v>200</v>
      </c>
      <c r="E265" s="6">
        <f>E264+C265-D265</f>
      </c>
    </row>
    <row x14ac:dyDescent="0.25" r="266" customHeight="1" ht="17.25">
      <c r="A266" s="8">
        <v>45772</v>
      </c>
      <c r="B266" s="9" t="s">
        <v>44</v>
      </c>
      <c r="C266" s="6">
        <v>100</v>
      </c>
      <c r="D266" s="4"/>
      <c r="E266" s="6">
        <f>E265+C266-D266</f>
      </c>
    </row>
    <row x14ac:dyDescent="0.25" r="267" customHeight="1" ht="17.25">
      <c r="A267" s="8">
        <v>45772</v>
      </c>
      <c r="B267" s="9" t="s">
        <v>549</v>
      </c>
      <c r="C267" s="6">
        <v>194</v>
      </c>
      <c r="D267" s="4"/>
      <c r="E267" s="6">
        <f>E266+C267-D267</f>
      </c>
    </row>
    <row x14ac:dyDescent="0.25" r="268" customHeight="1" ht="17.25">
      <c r="A268" s="8">
        <v>45773</v>
      </c>
      <c r="B268" s="9" t="s">
        <v>228</v>
      </c>
      <c r="C268" s="4"/>
      <c r="D268" s="6">
        <v>200</v>
      </c>
      <c r="E268" s="6">
        <f>E267+C268-D268</f>
      </c>
    </row>
    <row x14ac:dyDescent="0.25" r="269" customHeight="1" ht="17.25">
      <c r="A269" s="8">
        <v>45773</v>
      </c>
      <c r="B269" s="9" t="s">
        <v>389</v>
      </c>
      <c r="C269" s="4"/>
      <c r="D269" s="6">
        <v>100</v>
      </c>
      <c r="E269" s="6">
        <f>E268+C269-D269</f>
      </c>
    </row>
    <row x14ac:dyDescent="0.25" r="270" customHeight="1" ht="17.25">
      <c r="A270" s="7">
        <v>45773</v>
      </c>
      <c r="B270" s="9" t="s">
        <v>486</v>
      </c>
      <c r="C270" s="6">
        <v>400</v>
      </c>
      <c r="D270" s="4"/>
      <c r="E270" s="6">
        <f>E269+C270-D270</f>
      </c>
    </row>
    <row x14ac:dyDescent="0.25" r="271" customHeight="1" ht="17.25">
      <c r="A271" s="8">
        <v>45773</v>
      </c>
      <c r="B271" s="9" t="s">
        <v>287</v>
      </c>
      <c r="C271" s="4"/>
      <c r="D271" s="6">
        <v>40</v>
      </c>
      <c r="E271" s="6">
        <f>E270+C271-D271</f>
      </c>
    </row>
    <row x14ac:dyDescent="0.25" r="272" customHeight="1" ht="17.25">
      <c r="A272" s="8">
        <v>45775</v>
      </c>
      <c r="B272" s="9" t="s">
        <v>412</v>
      </c>
      <c r="C272" s="4"/>
      <c r="D272" s="6">
        <v>100</v>
      </c>
      <c r="E272" s="6">
        <f>E271+C272-D272</f>
      </c>
    </row>
    <row x14ac:dyDescent="0.25" r="273" customHeight="1" ht="17.25">
      <c r="A273" s="8">
        <v>45775</v>
      </c>
      <c r="B273" s="9" t="s">
        <v>228</v>
      </c>
      <c r="C273" s="4"/>
      <c r="D273" s="6">
        <v>400</v>
      </c>
      <c r="E273" s="6">
        <f>E272+C273-D273</f>
      </c>
    </row>
    <row x14ac:dyDescent="0.25" r="274" customHeight="1" ht="17.25">
      <c r="A274" s="8">
        <v>45775</v>
      </c>
      <c r="B274" s="9" t="s">
        <v>384</v>
      </c>
      <c r="C274" s="6">
        <v>270</v>
      </c>
      <c r="D274" s="4"/>
      <c r="E274" s="6">
        <f>E273+C274-D274</f>
      </c>
    </row>
    <row x14ac:dyDescent="0.25" r="275" customHeight="1" ht="17.25">
      <c r="A275" s="8">
        <v>45777</v>
      </c>
      <c r="B275" s="9" t="s">
        <v>311</v>
      </c>
      <c r="C275" s="4"/>
      <c r="D275" s="6">
        <v>100</v>
      </c>
      <c r="E275" s="6">
        <f>E274+C275-D275</f>
      </c>
    </row>
    <row x14ac:dyDescent="0.25" r="276" customHeight="1" ht="17.25">
      <c r="A276" s="8">
        <v>45777</v>
      </c>
      <c r="B276" s="9" t="s">
        <v>412</v>
      </c>
      <c r="C276" s="4"/>
      <c r="D276" s="6">
        <v>100</v>
      </c>
      <c r="E276" s="6">
        <f>E275+C276-D276</f>
      </c>
    </row>
    <row x14ac:dyDescent="0.25" r="277" customHeight="1" ht="17.25">
      <c r="A277" s="8">
        <v>45777</v>
      </c>
      <c r="B277" s="9" t="s">
        <v>286</v>
      </c>
      <c r="C277" s="4"/>
      <c r="D277" s="6">
        <v>280</v>
      </c>
      <c r="E277" s="6">
        <f>E276+C277-D277</f>
      </c>
    </row>
    <row x14ac:dyDescent="0.25" r="278" customHeight="1" ht="17.25">
      <c r="A278" s="8">
        <v>45777</v>
      </c>
      <c r="B278" s="9" t="s">
        <v>382</v>
      </c>
      <c r="C278" s="6">
        <v>88</v>
      </c>
      <c r="D278" s="4"/>
      <c r="E278" s="6">
        <f>E277+C278-D278</f>
      </c>
    </row>
    <row x14ac:dyDescent="0.25" r="279" customHeight="1" ht="17.25">
      <c r="A279" s="8">
        <v>45779</v>
      </c>
      <c r="B279" s="9" t="s">
        <v>241</v>
      </c>
      <c r="C279" s="4"/>
      <c r="D279" s="6">
        <v>200</v>
      </c>
      <c r="E279" s="6">
        <f>E278+C279-D279</f>
      </c>
    </row>
    <row x14ac:dyDescent="0.25" r="280" customHeight="1" ht="17.25">
      <c r="A280" s="8">
        <v>45779</v>
      </c>
      <c r="B280" s="9" t="s">
        <v>286</v>
      </c>
      <c r="C280" s="4"/>
      <c r="D280" s="6">
        <v>560</v>
      </c>
      <c r="E280" s="6">
        <f>E279+C280-D280</f>
      </c>
    </row>
    <row x14ac:dyDescent="0.25" r="281" customHeight="1" ht="17.25">
      <c r="A281" s="8">
        <v>45779</v>
      </c>
      <c r="B281" s="9" t="s">
        <v>272</v>
      </c>
      <c r="C281" s="6">
        <v>221</v>
      </c>
      <c r="D281" s="4"/>
      <c r="E281" s="6">
        <f>E280+C281-D281</f>
      </c>
    </row>
    <row x14ac:dyDescent="0.25" r="282" customHeight="1" ht="17.25">
      <c r="A282" s="8">
        <v>45779</v>
      </c>
      <c r="B282" s="9" t="s">
        <v>382</v>
      </c>
      <c r="C282" s="6">
        <v>174</v>
      </c>
      <c r="D282" s="4"/>
      <c r="E282" s="6">
        <f>E281+C282-D282</f>
      </c>
    </row>
    <row x14ac:dyDescent="0.25" r="283" customHeight="1" ht="17.25">
      <c r="A283" s="7">
        <v>45780</v>
      </c>
      <c r="B283" s="9" t="s">
        <v>58</v>
      </c>
      <c r="C283" s="6">
        <v>40</v>
      </c>
      <c r="D283" s="4"/>
      <c r="E283" s="6">
        <f>E282+C283-D283</f>
      </c>
    </row>
    <row x14ac:dyDescent="0.25" r="284" customHeight="1" ht="17.25">
      <c r="A284" s="7">
        <v>45780</v>
      </c>
      <c r="B284" s="9" t="s">
        <v>550</v>
      </c>
      <c r="C284" s="4"/>
      <c r="D284" s="6">
        <v>40</v>
      </c>
      <c r="E284" s="6">
        <f>E283+C284-D284</f>
      </c>
    </row>
    <row x14ac:dyDescent="0.25" r="285" customHeight="1" ht="17.25">
      <c r="A285" s="8">
        <v>45780</v>
      </c>
      <c r="B285" s="9" t="s">
        <v>232</v>
      </c>
      <c r="C285" s="4"/>
      <c r="D285" s="6">
        <v>40</v>
      </c>
      <c r="E285" s="6">
        <f>E284+C285-D285</f>
      </c>
    </row>
    <row x14ac:dyDescent="0.25" r="286" customHeight="1" ht="17.25">
      <c r="A286" s="8">
        <v>45782</v>
      </c>
      <c r="B286" s="9" t="s">
        <v>389</v>
      </c>
      <c r="C286" s="4"/>
      <c r="D286" s="6">
        <v>100</v>
      </c>
      <c r="E286" s="6">
        <f>E285+C286-D286</f>
      </c>
    </row>
    <row x14ac:dyDescent="0.25" r="287" customHeight="1" ht="17.25">
      <c r="A287" s="8">
        <v>45782</v>
      </c>
      <c r="B287" s="9" t="s">
        <v>341</v>
      </c>
      <c r="C287" s="4"/>
      <c r="D287" s="6">
        <v>144</v>
      </c>
      <c r="E287" s="6">
        <f>E286+C287-D287</f>
      </c>
    </row>
    <row x14ac:dyDescent="0.25" r="288" customHeight="1" ht="17.25">
      <c r="A288" s="8">
        <v>45783</v>
      </c>
      <c r="B288" s="9" t="s">
        <v>448</v>
      </c>
      <c r="C288" s="4"/>
      <c r="D288" s="6">
        <v>160</v>
      </c>
      <c r="E288" s="6">
        <f>E287+C288-D288</f>
      </c>
    </row>
    <row x14ac:dyDescent="0.25" r="289" customHeight="1" ht="17.25">
      <c r="A289" s="7">
        <v>45783</v>
      </c>
      <c r="B289" s="9" t="s">
        <v>286</v>
      </c>
      <c r="C289" s="4"/>
      <c r="D289" s="6">
        <v>742</v>
      </c>
      <c r="E289" s="6">
        <f>E288+C289-D289</f>
      </c>
    </row>
    <row x14ac:dyDescent="0.25" r="290" customHeight="1" ht="17.25">
      <c r="A290" s="8">
        <v>45783</v>
      </c>
      <c r="B290" s="9" t="s">
        <v>449</v>
      </c>
      <c r="C290" s="4"/>
      <c r="D290" s="6">
        <v>48</v>
      </c>
      <c r="E290" s="6">
        <f>E289+C290-D290</f>
      </c>
    </row>
    <row x14ac:dyDescent="0.25" r="291" customHeight="1" ht="17.25">
      <c r="A291" s="7">
        <v>45784</v>
      </c>
      <c r="B291" s="9" t="s">
        <v>289</v>
      </c>
      <c r="C291" s="4"/>
      <c r="D291" s="6">
        <v>200</v>
      </c>
      <c r="E291" s="6">
        <f>E290+C291-D291</f>
      </c>
    </row>
    <row x14ac:dyDescent="0.25" r="292" customHeight="1" ht="17.25">
      <c r="A292" s="8">
        <v>45784</v>
      </c>
      <c r="B292" s="9" t="s">
        <v>262</v>
      </c>
      <c r="C292" s="4"/>
      <c r="D292" s="6">
        <v>60</v>
      </c>
      <c r="E292" s="6">
        <f>E291+C292-D292</f>
      </c>
    </row>
    <row x14ac:dyDescent="0.25" r="293" customHeight="1" ht="17.25">
      <c r="A293" s="8">
        <v>45784</v>
      </c>
      <c r="B293" s="9" t="s">
        <v>384</v>
      </c>
      <c r="C293" s="6">
        <v>53</v>
      </c>
      <c r="D293" s="4"/>
      <c r="E293" s="6">
        <f>E292+C293-D293</f>
      </c>
    </row>
    <row x14ac:dyDescent="0.25" r="294" customHeight="1" ht="17.25">
      <c r="A294" s="7">
        <v>45785</v>
      </c>
      <c r="B294" s="9" t="s">
        <v>35</v>
      </c>
      <c r="C294" s="4"/>
      <c r="D294" s="6">
        <v>400</v>
      </c>
      <c r="E294" s="6">
        <f>E293+C294-D294</f>
      </c>
    </row>
    <row x14ac:dyDescent="0.25" r="295" customHeight="1" ht="17.25">
      <c r="A295" s="8">
        <v>45785</v>
      </c>
      <c r="B295" s="9" t="s">
        <v>388</v>
      </c>
      <c r="C295" s="4"/>
      <c r="D295" s="6">
        <v>16</v>
      </c>
      <c r="E295" s="6">
        <f>E294+C295-D295</f>
      </c>
    </row>
    <row x14ac:dyDescent="0.25" r="296" customHeight="1" ht="17.25">
      <c r="A296" s="7">
        <v>45785</v>
      </c>
      <c r="B296" s="9" t="s">
        <v>385</v>
      </c>
      <c r="C296" s="6">
        <v>31</v>
      </c>
      <c r="D296" s="4"/>
      <c r="E296" s="6">
        <f>E295+C296-D296</f>
      </c>
    </row>
    <row x14ac:dyDescent="0.25" r="297" customHeight="1" ht="17.25">
      <c r="A297" s="7">
        <v>45785</v>
      </c>
      <c r="B297" s="9" t="s">
        <v>28</v>
      </c>
      <c r="C297" s="6">
        <v>2</v>
      </c>
      <c r="D297" s="4"/>
      <c r="E297" s="6">
        <f>E296+C297-D297</f>
      </c>
    </row>
    <row x14ac:dyDescent="0.25" r="298" customHeight="1" ht="17.25">
      <c r="A298" s="8">
        <v>45785</v>
      </c>
      <c r="B298" s="9" t="s">
        <v>42</v>
      </c>
      <c r="C298" s="4"/>
      <c r="D298" s="6">
        <v>50</v>
      </c>
      <c r="E298" s="6">
        <f>E297+C298-D298</f>
      </c>
    </row>
    <row x14ac:dyDescent="0.25" r="299" customHeight="1" ht="17.25">
      <c r="A299" s="7">
        <v>45786</v>
      </c>
      <c r="B299" s="9" t="s">
        <v>141</v>
      </c>
      <c r="C299" s="4"/>
      <c r="D299" s="6">
        <v>230</v>
      </c>
      <c r="E299" s="6">
        <f>E298+C299-D299</f>
      </c>
    </row>
    <row x14ac:dyDescent="0.25" r="300" customHeight="1" ht="17.25">
      <c r="A300" s="7">
        <v>45786</v>
      </c>
      <c r="B300" s="9" t="s">
        <v>3</v>
      </c>
      <c r="C300" s="4"/>
      <c r="D300" s="6">
        <v>230</v>
      </c>
      <c r="E300" s="6">
        <f>E299+C300-D300</f>
      </c>
    </row>
    <row x14ac:dyDescent="0.25" r="301" customHeight="1" ht="17.25">
      <c r="A301" s="7">
        <v>45786</v>
      </c>
      <c r="B301" s="9" t="s">
        <v>388</v>
      </c>
      <c r="C301" s="6">
        <v>16</v>
      </c>
      <c r="D301" s="4"/>
      <c r="E301" s="6">
        <f>E300+C301-D301</f>
      </c>
    </row>
    <row x14ac:dyDescent="0.25" r="302" customHeight="1" ht="17.25">
      <c r="A302" s="7">
        <v>45788</v>
      </c>
      <c r="B302" s="9" t="s">
        <v>291</v>
      </c>
      <c r="C302" s="4"/>
      <c r="D302" s="6">
        <v>3389</v>
      </c>
      <c r="E302" s="6">
        <f>E301+C302-D302</f>
      </c>
    </row>
    <row x14ac:dyDescent="0.25" r="303" customHeight="1" ht="17.25">
      <c r="A303" s="7">
        <v>45790</v>
      </c>
      <c r="B303" s="9" t="s">
        <v>29</v>
      </c>
      <c r="C303" s="6">
        <v>561</v>
      </c>
      <c r="D303" s="4"/>
      <c r="E303" s="6">
        <f>E302+C303-D303</f>
      </c>
    </row>
    <row x14ac:dyDescent="0.25" r="304" customHeight="1" ht="17.25">
      <c r="A304" s="7">
        <v>45790</v>
      </c>
      <c r="B304" s="9" t="s">
        <v>272</v>
      </c>
      <c r="C304" s="6">
        <v>38</v>
      </c>
      <c r="D304" s="4"/>
      <c r="E304" s="6">
        <f>E303+C304-D304</f>
      </c>
    </row>
    <row x14ac:dyDescent="0.25" r="305" customHeight="1" ht="17.25">
      <c r="A305" s="8">
        <v>45791</v>
      </c>
      <c r="B305" s="9" t="s">
        <v>282</v>
      </c>
      <c r="C305" s="6">
        <v>48</v>
      </c>
      <c r="D305" s="4"/>
      <c r="E305" s="6">
        <f>E304+C305-D305</f>
      </c>
    </row>
    <row x14ac:dyDescent="0.25" r="306" customHeight="1" ht="17.25">
      <c r="A306" s="7">
        <v>45791</v>
      </c>
      <c r="B306" s="9" t="s">
        <v>44</v>
      </c>
      <c r="C306" s="6">
        <v>10</v>
      </c>
      <c r="D306" s="4"/>
      <c r="E306" s="6">
        <f>E305+C306-D306</f>
      </c>
    </row>
    <row x14ac:dyDescent="0.25" r="307" customHeight="1" ht="17.25">
      <c r="A307" s="8">
        <v>45791</v>
      </c>
      <c r="B307" s="9" t="s">
        <v>449</v>
      </c>
      <c r="C307" s="6">
        <v>48</v>
      </c>
      <c r="D307" s="4"/>
      <c r="E307" s="6">
        <f>E306+C307-D307</f>
      </c>
    </row>
    <row x14ac:dyDescent="0.25" r="308" customHeight="1" ht="17.25">
      <c r="A308" s="8">
        <v>45792</v>
      </c>
      <c r="B308" s="9" t="s">
        <v>35</v>
      </c>
      <c r="C308" s="4"/>
      <c r="D308" s="6">
        <v>162</v>
      </c>
      <c r="E308" s="6">
        <f>E307+C308-D308</f>
      </c>
    </row>
    <row x14ac:dyDescent="0.25" r="309" customHeight="1" ht="17.25">
      <c r="A309" s="8">
        <v>45792</v>
      </c>
      <c r="B309" s="9" t="s">
        <v>228</v>
      </c>
      <c r="C309" s="4"/>
      <c r="D309" s="6">
        <v>200</v>
      </c>
      <c r="E309" s="6">
        <f>E308+C309-D309</f>
      </c>
    </row>
    <row x14ac:dyDescent="0.25" r="310" customHeight="1" ht="17.25">
      <c r="A310" s="8">
        <v>45793</v>
      </c>
      <c r="B310" s="9" t="s">
        <v>262</v>
      </c>
      <c r="C310" s="4"/>
      <c r="D310" s="6">
        <v>144</v>
      </c>
      <c r="E310" s="6">
        <f>E309+C310-D310</f>
      </c>
    </row>
    <row x14ac:dyDescent="0.25" r="311" customHeight="1" ht="17.25">
      <c r="A311" s="7">
        <v>45793</v>
      </c>
      <c r="B311" s="9" t="s">
        <v>141</v>
      </c>
      <c r="C311" s="4"/>
      <c r="D311" s="6">
        <v>260</v>
      </c>
      <c r="E311" s="6">
        <f>E310+C311-D311</f>
      </c>
    </row>
    <row x14ac:dyDescent="0.25" r="312" customHeight="1" ht="17.25">
      <c r="A312" s="8">
        <v>45793</v>
      </c>
      <c r="B312" s="9" t="s">
        <v>426</v>
      </c>
      <c r="C312" s="4"/>
      <c r="D312" s="6">
        <v>200</v>
      </c>
      <c r="E312" s="6">
        <f>E311+C312-D312</f>
      </c>
    </row>
    <row x14ac:dyDescent="0.25" r="313" customHeight="1" ht="17.25">
      <c r="A313" s="8">
        <v>45794</v>
      </c>
      <c r="B313" s="9" t="s">
        <v>35</v>
      </c>
      <c r="C313" s="4"/>
      <c r="D313" s="6">
        <v>210</v>
      </c>
      <c r="E313" s="6">
        <f>E312+C313-D313</f>
      </c>
    </row>
    <row x14ac:dyDescent="0.25" r="314" customHeight="1" ht="17.25">
      <c r="A314" s="7">
        <v>45794</v>
      </c>
      <c r="B314" s="9" t="s">
        <v>484</v>
      </c>
      <c r="C314" s="6">
        <v>200</v>
      </c>
      <c r="D314" s="4"/>
      <c r="E314" s="6">
        <f>E313+C314-D314</f>
      </c>
    </row>
    <row x14ac:dyDescent="0.25" r="315" customHeight="1" ht="17.25">
      <c r="A315" s="7">
        <v>45796</v>
      </c>
      <c r="B315" s="9" t="s">
        <v>484</v>
      </c>
      <c r="C315" s="6">
        <v>400</v>
      </c>
      <c r="D315" s="4"/>
      <c r="E315" s="6">
        <f>E314+C315-D315</f>
      </c>
    </row>
    <row x14ac:dyDescent="0.25" r="316" customHeight="1" ht="17.25">
      <c r="A316" s="8">
        <v>45797</v>
      </c>
      <c r="B316" s="9" t="s">
        <v>42</v>
      </c>
      <c r="C316" s="4"/>
      <c r="D316" s="6">
        <v>60</v>
      </c>
      <c r="E316" s="6">
        <f>E315+C316-D316</f>
      </c>
    </row>
    <row x14ac:dyDescent="0.25" r="317" customHeight="1" ht="17.25">
      <c r="A317" s="8">
        <v>45797</v>
      </c>
      <c r="B317" s="9" t="s">
        <v>35</v>
      </c>
      <c r="C317" s="4"/>
      <c r="D317" s="6">
        <v>176</v>
      </c>
      <c r="E317" s="6">
        <f>E316+C317-D317</f>
      </c>
    </row>
    <row x14ac:dyDescent="0.25" r="318" customHeight="1" ht="17.25">
      <c r="A318" s="7">
        <v>45797</v>
      </c>
      <c r="B318" s="9" t="s">
        <v>382</v>
      </c>
      <c r="C318" s="6">
        <v>62</v>
      </c>
      <c r="D318" s="4"/>
      <c r="E318" s="6">
        <f>E317+C318-D318</f>
      </c>
    </row>
    <row x14ac:dyDescent="0.25" r="319" customHeight="1" ht="17.25">
      <c r="A319" s="8">
        <v>45798</v>
      </c>
      <c r="B319" s="9" t="s">
        <v>284</v>
      </c>
      <c r="C319" s="4"/>
      <c r="D319" s="6">
        <v>100</v>
      </c>
      <c r="E319" s="6">
        <f>E318+C319-D319</f>
      </c>
    </row>
    <row x14ac:dyDescent="0.25" r="320" customHeight="1" ht="17.25">
      <c r="A320" s="7">
        <v>45798</v>
      </c>
      <c r="B320" s="9" t="s">
        <v>283</v>
      </c>
      <c r="C320" s="4"/>
      <c r="D320" s="6">
        <v>600</v>
      </c>
      <c r="E320" s="6">
        <f>E319+C320-D320</f>
      </c>
    </row>
    <row x14ac:dyDescent="0.25" r="321" customHeight="1" ht="17.25">
      <c r="A321" s="8">
        <v>45799</v>
      </c>
      <c r="B321" s="9" t="s">
        <v>44</v>
      </c>
      <c r="C321" s="6">
        <v>70</v>
      </c>
      <c r="D321" s="4"/>
      <c r="E321" s="6">
        <f>E320+C321-D321</f>
      </c>
    </row>
    <row x14ac:dyDescent="0.25" r="322" customHeight="1" ht="17.25">
      <c r="A322" s="7">
        <v>45799</v>
      </c>
      <c r="B322" s="9" t="s">
        <v>486</v>
      </c>
      <c r="C322" s="6">
        <v>475</v>
      </c>
      <c r="D322" s="4"/>
      <c r="E322" s="6">
        <f>E321+C322-D322</f>
      </c>
    </row>
    <row x14ac:dyDescent="0.25" r="323" customHeight="1" ht="17.25">
      <c r="A323" s="8">
        <v>45800</v>
      </c>
      <c r="B323" s="9" t="s">
        <v>35</v>
      </c>
      <c r="C323" s="4"/>
      <c r="D323" s="6">
        <v>64</v>
      </c>
      <c r="E323" s="6">
        <f>E322+C323-D323</f>
      </c>
    </row>
    <row x14ac:dyDescent="0.25" r="324" customHeight="1" ht="17.25">
      <c r="A324" s="8">
        <v>45800</v>
      </c>
      <c r="B324" s="9" t="s">
        <v>42</v>
      </c>
      <c r="C324" s="4"/>
      <c r="D324" s="6">
        <v>700</v>
      </c>
      <c r="E324" s="6">
        <f>E323+C324-D324</f>
      </c>
    </row>
    <row x14ac:dyDescent="0.25" r="325" customHeight="1" ht="17.25">
      <c r="A325" s="8">
        <v>45800</v>
      </c>
      <c r="B325" s="9" t="s">
        <v>43</v>
      </c>
      <c r="C325" s="6">
        <v>206</v>
      </c>
      <c r="D325" s="4"/>
      <c r="E325" s="6">
        <f>E324+C325-D325</f>
      </c>
    </row>
    <row x14ac:dyDescent="0.25" r="326" customHeight="1" ht="17.25">
      <c r="A326" s="7">
        <v>45801</v>
      </c>
      <c r="B326" s="9" t="s">
        <v>389</v>
      </c>
      <c r="C326" s="4"/>
      <c r="D326" s="6">
        <v>200</v>
      </c>
      <c r="E326" s="6">
        <f>E325+C326-D326</f>
      </c>
    </row>
    <row x14ac:dyDescent="0.25" r="327" customHeight="1" ht="17.25">
      <c r="A327" s="7">
        <v>45801</v>
      </c>
      <c r="B327" s="9" t="s">
        <v>2</v>
      </c>
      <c r="C327" s="4"/>
      <c r="D327" s="6">
        <v>100</v>
      </c>
      <c r="E327" s="6">
        <f>E326+C327-D327</f>
      </c>
    </row>
    <row x14ac:dyDescent="0.25" r="328" customHeight="1" ht="17.25">
      <c r="A328" s="7">
        <v>45801</v>
      </c>
      <c r="B328" s="9" t="s">
        <v>189</v>
      </c>
      <c r="C328" s="6">
        <v>378</v>
      </c>
      <c r="D328" s="4"/>
      <c r="E328" s="6">
        <f>E327+C328-D328</f>
      </c>
    </row>
    <row x14ac:dyDescent="0.25" r="329" customHeight="1" ht="17.25">
      <c r="A329" s="8">
        <v>45803</v>
      </c>
      <c r="B329" s="9" t="s">
        <v>232</v>
      </c>
      <c r="C329" s="4"/>
      <c r="D329" s="6">
        <v>100</v>
      </c>
      <c r="E329" s="6">
        <f>E328+C329-D329</f>
      </c>
    </row>
    <row x14ac:dyDescent="0.25" r="330" customHeight="1" ht="17.25">
      <c r="A330" s="8">
        <v>45803</v>
      </c>
      <c r="B330" s="9" t="s">
        <v>541</v>
      </c>
      <c r="C330" s="6">
        <v>26</v>
      </c>
      <c r="D330" s="4"/>
      <c r="E330" s="6">
        <f>E329+C330-D330</f>
      </c>
    </row>
    <row x14ac:dyDescent="0.25" r="331" customHeight="1" ht="17.25">
      <c r="A331" s="7">
        <v>45803</v>
      </c>
      <c r="B331" s="9" t="s">
        <v>3</v>
      </c>
      <c r="C331" s="6">
        <v>496</v>
      </c>
      <c r="D331" s="4"/>
      <c r="E331" s="6">
        <f>E330+C331-D331</f>
      </c>
    </row>
    <row x14ac:dyDescent="0.25" r="332" customHeight="1" ht="17.25">
      <c r="A332" s="8">
        <v>45804</v>
      </c>
      <c r="B332" s="9" t="s">
        <v>34</v>
      </c>
      <c r="C332" s="4"/>
      <c r="D332" s="6">
        <v>1000</v>
      </c>
      <c r="E332" s="6">
        <f>E331+C332-D332</f>
      </c>
    </row>
    <row x14ac:dyDescent="0.25" r="333" customHeight="1" ht="17.25">
      <c r="A333" s="8">
        <v>45804</v>
      </c>
      <c r="B333" s="9" t="s">
        <v>44</v>
      </c>
      <c r="C333" s="6">
        <v>60</v>
      </c>
      <c r="D333" s="4"/>
      <c r="E333" s="6">
        <f>E332+C333-D333</f>
      </c>
    </row>
    <row x14ac:dyDescent="0.25" r="334" customHeight="1" ht="17.25">
      <c r="A334" s="7">
        <v>45805</v>
      </c>
      <c r="B334" s="9" t="s">
        <v>141</v>
      </c>
      <c r="C334" s="4"/>
      <c r="D334" s="6">
        <v>200</v>
      </c>
      <c r="E334" s="6">
        <f>E333+C334-D334</f>
      </c>
    </row>
    <row x14ac:dyDescent="0.25" r="335" customHeight="1" ht="17.25">
      <c r="A335" s="7">
        <v>45805</v>
      </c>
      <c r="B335" s="9" t="s">
        <v>551</v>
      </c>
      <c r="C335" s="4"/>
      <c r="D335" s="6">
        <v>200</v>
      </c>
      <c r="E335" s="6">
        <f>E334+C335-D335</f>
      </c>
    </row>
    <row x14ac:dyDescent="0.25" r="336" customHeight="1" ht="17.25">
      <c r="A336" s="7">
        <v>45805</v>
      </c>
      <c r="B336" s="9" t="s">
        <v>487</v>
      </c>
      <c r="C336" s="4"/>
      <c r="D336" s="6">
        <v>400</v>
      </c>
      <c r="E336" s="6">
        <f>E335+C336-D336</f>
      </c>
    </row>
    <row x14ac:dyDescent="0.25" r="337" customHeight="1" ht="17.25">
      <c r="A337" s="7">
        <v>45805</v>
      </c>
      <c r="B337" s="9" t="s">
        <v>384</v>
      </c>
      <c r="C337" s="6">
        <v>402</v>
      </c>
      <c r="D337" s="4"/>
      <c r="E337" s="6">
        <f>E336+C337-D337</f>
      </c>
    </row>
    <row x14ac:dyDescent="0.25" r="338" customHeight="1" ht="17.25">
      <c r="A338" s="7">
        <v>45807</v>
      </c>
      <c r="B338" s="9" t="s">
        <v>89</v>
      </c>
      <c r="C338" s="4"/>
      <c r="D338" s="6">
        <v>185</v>
      </c>
      <c r="E338" s="6">
        <f>E337+C338-D338</f>
      </c>
    </row>
    <row x14ac:dyDescent="0.25" r="339" customHeight="1" ht="17.25">
      <c r="A339" s="7">
        <v>45807</v>
      </c>
      <c r="B339" s="9" t="s">
        <v>384</v>
      </c>
      <c r="C339" s="6">
        <v>29</v>
      </c>
      <c r="D339" s="4"/>
      <c r="E339" s="6">
        <f>E338+C339-D339</f>
      </c>
    </row>
    <row x14ac:dyDescent="0.25" r="340" customHeight="1" ht="17.25">
      <c r="A340" s="7">
        <v>45807</v>
      </c>
      <c r="B340" s="9" t="s">
        <v>3</v>
      </c>
      <c r="C340" s="6">
        <v>94</v>
      </c>
      <c r="D340" s="4"/>
      <c r="E340" s="6">
        <f>E339+C340-D340</f>
      </c>
    </row>
    <row x14ac:dyDescent="0.25" r="341" customHeight="1" ht="17.25">
      <c r="A341" s="7">
        <v>45808</v>
      </c>
      <c r="B341" s="9" t="s">
        <v>42</v>
      </c>
      <c r="C341" s="4"/>
      <c r="D341" s="6">
        <v>100</v>
      </c>
      <c r="E341" s="6">
        <f>E340+C341-D341</f>
      </c>
    </row>
    <row x14ac:dyDescent="0.25" r="342" customHeight="1" ht="17.25">
      <c r="A342" s="8">
        <v>45808</v>
      </c>
      <c r="B342" s="9" t="s">
        <v>282</v>
      </c>
      <c r="C342" s="6">
        <v>32</v>
      </c>
      <c r="D342" s="4"/>
      <c r="E342" s="6">
        <f>E341+C342-D342</f>
      </c>
    </row>
    <row x14ac:dyDescent="0.25" r="343" customHeight="1" ht="17.25">
      <c r="A343" s="8">
        <v>45808</v>
      </c>
      <c r="B343" s="9" t="s">
        <v>272</v>
      </c>
      <c r="C343" s="6">
        <v>48</v>
      </c>
      <c r="D343" s="4"/>
      <c r="E343" s="6">
        <f>E342+C343-D343</f>
      </c>
    </row>
    <row x14ac:dyDescent="0.25" r="344" customHeight="1" ht="17.25">
      <c r="A344" s="7">
        <v>45810</v>
      </c>
      <c r="B344" s="9" t="s">
        <v>42</v>
      </c>
      <c r="C344" s="4"/>
      <c r="D344" s="6">
        <v>50</v>
      </c>
      <c r="E344" s="6">
        <f>E343+C344-D344</f>
      </c>
    </row>
    <row x14ac:dyDescent="0.25" r="345" customHeight="1" ht="17.25">
      <c r="A345" s="8">
        <v>45810</v>
      </c>
      <c r="B345" s="9" t="s">
        <v>289</v>
      </c>
      <c r="C345" s="6">
        <v>14</v>
      </c>
      <c r="D345" s="4"/>
      <c r="E345" s="6">
        <f>E344+C345-D345</f>
      </c>
    </row>
    <row x14ac:dyDescent="0.25" r="346" customHeight="1" ht="17.25">
      <c r="A346" s="7">
        <v>45810</v>
      </c>
      <c r="B346" s="9" t="s">
        <v>3</v>
      </c>
      <c r="C346" s="6">
        <v>2</v>
      </c>
      <c r="D346" s="4"/>
      <c r="E346" s="6">
        <f>E345+C346-D346</f>
      </c>
    </row>
    <row x14ac:dyDescent="0.25" r="347" customHeight="1" ht="17.25">
      <c r="A347" s="8">
        <v>45811</v>
      </c>
      <c r="B347" s="9" t="s">
        <v>2</v>
      </c>
      <c r="C347" s="4"/>
      <c r="D347" s="6">
        <v>24</v>
      </c>
      <c r="E347" s="6">
        <f>E346+C347-D347</f>
      </c>
    </row>
    <row x14ac:dyDescent="0.25" r="348" customHeight="1" ht="17.25">
      <c r="A348" s="7">
        <v>45811</v>
      </c>
      <c r="B348" s="9" t="s">
        <v>389</v>
      </c>
      <c r="C348" s="4"/>
      <c r="D348" s="6">
        <v>400</v>
      </c>
      <c r="E348" s="6">
        <f>E347+C348-D348</f>
      </c>
    </row>
    <row x14ac:dyDescent="0.25" r="349" customHeight="1" ht="17.25">
      <c r="A349" s="8">
        <v>45811</v>
      </c>
      <c r="B349" s="9" t="s">
        <v>100</v>
      </c>
      <c r="C349" s="4"/>
      <c r="D349" s="6">
        <v>50</v>
      </c>
      <c r="E349" s="6">
        <f>E348+C349-D349</f>
      </c>
    </row>
    <row x14ac:dyDescent="0.25" r="350" customHeight="1" ht="17.25">
      <c r="A350" s="8">
        <v>45811</v>
      </c>
      <c r="B350" s="9" t="s">
        <v>289</v>
      </c>
      <c r="C350" s="6">
        <v>95</v>
      </c>
      <c r="D350" s="4"/>
      <c r="E350" s="6">
        <f>E349+C350-D350</f>
      </c>
    </row>
    <row x14ac:dyDescent="0.25" r="351" customHeight="1" ht="17.25">
      <c r="A351" s="7">
        <v>45811</v>
      </c>
      <c r="B351" s="9" t="s">
        <v>234</v>
      </c>
      <c r="C351" s="6">
        <v>100</v>
      </c>
      <c r="D351" s="4"/>
      <c r="E351" s="6">
        <f>E350+C351-D351</f>
      </c>
    </row>
    <row x14ac:dyDescent="0.25" r="352" customHeight="1" ht="17.25">
      <c r="A352" s="8">
        <v>45812</v>
      </c>
      <c r="B352" s="9" t="s">
        <v>284</v>
      </c>
      <c r="C352" s="4"/>
      <c r="D352" s="6">
        <v>500</v>
      </c>
      <c r="E352" s="6">
        <f>E351+C352-D352</f>
      </c>
    </row>
    <row x14ac:dyDescent="0.25" r="353" customHeight="1" ht="17.25">
      <c r="A353" s="7">
        <v>45812</v>
      </c>
      <c r="B353" s="9" t="s">
        <v>370</v>
      </c>
      <c r="C353" s="6">
        <v>50</v>
      </c>
      <c r="D353" s="4"/>
      <c r="E353" s="6">
        <f>E352+C353-D353</f>
      </c>
    </row>
    <row x14ac:dyDescent="0.25" r="354" customHeight="1" ht="17.25">
      <c r="A354" s="7">
        <v>45812</v>
      </c>
      <c r="B354" s="9" t="s">
        <v>11</v>
      </c>
      <c r="C354" s="6">
        <v>250</v>
      </c>
      <c r="D354" s="4"/>
      <c r="E354" s="6">
        <f>E353+C354-D354</f>
      </c>
    </row>
    <row x14ac:dyDescent="0.25" r="355" customHeight="1" ht="17.25">
      <c r="A355" s="7">
        <v>45812</v>
      </c>
      <c r="B355" s="9" t="s">
        <v>3</v>
      </c>
      <c r="C355" s="6">
        <v>1000</v>
      </c>
      <c r="D355" s="4"/>
      <c r="E355" s="6">
        <f>E354+C355-D355</f>
      </c>
    </row>
    <row x14ac:dyDescent="0.25" r="356" customHeight="1" ht="17.25">
      <c r="A356" s="7">
        <v>45813</v>
      </c>
      <c r="B356" s="9" t="s">
        <v>284</v>
      </c>
      <c r="C356" s="4"/>
      <c r="D356" s="6">
        <v>300</v>
      </c>
      <c r="E356" s="6">
        <f>E355+C356-D356</f>
      </c>
    </row>
    <row x14ac:dyDescent="0.25" r="357" customHeight="1" ht="17.25">
      <c r="A357" s="7">
        <v>45813</v>
      </c>
      <c r="B357" s="9" t="s">
        <v>552</v>
      </c>
      <c r="C357" s="4"/>
      <c r="D357" s="6">
        <v>200</v>
      </c>
      <c r="E357" s="6">
        <f>E356+C357-D357</f>
      </c>
    </row>
    <row x14ac:dyDescent="0.25" r="358" customHeight="1" ht="17.25">
      <c r="A358" s="7">
        <v>45813</v>
      </c>
      <c r="B358" s="9" t="s">
        <v>11</v>
      </c>
      <c r="C358" s="6">
        <f>368+54</f>
      </c>
      <c r="D358" s="4"/>
      <c r="E358" s="6">
        <f>E357+C358-D358</f>
      </c>
    </row>
    <row x14ac:dyDescent="0.25" r="359" customHeight="1" ht="17.25">
      <c r="A359" s="7">
        <v>45815</v>
      </c>
      <c r="B359" s="9" t="s">
        <v>284</v>
      </c>
      <c r="C359" s="4"/>
      <c r="D359" s="6">
        <v>200</v>
      </c>
      <c r="E359" s="6">
        <f>E358+C359-D359</f>
      </c>
    </row>
    <row x14ac:dyDescent="0.25" r="360" customHeight="1" ht="17.25">
      <c r="A360" s="7">
        <v>45817</v>
      </c>
      <c r="B360" s="9" t="s">
        <v>89</v>
      </c>
      <c r="C360" s="4"/>
      <c r="D360" s="6">
        <v>200</v>
      </c>
      <c r="E360" s="6">
        <f>E359+C360-D360</f>
      </c>
    </row>
    <row x14ac:dyDescent="0.25" r="361" customHeight="1" ht="17.25">
      <c r="A361" s="8">
        <v>45817</v>
      </c>
      <c r="B361" s="9" t="s">
        <v>4</v>
      </c>
      <c r="C361" s="4"/>
      <c r="D361" s="6">
        <v>100</v>
      </c>
      <c r="E361" s="6">
        <f>E360+C361-D361</f>
      </c>
    </row>
    <row x14ac:dyDescent="0.25" r="362" customHeight="1" ht="17.25">
      <c r="A362" s="8">
        <v>45817</v>
      </c>
      <c r="B362" s="9" t="s">
        <v>4</v>
      </c>
      <c r="C362" s="4"/>
      <c r="D362" s="6">
        <v>100</v>
      </c>
      <c r="E362" s="6">
        <f>E361+C362-D362</f>
      </c>
    </row>
    <row x14ac:dyDescent="0.25" r="363" customHeight="1" ht="17.25">
      <c r="A363" s="7">
        <v>45817</v>
      </c>
      <c r="B363" s="9" t="s">
        <v>414</v>
      </c>
      <c r="C363" s="6">
        <v>9</v>
      </c>
      <c r="D363" s="4"/>
      <c r="E363" s="6">
        <f>E362+C363-D363</f>
      </c>
    </row>
    <row x14ac:dyDescent="0.25" r="364" customHeight="1" ht="17.25">
      <c r="A364" s="7">
        <v>45817</v>
      </c>
      <c r="B364" s="9" t="s">
        <v>444</v>
      </c>
      <c r="C364" s="6">
        <v>94</v>
      </c>
      <c r="D364" s="4"/>
      <c r="E364" s="6">
        <f>E363+C364-D364</f>
      </c>
    </row>
    <row x14ac:dyDescent="0.25" r="365" customHeight="1" ht="17.25">
      <c r="A365" s="7">
        <v>45817</v>
      </c>
      <c r="B365" s="9" t="s">
        <v>234</v>
      </c>
      <c r="C365" s="6">
        <v>57</v>
      </c>
      <c r="D365" s="4"/>
      <c r="E365" s="6">
        <f>E364+C365-D365</f>
      </c>
    </row>
    <row x14ac:dyDescent="0.25" r="366" customHeight="1" ht="17.25">
      <c r="A366" s="7">
        <v>45818</v>
      </c>
      <c r="B366" s="9" t="s">
        <v>389</v>
      </c>
      <c r="C366" s="4"/>
      <c r="D366" s="6">
        <v>400</v>
      </c>
      <c r="E366" s="6">
        <f>E365+C366-D366</f>
      </c>
    </row>
    <row x14ac:dyDescent="0.25" r="367" customHeight="1" ht="17.25">
      <c r="A367" s="7">
        <v>45818</v>
      </c>
      <c r="B367" s="9" t="s">
        <v>333</v>
      </c>
      <c r="C367" s="4"/>
      <c r="D367" s="6">
        <v>144</v>
      </c>
      <c r="E367" s="6">
        <f>E366+C367-D367</f>
      </c>
    </row>
    <row x14ac:dyDescent="0.25" r="368" customHeight="1" ht="17.25">
      <c r="A368" s="7">
        <v>45818</v>
      </c>
      <c r="B368" s="9" t="s">
        <v>11</v>
      </c>
      <c r="C368" s="6">
        <v>97</v>
      </c>
      <c r="D368" s="4"/>
      <c r="E368" s="6">
        <f>E367+C368-D368</f>
      </c>
    </row>
    <row x14ac:dyDescent="0.25" r="369" customHeight="1" ht="17.25">
      <c r="A369" s="7">
        <v>45818</v>
      </c>
      <c r="B369" s="9" t="s">
        <v>189</v>
      </c>
      <c r="C369" s="6">
        <v>61</v>
      </c>
      <c r="D369" s="4"/>
      <c r="E369" s="6">
        <f>E368+C369-D369</f>
      </c>
    </row>
    <row x14ac:dyDescent="0.25" r="370" customHeight="1" ht="17.25">
      <c r="A370" s="7">
        <v>45819</v>
      </c>
      <c r="B370" s="9" t="s">
        <v>228</v>
      </c>
      <c r="C370" s="4"/>
      <c r="D370" s="6">
        <v>100</v>
      </c>
      <c r="E370" s="6">
        <f>E369+C370-D370</f>
      </c>
    </row>
    <row x14ac:dyDescent="0.25" r="371" customHeight="1" ht="17.25">
      <c r="A371" s="7">
        <v>45819</v>
      </c>
      <c r="B371" s="9" t="s">
        <v>4</v>
      </c>
      <c r="C371" s="4"/>
      <c r="D371" s="6">
        <v>300</v>
      </c>
      <c r="E371" s="6">
        <f>E370+C371-D371</f>
      </c>
    </row>
    <row x14ac:dyDescent="0.25" r="372" customHeight="1" ht="17.25">
      <c r="A372" s="7">
        <v>45819</v>
      </c>
      <c r="B372" s="9" t="s">
        <v>333</v>
      </c>
      <c r="C372" s="4"/>
      <c r="D372" s="6">
        <v>20</v>
      </c>
      <c r="E372" s="6">
        <f>E371+C372-D372</f>
      </c>
    </row>
    <row x14ac:dyDescent="0.25" r="373" customHeight="1" ht="17.25">
      <c r="A373" s="7">
        <v>45820</v>
      </c>
      <c r="B373" s="9" t="s">
        <v>89</v>
      </c>
      <c r="C373" s="4"/>
      <c r="D373" s="6">
        <v>100</v>
      </c>
      <c r="E373" s="6">
        <f>E372+C373-D373</f>
      </c>
    </row>
    <row x14ac:dyDescent="0.25" r="374" customHeight="1" ht="17.25">
      <c r="A374" s="8">
        <v>45820</v>
      </c>
      <c r="B374" s="9" t="s">
        <v>495</v>
      </c>
      <c r="C374" s="4"/>
      <c r="D374" s="6">
        <v>300</v>
      </c>
      <c r="E374" s="6">
        <f>E373+C374-D374</f>
      </c>
    </row>
    <row x14ac:dyDescent="0.25" r="375" customHeight="1" ht="17.25">
      <c r="A375" s="7">
        <v>45821</v>
      </c>
      <c r="B375" s="9" t="s">
        <v>46</v>
      </c>
      <c r="C375" s="4"/>
      <c r="D375" s="6">
        <v>132</v>
      </c>
      <c r="E375" s="6">
        <f>E374+C375-D375</f>
      </c>
    </row>
    <row x14ac:dyDescent="0.25" r="376" customHeight="1" ht="17.25">
      <c r="A376" s="7">
        <v>45821</v>
      </c>
      <c r="B376" s="9" t="s">
        <v>228</v>
      </c>
      <c r="C376" s="4"/>
      <c r="D376" s="6">
        <v>200</v>
      </c>
      <c r="E376" s="6">
        <f>E375+C376-D376</f>
      </c>
    </row>
    <row x14ac:dyDescent="0.25" r="377" customHeight="1" ht="17.25">
      <c r="A377" s="7">
        <v>45821</v>
      </c>
      <c r="B377" s="9" t="s">
        <v>35</v>
      </c>
      <c r="C377" s="4"/>
      <c r="D377" s="6">
        <v>50</v>
      </c>
      <c r="E377" s="6">
        <f>E376+C377-D377</f>
      </c>
    </row>
    <row x14ac:dyDescent="0.25" r="378" customHeight="1" ht="17.25">
      <c r="A378" s="8">
        <v>45821</v>
      </c>
      <c r="B378" s="9" t="s">
        <v>342</v>
      </c>
      <c r="C378" s="4"/>
      <c r="D378" s="6">
        <v>24</v>
      </c>
      <c r="E378" s="6">
        <f>E377+C378-D378</f>
      </c>
    </row>
    <row x14ac:dyDescent="0.25" r="379" customHeight="1" ht="17.25">
      <c r="A379" s="7">
        <v>45821</v>
      </c>
      <c r="B379" s="9" t="s">
        <v>3</v>
      </c>
      <c r="C379" s="6">
        <v>20</v>
      </c>
      <c r="D379" s="4"/>
      <c r="E379" s="6">
        <f>E378+C379-D379</f>
      </c>
    </row>
    <row x14ac:dyDescent="0.25" r="380" customHeight="1" ht="17.25">
      <c r="A380" s="7">
        <v>45821</v>
      </c>
      <c r="B380" s="9" t="s">
        <v>3</v>
      </c>
      <c r="C380" s="6">
        <v>14</v>
      </c>
      <c r="D380" s="4"/>
      <c r="E380" s="6">
        <f>E379+C380-D380</f>
      </c>
    </row>
    <row x14ac:dyDescent="0.25" r="381" customHeight="1" ht="17.25">
      <c r="A381" s="8">
        <v>45822</v>
      </c>
      <c r="B381" s="9" t="s">
        <v>389</v>
      </c>
      <c r="C381" s="4"/>
      <c r="D381" s="6">
        <v>100</v>
      </c>
      <c r="E381" s="6">
        <f>E380+C381-D381</f>
      </c>
    </row>
    <row x14ac:dyDescent="0.25" r="382" customHeight="1" ht="17.25">
      <c r="A382" s="7">
        <v>45822</v>
      </c>
      <c r="B382" s="9" t="s">
        <v>553</v>
      </c>
      <c r="C382" s="4"/>
      <c r="D382" s="6">
        <v>140</v>
      </c>
      <c r="E382" s="6">
        <f>E381+C382-D382</f>
      </c>
    </row>
    <row x14ac:dyDescent="0.25" r="383" customHeight="1" ht="17.25">
      <c r="A383" s="7">
        <v>45822</v>
      </c>
      <c r="B383" s="9" t="s">
        <v>2</v>
      </c>
      <c r="C383" s="4"/>
      <c r="D383" s="6">
        <v>60</v>
      </c>
      <c r="E383" s="6">
        <f>E382+C383-D383</f>
      </c>
    </row>
    <row x14ac:dyDescent="0.25" r="384" customHeight="1" ht="17.25">
      <c r="A384" s="7">
        <v>45822</v>
      </c>
      <c r="B384" s="9" t="s">
        <v>35</v>
      </c>
      <c r="C384" s="4"/>
      <c r="D384" s="6">
        <v>50</v>
      </c>
      <c r="E384" s="6">
        <f>E383+C384-D384</f>
      </c>
    </row>
    <row x14ac:dyDescent="0.25" r="385" customHeight="1" ht="17.25">
      <c r="A385" s="7">
        <v>45823</v>
      </c>
      <c r="B385" s="9" t="s">
        <v>389</v>
      </c>
      <c r="C385" s="4"/>
      <c r="D385" s="6">
        <v>400</v>
      </c>
      <c r="E385" s="6">
        <f>E384+C385-D385</f>
      </c>
    </row>
    <row x14ac:dyDescent="0.25" r="386" customHeight="1" ht="17.25">
      <c r="A386" s="7">
        <v>45824</v>
      </c>
      <c r="B386" s="9" t="s">
        <v>411</v>
      </c>
      <c r="C386" s="4"/>
      <c r="D386" s="6">
        <v>224</v>
      </c>
      <c r="E386" s="6">
        <f>E385+C386-D386</f>
      </c>
    </row>
    <row x14ac:dyDescent="0.25" r="387" customHeight="1" ht="17.25">
      <c r="A387" s="8">
        <v>45824</v>
      </c>
      <c r="B387" s="9" t="s">
        <v>289</v>
      </c>
      <c r="C387" s="6">
        <v>27</v>
      </c>
      <c r="D387" s="4"/>
      <c r="E387" s="6">
        <f>E386+C387-D387</f>
      </c>
    </row>
    <row x14ac:dyDescent="0.25" r="388" customHeight="1" ht="17.25">
      <c r="A388" s="8">
        <v>45824</v>
      </c>
      <c r="B388" s="9" t="s">
        <v>484</v>
      </c>
      <c r="C388" s="6">
        <v>265</v>
      </c>
      <c r="D388" s="4"/>
      <c r="E388" s="6">
        <f>E387+C388-D388</f>
      </c>
    </row>
    <row x14ac:dyDescent="0.25" r="389" customHeight="1" ht="17.25">
      <c r="A389" s="7">
        <v>45825</v>
      </c>
      <c r="B389" s="9" t="s">
        <v>100</v>
      </c>
      <c r="C389" s="4"/>
      <c r="D389" s="6">
        <v>100</v>
      </c>
      <c r="E389" s="6">
        <f>E388+C389-D389</f>
      </c>
    </row>
    <row x14ac:dyDescent="0.25" r="390" customHeight="1" ht="17.25">
      <c r="A390" s="8">
        <v>45825</v>
      </c>
      <c r="B390" s="9" t="s">
        <v>35</v>
      </c>
      <c r="C390" s="4"/>
      <c r="D390" s="6">
        <v>100</v>
      </c>
      <c r="E390" s="6">
        <f>E389+C390-D390</f>
      </c>
    </row>
    <row x14ac:dyDescent="0.25" r="391" customHeight="1" ht="17.25">
      <c r="A391" s="7">
        <v>45825</v>
      </c>
      <c r="B391" s="9" t="s">
        <v>291</v>
      </c>
      <c r="C391" s="6">
        <v>1600</v>
      </c>
      <c r="D391" s="4"/>
      <c r="E391" s="6">
        <f>E390+C391-D391</f>
      </c>
    </row>
    <row x14ac:dyDescent="0.25" r="392" customHeight="1" ht="17.25">
      <c r="A392" s="7">
        <v>45826</v>
      </c>
      <c r="B392" s="9" t="s">
        <v>25</v>
      </c>
      <c r="C392" s="4"/>
      <c r="D392" s="6">
        <v>120</v>
      </c>
      <c r="E392" s="6">
        <f>E391+C392-D392</f>
      </c>
    </row>
    <row x14ac:dyDescent="0.25" r="393" customHeight="1" ht="17.25">
      <c r="A393" s="8">
        <v>45827</v>
      </c>
      <c r="B393" s="9" t="s">
        <v>554</v>
      </c>
      <c r="C393" s="4"/>
      <c r="D393" s="6">
        <v>321</v>
      </c>
      <c r="E393" s="6">
        <f>E392+C393-D393</f>
      </c>
    </row>
    <row x14ac:dyDescent="0.25" r="394" customHeight="1" ht="17.25">
      <c r="A394" s="8">
        <v>45827</v>
      </c>
      <c r="B394" s="9" t="s">
        <v>554</v>
      </c>
      <c r="C394" s="4"/>
      <c r="D394" s="6">
        <v>49</v>
      </c>
      <c r="E394" s="6">
        <f>E393+C394-D394</f>
      </c>
    </row>
    <row x14ac:dyDescent="0.25" r="395" customHeight="1" ht="17.25">
      <c r="A395" s="8">
        <v>45827</v>
      </c>
      <c r="B395" s="9" t="s">
        <v>384</v>
      </c>
      <c r="C395" s="6">
        <v>1</v>
      </c>
      <c r="D395" s="4"/>
      <c r="E395" s="6">
        <f>E394+C395-D395</f>
      </c>
    </row>
    <row x14ac:dyDescent="0.25" r="396" customHeight="1" ht="17.25">
      <c r="A396" s="8">
        <v>45827</v>
      </c>
      <c r="B396" s="9" t="s">
        <v>266</v>
      </c>
      <c r="C396" s="6">
        <v>79</v>
      </c>
      <c r="D396" s="4"/>
      <c r="E396" s="6">
        <f>E395+C396-D396</f>
      </c>
    </row>
    <row x14ac:dyDescent="0.25" r="397" customHeight="1" ht="17.25">
      <c r="A397" s="7">
        <v>45828</v>
      </c>
      <c r="B397" s="9" t="s">
        <v>289</v>
      </c>
      <c r="C397" s="6">
        <v>60</v>
      </c>
      <c r="D397" s="4"/>
      <c r="E397" s="6">
        <f>E396+C397-D397</f>
      </c>
    </row>
    <row x14ac:dyDescent="0.25" r="398" customHeight="1" ht="17.25">
      <c r="A398" s="8">
        <v>45829</v>
      </c>
      <c r="B398" s="9" t="s">
        <v>497</v>
      </c>
      <c r="C398" s="6">
        <v>250</v>
      </c>
      <c r="D398" s="4"/>
      <c r="E398" s="6">
        <f>E397+C398-D398</f>
      </c>
    </row>
    <row x14ac:dyDescent="0.25" r="399" customHeight="1" ht="17.25">
      <c r="A399" s="8">
        <v>45831</v>
      </c>
      <c r="B399" s="9" t="s">
        <v>141</v>
      </c>
      <c r="C399" s="6">
        <v>109</v>
      </c>
      <c r="D399" s="4"/>
      <c r="E399" s="6">
        <f>E398+C399-D399</f>
      </c>
    </row>
    <row x14ac:dyDescent="0.25" r="400" customHeight="1" ht="17.25">
      <c r="A400" s="8">
        <v>45831</v>
      </c>
      <c r="B400" s="9" t="s">
        <v>29</v>
      </c>
      <c r="C400" s="6">
        <v>480</v>
      </c>
      <c r="D400" s="4"/>
      <c r="E400" s="6">
        <f>E399+C400-D400</f>
      </c>
    </row>
    <row x14ac:dyDescent="0.25" r="401" customHeight="1" ht="17.25">
      <c r="A401" s="8">
        <v>45832</v>
      </c>
      <c r="B401" s="9" t="s">
        <v>4</v>
      </c>
      <c r="C401" s="4"/>
      <c r="D401" s="6">
        <v>350</v>
      </c>
      <c r="E401" s="6">
        <f>E400+C401-D401</f>
      </c>
    </row>
    <row x14ac:dyDescent="0.25" r="402" customHeight="1" ht="17.25">
      <c r="A402" s="8">
        <v>45832</v>
      </c>
      <c r="B402" s="9" t="s">
        <v>89</v>
      </c>
      <c r="C402" s="4"/>
      <c r="D402" s="6">
        <v>432</v>
      </c>
      <c r="E402" s="6">
        <f>E401+C402-D402</f>
      </c>
    </row>
    <row x14ac:dyDescent="0.25" r="403" customHeight="1" ht="17.25">
      <c r="A403" s="8">
        <v>45833</v>
      </c>
      <c r="B403" s="9" t="s">
        <v>35</v>
      </c>
      <c r="C403" s="6">
        <v>170</v>
      </c>
      <c r="D403" s="4"/>
      <c r="E403" s="6">
        <f>E402+C403-D403</f>
      </c>
    </row>
    <row x14ac:dyDescent="0.25" r="404" customHeight="1" ht="17.25">
      <c r="A404" s="7">
        <v>45833</v>
      </c>
      <c r="B404" s="9" t="s">
        <v>286</v>
      </c>
      <c r="C404" s="6">
        <v>236</v>
      </c>
      <c r="D404" s="4"/>
      <c r="E404" s="6">
        <f>E403+C404-D404</f>
      </c>
    </row>
    <row x14ac:dyDescent="0.25" r="405" customHeight="1" ht="17.25">
      <c r="A405" s="8">
        <v>45836</v>
      </c>
      <c r="B405" s="9" t="s">
        <v>316</v>
      </c>
      <c r="C405" s="4"/>
      <c r="D405" s="6">
        <v>500</v>
      </c>
      <c r="E405" s="6">
        <f>E404+C405-D405</f>
      </c>
    </row>
    <row x14ac:dyDescent="0.25" r="406" customHeight="1" ht="17.25">
      <c r="A406" s="8">
        <v>45836</v>
      </c>
      <c r="B406" s="9" t="s">
        <v>29</v>
      </c>
      <c r="C406" s="6">
        <v>640</v>
      </c>
      <c r="D406" s="4"/>
      <c r="E406" s="6">
        <f>E405+C406-D406</f>
      </c>
    </row>
    <row x14ac:dyDescent="0.25" r="407" customHeight="1" ht="17.25">
      <c r="A407" s="7">
        <v>45836</v>
      </c>
      <c r="B407" s="9" t="s">
        <v>3</v>
      </c>
      <c r="C407" s="6">
        <v>910</v>
      </c>
      <c r="D407" s="4"/>
      <c r="E407" s="6">
        <f>E406+C407-D407</f>
      </c>
    </row>
    <row x14ac:dyDescent="0.25" r="408" customHeight="1" ht="17.25">
      <c r="A408" s="7">
        <v>45838</v>
      </c>
      <c r="B408" s="9" t="s">
        <v>316</v>
      </c>
      <c r="C408" s="4"/>
      <c r="D408" s="6">
        <v>800</v>
      </c>
      <c r="E408" s="6">
        <f>E407+C408-D408</f>
      </c>
    </row>
    <row x14ac:dyDescent="0.25" r="409" customHeight="1" ht="17.25">
      <c r="A409" s="7">
        <v>45838</v>
      </c>
      <c r="B409" s="9" t="s">
        <v>316</v>
      </c>
      <c r="C409" s="4"/>
      <c r="D409" s="6">
        <v>250</v>
      </c>
      <c r="E409" s="6">
        <f>E408+C409-D409</f>
      </c>
    </row>
    <row x14ac:dyDescent="0.25" r="410" customHeight="1" ht="17.25">
      <c r="A410" s="8">
        <v>45838</v>
      </c>
      <c r="B410" s="9" t="s">
        <v>554</v>
      </c>
      <c r="C410" s="4"/>
      <c r="D410" s="6">
        <v>280</v>
      </c>
      <c r="E410" s="6">
        <f>E409+C410-D410</f>
      </c>
    </row>
    <row x14ac:dyDescent="0.25" r="411" customHeight="1" ht="17.25">
      <c r="A411" s="7">
        <v>45839</v>
      </c>
      <c r="B411" s="9" t="s">
        <v>444</v>
      </c>
      <c r="C411" s="4"/>
      <c r="D411" s="6">
        <v>100</v>
      </c>
      <c r="E411" s="6">
        <f>E410+C411-D411</f>
      </c>
    </row>
    <row x14ac:dyDescent="0.25" r="412" customHeight="1" ht="17.25">
      <c r="A412" s="8">
        <v>45839</v>
      </c>
      <c r="B412" s="9" t="s">
        <v>341</v>
      </c>
      <c r="C412" s="4"/>
      <c r="D412" s="6">
        <v>100</v>
      </c>
      <c r="E412" s="6">
        <f>E411+C412-D412</f>
      </c>
    </row>
    <row x14ac:dyDescent="0.25" r="413" customHeight="1" ht="17.25">
      <c r="A413" s="8">
        <v>45839</v>
      </c>
      <c r="B413" s="9" t="s">
        <v>554</v>
      </c>
      <c r="C413" s="4"/>
      <c r="D413" s="6">
        <v>160</v>
      </c>
      <c r="E413" s="6">
        <f>E412+C413-D413</f>
      </c>
    </row>
    <row x14ac:dyDescent="0.25" r="414" customHeight="1" ht="17.25">
      <c r="A414" s="8">
        <v>45839</v>
      </c>
      <c r="B414" s="9" t="s">
        <v>35</v>
      </c>
      <c r="C414" s="6">
        <v>52</v>
      </c>
      <c r="D414" s="4"/>
      <c r="E414" s="6">
        <f>E413+C414-D414</f>
      </c>
    </row>
    <row x14ac:dyDescent="0.25" r="415" customHeight="1" ht="17.25">
      <c r="A415" s="8">
        <v>45839</v>
      </c>
      <c r="B415" s="9" t="s">
        <v>286</v>
      </c>
      <c r="C415" s="6">
        <v>125</v>
      </c>
      <c r="D415" s="4"/>
      <c r="E415" s="6">
        <f>E414+C415-D415</f>
      </c>
    </row>
    <row x14ac:dyDescent="0.25" r="416" customHeight="1" ht="17.25">
      <c r="A416" s="7">
        <v>45840</v>
      </c>
      <c r="B416" s="9" t="s">
        <v>316</v>
      </c>
      <c r="C416" s="4"/>
      <c r="D416" s="6">
        <v>450</v>
      </c>
      <c r="E416" s="6">
        <f>E415+C416-D416</f>
      </c>
    </row>
    <row x14ac:dyDescent="0.25" r="417" customHeight="1" ht="17.25">
      <c r="A417" s="8">
        <v>45840</v>
      </c>
      <c r="B417" s="9" t="s">
        <v>46</v>
      </c>
      <c r="C417" s="4"/>
      <c r="D417" s="6">
        <v>616</v>
      </c>
      <c r="E417" s="6">
        <f>E416+C417-D417</f>
      </c>
    </row>
    <row x14ac:dyDescent="0.25" r="418" customHeight="1" ht="17.25">
      <c r="A418" s="7">
        <v>45841</v>
      </c>
      <c r="B418" s="9" t="s">
        <v>555</v>
      </c>
      <c r="C418" s="4"/>
      <c r="D418" s="6">
        <v>500</v>
      </c>
      <c r="E418" s="6">
        <f>E417+C418-D418</f>
      </c>
    </row>
    <row x14ac:dyDescent="0.25" r="419" customHeight="1" ht="17.25">
      <c r="A419" s="7">
        <v>45841</v>
      </c>
      <c r="B419" s="9" t="s">
        <v>284</v>
      </c>
      <c r="C419" s="4"/>
      <c r="D419" s="6">
        <v>500</v>
      </c>
      <c r="E419" s="6">
        <f>E418+C419-D419</f>
      </c>
    </row>
    <row x14ac:dyDescent="0.25" r="420" customHeight="1" ht="17.25">
      <c r="A420" s="8">
        <v>45841</v>
      </c>
      <c r="B420" s="9" t="s">
        <v>257</v>
      </c>
      <c r="C420" s="6">
        <v>40</v>
      </c>
      <c r="D420" s="4"/>
      <c r="E420" s="6">
        <f>E419+C420-D420</f>
      </c>
    </row>
    <row x14ac:dyDescent="0.25" r="421" customHeight="1" ht="17.25">
      <c r="A421" s="8">
        <v>45841</v>
      </c>
      <c r="B421" s="9" t="s">
        <v>411</v>
      </c>
      <c r="C421" s="6">
        <v>34</v>
      </c>
      <c r="D421" s="4"/>
      <c r="E421" s="6">
        <f>E420+C421-D421</f>
      </c>
    </row>
    <row x14ac:dyDescent="0.25" r="422" customHeight="1" ht="17.25">
      <c r="A422" s="8">
        <v>45842</v>
      </c>
      <c r="B422" s="9" t="s">
        <v>298</v>
      </c>
      <c r="C422" s="4"/>
      <c r="D422" s="6">
        <v>1056</v>
      </c>
      <c r="E422" s="6">
        <f>E421+C422-D422</f>
      </c>
    </row>
    <row x14ac:dyDescent="0.25" r="423" customHeight="1" ht="17.25">
      <c r="A423" s="8">
        <v>45842</v>
      </c>
      <c r="B423" s="9" t="s">
        <v>333</v>
      </c>
      <c r="C423" s="4"/>
      <c r="D423" s="6">
        <v>164</v>
      </c>
      <c r="E423" s="6">
        <f>E422+C423-D423</f>
      </c>
    </row>
    <row x14ac:dyDescent="0.25" r="424" customHeight="1" ht="17.25">
      <c r="A424" s="7">
        <v>45842</v>
      </c>
      <c r="B424" s="9" t="s">
        <v>286</v>
      </c>
      <c r="C424" s="6">
        <v>119</v>
      </c>
      <c r="D424" s="4"/>
      <c r="E424" s="6">
        <f>E423+C424-D424</f>
      </c>
    </row>
    <row x14ac:dyDescent="0.25" r="425" customHeight="1" ht="17.25">
      <c r="A425" s="7">
        <v>45842</v>
      </c>
      <c r="B425" s="9" t="s">
        <v>89</v>
      </c>
      <c r="C425" s="6">
        <v>480</v>
      </c>
      <c r="D425" s="4"/>
      <c r="E425" s="6">
        <f>E424+C425-D425</f>
      </c>
    </row>
    <row x14ac:dyDescent="0.25" r="426" customHeight="1" ht="17.25">
      <c r="A426" s="8">
        <v>45843</v>
      </c>
      <c r="B426" s="9" t="s">
        <v>284</v>
      </c>
      <c r="C426" s="4"/>
      <c r="D426" s="6">
        <v>500</v>
      </c>
      <c r="E426" s="6">
        <f>E425+C426-D426</f>
      </c>
    </row>
    <row x14ac:dyDescent="0.25" r="427" customHeight="1" ht="17.25">
      <c r="A427" s="7">
        <v>45843</v>
      </c>
      <c r="B427" s="9" t="s">
        <v>283</v>
      </c>
      <c r="C427" s="6">
        <v>132</v>
      </c>
      <c r="D427" s="4"/>
      <c r="E427" s="6">
        <f>E426+C427-D427</f>
      </c>
    </row>
    <row x14ac:dyDescent="0.25" r="428" customHeight="1" ht="17.25">
      <c r="A428" s="8">
        <v>45845</v>
      </c>
      <c r="B428" s="9" t="s">
        <v>343</v>
      </c>
      <c r="C428" s="4"/>
      <c r="D428" s="6">
        <v>30</v>
      </c>
      <c r="E428" s="6">
        <f>E427+C428-D428</f>
      </c>
    </row>
    <row x14ac:dyDescent="0.25" r="429" customHeight="1" ht="17.25">
      <c r="A429" s="7">
        <v>45846</v>
      </c>
      <c r="B429" s="9" t="s">
        <v>234</v>
      </c>
      <c r="C429" s="4"/>
      <c r="D429" s="6">
        <v>200</v>
      </c>
      <c r="E429" s="6">
        <f>E428+C429-D429</f>
      </c>
    </row>
    <row x14ac:dyDescent="0.25" r="430" customHeight="1" ht="17.25">
      <c r="A430" s="8">
        <v>45847</v>
      </c>
      <c r="B430" s="9" t="s">
        <v>25</v>
      </c>
      <c r="C430" s="4"/>
      <c r="D430" s="6">
        <v>240</v>
      </c>
      <c r="E430" s="6">
        <f>E429+C430-D430</f>
      </c>
    </row>
    <row x14ac:dyDescent="0.25" r="431" customHeight="1" ht="17.25">
      <c r="A431" s="8">
        <v>45847</v>
      </c>
      <c r="B431" s="9" t="s">
        <v>35</v>
      </c>
      <c r="C431" s="6">
        <v>120</v>
      </c>
      <c r="D431" s="4"/>
      <c r="E431" s="6">
        <f>E430+C431-D431</f>
      </c>
    </row>
    <row x14ac:dyDescent="0.25" r="432" customHeight="1" ht="17.25">
      <c r="A432" s="7">
        <v>45847</v>
      </c>
      <c r="B432" s="9" t="s">
        <v>275</v>
      </c>
      <c r="C432" s="6">
        <v>16</v>
      </c>
      <c r="D432" s="4"/>
      <c r="E432" s="6">
        <f>E431+C432-D432</f>
      </c>
    </row>
    <row x14ac:dyDescent="0.25" r="433" customHeight="1" ht="17.25">
      <c r="A433" s="8">
        <v>45847</v>
      </c>
      <c r="B433" s="9" t="s">
        <v>299</v>
      </c>
      <c r="C433" s="4"/>
      <c r="D433" s="6">
        <v>352</v>
      </c>
      <c r="E433" s="6">
        <f>E432+C433-D433</f>
      </c>
    </row>
    <row x14ac:dyDescent="0.25" r="434" customHeight="1" ht="17.25">
      <c r="A434" s="7">
        <v>45848</v>
      </c>
      <c r="B434" s="9" t="s">
        <v>189</v>
      </c>
      <c r="C434" s="6">
        <v>95</v>
      </c>
      <c r="D434" s="4"/>
      <c r="E434" s="6">
        <f>E433+C434-D434</f>
      </c>
    </row>
    <row x14ac:dyDescent="0.25" r="435" customHeight="1" ht="17.25">
      <c r="A435" s="8">
        <v>45850</v>
      </c>
      <c r="B435" s="9" t="s">
        <v>2</v>
      </c>
      <c r="C435" s="4"/>
      <c r="D435" s="6">
        <v>100</v>
      </c>
      <c r="E435" s="6">
        <f>E434+C435-D435</f>
      </c>
    </row>
    <row x14ac:dyDescent="0.25" r="436" customHeight="1" ht="17.25">
      <c r="A436" s="8">
        <v>45850</v>
      </c>
      <c r="B436" s="9" t="s">
        <v>238</v>
      </c>
      <c r="C436" s="6">
        <f>101+135</f>
      </c>
      <c r="D436" s="4"/>
      <c r="E436" s="6">
        <f>E435+C436-D436</f>
      </c>
    </row>
    <row x14ac:dyDescent="0.25" r="437" customHeight="1" ht="17.25">
      <c r="A437" s="7">
        <v>45850</v>
      </c>
      <c r="B437" s="9" t="s">
        <v>411</v>
      </c>
      <c r="C437" s="6">
        <v>80</v>
      </c>
      <c r="D437" s="4"/>
      <c r="E437" s="6">
        <f>E436+C437-D437</f>
      </c>
    </row>
    <row x14ac:dyDescent="0.25" r="438" customHeight="1" ht="17.25">
      <c r="A438" s="7">
        <v>45850</v>
      </c>
      <c r="B438" s="9" t="s">
        <v>189</v>
      </c>
      <c r="C438" s="6">
        <v>147</v>
      </c>
      <c r="D438" s="4"/>
      <c r="E438" s="6">
        <f>E437+C438-D438</f>
      </c>
    </row>
    <row x14ac:dyDescent="0.25" r="439" customHeight="1" ht="17.25">
      <c r="A439" s="7">
        <v>45852</v>
      </c>
      <c r="B439" s="9" t="s">
        <v>286</v>
      </c>
      <c r="C439" s="6">
        <v>488</v>
      </c>
      <c r="D439" s="4"/>
      <c r="E439" s="6">
        <f>E438+C439-D439</f>
      </c>
    </row>
    <row x14ac:dyDescent="0.25" r="440" customHeight="1" ht="17.25">
      <c r="A440" s="8">
        <v>45853</v>
      </c>
      <c r="B440" s="9" t="s">
        <v>47</v>
      </c>
      <c r="C440" s="4"/>
      <c r="D440" s="6">
        <v>336</v>
      </c>
      <c r="E440" s="6">
        <f>E439+C440-D440</f>
      </c>
    </row>
    <row x14ac:dyDescent="0.25" r="441" customHeight="1" ht="17.25">
      <c r="A441" s="7">
        <v>45853</v>
      </c>
      <c r="B441" s="9" t="s">
        <v>141</v>
      </c>
      <c r="C441" s="6">
        <v>50</v>
      </c>
      <c r="D441" s="4"/>
      <c r="E441" s="6">
        <f>E440+C441-D441</f>
      </c>
    </row>
    <row x14ac:dyDescent="0.25" r="442" customHeight="1" ht="17.25">
      <c r="A442" s="7">
        <v>45853</v>
      </c>
      <c r="B442" s="9" t="s">
        <v>382</v>
      </c>
      <c r="C442" s="6">
        <v>52</v>
      </c>
      <c r="D442" s="4"/>
      <c r="E442" s="6">
        <f>E441+C442-D442</f>
      </c>
    </row>
    <row x14ac:dyDescent="0.25" r="443" customHeight="1" ht="17.25">
      <c r="A443" s="8">
        <v>45853</v>
      </c>
      <c r="B443" s="9" t="s">
        <v>301</v>
      </c>
      <c r="C443" s="4"/>
      <c r="D443" s="6">
        <v>40</v>
      </c>
      <c r="E443" s="6">
        <f>E442+C443-D443</f>
      </c>
    </row>
    <row x14ac:dyDescent="0.25" r="444" customHeight="1" ht="17.25">
      <c r="A444" s="7">
        <v>45854</v>
      </c>
      <c r="B444" s="9" t="s">
        <v>35</v>
      </c>
      <c r="C444" s="6">
        <v>100</v>
      </c>
      <c r="D444" s="4"/>
      <c r="E444" s="6">
        <f>E443+C444-D444</f>
      </c>
    </row>
    <row x14ac:dyDescent="0.25" r="445" customHeight="1" ht="17.25">
      <c r="A445" s="7">
        <v>45854</v>
      </c>
      <c r="B445" s="9" t="s">
        <v>189</v>
      </c>
      <c r="C445" s="6">
        <v>137</v>
      </c>
      <c r="D445" s="4"/>
      <c r="E445" s="6">
        <f>E444+C445-D445</f>
      </c>
    </row>
    <row x14ac:dyDescent="0.25" r="446" customHeight="1" ht="17.25">
      <c r="A446" s="7">
        <v>45854</v>
      </c>
      <c r="B446" s="9" t="s">
        <v>452</v>
      </c>
      <c r="C446" s="6">
        <v>100</v>
      </c>
      <c r="D446" s="4"/>
      <c r="E446" s="6">
        <f>E445+C446-D446</f>
      </c>
    </row>
    <row x14ac:dyDescent="0.25" r="447" customHeight="1" ht="17.25">
      <c r="A447" s="7">
        <v>45854</v>
      </c>
      <c r="B447" s="9" t="s">
        <v>411</v>
      </c>
      <c r="C447" s="6">
        <v>81</v>
      </c>
      <c r="D447" s="4"/>
      <c r="E447" s="6">
        <f>E446+C447-D447</f>
      </c>
    </row>
    <row x14ac:dyDescent="0.25" r="448" customHeight="1" ht="17.25">
      <c r="A448" s="7">
        <v>45854</v>
      </c>
      <c r="B448" s="9" t="s">
        <v>189</v>
      </c>
      <c r="C448" s="6">
        <v>50</v>
      </c>
      <c r="D448" s="4"/>
      <c r="E448" s="6">
        <f>E447+C448-D448</f>
      </c>
    </row>
    <row x14ac:dyDescent="0.25" r="449" customHeight="1" ht="17.25">
      <c r="A449" s="7">
        <v>45854</v>
      </c>
      <c r="B449" s="9" t="s">
        <v>376</v>
      </c>
      <c r="C449" s="6">
        <v>133</v>
      </c>
      <c r="D449" s="4"/>
      <c r="E449" s="6">
        <f>E448+C449-D449</f>
      </c>
    </row>
    <row x14ac:dyDescent="0.25" r="450" customHeight="1" ht="17.25">
      <c r="A450" s="7">
        <v>45855</v>
      </c>
      <c r="B450" s="9" t="s">
        <v>556</v>
      </c>
      <c r="C450" s="6">
        <v>20</v>
      </c>
      <c r="D450" s="4"/>
      <c r="E450" s="6">
        <f>E449+C450-D450</f>
      </c>
    </row>
    <row x14ac:dyDescent="0.25" r="451" customHeight="1" ht="17.25">
      <c r="A451" s="7">
        <v>45856</v>
      </c>
      <c r="B451" s="9" t="s">
        <v>25</v>
      </c>
      <c r="C451" s="4"/>
      <c r="D451" s="6">
        <v>120</v>
      </c>
      <c r="E451" s="6">
        <f>E450+C451-D451</f>
      </c>
    </row>
    <row x14ac:dyDescent="0.25" r="452" customHeight="1" ht="17.25">
      <c r="A452" s="7">
        <v>45856</v>
      </c>
      <c r="B452" s="9" t="s">
        <v>411</v>
      </c>
      <c r="C452" s="6">
        <v>95</v>
      </c>
      <c r="D452" s="4"/>
      <c r="E452" s="6">
        <f>E451+C452-D452</f>
      </c>
    </row>
    <row x14ac:dyDescent="0.25" r="453" customHeight="1" ht="17.25">
      <c r="A453" s="8">
        <v>45857</v>
      </c>
      <c r="B453" s="9" t="s">
        <v>289</v>
      </c>
      <c r="C453" s="4"/>
      <c r="D453" s="6">
        <v>96</v>
      </c>
      <c r="E453" s="6">
        <f>E452+C453-D453</f>
      </c>
    </row>
    <row x14ac:dyDescent="0.25" r="454" customHeight="1" ht="17.25">
      <c r="A454" s="8">
        <v>45857</v>
      </c>
      <c r="B454" s="9" t="s">
        <v>303</v>
      </c>
      <c r="C454" s="4"/>
      <c r="D454" s="6">
        <v>300</v>
      </c>
      <c r="E454" s="6">
        <f>E453+C454-D454</f>
      </c>
    </row>
    <row x14ac:dyDescent="0.25" r="455" customHeight="1" ht="17.25">
      <c r="A455" s="7">
        <v>45857</v>
      </c>
      <c r="B455" s="9" t="s">
        <v>46</v>
      </c>
      <c r="C455" s="4"/>
      <c r="D455" s="6">
        <v>700</v>
      </c>
      <c r="E455" s="6">
        <f>E454+C455-D455</f>
      </c>
    </row>
    <row x14ac:dyDescent="0.25" r="456" customHeight="1" ht="17.25">
      <c r="A456" s="8">
        <v>45857</v>
      </c>
      <c r="B456" s="9" t="s">
        <v>299</v>
      </c>
      <c r="C456" s="4"/>
      <c r="D456" s="6">
        <v>60</v>
      </c>
      <c r="E456" s="6">
        <f>E455+C456-D456</f>
      </c>
    </row>
    <row x14ac:dyDescent="0.25" r="457" customHeight="1" ht="17.25">
      <c r="A457" s="8">
        <v>45859</v>
      </c>
      <c r="B457" s="9" t="s">
        <v>311</v>
      </c>
      <c r="C457" s="4"/>
      <c r="D457" s="6">
        <v>200</v>
      </c>
      <c r="E457" s="6">
        <f>E456+C457-D457</f>
      </c>
    </row>
    <row x14ac:dyDescent="0.25" r="458" customHeight="1" ht="17.25">
      <c r="A458" s="7">
        <v>45860</v>
      </c>
      <c r="B458" s="9" t="s">
        <v>89</v>
      </c>
      <c r="C458" s="6">
        <v>160</v>
      </c>
      <c r="D458" s="4"/>
      <c r="E458" s="6">
        <f>E457+C458-D458</f>
      </c>
    </row>
    <row x14ac:dyDescent="0.25" r="459" customHeight="1" ht="17.25">
      <c r="A459" s="7">
        <v>45860</v>
      </c>
      <c r="B459" s="9" t="s">
        <v>389</v>
      </c>
      <c r="C459" s="4"/>
      <c r="D459" s="6">
        <v>200</v>
      </c>
      <c r="E459" s="6">
        <f>E458+C459-D459</f>
      </c>
    </row>
    <row x14ac:dyDescent="0.25" r="460" customHeight="1" ht="17.25">
      <c r="A460" s="7">
        <v>45860</v>
      </c>
      <c r="B460" s="9" t="s">
        <v>4</v>
      </c>
      <c r="C460" s="6">
        <v>241</v>
      </c>
      <c r="D460" s="4"/>
      <c r="E460" s="6">
        <f>E459+C460-D460</f>
      </c>
    </row>
    <row x14ac:dyDescent="0.25" r="461" customHeight="1" ht="17.25">
      <c r="A461" s="7">
        <v>45860</v>
      </c>
      <c r="B461" s="9" t="s">
        <v>42</v>
      </c>
      <c r="C461" s="6">
        <v>795</v>
      </c>
      <c r="D461" s="4"/>
      <c r="E461" s="6">
        <f>E460+C461-D461</f>
      </c>
    </row>
    <row x14ac:dyDescent="0.25" r="462" customHeight="1" ht="17.25">
      <c r="A462" s="8">
        <v>45860</v>
      </c>
      <c r="B462" s="9" t="s">
        <v>89</v>
      </c>
      <c r="C462" s="6">
        <v>87</v>
      </c>
      <c r="D462" s="4"/>
      <c r="E462" s="6">
        <f>E461+C462-D462</f>
      </c>
    </row>
    <row x14ac:dyDescent="0.25" r="463" customHeight="1" ht="17.25">
      <c r="A463" s="8">
        <v>45861</v>
      </c>
      <c r="B463" s="9" t="s">
        <v>284</v>
      </c>
      <c r="C463" s="4"/>
      <c r="D463" s="6">
        <v>200</v>
      </c>
      <c r="E463" s="6">
        <f>E462+C463-D463</f>
      </c>
    </row>
    <row x14ac:dyDescent="0.25" r="464" customHeight="1" ht="17.25">
      <c r="A464" s="8">
        <v>45861</v>
      </c>
      <c r="B464" s="9" t="s">
        <v>304</v>
      </c>
      <c r="C464" s="4"/>
      <c r="D464" s="6">
        <v>50</v>
      </c>
      <c r="E464" s="6">
        <f>E463+C464-D464</f>
      </c>
    </row>
    <row x14ac:dyDescent="0.25" r="465" customHeight="1" ht="17.25">
      <c r="A465" s="8">
        <v>45861</v>
      </c>
      <c r="B465" s="9" t="s">
        <v>342</v>
      </c>
      <c r="C465" s="6">
        <v>20</v>
      </c>
      <c r="D465" s="4"/>
      <c r="E465" s="6">
        <f>E464+C465-D465</f>
      </c>
    </row>
    <row x14ac:dyDescent="0.25" r="466" customHeight="1" ht="17.25">
      <c r="A466" s="8">
        <v>45862</v>
      </c>
      <c r="B466" s="9" t="s">
        <v>232</v>
      </c>
      <c r="C466" s="4"/>
      <c r="D466" s="6">
        <v>300</v>
      </c>
      <c r="E466" s="6">
        <f>E465+C466-D466</f>
      </c>
    </row>
    <row x14ac:dyDescent="0.25" r="467" customHeight="1" ht="17.25">
      <c r="A467" s="7">
        <v>45862</v>
      </c>
      <c r="B467" s="9" t="s">
        <v>333</v>
      </c>
      <c r="C467" s="4"/>
      <c r="D467" s="6">
        <v>140</v>
      </c>
      <c r="E467" s="6">
        <f>E466+C467-D467</f>
      </c>
    </row>
    <row x14ac:dyDescent="0.25" r="468" customHeight="1" ht="17.25">
      <c r="A468" s="7">
        <v>45862</v>
      </c>
      <c r="B468" s="9" t="s">
        <v>485</v>
      </c>
      <c r="C468" s="6">
        <v>550</v>
      </c>
      <c r="D468" s="4"/>
      <c r="E468" s="6">
        <f>E467+C468-D468</f>
      </c>
    </row>
    <row x14ac:dyDescent="0.25" r="469" customHeight="1" ht="17.25">
      <c r="A469" s="7">
        <v>45863</v>
      </c>
      <c r="B469" s="9" t="s">
        <v>233</v>
      </c>
      <c r="C469" s="4"/>
      <c r="D469" s="6">
        <v>500</v>
      </c>
      <c r="E469" s="6">
        <f>E468+C469-D469</f>
      </c>
    </row>
    <row x14ac:dyDescent="0.25" r="470" customHeight="1" ht="17.25">
      <c r="A470" s="7">
        <v>45864</v>
      </c>
      <c r="B470" s="9" t="s">
        <v>384</v>
      </c>
      <c r="C470" s="4"/>
      <c r="D470" s="6">
        <v>2</v>
      </c>
      <c r="E470" s="6">
        <f>E469+C470-D470</f>
      </c>
    </row>
    <row x14ac:dyDescent="0.25" r="471" customHeight="1" ht="17.25">
      <c r="A471" s="8">
        <v>45864</v>
      </c>
      <c r="B471" s="9" t="s">
        <v>241</v>
      </c>
      <c r="C471" s="4"/>
      <c r="D471" s="6">
        <v>200</v>
      </c>
      <c r="E471" s="6">
        <f>E470+C471-D471</f>
      </c>
    </row>
    <row x14ac:dyDescent="0.25" r="472" customHeight="1" ht="17.25">
      <c r="A472" s="7">
        <v>45864</v>
      </c>
      <c r="B472" s="9" t="s">
        <v>311</v>
      </c>
      <c r="C472" s="4"/>
      <c r="D472" s="6">
        <v>200</v>
      </c>
      <c r="E472" s="6">
        <f>E471+C472-D472</f>
      </c>
    </row>
    <row x14ac:dyDescent="0.25" r="473" customHeight="1" ht="17.25">
      <c r="A473" s="8">
        <v>45864</v>
      </c>
      <c r="B473" s="9" t="s">
        <v>257</v>
      </c>
      <c r="C473" s="6">
        <v>33</v>
      </c>
      <c r="D473" s="4"/>
      <c r="E473" s="6">
        <f>E472+C473-D473</f>
      </c>
    </row>
    <row x14ac:dyDescent="0.25" r="474" customHeight="1" ht="17.25">
      <c r="A474" s="7">
        <v>45864</v>
      </c>
      <c r="B474" s="9" t="s">
        <v>286</v>
      </c>
      <c r="C474" s="6">
        <v>312</v>
      </c>
      <c r="D474" s="4"/>
      <c r="E474" s="6">
        <f>E473+C474-D474</f>
      </c>
    </row>
    <row x14ac:dyDescent="0.25" r="475" customHeight="1" ht="17.25">
      <c r="A475" s="8">
        <v>45865</v>
      </c>
      <c r="B475" s="9" t="s">
        <v>264</v>
      </c>
      <c r="C475" s="4"/>
      <c r="D475" s="6">
        <v>16</v>
      </c>
      <c r="E475" s="6">
        <f>E474+C475-D475</f>
      </c>
    </row>
    <row x14ac:dyDescent="0.25" r="476" customHeight="1" ht="17.25">
      <c r="A476" s="7">
        <v>45866</v>
      </c>
      <c r="B476" s="9" t="s">
        <v>241</v>
      </c>
      <c r="C476" s="4"/>
      <c r="D476" s="6">
        <v>50</v>
      </c>
      <c r="E476" s="6">
        <f>E475+C476-D476</f>
      </c>
    </row>
    <row x14ac:dyDescent="0.25" r="477" customHeight="1" ht="17.25">
      <c r="A477" s="8">
        <v>45866</v>
      </c>
      <c r="B477" s="9" t="s">
        <v>48</v>
      </c>
      <c r="C477" s="4"/>
      <c r="D477" s="6">
        <v>800</v>
      </c>
      <c r="E477" s="6">
        <f>E476+C477-D477</f>
      </c>
    </row>
    <row x14ac:dyDescent="0.25" r="478" customHeight="1" ht="17.25">
      <c r="A478" s="7">
        <v>45866</v>
      </c>
      <c r="B478" s="9" t="s">
        <v>89</v>
      </c>
      <c r="C478" s="6">
        <v>153</v>
      </c>
      <c r="D478" s="4"/>
      <c r="E478" s="6">
        <f>E477+C478-D478</f>
      </c>
    </row>
    <row x14ac:dyDescent="0.25" r="479" customHeight="1" ht="17.25">
      <c r="A479" s="8">
        <v>45867</v>
      </c>
      <c r="B479" s="9" t="s">
        <v>315</v>
      </c>
      <c r="C479" s="4"/>
      <c r="D479" s="6">
        <v>58</v>
      </c>
      <c r="E479" s="6">
        <f>E478+C479-D479</f>
      </c>
    </row>
    <row x14ac:dyDescent="0.25" r="480" customHeight="1" ht="17.25">
      <c r="A480" s="8">
        <v>45867</v>
      </c>
      <c r="B480" s="9" t="s">
        <v>557</v>
      </c>
      <c r="C480" s="4"/>
      <c r="D480" s="6">
        <v>40</v>
      </c>
      <c r="E480" s="6">
        <f>E479+C480-D480</f>
      </c>
    </row>
    <row x14ac:dyDescent="0.25" r="481" customHeight="1" ht="17.25">
      <c r="A481" s="8">
        <v>45867</v>
      </c>
      <c r="B481" s="9" t="s">
        <v>3</v>
      </c>
      <c r="C481" s="4"/>
      <c r="D481" s="6">
        <v>200</v>
      </c>
      <c r="E481" s="6">
        <f>E480+C481-D481</f>
      </c>
    </row>
    <row x14ac:dyDescent="0.25" r="482" customHeight="1" ht="17.25">
      <c r="A482" s="8">
        <v>45867</v>
      </c>
      <c r="B482" s="9" t="s">
        <v>3</v>
      </c>
      <c r="C482" s="4"/>
      <c r="D482" s="6">
        <v>200</v>
      </c>
      <c r="E482" s="6">
        <f>E481+C482-D482</f>
      </c>
    </row>
    <row x14ac:dyDescent="0.25" r="483" customHeight="1" ht="17.25">
      <c r="A483" s="8">
        <v>45867</v>
      </c>
      <c r="B483" s="9" t="s">
        <v>3</v>
      </c>
      <c r="C483" s="4"/>
      <c r="D483" s="6">
        <v>200</v>
      </c>
      <c r="E483" s="6">
        <f>E482+C483-D483</f>
      </c>
    </row>
    <row x14ac:dyDescent="0.25" r="484" customHeight="1" ht="17.25">
      <c r="A484" s="7">
        <v>45867</v>
      </c>
      <c r="B484" s="9" t="s">
        <v>35</v>
      </c>
      <c r="C484" s="6">
        <v>170</v>
      </c>
      <c r="D484" s="4"/>
      <c r="E484" s="6">
        <f>E483+C484-D484</f>
      </c>
    </row>
    <row x14ac:dyDescent="0.25" r="485" customHeight="1" ht="17.25">
      <c r="A485" s="7">
        <v>45867</v>
      </c>
      <c r="B485" s="9" t="s">
        <v>382</v>
      </c>
      <c r="C485" s="6">
        <v>90</v>
      </c>
      <c r="D485" s="4"/>
      <c r="E485" s="6">
        <f>E484+C485-D485</f>
      </c>
    </row>
    <row x14ac:dyDescent="0.25" r="486" customHeight="1" ht="17.25">
      <c r="A486" s="7">
        <v>45868</v>
      </c>
      <c r="B486" s="9" t="s">
        <v>389</v>
      </c>
      <c r="C486" s="4"/>
      <c r="D486" s="6">
        <v>200</v>
      </c>
      <c r="E486" s="6">
        <f>E485+C486-D486</f>
      </c>
    </row>
    <row x14ac:dyDescent="0.25" r="487" customHeight="1" ht="17.25">
      <c r="A487" s="8">
        <v>45869</v>
      </c>
      <c r="B487" s="9" t="s">
        <v>311</v>
      </c>
      <c r="C487" s="4"/>
      <c r="D487" s="6">
        <v>200</v>
      </c>
      <c r="E487" s="6">
        <f>E486+C487-D487</f>
      </c>
    </row>
    <row x14ac:dyDescent="0.25" r="488" customHeight="1" ht="17.25">
      <c r="A488" s="7">
        <v>45869</v>
      </c>
      <c r="B488" s="9" t="s">
        <v>376</v>
      </c>
      <c r="C488" s="6">
        <v>89</v>
      </c>
      <c r="D488" s="4"/>
      <c r="E488" s="6">
        <f>E487+C488-D488</f>
      </c>
    </row>
    <row x14ac:dyDescent="0.25" r="489" customHeight="1" ht="17.25">
      <c r="A489" s="7">
        <v>45869</v>
      </c>
      <c r="B489" s="9" t="s">
        <v>35</v>
      </c>
      <c r="C489" s="6">
        <v>110</v>
      </c>
      <c r="D489" s="4"/>
      <c r="E489" s="6">
        <f>E488+C489-D489</f>
      </c>
    </row>
    <row x14ac:dyDescent="0.25" r="490" customHeight="1" ht="17.25">
      <c r="A490" s="8">
        <v>45870</v>
      </c>
      <c r="B490" s="9" t="s">
        <v>47</v>
      </c>
      <c r="C490" s="4"/>
      <c r="D490" s="6">
        <v>480</v>
      </c>
      <c r="E490" s="6">
        <f>E489+C490-D490</f>
      </c>
    </row>
    <row x14ac:dyDescent="0.25" r="491" customHeight="1" ht="17.25">
      <c r="A491" s="7">
        <v>45873</v>
      </c>
      <c r="B491" s="9" t="s">
        <v>29</v>
      </c>
      <c r="C491" s="4"/>
      <c r="D491" s="6">
        <v>500</v>
      </c>
      <c r="E491" s="6">
        <f>E490+C491-D491</f>
      </c>
    </row>
    <row x14ac:dyDescent="0.25" r="492" customHeight="1" ht="17.25">
      <c r="A492" s="8">
        <v>45873</v>
      </c>
      <c r="B492" s="9" t="s">
        <v>298</v>
      </c>
      <c r="C492" s="4"/>
      <c r="D492" s="6">
        <v>576</v>
      </c>
      <c r="E492" s="6">
        <f>E491+C492-D492</f>
      </c>
    </row>
    <row x14ac:dyDescent="0.25" r="493" customHeight="1" ht="17.25">
      <c r="A493" s="8">
        <v>45874</v>
      </c>
      <c r="B493" s="9" t="s">
        <v>287</v>
      </c>
      <c r="C493" s="6">
        <v>26</v>
      </c>
      <c r="D493" s="4"/>
      <c r="E493" s="6">
        <f>E492+C493-D493</f>
      </c>
    </row>
    <row x14ac:dyDescent="0.25" r="494" customHeight="1" ht="17.25">
      <c r="A494" s="7">
        <v>45874</v>
      </c>
      <c r="B494" s="9" t="s">
        <v>238</v>
      </c>
      <c r="C494" s="6">
        <v>497</v>
      </c>
      <c r="D494" s="4"/>
      <c r="E494" s="6">
        <f>E493+C494-D494</f>
      </c>
    </row>
    <row x14ac:dyDescent="0.25" r="495" customHeight="1" ht="17.25">
      <c r="A495" s="7">
        <v>45874</v>
      </c>
      <c r="B495" s="9" t="s">
        <v>208</v>
      </c>
      <c r="C495" s="6">
        <v>71</v>
      </c>
      <c r="D495" s="4"/>
      <c r="E495" s="6">
        <f>E494+C495-D495</f>
      </c>
    </row>
    <row x14ac:dyDescent="0.25" r="496" customHeight="1" ht="17.25">
      <c r="A496" s="7">
        <v>45875</v>
      </c>
      <c r="B496" s="9" t="s">
        <v>311</v>
      </c>
      <c r="C496" s="4"/>
      <c r="D496" s="6">
        <v>100</v>
      </c>
      <c r="E496" s="6">
        <f>E495+C496-D496</f>
      </c>
    </row>
    <row x14ac:dyDescent="0.25" r="497" customHeight="1" ht="17.25">
      <c r="A497" s="7">
        <v>45875</v>
      </c>
      <c r="B497" s="9" t="s">
        <v>26</v>
      </c>
      <c r="C497" s="4"/>
      <c r="D497" s="6">
        <v>700</v>
      </c>
      <c r="E497" s="6">
        <f>E496+C497-D497</f>
      </c>
    </row>
    <row x14ac:dyDescent="0.25" r="498" customHeight="1" ht="17.25">
      <c r="A498" s="7">
        <v>45875</v>
      </c>
      <c r="B498" s="9" t="s">
        <v>208</v>
      </c>
      <c r="C498" s="6">
        <v>5</v>
      </c>
      <c r="D498" s="4"/>
      <c r="E498" s="6">
        <f>E497+C498-D498</f>
      </c>
    </row>
    <row x14ac:dyDescent="0.25" r="499" customHeight="1" ht="17.25">
      <c r="A499" s="8">
        <v>45876</v>
      </c>
      <c r="B499" s="9" t="s">
        <v>307</v>
      </c>
      <c r="C499" s="4"/>
      <c r="D499" s="6">
        <v>316</v>
      </c>
      <c r="E499" s="6">
        <f>E498+C499-D499</f>
      </c>
    </row>
    <row x14ac:dyDescent="0.25" r="500" customHeight="1" ht="17.25">
      <c r="A500" s="8">
        <v>45876</v>
      </c>
      <c r="B500" s="9" t="s">
        <v>308</v>
      </c>
      <c r="C500" s="4"/>
      <c r="D500" s="6">
        <v>132</v>
      </c>
      <c r="E500" s="6">
        <f>E499+C500-D500</f>
      </c>
    </row>
    <row x14ac:dyDescent="0.25" r="501" customHeight="1" ht="17.25">
      <c r="A501" s="7">
        <v>45876</v>
      </c>
      <c r="B501" s="9" t="s">
        <v>3</v>
      </c>
      <c r="C501" s="4"/>
      <c r="D501" s="6">
        <v>300</v>
      </c>
      <c r="E501" s="6">
        <f>E500+C501-D501</f>
      </c>
    </row>
    <row x14ac:dyDescent="0.25" r="502" customHeight="1" ht="17.25">
      <c r="A502" s="7">
        <v>45876</v>
      </c>
      <c r="B502" s="9" t="s">
        <v>46</v>
      </c>
      <c r="C502" s="4"/>
      <c r="D502" s="6">
        <v>400</v>
      </c>
      <c r="E502" s="6">
        <f>E501+C502-D502</f>
      </c>
    </row>
    <row x14ac:dyDescent="0.25" r="503" customHeight="1" ht="17.25">
      <c r="A503" s="8">
        <v>45876</v>
      </c>
      <c r="B503" s="9" t="s">
        <v>286</v>
      </c>
      <c r="C503" s="6">
        <v>492</v>
      </c>
      <c r="D503" s="4"/>
      <c r="E503" s="6">
        <f>E502+C503-D503</f>
      </c>
    </row>
    <row x14ac:dyDescent="0.25" r="504" customHeight="1" ht="17.25">
      <c r="A504" s="7">
        <v>45876</v>
      </c>
      <c r="B504" s="9" t="s">
        <v>208</v>
      </c>
      <c r="C504" s="6">
        <v>93</v>
      </c>
      <c r="D504" s="4"/>
      <c r="E504" s="6">
        <f>E503+C504-D504</f>
      </c>
    </row>
    <row x14ac:dyDescent="0.25" r="505" customHeight="1" ht="17.25">
      <c r="A505" s="7">
        <v>45877</v>
      </c>
      <c r="B505" s="9" t="s">
        <v>234</v>
      </c>
      <c r="C505" s="4"/>
      <c r="D505" s="6">
        <v>100</v>
      </c>
      <c r="E505" s="6">
        <f>E504+C505-D505</f>
      </c>
    </row>
    <row x14ac:dyDescent="0.25" r="506" customHeight="1" ht="17.25">
      <c r="A506" s="7">
        <v>45877</v>
      </c>
      <c r="B506" s="9" t="s">
        <v>308</v>
      </c>
      <c r="C506" s="4"/>
      <c r="D506" s="6">
        <v>36</v>
      </c>
      <c r="E506" s="6">
        <f>E505+C506-D506</f>
      </c>
    </row>
    <row x14ac:dyDescent="0.25" r="507" customHeight="1" ht="17.25">
      <c r="A507" s="7">
        <v>45877</v>
      </c>
      <c r="B507" s="9" t="s">
        <v>558</v>
      </c>
      <c r="C507" s="4"/>
      <c r="D507" s="6">
        <v>200</v>
      </c>
      <c r="E507" s="6">
        <f>E506+C507-D507</f>
      </c>
    </row>
    <row x14ac:dyDescent="0.25" r="508" customHeight="1" ht="17.25">
      <c r="A508" s="7">
        <v>45877</v>
      </c>
      <c r="B508" s="9" t="s">
        <v>47</v>
      </c>
      <c r="C508" s="6">
        <v>195</v>
      </c>
      <c r="D508" s="4"/>
      <c r="E508" s="6">
        <f>E507+C508-D508</f>
      </c>
    </row>
    <row x14ac:dyDescent="0.25" r="509" customHeight="1" ht="17.25">
      <c r="A509" s="8">
        <v>45878</v>
      </c>
      <c r="B509" s="9" t="s">
        <v>26</v>
      </c>
      <c r="C509" s="4"/>
      <c r="D509" s="6">
        <v>500</v>
      </c>
      <c r="E509" s="6">
        <f>E508+C509-D509</f>
      </c>
    </row>
    <row x14ac:dyDescent="0.25" r="510" customHeight="1" ht="17.25">
      <c r="A510" s="8">
        <v>45878</v>
      </c>
      <c r="B510" s="9" t="s">
        <v>501</v>
      </c>
      <c r="C510" s="4"/>
      <c r="D510" s="6">
        <v>200</v>
      </c>
      <c r="E510" s="6">
        <f>E509+C510-D510</f>
      </c>
    </row>
    <row x14ac:dyDescent="0.25" r="511" customHeight="1" ht="17.25">
      <c r="A511" s="7">
        <v>45878</v>
      </c>
      <c r="B511" s="9" t="s">
        <v>208</v>
      </c>
      <c r="C511" s="6">
        <v>50</v>
      </c>
      <c r="D511" s="4"/>
      <c r="E511" s="6">
        <f>E510+C511-D511</f>
      </c>
    </row>
    <row x14ac:dyDescent="0.25" r="512" customHeight="1" ht="17.25">
      <c r="A512" s="7">
        <v>45879</v>
      </c>
      <c r="B512" s="9" t="s">
        <v>26</v>
      </c>
      <c r="C512" s="4"/>
      <c r="D512" s="6">
        <v>200</v>
      </c>
      <c r="E512" s="6">
        <f>E511+C512-D512</f>
      </c>
    </row>
    <row x14ac:dyDescent="0.25" r="513" customHeight="1" ht="17.25">
      <c r="A513" s="8">
        <v>45880</v>
      </c>
      <c r="B513" s="9" t="s">
        <v>286</v>
      </c>
      <c r="C513" s="6">
        <v>164</v>
      </c>
      <c r="D513" s="4"/>
      <c r="E513" s="6">
        <f>E512+C513-D513</f>
      </c>
    </row>
    <row x14ac:dyDescent="0.25" r="514" customHeight="1" ht="17.25">
      <c r="A514" s="7">
        <v>45881</v>
      </c>
      <c r="B514" s="9" t="s">
        <v>501</v>
      </c>
      <c r="C514" s="4"/>
      <c r="D514" s="6">
        <v>200</v>
      </c>
      <c r="E514" s="6">
        <f>E513+C514-D514</f>
      </c>
    </row>
    <row x14ac:dyDescent="0.25" r="515" customHeight="1" ht="17.25">
      <c r="A515" s="8">
        <v>45881</v>
      </c>
      <c r="B515" s="9" t="s">
        <v>208</v>
      </c>
      <c r="C515" s="6">
        <v>125</v>
      </c>
      <c r="D515" s="4"/>
      <c r="E515" s="6">
        <f>E514+C515-D515</f>
      </c>
    </row>
    <row x14ac:dyDescent="0.25" r="516" customHeight="1" ht="17.25">
      <c r="A516" s="7">
        <v>45882</v>
      </c>
      <c r="B516" s="9" t="s">
        <v>307</v>
      </c>
      <c r="C516" s="4"/>
      <c r="D516" s="6">
        <v>220</v>
      </c>
      <c r="E516" s="6">
        <f>E515+C516-D516</f>
      </c>
    </row>
    <row x14ac:dyDescent="0.25" r="517" customHeight="1" ht="17.25">
      <c r="A517" s="7">
        <v>45882</v>
      </c>
      <c r="B517" s="9" t="s">
        <v>316</v>
      </c>
      <c r="C517" s="4"/>
      <c r="D517" s="6">
        <v>200</v>
      </c>
      <c r="E517" s="6">
        <f>E516+C517-D517</f>
      </c>
    </row>
    <row x14ac:dyDescent="0.25" r="518" customHeight="1" ht="17.25">
      <c r="A518" s="7">
        <v>45882</v>
      </c>
      <c r="B518" s="9" t="s">
        <v>389</v>
      </c>
      <c r="C518" s="4"/>
      <c r="D518" s="6">
        <v>200</v>
      </c>
      <c r="E518" s="6">
        <f>E517+C518-D518</f>
      </c>
    </row>
    <row x14ac:dyDescent="0.25" r="519" customHeight="1" ht="17.25">
      <c r="A519" s="7">
        <v>45882</v>
      </c>
      <c r="B519" s="9" t="s">
        <v>333</v>
      </c>
      <c r="C519" s="6">
        <v>200</v>
      </c>
      <c r="D519" s="4"/>
      <c r="E519" s="6">
        <f>E518+C519-D519</f>
      </c>
    </row>
    <row x14ac:dyDescent="0.25" r="520" customHeight="1" ht="17.25">
      <c r="A520" s="7">
        <v>45882</v>
      </c>
      <c r="B520" s="9" t="s">
        <v>307</v>
      </c>
      <c r="C520" s="6">
        <v>100</v>
      </c>
      <c r="D520" s="4"/>
      <c r="E520" s="6">
        <f>E519+C520-D520</f>
      </c>
    </row>
    <row x14ac:dyDescent="0.25" r="521" customHeight="1" ht="17.25">
      <c r="A521" s="7">
        <v>45883</v>
      </c>
      <c r="B521" s="9" t="s">
        <v>48</v>
      </c>
      <c r="C521" s="4"/>
      <c r="D521" s="6">
        <v>200</v>
      </c>
      <c r="E521" s="6">
        <f>E520+C521-D521</f>
      </c>
    </row>
    <row x14ac:dyDescent="0.25" r="522" customHeight="1" ht="17.25">
      <c r="A522" s="8">
        <v>45883</v>
      </c>
      <c r="B522" s="9" t="s">
        <v>525</v>
      </c>
      <c r="C522" s="4"/>
      <c r="D522" s="6">
        <v>40</v>
      </c>
      <c r="E522" s="6">
        <f>E521+C522-D522</f>
      </c>
    </row>
    <row x14ac:dyDescent="0.25" r="523" customHeight="1" ht="17.25">
      <c r="A523" s="8">
        <v>45883</v>
      </c>
      <c r="B523" s="9" t="s">
        <v>559</v>
      </c>
      <c r="C523" s="6">
        <v>30</v>
      </c>
      <c r="D523" s="4"/>
      <c r="E523" s="6">
        <f>E522+C523-D523</f>
      </c>
    </row>
    <row x14ac:dyDescent="0.25" r="524" customHeight="1" ht="17.25">
      <c r="A524" s="7">
        <v>45883</v>
      </c>
      <c r="B524" s="9" t="s">
        <v>444</v>
      </c>
      <c r="C524" s="6">
        <v>61</v>
      </c>
      <c r="D524" s="4"/>
      <c r="E524" s="6">
        <f>E523+C524-D524</f>
      </c>
    </row>
    <row x14ac:dyDescent="0.25" r="525" customHeight="1" ht="17.25">
      <c r="A525" s="7">
        <v>45884</v>
      </c>
      <c r="B525" s="9" t="s">
        <v>389</v>
      </c>
      <c r="C525" s="4"/>
      <c r="D525" s="6">
        <v>200</v>
      </c>
      <c r="E525" s="6">
        <f>E524+C525-D525</f>
      </c>
    </row>
    <row x14ac:dyDescent="0.25" r="526" customHeight="1" ht="17.25">
      <c r="A526" s="7">
        <v>45884</v>
      </c>
      <c r="B526" s="9" t="s">
        <v>501</v>
      </c>
      <c r="C526" s="4"/>
      <c r="D526" s="6">
        <v>200</v>
      </c>
      <c r="E526" s="6">
        <f>E525+C526-D526</f>
      </c>
    </row>
    <row x14ac:dyDescent="0.25" r="527" customHeight="1" ht="17.25">
      <c r="A527" s="7">
        <v>45884</v>
      </c>
      <c r="B527" s="9" t="s">
        <v>48</v>
      </c>
      <c r="C527" s="4"/>
      <c r="D527" s="6">
        <v>200</v>
      </c>
      <c r="E527" s="6">
        <f>E526+C527-D527</f>
      </c>
    </row>
    <row x14ac:dyDescent="0.25" r="528" customHeight="1" ht="17.25">
      <c r="A528" s="7">
        <v>45884</v>
      </c>
      <c r="B528" s="9" t="s">
        <v>501</v>
      </c>
      <c r="C528" s="4"/>
      <c r="D528" s="6">
        <v>200</v>
      </c>
      <c r="E528" s="6">
        <f>E527+C528-D528</f>
      </c>
    </row>
    <row x14ac:dyDescent="0.25" r="529" customHeight="1" ht="17.25">
      <c r="A529" s="7">
        <v>45884</v>
      </c>
      <c r="B529" s="9" t="s">
        <v>35</v>
      </c>
      <c r="C529" s="6">
        <v>160</v>
      </c>
      <c r="D529" s="4"/>
      <c r="E529" s="6">
        <f>E528+C529-D529</f>
      </c>
    </row>
    <row x14ac:dyDescent="0.25" r="530" customHeight="1" ht="17.25">
      <c r="A530" s="7">
        <v>45884</v>
      </c>
      <c r="B530" s="9" t="s">
        <v>241</v>
      </c>
      <c r="C530" s="6">
        <v>315</v>
      </c>
      <c r="D530" s="4"/>
      <c r="E530" s="6">
        <f>E529+C530-D530</f>
      </c>
    </row>
    <row x14ac:dyDescent="0.25" r="531" customHeight="1" ht="17.25">
      <c r="A531" s="7">
        <v>45885</v>
      </c>
      <c r="B531" s="9" t="s">
        <v>233</v>
      </c>
      <c r="C531" s="4"/>
      <c r="D531" s="6">
        <v>200</v>
      </c>
      <c r="E531" s="6">
        <f>E530+C531-D531</f>
      </c>
    </row>
    <row x14ac:dyDescent="0.25" r="532" customHeight="1" ht="17.25">
      <c r="A532" s="7">
        <v>45885</v>
      </c>
      <c r="B532" s="9" t="s">
        <v>391</v>
      </c>
      <c r="C532" s="4"/>
      <c r="D532" s="6">
        <v>100</v>
      </c>
      <c r="E532" s="6">
        <f>E531+C532-D532</f>
      </c>
    </row>
    <row x14ac:dyDescent="0.25" r="533" customHeight="1" ht="17.25">
      <c r="A533" s="7">
        <v>45885</v>
      </c>
      <c r="B533" s="9" t="s">
        <v>3</v>
      </c>
      <c r="C533" s="4"/>
      <c r="D533" s="6">
        <v>200</v>
      </c>
      <c r="E533" s="6">
        <f>E532+C533-D533</f>
      </c>
    </row>
    <row x14ac:dyDescent="0.25" r="534" customHeight="1" ht="17.25">
      <c r="A534" s="7">
        <v>45885</v>
      </c>
      <c r="B534" s="9" t="s">
        <v>311</v>
      </c>
      <c r="C534" s="4"/>
      <c r="D534" s="6">
        <v>100</v>
      </c>
      <c r="E534" s="6">
        <f>E533+C534-D534</f>
      </c>
    </row>
    <row x14ac:dyDescent="0.25" r="535" customHeight="1" ht="17.25">
      <c r="A535" s="7">
        <v>45885</v>
      </c>
      <c r="B535" s="9" t="s">
        <v>299</v>
      </c>
      <c r="C535" s="6">
        <v>140</v>
      </c>
      <c r="D535" s="4"/>
      <c r="E535" s="6">
        <f>E534+C535-D535</f>
      </c>
    </row>
    <row x14ac:dyDescent="0.25" r="536" customHeight="1" ht="17.25">
      <c r="A536" s="8">
        <v>45885</v>
      </c>
      <c r="B536" s="9" t="s">
        <v>29</v>
      </c>
      <c r="C536" s="6">
        <v>440</v>
      </c>
      <c r="D536" s="4"/>
      <c r="E536" s="6">
        <f>E535+C536-D536</f>
      </c>
    </row>
    <row x14ac:dyDescent="0.25" r="537" customHeight="1" ht="17.25">
      <c r="A537" s="8">
        <v>45888</v>
      </c>
      <c r="B537" s="9" t="s">
        <v>346</v>
      </c>
      <c r="C537" s="4"/>
      <c r="D537" s="6">
        <v>112</v>
      </c>
      <c r="E537" s="6">
        <f>E536+C537-D537</f>
      </c>
    </row>
    <row x14ac:dyDescent="0.25" r="538" customHeight="1" ht="17.25">
      <c r="A538" s="8">
        <v>45888</v>
      </c>
      <c r="B538" s="9" t="s">
        <v>369</v>
      </c>
      <c r="C538" s="4"/>
      <c r="D538" s="6">
        <v>100</v>
      </c>
      <c r="E538" s="6">
        <f>E537+C538-D538</f>
      </c>
    </row>
    <row x14ac:dyDescent="0.25" r="539" customHeight="1" ht="17.25">
      <c r="A539" s="8">
        <v>45888</v>
      </c>
      <c r="B539" s="9" t="s">
        <v>502</v>
      </c>
      <c r="C539" s="4"/>
      <c r="D539" s="6">
        <v>700</v>
      </c>
      <c r="E539" s="6">
        <f>E538+C539-D539</f>
      </c>
    </row>
    <row x14ac:dyDescent="0.25" r="540" customHeight="1" ht="17.25">
      <c r="A540" s="7">
        <v>45888</v>
      </c>
      <c r="B540" s="9" t="s">
        <v>501</v>
      </c>
      <c r="C540" s="4"/>
      <c r="D540" s="6">
        <v>400</v>
      </c>
      <c r="E540" s="6">
        <f>E539+C540-D540</f>
      </c>
    </row>
    <row x14ac:dyDescent="0.25" r="541" customHeight="1" ht="17.25">
      <c r="A541" s="7">
        <v>45888</v>
      </c>
      <c r="B541" s="9" t="s">
        <v>303</v>
      </c>
      <c r="C541" s="6">
        <v>287</v>
      </c>
      <c r="D541" s="4"/>
      <c r="E541" s="6">
        <f>E540+C541-D541</f>
      </c>
    </row>
    <row x14ac:dyDescent="0.25" r="542" customHeight="1" ht="17.25">
      <c r="A542" s="7">
        <v>45888</v>
      </c>
      <c r="B542" s="9" t="s">
        <v>299</v>
      </c>
      <c r="C542" s="6">
        <v>145</v>
      </c>
      <c r="D542" s="4"/>
      <c r="E542" s="6">
        <f>E541+C542-D542</f>
      </c>
    </row>
    <row x14ac:dyDescent="0.25" r="543" customHeight="1" ht="17.25">
      <c r="A543" s="7">
        <v>45888</v>
      </c>
      <c r="B543" s="9" t="s">
        <v>141</v>
      </c>
      <c r="C543" s="6">
        <v>400</v>
      </c>
      <c r="D543" s="4"/>
      <c r="E543" s="6">
        <f>E542+C543-D543</f>
      </c>
    </row>
    <row x14ac:dyDescent="0.25" r="544" customHeight="1" ht="17.25">
      <c r="A544" s="7">
        <v>45889</v>
      </c>
      <c r="B544" s="9" t="s">
        <v>303</v>
      </c>
      <c r="C544" s="6">
        <v>13</v>
      </c>
      <c r="D544" s="4"/>
      <c r="E544" s="6">
        <f>E543+C544-D544</f>
      </c>
    </row>
    <row x14ac:dyDescent="0.25" r="545" customHeight="1" ht="17.25">
      <c r="A545" s="7">
        <v>45889</v>
      </c>
      <c r="B545" s="9" t="s">
        <v>286</v>
      </c>
      <c r="C545" s="6">
        <v>91</v>
      </c>
      <c r="D545" s="4"/>
      <c r="E545" s="6">
        <f>E544+C545-D545</f>
      </c>
    </row>
    <row x14ac:dyDescent="0.25" r="546" customHeight="1" ht="17.25">
      <c r="A546" s="7">
        <v>45889</v>
      </c>
      <c r="B546" s="9" t="s">
        <v>316</v>
      </c>
      <c r="C546" s="4"/>
      <c r="D546" s="6">
        <v>200</v>
      </c>
      <c r="E546" s="6">
        <f>E545+C546-D546</f>
      </c>
    </row>
    <row x14ac:dyDescent="0.25" r="547" customHeight="1" ht="17.25">
      <c r="A547" s="7">
        <v>45890</v>
      </c>
      <c r="B547" s="9" t="s">
        <v>316</v>
      </c>
      <c r="C547" s="4"/>
      <c r="D547" s="6">
        <v>200</v>
      </c>
      <c r="E547" s="6">
        <f>E546+C547-D547</f>
      </c>
    </row>
    <row x14ac:dyDescent="0.25" r="548" customHeight="1" ht="17.25">
      <c r="A548" s="8">
        <v>45890</v>
      </c>
      <c r="B548" s="9" t="s">
        <v>448</v>
      </c>
      <c r="C548" s="6">
        <v>160</v>
      </c>
      <c r="D548" s="4"/>
      <c r="E548" s="6">
        <f>E547+C548-D548</f>
      </c>
    </row>
    <row x14ac:dyDescent="0.25" r="549" customHeight="1" ht="17.25">
      <c r="A549" s="7">
        <v>45890</v>
      </c>
      <c r="B549" s="9" t="s">
        <v>208</v>
      </c>
      <c r="C549" s="6">
        <v>105</v>
      </c>
      <c r="D549" s="4"/>
      <c r="E549" s="6">
        <f>E548+C549-D549</f>
      </c>
    </row>
    <row x14ac:dyDescent="0.25" r="550" customHeight="1" ht="17.25">
      <c r="A550" s="8">
        <v>45891</v>
      </c>
      <c r="B550" s="9" t="s">
        <v>283</v>
      </c>
      <c r="C550" s="6">
        <v>30</v>
      </c>
      <c r="D550" s="4"/>
      <c r="E550" s="6">
        <f>E549+C550-D550</f>
      </c>
    </row>
    <row x14ac:dyDescent="0.25" r="551" customHeight="1" ht="17.25">
      <c r="A551" s="7">
        <v>45891</v>
      </c>
      <c r="B551" s="9" t="s">
        <v>42</v>
      </c>
      <c r="C551" s="6">
        <v>10</v>
      </c>
      <c r="D551" s="4"/>
      <c r="E551" s="6">
        <f>E550+C551-D551</f>
      </c>
    </row>
    <row x14ac:dyDescent="0.25" r="552" customHeight="1" ht="17.25">
      <c r="A552" s="7">
        <v>45891</v>
      </c>
      <c r="B552" s="9" t="s">
        <v>299</v>
      </c>
      <c r="C552" s="6">
        <v>81</v>
      </c>
      <c r="D552" s="4"/>
      <c r="E552" s="6">
        <f>E551+C552-D552</f>
      </c>
    </row>
    <row x14ac:dyDescent="0.25" r="553" customHeight="1" ht="17.25">
      <c r="A553" s="8">
        <v>45891</v>
      </c>
      <c r="B553" s="9" t="s">
        <v>35</v>
      </c>
      <c r="C553" s="6">
        <v>40</v>
      </c>
      <c r="D553" s="4"/>
      <c r="E553" s="6">
        <f>E552+C553-D553</f>
      </c>
    </row>
    <row x14ac:dyDescent="0.25" r="554" customHeight="1" ht="17.25">
      <c r="A554" s="7">
        <v>45892</v>
      </c>
      <c r="B554" s="9" t="s">
        <v>444</v>
      </c>
      <c r="C554" s="4"/>
      <c r="D554" s="6">
        <v>40</v>
      </c>
      <c r="E554" s="6">
        <f>E553+C554-D554</f>
      </c>
    </row>
    <row x14ac:dyDescent="0.25" r="555" customHeight="1" ht="17.25">
      <c r="A555" s="7">
        <v>45892</v>
      </c>
      <c r="B555" s="9" t="s">
        <v>389</v>
      </c>
      <c r="C555" s="4"/>
      <c r="D555" s="6">
        <v>200</v>
      </c>
      <c r="E555" s="6">
        <f>E554+C555-D555</f>
      </c>
    </row>
    <row x14ac:dyDescent="0.25" r="556" customHeight="1" ht="17.25">
      <c r="A556" s="7">
        <v>45892</v>
      </c>
      <c r="B556" s="9" t="s">
        <v>26</v>
      </c>
      <c r="C556" s="4"/>
      <c r="D556" s="6">
        <v>200</v>
      </c>
      <c r="E556" s="6">
        <f>E555+C556-D556</f>
      </c>
    </row>
    <row x14ac:dyDescent="0.25" r="557" customHeight="1" ht="17.25">
      <c r="A557" s="8">
        <v>45892</v>
      </c>
      <c r="B557" s="9" t="s">
        <v>42</v>
      </c>
      <c r="C557" s="6">
        <v>195</v>
      </c>
      <c r="D557" s="4"/>
      <c r="E557" s="6">
        <f>E556+C557-D557</f>
      </c>
    </row>
    <row x14ac:dyDescent="0.25" r="558" customHeight="1" ht="17.25">
      <c r="A558" s="7">
        <v>45894</v>
      </c>
      <c r="B558" s="9" t="s">
        <v>26</v>
      </c>
      <c r="C558" s="4"/>
      <c r="D558" s="6">
        <v>1000</v>
      </c>
      <c r="E558" s="6">
        <f>E557+C558-D558</f>
      </c>
    </row>
    <row x14ac:dyDescent="0.25" r="559" customHeight="1" ht="17.25">
      <c r="A559" s="8">
        <v>45894</v>
      </c>
      <c r="B559" s="9" t="s">
        <v>265</v>
      </c>
      <c r="C559" s="4"/>
      <c r="D559" s="6">
        <v>80</v>
      </c>
      <c r="E559" s="6">
        <f>E558+C559-D559</f>
      </c>
    </row>
    <row x14ac:dyDescent="0.25" r="560" customHeight="1" ht="17.25">
      <c r="A560" s="7">
        <v>45894</v>
      </c>
      <c r="B560" s="9" t="s">
        <v>369</v>
      </c>
      <c r="C560" s="4"/>
      <c r="D560" s="6">
        <v>80</v>
      </c>
      <c r="E560" s="6">
        <f>E559+C560-D560</f>
      </c>
    </row>
    <row x14ac:dyDescent="0.25" r="561" customHeight="1" ht="17.25">
      <c r="A561" s="7">
        <v>45894</v>
      </c>
      <c r="B561" s="9" t="s">
        <v>365</v>
      </c>
      <c r="C561" s="4"/>
      <c r="D561" s="6">
        <v>200</v>
      </c>
      <c r="E561" s="6">
        <f>E560+C561-D561</f>
      </c>
    </row>
    <row x14ac:dyDescent="0.25" r="562" customHeight="1" ht="17.25">
      <c r="A562" s="7">
        <v>45894</v>
      </c>
      <c r="B562" s="9" t="s">
        <v>331</v>
      </c>
      <c r="C562" s="4"/>
      <c r="D562" s="6">
        <v>20</v>
      </c>
      <c r="E562" s="6">
        <f>E561+C562-D562</f>
      </c>
    </row>
    <row x14ac:dyDescent="0.25" r="563" customHeight="1" ht="17.25">
      <c r="A563" s="8">
        <v>45895</v>
      </c>
      <c r="B563" s="9" t="s">
        <v>418</v>
      </c>
      <c r="C563" s="4"/>
      <c r="D563" s="6">
        <v>45</v>
      </c>
      <c r="E563" s="6">
        <f>E562+C563-D563</f>
      </c>
    </row>
    <row x14ac:dyDescent="0.25" r="564" customHeight="1" ht="17.25">
      <c r="A564" s="7">
        <v>45895</v>
      </c>
      <c r="B564" s="9" t="s">
        <v>316</v>
      </c>
      <c r="C564" s="4"/>
      <c r="D564" s="6">
        <v>100</v>
      </c>
      <c r="E564" s="6">
        <f>E563+C564-D564</f>
      </c>
    </row>
    <row x14ac:dyDescent="0.25" r="565" customHeight="1" ht="17.25">
      <c r="A565" s="7">
        <v>45895</v>
      </c>
      <c r="B565" s="9" t="s">
        <v>316</v>
      </c>
      <c r="C565" s="4"/>
      <c r="D565" s="6">
        <v>300</v>
      </c>
      <c r="E565" s="6">
        <f>E564+C565-D565</f>
      </c>
    </row>
    <row x14ac:dyDescent="0.25" r="566" customHeight="1" ht="17.25">
      <c r="A566" s="7">
        <v>45895</v>
      </c>
      <c r="B566" s="9" t="s">
        <v>26</v>
      </c>
      <c r="C566" s="4"/>
      <c r="D566" s="6">
        <v>908</v>
      </c>
      <c r="E566" s="6">
        <f>E565+C566-D566</f>
      </c>
    </row>
    <row x14ac:dyDescent="0.25" r="567" customHeight="1" ht="17.25">
      <c r="A567" s="7">
        <v>45895</v>
      </c>
      <c r="B567" s="9" t="s">
        <v>391</v>
      </c>
      <c r="C567" s="4"/>
      <c r="D567" s="6">
        <v>100</v>
      </c>
      <c r="E567" s="6">
        <f>E566+C567-D567</f>
      </c>
    </row>
    <row x14ac:dyDescent="0.25" r="568" customHeight="1" ht="17.25">
      <c r="A568" s="7">
        <v>45895</v>
      </c>
      <c r="B568" s="9" t="s">
        <v>271</v>
      </c>
      <c r="C568" s="6">
        <v>30</v>
      </c>
      <c r="D568" s="4"/>
      <c r="E568" s="6">
        <f>E567+C568-D568</f>
      </c>
    </row>
    <row x14ac:dyDescent="0.25" r="569" customHeight="1" ht="17.25">
      <c r="A569" s="7">
        <v>45896</v>
      </c>
      <c r="B569" s="9" t="s">
        <v>311</v>
      </c>
      <c r="C569" s="4"/>
      <c r="D569" s="6">
        <v>150</v>
      </c>
      <c r="E569" s="6">
        <f>E568+C569-D569</f>
      </c>
    </row>
    <row x14ac:dyDescent="0.25" r="570" customHeight="1" ht="17.25">
      <c r="A570" s="7">
        <v>45896</v>
      </c>
      <c r="B570" s="9" t="s">
        <v>333</v>
      </c>
      <c r="C570" s="6">
        <v>238</v>
      </c>
      <c r="D570" s="4"/>
      <c r="E570" s="6">
        <f>E569+C570-D570</f>
      </c>
    </row>
    <row x14ac:dyDescent="0.25" r="571" customHeight="1" ht="17.25">
      <c r="A571" s="8">
        <v>45897</v>
      </c>
      <c r="B571" s="9" t="s">
        <v>47</v>
      </c>
      <c r="C571" s="6">
        <v>140</v>
      </c>
      <c r="D571" s="4"/>
      <c r="E571" s="6">
        <f>E570+C571-D571</f>
      </c>
    </row>
    <row x14ac:dyDescent="0.25" r="572" customHeight="1" ht="17.25">
      <c r="A572" s="8">
        <v>45897</v>
      </c>
      <c r="B572" s="9" t="s">
        <v>89</v>
      </c>
      <c r="C572" s="6">
        <v>3</v>
      </c>
      <c r="D572" s="4"/>
      <c r="E572" s="3"/>
    </row>
    <row x14ac:dyDescent="0.25" r="573" customHeight="1" ht="17.25">
      <c r="A573" s="8">
        <v>45897</v>
      </c>
      <c r="B573" s="9" t="s">
        <v>376</v>
      </c>
      <c r="C573" s="6">
        <v>102</v>
      </c>
      <c r="D573" s="4"/>
      <c r="E573" s="3"/>
    </row>
    <row x14ac:dyDescent="0.25" r="574" customHeight="1" ht="17.25">
      <c r="A574" s="8">
        <v>45899</v>
      </c>
      <c r="B574" s="9" t="s">
        <v>297</v>
      </c>
      <c r="C574" s="4"/>
      <c r="D574" s="6">
        <v>500</v>
      </c>
      <c r="E574" s="3"/>
    </row>
    <row x14ac:dyDescent="0.25" r="575" customHeight="1" ht="17.25">
      <c r="A575" s="8">
        <v>45899</v>
      </c>
      <c r="B575" s="9" t="s">
        <v>264</v>
      </c>
      <c r="C575" s="4"/>
      <c r="D575" s="6">
        <v>50</v>
      </c>
      <c r="E575" s="3"/>
    </row>
    <row x14ac:dyDescent="0.25" r="576" customHeight="1" ht="17.25">
      <c r="A576" s="7">
        <v>45901</v>
      </c>
      <c r="B576" s="9" t="s">
        <v>47</v>
      </c>
      <c r="C576" s="6">
        <v>100</v>
      </c>
      <c r="D576" s="4"/>
      <c r="E576" s="3"/>
    </row>
    <row x14ac:dyDescent="0.25" r="577" customHeight="1" ht="17.25">
      <c r="A577" s="7">
        <v>45902</v>
      </c>
      <c r="B577" s="9" t="s">
        <v>56</v>
      </c>
      <c r="C577" s="4"/>
      <c r="D577" s="6">
        <v>72</v>
      </c>
      <c r="E577" s="3"/>
    </row>
    <row x14ac:dyDescent="0.25" r="578" customHeight="1" ht="17.25">
      <c r="A578" s="7">
        <v>45902</v>
      </c>
      <c r="B578" s="9" t="s">
        <v>233</v>
      </c>
      <c r="C578" s="4"/>
      <c r="D578" s="6">
        <v>200</v>
      </c>
      <c r="E578" s="3"/>
    </row>
    <row x14ac:dyDescent="0.25" r="579" customHeight="1" ht="17.25">
      <c r="A579" s="8">
        <v>45902</v>
      </c>
      <c r="B579" s="9" t="s">
        <v>141</v>
      </c>
      <c r="C579" s="6">
        <v>100</v>
      </c>
      <c r="D579" s="4"/>
      <c r="E579" s="3"/>
    </row>
    <row x14ac:dyDescent="0.25" r="580" customHeight="1" ht="17.25">
      <c r="A580" s="7">
        <v>45903</v>
      </c>
      <c r="B580" s="9" t="s">
        <v>489</v>
      </c>
      <c r="C580" s="4"/>
      <c r="D580" s="6">
        <v>300</v>
      </c>
      <c r="E580" s="3"/>
    </row>
    <row x14ac:dyDescent="0.25" r="581" customHeight="1" ht="17.25">
      <c r="A581" s="7">
        <v>45903</v>
      </c>
      <c r="B581" s="9" t="s">
        <v>283</v>
      </c>
      <c r="C581" s="6">
        <v>650</v>
      </c>
      <c r="D581" s="4"/>
      <c r="E581" s="6">
        <v>650</v>
      </c>
    </row>
    <row x14ac:dyDescent="0.25" r="582" customHeight="1" ht="17.25">
      <c r="A582" s="7">
        <v>45903</v>
      </c>
      <c r="B582" s="9" t="s">
        <v>299</v>
      </c>
      <c r="C582" s="6">
        <v>38</v>
      </c>
      <c r="D582" s="4"/>
      <c r="E582" s="6">
        <f>E581+C582-D582</f>
      </c>
    </row>
    <row x14ac:dyDescent="0.25" r="583" customHeight="1" ht="17.25">
      <c r="A583" s="8">
        <v>45904</v>
      </c>
      <c r="B583" s="9" t="s">
        <v>454</v>
      </c>
      <c r="C583" s="4"/>
      <c r="D583" s="6">
        <v>8</v>
      </c>
      <c r="E583" s="6">
        <f>E582+C583-D583</f>
      </c>
    </row>
    <row x14ac:dyDescent="0.25" r="584" customHeight="1" ht="17.25">
      <c r="A584" s="8">
        <v>45904</v>
      </c>
      <c r="B584" s="9" t="s">
        <v>89</v>
      </c>
      <c r="C584" s="6">
        <v>115</v>
      </c>
      <c r="D584" s="4"/>
      <c r="E584" s="6">
        <f>E583+C584-D584</f>
      </c>
    </row>
    <row x14ac:dyDescent="0.25" r="585" customHeight="1" ht="17.25">
      <c r="A585" s="7">
        <v>45906</v>
      </c>
      <c r="B585" s="9" t="s">
        <v>389</v>
      </c>
      <c r="C585" s="6">
        <v>142</v>
      </c>
      <c r="D585" s="4"/>
      <c r="E585" s="6">
        <f>E584+C585-D585</f>
      </c>
    </row>
    <row x14ac:dyDescent="0.25" r="586" customHeight="1" ht="17.25">
      <c r="A586" s="8">
        <v>45906</v>
      </c>
      <c r="B586" s="9" t="s">
        <v>71</v>
      </c>
      <c r="C586" s="6">
        <v>90</v>
      </c>
      <c r="D586" s="4"/>
      <c r="E586" s="6">
        <f>E585+C586-D586</f>
      </c>
    </row>
    <row x14ac:dyDescent="0.25" r="587" customHeight="1" ht="17.25">
      <c r="A587" s="7">
        <v>45906</v>
      </c>
      <c r="B587" s="9" t="s">
        <v>316</v>
      </c>
      <c r="C587" s="4"/>
      <c r="D587" s="6">
        <v>800</v>
      </c>
      <c r="E587" s="6">
        <f>E586+C587-D587</f>
      </c>
    </row>
    <row x14ac:dyDescent="0.25" r="588" customHeight="1" ht="17.25">
      <c r="A588" s="8">
        <v>45908</v>
      </c>
      <c r="B588" s="9" t="s">
        <v>284</v>
      </c>
      <c r="C588" s="6">
        <v>290</v>
      </c>
      <c r="D588" s="4"/>
      <c r="E588" s="6">
        <f>E587+C588-D588</f>
      </c>
    </row>
    <row x14ac:dyDescent="0.25" r="589" customHeight="1" ht="17.25">
      <c r="A589" s="8">
        <v>45909</v>
      </c>
      <c r="B589" s="9" t="s">
        <v>524</v>
      </c>
      <c r="C589" s="6">
        <v>492</v>
      </c>
      <c r="D589" s="4"/>
      <c r="E589" s="6">
        <f>E588+C589-D589</f>
      </c>
    </row>
    <row x14ac:dyDescent="0.25" r="590" customHeight="1" ht="17.25">
      <c r="A590" s="8">
        <v>45909</v>
      </c>
      <c r="B590" s="9" t="s">
        <v>271</v>
      </c>
      <c r="C590" s="6">
        <v>5</v>
      </c>
      <c r="D590" s="4"/>
      <c r="E590" s="6">
        <f>E589+C590-D590</f>
      </c>
    </row>
    <row x14ac:dyDescent="0.25" r="591" customHeight="1" ht="17.25">
      <c r="A591" s="7">
        <v>45909</v>
      </c>
      <c r="B591" s="9" t="s">
        <v>376</v>
      </c>
      <c r="C591" s="6">
        <v>10</v>
      </c>
      <c r="D591" s="4"/>
      <c r="E591" s="6">
        <f>E590+C591-D591</f>
      </c>
    </row>
    <row x14ac:dyDescent="0.25" r="592" customHeight="1" ht="17.25">
      <c r="A592" s="8">
        <v>45910</v>
      </c>
      <c r="B592" s="9" t="s">
        <v>332</v>
      </c>
      <c r="C592" s="4"/>
      <c r="D592" s="6">
        <v>60</v>
      </c>
      <c r="E592" s="6">
        <f>E591+C592-D592</f>
      </c>
    </row>
    <row x14ac:dyDescent="0.25" r="593" customHeight="1" ht="17.25">
      <c r="A593" s="8">
        <v>45910</v>
      </c>
      <c r="B593" s="9" t="s">
        <v>310</v>
      </c>
      <c r="C593" s="4"/>
      <c r="D593" s="6">
        <v>120</v>
      </c>
      <c r="E593" s="6">
        <f>E592+C593-D593</f>
      </c>
    </row>
    <row x14ac:dyDescent="0.25" r="594" customHeight="1" ht="17.25">
      <c r="A594" s="7">
        <v>45911</v>
      </c>
      <c r="B594" s="9" t="s">
        <v>389</v>
      </c>
      <c r="C594" s="6">
        <v>148</v>
      </c>
      <c r="D594" s="4"/>
      <c r="E594" s="6">
        <f>E593+C594-D594</f>
      </c>
    </row>
    <row x14ac:dyDescent="0.25" r="595" customHeight="1" ht="17.25">
      <c r="A595" s="8">
        <v>45911</v>
      </c>
      <c r="B595" s="9" t="s">
        <v>284</v>
      </c>
      <c r="C595" s="6">
        <v>5</v>
      </c>
      <c r="D595" s="4"/>
      <c r="E595" s="6">
        <f>E594+C595-D595</f>
      </c>
    </row>
    <row x14ac:dyDescent="0.25" r="596" customHeight="1" ht="17.25">
      <c r="A596" s="7">
        <v>45912</v>
      </c>
      <c r="B596" s="9" t="s">
        <v>233</v>
      </c>
      <c r="C596" s="4"/>
      <c r="D596" s="6">
        <v>300</v>
      </c>
      <c r="E596" s="6">
        <f>E595+C596-D596</f>
      </c>
    </row>
    <row x14ac:dyDescent="0.25" r="597" customHeight="1" ht="17.25">
      <c r="A597" s="8">
        <v>45912</v>
      </c>
      <c r="B597" s="9" t="s">
        <v>427</v>
      </c>
      <c r="C597" s="4"/>
      <c r="D597" s="6">
        <v>240</v>
      </c>
      <c r="E597" s="6">
        <f>E596+C597-D597</f>
      </c>
    </row>
    <row x14ac:dyDescent="0.25" r="598" customHeight="1" ht="17.25">
      <c r="A598" s="8">
        <v>45912</v>
      </c>
      <c r="B598" s="9" t="s">
        <v>503</v>
      </c>
      <c r="C598" s="6">
        <v>180</v>
      </c>
      <c r="D598" s="4"/>
      <c r="E598" s="6">
        <f>E597+C598-D598</f>
      </c>
    </row>
    <row x14ac:dyDescent="0.25" r="599" customHeight="1" ht="17.25">
      <c r="A599" s="8">
        <v>45912</v>
      </c>
      <c r="B599" s="9" t="s">
        <v>89</v>
      </c>
      <c r="C599" s="6">
        <v>39</v>
      </c>
      <c r="D599" s="4"/>
      <c r="E599" s="6">
        <f>E598+C599-D599</f>
      </c>
    </row>
    <row x14ac:dyDescent="0.25" r="600" customHeight="1" ht="17.25">
      <c r="A600" s="7">
        <v>45913</v>
      </c>
      <c r="B600" s="9" t="s">
        <v>289</v>
      </c>
      <c r="C600" s="4"/>
      <c r="D600" s="6">
        <v>500</v>
      </c>
      <c r="E600" s="6">
        <f>E599+C600-D600</f>
      </c>
    </row>
    <row x14ac:dyDescent="0.25" r="601" customHeight="1" ht="17.25">
      <c r="A601" s="1"/>
      <c r="B601" s="9" t="s">
        <v>560</v>
      </c>
      <c r="C601" s="4"/>
      <c r="D601" s="4"/>
      <c r="E601" s="6">
        <f>E600+C601-D601</f>
      </c>
    </row>
    <row x14ac:dyDescent="0.25" r="602" customHeight="1" ht="17.25">
      <c r="A602" s="8">
        <v>45915</v>
      </c>
      <c r="B602" s="9" t="s">
        <v>141</v>
      </c>
      <c r="C602" s="6">
        <v>420</v>
      </c>
      <c r="D602" s="4"/>
      <c r="E602" s="6">
        <f>E601+C602-D602</f>
      </c>
    </row>
    <row x14ac:dyDescent="0.25" r="603" customHeight="1" ht="17.25">
      <c r="A603" s="8">
        <v>45915</v>
      </c>
      <c r="B603" s="9" t="s">
        <v>365</v>
      </c>
      <c r="C603" s="6">
        <v>44</v>
      </c>
      <c r="D603" s="4"/>
      <c r="E603" s="6">
        <f>E602+C603-D603</f>
      </c>
    </row>
    <row x14ac:dyDescent="0.25" r="604" customHeight="1" ht="17.25">
      <c r="A604" s="7">
        <v>45916</v>
      </c>
      <c r="B604" s="9" t="s">
        <v>58</v>
      </c>
      <c r="C604" s="6">
        <v>1500</v>
      </c>
      <c r="D604" s="4"/>
      <c r="E604" s="6">
        <f>E603+C604-D604</f>
      </c>
    </row>
    <row x14ac:dyDescent="0.25" r="605" customHeight="1" ht="17.25">
      <c r="A605" s="7">
        <v>45916</v>
      </c>
      <c r="B605" s="9" t="s">
        <v>365</v>
      </c>
      <c r="C605" s="6">
        <v>100</v>
      </c>
      <c r="D605" s="4"/>
      <c r="E605" s="6">
        <f>E604+C605-D605</f>
      </c>
    </row>
    <row x14ac:dyDescent="0.25" r="606" customHeight="1" ht="17.25">
      <c r="A606" s="7">
        <v>45916</v>
      </c>
      <c r="B606" s="9" t="s">
        <v>208</v>
      </c>
      <c r="C606" s="6">
        <v>210</v>
      </c>
      <c r="D606" s="4"/>
      <c r="E606" s="6">
        <f>E605+C606-D606</f>
      </c>
    </row>
    <row x14ac:dyDescent="0.25" r="607" customHeight="1" ht="17.25">
      <c r="A607" s="8">
        <v>45917</v>
      </c>
      <c r="B607" s="9" t="s">
        <v>371</v>
      </c>
      <c r="C607" s="4"/>
      <c r="D607" s="6">
        <v>700</v>
      </c>
      <c r="E607" s="6">
        <f>E606+C607-D607</f>
      </c>
    </row>
    <row x14ac:dyDescent="0.25" r="608" customHeight="1" ht="17.25">
      <c r="A608" s="7">
        <v>45917</v>
      </c>
      <c r="B608" s="9" t="s">
        <v>311</v>
      </c>
      <c r="C608" s="4"/>
      <c r="D608" s="6">
        <v>500</v>
      </c>
      <c r="E608" s="6">
        <f>E607+C608-D608</f>
      </c>
    </row>
    <row x14ac:dyDescent="0.25" r="609" customHeight="1" ht="17.25">
      <c r="A609" s="7">
        <v>45917</v>
      </c>
      <c r="B609" s="9" t="s">
        <v>58</v>
      </c>
      <c r="C609" s="6">
        <v>500</v>
      </c>
      <c r="D609" s="4"/>
      <c r="E609" s="6">
        <f>E608+C609-D609</f>
      </c>
    </row>
    <row x14ac:dyDescent="0.25" r="610" customHeight="1" ht="17.25">
      <c r="A610" s="7">
        <v>45917</v>
      </c>
      <c r="B610" s="9" t="s">
        <v>141</v>
      </c>
      <c r="C610" s="6">
        <v>119</v>
      </c>
      <c r="D610" s="4"/>
      <c r="E610" s="6">
        <f>E609+C610-D610</f>
      </c>
    </row>
    <row x14ac:dyDescent="0.25" r="611" customHeight="1" ht="17.25">
      <c r="A611" s="7">
        <v>45918</v>
      </c>
      <c r="B611" s="9" t="s">
        <v>371</v>
      </c>
      <c r="C611" s="4"/>
      <c r="D611" s="6">
        <v>1300</v>
      </c>
      <c r="E611" s="6">
        <f>E610+C611-D611</f>
      </c>
    </row>
    <row x14ac:dyDescent="0.25" r="612" customHeight="1" ht="17.25">
      <c r="A612" s="7">
        <v>45918</v>
      </c>
      <c r="B612" s="9" t="s">
        <v>311</v>
      </c>
      <c r="C612" s="4"/>
      <c r="D612" s="6">
        <v>300</v>
      </c>
      <c r="E612" s="6">
        <f>E611+C612-D612</f>
      </c>
    </row>
    <row x14ac:dyDescent="0.25" r="613" customHeight="1" ht="17.25">
      <c r="A613" s="7">
        <v>45918</v>
      </c>
      <c r="B613" s="9" t="s">
        <v>289</v>
      </c>
      <c r="C613" s="4"/>
      <c r="D613" s="6">
        <v>500</v>
      </c>
      <c r="E613" s="6">
        <f>E612+C613-D613</f>
      </c>
    </row>
    <row x14ac:dyDescent="0.25" r="614" customHeight="1" ht="17.25">
      <c r="A614" s="7">
        <v>45918</v>
      </c>
      <c r="B614" s="9" t="s">
        <v>504</v>
      </c>
      <c r="C614" s="4"/>
      <c r="D614" s="6">
        <v>500</v>
      </c>
      <c r="E614" s="6">
        <f>E613+C614-D614</f>
      </c>
    </row>
    <row x14ac:dyDescent="0.25" r="615" customHeight="1" ht="17.25">
      <c r="A615" s="7">
        <v>45918</v>
      </c>
      <c r="B615" s="9" t="s">
        <v>34</v>
      </c>
      <c r="C615" s="6">
        <v>270</v>
      </c>
      <c r="D615" s="4"/>
      <c r="E615" s="6">
        <f>E614+C615-D615</f>
      </c>
    </row>
    <row x14ac:dyDescent="0.25" r="616" customHeight="1" ht="17.25">
      <c r="A616" s="7">
        <v>45918</v>
      </c>
      <c r="B616" s="9" t="s">
        <v>411</v>
      </c>
      <c r="C616" s="6">
        <v>57</v>
      </c>
      <c r="D616" s="4"/>
      <c r="E616" s="6">
        <f>E615+C616-D616</f>
      </c>
    </row>
    <row x14ac:dyDescent="0.25" r="617" customHeight="1" ht="17.25">
      <c r="A617" s="7">
        <v>45918</v>
      </c>
      <c r="B617" s="9" t="s">
        <v>58</v>
      </c>
      <c r="C617" s="6">
        <v>1000</v>
      </c>
      <c r="D617" s="4"/>
      <c r="E617" s="6">
        <f>E616+C617-D617</f>
      </c>
    </row>
    <row x14ac:dyDescent="0.25" r="618" customHeight="1" ht="17.25">
      <c r="A618" s="7">
        <v>45918</v>
      </c>
      <c r="B618" s="9" t="s">
        <v>389</v>
      </c>
      <c r="C618" s="6">
        <v>250</v>
      </c>
      <c r="D618" s="4"/>
      <c r="E618" s="6">
        <f>E617+C618-D618</f>
      </c>
    </row>
    <row x14ac:dyDescent="0.25" r="619" customHeight="1" ht="17.25">
      <c r="A619" s="7">
        <v>45919</v>
      </c>
      <c r="B619" s="9" t="s">
        <v>291</v>
      </c>
      <c r="C619" s="6">
        <v>400</v>
      </c>
      <c r="D619" s="4"/>
      <c r="E619" s="6">
        <f>E618+C619-D619</f>
      </c>
    </row>
    <row x14ac:dyDescent="0.25" r="620" customHeight="1" ht="17.25">
      <c r="A620" s="7">
        <v>45919</v>
      </c>
      <c r="B620" s="9" t="s">
        <v>311</v>
      </c>
      <c r="C620" s="4"/>
      <c r="D620" s="6">
        <v>400</v>
      </c>
      <c r="E620" s="6">
        <f>E619+C620-D620</f>
      </c>
    </row>
    <row x14ac:dyDescent="0.25" r="621" customHeight="1" ht="17.25">
      <c r="A621" s="7">
        <v>45919</v>
      </c>
      <c r="B621" s="9" t="s">
        <v>311</v>
      </c>
      <c r="C621" s="4"/>
      <c r="D621" s="6">
        <v>1300</v>
      </c>
      <c r="E621" s="6">
        <f>E620+C621-D621</f>
      </c>
    </row>
    <row x14ac:dyDescent="0.25" r="622" customHeight="1" ht="17.25">
      <c r="A622" s="7">
        <v>45919</v>
      </c>
      <c r="B622" s="9" t="s">
        <v>561</v>
      </c>
      <c r="C622" s="4"/>
      <c r="D622" s="6">
        <v>45</v>
      </c>
      <c r="E622" s="6">
        <f>E621+C622-D622</f>
      </c>
    </row>
    <row x14ac:dyDescent="0.25" r="623" customHeight="1" ht="17.25">
      <c r="A623" s="7">
        <v>45919</v>
      </c>
      <c r="B623" s="9" t="s">
        <v>562</v>
      </c>
      <c r="C623" s="4"/>
      <c r="D623" s="6">
        <v>40</v>
      </c>
      <c r="E623" s="6">
        <f>E622+C623-D623</f>
      </c>
    </row>
    <row x14ac:dyDescent="0.25" r="624" customHeight="1" ht="17.25">
      <c r="A624" s="7">
        <v>45919</v>
      </c>
      <c r="B624" s="9" t="s">
        <v>123</v>
      </c>
      <c r="C624" s="4"/>
      <c r="D624" s="6">
        <v>320</v>
      </c>
      <c r="E624" s="6">
        <f>E623+C624-D624</f>
      </c>
    </row>
    <row x14ac:dyDescent="0.25" r="625" customHeight="1" ht="17.25">
      <c r="A625" s="7">
        <v>45919</v>
      </c>
      <c r="B625" s="9" t="s">
        <v>389</v>
      </c>
      <c r="C625" s="6">
        <v>100</v>
      </c>
      <c r="D625" s="4"/>
      <c r="E625" s="6">
        <f>E624+C625-D625</f>
      </c>
    </row>
    <row x14ac:dyDescent="0.25" r="626" customHeight="1" ht="17.25">
      <c r="A626" s="7">
        <v>45919</v>
      </c>
      <c r="B626" s="9" t="s">
        <v>376</v>
      </c>
      <c r="C626" s="6">
        <v>38</v>
      </c>
      <c r="D626" s="4"/>
      <c r="E626" s="6">
        <f>E625+C626-D626</f>
      </c>
    </row>
    <row x14ac:dyDescent="0.25" r="627" customHeight="1" ht="17.25">
      <c r="A627" s="1"/>
      <c r="B627" s="9" t="s">
        <v>563</v>
      </c>
      <c r="C627" s="4"/>
      <c r="D627" s="4"/>
      <c r="E627" s="6">
        <v>400</v>
      </c>
    </row>
    <row x14ac:dyDescent="0.25" r="628" customHeight="1" ht="17.25">
      <c r="A628" s="7">
        <v>45922</v>
      </c>
      <c r="B628" s="9" t="s">
        <v>389</v>
      </c>
      <c r="C628" s="6">
        <v>192</v>
      </c>
      <c r="D628" s="4"/>
      <c r="E628" s="6">
        <f>E627+C628-D628</f>
      </c>
    </row>
    <row x14ac:dyDescent="0.25" r="629" customHeight="1" ht="17.25">
      <c r="A629" s="7">
        <v>45922</v>
      </c>
      <c r="B629" s="9" t="s">
        <v>266</v>
      </c>
      <c r="C629" s="4"/>
      <c r="D629" s="6">
        <v>80</v>
      </c>
      <c r="E629" s="6">
        <f>E628+C629-D629</f>
      </c>
    </row>
    <row x14ac:dyDescent="0.25" r="630" customHeight="1" ht="17.25">
      <c r="A630" s="7">
        <v>45922</v>
      </c>
      <c r="B630" s="9" t="s">
        <v>35</v>
      </c>
      <c r="C630" s="6">
        <v>160</v>
      </c>
      <c r="D630" s="4"/>
      <c r="E630" s="6">
        <f>E629+C630-D630</f>
      </c>
    </row>
    <row x14ac:dyDescent="0.25" r="631" customHeight="1" ht="17.25">
      <c r="A631" s="7">
        <v>45923</v>
      </c>
      <c r="B631" s="9" t="s">
        <v>4</v>
      </c>
      <c r="C631" s="4"/>
      <c r="D631" s="6">
        <v>100</v>
      </c>
      <c r="E631" s="6">
        <f>E630+C631-D631</f>
      </c>
    </row>
    <row x14ac:dyDescent="0.25" r="632" customHeight="1" ht="17.25">
      <c r="A632" s="7">
        <v>45923</v>
      </c>
      <c r="B632" s="9" t="s">
        <v>4</v>
      </c>
      <c r="C632" s="4"/>
      <c r="D632" s="6">
        <v>200</v>
      </c>
      <c r="E632" s="6">
        <f>E631+C632-D632</f>
      </c>
    </row>
    <row x14ac:dyDescent="0.25" r="633" customHeight="1" ht="17.25">
      <c r="A633" s="7">
        <v>45923</v>
      </c>
      <c r="B633" s="9" t="s">
        <v>284</v>
      </c>
      <c r="C633" s="6">
        <v>245</v>
      </c>
      <c r="D633" s="4"/>
      <c r="E633" s="6">
        <f>E632+C633-D633</f>
      </c>
    </row>
    <row x14ac:dyDescent="0.25" r="634" customHeight="1" ht="17.25">
      <c r="A634" s="8">
        <v>45924</v>
      </c>
      <c r="B634" s="9" t="s">
        <v>284</v>
      </c>
      <c r="C634" s="6">
        <v>16</v>
      </c>
      <c r="D634" s="4"/>
      <c r="E634" s="6">
        <f>E633+C634-D634</f>
      </c>
    </row>
    <row x14ac:dyDescent="0.25" r="635" customHeight="1" ht="17.25">
      <c r="A635" s="8">
        <v>45924</v>
      </c>
      <c r="B635" s="9" t="s">
        <v>42</v>
      </c>
      <c r="C635" s="6">
        <v>50</v>
      </c>
      <c r="D635" s="4"/>
      <c r="E635" s="6">
        <f>E634+C635-D635</f>
      </c>
    </row>
    <row x14ac:dyDescent="0.25" r="636" customHeight="1" ht="17.25">
      <c r="A636" s="8">
        <v>45925</v>
      </c>
      <c r="B636" s="9" t="s">
        <v>233</v>
      </c>
      <c r="C636" s="4"/>
      <c r="D636" s="6">
        <v>220</v>
      </c>
      <c r="E636" s="6">
        <f>E635+C636-D636</f>
      </c>
    </row>
    <row x14ac:dyDescent="0.25" r="637" customHeight="1" ht="17.25">
      <c r="A637" s="8">
        <v>45926</v>
      </c>
      <c r="B637" s="9" t="s">
        <v>564</v>
      </c>
      <c r="C637" s="4"/>
      <c r="D637" s="6">
        <v>400</v>
      </c>
      <c r="E637" s="6">
        <f>E636+C637-D637</f>
      </c>
    </row>
    <row x14ac:dyDescent="0.25" r="638" customHeight="1" ht="17.25">
      <c r="A638" s="8">
        <v>45926</v>
      </c>
      <c r="B638" s="9" t="s">
        <v>365</v>
      </c>
      <c r="C638" s="6">
        <v>100</v>
      </c>
      <c r="D638" s="4"/>
      <c r="E638" s="6">
        <f>E637+C638-D638</f>
      </c>
    </row>
    <row x14ac:dyDescent="0.25" r="639" customHeight="1" ht="17.25">
      <c r="A639" s="7">
        <v>45926</v>
      </c>
      <c r="B639" s="9" t="s">
        <v>58</v>
      </c>
      <c r="C639" s="6">
        <v>1000</v>
      </c>
      <c r="D639" s="4"/>
      <c r="E639" s="6">
        <f>E638+C639-D639</f>
      </c>
    </row>
    <row x14ac:dyDescent="0.25" r="640" customHeight="1" ht="17.25">
      <c r="A640" s="7">
        <v>45927</v>
      </c>
      <c r="B640" s="9" t="s">
        <v>343</v>
      </c>
      <c r="C640" s="6">
        <v>43</v>
      </c>
      <c r="D640" s="4"/>
      <c r="E640" s="6">
        <f>E639+C640-D640</f>
      </c>
    </row>
    <row x14ac:dyDescent="0.25" r="641" customHeight="1" ht="17.25">
      <c r="A641" s="7">
        <v>45929</v>
      </c>
      <c r="B641" s="9" t="s">
        <v>316</v>
      </c>
      <c r="C641" s="4"/>
      <c r="D641" s="6">
        <v>200</v>
      </c>
      <c r="E641" s="6">
        <f>E640+C641-D641</f>
      </c>
    </row>
    <row x14ac:dyDescent="0.25" r="642" customHeight="1" ht="17.25">
      <c r="A642" s="7">
        <v>45929</v>
      </c>
      <c r="B642" s="9" t="s">
        <v>428</v>
      </c>
      <c r="C642" s="4"/>
      <c r="D642" s="6">
        <v>200</v>
      </c>
      <c r="E642" s="6">
        <f>E641+C642-D642</f>
      </c>
    </row>
    <row x14ac:dyDescent="0.25" r="643" customHeight="1" ht="17.25">
      <c r="A643" s="8">
        <v>45930</v>
      </c>
      <c r="B643" s="9" t="s">
        <v>385</v>
      </c>
      <c r="C643" s="4"/>
      <c r="D643" s="6">
        <v>120</v>
      </c>
      <c r="E643" s="6">
        <f>E642+C643-D643</f>
      </c>
    </row>
    <row x14ac:dyDescent="0.25" r="644" customHeight="1" ht="17.25">
      <c r="A644" s="7">
        <v>45930</v>
      </c>
      <c r="B644" s="9" t="s">
        <v>311</v>
      </c>
      <c r="C644" s="4"/>
      <c r="D644" s="6">
        <v>500</v>
      </c>
      <c r="E644" s="6">
        <f>E643+C644-D644</f>
      </c>
    </row>
    <row x14ac:dyDescent="0.25" r="645" customHeight="1" ht="17.25">
      <c r="A645" s="7">
        <v>45930</v>
      </c>
      <c r="B645" s="9" t="s">
        <v>444</v>
      </c>
      <c r="C645" s="6">
        <v>82</v>
      </c>
      <c r="D645" s="4"/>
      <c r="E645" s="6">
        <f>E644+C645-D645</f>
      </c>
    </row>
    <row x14ac:dyDescent="0.25" r="646" customHeight="1" ht="17.25">
      <c r="A646" s="7">
        <v>45930</v>
      </c>
      <c r="B646" s="9" t="s">
        <v>4</v>
      </c>
      <c r="C646" s="6">
        <v>198</v>
      </c>
      <c r="D646" s="4"/>
      <c r="E646" s="6">
        <f>E645+C646-D646</f>
      </c>
    </row>
    <row x14ac:dyDescent="0.25" r="647" customHeight="1" ht="17.25">
      <c r="A647" s="8">
        <v>45930</v>
      </c>
      <c r="B647" s="9" t="s">
        <v>543</v>
      </c>
      <c r="C647" s="6">
        <v>270</v>
      </c>
      <c r="D647" s="4"/>
      <c r="E647" s="6">
        <f>E646+C647-D647</f>
      </c>
    </row>
    <row x14ac:dyDescent="0.25" r="648" customHeight="1" ht="17.25">
      <c r="A648" s="7">
        <v>45930</v>
      </c>
      <c r="B648" s="9" t="s">
        <v>47</v>
      </c>
      <c r="C648" s="6">
        <v>100</v>
      </c>
      <c r="D648" s="4"/>
      <c r="E648" s="6">
        <f>E647+C648-D648</f>
      </c>
    </row>
    <row x14ac:dyDescent="0.25" r="649" customHeight="1" ht="17.25">
      <c r="A649" s="7">
        <v>45932</v>
      </c>
      <c r="B649" s="9" t="s">
        <v>316</v>
      </c>
      <c r="C649" s="4"/>
      <c r="D649" s="6">
        <v>300</v>
      </c>
      <c r="E649" s="6">
        <f>E648+C649-D649</f>
      </c>
    </row>
    <row x14ac:dyDescent="0.25" r="650" customHeight="1" ht="17.25">
      <c r="A650" s="7">
        <v>45932</v>
      </c>
      <c r="B650" s="9" t="s">
        <v>456</v>
      </c>
      <c r="C650" s="4"/>
      <c r="D650" s="6">
        <v>60</v>
      </c>
      <c r="E650" s="6">
        <f>E649+C650-D650</f>
      </c>
    </row>
    <row x14ac:dyDescent="0.25" r="651" customHeight="1" ht="17.25">
      <c r="A651" s="8">
        <v>45932</v>
      </c>
      <c r="B651" s="9" t="s">
        <v>264</v>
      </c>
      <c r="C651" s="6">
        <v>45</v>
      </c>
      <c r="D651" s="4"/>
      <c r="E651" s="6">
        <f>E650+C651-D651</f>
      </c>
    </row>
    <row x14ac:dyDescent="0.25" r="652" customHeight="1" ht="17.25">
      <c r="A652" s="7">
        <v>45932</v>
      </c>
      <c r="B652" s="9" t="s">
        <v>3</v>
      </c>
      <c r="C652" s="6">
        <v>395</v>
      </c>
      <c r="D652" s="4"/>
      <c r="E652" s="6">
        <f>E651+C652-D652</f>
      </c>
    </row>
    <row x14ac:dyDescent="0.25" r="653" customHeight="1" ht="17.25">
      <c r="A653" s="7">
        <v>45932</v>
      </c>
      <c r="B653" s="9" t="s">
        <v>426</v>
      </c>
      <c r="C653" s="6">
        <v>200</v>
      </c>
      <c r="D653" s="4"/>
      <c r="E653" s="6">
        <f>E652+C653-D653</f>
      </c>
    </row>
    <row x14ac:dyDescent="0.25" r="654" customHeight="1" ht="17.25">
      <c r="A654" s="7">
        <v>45932</v>
      </c>
      <c r="B654" s="9" t="s">
        <v>291</v>
      </c>
      <c r="C654" s="6">
        <v>500</v>
      </c>
      <c r="D654" s="4"/>
      <c r="E654" s="6">
        <f>E653+C654-D654</f>
      </c>
    </row>
    <row x14ac:dyDescent="0.25" r="655" customHeight="1" ht="17.25">
      <c r="A655" s="8">
        <v>45932</v>
      </c>
      <c r="B655" s="9" t="s">
        <v>4</v>
      </c>
      <c r="C655" s="6">
        <v>5</v>
      </c>
      <c r="D655" s="4"/>
      <c r="E655" s="6">
        <f>E654+C655-D655</f>
      </c>
    </row>
    <row x14ac:dyDescent="0.25" r="656" customHeight="1" ht="17.25">
      <c r="A656" s="7">
        <v>45933</v>
      </c>
      <c r="B656" s="9" t="s">
        <v>46</v>
      </c>
      <c r="C656" s="4"/>
      <c r="D656" s="6">
        <v>200</v>
      </c>
      <c r="E656" s="6">
        <f>E655+C656-D656</f>
      </c>
    </row>
    <row x14ac:dyDescent="0.25" r="657" customHeight="1" ht="17.25">
      <c r="A657" s="8">
        <v>45933</v>
      </c>
      <c r="B657" s="9" t="s">
        <v>508</v>
      </c>
      <c r="C657" s="4"/>
      <c r="D657" s="6">
        <v>400</v>
      </c>
      <c r="E657" s="6">
        <f>E656+C657-D657</f>
      </c>
    </row>
    <row x14ac:dyDescent="0.25" r="658" customHeight="1" ht="17.25">
      <c r="A658" s="7">
        <v>45934</v>
      </c>
      <c r="B658" s="9" t="s">
        <v>46</v>
      </c>
      <c r="C658" s="4"/>
      <c r="D658" s="6">
        <v>400</v>
      </c>
      <c r="E658" s="6">
        <f>E657+C658-D658</f>
      </c>
    </row>
    <row x14ac:dyDescent="0.25" r="659" customHeight="1" ht="17.25">
      <c r="A659" s="7">
        <v>45936</v>
      </c>
      <c r="B659" s="9" t="s">
        <v>289</v>
      </c>
      <c r="C659" s="4"/>
      <c r="D659" s="6">
        <v>100</v>
      </c>
      <c r="E659" s="6">
        <f>E658+C659-D659</f>
      </c>
    </row>
    <row x14ac:dyDescent="0.25" r="660" customHeight="1" ht="17.25">
      <c r="A660" s="7">
        <v>45936</v>
      </c>
      <c r="B660" s="9" t="s">
        <v>291</v>
      </c>
      <c r="C660" s="6">
        <v>331</v>
      </c>
      <c r="D660" s="4"/>
      <c r="E660" s="6">
        <f>E659+C660-D660</f>
      </c>
    </row>
    <row x14ac:dyDescent="0.25" r="661" customHeight="1" ht="17.25">
      <c r="A661" s="7">
        <v>45937</v>
      </c>
      <c r="B661" s="9" t="s">
        <v>289</v>
      </c>
      <c r="C661" s="4"/>
      <c r="D661" s="6">
        <v>60</v>
      </c>
      <c r="E661" s="6">
        <f>E660+C661-D661</f>
      </c>
    </row>
    <row x14ac:dyDescent="0.25" r="662" customHeight="1" ht="17.25">
      <c r="A662" s="7">
        <v>45937</v>
      </c>
      <c r="B662" s="9" t="s">
        <v>312</v>
      </c>
      <c r="C662" s="4"/>
      <c r="D662" s="6">
        <v>16</v>
      </c>
      <c r="E662" s="6">
        <f>E661+C662-D662</f>
      </c>
    </row>
    <row x14ac:dyDescent="0.25" r="663" customHeight="1" ht="17.25">
      <c r="A663" s="7">
        <v>45937</v>
      </c>
      <c r="B663" s="9" t="s">
        <v>389</v>
      </c>
      <c r="C663" s="6">
        <v>296</v>
      </c>
      <c r="D663" s="4"/>
      <c r="E663" s="6">
        <f>E662+C663-D663</f>
      </c>
    </row>
    <row x14ac:dyDescent="0.25" r="664" customHeight="1" ht="17.25">
      <c r="A664" s="7">
        <v>45938</v>
      </c>
      <c r="B664" s="9" t="s">
        <v>233</v>
      </c>
      <c r="C664" s="4"/>
      <c r="D664" s="6">
        <v>200</v>
      </c>
      <c r="E664" s="6">
        <f>E663+C664-D664</f>
      </c>
    </row>
    <row x14ac:dyDescent="0.25" r="665" customHeight="1" ht="17.25">
      <c r="A665" s="8">
        <v>45938</v>
      </c>
      <c r="B665" s="9" t="s">
        <v>313</v>
      </c>
      <c r="C665" s="4"/>
      <c r="D665" s="6">
        <v>112</v>
      </c>
      <c r="E665" s="6">
        <f>E664+C665-D665</f>
      </c>
    </row>
    <row x14ac:dyDescent="0.25" r="666" customHeight="1" ht="17.25">
      <c r="A666" s="7">
        <v>45938</v>
      </c>
      <c r="B666" s="9" t="s">
        <v>316</v>
      </c>
      <c r="C666" s="4"/>
      <c r="D666" s="6">
        <v>400</v>
      </c>
      <c r="E666" s="6">
        <f>E665+C666-D666</f>
      </c>
    </row>
    <row x14ac:dyDescent="0.25" r="667" customHeight="1" ht="17.25">
      <c r="A667" s="7">
        <v>45939</v>
      </c>
      <c r="B667" s="9" t="s">
        <v>233</v>
      </c>
      <c r="C667" s="4"/>
      <c r="D667" s="6">
        <v>280</v>
      </c>
      <c r="E667" s="6">
        <f>E666+C667-D667</f>
      </c>
    </row>
    <row x14ac:dyDescent="0.25" r="668" customHeight="1" ht="17.25">
      <c r="A668" s="7">
        <v>45939</v>
      </c>
      <c r="B668" s="9" t="s">
        <v>389</v>
      </c>
      <c r="C668" s="6">
        <v>200</v>
      </c>
      <c r="D668" s="4"/>
      <c r="E668" s="6">
        <f>E667+C668-D668</f>
      </c>
    </row>
    <row x14ac:dyDescent="0.25" r="669" customHeight="1" ht="17.25">
      <c r="A669" s="7">
        <v>45940</v>
      </c>
      <c r="B669" s="9" t="s">
        <v>311</v>
      </c>
      <c r="C669" s="4"/>
      <c r="D669" s="6">
        <v>500</v>
      </c>
      <c r="E669" s="6">
        <f>E668+C669-D669</f>
      </c>
    </row>
    <row x14ac:dyDescent="0.25" r="670" customHeight="1" ht="17.25">
      <c r="A670" s="8">
        <v>45940</v>
      </c>
      <c r="B670" s="9" t="s">
        <v>141</v>
      </c>
      <c r="C670" s="6">
        <v>123</v>
      </c>
      <c r="D670" s="4"/>
      <c r="E670" s="6">
        <f>E669+C670-D670</f>
      </c>
    </row>
    <row x14ac:dyDescent="0.25" r="671" customHeight="1" ht="17.25">
      <c r="A671" s="7">
        <v>45940</v>
      </c>
      <c r="B671" s="9" t="s">
        <v>389</v>
      </c>
      <c r="C671" s="6">
        <v>322</v>
      </c>
      <c r="D671" s="4"/>
      <c r="E671" s="6">
        <f>E670+C671-D671</f>
      </c>
    </row>
    <row x14ac:dyDescent="0.25" r="672" customHeight="1" ht="17.25">
      <c r="A672" s="7">
        <v>45941</v>
      </c>
      <c r="B672" s="9" t="s">
        <v>316</v>
      </c>
      <c r="C672" s="4"/>
      <c r="D672" s="6">
        <v>200</v>
      </c>
      <c r="E672" s="6">
        <f>E671+C672-D672</f>
      </c>
    </row>
    <row x14ac:dyDescent="0.25" r="673" customHeight="1" ht="17.25">
      <c r="A673" s="7">
        <v>45941</v>
      </c>
      <c r="B673" s="9" t="s">
        <v>545</v>
      </c>
      <c r="C673" s="6">
        <v>100</v>
      </c>
      <c r="D673" s="4"/>
      <c r="E673" s="6">
        <f>E672+C673-D673</f>
      </c>
    </row>
    <row x14ac:dyDescent="0.25" r="674" customHeight="1" ht="17.25">
      <c r="A674" s="7">
        <v>45941</v>
      </c>
      <c r="B674" s="9" t="s">
        <v>565</v>
      </c>
      <c r="C674" s="6">
        <v>111</v>
      </c>
      <c r="D674" s="4"/>
      <c r="E674" s="6">
        <f>E673+C674-D674</f>
      </c>
    </row>
    <row x14ac:dyDescent="0.25" r="675" customHeight="1" ht="17.25">
      <c r="A675" s="8">
        <v>45941</v>
      </c>
      <c r="B675" s="9" t="s">
        <v>287</v>
      </c>
      <c r="C675" s="6">
        <v>14</v>
      </c>
      <c r="D675" s="4"/>
      <c r="E675" s="6">
        <f>E674+C675-D675</f>
      </c>
    </row>
    <row x14ac:dyDescent="0.25" r="676" customHeight="1" ht="17.25">
      <c r="A676" s="7">
        <v>45943</v>
      </c>
      <c r="B676" s="9" t="s">
        <v>46</v>
      </c>
      <c r="C676" s="4"/>
      <c r="D676" s="6">
        <v>400</v>
      </c>
      <c r="E676" s="6">
        <f>E675+C676-D676</f>
      </c>
    </row>
    <row x14ac:dyDescent="0.25" r="677" customHeight="1" ht="17.25">
      <c r="A677" s="7">
        <v>45943</v>
      </c>
      <c r="B677" s="9" t="s">
        <v>304</v>
      </c>
      <c r="C677" s="4"/>
      <c r="D677" s="6">
        <v>150</v>
      </c>
      <c r="E677" s="6">
        <f>E676+C677-D677</f>
      </c>
    </row>
    <row x14ac:dyDescent="0.25" r="678" customHeight="1" ht="17.25">
      <c r="A678" s="7">
        <v>45943</v>
      </c>
      <c r="B678" s="9" t="s">
        <v>304</v>
      </c>
      <c r="C678" s="4"/>
      <c r="D678" s="6">
        <v>350</v>
      </c>
      <c r="E678" s="6">
        <f>E677+C678-D678</f>
      </c>
    </row>
    <row x14ac:dyDescent="0.25" r="679" customHeight="1" ht="17.25">
      <c r="A679" s="8">
        <v>45943</v>
      </c>
      <c r="B679" s="9" t="s">
        <v>512</v>
      </c>
      <c r="C679" s="4"/>
      <c r="D679" s="6">
        <v>100</v>
      </c>
      <c r="E679" s="6">
        <f>E678+C679-D679</f>
      </c>
    </row>
    <row x14ac:dyDescent="0.25" r="680" customHeight="1" ht="17.25">
      <c r="A680" s="8">
        <v>45943</v>
      </c>
      <c r="B680" s="9" t="s">
        <v>512</v>
      </c>
      <c r="C680" s="4"/>
      <c r="D680" s="6">
        <v>100</v>
      </c>
      <c r="E680" s="6">
        <f>E679+C680-D680</f>
      </c>
    </row>
    <row x14ac:dyDescent="0.25" r="681" customHeight="1" ht="17.25">
      <c r="A681" s="7">
        <v>45943</v>
      </c>
      <c r="B681" s="9" t="s">
        <v>291</v>
      </c>
      <c r="C681" s="6">
        <v>580</v>
      </c>
      <c r="D681" s="4"/>
      <c r="E681" s="6">
        <f>E680+C681-D681</f>
      </c>
    </row>
    <row x14ac:dyDescent="0.25" r="682" customHeight="1" ht="17.25">
      <c r="A682" s="8">
        <v>45943</v>
      </c>
      <c r="B682" s="9" t="s">
        <v>512</v>
      </c>
      <c r="C682" s="4"/>
      <c r="D682" s="6">
        <v>200</v>
      </c>
      <c r="E682" s="6">
        <f>E681+C682-D682</f>
      </c>
    </row>
    <row x14ac:dyDescent="0.25" r="683" customHeight="1" ht="17.25">
      <c r="A683" s="8">
        <v>45943</v>
      </c>
      <c r="B683" s="9" t="s">
        <v>7</v>
      </c>
      <c r="C683" s="6">
        <v>3</v>
      </c>
      <c r="D683" s="4"/>
      <c r="E683" s="6">
        <f>E682+C683-D683</f>
      </c>
    </row>
    <row x14ac:dyDescent="0.25" r="684" customHeight="1" ht="17.25">
      <c r="A684" s="7">
        <v>45943</v>
      </c>
      <c r="B684" s="9" t="s">
        <v>298</v>
      </c>
      <c r="C684" s="6">
        <v>1048</v>
      </c>
      <c r="D684" s="4"/>
      <c r="E684" s="6">
        <f>E683+C684-D684</f>
      </c>
    </row>
    <row x14ac:dyDescent="0.25" r="685" customHeight="1" ht="17.25">
      <c r="A685" s="7">
        <v>45944</v>
      </c>
      <c r="B685" s="9" t="s">
        <v>459</v>
      </c>
      <c r="C685" s="6">
        <v>60</v>
      </c>
      <c r="D685" s="4"/>
      <c r="E685" s="6">
        <f>E684+C685-D685</f>
      </c>
    </row>
    <row x14ac:dyDescent="0.25" r="686" customHeight="1" ht="17.25">
      <c r="A686" s="7">
        <v>45944</v>
      </c>
      <c r="B686" s="9" t="s">
        <v>58</v>
      </c>
      <c r="C686" s="6">
        <v>1000</v>
      </c>
      <c r="D686" s="4"/>
      <c r="E686" s="6">
        <f>E685+C686-D686</f>
      </c>
    </row>
    <row x14ac:dyDescent="0.25" r="687" customHeight="1" ht="17.25">
      <c r="A687" s="8">
        <v>45945</v>
      </c>
      <c r="B687" s="9" t="s">
        <v>179</v>
      </c>
      <c r="C687" s="4"/>
      <c r="D687" s="6">
        <v>100</v>
      </c>
      <c r="E687" s="6">
        <f>E686+C687-D687</f>
      </c>
    </row>
    <row x14ac:dyDescent="0.25" r="688" customHeight="1" ht="17.25">
      <c r="A688" s="8">
        <v>45945</v>
      </c>
      <c r="B688" s="9" t="s">
        <v>283</v>
      </c>
      <c r="C688" s="6">
        <v>160</v>
      </c>
      <c r="D688" s="4"/>
      <c r="E688" s="6">
        <f>E687+C688-D688</f>
      </c>
    </row>
    <row x14ac:dyDescent="0.25" r="689" customHeight="1" ht="17.25">
      <c r="A689" s="7">
        <v>45946</v>
      </c>
      <c r="B689" s="9" t="s">
        <v>420</v>
      </c>
      <c r="C689" s="4"/>
      <c r="D689" s="6">
        <v>72</v>
      </c>
      <c r="E689" s="6">
        <f>E688+C689-D689</f>
      </c>
    </row>
    <row x14ac:dyDescent="0.25" r="690" customHeight="1" ht="17.25">
      <c r="A690" s="7">
        <v>45946</v>
      </c>
      <c r="B690" s="9" t="s">
        <v>512</v>
      </c>
      <c r="C690" s="4"/>
      <c r="D690" s="6">
        <v>160</v>
      </c>
      <c r="E690" s="6">
        <f>E689+C690-D690</f>
      </c>
    </row>
    <row x14ac:dyDescent="0.25" r="691" customHeight="1" ht="17.25">
      <c r="A691" s="7">
        <v>45946</v>
      </c>
      <c r="B691" s="9" t="s">
        <v>512</v>
      </c>
      <c r="C691" s="4"/>
      <c r="D691" s="6">
        <v>160</v>
      </c>
      <c r="E691" s="6">
        <f>E690+C691-D691</f>
      </c>
    </row>
    <row x14ac:dyDescent="0.25" r="692" customHeight="1" ht="17.25">
      <c r="A692" s="8">
        <v>45946</v>
      </c>
      <c r="B692" s="9" t="s">
        <v>141</v>
      </c>
      <c r="C692" s="6">
        <v>102</v>
      </c>
      <c r="D692" s="4"/>
      <c r="E692" s="6">
        <f>E691+C692-D692</f>
      </c>
    </row>
    <row x14ac:dyDescent="0.25" r="693" customHeight="1" ht="17.25">
      <c r="A693" s="8">
        <v>45946</v>
      </c>
      <c r="B693" s="9" t="s">
        <v>100</v>
      </c>
      <c r="C693" s="6">
        <v>76</v>
      </c>
      <c r="D693" s="4"/>
      <c r="E693" s="6">
        <f>E692+C693-D693</f>
      </c>
    </row>
    <row x14ac:dyDescent="0.25" r="694" customHeight="1" ht="17.25">
      <c r="A694" s="8">
        <v>45946</v>
      </c>
      <c r="B694" s="9" t="s">
        <v>389</v>
      </c>
      <c r="C694" s="6">
        <v>186</v>
      </c>
      <c r="D694" s="4"/>
      <c r="E694" s="6">
        <f>E693+C694-D694</f>
      </c>
    </row>
    <row x14ac:dyDescent="0.25" r="695" customHeight="1" ht="17.25">
      <c r="A695" s="8">
        <v>45947</v>
      </c>
      <c r="B695" s="9" t="s">
        <v>512</v>
      </c>
      <c r="C695" s="4"/>
      <c r="D695" s="6">
        <v>100</v>
      </c>
      <c r="E695" s="6">
        <f>E694+C695-D695</f>
      </c>
    </row>
    <row x14ac:dyDescent="0.25" r="696" customHeight="1" ht="17.25">
      <c r="A696" s="8">
        <v>45947</v>
      </c>
      <c r="B696" s="9" t="s">
        <v>512</v>
      </c>
      <c r="C696" s="4"/>
      <c r="D696" s="6">
        <v>160</v>
      </c>
      <c r="E696" s="6">
        <f>E695+C696-D696</f>
      </c>
    </row>
    <row x14ac:dyDescent="0.25" r="697" customHeight="1" ht="17.25">
      <c r="A697" s="8">
        <v>45947</v>
      </c>
      <c r="B697" s="9" t="s">
        <v>7</v>
      </c>
      <c r="C697" s="6">
        <v>112</v>
      </c>
      <c r="D697" s="4"/>
      <c r="E697" s="6">
        <f>E696+C697-D697</f>
      </c>
    </row>
    <row x14ac:dyDescent="0.25" r="698" customHeight="1" ht="17.25">
      <c r="A698" s="8">
        <v>45947</v>
      </c>
      <c r="B698" s="9" t="s">
        <v>389</v>
      </c>
      <c r="C698" s="6">
        <v>97</v>
      </c>
      <c r="D698" s="4"/>
      <c r="E698" s="6">
        <f>E697+C698-D698</f>
      </c>
    </row>
    <row x14ac:dyDescent="0.25" r="699" customHeight="1" ht="17.25">
      <c r="A699" s="7">
        <v>45948</v>
      </c>
      <c r="B699" s="9" t="s">
        <v>46</v>
      </c>
      <c r="C699" s="4"/>
      <c r="D699" s="6">
        <v>500</v>
      </c>
      <c r="E699" s="6">
        <f>E698+C699-D699</f>
      </c>
    </row>
    <row x14ac:dyDescent="0.25" r="700" customHeight="1" ht="17.25">
      <c r="A700" s="7">
        <v>45949</v>
      </c>
      <c r="B700" s="9" t="s">
        <v>304</v>
      </c>
      <c r="C700" s="4"/>
      <c r="D700" s="6">
        <v>200</v>
      </c>
      <c r="E700" s="6">
        <f>E699+C700-D700</f>
      </c>
    </row>
    <row x14ac:dyDescent="0.25" r="701" customHeight="1" ht="17.25">
      <c r="A701" s="7">
        <v>45949</v>
      </c>
      <c r="B701" s="9" t="s">
        <v>304</v>
      </c>
      <c r="C701" s="4"/>
      <c r="D701" s="6">
        <v>200</v>
      </c>
      <c r="E701" s="6">
        <f>E700+C701-D701</f>
      </c>
    </row>
    <row x14ac:dyDescent="0.25" r="702" customHeight="1" ht="17.25">
      <c r="A702" s="7">
        <v>45950</v>
      </c>
      <c r="B702" s="9" t="s">
        <v>304</v>
      </c>
      <c r="C702" s="4"/>
      <c r="D702" s="6">
        <v>200</v>
      </c>
      <c r="E702" s="6">
        <f>E701+C702-D702</f>
      </c>
    </row>
    <row x14ac:dyDescent="0.25" r="703" customHeight="1" ht="17.25">
      <c r="A703" s="7">
        <v>45950</v>
      </c>
      <c r="B703" s="9" t="s">
        <v>7</v>
      </c>
      <c r="C703" s="6">
        <v>20</v>
      </c>
      <c r="D703" s="4"/>
      <c r="E703" s="6">
        <f>E702+C703-D703</f>
      </c>
    </row>
    <row x14ac:dyDescent="0.25" r="704" customHeight="1" ht="17.25">
      <c r="A704" s="7">
        <v>45950</v>
      </c>
      <c r="B704" s="9" t="s">
        <v>208</v>
      </c>
      <c r="C704" s="6">
        <v>148</v>
      </c>
      <c r="D704" s="4"/>
      <c r="E704" s="6">
        <f>E703+C704-D704</f>
      </c>
    </row>
    <row x14ac:dyDescent="0.25" r="705" customHeight="1" ht="17.25">
      <c r="A705" s="7">
        <v>45951</v>
      </c>
      <c r="B705" s="9" t="s">
        <v>46</v>
      </c>
      <c r="C705" s="4"/>
      <c r="D705" s="6">
        <v>400</v>
      </c>
      <c r="E705" s="6">
        <f>E704+C705-D705</f>
      </c>
    </row>
    <row x14ac:dyDescent="0.25" r="706" customHeight="1" ht="17.25">
      <c r="A706" s="7">
        <v>45951</v>
      </c>
      <c r="B706" s="9" t="s">
        <v>315</v>
      </c>
      <c r="C706" s="4"/>
      <c r="D706" s="6">
        <v>138</v>
      </c>
      <c r="E706" s="6">
        <f>E705+C706-D706</f>
      </c>
    </row>
    <row x14ac:dyDescent="0.25" r="707" customHeight="1" ht="17.25">
      <c r="A707" s="7">
        <v>45951</v>
      </c>
      <c r="B707" s="9" t="s">
        <v>512</v>
      </c>
      <c r="C707" s="4"/>
      <c r="D707" s="6">
        <v>100</v>
      </c>
      <c r="E707" s="6">
        <f>E706+C707-D707</f>
      </c>
    </row>
    <row x14ac:dyDescent="0.25" r="708" customHeight="1" ht="17.25">
      <c r="A708" s="7">
        <v>45951</v>
      </c>
      <c r="B708" s="9" t="s">
        <v>7</v>
      </c>
      <c r="C708" s="6">
        <v>187</v>
      </c>
      <c r="D708" s="4"/>
      <c r="E708" s="6">
        <f>E707+C708-D708</f>
      </c>
    </row>
    <row x14ac:dyDescent="0.25" r="709" customHeight="1" ht="17.25">
      <c r="A709" s="7">
        <v>45951</v>
      </c>
      <c r="B709" s="9" t="s">
        <v>3</v>
      </c>
      <c r="C709" s="6">
        <v>388</v>
      </c>
      <c r="D709" s="4"/>
      <c r="E709" s="6">
        <f>E708+C709-D709</f>
      </c>
    </row>
    <row x14ac:dyDescent="0.25" r="710" customHeight="1" ht="17.25">
      <c r="A710" s="7">
        <v>45952</v>
      </c>
      <c r="B710" s="9" t="s">
        <v>233</v>
      </c>
      <c r="C710" s="4"/>
      <c r="D710" s="6">
        <v>540</v>
      </c>
      <c r="E710" s="6">
        <f>E709+C710-D710</f>
      </c>
    </row>
    <row x14ac:dyDescent="0.25" r="711" customHeight="1" ht="17.25">
      <c r="A711" s="7">
        <v>45952</v>
      </c>
      <c r="B711" s="9" t="s">
        <v>313</v>
      </c>
      <c r="C711" s="4"/>
      <c r="D711" s="6">
        <v>112</v>
      </c>
      <c r="E711" s="6">
        <f>E710+C711-D711</f>
      </c>
    </row>
    <row x14ac:dyDescent="0.25" r="712" customHeight="1" ht="17.25">
      <c r="A712" s="7">
        <v>45952</v>
      </c>
      <c r="B712" s="9" t="s">
        <v>141</v>
      </c>
      <c r="C712" s="6">
        <v>50</v>
      </c>
      <c r="D712" s="4"/>
      <c r="E712" s="6">
        <f>E711+C712-D712</f>
      </c>
    </row>
    <row x14ac:dyDescent="0.25" r="713" customHeight="1" ht="17.25">
      <c r="A713" s="7">
        <v>45952</v>
      </c>
      <c r="B713" s="2" t="s">
        <v>389</v>
      </c>
      <c r="C713" s="6">
        <v>250</v>
      </c>
      <c r="D713" s="4"/>
      <c r="E713" s="6">
        <f>E712+C713-D713</f>
      </c>
    </row>
    <row x14ac:dyDescent="0.25" r="714" customHeight="1" ht="17.25">
      <c r="A714" s="8">
        <v>45953</v>
      </c>
      <c r="B714" s="9" t="s">
        <v>566</v>
      </c>
      <c r="C714" s="4"/>
      <c r="D714" s="6">
        <v>16</v>
      </c>
      <c r="E714" s="6">
        <f>E713+C714-D714</f>
      </c>
    </row>
    <row x14ac:dyDescent="0.25" r="715" customHeight="1" ht="17.25">
      <c r="A715" s="7">
        <v>45953</v>
      </c>
      <c r="B715" s="9" t="s">
        <v>47</v>
      </c>
      <c r="C715" s="6">
        <v>400</v>
      </c>
      <c r="D715" s="4"/>
      <c r="E715" s="6">
        <f>E714+C715-D715</f>
      </c>
    </row>
    <row x14ac:dyDescent="0.25" r="716" customHeight="1" ht="17.25">
      <c r="A716" s="7">
        <v>45953</v>
      </c>
      <c r="B716" s="9" t="s">
        <v>208</v>
      </c>
      <c r="C716" s="6">
        <v>3</v>
      </c>
      <c r="D716" s="4"/>
      <c r="E716" s="6">
        <f>E715+C716-D716</f>
      </c>
    </row>
    <row x14ac:dyDescent="0.25" r="717" customHeight="1" ht="17.25">
      <c r="A717" s="7">
        <v>45953</v>
      </c>
      <c r="B717" s="9" t="s">
        <v>291</v>
      </c>
      <c r="C717" s="6">
        <v>470</v>
      </c>
      <c r="D717" s="4"/>
      <c r="E717" s="6">
        <f>E716+C717-D717</f>
      </c>
    </row>
    <row x14ac:dyDescent="0.25" r="718" customHeight="1" ht="17.25">
      <c r="A718" s="7">
        <v>45954</v>
      </c>
      <c r="B718" s="9" t="s">
        <v>3</v>
      </c>
      <c r="C718" s="6">
        <v>285</v>
      </c>
      <c r="D718" s="4"/>
      <c r="E718" s="6">
        <f>E717+C718-D718</f>
      </c>
    </row>
    <row x14ac:dyDescent="0.25" r="719" customHeight="1" ht="17.25">
      <c r="A719" s="7">
        <v>45954</v>
      </c>
      <c r="B719" s="9" t="s">
        <v>33</v>
      </c>
      <c r="C719" s="6">
        <v>1100</v>
      </c>
      <c r="D719" s="4"/>
      <c r="E719" s="6">
        <f>E718+C719-D719</f>
      </c>
    </row>
    <row x14ac:dyDescent="0.25" r="720" customHeight="1" ht="17.25">
      <c r="A720" s="7">
        <v>45954</v>
      </c>
      <c r="B720" s="9" t="s">
        <v>504</v>
      </c>
      <c r="C720" s="4"/>
      <c r="D720" s="6">
        <v>100</v>
      </c>
      <c r="E720" s="6">
        <f>E719+C720-D720</f>
      </c>
    </row>
    <row x14ac:dyDescent="0.25" r="721" customHeight="1" ht="17.25">
      <c r="A721" s="7">
        <v>45955</v>
      </c>
      <c r="B721" s="9" t="s">
        <v>504</v>
      </c>
      <c r="C721" s="4"/>
      <c r="D721" s="6">
        <v>1000</v>
      </c>
      <c r="E721" s="6">
        <f>E720+C721-D721</f>
      </c>
    </row>
    <row x14ac:dyDescent="0.25" r="722" customHeight="1" ht="17.25">
      <c r="A722" s="7">
        <v>45955</v>
      </c>
      <c r="B722" s="9" t="s">
        <v>316</v>
      </c>
      <c r="C722" s="4"/>
      <c r="D722" s="6">
        <v>400</v>
      </c>
      <c r="E722" s="6">
        <f>E721+C722-D722</f>
      </c>
    </row>
    <row x14ac:dyDescent="0.25" r="723" customHeight="1" ht="17.25">
      <c r="A723" s="7">
        <v>45957</v>
      </c>
      <c r="B723" s="9" t="s">
        <v>3</v>
      </c>
      <c r="C723" s="6">
        <v>8</v>
      </c>
      <c r="D723" s="4"/>
      <c r="E723" s="6">
        <f>E722+C723-D723</f>
      </c>
    </row>
    <row x14ac:dyDescent="0.25" r="724" customHeight="1" ht="17.25">
      <c r="A724" s="7">
        <v>45957</v>
      </c>
      <c r="B724" s="9" t="s">
        <v>141</v>
      </c>
      <c r="C724" s="6">
        <v>162</v>
      </c>
      <c r="D724" s="4"/>
      <c r="E724" s="6">
        <f>E723+C724-D724</f>
      </c>
    </row>
    <row x14ac:dyDescent="0.25" r="725" customHeight="1" ht="17.25">
      <c r="A725" s="8">
        <v>45958</v>
      </c>
      <c r="B725" s="9" t="s">
        <v>347</v>
      </c>
      <c r="C725" s="4"/>
      <c r="D725" s="6">
        <v>20</v>
      </c>
      <c r="E725" s="6">
        <f>E724+C725-D725</f>
      </c>
    </row>
    <row x14ac:dyDescent="0.25" r="726" customHeight="1" ht="17.25">
      <c r="A726" s="7">
        <v>45958</v>
      </c>
      <c r="B726" s="9" t="s">
        <v>567</v>
      </c>
      <c r="C726" s="4"/>
      <c r="D726" s="6">
        <v>160</v>
      </c>
      <c r="E726" s="6">
        <f>E725+C726-D726</f>
      </c>
    </row>
    <row x14ac:dyDescent="0.25" r="727" customHeight="1" ht="17.25">
      <c r="A727" s="8">
        <v>45958</v>
      </c>
      <c r="B727" s="9" t="s">
        <v>317</v>
      </c>
      <c r="C727" s="6">
        <v>16</v>
      </c>
      <c r="D727" s="4"/>
      <c r="E727" s="6">
        <f>E726+C727-D727</f>
      </c>
    </row>
    <row x14ac:dyDescent="0.25" r="728" customHeight="1" ht="17.25">
      <c r="A728" s="7">
        <v>45958</v>
      </c>
      <c r="B728" s="9" t="s">
        <v>495</v>
      </c>
      <c r="C728" s="6">
        <v>150</v>
      </c>
      <c r="D728" s="4"/>
      <c r="E728" s="6">
        <f>E727+C728-D728</f>
      </c>
    </row>
    <row x14ac:dyDescent="0.25" r="729" customHeight="1" ht="17.25">
      <c r="A729" s="8">
        <v>45958</v>
      </c>
      <c r="B729" s="9" t="s">
        <v>493</v>
      </c>
      <c r="C729" s="6">
        <v>250</v>
      </c>
      <c r="D729" s="4"/>
      <c r="E729" s="6">
        <f>E728+C729-D729</f>
      </c>
    </row>
    <row x14ac:dyDescent="0.25" r="730" customHeight="1" ht="17.25">
      <c r="A730" s="8">
        <v>45958</v>
      </c>
      <c r="B730" s="9" t="s">
        <v>3</v>
      </c>
      <c r="C730" s="6">
        <v>15</v>
      </c>
      <c r="D730" s="4"/>
      <c r="E730" s="6">
        <f>E729+C730-D730</f>
      </c>
    </row>
    <row x14ac:dyDescent="0.25" r="731" customHeight="1" ht="17.25">
      <c r="A731" s="8">
        <v>45959</v>
      </c>
      <c r="B731" s="9" t="s">
        <v>389</v>
      </c>
      <c r="C731" s="6">
        <v>48</v>
      </c>
      <c r="D731" s="4"/>
      <c r="E731" s="6">
        <f>E730+C731-D731</f>
      </c>
    </row>
    <row x14ac:dyDescent="0.25" r="732" customHeight="1" ht="17.25">
      <c r="A732" s="8">
        <v>45959</v>
      </c>
      <c r="B732" s="9" t="s">
        <v>370</v>
      </c>
      <c r="C732" s="6">
        <v>30</v>
      </c>
      <c r="D732" s="4"/>
      <c r="E732" s="6">
        <f>E731+C732-D732</f>
      </c>
    </row>
    <row x14ac:dyDescent="0.25" r="733" customHeight="1" ht="17.25">
      <c r="A733" s="8">
        <v>45960</v>
      </c>
      <c r="B733" s="9" t="s">
        <v>347</v>
      </c>
      <c r="C733" s="4"/>
      <c r="D733" s="6">
        <v>120</v>
      </c>
      <c r="E733" s="6">
        <f>E732+C733-D733</f>
      </c>
    </row>
    <row x14ac:dyDescent="0.25" r="734" customHeight="1" ht="17.25">
      <c r="A734" s="8">
        <v>45960</v>
      </c>
      <c r="B734" s="9" t="s">
        <v>51</v>
      </c>
      <c r="C734" s="4"/>
      <c r="D734" s="6">
        <v>300</v>
      </c>
      <c r="E734" s="6">
        <f>E733+C734-D734</f>
      </c>
    </row>
    <row x14ac:dyDescent="0.25" r="735" customHeight="1" ht="17.25">
      <c r="A735" s="8">
        <v>45960</v>
      </c>
      <c r="B735" s="9" t="s">
        <v>51</v>
      </c>
      <c r="C735" s="4"/>
      <c r="D735" s="6">
        <v>300</v>
      </c>
      <c r="E735" s="6">
        <f>E734+C735-D735</f>
      </c>
    </row>
    <row x14ac:dyDescent="0.25" r="736" customHeight="1" ht="17.25">
      <c r="A736" s="7">
        <v>45960</v>
      </c>
      <c r="B736" s="9" t="s">
        <v>316</v>
      </c>
      <c r="C736" s="4"/>
      <c r="D736" s="6">
        <v>400</v>
      </c>
      <c r="E736" s="6">
        <f>E735+C736-D736</f>
      </c>
    </row>
    <row x14ac:dyDescent="0.25" r="737" customHeight="1" ht="17.25">
      <c r="A737" s="7">
        <v>45960</v>
      </c>
      <c r="B737" s="9" t="s">
        <v>318</v>
      </c>
      <c r="C737" s="4"/>
      <c r="D737" s="6">
        <v>320</v>
      </c>
      <c r="E737" s="6">
        <f>E736+C737-D737</f>
      </c>
    </row>
    <row x14ac:dyDescent="0.25" r="738" customHeight="1" ht="17.25">
      <c r="A738" s="7">
        <v>45960</v>
      </c>
      <c r="B738" s="9" t="s">
        <v>3</v>
      </c>
      <c r="C738" s="6">
        <v>200</v>
      </c>
      <c r="D738" s="4"/>
      <c r="E738" s="6">
        <f>E737+C738-D738</f>
      </c>
    </row>
    <row x14ac:dyDescent="0.25" r="739" customHeight="1" ht="17.25">
      <c r="A739" s="7">
        <v>45960</v>
      </c>
      <c r="B739" s="9" t="s">
        <v>514</v>
      </c>
      <c r="C739" s="4"/>
      <c r="D739" s="6">
        <v>150</v>
      </c>
      <c r="E739" s="6">
        <f>E738+C739-D739</f>
      </c>
    </row>
    <row x14ac:dyDescent="0.25" r="740" customHeight="1" ht="17.25">
      <c r="A740" s="8">
        <v>45960</v>
      </c>
      <c r="B740" s="9" t="s">
        <v>141</v>
      </c>
      <c r="C740" s="6">
        <v>78</v>
      </c>
      <c r="D740" s="4"/>
      <c r="E740" s="6">
        <f>E739+C740-D740</f>
      </c>
    </row>
    <row x14ac:dyDescent="0.25" r="741" customHeight="1" ht="17.25">
      <c r="A741" s="8">
        <v>45960</v>
      </c>
      <c r="B741" s="9" t="s">
        <v>291</v>
      </c>
      <c r="C741" s="6">
        <v>174</v>
      </c>
      <c r="D741" s="4"/>
      <c r="E741" s="6">
        <f>E740+C741-D741</f>
      </c>
    </row>
    <row x14ac:dyDescent="0.25" r="742" customHeight="1" ht="17.25">
      <c r="A742" s="8">
        <v>45961</v>
      </c>
      <c r="B742" s="9" t="s">
        <v>179</v>
      </c>
      <c r="C742" s="4"/>
      <c r="D742" s="6">
        <v>120</v>
      </c>
      <c r="E742" s="6">
        <f>E741+C742-D742</f>
      </c>
    </row>
    <row x14ac:dyDescent="0.25" r="743" customHeight="1" ht="17.25">
      <c r="A743" s="7">
        <v>45961</v>
      </c>
      <c r="B743" s="9" t="s">
        <v>3</v>
      </c>
      <c r="C743" s="6">
        <v>206</v>
      </c>
      <c r="D743" s="4"/>
      <c r="E743" s="6">
        <f>E742+C743-D743</f>
      </c>
    </row>
    <row x14ac:dyDescent="0.25" r="744" customHeight="1" ht="17.25">
      <c r="A744" s="7">
        <v>45961</v>
      </c>
      <c r="B744" s="9" t="s">
        <v>319</v>
      </c>
      <c r="C744" s="4"/>
      <c r="D744" s="6">
        <v>200</v>
      </c>
      <c r="E744" s="6">
        <f>E743+C744-D744</f>
      </c>
    </row>
    <row x14ac:dyDescent="0.25" r="745" customHeight="1" ht="17.25">
      <c r="A745" s="7">
        <v>45961</v>
      </c>
      <c r="B745" s="9" t="s">
        <v>568</v>
      </c>
      <c r="C745" s="6">
        <v>60</v>
      </c>
      <c r="D745" s="4"/>
      <c r="E745" s="6">
        <f>E744+C745-D745</f>
      </c>
    </row>
    <row x14ac:dyDescent="0.25" r="746" customHeight="1" ht="17.25">
      <c r="A746" s="7">
        <v>45961</v>
      </c>
      <c r="B746" s="9" t="s">
        <v>334</v>
      </c>
      <c r="C746" s="6">
        <v>20</v>
      </c>
      <c r="D746" s="4"/>
      <c r="E746" s="6">
        <f>E745+C746-D746</f>
      </c>
    </row>
    <row x14ac:dyDescent="0.25" r="747" customHeight="1" ht="17.25">
      <c r="A747" s="7">
        <v>45961</v>
      </c>
      <c r="B747" s="9" t="s">
        <v>489</v>
      </c>
      <c r="C747" s="4"/>
      <c r="D747" s="6">
        <v>150</v>
      </c>
      <c r="E747" s="6">
        <f>E746+C747-D747</f>
      </c>
    </row>
    <row x14ac:dyDescent="0.25" r="748" customHeight="1" ht="17.25">
      <c r="A748" s="7">
        <v>45961</v>
      </c>
      <c r="B748" s="9" t="s">
        <v>51</v>
      </c>
      <c r="C748" s="4"/>
      <c r="D748" s="6">
        <v>200</v>
      </c>
      <c r="E748" s="6">
        <f>E747+C748-D748</f>
      </c>
    </row>
    <row x14ac:dyDescent="0.25" r="749" customHeight="1" ht="17.25">
      <c r="A749" s="7">
        <v>45961</v>
      </c>
      <c r="B749" s="9" t="s">
        <v>58</v>
      </c>
      <c r="C749" s="6">
        <v>1300</v>
      </c>
      <c r="D749" s="4"/>
      <c r="E749" s="6">
        <v>1300</v>
      </c>
    </row>
    <row x14ac:dyDescent="0.25" r="750" customHeight="1" ht="17.25">
      <c r="A750" s="8">
        <v>45964</v>
      </c>
      <c r="B750" s="9" t="s">
        <v>423</v>
      </c>
      <c r="C750" s="4"/>
      <c r="D750" s="6">
        <v>24</v>
      </c>
      <c r="E750" s="6">
        <f>E749+C750-D750</f>
      </c>
    </row>
    <row x14ac:dyDescent="0.25" r="751" customHeight="1" ht="17.25">
      <c r="A751" s="8">
        <v>45964</v>
      </c>
      <c r="B751" s="9" t="s">
        <v>319</v>
      </c>
      <c r="C751" s="4"/>
      <c r="D751" s="6">
        <v>100</v>
      </c>
      <c r="E751" s="6">
        <f>E750+C751-D751</f>
      </c>
    </row>
    <row x14ac:dyDescent="0.25" r="752" customHeight="1" ht="17.25">
      <c r="A752" s="8">
        <v>45964</v>
      </c>
      <c r="B752" s="9" t="s">
        <v>320</v>
      </c>
      <c r="C752" s="4"/>
      <c r="D752" s="6">
        <v>40</v>
      </c>
      <c r="E752" s="6">
        <f>E751+C752-D752</f>
      </c>
    </row>
    <row x14ac:dyDescent="0.25" r="753" customHeight="1" ht="17.25">
      <c r="A753" s="8">
        <v>45964</v>
      </c>
      <c r="B753" s="9" t="s">
        <v>266</v>
      </c>
      <c r="C753" s="4"/>
      <c r="D753" s="6">
        <v>100</v>
      </c>
      <c r="E753" s="6">
        <f>E752+C753-D753</f>
      </c>
    </row>
    <row x14ac:dyDescent="0.25" r="754" customHeight="1" ht="17.25">
      <c r="A754" s="7">
        <v>45964</v>
      </c>
      <c r="B754" s="9" t="s">
        <v>444</v>
      </c>
      <c r="C754" s="6">
        <v>18</v>
      </c>
      <c r="D754" s="4"/>
      <c r="E754" s="6">
        <f>E753+C754-D754</f>
      </c>
    </row>
    <row x14ac:dyDescent="0.25" r="755" customHeight="1" ht="17.25">
      <c r="A755" s="8">
        <v>45965</v>
      </c>
      <c r="B755" s="9" t="s">
        <v>320</v>
      </c>
      <c r="C755" s="4"/>
      <c r="D755" s="6">
        <v>30</v>
      </c>
      <c r="E755" s="6">
        <f>E754+C755-D755</f>
      </c>
    </row>
    <row x14ac:dyDescent="0.25" r="756" customHeight="1" ht="17.25">
      <c r="A756" s="7">
        <v>45965</v>
      </c>
      <c r="B756" s="9" t="s">
        <v>389</v>
      </c>
      <c r="C756" s="6">
        <v>98</v>
      </c>
      <c r="D756" s="4"/>
      <c r="E756" s="6">
        <f>E755+C756-D756</f>
      </c>
    </row>
    <row x14ac:dyDescent="0.25" r="757" customHeight="1" ht="17.25">
      <c r="A757" s="7">
        <v>45965</v>
      </c>
      <c r="B757" s="9" t="s">
        <v>228</v>
      </c>
      <c r="C757" s="6">
        <v>694</v>
      </c>
      <c r="D757" s="4"/>
      <c r="E757" s="6">
        <f>E756+C757-D757</f>
      </c>
    </row>
    <row x14ac:dyDescent="0.25" r="758" customHeight="1" ht="17.25">
      <c r="A758" s="7">
        <v>45965</v>
      </c>
      <c r="B758" s="9" t="s">
        <v>3</v>
      </c>
      <c r="C758" s="6">
        <v>128</v>
      </c>
      <c r="D758" s="4"/>
      <c r="E758" s="6">
        <f>E757+C758-D758</f>
      </c>
    </row>
    <row x14ac:dyDescent="0.25" r="759" customHeight="1" ht="17.25">
      <c r="A759" s="7">
        <v>45966</v>
      </c>
      <c r="B759" s="9" t="s">
        <v>316</v>
      </c>
      <c r="C759" s="4"/>
      <c r="D759" s="6">
        <v>170</v>
      </c>
      <c r="E759" s="6">
        <f>E758+C759-D759</f>
      </c>
    </row>
    <row x14ac:dyDescent="0.25" r="760" customHeight="1" ht="17.25">
      <c r="A760" s="8">
        <v>45966</v>
      </c>
      <c r="B760" s="9" t="s">
        <v>318</v>
      </c>
      <c r="C760" s="4"/>
      <c r="D760" s="6">
        <v>56</v>
      </c>
      <c r="E760" s="6">
        <f>E759+C760-D760</f>
      </c>
    </row>
    <row x14ac:dyDescent="0.25" r="761" customHeight="1" ht="17.25">
      <c r="A761" s="7">
        <v>45966</v>
      </c>
      <c r="B761" s="9" t="s">
        <v>347</v>
      </c>
      <c r="C761" s="6">
        <v>83</v>
      </c>
      <c r="D761" s="4"/>
      <c r="E761" s="6">
        <f>E760+C761-D761</f>
      </c>
    </row>
    <row x14ac:dyDescent="0.25" r="762" customHeight="1" ht="17.25">
      <c r="A762" s="7">
        <v>45967</v>
      </c>
      <c r="B762" s="9" t="s">
        <v>484</v>
      </c>
      <c r="C762" s="6">
        <v>47</v>
      </c>
      <c r="D762" s="4"/>
      <c r="E762" s="6">
        <f>E761+C762-D762</f>
      </c>
    </row>
    <row x14ac:dyDescent="0.25" r="763" customHeight="1" ht="17.25">
      <c r="A763" s="8">
        <v>45967</v>
      </c>
      <c r="B763" s="9" t="s">
        <v>283</v>
      </c>
      <c r="C763" s="6">
        <v>83</v>
      </c>
      <c r="D763" s="4"/>
      <c r="E763" s="6">
        <f>E762+C763-D763</f>
      </c>
    </row>
    <row x14ac:dyDescent="0.25" r="764" customHeight="1" ht="17.25">
      <c r="A764" s="8">
        <v>45968</v>
      </c>
      <c r="B764" s="9" t="s">
        <v>26</v>
      </c>
      <c r="C764" s="4"/>
      <c r="D764" s="6">
        <v>400</v>
      </c>
      <c r="E764" s="6">
        <f>E763+C764-D764</f>
      </c>
    </row>
    <row x14ac:dyDescent="0.25" r="765" customHeight="1" ht="17.25">
      <c r="A765" s="8">
        <v>45968</v>
      </c>
      <c r="B765" s="9" t="s">
        <v>533</v>
      </c>
      <c r="C765" s="4"/>
      <c r="D765" s="6">
        <v>48</v>
      </c>
      <c r="E765" s="6">
        <f>E764+C765-D765</f>
      </c>
    </row>
    <row x14ac:dyDescent="0.25" r="766" customHeight="1" ht="17.25">
      <c r="A766" s="7">
        <v>45968</v>
      </c>
      <c r="B766" s="9" t="s">
        <v>52</v>
      </c>
      <c r="C766" s="6">
        <v>50</v>
      </c>
      <c r="D766" s="4"/>
      <c r="E766" s="6">
        <f>E765+C766-D766</f>
      </c>
    </row>
    <row x14ac:dyDescent="0.25" r="767" customHeight="1" ht="17.25">
      <c r="A767" s="7">
        <v>45968</v>
      </c>
      <c r="B767" s="9" t="s">
        <v>3</v>
      </c>
      <c r="C767" s="6">
        <v>123</v>
      </c>
      <c r="D767" s="4"/>
      <c r="E767" s="6">
        <f>E766+C767-D767</f>
      </c>
    </row>
    <row x14ac:dyDescent="0.25" r="768" customHeight="1" ht="17.25">
      <c r="A768" s="7">
        <v>45968</v>
      </c>
      <c r="B768" s="9" t="s">
        <v>100</v>
      </c>
      <c r="C768" s="6">
        <v>5</v>
      </c>
      <c r="D768" s="4"/>
      <c r="E768" s="6">
        <f>E767+C768-D768</f>
      </c>
    </row>
    <row x14ac:dyDescent="0.25" r="769" customHeight="1" ht="17.25">
      <c r="A769" s="7">
        <v>45969</v>
      </c>
      <c r="B769" s="9" t="s">
        <v>297</v>
      </c>
      <c r="C769" s="4"/>
      <c r="D769" s="6">
        <v>350</v>
      </c>
      <c r="E769" s="6">
        <f>E768+C769-D769</f>
      </c>
    </row>
    <row x14ac:dyDescent="0.25" r="770" customHeight="1" ht="17.25">
      <c r="A770" s="7">
        <v>45969</v>
      </c>
      <c r="B770" s="9" t="s">
        <v>460</v>
      </c>
      <c r="C770" s="4"/>
      <c r="D770" s="6">
        <v>80</v>
      </c>
      <c r="E770" s="6">
        <f>E769+C770-D770</f>
      </c>
    </row>
    <row x14ac:dyDescent="0.25" r="771" customHeight="1" ht="17.25">
      <c r="A771" s="7">
        <v>45969</v>
      </c>
      <c r="B771" s="9" t="s">
        <v>26</v>
      </c>
      <c r="C771" s="4"/>
      <c r="D771" s="6">
        <v>400</v>
      </c>
      <c r="E771" s="6">
        <f>E770+C771-D771</f>
      </c>
    </row>
    <row x14ac:dyDescent="0.25" r="772" customHeight="1" ht="17.25">
      <c r="A772" s="7">
        <v>45971</v>
      </c>
      <c r="B772" s="9" t="s">
        <v>26</v>
      </c>
      <c r="C772" s="4"/>
      <c r="D772" s="6">
        <v>400</v>
      </c>
      <c r="E772" s="6">
        <f>E771+C772-D772</f>
      </c>
    </row>
    <row x14ac:dyDescent="0.25" r="773" customHeight="1" ht="17.25">
      <c r="A773" s="7">
        <v>45971</v>
      </c>
      <c r="B773" s="9" t="s">
        <v>141</v>
      </c>
      <c r="C773" s="6">
        <v>33</v>
      </c>
      <c r="D773" s="4"/>
      <c r="E773" s="6">
        <f>E772+C773-D773</f>
      </c>
    </row>
    <row x14ac:dyDescent="0.25" r="774" customHeight="1" ht="17.25">
      <c r="A774" s="8">
        <v>45972</v>
      </c>
      <c r="B774" s="9" t="s">
        <v>313</v>
      </c>
      <c r="C774" s="4"/>
      <c r="D774" s="6">
        <v>150</v>
      </c>
      <c r="E774" s="6">
        <f>E773+C774-D774</f>
      </c>
    </row>
    <row x14ac:dyDescent="0.25" r="775" customHeight="1" ht="17.25">
      <c r="A775" s="8">
        <v>45973</v>
      </c>
      <c r="B775" s="9" t="s">
        <v>234</v>
      </c>
      <c r="C775" s="6">
        <v>165</v>
      </c>
      <c r="D775" s="4"/>
      <c r="E775" s="6">
        <f>E774+C775-D775</f>
      </c>
    </row>
    <row x14ac:dyDescent="0.25" r="776" customHeight="1" ht="17.25">
      <c r="A776" s="8">
        <v>45973</v>
      </c>
      <c r="B776" s="9" t="s">
        <v>42</v>
      </c>
      <c r="C776" s="4"/>
      <c r="D776" s="6">
        <v>220</v>
      </c>
      <c r="E776" s="6">
        <f>E775+C776-D776</f>
      </c>
    </row>
    <row x14ac:dyDescent="0.25" r="777" customHeight="1" ht="17.25">
      <c r="A777" s="8">
        <v>45974</v>
      </c>
      <c r="B777" s="9" t="s">
        <v>29</v>
      </c>
      <c r="C777" s="6">
        <v>738</v>
      </c>
      <c r="D777" s="4"/>
      <c r="E777" s="6">
        <f>E776+C777-D777</f>
      </c>
    </row>
    <row x14ac:dyDescent="0.25" r="778" customHeight="1" ht="17.25">
      <c r="A778" s="8">
        <v>45974</v>
      </c>
      <c r="B778" s="9" t="s">
        <v>228</v>
      </c>
      <c r="C778" s="6">
        <v>470</v>
      </c>
      <c r="D778" s="4"/>
      <c r="E778" s="6">
        <f>E777+C778-D778</f>
      </c>
    </row>
    <row x14ac:dyDescent="0.25" r="779" customHeight="1" ht="17.25">
      <c r="A779" s="8">
        <v>45975</v>
      </c>
      <c r="B779" s="9" t="s">
        <v>141</v>
      </c>
      <c r="C779" s="6">
        <v>50</v>
      </c>
      <c r="D779" s="4"/>
      <c r="E779" s="6">
        <f>E778+C779-D779</f>
      </c>
    </row>
    <row x14ac:dyDescent="0.25" r="780" customHeight="1" ht="17.25">
      <c r="A780" s="8">
        <v>45976</v>
      </c>
      <c r="B780" s="9" t="s">
        <v>141</v>
      </c>
      <c r="C780" s="6">
        <v>68</v>
      </c>
      <c r="D780" s="4"/>
      <c r="E780" s="6">
        <f>E779+C780-D780</f>
      </c>
    </row>
    <row x14ac:dyDescent="0.25" r="781" customHeight="1" ht="17.25">
      <c r="A781" s="7">
        <v>45976</v>
      </c>
      <c r="B781" s="9" t="s">
        <v>2</v>
      </c>
      <c r="C781" s="4"/>
      <c r="D781" s="6">
        <v>200</v>
      </c>
      <c r="E781" s="6">
        <f>E780+C781-D781</f>
      </c>
    </row>
    <row x14ac:dyDescent="0.25" r="782" customHeight="1" ht="17.25">
      <c r="A782" s="8">
        <v>45978</v>
      </c>
      <c r="B782" s="9" t="s">
        <v>461</v>
      </c>
      <c r="C782" s="4"/>
      <c r="D782" s="6">
        <v>40</v>
      </c>
      <c r="E782" s="6">
        <f>E781+C782-D782</f>
      </c>
    </row>
    <row x14ac:dyDescent="0.25" r="783" customHeight="1" ht="17.25">
      <c r="A783" s="8">
        <v>45978</v>
      </c>
      <c r="B783" s="9" t="s">
        <v>320</v>
      </c>
      <c r="C783" s="6">
        <v>70</v>
      </c>
      <c r="D783" s="4"/>
      <c r="E783" s="6">
        <f>E782+C783-D783</f>
      </c>
    </row>
    <row x14ac:dyDescent="0.25" r="784" customHeight="1" ht="17.25">
      <c r="A784" s="7">
        <v>45978</v>
      </c>
      <c r="B784" s="9" t="s">
        <v>558</v>
      </c>
      <c r="C784" s="6">
        <v>200</v>
      </c>
      <c r="D784" s="4"/>
      <c r="E784" s="6">
        <f>E783+C784-D784</f>
      </c>
    </row>
    <row x14ac:dyDescent="0.25" r="785" customHeight="1" ht="17.25">
      <c r="A785" s="8">
        <v>45979</v>
      </c>
      <c r="B785" s="9" t="s">
        <v>54</v>
      </c>
      <c r="C785" s="4"/>
      <c r="D785" s="6">
        <v>500</v>
      </c>
      <c r="E785" s="6">
        <f>E784+C785-D785</f>
      </c>
    </row>
    <row x14ac:dyDescent="0.25" r="786" customHeight="1" ht="17.25">
      <c r="A786" s="7">
        <v>45979</v>
      </c>
      <c r="B786" s="9" t="s">
        <v>284</v>
      </c>
      <c r="C786" s="6">
        <v>1</v>
      </c>
      <c r="D786" s="4"/>
      <c r="E786" s="6">
        <f>E785+C786-D786</f>
      </c>
    </row>
    <row x14ac:dyDescent="0.25" r="787" customHeight="1" ht="17.25">
      <c r="A787" s="8">
        <v>45979</v>
      </c>
      <c r="B787" s="9" t="s">
        <v>182</v>
      </c>
      <c r="C787" s="6">
        <v>145</v>
      </c>
      <c r="D787" s="4"/>
      <c r="E787" s="6">
        <f>E786+C787-D787</f>
      </c>
    </row>
    <row x14ac:dyDescent="0.25" r="788" customHeight="1" ht="17.25">
      <c r="A788" s="8">
        <v>45979</v>
      </c>
      <c r="B788" s="9" t="s">
        <v>321</v>
      </c>
      <c r="C788" s="6">
        <v>268</v>
      </c>
      <c r="D788" s="4"/>
      <c r="E788" s="6">
        <f>E787+C788-D788</f>
      </c>
    </row>
    <row x14ac:dyDescent="0.25" r="789" customHeight="1" ht="17.25">
      <c r="A789" s="8">
        <v>45979</v>
      </c>
      <c r="B789" s="9" t="s">
        <v>321</v>
      </c>
      <c r="C789" s="6">
        <v>60</v>
      </c>
      <c r="D789" s="4"/>
      <c r="E789" s="6">
        <f>E788+C789-D789</f>
      </c>
    </row>
    <row x14ac:dyDescent="0.25" r="790" customHeight="1" ht="17.25">
      <c r="A790" s="8">
        <v>45980</v>
      </c>
      <c r="B790" s="9" t="s">
        <v>42</v>
      </c>
      <c r="C790" s="4"/>
      <c r="D790" s="6">
        <v>50</v>
      </c>
      <c r="E790" s="6">
        <f>E789+C790-D790</f>
      </c>
    </row>
    <row x14ac:dyDescent="0.25" r="791" customHeight="1" ht="17.25">
      <c r="A791" s="8">
        <v>45980</v>
      </c>
      <c r="B791" s="9" t="s">
        <v>42</v>
      </c>
      <c r="C791" s="4"/>
      <c r="D791" s="6">
        <v>50</v>
      </c>
      <c r="E791" s="6">
        <f>E790+C791-D791</f>
      </c>
    </row>
    <row x14ac:dyDescent="0.25" r="792" customHeight="1" ht="17.25">
      <c r="A792" s="8">
        <v>45980</v>
      </c>
      <c r="B792" s="9" t="s">
        <v>313</v>
      </c>
      <c r="C792" s="4"/>
      <c r="D792" s="6">
        <v>200</v>
      </c>
      <c r="E792" s="6">
        <f>E791+C792-D792</f>
      </c>
    </row>
    <row x14ac:dyDescent="0.25" r="793" customHeight="1" ht="17.25">
      <c r="A793" s="8">
        <v>45980</v>
      </c>
      <c r="B793" s="9" t="s">
        <v>385</v>
      </c>
      <c r="C793" s="6">
        <v>130</v>
      </c>
      <c r="D793" s="4"/>
      <c r="E793" s="6">
        <f>E792+C793-D793</f>
      </c>
    </row>
    <row x14ac:dyDescent="0.25" r="794" customHeight="1" ht="17.25">
      <c r="A794" s="7">
        <v>45981</v>
      </c>
      <c r="B794" s="9" t="s">
        <v>389</v>
      </c>
      <c r="C794" s="4"/>
      <c r="D794" s="6">
        <v>250</v>
      </c>
      <c r="E794" s="6">
        <f>E793+C794-D794</f>
      </c>
    </row>
    <row x14ac:dyDescent="0.25" r="795" customHeight="1" ht="17.25">
      <c r="A795" s="8">
        <v>45981</v>
      </c>
      <c r="B795" s="9" t="s">
        <v>141</v>
      </c>
      <c r="C795" s="6">
        <v>140</v>
      </c>
      <c r="D795" s="4"/>
      <c r="E795" s="6">
        <f>E794+C795-D795</f>
      </c>
    </row>
    <row x14ac:dyDescent="0.25" r="796" customHeight="1" ht="17.25">
      <c r="A796" s="8">
        <v>45982</v>
      </c>
      <c r="B796" s="9" t="s">
        <v>535</v>
      </c>
      <c r="C796" s="4"/>
      <c r="D796" s="6">
        <v>40</v>
      </c>
      <c r="E796" s="6">
        <f>E795+C796-D796</f>
      </c>
    </row>
    <row x14ac:dyDescent="0.25" r="797" customHeight="1" ht="17.25">
      <c r="A797" s="8">
        <v>45982</v>
      </c>
      <c r="B797" s="9" t="s">
        <v>123</v>
      </c>
      <c r="C797" s="6">
        <v>310</v>
      </c>
      <c r="D797" s="4"/>
      <c r="E797" s="6">
        <f>E796+C797-D797</f>
      </c>
    </row>
    <row x14ac:dyDescent="0.25" r="798" customHeight="1" ht="17.25">
      <c r="A798" s="8">
        <v>45983</v>
      </c>
      <c r="B798" s="9" t="s">
        <v>462</v>
      </c>
      <c r="C798" s="4"/>
      <c r="D798" s="6">
        <v>16</v>
      </c>
      <c r="E798" s="6">
        <f>E797+C798-D798</f>
      </c>
    </row>
    <row x14ac:dyDescent="0.25" r="799" customHeight="1" ht="17.25">
      <c r="A799" s="7">
        <v>45983</v>
      </c>
      <c r="B799" s="9" t="s">
        <v>34</v>
      </c>
      <c r="C799" s="6">
        <v>500</v>
      </c>
      <c r="D799" s="4"/>
      <c r="E799" s="6">
        <f>E798+C799-D799</f>
      </c>
    </row>
    <row x14ac:dyDescent="0.25" r="800" customHeight="1" ht="17.25">
      <c r="A800" s="8">
        <v>45985</v>
      </c>
      <c r="B800" s="9" t="s">
        <v>286</v>
      </c>
      <c r="C800" s="4"/>
      <c r="D800" s="6">
        <v>156</v>
      </c>
      <c r="E800" s="6">
        <f>E799+C800-D800</f>
      </c>
    </row>
    <row x14ac:dyDescent="0.25" r="801" customHeight="1" ht="17.25">
      <c r="A801" s="8">
        <v>45985</v>
      </c>
      <c r="B801" s="9" t="s">
        <v>265</v>
      </c>
      <c r="C801" s="6">
        <v>50</v>
      </c>
      <c r="D801" s="4"/>
      <c r="E801" s="6">
        <f>E800+C801-D801</f>
      </c>
    </row>
    <row x14ac:dyDescent="0.25" r="802" customHeight="1" ht="17.25">
      <c r="A802" s="8">
        <v>45985</v>
      </c>
      <c r="B802" s="9" t="s">
        <v>29</v>
      </c>
      <c r="C802" s="6">
        <v>660</v>
      </c>
      <c r="D802" s="4"/>
      <c r="E802" s="6">
        <f>E801+C802-D802</f>
      </c>
    </row>
    <row x14ac:dyDescent="0.25" r="803" customHeight="1" ht="17.25">
      <c r="A803" s="8">
        <v>45985</v>
      </c>
      <c r="B803" s="9" t="s">
        <v>182</v>
      </c>
      <c r="C803" s="6">
        <v>136</v>
      </c>
      <c r="D803" s="4"/>
      <c r="E803" s="6">
        <f>E802+C803-D803</f>
      </c>
    </row>
    <row x14ac:dyDescent="0.25" r="804" customHeight="1" ht="17.25">
      <c r="A804" s="8">
        <v>45985</v>
      </c>
      <c r="B804" s="9" t="s">
        <v>228</v>
      </c>
      <c r="C804" s="6">
        <v>80</v>
      </c>
      <c r="D804" s="4"/>
      <c r="E804" s="6">
        <f>E803+C804-D804</f>
      </c>
    </row>
    <row x14ac:dyDescent="0.25" r="805" customHeight="1" ht="17.25">
      <c r="A805" s="7">
        <v>45986</v>
      </c>
      <c r="B805" s="9" t="s">
        <v>316</v>
      </c>
      <c r="C805" s="4"/>
      <c r="D805" s="6">
        <v>200</v>
      </c>
      <c r="E805" s="6">
        <f>E804+C805-D805</f>
      </c>
    </row>
    <row x14ac:dyDescent="0.25" r="806" customHeight="1" ht="17.25">
      <c r="A806" s="7">
        <v>45986</v>
      </c>
      <c r="B806" s="9" t="s">
        <v>3</v>
      </c>
      <c r="C806" s="6">
        <v>80</v>
      </c>
      <c r="D806" s="4"/>
      <c r="E806" s="6">
        <f>E805+C806-D806</f>
      </c>
    </row>
    <row x14ac:dyDescent="0.25" r="807" customHeight="1" ht="17.25">
      <c r="A807" s="7">
        <v>45986</v>
      </c>
      <c r="B807" s="9" t="s">
        <v>391</v>
      </c>
      <c r="C807" s="6">
        <v>27</v>
      </c>
      <c r="D807" s="4"/>
      <c r="E807" s="6">
        <f>E806+C807-D807</f>
      </c>
    </row>
    <row x14ac:dyDescent="0.25" r="808" customHeight="1" ht="17.25">
      <c r="A808" s="7">
        <v>45987</v>
      </c>
      <c r="B808" s="9" t="s">
        <v>2</v>
      </c>
      <c r="C808" s="4"/>
      <c r="D808" s="6">
        <v>100</v>
      </c>
      <c r="E808" s="6">
        <f>E807+C808-D808</f>
      </c>
    </row>
    <row x14ac:dyDescent="0.25" r="809" customHeight="1" ht="17.25">
      <c r="A809" s="8">
        <v>45987</v>
      </c>
      <c r="B809" s="9" t="s">
        <v>53</v>
      </c>
      <c r="C809" s="4"/>
      <c r="D809" s="6">
        <v>230</v>
      </c>
      <c r="E809" s="6">
        <f>E808+C809-D809</f>
      </c>
    </row>
    <row x14ac:dyDescent="0.25" r="810" customHeight="1" ht="17.25">
      <c r="A810" s="8">
        <v>45987</v>
      </c>
      <c r="B810" s="9" t="s">
        <v>487</v>
      </c>
      <c r="C810" s="6">
        <v>110</v>
      </c>
      <c r="D810" s="4"/>
      <c r="E810" s="6">
        <f>E809+C810-D810</f>
      </c>
    </row>
    <row x14ac:dyDescent="0.25" r="811" customHeight="1" ht="17.25">
      <c r="A811" s="7">
        <v>45987</v>
      </c>
      <c r="B811" s="9" t="s">
        <v>208</v>
      </c>
      <c r="C811" s="6">
        <v>109</v>
      </c>
      <c r="D811" s="4"/>
      <c r="E811" s="6">
        <f>E810+C811-D811</f>
      </c>
    </row>
    <row x14ac:dyDescent="0.25" r="812" customHeight="1" ht="17.25">
      <c r="A812" s="8">
        <v>45987</v>
      </c>
      <c r="B812" s="9" t="s">
        <v>347</v>
      </c>
      <c r="C812" s="6">
        <v>41</v>
      </c>
      <c r="D812" s="4"/>
      <c r="E812" s="6">
        <f>E811+C812-D812</f>
      </c>
    </row>
    <row x14ac:dyDescent="0.25" r="813" customHeight="1" ht="17.25">
      <c r="A813" s="7">
        <v>45987</v>
      </c>
      <c r="B813" s="9" t="s">
        <v>58</v>
      </c>
      <c r="C813" s="6">
        <v>200</v>
      </c>
      <c r="D813" s="4"/>
      <c r="E813" s="6">
        <f>E812+C813-D813</f>
      </c>
    </row>
    <row x14ac:dyDescent="0.25" r="814" customHeight="1" ht="17.25">
      <c r="A814" s="7">
        <v>45987</v>
      </c>
      <c r="B814" s="9" t="s">
        <v>228</v>
      </c>
      <c r="C814" s="6">
        <v>258</v>
      </c>
      <c r="D814" s="4"/>
      <c r="E814" s="6">
        <f>E813+C814-D814</f>
      </c>
    </row>
    <row x14ac:dyDescent="0.25" r="815" customHeight="1" ht="17.25">
      <c r="A815" s="7">
        <v>45988</v>
      </c>
      <c r="B815" s="9" t="s">
        <v>233</v>
      </c>
      <c r="C815" s="4"/>
      <c r="D815" s="6">
        <v>700</v>
      </c>
      <c r="E815" s="6">
        <f>E814+C815-D815</f>
      </c>
    </row>
    <row x14ac:dyDescent="0.25" r="816" customHeight="1" ht="17.25">
      <c r="A816" s="8">
        <v>45988</v>
      </c>
      <c r="B816" s="9" t="s">
        <v>3</v>
      </c>
      <c r="C816" s="6">
        <v>4</v>
      </c>
      <c r="D816" s="4"/>
      <c r="E816" s="6">
        <f>E815+C816-D816</f>
      </c>
    </row>
    <row x14ac:dyDescent="0.25" r="817" customHeight="1" ht="17.25">
      <c r="A817" s="8">
        <v>45989</v>
      </c>
      <c r="B817" s="9" t="s">
        <v>233</v>
      </c>
      <c r="C817" s="4"/>
      <c r="D817" s="6">
        <v>1000</v>
      </c>
      <c r="E817" s="6">
        <f>E816+C817-D817</f>
      </c>
    </row>
    <row x14ac:dyDescent="0.25" r="818" customHeight="1" ht="17.25">
      <c r="A818" s="7">
        <v>45989</v>
      </c>
      <c r="B818" s="9" t="s">
        <v>316</v>
      </c>
      <c r="C818" s="4"/>
      <c r="D818" s="6">
        <v>200</v>
      </c>
      <c r="E818" s="6">
        <f>E817+C818-D818</f>
      </c>
    </row>
    <row x14ac:dyDescent="0.25" r="819" customHeight="1" ht="17.25">
      <c r="A819" s="8">
        <v>45989</v>
      </c>
      <c r="B819" s="9" t="s">
        <v>289</v>
      </c>
      <c r="C819" s="4"/>
      <c r="D819" s="6">
        <v>200</v>
      </c>
      <c r="E819" s="6">
        <f>E818+C819-D819</f>
      </c>
    </row>
    <row x14ac:dyDescent="0.25" r="820" customHeight="1" ht="17.25">
      <c r="A820" s="7">
        <v>45989</v>
      </c>
      <c r="B820" s="9" t="s">
        <v>403</v>
      </c>
      <c r="C820" s="4"/>
      <c r="D820" s="6">
        <v>156</v>
      </c>
      <c r="E820" s="6">
        <f>E819+C820-D820</f>
      </c>
    </row>
    <row x14ac:dyDescent="0.25" r="821" customHeight="1" ht="17.25">
      <c r="A821" s="7">
        <v>45989</v>
      </c>
      <c r="B821" s="9" t="s">
        <v>461</v>
      </c>
      <c r="C821" s="6">
        <v>40</v>
      </c>
      <c r="D821" s="4"/>
      <c r="E821" s="6">
        <f>E820+C821-D821</f>
      </c>
    </row>
    <row x14ac:dyDescent="0.25" r="822" customHeight="1" ht="17.25">
      <c r="A822" s="8">
        <v>45990</v>
      </c>
      <c r="B822" s="9" t="s">
        <v>53</v>
      </c>
      <c r="C822" s="4"/>
      <c r="D822" s="6">
        <v>500</v>
      </c>
      <c r="E822" s="6">
        <f>E821+C822-D822</f>
      </c>
    </row>
    <row x14ac:dyDescent="0.25" r="823" customHeight="1" ht="17.25">
      <c r="A823" s="7">
        <v>45990</v>
      </c>
      <c r="B823" s="9" t="s">
        <v>289</v>
      </c>
      <c r="C823" s="4"/>
      <c r="D823" s="6">
        <v>100</v>
      </c>
      <c r="E823" s="6">
        <f>E822+C823-D823</f>
      </c>
    </row>
    <row x14ac:dyDescent="0.25" r="824" customHeight="1" ht="17.25">
      <c r="A824" s="7">
        <v>45990</v>
      </c>
      <c r="B824" s="9" t="s">
        <v>228</v>
      </c>
      <c r="C824" s="6">
        <v>129</v>
      </c>
      <c r="D824" s="4"/>
      <c r="E824" s="6">
        <f>E823+C824-D824</f>
      </c>
    </row>
    <row x14ac:dyDescent="0.25" r="825" customHeight="1" ht="17.25">
      <c r="A825" s="8">
        <v>45992</v>
      </c>
      <c r="B825" s="9" t="s">
        <v>54</v>
      </c>
      <c r="C825" s="4"/>
      <c r="D825" s="6">
        <v>200</v>
      </c>
      <c r="E825" s="6">
        <f>E824+C825-D825</f>
      </c>
    </row>
    <row x14ac:dyDescent="0.25" r="826" customHeight="1" ht="17.25">
      <c r="A826" s="8">
        <v>45992</v>
      </c>
      <c r="B826" s="9" t="s">
        <v>424</v>
      </c>
      <c r="C826" s="4"/>
      <c r="D826" s="6">
        <v>20</v>
      </c>
      <c r="E826" s="6">
        <f>E825+C826-D826</f>
      </c>
    </row>
    <row x14ac:dyDescent="0.25" r="827" customHeight="1" ht="17.25">
      <c r="A827" s="8">
        <v>45992</v>
      </c>
      <c r="B827" s="9" t="s">
        <v>185</v>
      </c>
      <c r="C827" s="4"/>
      <c r="D827" s="6">
        <v>100</v>
      </c>
      <c r="E827" s="6">
        <f>E826+C827-D827</f>
      </c>
    </row>
    <row x14ac:dyDescent="0.25" r="828" customHeight="1" ht="17.25">
      <c r="A828" s="7">
        <v>45992</v>
      </c>
      <c r="B828" s="9" t="s">
        <v>233</v>
      </c>
      <c r="C828" s="4"/>
      <c r="D828" s="6">
        <v>200</v>
      </c>
      <c r="E828" s="6">
        <f>E827+C828-D828</f>
      </c>
    </row>
    <row x14ac:dyDescent="0.25" r="829" customHeight="1" ht="17.25">
      <c r="A829" s="8">
        <v>45992</v>
      </c>
      <c r="B829" s="9" t="s">
        <v>284</v>
      </c>
      <c r="C829" s="6">
        <v>100</v>
      </c>
      <c r="D829" s="4"/>
      <c r="E829" s="6">
        <f>E828+C829-D829</f>
      </c>
    </row>
    <row x14ac:dyDescent="0.25" r="830" customHeight="1" ht="17.25">
      <c r="A830" s="7">
        <v>45992</v>
      </c>
      <c r="B830" s="9" t="s">
        <v>228</v>
      </c>
      <c r="C830" s="6">
        <v>62</v>
      </c>
      <c r="D830" s="4"/>
      <c r="E830" s="6">
        <f>E829+C830-D830</f>
      </c>
    </row>
    <row x14ac:dyDescent="0.25" r="831" customHeight="1" ht="17.25">
      <c r="A831" s="7">
        <v>45992</v>
      </c>
      <c r="B831" s="9" t="s">
        <v>491</v>
      </c>
      <c r="C831" s="6">
        <v>200</v>
      </c>
      <c r="D831" s="4"/>
      <c r="E831" s="6">
        <f>E830+C831-D831</f>
      </c>
    </row>
    <row x14ac:dyDescent="0.25" r="832" customHeight="1" ht="17.25">
      <c r="A832" s="7">
        <v>45993</v>
      </c>
      <c r="B832" s="9" t="s">
        <v>460</v>
      </c>
      <c r="C832" s="4"/>
      <c r="D832" s="6">
        <v>120</v>
      </c>
      <c r="E832" s="6">
        <f>E831+C832-D832</f>
      </c>
    </row>
    <row x14ac:dyDescent="0.25" r="833" customHeight="1" ht="17.25">
      <c r="A833" s="7">
        <v>45993</v>
      </c>
      <c r="B833" s="9" t="s">
        <v>141</v>
      </c>
      <c r="C833" s="4"/>
      <c r="D833" s="6">
        <v>96</v>
      </c>
      <c r="E833" s="6">
        <f>E832+C833-D833</f>
      </c>
    </row>
    <row x14ac:dyDescent="0.25" r="834" customHeight="1" ht="17.25">
      <c r="A834" s="8">
        <v>45993</v>
      </c>
      <c r="B834" s="9" t="s">
        <v>535</v>
      </c>
      <c r="C834" s="4"/>
      <c r="D834" s="6">
        <v>240</v>
      </c>
      <c r="E834" s="6">
        <f>E833+C834-D834</f>
      </c>
    </row>
    <row x14ac:dyDescent="0.25" r="835" customHeight="1" ht="17.25">
      <c r="A835" s="7">
        <v>45993</v>
      </c>
      <c r="B835" s="9" t="s">
        <v>58</v>
      </c>
      <c r="C835" s="6">
        <v>1000</v>
      </c>
      <c r="D835" s="4"/>
      <c r="E835" s="6">
        <f>E834+C835-D835</f>
      </c>
    </row>
    <row x14ac:dyDescent="0.25" r="836" customHeight="1" ht="17.25">
      <c r="A836" s="8">
        <v>45994</v>
      </c>
      <c r="B836" s="9" t="s">
        <v>313</v>
      </c>
      <c r="C836" s="4"/>
      <c r="D836" s="6">
        <v>100</v>
      </c>
      <c r="E836" s="6">
        <f>E835+C836-D836</f>
      </c>
    </row>
    <row x14ac:dyDescent="0.25" r="837" customHeight="1" ht="17.25">
      <c r="A837" s="7">
        <v>45994</v>
      </c>
      <c r="B837" s="9" t="s">
        <v>2</v>
      </c>
      <c r="C837" s="4"/>
      <c r="D837" s="6">
        <v>140</v>
      </c>
      <c r="E837" s="6">
        <f>E836+C837-D837</f>
      </c>
    </row>
    <row x14ac:dyDescent="0.25" r="838" customHeight="1" ht="17.25">
      <c r="A838" s="8">
        <v>45994</v>
      </c>
      <c r="B838" s="9" t="s">
        <v>34</v>
      </c>
      <c r="C838" s="6">
        <v>200</v>
      </c>
      <c r="D838" s="4"/>
      <c r="E838" s="6">
        <f>E837+C838-D838</f>
      </c>
    </row>
    <row x14ac:dyDescent="0.25" r="839" customHeight="1" ht="17.25">
      <c r="A839" s="7">
        <v>45994</v>
      </c>
      <c r="B839" s="9" t="s">
        <v>141</v>
      </c>
      <c r="C839" s="6">
        <v>2</v>
      </c>
      <c r="D839" s="4"/>
      <c r="E839" s="6">
        <f>E838+C839-D839</f>
      </c>
    </row>
    <row x14ac:dyDescent="0.25" r="840" customHeight="1" ht="17.25">
      <c r="A840" s="8">
        <v>45995</v>
      </c>
      <c r="B840" s="9" t="s">
        <v>313</v>
      </c>
      <c r="C840" s="4"/>
      <c r="D840" s="6">
        <v>102</v>
      </c>
      <c r="E840" s="6">
        <f>E839+C840-D840</f>
      </c>
    </row>
    <row x14ac:dyDescent="0.25" r="841" customHeight="1" ht="17.25">
      <c r="A841" s="7">
        <v>45995</v>
      </c>
      <c r="B841" s="9" t="s">
        <v>316</v>
      </c>
      <c r="C841" s="4"/>
      <c r="D841" s="6">
        <v>200</v>
      </c>
      <c r="E841" s="6">
        <f>E840+C841-D841</f>
      </c>
    </row>
    <row x14ac:dyDescent="0.25" r="842" customHeight="1" ht="17.25">
      <c r="A842" s="7">
        <v>45995</v>
      </c>
      <c r="B842" s="9" t="s">
        <v>402</v>
      </c>
      <c r="C842" s="4"/>
      <c r="D842" s="6">
        <v>200</v>
      </c>
      <c r="E842" s="6">
        <f>E841+C842-D842</f>
      </c>
    </row>
    <row x14ac:dyDescent="0.25" r="843" customHeight="1" ht="17.25">
      <c r="A843" s="7">
        <v>45995</v>
      </c>
      <c r="B843" s="9" t="s">
        <v>310</v>
      </c>
      <c r="C843" s="6">
        <v>172</v>
      </c>
      <c r="D843" s="4"/>
      <c r="E843" s="6">
        <f>E842+C843-D843</f>
      </c>
    </row>
    <row x14ac:dyDescent="0.25" r="844" customHeight="1" ht="17.25">
      <c r="A844" s="7">
        <v>45996</v>
      </c>
      <c r="B844" s="9" t="s">
        <v>297</v>
      </c>
      <c r="C844" s="6">
        <v>350</v>
      </c>
      <c r="D844" s="4"/>
      <c r="E844" s="6">
        <f>E843+C844-D844</f>
      </c>
    </row>
    <row x14ac:dyDescent="0.25" r="845" customHeight="1" ht="17.25">
      <c r="A845" s="7">
        <v>45996</v>
      </c>
      <c r="B845" s="9" t="s">
        <v>228</v>
      </c>
      <c r="C845" s="6">
        <v>44</v>
      </c>
      <c r="D845" s="4"/>
      <c r="E845" s="6">
        <f>E844+C845-D845</f>
      </c>
    </row>
    <row x14ac:dyDescent="0.25" r="846" customHeight="1" ht="17.25">
      <c r="A846" s="7">
        <v>45996</v>
      </c>
      <c r="B846" s="9" t="s">
        <v>228</v>
      </c>
      <c r="C846" s="6">
        <v>19</v>
      </c>
      <c r="D846" s="4"/>
      <c r="E846" s="6">
        <f>E845+C846-D846</f>
      </c>
    </row>
    <row x14ac:dyDescent="0.25" r="847" customHeight="1" ht="17.25">
      <c r="A847" s="7">
        <v>45997</v>
      </c>
      <c r="B847" s="9" t="s">
        <v>535</v>
      </c>
      <c r="C847" s="4"/>
      <c r="D847" s="6">
        <v>200</v>
      </c>
      <c r="E847" s="6">
        <f>E846+C847-D847</f>
      </c>
    </row>
    <row x14ac:dyDescent="0.25" r="848" customHeight="1" ht="17.25">
      <c r="A848" s="7">
        <v>45999</v>
      </c>
      <c r="B848" s="9" t="s">
        <v>56</v>
      </c>
      <c r="C848" s="4"/>
      <c r="D848" s="6">
        <v>52</v>
      </c>
      <c r="E848" s="6">
        <f>E847+C848-D848</f>
      </c>
    </row>
    <row x14ac:dyDescent="0.25" r="849" customHeight="1" ht="17.25">
      <c r="A849" s="7">
        <v>46000</v>
      </c>
      <c r="B849" s="9" t="s">
        <v>533</v>
      </c>
      <c r="C849" s="6">
        <v>48</v>
      </c>
      <c r="D849" s="4"/>
      <c r="E849" s="6">
        <f>E848+C849-D849</f>
      </c>
    </row>
    <row x14ac:dyDescent="0.25" r="850" customHeight="1" ht="17.25">
      <c r="A850" s="8">
        <v>46000</v>
      </c>
      <c r="B850" s="9" t="s">
        <v>535</v>
      </c>
      <c r="C850" s="4"/>
      <c r="D850" s="6">
        <v>40</v>
      </c>
      <c r="E850" s="6">
        <f>E849+C850-D850</f>
      </c>
    </row>
    <row x14ac:dyDescent="0.25" r="851" customHeight="1" ht="17.25">
      <c r="A851" s="7">
        <v>46000</v>
      </c>
      <c r="B851" s="9" t="s">
        <v>54</v>
      </c>
      <c r="C851" s="4"/>
      <c r="D851" s="6">
        <v>224</v>
      </c>
      <c r="E851" s="6">
        <f>E850+C851-D851</f>
      </c>
    </row>
    <row x14ac:dyDescent="0.25" r="852" customHeight="1" ht="17.25">
      <c r="A852" s="7">
        <v>46000</v>
      </c>
      <c r="B852" s="9" t="s">
        <v>569</v>
      </c>
      <c r="C852" s="4"/>
      <c r="D852" s="6">
        <v>400</v>
      </c>
      <c r="E852" s="6">
        <f>E851+C852-D852</f>
      </c>
    </row>
    <row x14ac:dyDescent="0.25" r="853" customHeight="1" ht="17.25">
      <c r="A853" s="8">
        <v>46000</v>
      </c>
      <c r="B853" s="9" t="s">
        <v>53</v>
      </c>
      <c r="C853" s="4"/>
      <c r="D853" s="6">
        <v>122</v>
      </c>
      <c r="E853" s="6">
        <f>E852+C853-D853</f>
      </c>
    </row>
    <row x14ac:dyDescent="0.25" r="854" customHeight="1" ht="17.25">
      <c r="A854" s="7">
        <v>46001</v>
      </c>
      <c r="B854" s="9" t="s">
        <v>316</v>
      </c>
      <c r="C854" s="4"/>
      <c r="D854" s="6">
        <v>100</v>
      </c>
      <c r="E854" s="6">
        <f>E853+C854-D854</f>
      </c>
    </row>
    <row x14ac:dyDescent="0.25" r="855" customHeight="1" ht="17.25">
      <c r="A855" s="8">
        <v>46001</v>
      </c>
      <c r="B855" s="9" t="s">
        <v>321</v>
      </c>
      <c r="C855" s="6">
        <v>114</v>
      </c>
      <c r="D855" s="4"/>
      <c r="E855" s="6">
        <f>E854+C855-D855</f>
      </c>
    </row>
    <row x14ac:dyDescent="0.25" r="856" customHeight="1" ht="17.25">
      <c r="A856" s="8">
        <v>46002</v>
      </c>
      <c r="B856" s="9" t="s">
        <v>316</v>
      </c>
      <c r="C856" s="4"/>
      <c r="D856" s="6">
        <v>200</v>
      </c>
      <c r="E856" s="6">
        <f>E855+C856-D856</f>
      </c>
    </row>
    <row x14ac:dyDescent="0.25" r="857" customHeight="1" ht="17.25">
      <c r="A857" s="7">
        <v>46002</v>
      </c>
      <c r="B857" s="9" t="s">
        <v>58</v>
      </c>
      <c r="C857" s="6">
        <v>1500</v>
      </c>
      <c r="D857" s="4"/>
      <c r="E857" s="6">
        <f>E856+C857-D857</f>
      </c>
    </row>
    <row x14ac:dyDescent="0.25" r="858" customHeight="1" ht="17.25">
      <c r="A858" s="8">
        <v>46002</v>
      </c>
      <c r="B858" s="9" t="s">
        <v>4</v>
      </c>
      <c r="C858" s="6">
        <v>200</v>
      </c>
      <c r="D858" s="4"/>
      <c r="E858" s="6">
        <f>E857+C858-D858</f>
      </c>
    </row>
    <row x14ac:dyDescent="0.25" r="859" customHeight="1" ht="17.25">
      <c r="A859" s="8">
        <v>46003</v>
      </c>
      <c r="B859" s="9" t="s">
        <v>53</v>
      </c>
      <c r="C859" s="4"/>
      <c r="D859" s="6">
        <v>198</v>
      </c>
      <c r="E859" s="6">
        <f>E858+C859-D859</f>
      </c>
    </row>
    <row x14ac:dyDescent="0.25" r="860" customHeight="1" ht="17.25">
      <c r="A860" s="7">
        <v>46003</v>
      </c>
      <c r="B860" s="9" t="s">
        <v>42</v>
      </c>
      <c r="C860" s="4"/>
      <c r="D860" s="6">
        <v>400</v>
      </c>
      <c r="E860" s="6">
        <f>E859+C860-D860</f>
      </c>
    </row>
    <row x14ac:dyDescent="0.25" r="861" customHeight="1" ht="17.25">
      <c r="A861" s="7">
        <v>46003</v>
      </c>
      <c r="B861" s="9" t="s">
        <v>316</v>
      </c>
      <c r="C861" s="4"/>
      <c r="D861" s="6">
        <v>100</v>
      </c>
      <c r="E861" s="6">
        <f>E860+C861-D861</f>
      </c>
    </row>
    <row x14ac:dyDescent="0.25" r="862" customHeight="1" ht="17.25">
      <c r="A862" s="7">
        <v>46003</v>
      </c>
      <c r="B862" s="9" t="s">
        <v>402</v>
      </c>
      <c r="C862" s="4"/>
      <c r="D862" s="6">
        <v>100</v>
      </c>
      <c r="E862" s="6">
        <f>E861+C862-D862</f>
      </c>
    </row>
    <row x14ac:dyDescent="0.25" r="863" customHeight="1" ht="17.25">
      <c r="A863" s="8">
        <v>46003</v>
      </c>
      <c r="B863" s="9" t="s">
        <v>314</v>
      </c>
      <c r="C863" s="6">
        <v>11</v>
      </c>
      <c r="D863" s="4"/>
      <c r="E863" s="6">
        <f>E862+C863-D863</f>
      </c>
    </row>
    <row x14ac:dyDescent="0.25" r="864" customHeight="1" ht="17.25">
      <c r="A864" s="8">
        <v>46003</v>
      </c>
      <c r="B864" s="9" t="s">
        <v>314</v>
      </c>
      <c r="C864" s="6">
        <v>17</v>
      </c>
      <c r="D864" s="4"/>
      <c r="E864" s="6">
        <f>E863+C864-D864</f>
      </c>
    </row>
    <row x14ac:dyDescent="0.25" r="865" customHeight="1" ht="17.25">
      <c r="A865" s="7">
        <v>46004</v>
      </c>
      <c r="B865" s="9" t="s">
        <v>297</v>
      </c>
      <c r="C865" s="6">
        <v>150</v>
      </c>
      <c r="D865" s="4"/>
      <c r="E865" s="6">
        <f>E864+C865-D865</f>
      </c>
    </row>
    <row x14ac:dyDescent="0.25" r="866" customHeight="1" ht="17.25">
      <c r="A866" s="7">
        <v>46004</v>
      </c>
      <c r="B866" s="9" t="s">
        <v>233</v>
      </c>
      <c r="C866" s="4"/>
      <c r="D866" s="6">
        <v>200</v>
      </c>
      <c r="E866" s="6">
        <f>E865+C866-D866</f>
      </c>
    </row>
    <row x14ac:dyDescent="0.25" r="867" customHeight="1" ht="17.25">
      <c r="A867" s="7">
        <v>46006</v>
      </c>
      <c r="B867" s="9" t="s">
        <v>311</v>
      </c>
      <c r="C867" s="6">
        <v>1002</v>
      </c>
      <c r="D867" s="4"/>
      <c r="E867" s="6">
        <f>E866+C867-D867</f>
      </c>
    </row>
    <row x14ac:dyDescent="0.25" r="868" customHeight="1" ht="17.25">
      <c r="A868" s="7">
        <v>46006</v>
      </c>
      <c r="B868" s="9" t="s">
        <v>2</v>
      </c>
      <c r="C868" s="4"/>
      <c r="D868" s="6">
        <v>300</v>
      </c>
      <c r="E868" s="6">
        <f>E867+C868-D868</f>
      </c>
    </row>
    <row x14ac:dyDescent="0.25" r="869" customHeight="1" ht="17.25">
      <c r="A869" s="8">
        <v>46007</v>
      </c>
      <c r="B869" s="9" t="s">
        <v>460</v>
      </c>
      <c r="C869" s="4"/>
      <c r="D869" s="6">
        <v>320</v>
      </c>
      <c r="E869" s="6">
        <f>E868+C869-D869</f>
      </c>
    </row>
    <row x14ac:dyDescent="0.25" r="870" customHeight="1" ht="17.25">
      <c r="A870" s="7">
        <v>46007</v>
      </c>
      <c r="B870" s="9" t="s">
        <v>2</v>
      </c>
      <c r="C870" s="4"/>
      <c r="D870" s="6">
        <v>200</v>
      </c>
      <c r="E870" s="6">
        <f>E869+C870-D870</f>
      </c>
    </row>
    <row x14ac:dyDescent="0.25" r="871" customHeight="1" ht="17.25">
      <c r="A871" s="8">
        <v>46007</v>
      </c>
      <c r="B871" s="9" t="s">
        <v>284</v>
      </c>
      <c r="C871" s="6">
        <v>419</v>
      </c>
      <c r="D871" s="4"/>
      <c r="E871" s="6">
        <f>E870+C871-D871</f>
      </c>
    </row>
    <row x14ac:dyDescent="0.25" r="872" customHeight="1" ht="17.25">
      <c r="A872" s="7">
        <v>46007</v>
      </c>
      <c r="B872" s="9" t="s">
        <v>298</v>
      </c>
      <c r="C872" s="6">
        <v>4</v>
      </c>
      <c r="D872" s="4"/>
      <c r="E872" s="6">
        <f>E871+C872-D872</f>
      </c>
    </row>
    <row x14ac:dyDescent="0.25" r="873" customHeight="1" ht="17.25">
      <c r="A873" s="8">
        <v>46007</v>
      </c>
      <c r="B873" s="9" t="s">
        <v>512</v>
      </c>
      <c r="C873" s="4"/>
      <c r="D873" s="6">
        <v>100</v>
      </c>
      <c r="E873" s="6">
        <f>E872+C873-D873</f>
      </c>
    </row>
    <row x14ac:dyDescent="0.25" r="874" customHeight="1" ht="17.25">
      <c r="A874" s="1"/>
      <c r="B874" s="2"/>
      <c r="C874" s="4"/>
      <c r="D874" s="4"/>
      <c r="E874" s="6">
        <f>E873+C874-D874</f>
      </c>
    </row>
    <row x14ac:dyDescent="0.25" r="875" customHeight="1" ht="17.25">
      <c r="A875" s="1"/>
      <c r="B875" s="2"/>
      <c r="C875" s="4"/>
      <c r="D875" s="4"/>
      <c r="E875" s="6">
        <f>E874+C875-D875</f>
      </c>
    </row>
    <row x14ac:dyDescent="0.25" r="876" customHeight="1" ht="17.25">
      <c r="A876" s="1"/>
      <c r="B876" s="2"/>
      <c r="C876" s="4"/>
      <c r="D876" s="4"/>
      <c r="E876" s="6">
        <f>E875+C876-D876</f>
      </c>
    </row>
    <row x14ac:dyDescent="0.25" r="877" customHeight="1" ht="17.25">
      <c r="A877" s="1"/>
      <c r="B877" s="2"/>
      <c r="C877" s="4"/>
      <c r="D877" s="4"/>
      <c r="E877" s="6">
        <f>E876+C877-D877</f>
      </c>
    </row>
    <row x14ac:dyDescent="0.25" r="878" customHeight="1" ht="17.25">
      <c r="A878" s="1"/>
      <c r="B878" s="2"/>
      <c r="C878" s="4"/>
      <c r="D878" s="4"/>
      <c r="E878" s="6">
        <f>E877+C878-D878</f>
      </c>
    </row>
    <row x14ac:dyDescent="0.25" r="879" customHeight="1" ht="17.25">
      <c r="A879" s="1"/>
      <c r="B879" s="2"/>
      <c r="C879" s="4"/>
      <c r="D879" s="4"/>
      <c r="E879" s="6">
        <f>E878+C879-D879</f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49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0.7192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518</v>
      </c>
      <c r="B1" s="2"/>
      <c r="C1" s="3"/>
      <c r="D1" s="4"/>
      <c r="E1" s="4"/>
      <c r="F1" s="2"/>
    </row>
    <row x14ac:dyDescent="0.25" r="2" customHeight="1" ht="17.25">
      <c r="A2" s="1"/>
      <c r="B2" s="2"/>
      <c r="C2" s="3"/>
      <c r="D2" s="4"/>
      <c r="E2" s="4"/>
      <c r="F2" s="2"/>
    </row>
    <row x14ac:dyDescent="0.25" r="3" customHeight="1" ht="17.25">
      <c r="A3" s="7">
        <v>45658</v>
      </c>
      <c r="B3" s="2" t="s">
        <v>1</v>
      </c>
      <c r="C3" s="3"/>
      <c r="D3" s="4"/>
      <c r="E3" s="14">
        <v>4279</v>
      </c>
      <c r="F3" s="2" t="s">
        <v>519</v>
      </c>
    </row>
    <row x14ac:dyDescent="0.25" r="4" customHeight="1" ht="17.25">
      <c r="A4" s="7">
        <v>45659</v>
      </c>
      <c r="B4" s="2" t="s">
        <v>131</v>
      </c>
      <c r="C4" s="6">
        <v>27</v>
      </c>
      <c r="D4" s="4"/>
      <c r="E4" s="6">
        <f>E3+C4-D4</f>
      </c>
      <c r="F4" s="2"/>
    </row>
    <row x14ac:dyDescent="0.25" r="5" customHeight="1" ht="17.25">
      <c r="A5" s="8">
        <v>45659</v>
      </c>
      <c r="B5" s="9" t="s">
        <v>35</v>
      </c>
      <c r="C5" s="6">
        <v>100</v>
      </c>
      <c r="D5" s="4"/>
      <c r="E5" s="6">
        <f>E4+C5-D5</f>
      </c>
      <c r="F5" s="2"/>
    </row>
    <row x14ac:dyDescent="0.25" r="6" customHeight="1" ht="17.25">
      <c r="A6" s="7">
        <v>45659</v>
      </c>
      <c r="B6" s="2" t="s">
        <v>375</v>
      </c>
      <c r="C6" s="6">
        <v>10</v>
      </c>
      <c r="D6" s="4"/>
      <c r="E6" s="6">
        <f>E5+C6-D6</f>
      </c>
      <c r="F6" s="2"/>
    </row>
    <row x14ac:dyDescent="0.25" r="7" customHeight="1" ht="17.25">
      <c r="A7" s="7">
        <v>45660</v>
      </c>
      <c r="B7" s="2" t="s">
        <v>35</v>
      </c>
      <c r="C7" s="6">
        <v>485</v>
      </c>
      <c r="D7" s="4"/>
      <c r="E7" s="6">
        <f>E6+C7-D7</f>
      </c>
      <c r="F7" s="2"/>
    </row>
    <row x14ac:dyDescent="0.25" r="8" customHeight="1" ht="17.25">
      <c r="A8" s="7">
        <v>45660</v>
      </c>
      <c r="B8" s="2" t="s">
        <v>35</v>
      </c>
      <c r="C8" s="6">
        <v>71</v>
      </c>
      <c r="D8" s="4"/>
      <c r="E8" s="6">
        <f>E7+C8-D8</f>
      </c>
      <c r="F8" s="2"/>
    </row>
    <row x14ac:dyDescent="0.25" r="9" customHeight="1" ht="17.25">
      <c r="A9" s="8">
        <v>45660</v>
      </c>
      <c r="B9" s="9" t="s">
        <v>375</v>
      </c>
      <c r="C9" s="6">
        <v>14</v>
      </c>
      <c r="D9" s="4"/>
      <c r="E9" s="6">
        <f>E8+C9-D9</f>
      </c>
      <c r="F9" s="2"/>
    </row>
    <row x14ac:dyDescent="0.25" r="10" customHeight="1" ht="17.25">
      <c r="A10" s="8">
        <v>45660</v>
      </c>
      <c r="B10" s="9" t="s">
        <v>410</v>
      </c>
      <c r="C10" s="6">
        <f>152+8+4</f>
      </c>
      <c r="D10" s="4"/>
      <c r="E10" s="6">
        <f>E9+C10-D10</f>
      </c>
      <c r="F10" s="2"/>
    </row>
    <row x14ac:dyDescent="0.25" r="11" customHeight="1" ht="17.25">
      <c r="A11" s="8">
        <v>45660</v>
      </c>
      <c r="B11" s="9" t="s">
        <v>410</v>
      </c>
      <c r="C11" s="6">
        <v>199</v>
      </c>
      <c r="D11" s="4"/>
      <c r="E11" s="6">
        <f>E10+C11-D11</f>
      </c>
      <c r="F11" s="2"/>
    </row>
    <row x14ac:dyDescent="0.25" r="12" customHeight="1" ht="17.25">
      <c r="A12" s="8">
        <v>45661</v>
      </c>
      <c r="B12" s="9" t="s">
        <v>484</v>
      </c>
      <c r="C12" s="3"/>
      <c r="D12" s="6">
        <v>200</v>
      </c>
      <c r="E12" s="6">
        <f>E11+C12-D12</f>
      </c>
      <c r="F12" s="2"/>
    </row>
    <row x14ac:dyDescent="0.25" r="13" customHeight="1" ht="17.25">
      <c r="A13" s="8">
        <v>45661</v>
      </c>
      <c r="B13" s="9" t="s">
        <v>257</v>
      </c>
      <c r="C13" s="3"/>
      <c r="D13" s="6">
        <v>42</v>
      </c>
      <c r="E13" s="6">
        <f>E12+C13-D13</f>
      </c>
      <c r="F13" s="2"/>
    </row>
    <row x14ac:dyDescent="0.25" r="14" customHeight="1" ht="17.25">
      <c r="A14" s="7">
        <v>45661</v>
      </c>
      <c r="B14" s="9" t="s">
        <v>127</v>
      </c>
      <c r="C14" s="6">
        <v>585</v>
      </c>
      <c r="D14" s="4"/>
      <c r="E14" s="6">
        <f>E13+C14-D14</f>
      </c>
      <c r="F14" s="2"/>
    </row>
    <row x14ac:dyDescent="0.25" r="15" customHeight="1" ht="17.25">
      <c r="A15" s="8">
        <v>45661</v>
      </c>
      <c r="B15" s="9" t="s">
        <v>35</v>
      </c>
      <c r="C15" s="6">
        <v>463</v>
      </c>
      <c r="D15" s="4"/>
      <c r="E15" s="6">
        <f>E14+C15-D15</f>
      </c>
      <c r="F15" s="2"/>
    </row>
    <row x14ac:dyDescent="0.25" r="16" customHeight="1" ht="17.25">
      <c r="A16" s="8">
        <v>45663</v>
      </c>
      <c r="B16" s="9" t="s">
        <v>35</v>
      </c>
      <c r="C16" s="6">
        <v>449</v>
      </c>
      <c r="D16" s="4"/>
      <c r="E16" s="6">
        <f>E15+C16-D16</f>
      </c>
      <c r="F16" s="2"/>
    </row>
    <row x14ac:dyDescent="0.25" r="17" customHeight="1" ht="17.25">
      <c r="A17" s="7">
        <v>45663</v>
      </c>
      <c r="B17" s="9" t="s">
        <v>375</v>
      </c>
      <c r="C17" s="6">
        <v>29</v>
      </c>
      <c r="D17" s="4"/>
      <c r="E17" s="6">
        <f>E16+C17-D17</f>
      </c>
      <c r="F17" s="2"/>
    </row>
    <row x14ac:dyDescent="0.25" r="18" customHeight="1" ht="17.25">
      <c r="A18" s="8">
        <v>45663</v>
      </c>
      <c r="B18" s="9" t="s">
        <v>412</v>
      </c>
      <c r="C18" s="6">
        <v>72</v>
      </c>
      <c r="D18" s="4"/>
      <c r="E18" s="6">
        <f>E17+C18-D18</f>
      </c>
      <c r="F18" s="2"/>
    </row>
    <row x14ac:dyDescent="0.25" r="19" customHeight="1" ht="17.25">
      <c r="A19" s="8">
        <v>45664</v>
      </c>
      <c r="B19" s="9" t="s">
        <v>257</v>
      </c>
      <c r="C19" s="3"/>
      <c r="D19" s="6">
        <v>30</v>
      </c>
      <c r="E19" s="6">
        <f>E18+C19-D19</f>
      </c>
      <c r="F19" s="2"/>
    </row>
    <row x14ac:dyDescent="0.25" r="20" customHeight="1" ht="17.25">
      <c r="A20" s="8">
        <v>45664</v>
      </c>
      <c r="B20" s="9" t="s">
        <v>269</v>
      </c>
      <c r="C20" s="6">
        <v>5</v>
      </c>
      <c r="D20" s="4"/>
      <c r="E20" s="6">
        <f>E19+C20-D20</f>
      </c>
      <c r="F20" s="2"/>
    </row>
    <row x14ac:dyDescent="0.25" r="21" customHeight="1" ht="17.25">
      <c r="A21" s="8">
        <v>45664</v>
      </c>
      <c r="B21" s="9" t="s">
        <v>376</v>
      </c>
      <c r="C21" s="6">
        <v>64</v>
      </c>
      <c r="D21" s="4"/>
      <c r="E21" s="6">
        <f>E20+C21-D21</f>
      </c>
      <c r="F21" s="2"/>
    </row>
    <row x14ac:dyDescent="0.25" r="22" customHeight="1" ht="17.25">
      <c r="A22" s="7">
        <v>45664</v>
      </c>
      <c r="B22" s="9" t="s">
        <v>375</v>
      </c>
      <c r="C22" s="6">
        <v>39</v>
      </c>
      <c r="D22" s="4"/>
      <c r="E22" s="6">
        <f>E21+C22-D22</f>
      </c>
      <c r="F22" s="2"/>
    </row>
    <row x14ac:dyDescent="0.25" r="23" customHeight="1" ht="17.25">
      <c r="A23" s="7">
        <v>45666</v>
      </c>
      <c r="B23" s="9" t="s">
        <v>35</v>
      </c>
      <c r="C23" s="6">
        <v>30</v>
      </c>
      <c r="D23" s="4"/>
      <c r="E23" s="6">
        <f>E22+C23-D23</f>
      </c>
      <c r="F23" s="2"/>
    </row>
    <row x14ac:dyDescent="0.25" r="24" customHeight="1" ht="17.25">
      <c r="A24" s="7">
        <v>45667</v>
      </c>
      <c r="B24" s="9" t="s">
        <v>35</v>
      </c>
      <c r="C24" s="6">
        <v>512</v>
      </c>
      <c r="D24" s="4"/>
      <c r="E24" s="6">
        <f>E23+C24-D24</f>
      </c>
      <c r="F24" s="2"/>
    </row>
    <row x14ac:dyDescent="0.25" r="25" customHeight="1" ht="17.25">
      <c r="A25" s="7">
        <v>45667</v>
      </c>
      <c r="B25" s="9" t="s">
        <v>227</v>
      </c>
      <c r="C25" s="6">
        <v>43</v>
      </c>
      <c r="D25" s="4"/>
      <c r="E25" s="6">
        <f>E24+C25-D25</f>
      </c>
      <c r="F25" s="2"/>
    </row>
    <row x14ac:dyDescent="0.25" r="26" customHeight="1" ht="17.25">
      <c r="A26" s="7">
        <v>45668</v>
      </c>
      <c r="B26" s="9" t="s">
        <v>270</v>
      </c>
      <c r="C26" s="3"/>
      <c r="D26" s="6">
        <v>32</v>
      </c>
      <c r="E26" s="6">
        <f>E25+C26-D26</f>
      </c>
      <c r="F26" s="2"/>
    </row>
    <row x14ac:dyDescent="0.25" r="27" customHeight="1" ht="17.25">
      <c r="A27" s="7">
        <v>45668</v>
      </c>
      <c r="B27" s="9" t="s">
        <v>411</v>
      </c>
      <c r="C27" s="3"/>
      <c r="D27" s="6">
        <v>40</v>
      </c>
      <c r="E27" s="6">
        <f>E26+C27-D27</f>
      </c>
      <c r="F27" s="2"/>
    </row>
    <row x14ac:dyDescent="0.25" r="28" customHeight="1" ht="17.25">
      <c r="A28" s="7">
        <v>45668</v>
      </c>
      <c r="B28" s="9" t="s">
        <v>413</v>
      </c>
      <c r="C28" s="6">
        <v>14</v>
      </c>
      <c r="D28" s="4"/>
      <c r="E28" s="6">
        <f>E27+C28-D28</f>
      </c>
      <c r="F28" s="2"/>
    </row>
    <row x14ac:dyDescent="0.25" r="29" customHeight="1" ht="17.25">
      <c r="A29" s="8">
        <v>45670</v>
      </c>
      <c r="B29" s="9" t="s">
        <v>35</v>
      </c>
      <c r="C29" s="6">
        <v>54</v>
      </c>
      <c r="D29" s="4"/>
      <c r="E29" s="6">
        <f>E28+C29-D29</f>
      </c>
      <c r="F29" s="2"/>
    </row>
    <row x14ac:dyDescent="0.25" r="30" customHeight="1" ht="17.25">
      <c r="A30" s="8">
        <v>45670</v>
      </c>
      <c r="B30" s="9" t="s">
        <v>410</v>
      </c>
      <c r="C30" s="6">
        <v>35</v>
      </c>
      <c r="D30" s="4"/>
      <c r="E30" s="6">
        <f>E29+C30-D30</f>
      </c>
      <c r="F30" s="2"/>
    </row>
    <row x14ac:dyDescent="0.25" r="31" customHeight="1" ht="17.25">
      <c r="A31" s="7">
        <v>45670</v>
      </c>
      <c r="B31" s="9" t="s">
        <v>375</v>
      </c>
      <c r="C31" s="6">
        <v>35</v>
      </c>
      <c r="D31" s="4"/>
      <c r="E31" s="6">
        <f>E30+C31-D31</f>
      </c>
      <c r="F31" s="2"/>
    </row>
    <row x14ac:dyDescent="0.25" r="32" customHeight="1" ht="17.25">
      <c r="A32" s="7">
        <v>45671</v>
      </c>
      <c r="B32" s="9" t="s">
        <v>269</v>
      </c>
      <c r="C32" s="6">
        <v>7</v>
      </c>
      <c r="D32" s="4"/>
      <c r="E32" s="6">
        <f>E31+C32-D32</f>
      </c>
      <c r="F32" s="2"/>
    </row>
    <row x14ac:dyDescent="0.25" r="33" customHeight="1" ht="17.25">
      <c r="A33" s="7">
        <v>45671</v>
      </c>
      <c r="B33" s="9" t="s">
        <v>127</v>
      </c>
      <c r="C33" s="6">
        <v>198</v>
      </c>
      <c r="D33" s="4"/>
      <c r="E33" s="6">
        <f>E32+C33-D33</f>
      </c>
      <c r="F33" s="2"/>
    </row>
    <row x14ac:dyDescent="0.25" r="34" customHeight="1" ht="17.25">
      <c r="A34" s="7">
        <v>45671</v>
      </c>
      <c r="B34" s="9" t="s">
        <v>375</v>
      </c>
      <c r="C34" s="6">
        <v>65</v>
      </c>
      <c r="D34" s="4"/>
      <c r="E34" s="6">
        <f>E33+C34-D34</f>
      </c>
      <c r="F34" s="2"/>
    </row>
    <row x14ac:dyDescent="0.25" r="35" customHeight="1" ht="17.25">
      <c r="A35" s="8">
        <v>45672</v>
      </c>
      <c r="B35" s="9" t="s">
        <v>485</v>
      </c>
      <c r="C35" s="3"/>
      <c r="D35" s="6">
        <v>75</v>
      </c>
      <c r="E35" s="6">
        <f>E34+C35-D35</f>
      </c>
      <c r="F35" s="2"/>
    </row>
    <row x14ac:dyDescent="0.25" r="36" customHeight="1" ht="17.25">
      <c r="A36" s="7">
        <v>45672</v>
      </c>
      <c r="B36" s="9" t="s">
        <v>431</v>
      </c>
      <c r="C36" s="6">
        <v>50</v>
      </c>
      <c r="D36" s="4"/>
      <c r="E36" s="6">
        <f>E35+C36-D36</f>
      </c>
      <c r="F36" s="2"/>
    </row>
    <row x14ac:dyDescent="0.25" r="37" customHeight="1" ht="17.25">
      <c r="A37" s="8">
        <v>45672</v>
      </c>
      <c r="B37" s="9" t="s">
        <v>412</v>
      </c>
      <c r="C37" s="6">
        <v>78</v>
      </c>
      <c r="D37" s="4"/>
      <c r="E37" s="6">
        <f>E36+C37-D37</f>
      </c>
      <c r="F37" s="2"/>
    </row>
    <row x14ac:dyDescent="0.25" r="38" customHeight="1" ht="17.25">
      <c r="A38" s="8">
        <v>45673</v>
      </c>
      <c r="B38" s="9" t="s">
        <v>382</v>
      </c>
      <c r="C38" s="3"/>
      <c r="D38" s="6">
        <v>100</v>
      </c>
      <c r="E38" s="6">
        <f>E37+C38-D38</f>
      </c>
      <c r="F38" s="2"/>
    </row>
    <row x14ac:dyDescent="0.25" r="39" customHeight="1" ht="17.25">
      <c r="A39" s="8">
        <v>45673</v>
      </c>
      <c r="B39" s="9" t="s">
        <v>2</v>
      </c>
      <c r="C39" s="3"/>
      <c r="D39" s="6">
        <v>100</v>
      </c>
      <c r="E39" s="6">
        <f>E38+C39-D39</f>
      </c>
      <c r="F39" s="2"/>
    </row>
    <row x14ac:dyDescent="0.25" r="40" customHeight="1" ht="17.25">
      <c r="A40" s="8">
        <v>45673</v>
      </c>
      <c r="B40" s="9" t="s">
        <v>272</v>
      </c>
      <c r="C40" s="3"/>
      <c r="D40" s="6">
        <v>102</v>
      </c>
      <c r="E40" s="6">
        <f>E39+C40-D40</f>
      </c>
      <c r="F40" s="2"/>
    </row>
    <row x14ac:dyDescent="0.25" r="41" customHeight="1" ht="17.25">
      <c r="A41" s="7">
        <v>45673</v>
      </c>
      <c r="B41" s="9" t="s">
        <v>485</v>
      </c>
      <c r="C41" s="3"/>
      <c r="D41" s="6">
        <v>75</v>
      </c>
      <c r="E41" s="6">
        <f>E40+C41-D41</f>
      </c>
      <c r="F41" s="2"/>
    </row>
    <row x14ac:dyDescent="0.25" r="42" customHeight="1" ht="17.25">
      <c r="A42" s="8">
        <v>45673</v>
      </c>
      <c r="B42" s="9" t="s">
        <v>415</v>
      </c>
      <c r="C42" s="6">
        <v>18</v>
      </c>
      <c r="D42" s="4"/>
      <c r="E42" s="6">
        <f>E41+C42-D42</f>
      </c>
      <c r="F42" s="2"/>
    </row>
    <row x14ac:dyDescent="0.25" r="43" customHeight="1" ht="17.25">
      <c r="A43" s="8">
        <v>45673</v>
      </c>
      <c r="B43" s="9" t="s">
        <v>269</v>
      </c>
      <c r="C43" s="6">
        <v>10</v>
      </c>
      <c r="D43" s="4"/>
      <c r="E43" s="6">
        <f>E42+C43-D43</f>
      </c>
      <c r="F43" s="2"/>
    </row>
    <row x14ac:dyDescent="0.25" r="44" customHeight="1" ht="17.25">
      <c r="A44" s="7">
        <v>45674</v>
      </c>
      <c r="B44" s="9" t="s">
        <v>256</v>
      </c>
      <c r="C44" s="6">
        <v>160</v>
      </c>
      <c r="D44" s="4"/>
      <c r="E44" s="6">
        <f>E43+C44-D44</f>
      </c>
      <c r="F44" s="2"/>
    </row>
    <row x14ac:dyDescent="0.25" r="45" customHeight="1" ht="17.25">
      <c r="A45" s="8">
        <v>45674</v>
      </c>
      <c r="B45" s="9" t="s">
        <v>189</v>
      </c>
      <c r="C45" s="6">
        <v>10</v>
      </c>
      <c r="D45" s="4"/>
      <c r="E45" s="6">
        <f>E44+C45-D45</f>
      </c>
      <c r="F45" s="2"/>
    </row>
    <row x14ac:dyDescent="0.25" r="46" customHeight="1" ht="17.25">
      <c r="A46" s="7">
        <v>45674</v>
      </c>
      <c r="B46" s="9" t="s">
        <v>148</v>
      </c>
      <c r="C46" s="6">
        <v>30</v>
      </c>
      <c r="D46" s="4"/>
      <c r="E46" s="6">
        <f>E45+C46-D46</f>
      </c>
      <c r="F46" s="2"/>
    </row>
    <row x14ac:dyDescent="0.25" r="47" customHeight="1" ht="17.25">
      <c r="A47" s="8">
        <v>45675</v>
      </c>
      <c r="B47" s="9" t="s">
        <v>240</v>
      </c>
      <c r="C47" s="6">
        <v>11</v>
      </c>
      <c r="D47" s="4"/>
      <c r="E47" s="6">
        <f>E46+C47-D47</f>
      </c>
      <c r="F47" s="2"/>
    </row>
    <row x14ac:dyDescent="0.25" r="48" customHeight="1" ht="17.25">
      <c r="A48" s="7">
        <v>45675</v>
      </c>
      <c r="B48" s="9" t="s">
        <v>123</v>
      </c>
      <c r="C48" s="6">
        <v>200</v>
      </c>
      <c r="D48" s="4"/>
      <c r="E48" s="6">
        <f>E47+C48-D48</f>
      </c>
      <c r="F48" s="2"/>
    </row>
    <row x14ac:dyDescent="0.25" r="49" customHeight="1" ht="17.25">
      <c r="A49" s="7">
        <v>45677</v>
      </c>
      <c r="B49" s="9" t="s">
        <v>382</v>
      </c>
      <c r="C49" s="3"/>
      <c r="D49" s="6">
        <v>8</v>
      </c>
      <c r="E49" s="6">
        <f>E48+C49-D49</f>
      </c>
      <c r="F49" s="2"/>
    </row>
    <row x14ac:dyDescent="0.25" r="50" customHeight="1" ht="17.25">
      <c r="A50" s="7">
        <v>45677</v>
      </c>
      <c r="B50" s="9" t="s">
        <v>35</v>
      </c>
      <c r="C50" s="3"/>
      <c r="D50" s="6">
        <v>870</v>
      </c>
      <c r="E50" s="6">
        <f>E49+C50-D50</f>
      </c>
      <c r="F50" s="2"/>
    </row>
    <row x14ac:dyDescent="0.25" r="51" customHeight="1" ht="17.25">
      <c r="A51" s="7">
        <v>45677</v>
      </c>
      <c r="B51" s="9" t="s">
        <v>485</v>
      </c>
      <c r="C51" s="3"/>
      <c r="D51" s="6">
        <v>125</v>
      </c>
      <c r="E51" s="6">
        <f>E50+C51-D51</f>
      </c>
      <c r="F51" s="2"/>
    </row>
    <row x14ac:dyDescent="0.25" r="52" customHeight="1" ht="17.25">
      <c r="A52" s="8">
        <v>45677</v>
      </c>
      <c r="B52" s="9" t="s">
        <v>410</v>
      </c>
      <c r="C52" s="6">
        <v>9</v>
      </c>
      <c r="D52" s="4"/>
      <c r="E52" s="6">
        <f>E51+C52-D52</f>
      </c>
      <c r="F52" s="2"/>
    </row>
    <row x14ac:dyDescent="0.25" r="53" customHeight="1" ht="17.25">
      <c r="A53" s="8">
        <v>45677</v>
      </c>
      <c r="B53" s="9" t="s">
        <v>365</v>
      </c>
      <c r="C53" s="6">
        <v>4</v>
      </c>
      <c r="D53" s="4"/>
      <c r="E53" s="6">
        <f>E52+C53-D53</f>
      </c>
      <c r="F53" s="2"/>
    </row>
    <row x14ac:dyDescent="0.25" r="54" customHeight="1" ht="17.25">
      <c r="A54" s="7">
        <v>45677</v>
      </c>
      <c r="B54" s="9" t="s">
        <v>127</v>
      </c>
      <c r="C54" s="6">
        <v>197</v>
      </c>
      <c r="D54" s="4"/>
      <c r="E54" s="6">
        <f>E53+C54-D54</f>
      </c>
      <c r="F54" s="2"/>
    </row>
    <row x14ac:dyDescent="0.25" r="55" customHeight="1" ht="17.25">
      <c r="A55" s="8">
        <v>45677</v>
      </c>
      <c r="B55" s="9" t="s">
        <v>131</v>
      </c>
      <c r="C55" s="6">
        <v>34</v>
      </c>
      <c r="D55" s="4"/>
      <c r="E55" s="6">
        <f>E54+C55-D55</f>
      </c>
      <c r="F55" s="2"/>
    </row>
    <row x14ac:dyDescent="0.25" r="56" customHeight="1" ht="17.25">
      <c r="A56" s="8">
        <v>45678</v>
      </c>
      <c r="B56" s="9" t="s">
        <v>382</v>
      </c>
      <c r="C56" s="3"/>
      <c r="D56" s="6">
        <v>100</v>
      </c>
      <c r="E56" s="6">
        <f>E55+C56-D56</f>
      </c>
      <c r="F56" s="2"/>
    </row>
    <row x14ac:dyDescent="0.25" r="57" customHeight="1" ht="17.25">
      <c r="A57" s="8">
        <v>45678</v>
      </c>
      <c r="B57" s="9" t="s">
        <v>485</v>
      </c>
      <c r="C57" s="3"/>
      <c r="D57" s="6">
        <v>125</v>
      </c>
      <c r="E57" s="6">
        <f>E56+C57-D57</f>
      </c>
      <c r="F57" s="2"/>
    </row>
    <row x14ac:dyDescent="0.25" r="58" customHeight="1" ht="17.25">
      <c r="A58" s="7">
        <v>45678</v>
      </c>
      <c r="B58" s="9" t="s">
        <v>128</v>
      </c>
      <c r="C58" s="6">
        <v>46</v>
      </c>
      <c r="D58" s="4"/>
      <c r="E58" s="6">
        <f>E57+C58-D58</f>
      </c>
      <c r="F58" s="2"/>
    </row>
    <row x14ac:dyDescent="0.25" r="59" customHeight="1" ht="17.25">
      <c r="A59" s="8">
        <v>45679</v>
      </c>
      <c r="B59" s="9" t="s">
        <v>382</v>
      </c>
      <c r="C59" s="3"/>
      <c r="D59" s="6">
        <v>150</v>
      </c>
      <c r="E59" s="6">
        <f>E58+C59-D59</f>
      </c>
      <c r="F59" s="2"/>
    </row>
    <row x14ac:dyDescent="0.25" r="60" customHeight="1" ht="17.25">
      <c r="A60" s="8">
        <v>45680</v>
      </c>
      <c r="B60" s="9" t="s">
        <v>326</v>
      </c>
      <c r="C60" s="6">
        <v>12</v>
      </c>
      <c r="D60" s="4"/>
      <c r="E60" s="6">
        <f>E59+C60-D60</f>
      </c>
      <c r="F60" s="2"/>
    </row>
    <row x14ac:dyDescent="0.25" r="61" customHeight="1" ht="17.25">
      <c r="A61" s="8">
        <v>45680</v>
      </c>
      <c r="B61" s="9" t="s">
        <v>269</v>
      </c>
      <c r="C61" s="6">
        <v>29</v>
      </c>
      <c r="D61" s="4"/>
      <c r="E61" s="6">
        <f>E60+C61-D61</f>
      </c>
      <c r="F61" s="2"/>
    </row>
    <row x14ac:dyDescent="0.25" r="62" customHeight="1" ht="17.25">
      <c r="A62" s="8">
        <v>45681</v>
      </c>
      <c r="B62" s="9" t="s">
        <v>131</v>
      </c>
      <c r="C62" s="6">
        <v>35</v>
      </c>
      <c r="D62" s="4"/>
      <c r="E62" s="6">
        <f>E61+C62-D62</f>
      </c>
      <c r="F62" s="2"/>
    </row>
    <row x14ac:dyDescent="0.25" r="63" customHeight="1" ht="17.25">
      <c r="A63" s="8">
        <v>45682</v>
      </c>
      <c r="B63" s="9" t="s">
        <v>123</v>
      </c>
      <c r="C63" s="6">
        <v>109</v>
      </c>
      <c r="D63" s="4"/>
      <c r="E63" s="6">
        <f>E62+C63-D63</f>
      </c>
      <c r="F63" s="2"/>
    </row>
    <row x14ac:dyDescent="0.25" r="64" customHeight="1" ht="17.25">
      <c r="A64" s="7">
        <v>45685</v>
      </c>
      <c r="B64" s="9" t="s">
        <v>413</v>
      </c>
      <c r="C64" s="6">
        <v>35</v>
      </c>
      <c r="D64" s="4"/>
      <c r="E64" s="6">
        <f>E63+C64-D64</f>
      </c>
      <c r="F64" s="2"/>
    </row>
    <row x14ac:dyDescent="0.25" r="65" customHeight="1" ht="17.25">
      <c r="A65" s="8">
        <v>45685</v>
      </c>
      <c r="B65" s="9" t="s">
        <v>412</v>
      </c>
      <c r="C65" s="6">
        <v>100</v>
      </c>
      <c r="D65" s="4"/>
      <c r="E65" s="6">
        <f>E64+C65-D65</f>
      </c>
      <c r="F65" s="2"/>
    </row>
    <row x14ac:dyDescent="0.25" r="66" customHeight="1" ht="17.25">
      <c r="A66" s="8">
        <v>45685</v>
      </c>
      <c r="B66" s="9" t="s">
        <v>227</v>
      </c>
      <c r="C66" s="6">
        <v>29</v>
      </c>
      <c r="D66" s="4"/>
      <c r="E66" s="6">
        <f>E65+C66-D66</f>
      </c>
      <c r="F66" s="2"/>
    </row>
    <row x14ac:dyDescent="0.25" r="67" customHeight="1" ht="17.25">
      <c r="A67" s="8">
        <v>45685</v>
      </c>
      <c r="B67" s="9" t="s">
        <v>259</v>
      </c>
      <c r="C67" s="6">
        <v>299</v>
      </c>
      <c r="D67" s="4"/>
      <c r="E67" s="6">
        <f>E66+C67-D67</f>
      </c>
      <c r="F67" s="2"/>
    </row>
    <row x14ac:dyDescent="0.25" r="68" customHeight="1" ht="17.25">
      <c r="A68" s="8">
        <v>45687</v>
      </c>
      <c r="B68" s="9" t="s">
        <v>272</v>
      </c>
      <c r="C68" s="3"/>
      <c r="D68" s="6">
        <v>72</v>
      </c>
      <c r="E68" s="6">
        <f>E67+C68-D68</f>
      </c>
      <c r="F68" s="2"/>
    </row>
    <row x14ac:dyDescent="0.25" r="69" customHeight="1" ht="17.25">
      <c r="A69" s="8">
        <v>45688</v>
      </c>
      <c r="B69" s="9" t="s">
        <v>269</v>
      </c>
      <c r="C69" s="6">
        <v>34</v>
      </c>
      <c r="D69" s="4"/>
      <c r="E69" s="6">
        <f>E68+C69-D69</f>
      </c>
      <c r="F69" s="2"/>
    </row>
    <row x14ac:dyDescent="0.25" r="70" customHeight="1" ht="17.25">
      <c r="A70" s="8">
        <v>45688</v>
      </c>
      <c r="B70" s="9" t="s">
        <v>131</v>
      </c>
      <c r="C70" s="6">
        <v>60</v>
      </c>
      <c r="D70" s="4"/>
      <c r="E70" s="6">
        <f>E69+C70-D70</f>
      </c>
      <c r="F70" s="2"/>
    </row>
    <row x14ac:dyDescent="0.25" r="71" customHeight="1" ht="17.25">
      <c r="A71" s="8">
        <v>45688</v>
      </c>
      <c r="B71" s="9" t="s">
        <v>127</v>
      </c>
      <c r="C71" s="6">
        <v>2</v>
      </c>
      <c r="D71" s="4"/>
      <c r="E71" s="6">
        <f>E70+C71-D71</f>
      </c>
      <c r="F71" s="2"/>
    </row>
    <row x14ac:dyDescent="0.25" r="72" customHeight="1" ht="17.25">
      <c r="A72" s="8">
        <v>45688</v>
      </c>
      <c r="B72" s="9" t="s">
        <v>385</v>
      </c>
      <c r="C72" s="6">
        <v>16</v>
      </c>
      <c r="D72" s="4"/>
      <c r="E72" s="6">
        <f>E71+C72-D72</f>
      </c>
      <c r="F72" s="2"/>
    </row>
    <row x14ac:dyDescent="0.25" r="73" customHeight="1" ht="17.25">
      <c r="A73" s="8">
        <v>45688</v>
      </c>
      <c r="B73" s="9" t="s">
        <v>415</v>
      </c>
      <c r="C73" s="6">
        <v>15</v>
      </c>
      <c r="D73" s="4"/>
      <c r="E73" s="6">
        <f>E72+C73-D73</f>
      </c>
      <c r="F73" s="2"/>
    </row>
    <row x14ac:dyDescent="0.25" r="74" customHeight="1" ht="17.25">
      <c r="A74" s="7">
        <v>45689</v>
      </c>
      <c r="B74" s="9" t="s">
        <v>39</v>
      </c>
      <c r="C74" s="6">
        <v>81</v>
      </c>
      <c r="D74" s="4"/>
      <c r="E74" s="6">
        <f>E73+C74-D74</f>
      </c>
      <c r="F74" s="2"/>
    </row>
    <row x14ac:dyDescent="0.25" r="75" customHeight="1" ht="17.25">
      <c r="A75" s="8">
        <v>45691</v>
      </c>
      <c r="B75" s="9" t="s">
        <v>273</v>
      </c>
      <c r="C75" s="6">
        <v>2</v>
      </c>
      <c r="D75" s="4"/>
      <c r="E75" s="6">
        <f>E74+C75-D75</f>
      </c>
      <c r="F75" s="2"/>
    </row>
    <row x14ac:dyDescent="0.25" r="76" customHeight="1" ht="17.25">
      <c r="A76" s="8">
        <v>45693</v>
      </c>
      <c r="B76" s="9" t="s">
        <v>269</v>
      </c>
      <c r="C76" s="6">
        <v>405</v>
      </c>
      <c r="D76" s="4"/>
      <c r="E76" s="6">
        <f>E75+C76-D76</f>
      </c>
      <c r="F76" s="2"/>
    </row>
    <row x14ac:dyDescent="0.25" r="77" customHeight="1" ht="17.25">
      <c r="A77" s="8">
        <v>45694</v>
      </c>
      <c r="B77" s="9" t="s">
        <v>445</v>
      </c>
      <c r="C77" s="3"/>
      <c r="D77" s="6">
        <v>14</v>
      </c>
      <c r="E77" s="6">
        <f>E76+C77-D77</f>
      </c>
      <c r="F77" s="2"/>
    </row>
    <row x14ac:dyDescent="0.25" r="78" customHeight="1" ht="17.25">
      <c r="A78" s="7">
        <v>45694</v>
      </c>
      <c r="B78" s="9" t="s">
        <v>382</v>
      </c>
      <c r="C78" s="6">
        <v>39</v>
      </c>
      <c r="D78" s="4"/>
      <c r="E78" s="6">
        <f>E77+C78-D78</f>
      </c>
      <c r="F78" s="2"/>
    </row>
    <row x14ac:dyDescent="0.25" r="79" customHeight="1" ht="17.25">
      <c r="A79" s="7">
        <v>45695</v>
      </c>
      <c r="B79" s="9" t="s">
        <v>3</v>
      </c>
      <c r="C79" s="3"/>
      <c r="D79" s="6">
        <v>200</v>
      </c>
      <c r="E79" s="6">
        <f>E78+C79-D79</f>
      </c>
      <c r="F79" s="2"/>
    </row>
    <row x14ac:dyDescent="0.25" r="80" customHeight="1" ht="17.25">
      <c r="A80" s="8">
        <v>45695</v>
      </c>
      <c r="B80" s="9" t="s">
        <v>479</v>
      </c>
      <c r="C80" s="6">
        <v>2</v>
      </c>
      <c r="D80" s="4"/>
      <c r="E80" s="6">
        <f>E79+C80-D80</f>
      </c>
      <c r="F80" s="2"/>
    </row>
    <row x14ac:dyDescent="0.25" r="81" customHeight="1" ht="17.25">
      <c r="A81" s="8">
        <v>45695</v>
      </c>
      <c r="B81" s="9" t="s">
        <v>11</v>
      </c>
      <c r="C81" s="6">
        <v>77</v>
      </c>
      <c r="D81" s="4"/>
      <c r="E81" s="6">
        <f>E80+C81-D81</f>
      </c>
      <c r="F81" s="2"/>
    </row>
    <row x14ac:dyDescent="0.25" r="82" customHeight="1" ht="17.25">
      <c r="A82" s="8">
        <v>45696</v>
      </c>
      <c r="B82" s="9" t="s">
        <v>3</v>
      </c>
      <c r="C82" s="3"/>
      <c r="D82" s="6">
        <v>100</v>
      </c>
      <c r="E82" s="6">
        <f>E81+C82-D82</f>
      </c>
      <c r="F82" s="2"/>
    </row>
    <row x14ac:dyDescent="0.25" r="83" customHeight="1" ht="17.25">
      <c r="A83" s="8">
        <v>45696</v>
      </c>
      <c r="B83" s="9" t="s">
        <v>3</v>
      </c>
      <c r="C83" s="3"/>
      <c r="D83" s="6">
        <v>250</v>
      </c>
      <c r="E83" s="6">
        <f>E82+C83-D83</f>
      </c>
      <c r="F83" s="2"/>
    </row>
    <row x14ac:dyDescent="0.25" r="84" customHeight="1" ht="17.25">
      <c r="A84" s="7">
        <v>45698</v>
      </c>
      <c r="B84" s="9" t="s">
        <v>3</v>
      </c>
      <c r="C84" s="3"/>
      <c r="D84" s="6">
        <v>100</v>
      </c>
      <c r="E84" s="6">
        <f>E83+C84-D84</f>
      </c>
      <c r="F84" s="2"/>
    </row>
    <row x14ac:dyDescent="0.25" r="85" customHeight="1" ht="17.25">
      <c r="A85" s="8">
        <v>45698</v>
      </c>
      <c r="B85" s="9" t="s">
        <v>11</v>
      </c>
      <c r="C85" s="6">
        <v>44</v>
      </c>
      <c r="D85" s="4"/>
      <c r="E85" s="6">
        <f>E84+C85-D85</f>
      </c>
      <c r="F85" s="2"/>
    </row>
    <row x14ac:dyDescent="0.25" r="86" customHeight="1" ht="17.25">
      <c r="A86" s="8">
        <v>45698</v>
      </c>
      <c r="B86" s="9" t="s">
        <v>269</v>
      </c>
      <c r="C86" s="6">
        <v>80</v>
      </c>
      <c r="D86" s="4"/>
      <c r="E86" s="6">
        <f>E85+C86-D86</f>
      </c>
      <c r="F86" s="2"/>
    </row>
    <row x14ac:dyDescent="0.25" r="87" customHeight="1" ht="17.25">
      <c r="A87" s="8">
        <v>45700</v>
      </c>
      <c r="B87" s="9" t="s">
        <v>34</v>
      </c>
      <c r="C87" s="3"/>
      <c r="D87" s="6">
        <v>200</v>
      </c>
      <c r="E87" s="6">
        <f>E86+C87-D87</f>
      </c>
      <c r="F87" s="2"/>
    </row>
    <row x14ac:dyDescent="0.25" r="88" customHeight="1" ht="17.25">
      <c r="A88" s="8">
        <v>45700</v>
      </c>
      <c r="B88" s="9" t="s">
        <v>412</v>
      </c>
      <c r="C88" s="6">
        <v>44</v>
      </c>
      <c r="D88" s="4"/>
      <c r="E88" s="6">
        <f>E87+C88-D88</f>
      </c>
      <c r="F88" s="2"/>
    </row>
    <row x14ac:dyDescent="0.25" r="89" customHeight="1" ht="17.25">
      <c r="A89" s="8">
        <v>45700</v>
      </c>
      <c r="B89" s="9" t="s">
        <v>11</v>
      </c>
      <c r="C89" s="6">
        <v>40</v>
      </c>
      <c r="D89" s="4"/>
      <c r="E89" s="6">
        <f>E88+C89-D89</f>
      </c>
      <c r="F89" s="2"/>
    </row>
    <row x14ac:dyDescent="0.25" r="90" customHeight="1" ht="17.25">
      <c r="A90" s="7">
        <v>45701</v>
      </c>
      <c r="B90" s="9" t="s">
        <v>34</v>
      </c>
      <c r="C90" s="3"/>
      <c r="D90" s="6">
        <v>300</v>
      </c>
      <c r="E90" s="6">
        <f>E89+C90-D90</f>
      </c>
      <c r="F90" s="2"/>
    </row>
    <row x14ac:dyDescent="0.25" r="91" customHeight="1" ht="17.25">
      <c r="A91" s="8">
        <v>45701</v>
      </c>
      <c r="B91" s="9" t="s">
        <v>11</v>
      </c>
      <c r="C91" s="6">
        <v>43</v>
      </c>
      <c r="D91" s="4"/>
      <c r="E91" s="6">
        <f>E90+C91-D91</f>
      </c>
      <c r="F91" s="2"/>
    </row>
    <row x14ac:dyDescent="0.25" r="92" customHeight="1" ht="17.25">
      <c r="A92" s="8">
        <v>45702</v>
      </c>
      <c r="B92" s="9" t="s">
        <v>445</v>
      </c>
      <c r="C92" s="6">
        <v>14</v>
      </c>
      <c r="D92" s="4"/>
      <c r="E92" s="6">
        <f>E91+C92-D92</f>
      </c>
      <c r="F92" s="2"/>
    </row>
    <row x14ac:dyDescent="0.25" r="93" customHeight="1" ht="17.25">
      <c r="A93" s="8">
        <v>45702</v>
      </c>
      <c r="B93" s="9" t="s">
        <v>39</v>
      </c>
      <c r="C93" s="6">
        <v>7</v>
      </c>
      <c r="D93" s="4"/>
      <c r="E93" s="6">
        <f>E92+C93-D93</f>
      </c>
      <c r="F93" s="2"/>
    </row>
    <row x14ac:dyDescent="0.25" r="94" customHeight="1" ht="17.25">
      <c r="A94" s="8">
        <v>45702</v>
      </c>
      <c r="B94" s="9" t="s">
        <v>382</v>
      </c>
      <c r="C94" s="6">
        <v>99</v>
      </c>
      <c r="D94" s="4"/>
      <c r="E94" s="6">
        <f>E93+C94-D94</f>
      </c>
      <c r="F94" s="2"/>
    </row>
    <row x14ac:dyDescent="0.25" r="95" customHeight="1" ht="17.25">
      <c r="A95" s="8">
        <v>45705</v>
      </c>
      <c r="B95" s="9" t="s">
        <v>3</v>
      </c>
      <c r="C95" s="3"/>
      <c r="D95" s="6">
        <v>200</v>
      </c>
      <c r="E95" s="6">
        <f>E94+C95-D95</f>
      </c>
      <c r="F95" s="2"/>
    </row>
    <row x14ac:dyDescent="0.25" r="96" customHeight="1" ht="17.25">
      <c r="A96" s="7">
        <v>45705</v>
      </c>
      <c r="B96" s="9" t="s">
        <v>131</v>
      </c>
      <c r="C96" s="6">
        <v>12</v>
      </c>
      <c r="D96" s="4"/>
      <c r="E96" s="6">
        <f>E95+C96-D96</f>
      </c>
      <c r="F96" s="2"/>
    </row>
    <row x14ac:dyDescent="0.25" r="97" customHeight="1" ht="17.25">
      <c r="A97" s="7">
        <v>45706</v>
      </c>
      <c r="B97" s="9" t="s">
        <v>283</v>
      </c>
      <c r="C97" s="6">
        <v>50</v>
      </c>
      <c r="D97" s="4"/>
      <c r="E97" s="6">
        <f>E96+C97-D97</f>
      </c>
      <c r="F97" s="2"/>
    </row>
    <row x14ac:dyDescent="0.25" r="98" customHeight="1" ht="17.25">
      <c r="A98" s="8">
        <v>45706</v>
      </c>
      <c r="B98" s="9" t="s">
        <v>269</v>
      </c>
      <c r="C98" s="6">
        <v>246</v>
      </c>
      <c r="D98" s="4"/>
      <c r="E98" s="6">
        <f>E97+C98-D98</f>
      </c>
      <c r="F98" s="2"/>
    </row>
    <row x14ac:dyDescent="0.25" r="99" customHeight="1" ht="17.25">
      <c r="A99" s="8">
        <v>45707</v>
      </c>
      <c r="B99" s="9" t="s">
        <v>141</v>
      </c>
      <c r="C99" s="3"/>
      <c r="D99" s="6">
        <v>144</v>
      </c>
      <c r="E99" s="6">
        <f>E98+C99-D99</f>
      </c>
      <c r="F99" s="2"/>
    </row>
    <row x14ac:dyDescent="0.25" r="100" customHeight="1" ht="17.25">
      <c r="A100" s="7">
        <v>45707</v>
      </c>
      <c r="B100" s="9" t="s">
        <v>227</v>
      </c>
      <c r="C100" s="3"/>
      <c r="D100" s="6">
        <v>40</v>
      </c>
      <c r="E100" s="6">
        <f>E99+C100-D100</f>
      </c>
      <c r="F100" s="2"/>
    </row>
    <row x14ac:dyDescent="0.25" r="101" customHeight="1" ht="17.25">
      <c r="A101" s="7">
        <v>45707</v>
      </c>
      <c r="B101" s="9" t="s">
        <v>128</v>
      </c>
      <c r="C101" s="6">
        <v>92</v>
      </c>
      <c r="D101" s="4"/>
      <c r="E101" s="6">
        <f>E100+C101-D101</f>
      </c>
      <c r="F101" s="2"/>
    </row>
    <row x14ac:dyDescent="0.25" r="102" customHeight="1" ht="17.25">
      <c r="A102" s="7">
        <v>45708</v>
      </c>
      <c r="B102" s="9" t="s">
        <v>3</v>
      </c>
      <c r="C102" s="3"/>
      <c r="D102" s="6">
        <v>50</v>
      </c>
      <c r="E102" s="6">
        <f>E101+C102-D102</f>
      </c>
      <c r="F102" s="2"/>
    </row>
    <row x14ac:dyDescent="0.25" r="103" customHeight="1" ht="17.25">
      <c r="A103" s="7">
        <v>45708</v>
      </c>
      <c r="B103" s="9" t="s">
        <v>3</v>
      </c>
      <c r="C103" s="3"/>
      <c r="D103" s="6">
        <v>150</v>
      </c>
      <c r="E103" s="6">
        <f>E102+C103-D103</f>
      </c>
      <c r="F103" s="2"/>
    </row>
    <row x14ac:dyDescent="0.25" r="104" customHeight="1" ht="17.25">
      <c r="A104" s="7">
        <v>45708</v>
      </c>
      <c r="B104" s="9" t="s">
        <v>272</v>
      </c>
      <c r="C104" s="3"/>
      <c r="D104" s="6">
        <v>100</v>
      </c>
      <c r="E104" s="6">
        <f>E103+C104-D104</f>
      </c>
      <c r="F104" s="2"/>
    </row>
    <row x14ac:dyDescent="0.25" r="105" customHeight="1" ht="17.25">
      <c r="A105" s="8">
        <v>45708</v>
      </c>
      <c r="B105" s="9" t="s">
        <v>485</v>
      </c>
      <c r="C105" s="3"/>
      <c r="D105" s="6">
        <v>50</v>
      </c>
      <c r="E105" s="6">
        <f>E104+C105-D105</f>
      </c>
      <c r="F105" s="2"/>
    </row>
    <row x14ac:dyDescent="0.25" r="106" customHeight="1" ht="17.25">
      <c r="A106" s="7">
        <v>45708</v>
      </c>
      <c r="B106" s="9" t="s">
        <v>269</v>
      </c>
      <c r="C106" s="6">
        <v>150</v>
      </c>
      <c r="D106" s="4"/>
      <c r="E106" s="6">
        <f>E105+C106-D106</f>
      </c>
      <c r="F106" s="2"/>
    </row>
    <row x14ac:dyDescent="0.25" r="107" customHeight="1" ht="17.25">
      <c r="A107" s="7">
        <v>45708</v>
      </c>
      <c r="B107" s="9" t="s">
        <v>376</v>
      </c>
      <c r="C107" s="6">
        <v>48</v>
      </c>
      <c r="D107" s="4"/>
      <c r="E107" s="6">
        <f>E106+C107-D107</f>
      </c>
      <c r="F107" s="2"/>
    </row>
    <row x14ac:dyDescent="0.25" r="108" customHeight="1" ht="17.25">
      <c r="A108" s="7">
        <v>45709</v>
      </c>
      <c r="B108" s="9" t="s">
        <v>3</v>
      </c>
      <c r="C108" s="3"/>
      <c r="D108" s="6">
        <v>300</v>
      </c>
      <c r="E108" s="6">
        <f>E107+C108-D108</f>
      </c>
      <c r="F108" s="2"/>
    </row>
    <row x14ac:dyDescent="0.25" r="109" customHeight="1" ht="17.25">
      <c r="A109" s="8">
        <v>45709</v>
      </c>
      <c r="B109" s="9" t="s">
        <v>452</v>
      </c>
      <c r="C109" s="3"/>
      <c r="D109" s="6">
        <v>50</v>
      </c>
      <c r="E109" s="6">
        <f>E108+C109-D109</f>
      </c>
      <c r="F109" s="2"/>
    </row>
    <row x14ac:dyDescent="0.25" r="110" customHeight="1" ht="17.25">
      <c r="A110" s="8">
        <v>45709</v>
      </c>
      <c r="B110" s="9" t="s">
        <v>485</v>
      </c>
      <c r="C110" s="3"/>
      <c r="D110" s="6">
        <v>73</v>
      </c>
      <c r="E110" s="6">
        <f>E109+C110-D110</f>
      </c>
      <c r="F110" s="2"/>
    </row>
    <row x14ac:dyDescent="0.25" r="111" customHeight="1" ht="17.25">
      <c r="A111" s="8">
        <v>45709</v>
      </c>
      <c r="B111" s="9" t="s">
        <v>39</v>
      </c>
      <c r="C111" s="6">
        <v>66</v>
      </c>
      <c r="D111" s="4"/>
      <c r="E111" s="6">
        <f>E110+C111-D111</f>
      </c>
      <c r="F111" s="2"/>
    </row>
    <row x14ac:dyDescent="0.25" r="112" customHeight="1" ht="17.25">
      <c r="A112" s="8">
        <v>45709</v>
      </c>
      <c r="B112" s="9" t="s">
        <v>131</v>
      </c>
      <c r="C112" s="6">
        <v>20</v>
      </c>
      <c r="D112" s="4"/>
      <c r="E112" s="6">
        <f>E111+C112-D112</f>
      </c>
      <c r="F112" s="2"/>
    </row>
    <row x14ac:dyDescent="0.25" r="113" customHeight="1" ht="17.25">
      <c r="A113" s="7">
        <v>45709</v>
      </c>
      <c r="B113" s="9" t="s">
        <v>2</v>
      </c>
      <c r="C113" s="6">
        <v>24</v>
      </c>
      <c r="D113" s="4"/>
      <c r="E113" s="6">
        <f>E112+C113-D113</f>
      </c>
      <c r="F113" s="2"/>
    </row>
    <row x14ac:dyDescent="0.25" r="114" customHeight="1" ht="17.25">
      <c r="A114" s="7">
        <v>45709</v>
      </c>
      <c r="B114" s="9" t="s">
        <v>269</v>
      </c>
      <c r="C114" s="6">
        <v>271</v>
      </c>
      <c r="D114" s="4"/>
      <c r="E114" s="6">
        <f>E113+C114-D114</f>
      </c>
      <c r="F114" s="2"/>
    </row>
    <row x14ac:dyDescent="0.25" r="115" customHeight="1" ht="17.25">
      <c r="A115" s="8">
        <v>45712</v>
      </c>
      <c r="B115" s="9" t="s">
        <v>413</v>
      </c>
      <c r="C115" s="6">
        <v>1</v>
      </c>
      <c r="D115" s="4"/>
      <c r="E115" s="6">
        <f>E114+C115-D115</f>
      </c>
      <c r="F115" s="2"/>
    </row>
    <row x14ac:dyDescent="0.25" r="116" customHeight="1" ht="17.25">
      <c r="A116" s="8">
        <v>45712</v>
      </c>
      <c r="B116" s="9" t="s">
        <v>257</v>
      </c>
      <c r="C116" s="6">
        <v>33</v>
      </c>
      <c r="D116" s="4"/>
      <c r="E116" s="6">
        <f>E115+C116-D116</f>
      </c>
      <c r="F116" s="2"/>
    </row>
    <row x14ac:dyDescent="0.25" r="117" customHeight="1" ht="17.25">
      <c r="A117" s="8">
        <v>45712</v>
      </c>
      <c r="B117" s="9" t="s">
        <v>270</v>
      </c>
      <c r="C117" s="6">
        <v>32</v>
      </c>
      <c r="D117" s="4"/>
      <c r="E117" s="6">
        <f>E116+C117-D117</f>
      </c>
      <c r="F117" s="2"/>
    </row>
    <row x14ac:dyDescent="0.25" r="118" customHeight="1" ht="17.25">
      <c r="A118" s="8">
        <v>45713</v>
      </c>
      <c r="B118" s="9" t="s">
        <v>44</v>
      </c>
      <c r="C118" s="3"/>
      <c r="D118" s="6">
        <v>30</v>
      </c>
      <c r="E118" s="6">
        <f>E117+C118-D118</f>
      </c>
      <c r="F118" s="2"/>
    </row>
    <row x14ac:dyDescent="0.25" r="119" customHeight="1" ht="17.25">
      <c r="A119" s="8">
        <v>45713</v>
      </c>
      <c r="B119" s="9" t="s">
        <v>131</v>
      </c>
      <c r="C119" s="6">
        <v>9</v>
      </c>
      <c r="D119" s="4"/>
      <c r="E119" s="6">
        <f>E118+C119-D119</f>
      </c>
      <c r="F119" s="2"/>
    </row>
    <row x14ac:dyDescent="0.25" r="120" customHeight="1" ht="17.25">
      <c r="A120" s="7">
        <v>45713</v>
      </c>
      <c r="B120" s="9" t="s">
        <v>257</v>
      </c>
      <c r="C120" s="6">
        <v>19</v>
      </c>
      <c r="D120" s="4"/>
      <c r="E120" s="6">
        <f>E119+C120-D120</f>
      </c>
      <c r="F120" s="2"/>
    </row>
    <row x14ac:dyDescent="0.25" r="121" customHeight="1" ht="17.25">
      <c r="A121" s="7">
        <v>45713</v>
      </c>
      <c r="B121" s="9" t="s">
        <v>172</v>
      </c>
      <c r="C121" s="6">
        <v>81</v>
      </c>
      <c r="D121" s="4"/>
      <c r="E121" s="6">
        <f>E120+C121-D121</f>
      </c>
      <c r="F121" s="2"/>
    </row>
    <row x14ac:dyDescent="0.25" r="122" customHeight="1" ht="17.25">
      <c r="A122" s="7">
        <v>45713</v>
      </c>
      <c r="B122" s="9" t="s">
        <v>382</v>
      </c>
      <c r="C122" s="6">
        <v>37</v>
      </c>
      <c r="D122" s="4"/>
      <c r="E122" s="6">
        <f>E121+C122-D122</f>
      </c>
      <c r="F122" s="2"/>
    </row>
    <row x14ac:dyDescent="0.25" r="123" customHeight="1" ht="17.25">
      <c r="A123" s="7">
        <v>45714</v>
      </c>
      <c r="B123" s="9" t="s">
        <v>3</v>
      </c>
      <c r="C123" s="3"/>
      <c r="D123" s="6">
        <v>200</v>
      </c>
      <c r="E123" s="6">
        <f>E122+C123-D123</f>
      </c>
      <c r="F123" s="2"/>
    </row>
    <row x14ac:dyDescent="0.25" r="124" customHeight="1" ht="17.25">
      <c r="A124" s="8">
        <v>45714</v>
      </c>
      <c r="B124" s="9" t="s">
        <v>39</v>
      </c>
      <c r="C124" s="6">
        <v>47</v>
      </c>
      <c r="D124" s="4"/>
      <c r="E124" s="6">
        <f>E123+C124-D124</f>
      </c>
      <c r="F124" s="2"/>
    </row>
    <row x14ac:dyDescent="0.25" r="125" customHeight="1" ht="17.25">
      <c r="A125" s="7">
        <v>45715</v>
      </c>
      <c r="B125" s="9" t="s">
        <v>3</v>
      </c>
      <c r="C125" s="3"/>
      <c r="D125" s="6">
        <v>475</v>
      </c>
      <c r="E125" s="6">
        <f>E124+C125-D125</f>
      </c>
      <c r="F125" s="2"/>
    </row>
    <row x14ac:dyDescent="0.25" r="126" customHeight="1" ht="17.25">
      <c r="A126" s="7">
        <v>45715</v>
      </c>
      <c r="B126" s="9" t="s">
        <v>240</v>
      </c>
      <c r="C126" s="6">
        <v>2</v>
      </c>
      <c r="D126" s="4"/>
      <c r="E126" s="6">
        <f>E125+C126-D126</f>
      </c>
      <c r="F126" s="2"/>
    </row>
    <row x14ac:dyDescent="0.25" r="127" customHeight="1" ht="17.25">
      <c r="A127" s="7">
        <v>45715</v>
      </c>
      <c r="B127" s="9" t="s">
        <v>384</v>
      </c>
      <c r="C127" s="6">
        <v>57</v>
      </c>
      <c r="D127" s="4"/>
      <c r="E127" s="6">
        <f>E126+C127-D127</f>
      </c>
      <c r="F127" s="2"/>
    </row>
    <row x14ac:dyDescent="0.25" r="128" customHeight="1" ht="17.25">
      <c r="A128" s="7">
        <v>45716</v>
      </c>
      <c r="B128" s="9" t="s">
        <v>179</v>
      </c>
      <c r="C128" s="3"/>
      <c r="D128" s="6">
        <v>49</v>
      </c>
      <c r="E128" s="6">
        <f>E127+C128-D128</f>
      </c>
      <c r="F128" s="2"/>
    </row>
    <row x14ac:dyDescent="0.25" r="129" customHeight="1" ht="17.25">
      <c r="A129" s="7">
        <v>45716</v>
      </c>
      <c r="B129" s="9" t="s">
        <v>179</v>
      </c>
      <c r="C129" s="3"/>
      <c r="D129" s="6">
        <v>111</v>
      </c>
      <c r="E129" s="6">
        <f>E128+C129-D129</f>
      </c>
      <c r="F129" s="2"/>
    </row>
    <row x14ac:dyDescent="0.25" r="130" customHeight="1" ht="17.25">
      <c r="A130" s="7">
        <v>45716</v>
      </c>
      <c r="B130" s="9" t="s">
        <v>227</v>
      </c>
      <c r="C130" s="3"/>
      <c r="D130" s="6">
        <v>24</v>
      </c>
      <c r="E130" s="6">
        <f>E129+C130-D130</f>
      </c>
      <c r="F130" s="2"/>
    </row>
    <row x14ac:dyDescent="0.25" r="131" customHeight="1" ht="17.25">
      <c r="A131" s="8">
        <v>45716</v>
      </c>
      <c r="B131" s="9" t="s">
        <v>487</v>
      </c>
      <c r="C131" s="3"/>
      <c r="D131" s="6">
        <v>100</v>
      </c>
      <c r="E131" s="6">
        <f>E130+C131-D131</f>
      </c>
      <c r="F131" s="2"/>
    </row>
    <row x14ac:dyDescent="0.25" r="132" customHeight="1" ht="17.25">
      <c r="A132" s="7">
        <v>45717</v>
      </c>
      <c r="B132" s="9" t="s">
        <v>488</v>
      </c>
      <c r="C132" s="3"/>
      <c r="D132" s="6">
        <v>150</v>
      </c>
      <c r="E132" s="6">
        <f>E131+C132-D132</f>
      </c>
      <c r="F132" s="2"/>
    </row>
    <row x14ac:dyDescent="0.25" r="133" customHeight="1" ht="17.25">
      <c r="A133" s="8">
        <v>45717</v>
      </c>
      <c r="B133" s="9" t="s">
        <v>3</v>
      </c>
      <c r="C133" s="3"/>
      <c r="D133" s="6">
        <v>50</v>
      </c>
      <c r="E133" s="6">
        <f>E132+C133-D133</f>
      </c>
      <c r="F133" s="2"/>
    </row>
    <row x14ac:dyDescent="0.25" r="134" customHeight="1" ht="17.25">
      <c r="A134" s="7">
        <v>45717</v>
      </c>
      <c r="B134" s="9" t="s">
        <v>269</v>
      </c>
      <c r="C134" s="6">
        <v>2</v>
      </c>
      <c r="D134" s="4"/>
      <c r="E134" s="6">
        <f>E133+C134-D134</f>
      </c>
      <c r="F134" s="2"/>
    </row>
    <row x14ac:dyDescent="0.25" r="135" customHeight="1" ht="17.25">
      <c r="A135" s="7">
        <v>45719</v>
      </c>
      <c r="B135" s="9" t="s">
        <v>3</v>
      </c>
      <c r="C135" s="3"/>
      <c r="D135" s="6">
        <v>150</v>
      </c>
      <c r="E135" s="6">
        <f>E134+C135-D135</f>
      </c>
      <c r="F135" s="2"/>
    </row>
    <row x14ac:dyDescent="0.25" r="136" customHeight="1" ht="17.25">
      <c r="A136" s="7">
        <v>45719</v>
      </c>
      <c r="B136" s="9" t="s">
        <v>3</v>
      </c>
      <c r="C136" s="3"/>
      <c r="D136" s="6">
        <v>200</v>
      </c>
      <c r="E136" s="6">
        <f>E135+C136-D136</f>
      </c>
      <c r="F136" s="2"/>
    </row>
    <row x14ac:dyDescent="0.25" r="137" customHeight="1" ht="17.25">
      <c r="A137" s="8">
        <v>45719</v>
      </c>
      <c r="B137" s="9" t="s">
        <v>141</v>
      </c>
      <c r="C137" s="3"/>
      <c r="D137" s="6">
        <v>150</v>
      </c>
      <c r="E137" s="6">
        <f>E136+C137-D137</f>
      </c>
      <c r="F137" s="2"/>
    </row>
    <row x14ac:dyDescent="0.25" r="138" customHeight="1" ht="17.25">
      <c r="A138" s="7">
        <v>45719</v>
      </c>
      <c r="B138" s="9" t="s">
        <v>315</v>
      </c>
      <c r="C138" s="6">
        <v>16</v>
      </c>
      <c r="D138" s="4"/>
      <c r="E138" s="6">
        <f>E137+C138-D138</f>
      </c>
      <c r="F138" s="2"/>
    </row>
    <row x14ac:dyDescent="0.25" r="139" customHeight="1" ht="17.25">
      <c r="A139" s="7">
        <v>45719</v>
      </c>
      <c r="B139" s="9" t="s">
        <v>39</v>
      </c>
      <c r="C139" s="6">
        <v>180</v>
      </c>
      <c r="D139" s="4"/>
      <c r="E139" s="6">
        <f>E138+C139-D139</f>
      </c>
      <c r="F139" s="2"/>
    </row>
    <row x14ac:dyDescent="0.25" r="140" customHeight="1" ht="17.25">
      <c r="A140" s="8">
        <v>45719</v>
      </c>
      <c r="B140" s="9" t="s">
        <v>118</v>
      </c>
      <c r="C140" s="6">
        <v>65</v>
      </c>
      <c r="D140" s="4"/>
      <c r="E140" s="6">
        <f>E139+C140-D140</f>
      </c>
      <c r="F140" s="2"/>
    </row>
    <row x14ac:dyDescent="0.25" r="141" customHeight="1" ht="17.25">
      <c r="A141" s="8">
        <v>45720</v>
      </c>
      <c r="B141" s="9" t="s">
        <v>387</v>
      </c>
      <c r="C141" s="3"/>
      <c r="D141" s="6">
        <v>234</v>
      </c>
      <c r="E141" s="6">
        <f>E140+C141-D141</f>
      </c>
      <c r="F141" s="2"/>
    </row>
    <row x14ac:dyDescent="0.25" r="142" customHeight="1" ht="17.25">
      <c r="A142" s="7">
        <v>45720</v>
      </c>
      <c r="B142" s="9" t="s">
        <v>3</v>
      </c>
      <c r="C142" s="3"/>
      <c r="D142" s="6">
        <v>325</v>
      </c>
      <c r="E142" s="6">
        <f>E141+C142-D142</f>
      </c>
      <c r="F142" s="2"/>
    </row>
    <row x14ac:dyDescent="0.25" r="143" customHeight="1" ht="17.25">
      <c r="A143" s="7">
        <v>45720</v>
      </c>
      <c r="B143" s="9" t="s">
        <v>297</v>
      </c>
      <c r="C143" s="3"/>
      <c r="D143" s="6">
        <v>16</v>
      </c>
      <c r="E143" s="6">
        <f>E142+C143-D143</f>
      </c>
      <c r="F143" s="2"/>
    </row>
    <row x14ac:dyDescent="0.25" r="144" customHeight="1" ht="17.25">
      <c r="A144" s="7">
        <v>45721</v>
      </c>
      <c r="B144" s="9" t="s">
        <v>375</v>
      </c>
      <c r="C144" s="3"/>
      <c r="D144" s="6">
        <v>112</v>
      </c>
      <c r="E144" s="6">
        <f>E143+C144-D144</f>
      </c>
      <c r="F144" s="2"/>
    </row>
    <row x14ac:dyDescent="0.25" r="145" customHeight="1" ht="17.25">
      <c r="A145" s="8">
        <v>45721</v>
      </c>
      <c r="B145" s="9" t="s">
        <v>39</v>
      </c>
      <c r="C145" s="6">
        <v>66</v>
      </c>
      <c r="D145" s="4"/>
      <c r="E145" s="6">
        <f>E144+C145-D145</f>
      </c>
      <c r="F145" s="2"/>
    </row>
    <row x14ac:dyDescent="0.25" r="146" customHeight="1" ht="17.25">
      <c r="A146" s="8">
        <v>45722</v>
      </c>
      <c r="B146" s="9" t="s">
        <v>489</v>
      </c>
      <c r="C146" s="6">
        <v>70</v>
      </c>
      <c r="D146" s="4"/>
      <c r="E146" s="6">
        <f>E145+C146-D146</f>
      </c>
      <c r="F146" s="2"/>
    </row>
    <row x14ac:dyDescent="0.25" r="147" customHeight="1" ht="17.25">
      <c r="A147" s="8">
        <v>45722</v>
      </c>
      <c r="B147" s="9" t="s">
        <v>275</v>
      </c>
      <c r="C147" s="6">
        <v>2</v>
      </c>
      <c r="D147" s="4"/>
      <c r="E147" s="6">
        <f>E146+C147-D147</f>
      </c>
      <c r="F147" s="2"/>
    </row>
    <row x14ac:dyDescent="0.25" r="148" customHeight="1" ht="17.25">
      <c r="A148" s="7">
        <v>45722</v>
      </c>
      <c r="B148" s="9" t="s">
        <v>172</v>
      </c>
      <c r="C148" s="6">
        <v>7</v>
      </c>
      <c r="D148" s="4"/>
      <c r="E148" s="6">
        <f>E147+C148-D148</f>
      </c>
      <c r="F148" s="2"/>
    </row>
    <row x14ac:dyDescent="0.25" r="149" customHeight="1" ht="17.25">
      <c r="A149" s="7">
        <v>45723</v>
      </c>
      <c r="B149" s="9" t="s">
        <v>412</v>
      </c>
      <c r="C149" s="3"/>
      <c r="D149" s="6">
        <v>66</v>
      </c>
      <c r="E149" s="6">
        <f>E148+C149-D149</f>
      </c>
      <c r="F149" s="2"/>
    </row>
    <row x14ac:dyDescent="0.25" r="150" customHeight="1" ht="17.25">
      <c r="A150" s="8">
        <v>45723</v>
      </c>
      <c r="B150" s="9" t="s">
        <v>257</v>
      </c>
      <c r="C150" s="6">
        <v>14</v>
      </c>
      <c r="D150" s="4"/>
      <c r="E150" s="6">
        <f>E149+C150-D150</f>
      </c>
      <c r="F150" s="2"/>
    </row>
    <row x14ac:dyDescent="0.25" r="151" customHeight="1" ht="17.25">
      <c r="A151" s="7">
        <v>45723</v>
      </c>
      <c r="B151" s="9" t="s">
        <v>273</v>
      </c>
      <c r="C151" s="6">
        <v>18</v>
      </c>
      <c r="D151" s="4"/>
      <c r="E151" s="6">
        <f>E150+C151-D151</f>
      </c>
      <c r="F151" s="2"/>
    </row>
    <row x14ac:dyDescent="0.25" r="152" customHeight="1" ht="17.25">
      <c r="A152" s="8">
        <v>45723</v>
      </c>
      <c r="B152" s="9" t="s">
        <v>489</v>
      </c>
      <c r="C152" s="6">
        <v>9</v>
      </c>
      <c r="D152" s="4"/>
      <c r="E152" s="6">
        <f>E151+C152-D152</f>
      </c>
      <c r="F152" s="2"/>
    </row>
    <row x14ac:dyDescent="0.25" r="153" customHeight="1" ht="17.25">
      <c r="A153" s="8">
        <v>45724</v>
      </c>
      <c r="B153" s="9" t="s">
        <v>141</v>
      </c>
      <c r="C153" s="3"/>
      <c r="D153" s="6">
        <v>150</v>
      </c>
      <c r="E153" s="6">
        <f>E152+C153-D153</f>
      </c>
      <c r="F153" s="2"/>
    </row>
    <row x14ac:dyDescent="0.25" r="154" customHeight="1" ht="17.25">
      <c r="A154" s="8">
        <v>45724</v>
      </c>
      <c r="B154" s="9" t="s">
        <v>2</v>
      </c>
      <c r="C154" s="6">
        <v>2</v>
      </c>
      <c r="D154" s="4"/>
      <c r="E154" s="6">
        <f>E153+C154-D154</f>
      </c>
      <c r="F154" s="2"/>
    </row>
    <row x14ac:dyDescent="0.25" r="155" customHeight="1" ht="17.25">
      <c r="A155" s="8">
        <v>45726</v>
      </c>
      <c r="B155" s="9" t="s">
        <v>141</v>
      </c>
      <c r="C155" s="3"/>
      <c r="D155" s="6">
        <v>310</v>
      </c>
      <c r="E155" s="6">
        <f>E154+C155-D155</f>
      </c>
      <c r="F155" s="2"/>
    </row>
    <row x14ac:dyDescent="0.25" r="156" customHeight="1" ht="17.25">
      <c r="A156" s="8">
        <v>45727</v>
      </c>
      <c r="B156" s="9" t="s">
        <v>412</v>
      </c>
      <c r="C156" s="3"/>
      <c r="D156" s="6">
        <v>66</v>
      </c>
      <c r="E156" s="6">
        <f>E155+C156-D156</f>
      </c>
      <c r="F156" s="2"/>
    </row>
    <row x14ac:dyDescent="0.25" r="157" customHeight="1" ht="17.25">
      <c r="A157" s="7">
        <v>45727</v>
      </c>
      <c r="B157" s="9" t="s">
        <v>39</v>
      </c>
      <c r="C157" s="6">
        <v>16</v>
      </c>
      <c r="D157" s="4"/>
      <c r="E157" s="6">
        <f>E156+C157-D157</f>
      </c>
      <c r="F157" s="2"/>
    </row>
    <row x14ac:dyDescent="0.25" r="158" customHeight="1" ht="17.25">
      <c r="A158" s="7">
        <v>45728</v>
      </c>
      <c r="B158" s="9" t="s">
        <v>486</v>
      </c>
      <c r="C158" s="6">
        <v>85</v>
      </c>
      <c r="D158" s="4"/>
      <c r="E158" s="6">
        <f>E157+C158-D158</f>
      </c>
      <c r="F158" s="2"/>
    </row>
    <row x14ac:dyDescent="0.25" r="159" customHeight="1" ht="17.25">
      <c r="A159" s="8">
        <v>45728</v>
      </c>
      <c r="B159" s="9" t="s">
        <v>3</v>
      </c>
      <c r="C159" s="3"/>
      <c r="D159" s="6">
        <v>85</v>
      </c>
      <c r="E159" s="6">
        <f>E158+C159-D159</f>
      </c>
      <c r="F159" s="2"/>
    </row>
    <row x14ac:dyDescent="0.25" r="160" customHeight="1" ht="17.25">
      <c r="A160" s="7">
        <v>45728</v>
      </c>
      <c r="B160" s="9" t="s">
        <v>361</v>
      </c>
      <c r="C160" s="3"/>
      <c r="D160" s="6">
        <v>150</v>
      </c>
      <c r="E160" s="6">
        <f>E159+C160-D160</f>
      </c>
      <c r="F160" s="2"/>
    </row>
    <row x14ac:dyDescent="0.25" r="161" customHeight="1" ht="17.25">
      <c r="A161" s="8">
        <v>45728</v>
      </c>
      <c r="B161" s="9" t="s">
        <v>283</v>
      </c>
      <c r="C161" s="6">
        <v>50</v>
      </c>
      <c r="D161" s="4"/>
      <c r="E161" s="6">
        <f>E160+C161-D161</f>
      </c>
      <c r="F161" s="2"/>
    </row>
    <row x14ac:dyDescent="0.25" r="162" customHeight="1" ht="17.25">
      <c r="A162" s="8">
        <v>45729</v>
      </c>
      <c r="B162" s="9" t="s">
        <v>3</v>
      </c>
      <c r="C162" s="3"/>
      <c r="D162" s="6">
        <v>200</v>
      </c>
      <c r="E162" s="6">
        <f>E161+C162-D162</f>
      </c>
      <c r="F162" s="2"/>
    </row>
    <row x14ac:dyDescent="0.25" r="163" customHeight="1" ht="17.25">
      <c r="A163" s="8">
        <v>45729</v>
      </c>
      <c r="B163" s="9" t="s">
        <v>3</v>
      </c>
      <c r="C163" s="3"/>
      <c r="D163" s="6">
        <v>200</v>
      </c>
      <c r="E163" s="6">
        <f>E162+C163-D163</f>
      </c>
      <c r="F163" s="2"/>
    </row>
    <row x14ac:dyDescent="0.25" r="164" customHeight="1" ht="17.25">
      <c r="A164" s="8">
        <v>45729</v>
      </c>
      <c r="B164" s="9" t="s">
        <v>365</v>
      </c>
      <c r="C164" s="6">
        <v>9</v>
      </c>
      <c r="D164" s="4"/>
      <c r="E164" s="6">
        <f>E163+C164-D164</f>
      </c>
      <c r="F164" s="2"/>
    </row>
    <row x14ac:dyDescent="0.25" r="165" customHeight="1" ht="17.25">
      <c r="A165" s="7">
        <v>45729</v>
      </c>
      <c r="B165" s="9" t="s">
        <v>140</v>
      </c>
      <c r="C165" s="6">
        <v>4</v>
      </c>
      <c r="D165" s="4"/>
      <c r="E165" s="6">
        <f>E164+C165-D165</f>
      </c>
      <c r="F165" s="2"/>
    </row>
    <row x14ac:dyDescent="0.25" r="166" customHeight="1" ht="17.25">
      <c r="A166" s="7">
        <v>45730</v>
      </c>
      <c r="B166" s="9" t="s">
        <v>11</v>
      </c>
      <c r="C166" s="6">
        <v>40</v>
      </c>
      <c r="D166" s="4"/>
      <c r="E166" s="6">
        <f>E165+C166-D166</f>
      </c>
      <c r="F166" s="2"/>
    </row>
    <row x14ac:dyDescent="0.25" r="167" customHeight="1" ht="17.25">
      <c r="A167" s="7">
        <v>45731</v>
      </c>
      <c r="B167" s="9" t="s">
        <v>141</v>
      </c>
      <c r="C167" s="3"/>
      <c r="D167" s="6">
        <v>30</v>
      </c>
      <c r="E167" s="6">
        <f>E166+C167-D167</f>
      </c>
      <c r="F167" s="2"/>
    </row>
    <row x14ac:dyDescent="0.25" r="168" customHeight="1" ht="17.25">
      <c r="A168" s="8">
        <v>45733</v>
      </c>
      <c r="B168" s="9" t="s">
        <v>234</v>
      </c>
      <c r="C168" s="3"/>
      <c r="D168" s="6">
        <v>70</v>
      </c>
      <c r="E168" s="6">
        <f>E167+C168-D168</f>
      </c>
      <c r="F168" s="2"/>
    </row>
    <row x14ac:dyDescent="0.25" r="169" customHeight="1" ht="17.25">
      <c r="A169" s="8">
        <v>45733</v>
      </c>
      <c r="B169" s="9" t="s">
        <v>382</v>
      </c>
      <c r="C169" s="6">
        <v>31</v>
      </c>
      <c r="D169" s="4"/>
      <c r="E169" s="6">
        <f>E168+C169-D169</f>
      </c>
      <c r="F169" s="2"/>
    </row>
    <row x14ac:dyDescent="0.25" r="170" customHeight="1" ht="17.25">
      <c r="A170" s="8">
        <v>45733</v>
      </c>
      <c r="B170" s="9" t="s">
        <v>384</v>
      </c>
      <c r="C170" s="6">
        <v>63</v>
      </c>
      <c r="D170" s="4"/>
      <c r="E170" s="6">
        <f>E169+C170-D170</f>
      </c>
      <c r="F170" s="2"/>
    </row>
    <row x14ac:dyDescent="0.25" r="171" customHeight="1" ht="17.25">
      <c r="A171" s="8">
        <v>45733</v>
      </c>
      <c r="B171" s="9" t="s">
        <v>11</v>
      </c>
      <c r="C171" s="6">
        <v>13</v>
      </c>
      <c r="D171" s="4"/>
      <c r="E171" s="6">
        <f>E170+C171-D171</f>
      </c>
      <c r="F171" s="2"/>
    </row>
    <row x14ac:dyDescent="0.25" r="172" customHeight="1" ht="17.25">
      <c r="A172" s="8">
        <v>45733</v>
      </c>
      <c r="B172" s="9" t="s">
        <v>11</v>
      </c>
      <c r="C172" s="6">
        <v>40</v>
      </c>
      <c r="D172" s="4"/>
      <c r="E172" s="6">
        <f>E171+C172-D172</f>
      </c>
      <c r="F172" s="2"/>
    </row>
    <row x14ac:dyDescent="0.25" r="173" customHeight="1" ht="17.25">
      <c r="A173" s="8">
        <v>45734</v>
      </c>
      <c r="B173" s="9" t="s">
        <v>365</v>
      </c>
      <c r="C173" s="6">
        <v>9</v>
      </c>
      <c r="D173" s="4"/>
      <c r="E173" s="6">
        <f>E172+C173-D173</f>
      </c>
      <c r="F173" s="2"/>
    </row>
    <row x14ac:dyDescent="0.25" r="174" customHeight="1" ht="17.25">
      <c r="A174" s="8">
        <v>45734</v>
      </c>
      <c r="B174" s="9" t="s">
        <v>382</v>
      </c>
      <c r="C174" s="6">
        <v>4</v>
      </c>
      <c r="D174" s="4"/>
      <c r="E174" s="6">
        <f>E173+C174-D174</f>
      </c>
      <c r="F174" s="2"/>
    </row>
    <row x14ac:dyDescent="0.25" r="175" customHeight="1" ht="17.25">
      <c r="A175" s="8">
        <v>45734</v>
      </c>
      <c r="B175" s="9" t="s">
        <v>2</v>
      </c>
      <c r="C175" s="6">
        <v>37</v>
      </c>
      <c r="D175" s="4"/>
      <c r="E175" s="6">
        <f>E174+C175-D175</f>
      </c>
      <c r="F175" s="2"/>
    </row>
    <row x14ac:dyDescent="0.25" r="176" customHeight="1" ht="17.25">
      <c r="A176" s="7">
        <v>45735</v>
      </c>
      <c r="B176" s="9" t="s">
        <v>520</v>
      </c>
      <c r="C176" s="3"/>
      <c r="D176" s="6">
        <v>2</v>
      </c>
      <c r="E176" s="6">
        <f>E175+C176-D176</f>
      </c>
      <c r="F176" s="2"/>
    </row>
    <row x14ac:dyDescent="0.25" r="177" customHeight="1" ht="17.25">
      <c r="A177" s="8">
        <v>45735</v>
      </c>
      <c r="B177" s="9" t="s">
        <v>172</v>
      </c>
      <c r="C177" s="6">
        <v>30</v>
      </c>
      <c r="D177" s="4"/>
      <c r="E177" s="6">
        <f>E176+C177-D177</f>
      </c>
      <c r="F177" s="2"/>
    </row>
    <row x14ac:dyDescent="0.25" r="178" customHeight="1" ht="17.25">
      <c r="A178" s="8">
        <v>45735</v>
      </c>
      <c r="B178" s="9" t="s">
        <v>257</v>
      </c>
      <c r="C178" s="6">
        <v>6</v>
      </c>
      <c r="D178" s="4"/>
      <c r="E178" s="6">
        <f>E177+C178-D178</f>
      </c>
      <c r="F178" s="2"/>
    </row>
    <row x14ac:dyDescent="0.25" r="179" customHeight="1" ht="17.25">
      <c r="A179" s="8">
        <v>45735</v>
      </c>
      <c r="B179" s="9" t="s">
        <v>257</v>
      </c>
      <c r="C179" s="6">
        <v>20</v>
      </c>
      <c r="D179" s="4"/>
      <c r="E179" s="6">
        <f>E178+C179-D179</f>
      </c>
      <c r="F179" s="2"/>
    </row>
    <row x14ac:dyDescent="0.25" r="180" customHeight="1" ht="17.25">
      <c r="A180" s="8">
        <v>45735</v>
      </c>
      <c r="B180" s="9" t="s">
        <v>283</v>
      </c>
      <c r="C180" s="6">
        <v>60</v>
      </c>
      <c r="D180" s="4"/>
      <c r="E180" s="6">
        <f>E179+C180-D180</f>
      </c>
      <c r="F180" s="2"/>
    </row>
    <row x14ac:dyDescent="0.25" r="181" customHeight="1" ht="17.25">
      <c r="A181" s="7">
        <v>45736</v>
      </c>
      <c r="B181" s="9" t="s">
        <v>486</v>
      </c>
      <c r="C181" s="6">
        <v>75</v>
      </c>
      <c r="D181" s="4"/>
      <c r="E181" s="6">
        <f>E180+C181-D181</f>
      </c>
      <c r="F181" s="2"/>
    </row>
    <row x14ac:dyDescent="0.25" r="182" customHeight="1" ht="17.25">
      <c r="A182" s="8">
        <v>45736</v>
      </c>
      <c r="B182" s="9" t="s">
        <v>382</v>
      </c>
      <c r="C182" s="6">
        <v>102</v>
      </c>
      <c r="D182" s="4"/>
      <c r="E182" s="6">
        <f>E181+C182-D182</f>
      </c>
      <c r="F182" s="2"/>
    </row>
    <row x14ac:dyDescent="0.25" r="183" customHeight="1" ht="17.25">
      <c r="A183" s="8">
        <v>45737</v>
      </c>
      <c r="B183" s="9" t="s">
        <v>2</v>
      </c>
      <c r="C183" s="6">
        <v>18</v>
      </c>
      <c r="D183" s="4"/>
      <c r="E183" s="6">
        <f>E182+C183-D183</f>
      </c>
      <c r="F183" s="2"/>
    </row>
    <row x14ac:dyDescent="0.25" r="184" customHeight="1" ht="17.25">
      <c r="A184" s="8">
        <v>45737</v>
      </c>
      <c r="B184" s="9" t="s">
        <v>484</v>
      </c>
      <c r="C184" s="6">
        <v>24</v>
      </c>
      <c r="D184" s="4"/>
      <c r="E184" s="6">
        <f>E183+C184-D184</f>
      </c>
      <c r="F184" s="2"/>
    </row>
    <row x14ac:dyDescent="0.25" r="185" customHeight="1" ht="17.25">
      <c r="A185" s="8">
        <v>45737</v>
      </c>
      <c r="B185" s="9" t="s">
        <v>141</v>
      </c>
      <c r="C185" s="6">
        <v>50</v>
      </c>
      <c r="D185" s="4"/>
      <c r="E185" s="6">
        <f>E184+C185-D185</f>
      </c>
      <c r="F185" s="2"/>
    </row>
    <row x14ac:dyDescent="0.25" r="186" customHeight="1" ht="17.25">
      <c r="A186" s="7">
        <v>45737</v>
      </c>
      <c r="B186" s="9" t="s">
        <v>275</v>
      </c>
      <c r="C186" s="6">
        <v>6</v>
      </c>
      <c r="D186" s="4"/>
      <c r="E186" s="6">
        <f>E185+C186-D186</f>
      </c>
      <c r="F186" s="2"/>
    </row>
    <row x14ac:dyDescent="0.25" r="187" customHeight="1" ht="17.25">
      <c r="A187" s="8">
        <v>45737</v>
      </c>
      <c r="B187" s="9" t="s">
        <v>272</v>
      </c>
      <c r="C187" s="6">
        <v>10</v>
      </c>
      <c r="D187" s="4"/>
      <c r="E187" s="6">
        <f>E186+C187-D187</f>
      </c>
      <c r="F187" s="2"/>
    </row>
    <row x14ac:dyDescent="0.25" r="188" customHeight="1" ht="17.25">
      <c r="A188" s="8">
        <v>45737</v>
      </c>
      <c r="B188" s="9" t="s">
        <v>257</v>
      </c>
      <c r="C188" s="6">
        <v>7</v>
      </c>
      <c r="D188" s="4"/>
      <c r="E188" s="6">
        <f>E187+C188-D188</f>
      </c>
      <c r="F188" s="2"/>
    </row>
    <row x14ac:dyDescent="0.25" r="189" customHeight="1" ht="17.25">
      <c r="A189" s="8">
        <v>45738</v>
      </c>
      <c r="B189" s="9" t="s">
        <v>520</v>
      </c>
      <c r="C189" s="6">
        <v>2</v>
      </c>
      <c r="D189" s="4"/>
      <c r="E189" s="6">
        <f>E188+C189-D189</f>
      </c>
      <c r="F189" s="2"/>
    </row>
    <row x14ac:dyDescent="0.25" r="190" customHeight="1" ht="17.25">
      <c r="A190" s="8">
        <v>45738</v>
      </c>
      <c r="B190" s="9" t="s">
        <v>384</v>
      </c>
      <c r="C190" s="6">
        <v>89</v>
      </c>
      <c r="D190" s="4"/>
      <c r="E190" s="6">
        <f>E189+C190-D190</f>
      </c>
      <c r="F190" s="2"/>
    </row>
    <row x14ac:dyDescent="0.25" r="191" customHeight="1" ht="17.25">
      <c r="A191" s="8">
        <v>45738</v>
      </c>
      <c r="B191" s="9" t="s">
        <v>39</v>
      </c>
      <c r="C191" s="6">
        <v>8</v>
      </c>
      <c r="D191" s="4"/>
      <c r="E191" s="6">
        <f>E190+C191-D191</f>
      </c>
      <c r="F191" s="2"/>
    </row>
    <row x14ac:dyDescent="0.25" r="192" customHeight="1" ht="17.25">
      <c r="A192" s="8">
        <v>45740</v>
      </c>
      <c r="B192" s="9" t="s">
        <v>172</v>
      </c>
      <c r="C192" s="6">
        <v>8</v>
      </c>
      <c r="D192" s="4"/>
      <c r="E192" s="6">
        <f>E191+C192-D192</f>
      </c>
      <c r="F192" s="2"/>
    </row>
    <row x14ac:dyDescent="0.25" r="193" customHeight="1" ht="17.25">
      <c r="A193" s="7">
        <v>45740</v>
      </c>
      <c r="B193" s="9" t="s">
        <v>382</v>
      </c>
      <c r="C193" s="6">
        <v>120</v>
      </c>
      <c r="D193" s="4"/>
      <c r="E193" s="6">
        <f>E192+C193-D193</f>
      </c>
      <c r="F193" s="2"/>
    </row>
    <row x14ac:dyDescent="0.25" r="194" customHeight="1" ht="17.25">
      <c r="A194" s="8">
        <v>45740</v>
      </c>
      <c r="B194" s="9" t="s">
        <v>444</v>
      </c>
      <c r="C194" s="6">
        <v>158</v>
      </c>
      <c r="D194" s="4"/>
      <c r="E194" s="6">
        <f>E193+C194-D194</f>
      </c>
      <c r="F194" s="2"/>
    </row>
    <row x14ac:dyDescent="0.25" r="195" customHeight="1" ht="17.25">
      <c r="A195" s="8">
        <v>45740</v>
      </c>
      <c r="B195" s="9" t="s">
        <v>376</v>
      </c>
      <c r="C195" s="6">
        <v>15</v>
      </c>
      <c r="D195" s="4"/>
      <c r="E195" s="6">
        <f>E194+C195-D195</f>
      </c>
      <c r="F195" s="2"/>
    </row>
    <row x14ac:dyDescent="0.25" r="196" customHeight="1" ht="17.25">
      <c r="A196" s="8">
        <v>45740</v>
      </c>
      <c r="B196" s="9" t="s">
        <v>39</v>
      </c>
      <c r="C196" s="6">
        <v>2</v>
      </c>
      <c r="D196" s="4"/>
      <c r="E196" s="6">
        <f>E195+C196-D196</f>
      </c>
      <c r="F196" s="2"/>
    </row>
    <row x14ac:dyDescent="0.25" r="197" customHeight="1" ht="17.25">
      <c r="A197" s="8">
        <v>45740</v>
      </c>
      <c r="B197" s="9" t="s">
        <v>272</v>
      </c>
      <c r="C197" s="6">
        <v>1</v>
      </c>
      <c r="D197" s="4"/>
      <c r="E197" s="6">
        <f>E196+C197-D197</f>
      </c>
      <c r="F197" s="2"/>
    </row>
    <row x14ac:dyDescent="0.25" r="198" customHeight="1" ht="17.25">
      <c r="A198" s="7">
        <v>45741</v>
      </c>
      <c r="B198" s="9" t="s">
        <v>272</v>
      </c>
      <c r="C198" s="6">
        <v>19</v>
      </c>
      <c r="D198" s="4"/>
      <c r="E198" s="6">
        <f>E197+C198-D198</f>
      </c>
      <c r="F198" s="2"/>
    </row>
    <row x14ac:dyDescent="0.25" r="199" customHeight="1" ht="17.25">
      <c r="A199" s="8">
        <v>45741</v>
      </c>
      <c r="B199" s="9" t="s">
        <v>257</v>
      </c>
      <c r="C199" s="6">
        <v>10</v>
      </c>
      <c r="D199" s="4"/>
      <c r="E199" s="6">
        <f>E198+C199-D199</f>
      </c>
      <c r="F199" s="2"/>
    </row>
    <row x14ac:dyDescent="0.25" r="200" customHeight="1" ht="17.25">
      <c r="A200" s="8">
        <v>45741</v>
      </c>
      <c r="B200" s="9" t="s">
        <v>257</v>
      </c>
      <c r="C200" s="6">
        <v>35</v>
      </c>
      <c r="D200" s="4"/>
      <c r="E200" s="6">
        <f>E199+C200-D200</f>
      </c>
      <c r="F200" s="2"/>
    </row>
    <row x14ac:dyDescent="0.25" r="201" customHeight="1" ht="17.25">
      <c r="A201" s="7">
        <v>45754</v>
      </c>
      <c r="B201" s="9" t="s">
        <v>232</v>
      </c>
      <c r="C201" s="3"/>
      <c r="D201" s="6">
        <v>100</v>
      </c>
      <c r="E201" s="6">
        <f>E200+C201-D201</f>
      </c>
      <c r="F201" s="2"/>
    </row>
    <row x14ac:dyDescent="0.25" r="202" customHeight="1" ht="17.25">
      <c r="A202" s="8">
        <v>45755</v>
      </c>
      <c r="B202" s="9" t="s">
        <v>382</v>
      </c>
      <c r="C202" s="6">
        <v>56</v>
      </c>
      <c r="D202" s="4"/>
      <c r="E202" s="6">
        <f>E201+C202-D202</f>
      </c>
      <c r="F202" s="2"/>
    </row>
    <row x14ac:dyDescent="0.25" r="203" customHeight="1" ht="17.25">
      <c r="A203" s="7">
        <v>45758</v>
      </c>
      <c r="B203" s="9" t="s">
        <v>35</v>
      </c>
      <c r="C203" s="3"/>
      <c r="D203" s="6">
        <v>188</v>
      </c>
      <c r="E203" s="6">
        <f>E202+C203-D203</f>
      </c>
      <c r="F203" s="2"/>
    </row>
    <row x14ac:dyDescent="0.25" r="204" customHeight="1" ht="17.25">
      <c r="A204" s="7">
        <v>45760</v>
      </c>
      <c r="B204" s="9" t="s">
        <v>189</v>
      </c>
      <c r="C204" s="3"/>
      <c r="D204" s="6">
        <v>150</v>
      </c>
      <c r="E204" s="6">
        <f>E203+C204-D204</f>
      </c>
      <c r="F204" s="2"/>
    </row>
    <row x14ac:dyDescent="0.25" r="205" customHeight="1" ht="17.25">
      <c r="A205" s="7">
        <v>45761</v>
      </c>
      <c r="B205" s="9" t="s">
        <v>490</v>
      </c>
      <c r="C205" s="3"/>
      <c r="D205" s="6">
        <v>130</v>
      </c>
      <c r="E205" s="6">
        <f>E204+C205-D205</f>
      </c>
      <c r="F205" s="2"/>
    </row>
    <row x14ac:dyDescent="0.25" r="206" customHeight="1" ht="17.25">
      <c r="A206" s="8">
        <v>45761</v>
      </c>
      <c r="B206" s="9" t="s">
        <v>282</v>
      </c>
      <c r="C206" s="3"/>
      <c r="D206" s="6">
        <v>10</v>
      </c>
      <c r="E206" s="6">
        <f>E205+C206-D206</f>
      </c>
      <c r="F206" s="2"/>
    </row>
    <row x14ac:dyDescent="0.25" r="207" customHeight="1" ht="17.25">
      <c r="A207" s="7">
        <v>45762</v>
      </c>
      <c r="B207" s="9" t="s">
        <v>257</v>
      </c>
      <c r="C207" s="3"/>
      <c r="D207" s="6">
        <v>28</v>
      </c>
      <c r="E207" s="6">
        <f>E206+C207-D207</f>
      </c>
      <c r="F207" s="2"/>
    </row>
    <row x14ac:dyDescent="0.25" r="208" customHeight="1" ht="17.25">
      <c r="A208" s="8">
        <v>45762</v>
      </c>
      <c r="B208" s="9" t="s">
        <v>189</v>
      </c>
      <c r="C208" s="3"/>
      <c r="D208" s="6">
        <v>48</v>
      </c>
      <c r="E208" s="6">
        <f>E207+C208-D208</f>
      </c>
      <c r="F208" s="2"/>
    </row>
    <row x14ac:dyDescent="0.25" r="209" customHeight="1" ht="17.25">
      <c r="A209" s="8">
        <v>45763</v>
      </c>
      <c r="B209" s="9" t="s">
        <v>416</v>
      </c>
      <c r="C209" s="3"/>
      <c r="D209" s="6">
        <v>12</v>
      </c>
      <c r="E209" s="6">
        <f>E208+C209-D209</f>
      </c>
      <c r="F209" s="2"/>
    </row>
    <row x14ac:dyDescent="0.25" r="210" customHeight="1" ht="17.25">
      <c r="A210" s="7">
        <v>45764</v>
      </c>
      <c r="B210" s="9" t="s">
        <v>259</v>
      </c>
      <c r="C210" s="6">
        <v>182</v>
      </c>
      <c r="D210" s="4"/>
      <c r="E210" s="6">
        <f>E209+C210-D210</f>
      </c>
      <c r="F210" s="2"/>
    </row>
    <row x14ac:dyDescent="0.25" r="211" customHeight="1" ht="17.25">
      <c r="A211" s="7">
        <v>45765</v>
      </c>
      <c r="B211" s="9" t="s">
        <v>2</v>
      </c>
      <c r="C211" s="6">
        <v>11</v>
      </c>
      <c r="D211" s="4"/>
      <c r="E211" s="6">
        <f>E210+C211-D211</f>
      </c>
      <c r="F211" s="2"/>
    </row>
    <row x14ac:dyDescent="0.25" r="212" customHeight="1" ht="17.25">
      <c r="A212" s="8">
        <v>45766</v>
      </c>
      <c r="B212" s="9" t="s">
        <v>384</v>
      </c>
      <c r="C212" s="6">
        <v>188</v>
      </c>
      <c r="D212" s="4"/>
      <c r="E212" s="6">
        <f>E211+C212-D212</f>
      </c>
      <c r="F212" s="2"/>
    </row>
    <row x14ac:dyDescent="0.25" r="213" customHeight="1" ht="17.25">
      <c r="A213" s="8">
        <v>45768</v>
      </c>
      <c r="B213" s="9" t="s">
        <v>412</v>
      </c>
      <c r="C213" s="3"/>
      <c r="D213" s="6">
        <v>40</v>
      </c>
      <c r="E213" s="6">
        <f>E212+C213-D213</f>
      </c>
      <c r="F213" s="2"/>
    </row>
    <row x14ac:dyDescent="0.25" r="214" customHeight="1" ht="17.25">
      <c r="A214" s="8">
        <v>45768</v>
      </c>
      <c r="B214" s="9" t="s">
        <v>284</v>
      </c>
      <c r="C214" s="3"/>
      <c r="D214" s="6">
        <v>178</v>
      </c>
      <c r="E214" s="6">
        <f>E213+C214-D214</f>
      </c>
      <c r="F214" s="2"/>
    </row>
    <row x14ac:dyDescent="0.25" r="215" customHeight="1" ht="17.25">
      <c r="A215" s="8">
        <v>45768</v>
      </c>
      <c r="B215" s="9" t="s">
        <v>272</v>
      </c>
      <c r="C215" s="6">
        <v>26</v>
      </c>
      <c r="D215" s="4"/>
      <c r="E215" s="6">
        <f>E214+C215-D215</f>
      </c>
      <c r="F215" s="2"/>
    </row>
    <row x14ac:dyDescent="0.25" r="216" customHeight="1" ht="17.25">
      <c r="A216" s="7">
        <v>45769</v>
      </c>
      <c r="B216" s="9" t="s">
        <v>118</v>
      </c>
      <c r="C216" s="6">
        <v>1</v>
      </c>
      <c r="D216" s="4"/>
      <c r="E216" s="6">
        <f>E215+C216-D216</f>
      </c>
      <c r="F216" s="2"/>
    </row>
    <row x14ac:dyDescent="0.25" r="217" customHeight="1" ht="17.25">
      <c r="A217" s="7">
        <v>45769</v>
      </c>
      <c r="B217" s="9" t="s">
        <v>228</v>
      </c>
      <c r="C217" s="3"/>
      <c r="D217" s="6">
        <v>100</v>
      </c>
      <c r="E217" s="6">
        <f>E216+C217-D217</f>
      </c>
      <c r="F217" s="2"/>
    </row>
    <row x14ac:dyDescent="0.25" r="218" customHeight="1" ht="17.25">
      <c r="A218" s="8">
        <v>45769</v>
      </c>
      <c r="B218" s="9" t="s">
        <v>485</v>
      </c>
      <c r="C218" s="6">
        <v>50</v>
      </c>
      <c r="D218" s="4"/>
      <c r="E218" s="6">
        <f>E217+C218-D218</f>
      </c>
      <c r="F218" s="2"/>
    </row>
    <row x14ac:dyDescent="0.25" r="219" customHeight="1" ht="17.25">
      <c r="A219" s="8">
        <v>45771</v>
      </c>
      <c r="B219" s="9" t="s">
        <v>228</v>
      </c>
      <c r="C219" s="3"/>
      <c r="D219" s="6">
        <v>100</v>
      </c>
      <c r="E219" s="6">
        <f>E218+C219-D219</f>
      </c>
      <c r="F219" s="2"/>
    </row>
    <row x14ac:dyDescent="0.25" r="220" customHeight="1" ht="17.25">
      <c r="A220" s="7">
        <v>45771</v>
      </c>
      <c r="B220" s="9" t="s">
        <v>521</v>
      </c>
      <c r="C220" s="3"/>
      <c r="D220" s="6">
        <v>50</v>
      </c>
      <c r="E220" s="6">
        <f>E219+C220-D220</f>
      </c>
      <c r="F220" s="2"/>
    </row>
    <row x14ac:dyDescent="0.25" r="221" customHeight="1" ht="17.25">
      <c r="A221" s="8">
        <v>45772</v>
      </c>
      <c r="B221" s="9" t="s">
        <v>228</v>
      </c>
      <c r="C221" s="3"/>
      <c r="D221" s="6">
        <v>40</v>
      </c>
      <c r="E221" s="6">
        <f>E220+C221-D221</f>
      </c>
      <c r="F221" s="2"/>
    </row>
    <row x14ac:dyDescent="0.25" r="222" customHeight="1" ht="17.25">
      <c r="A222" s="7">
        <v>45772</v>
      </c>
      <c r="B222" s="9" t="s">
        <v>491</v>
      </c>
      <c r="C222" s="3"/>
      <c r="D222" s="6">
        <v>200</v>
      </c>
      <c r="E222" s="6">
        <f>E221+C222-D222</f>
      </c>
      <c r="F222" s="2"/>
    </row>
    <row x14ac:dyDescent="0.25" r="223" customHeight="1" ht="17.25">
      <c r="A223" s="8">
        <v>45773</v>
      </c>
      <c r="B223" s="9" t="s">
        <v>228</v>
      </c>
      <c r="C223" s="3"/>
      <c r="D223" s="6">
        <v>50</v>
      </c>
      <c r="E223" s="6">
        <f>E222+C223-D223</f>
      </c>
      <c r="F223" s="2"/>
    </row>
    <row x14ac:dyDescent="0.25" r="224" customHeight="1" ht="17.25">
      <c r="A224" s="7">
        <v>45773</v>
      </c>
      <c r="B224" s="9" t="s">
        <v>286</v>
      </c>
      <c r="C224" s="3"/>
      <c r="D224" s="6">
        <v>40</v>
      </c>
      <c r="E224" s="6">
        <f>E223+C224-D224</f>
      </c>
      <c r="F224" s="2"/>
    </row>
    <row x14ac:dyDescent="0.25" r="225" customHeight="1" ht="17.25">
      <c r="A225" s="8">
        <v>45773</v>
      </c>
      <c r="B225" s="9" t="s">
        <v>389</v>
      </c>
      <c r="C225" s="3"/>
      <c r="D225" s="6">
        <v>100</v>
      </c>
      <c r="E225" s="6">
        <f>E224+C225-D225</f>
      </c>
      <c r="F225" s="2"/>
    </row>
    <row x14ac:dyDescent="0.25" r="226" customHeight="1" ht="17.25">
      <c r="A226" s="8">
        <v>45774</v>
      </c>
      <c r="B226" s="9" t="s">
        <v>41</v>
      </c>
      <c r="C226" s="3"/>
      <c r="D226" s="6">
        <v>100</v>
      </c>
      <c r="E226" s="6">
        <f>E225+C226-D226</f>
      </c>
      <c r="F226" s="2"/>
    </row>
    <row x14ac:dyDescent="0.25" r="227" customHeight="1" ht="17.25">
      <c r="A227" s="8">
        <v>45773</v>
      </c>
      <c r="B227" s="9" t="s">
        <v>287</v>
      </c>
      <c r="C227" s="3"/>
      <c r="D227" s="6">
        <v>6</v>
      </c>
      <c r="E227" s="6">
        <f>E226+C227-D227</f>
      </c>
      <c r="F227" s="2"/>
    </row>
    <row x14ac:dyDescent="0.25" r="228" customHeight="1" ht="17.25">
      <c r="A228" s="8">
        <v>45775</v>
      </c>
      <c r="B228" s="9" t="s">
        <v>412</v>
      </c>
      <c r="C228" s="3"/>
      <c r="D228" s="6">
        <v>20</v>
      </c>
      <c r="E228" s="6">
        <f>E227+C228-D228</f>
      </c>
      <c r="F228" s="2"/>
    </row>
    <row x14ac:dyDescent="0.25" r="229" customHeight="1" ht="17.25">
      <c r="A229" s="8">
        <v>45775</v>
      </c>
      <c r="B229" s="9" t="s">
        <v>384</v>
      </c>
      <c r="C229" s="6">
        <v>96</v>
      </c>
      <c r="D229" s="4"/>
      <c r="E229" s="6">
        <f>E228+C229-D229</f>
      </c>
      <c r="F229" s="2"/>
    </row>
    <row x14ac:dyDescent="0.25" r="230" customHeight="1" ht="17.25">
      <c r="A230" s="8">
        <v>45777</v>
      </c>
      <c r="B230" s="9" t="s">
        <v>311</v>
      </c>
      <c r="C230" s="3"/>
      <c r="D230" s="6">
        <v>100</v>
      </c>
      <c r="E230" s="6">
        <f>E229+C230-D230</f>
      </c>
      <c r="F230" s="2"/>
    </row>
    <row x14ac:dyDescent="0.25" r="231" customHeight="1" ht="17.25">
      <c r="A231" s="8">
        <v>45777</v>
      </c>
      <c r="B231" s="9" t="s">
        <v>491</v>
      </c>
      <c r="C231" s="3"/>
      <c r="D231" s="6">
        <v>200</v>
      </c>
      <c r="E231" s="6">
        <f>E230+C231-D231</f>
      </c>
      <c r="F231" s="2"/>
    </row>
    <row x14ac:dyDescent="0.25" r="232" customHeight="1" ht="17.25">
      <c r="A232" s="8">
        <v>45777</v>
      </c>
      <c r="B232" s="9" t="s">
        <v>412</v>
      </c>
      <c r="C232" s="3"/>
      <c r="D232" s="6">
        <v>10</v>
      </c>
      <c r="E232" s="6">
        <f>E231+C232-D232</f>
      </c>
      <c r="F232" s="2"/>
    </row>
    <row x14ac:dyDescent="0.25" r="233" customHeight="1" ht="17.25">
      <c r="A233" s="8">
        <v>45777</v>
      </c>
      <c r="B233" s="9" t="s">
        <v>412</v>
      </c>
      <c r="C233" s="3"/>
      <c r="D233" s="6">
        <v>10</v>
      </c>
      <c r="E233" s="6">
        <f>E232+C233-D233</f>
      </c>
      <c r="F233" s="2"/>
    </row>
    <row x14ac:dyDescent="0.25" r="234" customHeight="1" ht="17.25">
      <c r="A234" s="8">
        <v>45777</v>
      </c>
      <c r="B234" s="9" t="s">
        <v>286</v>
      </c>
      <c r="C234" s="3"/>
      <c r="D234" s="6">
        <v>40</v>
      </c>
      <c r="E234" s="6">
        <f>E233+C234-D234</f>
      </c>
      <c r="F234" s="2"/>
    </row>
    <row x14ac:dyDescent="0.25" r="235" customHeight="1" ht="17.25">
      <c r="A235" s="8">
        <v>45777</v>
      </c>
      <c r="B235" s="9" t="s">
        <v>382</v>
      </c>
      <c r="C235" s="6">
        <v>27</v>
      </c>
      <c r="D235" s="4"/>
      <c r="E235" s="6">
        <f>E234+C235-D235</f>
      </c>
      <c r="F235" s="2"/>
    </row>
    <row x14ac:dyDescent="0.25" r="236" customHeight="1" ht="17.25">
      <c r="A236" s="8">
        <v>45779</v>
      </c>
      <c r="B236" s="9" t="s">
        <v>241</v>
      </c>
      <c r="C236" s="3"/>
      <c r="D236" s="6">
        <v>60</v>
      </c>
      <c r="E236" s="6">
        <f>E235+C236-D236</f>
      </c>
      <c r="F236" s="2"/>
    </row>
    <row x14ac:dyDescent="0.25" r="237" customHeight="1" ht="17.25">
      <c r="A237" s="8">
        <v>45779</v>
      </c>
      <c r="B237" s="9" t="s">
        <v>286</v>
      </c>
      <c r="C237" s="3"/>
      <c r="D237" s="6">
        <v>28</v>
      </c>
      <c r="E237" s="6">
        <f>E236+C237-D237</f>
      </c>
      <c r="F237" s="2"/>
    </row>
    <row x14ac:dyDescent="0.25" r="238" customHeight="1" ht="17.25">
      <c r="A238" s="8">
        <v>45779</v>
      </c>
      <c r="B238" s="9" t="s">
        <v>272</v>
      </c>
      <c r="C238" s="6">
        <v>46</v>
      </c>
      <c r="D238" s="4"/>
      <c r="E238" s="6">
        <f>E237+C238-D238</f>
      </c>
      <c r="F238" s="2"/>
    </row>
    <row x14ac:dyDescent="0.25" r="239" customHeight="1" ht="17.25">
      <c r="A239" s="7">
        <v>45779</v>
      </c>
      <c r="B239" s="9" t="s">
        <v>361</v>
      </c>
      <c r="C239" s="6">
        <v>150</v>
      </c>
      <c r="D239" s="4"/>
      <c r="E239" s="6">
        <f>E238+C239-D239</f>
      </c>
      <c r="F239" s="2"/>
    </row>
    <row x14ac:dyDescent="0.25" r="240" customHeight="1" ht="17.25">
      <c r="A240" s="8">
        <v>45780</v>
      </c>
      <c r="B240" s="9" t="s">
        <v>232</v>
      </c>
      <c r="C240" s="3"/>
      <c r="D240" s="6">
        <v>40</v>
      </c>
      <c r="E240" s="6">
        <f>E239+C240-D240</f>
      </c>
      <c r="F240" s="2"/>
    </row>
    <row x14ac:dyDescent="0.25" r="241" customHeight="1" ht="17.25">
      <c r="A241" s="8">
        <v>45780</v>
      </c>
      <c r="B241" s="9" t="s">
        <v>41</v>
      </c>
      <c r="C241" s="3"/>
      <c r="D241" s="6">
        <v>100</v>
      </c>
      <c r="E241" s="6">
        <f>E240+C241-D241</f>
      </c>
      <c r="F241" s="2"/>
    </row>
    <row x14ac:dyDescent="0.25" r="242" customHeight="1" ht="17.25">
      <c r="A242" s="8">
        <v>45782</v>
      </c>
      <c r="B242" s="9" t="s">
        <v>189</v>
      </c>
      <c r="C242" s="6">
        <v>60</v>
      </c>
      <c r="D242" s="4"/>
      <c r="E242" s="6">
        <f>E241+C242-D242</f>
      </c>
      <c r="F242" s="2"/>
    </row>
    <row x14ac:dyDescent="0.25" r="243" customHeight="1" ht="17.25">
      <c r="A243" s="7">
        <v>45783</v>
      </c>
      <c r="B243" s="9" t="s">
        <v>286</v>
      </c>
      <c r="C243" s="3"/>
      <c r="D243" s="6">
        <v>110</v>
      </c>
      <c r="E243" s="6">
        <f>E242+C243-D243</f>
      </c>
      <c r="F243" s="2"/>
    </row>
    <row x14ac:dyDescent="0.25" r="244" customHeight="1" ht="17.25">
      <c r="A244" s="7">
        <v>45783</v>
      </c>
      <c r="B244" s="9" t="s">
        <v>241</v>
      </c>
      <c r="C244" s="3"/>
      <c r="D244" s="6">
        <v>40</v>
      </c>
      <c r="E244" s="6">
        <f>E243+C244-D244</f>
      </c>
      <c r="F244" s="2"/>
    </row>
    <row x14ac:dyDescent="0.25" r="245" customHeight="1" ht="17.25">
      <c r="A245" s="7">
        <v>45783</v>
      </c>
      <c r="B245" s="9" t="s">
        <v>189</v>
      </c>
      <c r="C245" s="6">
        <v>81</v>
      </c>
      <c r="D245" s="4"/>
      <c r="E245" s="6">
        <f>E244+C245-D245</f>
      </c>
      <c r="F245" s="2"/>
    </row>
    <row x14ac:dyDescent="0.25" r="246" customHeight="1" ht="17.25">
      <c r="A246" s="8">
        <v>45784</v>
      </c>
      <c r="B246" s="9" t="s">
        <v>262</v>
      </c>
      <c r="C246" s="3"/>
      <c r="D246" s="6">
        <v>40</v>
      </c>
      <c r="E246" s="6">
        <f>E245+C246-D246</f>
      </c>
      <c r="F246" s="2"/>
    </row>
    <row x14ac:dyDescent="0.25" r="247" customHeight="1" ht="17.25">
      <c r="A247" s="8">
        <v>45784</v>
      </c>
      <c r="B247" s="9" t="s">
        <v>485</v>
      </c>
      <c r="C247" s="6">
        <v>10</v>
      </c>
      <c r="D247" s="4"/>
      <c r="E247" s="6">
        <f>E246+C247-D247</f>
      </c>
      <c r="F247" s="2"/>
    </row>
    <row x14ac:dyDescent="0.25" r="248" customHeight="1" ht="17.25">
      <c r="A248" s="7">
        <v>45784</v>
      </c>
      <c r="B248" s="9" t="s">
        <v>499</v>
      </c>
      <c r="C248" s="6">
        <v>310</v>
      </c>
      <c r="D248" s="4"/>
      <c r="E248" s="6">
        <f>E247+C248-D248</f>
      </c>
      <c r="F248" s="2"/>
    </row>
    <row x14ac:dyDescent="0.25" r="249" customHeight="1" ht="17.25">
      <c r="A249" s="8">
        <v>45784</v>
      </c>
      <c r="B249" s="9" t="s">
        <v>384</v>
      </c>
      <c r="C249" s="6">
        <v>7</v>
      </c>
      <c r="D249" s="4"/>
      <c r="E249" s="6">
        <f>E248+C249-D249</f>
      </c>
      <c r="F249" s="2"/>
    </row>
    <row x14ac:dyDescent="0.25" r="250" customHeight="1" ht="17.25">
      <c r="A250" s="7">
        <v>45785</v>
      </c>
      <c r="B250" s="9" t="s">
        <v>35</v>
      </c>
      <c r="C250" s="3"/>
      <c r="D250" s="6">
        <v>80</v>
      </c>
      <c r="E250" s="6">
        <f>E249+C250-D250</f>
      </c>
      <c r="F250" s="2"/>
    </row>
    <row x14ac:dyDescent="0.25" r="251" customHeight="1" ht="17.25">
      <c r="A251" s="8">
        <v>45785</v>
      </c>
      <c r="B251" s="9" t="s">
        <v>42</v>
      </c>
      <c r="C251" s="3"/>
      <c r="D251" s="6">
        <v>16</v>
      </c>
      <c r="E251" s="6">
        <f>E250+C251-D251</f>
      </c>
      <c r="F251" s="2"/>
    </row>
    <row x14ac:dyDescent="0.25" r="252" customHeight="1" ht="17.25">
      <c r="A252" s="7">
        <v>45786</v>
      </c>
      <c r="B252" s="9" t="s">
        <v>484</v>
      </c>
      <c r="C252" s="6">
        <v>83</v>
      </c>
      <c r="D252" s="4"/>
      <c r="E252" s="6">
        <f>E251+C252-D252</f>
      </c>
      <c r="F252" s="2"/>
    </row>
    <row x14ac:dyDescent="0.25" r="253" customHeight="1" ht="17.25">
      <c r="A253" s="7">
        <v>45787</v>
      </c>
      <c r="B253" s="9" t="s">
        <v>382</v>
      </c>
      <c r="C253" s="6">
        <v>22</v>
      </c>
      <c r="D253" s="4"/>
      <c r="E253" s="6">
        <f>E252+C253-D253</f>
      </c>
      <c r="F253" s="2"/>
    </row>
    <row x14ac:dyDescent="0.25" r="254" customHeight="1" ht="17.25">
      <c r="A254" s="7">
        <v>45788</v>
      </c>
      <c r="B254" s="9" t="s">
        <v>291</v>
      </c>
      <c r="C254" s="3"/>
      <c r="D254" s="6">
        <v>40</v>
      </c>
      <c r="E254" s="6">
        <f>E253+C254-D254</f>
      </c>
      <c r="F254" s="2"/>
    </row>
    <row x14ac:dyDescent="0.25" r="255" customHeight="1" ht="17.25">
      <c r="A255" s="8">
        <v>45791</v>
      </c>
      <c r="B255" s="9" t="s">
        <v>282</v>
      </c>
      <c r="C255" s="6">
        <v>2</v>
      </c>
      <c r="D255" s="4"/>
      <c r="E255" s="6">
        <f>E254+C255-D255</f>
      </c>
      <c r="F255" s="2"/>
    </row>
    <row x14ac:dyDescent="0.25" r="256" customHeight="1" ht="17.25">
      <c r="A256" s="8">
        <v>45792</v>
      </c>
      <c r="B256" s="9" t="s">
        <v>35</v>
      </c>
      <c r="C256" s="3"/>
      <c r="D256" s="6">
        <v>30</v>
      </c>
      <c r="E256" s="6">
        <f>E255+C256-D256</f>
      </c>
      <c r="F256" s="2"/>
    </row>
    <row x14ac:dyDescent="0.25" r="257" customHeight="1" ht="17.25">
      <c r="A257" s="8">
        <v>45793</v>
      </c>
      <c r="B257" s="9" t="s">
        <v>262</v>
      </c>
      <c r="C257" s="3"/>
      <c r="D257" s="6">
        <v>48</v>
      </c>
      <c r="E257" s="6">
        <f>E256+C257-D257</f>
      </c>
      <c r="F257" s="2"/>
    </row>
    <row x14ac:dyDescent="0.25" r="258" customHeight="1" ht="17.25">
      <c r="A258" s="8">
        <v>45793</v>
      </c>
      <c r="B258" s="9" t="s">
        <v>486</v>
      </c>
      <c r="C258" s="6">
        <v>155</v>
      </c>
      <c r="D258" s="4"/>
      <c r="E258" s="6">
        <f>E257+C258-D258</f>
      </c>
      <c r="F258" s="2"/>
    </row>
    <row x14ac:dyDescent="0.25" r="259" customHeight="1" ht="17.25">
      <c r="A259" s="7">
        <v>45793</v>
      </c>
      <c r="B259" s="9" t="s">
        <v>3</v>
      </c>
      <c r="C259" s="6">
        <v>159</v>
      </c>
      <c r="D259" s="4"/>
      <c r="E259" s="6">
        <f>E258+C259-D259</f>
      </c>
      <c r="F259" s="2"/>
    </row>
    <row x14ac:dyDescent="0.25" r="260" customHeight="1" ht="17.25">
      <c r="A260" s="7">
        <v>45794</v>
      </c>
      <c r="B260" s="9" t="s">
        <v>286</v>
      </c>
      <c r="C260" s="3"/>
      <c r="D260" s="6">
        <v>100</v>
      </c>
      <c r="E260" s="6">
        <f>E259+C260-D260</f>
      </c>
      <c r="F260" s="2"/>
    </row>
    <row x14ac:dyDescent="0.25" r="261" customHeight="1" ht="17.25">
      <c r="A261" s="8">
        <v>45794</v>
      </c>
      <c r="B261" s="9" t="s">
        <v>35</v>
      </c>
      <c r="C261" s="3"/>
      <c r="D261" s="6">
        <v>40</v>
      </c>
      <c r="E261" s="6">
        <f>E260+C261-D261</f>
      </c>
      <c r="F261" s="2"/>
    </row>
    <row x14ac:dyDescent="0.25" r="262" customHeight="1" ht="17.25">
      <c r="A262" s="7">
        <v>45794</v>
      </c>
      <c r="B262" s="9" t="s">
        <v>29</v>
      </c>
      <c r="C262" s="3"/>
      <c r="D262" s="6">
        <v>400</v>
      </c>
      <c r="E262" s="6">
        <f>E261+C262-D262</f>
      </c>
      <c r="F262" s="2"/>
    </row>
    <row x14ac:dyDescent="0.25" r="263" customHeight="1" ht="17.25">
      <c r="A263" s="7">
        <v>45794</v>
      </c>
      <c r="B263" s="9" t="s">
        <v>484</v>
      </c>
      <c r="C263" s="6">
        <v>110</v>
      </c>
      <c r="D263" s="4"/>
      <c r="E263" s="6">
        <f>E262+C263-D263</f>
      </c>
      <c r="F263" s="2"/>
    </row>
    <row x14ac:dyDescent="0.25" r="264" customHeight="1" ht="17.25">
      <c r="A264" s="7">
        <v>45796</v>
      </c>
      <c r="B264" s="9" t="s">
        <v>484</v>
      </c>
      <c r="C264" s="6">
        <v>255</v>
      </c>
      <c r="D264" s="4"/>
      <c r="E264" s="6">
        <f>E263+C264-D264</f>
      </c>
      <c r="F264" s="2"/>
    </row>
    <row x14ac:dyDescent="0.25" r="265" customHeight="1" ht="17.25">
      <c r="A265" s="8">
        <v>45797</v>
      </c>
      <c r="B265" s="9" t="s">
        <v>42</v>
      </c>
      <c r="C265" s="3"/>
      <c r="D265" s="6">
        <v>38</v>
      </c>
      <c r="E265" s="6">
        <f>E264+C265-D265</f>
      </c>
      <c r="F265" s="2"/>
    </row>
    <row x14ac:dyDescent="0.25" r="266" customHeight="1" ht="17.25">
      <c r="A266" s="8">
        <v>45797</v>
      </c>
      <c r="B266" s="9" t="s">
        <v>35</v>
      </c>
      <c r="C266" s="3"/>
      <c r="D266" s="6">
        <v>22</v>
      </c>
      <c r="E266" s="6">
        <f>E265+C266-D266</f>
      </c>
      <c r="F266" s="2"/>
    </row>
    <row x14ac:dyDescent="0.25" r="267" customHeight="1" ht="17.25">
      <c r="A267" s="7">
        <v>45797</v>
      </c>
      <c r="B267" s="9" t="s">
        <v>444</v>
      </c>
      <c r="C267" s="6">
        <v>19</v>
      </c>
      <c r="D267" s="4"/>
      <c r="E267" s="6">
        <f>E266+C267-D267</f>
      </c>
      <c r="F267" s="2"/>
    </row>
    <row x14ac:dyDescent="0.25" r="268" customHeight="1" ht="17.25">
      <c r="A268" s="8">
        <v>45798</v>
      </c>
      <c r="B268" s="9" t="s">
        <v>284</v>
      </c>
      <c r="C268" s="3"/>
      <c r="D268" s="6">
        <v>50</v>
      </c>
      <c r="E268" s="6">
        <f>E267+C268-D268</f>
      </c>
      <c r="F268" s="2"/>
    </row>
    <row x14ac:dyDescent="0.25" r="269" customHeight="1" ht="17.25">
      <c r="A269" s="7">
        <v>45799</v>
      </c>
      <c r="B269" s="9" t="s">
        <v>43</v>
      </c>
      <c r="C269" s="6">
        <v>50</v>
      </c>
      <c r="D269" s="4"/>
      <c r="E269" s="6">
        <f>E268+C269-D269</f>
      </c>
      <c r="F269" s="2"/>
    </row>
    <row x14ac:dyDescent="0.25" r="270" customHeight="1" ht="17.25">
      <c r="A270" s="7">
        <v>45799</v>
      </c>
      <c r="B270" s="9" t="s">
        <v>486</v>
      </c>
      <c r="C270" s="6">
        <v>185</v>
      </c>
      <c r="D270" s="4"/>
      <c r="E270" s="6">
        <f>E269+C270-D270</f>
      </c>
      <c r="F270" s="2"/>
    </row>
    <row x14ac:dyDescent="0.25" r="271" customHeight="1" ht="17.25">
      <c r="A271" s="7">
        <v>45799</v>
      </c>
      <c r="B271" s="9" t="s">
        <v>3</v>
      </c>
      <c r="C271" s="6">
        <v>130</v>
      </c>
      <c r="D271" s="4"/>
      <c r="E271" s="6">
        <f>E270+C271-D271</f>
      </c>
      <c r="F271" s="2"/>
    </row>
    <row x14ac:dyDescent="0.25" r="272" customHeight="1" ht="17.25">
      <c r="A272" s="7">
        <v>45800</v>
      </c>
      <c r="B272" s="9" t="s">
        <v>35</v>
      </c>
      <c r="C272" s="3"/>
      <c r="D272" s="6">
        <v>16</v>
      </c>
      <c r="E272" s="6">
        <f>E271+C272-D272</f>
      </c>
      <c r="F272" s="2"/>
    </row>
    <row x14ac:dyDescent="0.25" r="273" customHeight="1" ht="17.25">
      <c r="A273" s="7">
        <v>45800</v>
      </c>
      <c r="B273" s="9" t="s">
        <v>286</v>
      </c>
      <c r="C273" s="3"/>
      <c r="D273" s="6">
        <v>100</v>
      </c>
      <c r="E273" s="6">
        <f>E272+C273-D273</f>
      </c>
      <c r="F273" s="2"/>
    </row>
    <row x14ac:dyDescent="0.25" r="274" customHeight="1" ht="17.25">
      <c r="A274" s="8">
        <v>45800</v>
      </c>
      <c r="B274" s="9" t="s">
        <v>42</v>
      </c>
      <c r="C274" s="3"/>
      <c r="D274" s="6">
        <v>100</v>
      </c>
      <c r="E274" s="6">
        <f>E273+C274-D274</f>
      </c>
      <c r="F274" s="2"/>
    </row>
    <row x14ac:dyDescent="0.25" r="275" customHeight="1" ht="17.25">
      <c r="A275" s="8">
        <v>45800</v>
      </c>
      <c r="B275" s="9" t="s">
        <v>42</v>
      </c>
      <c r="C275" s="3"/>
      <c r="D275" s="6">
        <v>598</v>
      </c>
      <c r="E275" s="6">
        <f>E274+C275-D275</f>
      </c>
      <c r="F275" s="2"/>
    </row>
    <row x14ac:dyDescent="0.25" r="276" customHeight="1" ht="17.25">
      <c r="A276" s="7">
        <v>45800</v>
      </c>
      <c r="B276" s="9" t="s">
        <v>43</v>
      </c>
      <c r="C276" s="6">
        <v>40</v>
      </c>
      <c r="D276" s="4"/>
      <c r="E276" s="6">
        <f>E275+C276-D276</f>
      </c>
      <c r="F276" s="2"/>
    </row>
    <row x14ac:dyDescent="0.25" r="277" customHeight="1" ht="17.25">
      <c r="A277" s="8">
        <v>45801</v>
      </c>
      <c r="B277" s="9" t="s">
        <v>241</v>
      </c>
      <c r="C277" s="3"/>
      <c r="D277" s="6">
        <v>60</v>
      </c>
      <c r="E277" s="6">
        <f>E276+C277-D277</f>
      </c>
      <c r="F277" s="2"/>
    </row>
    <row x14ac:dyDescent="0.25" r="278" customHeight="1" ht="17.25">
      <c r="A278" s="8">
        <v>45803</v>
      </c>
      <c r="B278" s="9" t="s">
        <v>232</v>
      </c>
      <c r="C278" s="3"/>
      <c r="D278" s="6">
        <v>30</v>
      </c>
      <c r="E278" s="6">
        <f>E277+C278-D278</f>
      </c>
      <c r="F278" s="2"/>
    </row>
    <row x14ac:dyDescent="0.25" r="279" customHeight="1" ht="17.25">
      <c r="A279" s="7">
        <v>45803</v>
      </c>
      <c r="B279" s="9" t="s">
        <v>3</v>
      </c>
      <c r="C279" s="6">
        <v>249</v>
      </c>
      <c r="D279" s="4"/>
      <c r="E279" s="6">
        <f>E278+C279-D279</f>
      </c>
      <c r="F279" s="2"/>
    </row>
    <row x14ac:dyDescent="0.25" r="280" customHeight="1" ht="17.25">
      <c r="A280" s="7">
        <v>45803</v>
      </c>
      <c r="B280" s="9" t="s">
        <v>241</v>
      </c>
      <c r="C280" s="6">
        <v>46</v>
      </c>
      <c r="D280" s="4"/>
      <c r="E280" s="6">
        <f>E279+C280-D280</f>
      </c>
      <c r="F280" s="2"/>
    </row>
    <row x14ac:dyDescent="0.25" r="281" customHeight="1" ht="17.25">
      <c r="A281" s="8">
        <v>45804</v>
      </c>
      <c r="B281" s="9" t="s">
        <v>34</v>
      </c>
      <c r="C281" s="3"/>
      <c r="D281" s="6">
        <v>200</v>
      </c>
      <c r="E281" s="6">
        <f>E280+C281-D281</f>
      </c>
      <c r="F281" s="2"/>
    </row>
    <row x14ac:dyDescent="0.25" r="282" customHeight="1" ht="17.25">
      <c r="A282" s="8">
        <v>45804</v>
      </c>
      <c r="B282" s="9" t="s">
        <v>44</v>
      </c>
      <c r="C282" s="6">
        <v>30</v>
      </c>
      <c r="D282" s="4"/>
      <c r="E282" s="6">
        <f>E281+C282-D282</f>
      </c>
      <c r="F282" s="2"/>
    </row>
    <row x14ac:dyDescent="0.25" r="283" customHeight="1" ht="17.25">
      <c r="A283" s="7">
        <v>45804</v>
      </c>
      <c r="B283" s="9" t="s">
        <v>3</v>
      </c>
      <c r="C283" s="6">
        <v>250</v>
      </c>
      <c r="D283" s="4"/>
      <c r="E283" s="6">
        <f>E282+C283-D283</f>
      </c>
      <c r="F283" s="2"/>
    </row>
    <row x14ac:dyDescent="0.25" r="284" customHeight="1" ht="17.25">
      <c r="A284" s="7">
        <v>45805</v>
      </c>
      <c r="B284" s="9" t="s">
        <v>42</v>
      </c>
      <c r="C284" s="3"/>
      <c r="D284" s="6">
        <v>300</v>
      </c>
      <c r="E284" s="6">
        <f>E283+C284-D284</f>
      </c>
      <c r="F284" s="2"/>
    </row>
    <row x14ac:dyDescent="0.25" r="285" customHeight="1" ht="17.25">
      <c r="A285" s="7">
        <v>45805</v>
      </c>
      <c r="B285" s="9" t="s">
        <v>3</v>
      </c>
      <c r="C285" s="6">
        <v>84</v>
      </c>
      <c r="D285" s="4"/>
      <c r="E285" s="6">
        <f>E284+C285-D285</f>
      </c>
      <c r="F285" s="2"/>
    </row>
    <row x14ac:dyDescent="0.25" r="286" customHeight="1" ht="17.25">
      <c r="A286" s="7">
        <v>45805</v>
      </c>
      <c r="B286" s="9" t="s">
        <v>3</v>
      </c>
      <c r="C286" s="6">
        <v>52</v>
      </c>
      <c r="D286" s="4"/>
      <c r="E286" s="6">
        <f>E285+C286-D286</f>
      </c>
      <c r="F286" s="2" t="s">
        <v>522</v>
      </c>
    </row>
    <row x14ac:dyDescent="0.25" r="287" customHeight="1" ht="17.25">
      <c r="A287" s="7">
        <v>45805</v>
      </c>
      <c r="B287" s="9" t="s">
        <v>3</v>
      </c>
      <c r="C287" s="6">
        <v>50</v>
      </c>
      <c r="D287" s="4"/>
      <c r="E287" s="6">
        <f>E286+C287-D287</f>
      </c>
      <c r="F287" s="2"/>
    </row>
    <row x14ac:dyDescent="0.25" r="288" customHeight="1" ht="17.25">
      <c r="A288" s="7">
        <v>45807</v>
      </c>
      <c r="B288" s="9" t="s">
        <v>89</v>
      </c>
      <c r="C288" s="3"/>
      <c r="D288" s="6">
        <v>92</v>
      </c>
      <c r="E288" s="6">
        <f>E287+C288-D288</f>
      </c>
      <c r="F288" s="2"/>
    </row>
    <row x14ac:dyDescent="0.25" r="289" customHeight="1" ht="17.25">
      <c r="A289" s="7">
        <v>45807</v>
      </c>
      <c r="B289" s="9" t="s">
        <v>189</v>
      </c>
      <c r="C289" s="3"/>
      <c r="D289" s="6">
        <v>100</v>
      </c>
      <c r="E289" s="6">
        <f>E288+C289-D289</f>
      </c>
      <c r="F289" s="2"/>
    </row>
    <row x14ac:dyDescent="0.25" r="290" customHeight="1" ht="17.25">
      <c r="A290" s="8">
        <v>45807</v>
      </c>
      <c r="B290" s="9" t="s">
        <v>2</v>
      </c>
      <c r="C290" s="3"/>
      <c r="D290" s="6">
        <v>30</v>
      </c>
      <c r="E290" s="6">
        <f>E289+C290-D290</f>
      </c>
      <c r="F290" s="2"/>
    </row>
    <row x14ac:dyDescent="0.25" r="291" customHeight="1" ht="17.25">
      <c r="A291" s="7">
        <v>45807</v>
      </c>
      <c r="B291" s="9" t="s">
        <v>3</v>
      </c>
      <c r="C291" s="6">
        <v>140</v>
      </c>
      <c r="D291" s="4"/>
      <c r="E291" s="6">
        <f>E290+C291-D291</f>
      </c>
      <c r="F291" s="2"/>
    </row>
    <row x14ac:dyDescent="0.25" r="292" customHeight="1" ht="17.25">
      <c r="A292" s="8">
        <v>45808</v>
      </c>
      <c r="B292" s="9" t="s">
        <v>282</v>
      </c>
      <c r="C292" s="6">
        <v>8</v>
      </c>
      <c r="D292" s="4"/>
      <c r="E292" s="6">
        <f>E291+C292-D292</f>
      </c>
      <c r="F292" s="2"/>
    </row>
    <row x14ac:dyDescent="0.25" r="293" customHeight="1" ht="17.25">
      <c r="A293" s="8">
        <v>45808</v>
      </c>
      <c r="B293" s="9" t="s">
        <v>272</v>
      </c>
      <c r="C293" s="6">
        <v>38</v>
      </c>
      <c r="D293" s="4"/>
      <c r="E293" s="6">
        <f>E292+C293-D293</f>
      </c>
      <c r="F293" s="2"/>
    </row>
    <row x14ac:dyDescent="0.25" r="294" customHeight="1" ht="17.25">
      <c r="A294" s="7">
        <v>45810</v>
      </c>
      <c r="B294" s="9" t="s">
        <v>389</v>
      </c>
      <c r="C294" s="3"/>
      <c r="D294" s="6">
        <v>50</v>
      </c>
      <c r="E294" s="6">
        <f>E293+C294-D294</f>
      </c>
      <c r="F294" s="2"/>
    </row>
    <row x14ac:dyDescent="0.25" r="295" customHeight="1" ht="17.25">
      <c r="A295" s="8">
        <v>45811</v>
      </c>
      <c r="B295" s="9" t="s">
        <v>100</v>
      </c>
      <c r="C295" s="3"/>
      <c r="D295" s="6">
        <v>50</v>
      </c>
      <c r="E295" s="6">
        <f>E294+C295-D295</f>
      </c>
      <c r="F295" s="2"/>
    </row>
    <row x14ac:dyDescent="0.25" r="296" customHeight="1" ht="17.25">
      <c r="A296" s="7">
        <v>45812</v>
      </c>
      <c r="B296" s="9" t="s">
        <v>492</v>
      </c>
      <c r="C296" s="3"/>
      <c r="D296" s="6">
        <v>200</v>
      </c>
      <c r="E296" s="6">
        <f>E295+C296-D296</f>
      </c>
      <c r="F296" s="2"/>
    </row>
    <row x14ac:dyDescent="0.25" r="297" customHeight="1" ht="17.25">
      <c r="A297" s="8">
        <v>45812</v>
      </c>
      <c r="B297" s="9" t="s">
        <v>284</v>
      </c>
      <c r="C297" s="3"/>
      <c r="D297" s="6">
        <v>100</v>
      </c>
      <c r="E297" s="6">
        <f>E296+C297-D297</f>
      </c>
      <c r="F297" s="2"/>
    </row>
    <row x14ac:dyDescent="0.25" r="298" customHeight="1" ht="17.25">
      <c r="A298" s="7">
        <v>45813</v>
      </c>
      <c r="B298" s="9" t="s">
        <v>286</v>
      </c>
      <c r="C298" s="6">
        <v>40</v>
      </c>
      <c r="D298" s="4"/>
      <c r="E298" s="6">
        <f>E297+C298-D298</f>
      </c>
      <c r="F298" s="2"/>
    </row>
    <row x14ac:dyDescent="0.25" r="299" customHeight="1" ht="17.25">
      <c r="A299" s="7">
        <v>45815</v>
      </c>
      <c r="B299" s="9" t="s">
        <v>523</v>
      </c>
      <c r="C299" s="6">
        <v>50</v>
      </c>
      <c r="D299" s="4"/>
      <c r="E299" s="6">
        <f>E298+C299-D299</f>
      </c>
      <c r="F299" s="2"/>
    </row>
    <row x14ac:dyDescent="0.25" r="300" customHeight="1" ht="17.25">
      <c r="A300" s="7">
        <v>45815</v>
      </c>
      <c r="B300" s="9" t="s">
        <v>3</v>
      </c>
      <c r="C300" s="6">
        <v>49</v>
      </c>
      <c r="D300" s="4"/>
      <c r="E300" s="6">
        <f>E299+C300-D300</f>
      </c>
      <c r="F300" s="2"/>
    </row>
    <row x14ac:dyDescent="0.25" r="301" customHeight="1" ht="17.25">
      <c r="A301" s="8">
        <v>45817</v>
      </c>
      <c r="B301" s="9" t="s">
        <v>272</v>
      </c>
      <c r="C301" s="6">
        <v>25</v>
      </c>
      <c r="D301" s="4"/>
      <c r="E301" s="6">
        <f>E300+C301-D301</f>
      </c>
      <c r="F301" s="2"/>
    </row>
    <row x14ac:dyDescent="0.25" r="302" customHeight="1" ht="17.25">
      <c r="A302" s="7">
        <v>45817</v>
      </c>
      <c r="B302" s="9" t="s">
        <v>234</v>
      </c>
      <c r="C302" s="6">
        <v>70</v>
      </c>
      <c r="D302" s="4"/>
      <c r="E302" s="6">
        <f>E301+C302-D302</f>
      </c>
      <c r="F302" s="2"/>
    </row>
    <row x14ac:dyDescent="0.25" r="303" customHeight="1" ht="17.25">
      <c r="A303" s="7">
        <v>45818</v>
      </c>
      <c r="B303" s="9" t="s">
        <v>333</v>
      </c>
      <c r="C303" s="3"/>
      <c r="D303" s="6">
        <v>48</v>
      </c>
      <c r="E303" s="6">
        <f>E302+C303-D303</f>
      </c>
      <c r="F303" s="2"/>
    </row>
    <row x14ac:dyDescent="0.25" r="304" customHeight="1" ht="17.25">
      <c r="A304" s="7">
        <v>45818</v>
      </c>
      <c r="B304" s="9" t="s">
        <v>385</v>
      </c>
      <c r="C304" s="6">
        <v>13</v>
      </c>
      <c r="D304" s="4"/>
      <c r="E304" s="6">
        <f>E303+C304-D304</f>
      </c>
      <c r="F304" s="2"/>
    </row>
    <row x14ac:dyDescent="0.25" r="305" customHeight="1" ht="17.25">
      <c r="A305" s="7">
        <v>45818</v>
      </c>
      <c r="B305" s="9" t="s">
        <v>189</v>
      </c>
      <c r="C305" s="6">
        <v>16</v>
      </c>
      <c r="D305" s="4"/>
      <c r="E305" s="6">
        <f>E304+C305-D305</f>
      </c>
      <c r="F305" s="2"/>
    </row>
    <row x14ac:dyDescent="0.25" r="306" customHeight="1" ht="17.25">
      <c r="A306" s="7">
        <v>45819</v>
      </c>
      <c r="B306" s="9" t="s">
        <v>228</v>
      </c>
      <c r="C306" s="3"/>
      <c r="D306" s="6">
        <v>50</v>
      </c>
      <c r="E306" s="6">
        <f>E305+C306-D306</f>
      </c>
      <c r="F306" s="2"/>
    </row>
    <row x14ac:dyDescent="0.25" r="307" customHeight="1" ht="17.25">
      <c r="A307" s="7">
        <v>45819</v>
      </c>
      <c r="B307" s="9" t="s">
        <v>494</v>
      </c>
      <c r="C307" s="3"/>
      <c r="D307" s="6">
        <v>160</v>
      </c>
      <c r="E307" s="6">
        <f>E306+C307-D307</f>
      </c>
      <c r="F307" s="2"/>
    </row>
    <row x14ac:dyDescent="0.25" r="308" customHeight="1" ht="17.25">
      <c r="A308" s="7">
        <v>45819</v>
      </c>
      <c r="B308" s="9" t="s">
        <v>333</v>
      </c>
      <c r="C308" s="3"/>
      <c r="D308" s="6">
        <v>98</v>
      </c>
      <c r="E308" s="6">
        <f>E307+C308-D308</f>
      </c>
      <c r="F308" s="2"/>
    </row>
    <row x14ac:dyDescent="0.25" r="309" customHeight="1" ht="17.25">
      <c r="A309" s="7">
        <v>45819</v>
      </c>
      <c r="B309" s="9" t="s">
        <v>484</v>
      </c>
      <c r="C309" s="6">
        <v>50</v>
      </c>
      <c r="D309" s="4"/>
      <c r="E309" s="6">
        <f>E308+C309-D309</f>
      </c>
      <c r="F309" s="2"/>
    </row>
    <row x14ac:dyDescent="0.25" r="310" customHeight="1" ht="17.25">
      <c r="A310" s="8">
        <v>45820</v>
      </c>
      <c r="B310" s="9" t="s">
        <v>495</v>
      </c>
      <c r="C310" s="3"/>
      <c r="D310" s="6">
        <v>100</v>
      </c>
      <c r="E310" s="6">
        <f>E309+C310-D310</f>
      </c>
      <c r="F310" s="2"/>
    </row>
    <row x14ac:dyDescent="0.25" r="311" customHeight="1" ht="17.25">
      <c r="A311" s="7">
        <v>45821</v>
      </c>
      <c r="B311" s="9" t="s">
        <v>228</v>
      </c>
      <c r="C311" s="3"/>
      <c r="D311" s="6">
        <v>50</v>
      </c>
      <c r="E311" s="6">
        <f>E310+C311-D311</f>
      </c>
      <c r="F311" s="2"/>
    </row>
    <row x14ac:dyDescent="0.25" r="312" customHeight="1" ht="17.25">
      <c r="A312" s="8">
        <v>45821</v>
      </c>
      <c r="B312" s="9" t="s">
        <v>35</v>
      </c>
      <c r="C312" s="3"/>
      <c r="D312" s="6">
        <v>100</v>
      </c>
      <c r="E312" s="6">
        <f>E311+C312-D312</f>
      </c>
      <c r="F312" s="2"/>
    </row>
    <row x14ac:dyDescent="0.25" r="313" customHeight="1" ht="17.25">
      <c r="A313" s="8">
        <v>45821</v>
      </c>
      <c r="B313" s="9" t="s">
        <v>495</v>
      </c>
      <c r="C313" s="3"/>
      <c r="D313" s="6">
        <v>50</v>
      </c>
      <c r="E313" s="6">
        <f>E312+C313-D313</f>
      </c>
      <c r="F313" s="2"/>
    </row>
    <row x14ac:dyDescent="0.25" r="314" customHeight="1" ht="17.25">
      <c r="A314" s="7">
        <v>45821</v>
      </c>
      <c r="B314" s="9" t="s">
        <v>484</v>
      </c>
      <c r="C314" s="6">
        <v>100</v>
      </c>
      <c r="D314" s="4"/>
      <c r="E314" s="6">
        <f>E313+C314-D314</f>
      </c>
      <c r="F314" s="2"/>
    </row>
    <row x14ac:dyDescent="0.25" r="315" customHeight="1" ht="17.25">
      <c r="A315" s="7">
        <v>45821</v>
      </c>
      <c r="B315" s="9" t="s">
        <v>286</v>
      </c>
      <c r="C315" s="6">
        <v>88</v>
      </c>
      <c r="D315" s="4"/>
      <c r="E315" s="6">
        <f>E314+C315-D315</f>
      </c>
      <c r="F315" s="2"/>
    </row>
    <row x14ac:dyDescent="0.25" r="316" customHeight="1" ht="17.25">
      <c r="A316" s="7">
        <v>45821</v>
      </c>
      <c r="B316" s="9" t="s">
        <v>382</v>
      </c>
      <c r="C316" s="6">
        <v>12</v>
      </c>
      <c r="D316" s="4"/>
      <c r="E316" s="6">
        <f>E315+C316-D316</f>
      </c>
      <c r="F316" s="2"/>
    </row>
    <row x14ac:dyDescent="0.25" r="317" customHeight="1" ht="17.25">
      <c r="A317" s="7">
        <v>45821</v>
      </c>
      <c r="B317" s="9" t="s">
        <v>3</v>
      </c>
      <c r="C317" s="6">
        <v>217</v>
      </c>
      <c r="D317" s="4"/>
      <c r="E317" s="6">
        <f>E316+C317-D317</f>
      </c>
      <c r="F317" s="2"/>
    </row>
    <row x14ac:dyDescent="0.25" r="318" customHeight="1" ht="17.25">
      <c r="A318" s="7">
        <v>45822</v>
      </c>
      <c r="B318" s="9" t="s">
        <v>2</v>
      </c>
      <c r="C318" s="3"/>
      <c r="D318" s="6">
        <v>60</v>
      </c>
      <c r="E318" s="6">
        <f>E317+C318-D318</f>
      </c>
      <c r="F318" s="2"/>
    </row>
    <row x14ac:dyDescent="0.25" r="319" customHeight="1" ht="17.25">
      <c r="A319" s="7">
        <v>45822</v>
      </c>
      <c r="B319" s="9" t="s">
        <v>35</v>
      </c>
      <c r="C319" s="3"/>
      <c r="D319" s="6">
        <v>190</v>
      </c>
      <c r="E319" s="6">
        <f>E318+C319-D319</f>
      </c>
      <c r="F319" s="2"/>
    </row>
    <row x14ac:dyDescent="0.25" r="320" customHeight="1" ht="17.25">
      <c r="A320" s="7">
        <v>45822</v>
      </c>
      <c r="B320" s="9" t="s">
        <v>3</v>
      </c>
      <c r="C320" s="6">
        <v>38</v>
      </c>
      <c r="D320" s="4"/>
      <c r="E320" s="6">
        <f>E319+C320-D320</f>
      </c>
      <c r="F320" s="2"/>
    </row>
    <row x14ac:dyDescent="0.25" r="321" customHeight="1" ht="17.25">
      <c r="A321" s="7">
        <v>45823</v>
      </c>
      <c r="B321" s="9" t="s">
        <v>389</v>
      </c>
      <c r="C321" s="3"/>
      <c r="D321" s="6">
        <v>100</v>
      </c>
      <c r="E321" s="6">
        <f>E320+C321-D321</f>
      </c>
      <c r="F321" s="2"/>
    </row>
    <row x14ac:dyDescent="0.25" r="322" customHeight="1" ht="17.25">
      <c r="A322" s="7">
        <v>45824</v>
      </c>
      <c r="B322" s="9" t="s">
        <v>272</v>
      </c>
      <c r="C322" s="6">
        <v>27</v>
      </c>
      <c r="D322" s="4"/>
      <c r="E322" s="6">
        <f>E321+C322-D322</f>
      </c>
      <c r="F322" s="2"/>
    </row>
    <row x14ac:dyDescent="0.25" r="323" customHeight="1" ht="17.25">
      <c r="A323" s="7">
        <v>45824</v>
      </c>
      <c r="B323" s="9" t="s">
        <v>484</v>
      </c>
      <c r="C323" s="6">
        <v>116</v>
      </c>
      <c r="D323" s="4"/>
      <c r="E323" s="6">
        <f>E322+C323-D323</f>
      </c>
      <c r="F323" s="2"/>
    </row>
    <row x14ac:dyDescent="0.25" r="324" customHeight="1" ht="17.25">
      <c r="A324" s="7">
        <v>45825</v>
      </c>
      <c r="B324" s="9" t="s">
        <v>291</v>
      </c>
      <c r="C324" s="6">
        <v>40</v>
      </c>
      <c r="D324" s="4"/>
      <c r="E324" s="6">
        <f>E323+C324-D324</f>
      </c>
      <c r="F324" s="2"/>
    </row>
    <row x14ac:dyDescent="0.25" r="325" customHeight="1" ht="17.25">
      <c r="A325" s="7">
        <v>45825</v>
      </c>
      <c r="B325" s="9" t="s">
        <v>3</v>
      </c>
      <c r="C325" s="6">
        <v>100</v>
      </c>
      <c r="D325" s="4"/>
      <c r="E325" s="6">
        <f>E324+C325-D325</f>
      </c>
      <c r="F325" s="2"/>
    </row>
    <row x14ac:dyDescent="0.25" r="326" customHeight="1" ht="17.25">
      <c r="A326" s="7">
        <v>45825</v>
      </c>
      <c r="B326" s="9" t="s">
        <v>3</v>
      </c>
      <c r="C326" s="6">
        <v>239</v>
      </c>
      <c r="D326" s="4"/>
      <c r="E326" s="6">
        <f>E325+C326-D326</f>
      </c>
      <c r="F326" s="2"/>
    </row>
    <row x14ac:dyDescent="0.25" r="327" customHeight="1" ht="17.25">
      <c r="A327" s="7">
        <v>45825</v>
      </c>
      <c r="B327" s="9" t="s">
        <v>3</v>
      </c>
      <c r="C327" s="6">
        <v>195</v>
      </c>
      <c r="D327" s="4"/>
      <c r="E327" s="6">
        <f>E326+C327-D327</f>
      </c>
      <c r="F327" s="2"/>
    </row>
    <row x14ac:dyDescent="0.25" r="328" customHeight="1" ht="17.25">
      <c r="A328" s="7">
        <v>45826</v>
      </c>
      <c r="B328" s="9" t="s">
        <v>3</v>
      </c>
      <c r="C328" s="6">
        <v>248</v>
      </c>
      <c r="D328" s="4"/>
      <c r="E328" s="6">
        <f>E327+C328-D328</f>
      </c>
      <c r="F328" s="2"/>
    </row>
    <row x14ac:dyDescent="0.25" r="329" customHeight="1" ht="17.25">
      <c r="A329" s="8">
        <v>45827</v>
      </c>
      <c r="B329" s="9" t="s">
        <v>485</v>
      </c>
      <c r="C329" s="6">
        <v>32</v>
      </c>
      <c r="D329" s="4"/>
      <c r="E329" s="6">
        <f>E328+C329-D329</f>
      </c>
      <c r="F329" s="2"/>
    </row>
    <row x14ac:dyDescent="0.25" r="330" customHeight="1" ht="17.25">
      <c r="A330" s="7">
        <v>45827</v>
      </c>
      <c r="B330" s="9" t="s">
        <v>3</v>
      </c>
      <c r="C330" s="6">
        <v>120</v>
      </c>
      <c r="D330" s="4"/>
      <c r="E330" s="6">
        <f>E329+C330-D330</f>
      </c>
      <c r="F330" s="2"/>
    </row>
    <row x14ac:dyDescent="0.25" r="331" customHeight="1" ht="17.25">
      <c r="A331" s="8">
        <v>45827</v>
      </c>
      <c r="B331" s="9" t="s">
        <v>272</v>
      </c>
      <c r="C331" s="6">
        <v>17</v>
      </c>
      <c r="D331" s="4"/>
      <c r="E331" s="6">
        <f>E330+C331-D331</f>
      </c>
      <c r="F331" s="2"/>
    </row>
    <row x14ac:dyDescent="0.25" r="332" customHeight="1" ht="17.25">
      <c r="A332" s="7">
        <v>45827</v>
      </c>
      <c r="B332" s="9" t="s">
        <v>3</v>
      </c>
      <c r="C332" s="6">
        <v>93</v>
      </c>
      <c r="D332" s="4"/>
      <c r="E332" s="6">
        <f>E331+C332-D332</f>
      </c>
      <c r="F332" s="2"/>
    </row>
    <row x14ac:dyDescent="0.25" r="333" customHeight="1" ht="17.25">
      <c r="A333" s="8">
        <v>45828</v>
      </c>
      <c r="B333" s="9" t="s">
        <v>172</v>
      </c>
      <c r="C333" s="6">
        <v>19</v>
      </c>
      <c r="D333" s="4"/>
      <c r="E333" s="6">
        <f>E332+C333-D333</f>
      </c>
      <c r="F333" s="2"/>
    </row>
    <row x14ac:dyDescent="0.25" r="334" customHeight="1" ht="17.25">
      <c r="A334" s="8">
        <v>45828</v>
      </c>
      <c r="B334" s="9" t="s">
        <v>497</v>
      </c>
      <c r="C334" s="6">
        <v>51</v>
      </c>
      <c r="D334" s="4"/>
      <c r="E334" s="6">
        <f>E333+C334-D334</f>
      </c>
      <c r="F334" s="2"/>
    </row>
    <row x14ac:dyDescent="0.25" r="335" customHeight="1" ht="17.25">
      <c r="A335" s="7">
        <v>45828</v>
      </c>
      <c r="B335" s="9" t="s">
        <v>3</v>
      </c>
      <c r="C335" s="6">
        <v>39</v>
      </c>
      <c r="D335" s="4"/>
      <c r="E335" s="6">
        <f>E334+C335-D335</f>
      </c>
      <c r="F335" s="2"/>
    </row>
    <row x14ac:dyDescent="0.25" r="336" customHeight="1" ht="17.25">
      <c r="A336" s="7">
        <v>45831</v>
      </c>
      <c r="B336" s="9" t="s">
        <v>89</v>
      </c>
      <c r="C336" s="3"/>
      <c r="D336" s="6">
        <v>50</v>
      </c>
      <c r="E336" s="6">
        <f>E335+C336-D336</f>
      </c>
      <c r="F336" s="2"/>
    </row>
    <row x14ac:dyDescent="0.25" r="337" customHeight="1" ht="17.25">
      <c r="A337" s="8">
        <v>45831</v>
      </c>
      <c r="B337" s="9" t="s">
        <v>141</v>
      </c>
      <c r="C337" s="6">
        <v>90</v>
      </c>
      <c r="D337" s="4"/>
      <c r="E337" s="6">
        <f>E336+C337-D337</f>
      </c>
      <c r="F337" s="2"/>
    </row>
    <row x14ac:dyDescent="0.25" r="338" customHeight="1" ht="17.25">
      <c r="A338" s="7">
        <v>45832</v>
      </c>
      <c r="B338" s="9" t="s">
        <v>524</v>
      </c>
      <c r="C338" s="6">
        <v>47</v>
      </c>
      <c r="D338" s="4"/>
      <c r="E338" s="6">
        <f>E337+C338-D338</f>
      </c>
      <c r="F338" s="2"/>
    </row>
    <row x14ac:dyDescent="0.25" r="339" customHeight="1" ht="17.25">
      <c r="A339" s="8">
        <v>45833</v>
      </c>
      <c r="B339" s="9" t="s">
        <v>272</v>
      </c>
      <c r="C339" s="6">
        <v>4</v>
      </c>
      <c r="D339" s="4"/>
      <c r="E339" s="6">
        <f>E338+C339-D339</f>
      </c>
      <c r="F339" s="2"/>
    </row>
    <row x14ac:dyDescent="0.25" r="340" customHeight="1" ht="17.25">
      <c r="A340" s="8">
        <v>45833</v>
      </c>
      <c r="B340" s="9" t="s">
        <v>485</v>
      </c>
      <c r="C340" s="6">
        <v>66</v>
      </c>
      <c r="D340" s="4"/>
      <c r="E340" s="6">
        <f>E339+C340-D340</f>
      </c>
      <c r="F340" s="2"/>
    </row>
    <row x14ac:dyDescent="0.25" r="341" customHeight="1" ht="17.25">
      <c r="A341" s="8">
        <v>45833</v>
      </c>
      <c r="B341" s="9" t="s">
        <v>35</v>
      </c>
      <c r="C341" s="6">
        <v>195</v>
      </c>
      <c r="D341" s="4"/>
      <c r="E341" s="6">
        <f>E340+C341-D341</f>
      </c>
      <c r="F341" s="2"/>
    </row>
    <row x14ac:dyDescent="0.25" r="342" customHeight="1" ht="17.25">
      <c r="A342" s="7">
        <v>45833</v>
      </c>
      <c r="B342" s="9" t="s">
        <v>3</v>
      </c>
      <c r="C342" s="6">
        <v>49</v>
      </c>
      <c r="D342" s="4"/>
      <c r="E342" s="6">
        <f>E341+C342-D342</f>
      </c>
      <c r="F342" s="2"/>
    </row>
    <row x14ac:dyDescent="0.25" r="343" customHeight="1" ht="17.25">
      <c r="A343" s="7">
        <v>45834</v>
      </c>
      <c r="B343" s="9" t="s">
        <v>3</v>
      </c>
      <c r="C343" s="6">
        <v>308</v>
      </c>
      <c r="D343" s="4"/>
      <c r="E343" s="6">
        <f>E342+C343-D343</f>
      </c>
      <c r="F343" s="2"/>
    </row>
    <row x14ac:dyDescent="0.25" r="344" customHeight="1" ht="17.25">
      <c r="A344" s="7">
        <v>45834</v>
      </c>
      <c r="B344" s="9" t="s">
        <v>3</v>
      </c>
      <c r="C344" s="6">
        <v>396</v>
      </c>
      <c r="D344" s="4"/>
      <c r="E344" s="6">
        <f>E343+C344-D344</f>
      </c>
      <c r="F344" s="2"/>
    </row>
    <row x14ac:dyDescent="0.25" r="345" customHeight="1" ht="17.25">
      <c r="A345" s="7">
        <v>45835</v>
      </c>
      <c r="B345" s="9" t="s">
        <v>495</v>
      </c>
      <c r="C345" s="3"/>
      <c r="D345" s="6">
        <v>150</v>
      </c>
      <c r="E345" s="6">
        <f>E344+C345-D345</f>
      </c>
      <c r="F345" s="2"/>
    </row>
    <row x14ac:dyDescent="0.25" r="346" customHeight="1" ht="17.25">
      <c r="A346" s="8">
        <v>45836</v>
      </c>
      <c r="B346" s="9" t="s">
        <v>316</v>
      </c>
      <c r="C346" s="3"/>
      <c r="D346" s="6">
        <v>350</v>
      </c>
      <c r="E346" s="6">
        <f>E345+C346-D346</f>
      </c>
      <c r="F346" s="2"/>
    </row>
    <row x14ac:dyDescent="0.25" r="347" customHeight="1" ht="17.25">
      <c r="A347" s="7">
        <v>45839</v>
      </c>
      <c r="B347" s="9" t="s">
        <v>444</v>
      </c>
      <c r="C347" s="3"/>
      <c r="D347" s="6">
        <v>26</v>
      </c>
      <c r="E347" s="6">
        <f>E346+C347-D347</f>
      </c>
      <c r="F347" s="2"/>
    </row>
    <row x14ac:dyDescent="0.25" r="348" customHeight="1" ht="17.25">
      <c r="A348" s="7">
        <v>45839</v>
      </c>
      <c r="B348" s="9" t="s">
        <v>100</v>
      </c>
      <c r="C348" s="3"/>
      <c r="D348" s="6">
        <v>50</v>
      </c>
      <c r="E348" s="6">
        <f>E347+C348-D348</f>
      </c>
      <c r="F348" s="2"/>
    </row>
    <row x14ac:dyDescent="0.25" r="349" customHeight="1" ht="17.25">
      <c r="A349" s="8">
        <v>45839</v>
      </c>
      <c r="B349" s="9" t="s">
        <v>35</v>
      </c>
      <c r="C349" s="6">
        <v>43</v>
      </c>
      <c r="D349" s="4"/>
      <c r="E349" s="6">
        <f>E348+C349-D349</f>
      </c>
      <c r="F349" s="2"/>
    </row>
    <row x14ac:dyDescent="0.25" r="350" customHeight="1" ht="17.25">
      <c r="A350" s="8">
        <v>45839</v>
      </c>
      <c r="B350" s="9" t="s">
        <v>286</v>
      </c>
      <c r="C350" s="6">
        <v>16</v>
      </c>
      <c r="D350" s="4"/>
      <c r="E350" s="6">
        <f>E349+C350-D350</f>
      </c>
      <c r="F350" s="2"/>
    </row>
    <row x14ac:dyDescent="0.25" r="351" customHeight="1" ht="17.25">
      <c r="A351" s="7">
        <v>45839</v>
      </c>
      <c r="B351" s="9" t="s">
        <v>3</v>
      </c>
      <c r="C351" s="6">
        <v>30</v>
      </c>
      <c r="D351" s="4"/>
      <c r="E351" s="6">
        <f>E350+C351-D351</f>
      </c>
      <c r="F351" s="2"/>
    </row>
    <row x14ac:dyDescent="0.25" r="352" customHeight="1" ht="17.25">
      <c r="A352" s="8">
        <v>45840</v>
      </c>
      <c r="B352" s="9" t="s">
        <v>46</v>
      </c>
      <c r="C352" s="3"/>
      <c r="D352" s="6">
        <v>36</v>
      </c>
      <c r="E352" s="6">
        <f>E351+C352-D352</f>
      </c>
      <c r="F352" s="2"/>
    </row>
    <row x14ac:dyDescent="0.25" r="353" customHeight="1" ht="17.25">
      <c r="A353" s="7">
        <v>45841</v>
      </c>
      <c r="B353" s="9" t="s">
        <v>284</v>
      </c>
      <c r="C353" s="3"/>
      <c r="D353" s="6">
        <v>150</v>
      </c>
      <c r="E353" s="6">
        <f>E352+C353-D353</f>
      </c>
      <c r="F353" s="2"/>
    </row>
    <row x14ac:dyDescent="0.25" r="354" customHeight="1" ht="17.25">
      <c r="A354" s="7">
        <v>45842</v>
      </c>
      <c r="B354" s="9" t="s">
        <v>100</v>
      </c>
      <c r="C354" s="3"/>
      <c r="D354" s="6">
        <v>300</v>
      </c>
      <c r="E354" s="6">
        <f>E353+C354-D354</f>
      </c>
      <c r="F354" s="2"/>
    </row>
    <row x14ac:dyDescent="0.25" r="355" customHeight="1" ht="17.25">
      <c r="A355" s="8">
        <v>45842</v>
      </c>
      <c r="B355" s="9" t="s">
        <v>333</v>
      </c>
      <c r="C355" s="3"/>
      <c r="D355" s="6">
        <v>100</v>
      </c>
      <c r="E355" s="6">
        <f>E354+C355-D355</f>
      </c>
      <c r="F355" s="2"/>
    </row>
    <row x14ac:dyDescent="0.25" r="356" customHeight="1" ht="17.25">
      <c r="A356" s="8">
        <v>45842</v>
      </c>
      <c r="B356" s="9" t="s">
        <v>89</v>
      </c>
      <c r="C356" s="6">
        <v>50</v>
      </c>
      <c r="D356" s="4"/>
      <c r="E356" s="6">
        <f>E355+C356-D356</f>
      </c>
      <c r="F356" s="2"/>
    </row>
    <row x14ac:dyDescent="0.25" r="357" customHeight="1" ht="17.25">
      <c r="A357" s="7">
        <v>45843</v>
      </c>
      <c r="B357" s="9" t="s">
        <v>333</v>
      </c>
      <c r="C357" s="3"/>
      <c r="D357" s="6">
        <v>46</v>
      </c>
      <c r="E357" s="6">
        <f>E356+C357-D357</f>
      </c>
      <c r="F357" s="2"/>
    </row>
    <row x14ac:dyDescent="0.25" r="358" customHeight="1" ht="17.25">
      <c r="A358" s="7">
        <v>45843</v>
      </c>
      <c r="B358" s="9" t="s">
        <v>283</v>
      </c>
      <c r="C358" s="6">
        <v>12</v>
      </c>
      <c r="D358" s="4"/>
      <c r="E358" s="6">
        <f>E357+C358-D358</f>
      </c>
      <c r="F358" s="2"/>
    </row>
    <row x14ac:dyDescent="0.25" r="359" customHeight="1" ht="17.25">
      <c r="A359" s="8">
        <v>45845</v>
      </c>
      <c r="B359" s="9" t="s">
        <v>343</v>
      </c>
      <c r="C359" s="3"/>
      <c r="D359" s="6">
        <v>10</v>
      </c>
      <c r="E359" s="6">
        <f>E358+C359-D359</f>
      </c>
      <c r="F359" s="2"/>
    </row>
    <row x14ac:dyDescent="0.25" r="360" customHeight="1" ht="17.25">
      <c r="A360" s="7">
        <v>45845</v>
      </c>
      <c r="B360" s="9" t="s">
        <v>389</v>
      </c>
      <c r="C360" s="3"/>
      <c r="D360" s="6">
        <v>100</v>
      </c>
      <c r="E360" s="6">
        <f>E359+C360-D360</f>
      </c>
      <c r="F360" s="2"/>
    </row>
    <row x14ac:dyDescent="0.25" r="361" customHeight="1" ht="17.25">
      <c r="A361" s="7">
        <v>45846</v>
      </c>
      <c r="B361" s="9" t="s">
        <v>234</v>
      </c>
      <c r="C361" s="3"/>
      <c r="D361" s="6">
        <v>20</v>
      </c>
      <c r="E361" s="6">
        <f>E360+C361-D361</f>
      </c>
      <c r="F361" s="2"/>
    </row>
    <row x14ac:dyDescent="0.25" r="362" customHeight="1" ht="17.25">
      <c r="A362" s="8">
        <v>45846</v>
      </c>
      <c r="B362" s="9" t="s">
        <v>141</v>
      </c>
      <c r="C362" s="6">
        <v>110</v>
      </c>
      <c r="D362" s="4"/>
      <c r="E362" s="6">
        <f>E361+C362-D362</f>
      </c>
      <c r="F362" s="2"/>
    </row>
    <row x14ac:dyDescent="0.25" r="363" customHeight="1" ht="17.25">
      <c r="A363" s="8">
        <v>45846</v>
      </c>
      <c r="B363" s="9" t="s">
        <v>42</v>
      </c>
      <c r="C363" s="6">
        <v>124</v>
      </c>
      <c r="D363" s="4"/>
      <c r="E363" s="6">
        <f>E362+C363-D363</f>
      </c>
      <c r="F363" s="2"/>
    </row>
    <row x14ac:dyDescent="0.25" r="364" customHeight="1" ht="17.25">
      <c r="A364" s="30">
        <v>45847</v>
      </c>
      <c r="B364" s="9" t="s">
        <v>234</v>
      </c>
      <c r="C364" s="3"/>
      <c r="D364" s="6">
        <v>100</v>
      </c>
      <c r="E364" s="6">
        <f>E363+C364-D364</f>
      </c>
      <c r="F364" s="2"/>
    </row>
    <row x14ac:dyDescent="0.25" r="365" customHeight="1" ht="17.25">
      <c r="A365" s="7">
        <v>45847</v>
      </c>
      <c r="B365" s="9" t="s">
        <v>25</v>
      </c>
      <c r="C365" s="3"/>
      <c r="D365" s="6">
        <v>100</v>
      </c>
      <c r="E365" s="6">
        <f>E364+C365-D365</f>
      </c>
      <c r="F365" s="2"/>
    </row>
    <row x14ac:dyDescent="0.25" r="366" customHeight="1" ht="17.25">
      <c r="A366" s="8">
        <v>45847</v>
      </c>
      <c r="B366" s="9" t="s">
        <v>35</v>
      </c>
      <c r="C366" s="6">
        <v>36</v>
      </c>
      <c r="D366" s="4"/>
      <c r="E366" s="6">
        <f>E365+C366-D366</f>
      </c>
      <c r="F366" s="2"/>
    </row>
    <row x14ac:dyDescent="0.25" r="367" customHeight="1" ht="17.25">
      <c r="A367" s="8">
        <v>45848</v>
      </c>
      <c r="B367" s="9" t="s">
        <v>286</v>
      </c>
      <c r="C367" s="6">
        <v>76</v>
      </c>
      <c r="D367" s="4"/>
      <c r="E367" s="6">
        <f>E366+C367-D367</f>
      </c>
      <c r="F367" s="2"/>
    </row>
    <row x14ac:dyDescent="0.25" r="368" customHeight="1" ht="17.25">
      <c r="A368" s="7">
        <v>45848</v>
      </c>
      <c r="B368" s="9" t="s">
        <v>189</v>
      </c>
      <c r="C368" s="6">
        <v>15</v>
      </c>
      <c r="D368" s="4"/>
      <c r="E368" s="6">
        <f>E367+C368-D368</f>
      </c>
      <c r="F368" s="2"/>
    </row>
    <row x14ac:dyDescent="0.25" r="369" customHeight="1" ht="17.25">
      <c r="A369" s="8">
        <v>45850</v>
      </c>
      <c r="B369" s="9" t="s">
        <v>2</v>
      </c>
      <c r="C369" s="3"/>
      <c r="D369" s="6">
        <v>30</v>
      </c>
      <c r="E369" s="6">
        <f>E368+C369-D369</f>
      </c>
      <c r="F369" s="2"/>
    </row>
    <row x14ac:dyDescent="0.25" r="370" customHeight="1" ht="17.25">
      <c r="A370" s="8">
        <v>45850</v>
      </c>
      <c r="B370" s="9" t="s">
        <v>238</v>
      </c>
      <c r="C370" s="6">
        <v>31</v>
      </c>
      <c r="D370" s="4"/>
      <c r="E370" s="6">
        <f>E369+C370-D370</f>
      </c>
      <c r="F370" s="2"/>
    </row>
    <row x14ac:dyDescent="0.25" r="371" customHeight="1" ht="17.25">
      <c r="A371" s="7">
        <v>45850</v>
      </c>
      <c r="B371" s="9" t="s">
        <v>189</v>
      </c>
      <c r="C371" s="6">
        <v>25</v>
      </c>
      <c r="D371" s="4"/>
      <c r="E371" s="6">
        <f>E370+C371-D371</f>
      </c>
      <c r="F371" s="2"/>
    </row>
    <row x14ac:dyDescent="0.25" r="372" customHeight="1" ht="17.25">
      <c r="A372" s="7">
        <v>45852</v>
      </c>
      <c r="B372" s="9" t="s">
        <v>286</v>
      </c>
      <c r="C372" s="6">
        <v>45</v>
      </c>
      <c r="D372" s="4"/>
      <c r="E372" s="6">
        <f>E371+C372-D372</f>
      </c>
      <c r="F372" s="2"/>
    </row>
    <row x14ac:dyDescent="0.25" r="373" customHeight="1" ht="17.25">
      <c r="A373" s="8">
        <v>45853</v>
      </c>
      <c r="B373" s="9" t="s">
        <v>47</v>
      </c>
      <c r="C373" s="3"/>
      <c r="D373" s="6">
        <v>96</v>
      </c>
      <c r="E373" s="6">
        <f>E372+C373-D373</f>
      </c>
      <c r="F373" s="2"/>
    </row>
    <row x14ac:dyDescent="0.25" r="374" customHeight="1" ht="17.25">
      <c r="A374" s="7">
        <v>45853</v>
      </c>
      <c r="B374" s="9" t="s">
        <v>382</v>
      </c>
      <c r="C374" s="6">
        <v>9</v>
      </c>
      <c r="D374" s="4"/>
      <c r="E374" s="6">
        <f>E373+C374-D374</f>
      </c>
      <c r="F374" s="2"/>
    </row>
    <row x14ac:dyDescent="0.25" r="375" customHeight="1" ht="17.25">
      <c r="A375" s="8">
        <v>45853</v>
      </c>
      <c r="B375" s="9" t="s">
        <v>301</v>
      </c>
      <c r="C375" s="3"/>
      <c r="D375" s="6">
        <v>40</v>
      </c>
      <c r="E375" s="6">
        <f>E374+C375-D375</f>
      </c>
      <c r="F375" s="2"/>
    </row>
    <row x14ac:dyDescent="0.25" r="376" customHeight="1" ht="17.25">
      <c r="A376" s="7">
        <v>45854</v>
      </c>
      <c r="B376" s="9" t="s">
        <v>35</v>
      </c>
      <c r="C376" s="6">
        <v>49</v>
      </c>
      <c r="D376" s="4"/>
      <c r="E376" s="6">
        <f>E375+C376-D376</f>
      </c>
      <c r="F376" s="2"/>
    </row>
    <row x14ac:dyDescent="0.25" r="377" customHeight="1" ht="17.25">
      <c r="A377" s="7">
        <v>45854</v>
      </c>
      <c r="B377" s="9" t="s">
        <v>189</v>
      </c>
      <c r="C377" s="6">
        <v>29</v>
      </c>
      <c r="D377" s="4"/>
      <c r="E377" s="6">
        <f>E376+C377-D377</f>
      </c>
      <c r="F377" s="2"/>
    </row>
    <row x14ac:dyDescent="0.25" r="378" customHeight="1" ht="17.25">
      <c r="A378" s="7">
        <v>45855</v>
      </c>
      <c r="B378" s="9" t="s">
        <v>299</v>
      </c>
      <c r="C378" s="3"/>
      <c r="D378" s="6">
        <v>22</v>
      </c>
      <c r="E378" s="6">
        <f>E377+C378-D378</f>
      </c>
      <c r="F378" s="2"/>
    </row>
    <row x14ac:dyDescent="0.25" r="379" customHeight="1" ht="17.25">
      <c r="A379" s="7">
        <v>45855</v>
      </c>
      <c r="B379" s="9" t="s">
        <v>42</v>
      </c>
      <c r="C379" s="6">
        <v>100</v>
      </c>
      <c r="D379" s="4"/>
      <c r="E379" s="6">
        <f>E378+C379-D379</f>
      </c>
      <c r="F379" s="2"/>
    </row>
    <row x14ac:dyDescent="0.25" r="380" customHeight="1" ht="17.25">
      <c r="A380" s="7">
        <v>45856</v>
      </c>
      <c r="B380" s="9" t="s">
        <v>41</v>
      </c>
      <c r="C380" s="6">
        <v>20</v>
      </c>
      <c r="D380" s="4"/>
      <c r="E380" s="6">
        <f>E379+C380-D380</f>
      </c>
      <c r="F380" s="2"/>
    </row>
    <row x14ac:dyDescent="0.25" r="381" customHeight="1" ht="17.25">
      <c r="A381" s="7">
        <v>45857</v>
      </c>
      <c r="B381" s="9" t="s">
        <v>46</v>
      </c>
      <c r="C381" s="3"/>
      <c r="D381" s="6">
        <v>150</v>
      </c>
      <c r="E381" s="6">
        <f>E380+C381-D381</f>
      </c>
      <c r="F381" s="2"/>
    </row>
    <row x14ac:dyDescent="0.25" r="382" customHeight="1" ht="17.25">
      <c r="A382" s="8">
        <v>45857</v>
      </c>
      <c r="B382" s="9" t="s">
        <v>299</v>
      </c>
      <c r="C382" s="3"/>
      <c r="D382" s="6">
        <v>24</v>
      </c>
      <c r="E382" s="6">
        <f>E381+C382-D382</f>
      </c>
      <c r="F382" s="2"/>
    </row>
    <row x14ac:dyDescent="0.25" r="383" customHeight="1" ht="17.25">
      <c r="A383" s="8">
        <v>45859</v>
      </c>
      <c r="B383" s="9" t="s">
        <v>311</v>
      </c>
      <c r="C383" s="3"/>
      <c r="D383" s="6">
        <v>23</v>
      </c>
      <c r="E383" s="6">
        <f>E382+C383-D383</f>
      </c>
      <c r="F383" s="2"/>
    </row>
    <row x14ac:dyDescent="0.25" r="384" customHeight="1" ht="17.25">
      <c r="A384" s="8">
        <v>45859</v>
      </c>
      <c r="B384" s="9" t="s">
        <v>286</v>
      </c>
      <c r="C384" s="6">
        <v>55</v>
      </c>
      <c r="D384" s="4"/>
      <c r="E384" s="6">
        <f>E383+C384-D384</f>
      </c>
      <c r="F384" s="2"/>
    </row>
    <row x14ac:dyDescent="0.25" r="385" customHeight="1" ht="17.25">
      <c r="A385" s="7">
        <v>45859</v>
      </c>
      <c r="B385" s="9" t="s">
        <v>179</v>
      </c>
      <c r="C385" s="6">
        <v>160</v>
      </c>
      <c r="D385" s="4"/>
      <c r="E385" s="6">
        <f>E384+C385-D385</f>
      </c>
      <c r="F385" s="2"/>
    </row>
    <row x14ac:dyDescent="0.25" r="386" customHeight="1" ht="17.25">
      <c r="A386" s="7">
        <v>45860</v>
      </c>
      <c r="B386" s="9" t="s">
        <v>47</v>
      </c>
      <c r="C386" s="3"/>
      <c r="D386" s="6">
        <v>100</v>
      </c>
      <c r="E386" s="6">
        <f>E385+C386-D386</f>
      </c>
      <c r="F386" s="2"/>
    </row>
    <row x14ac:dyDescent="0.25" r="387" customHeight="1" ht="17.25">
      <c r="A387" s="7">
        <v>45860</v>
      </c>
      <c r="B387" s="9" t="s">
        <v>391</v>
      </c>
      <c r="C387" s="3"/>
      <c r="D387" s="6">
        <v>50</v>
      </c>
      <c r="E387" s="6">
        <f>E386+C387-D387</f>
      </c>
      <c r="F387" s="2"/>
    </row>
    <row x14ac:dyDescent="0.25" r="388" customHeight="1" ht="17.25">
      <c r="A388" s="8">
        <v>45860</v>
      </c>
      <c r="B388" s="9" t="s">
        <v>42</v>
      </c>
      <c r="C388" s="6">
        <v>172</v>
      </c>
      <c r="D388" s="4"/>
      <c r="E388" s="6">
        <f>E387+C388-D388</f>
      </c>
      <c r="F388" s="2"/>
    </row>
    <row x14ac:dyDescent="0.25" r="389" customHeight="1" ht="17.25">
      <c r="A389" s="7">
        <v>45860</v>
      </c>
      <c r="B389" s="9" t="s">
        <v>499</v>
      </c>
      <c r="C389" s="6">
        <v>500</v>
      </c>
      <c r="D389" s="4"/>
      <c r="E389" s="6">
        <f>E388+C389-D389</f>
      </c>
      <c r="F389" s="2"/>
    </row>
    <row x14ac:dyDescent="0.25" r="390" customHeight="1" ht="17.25">
      <c r="A390" s="8">
        <v>45860</v>
      </c>
      <c r="B390" s="9" t="s">
        <v>89</v>
      </c>
      <c r="C390" s="6">
        <v>36</v>
      </c>
      <c r="D390" s="4"/>
      <c r="E390" s="6">
        <f>E389+C390-D390</f>
      </c>
      <c r="F390" s="2"/>
    </row>
    <row x14ac:dyDescent="0.25" r="391" customHeight="1" ht="17.25">
      <c r="A391" s="8">
        <v>45860</v>
      </c>
      <c r="B391" s="9" t="s">
        <v>141</v>
      </c>
      <c r="C391" s="6">
        <v>14</v>
      </c>
      <c r="D391" s="4"/>
      <c r="E391" s="6">
        <f>E390+C391-D391</f>
      </c>
      <c r="F391" s="2"/>
    </row>
    <row x14ac:dyDescent="0.25" r="392" customHeight="1" ht="17.25">
      <c r="A392" s="7">
        <v>45861</v>
      </c>
      <c r="B392" s="9" t="s">
        <v>297</v>
      </c>
      <c r="C392" s="3"/>
      <c r="D392" s="6">
        <v>30</v>
      </c>
      <c r="E392" s="6">
        <f>E391+C392-D392</f>
      </c>
      <c r="F392" s="2"/>
    </row>
    <row x14ac:dyDescent="0.25" r="393" customHeight="1" ht="17.25">
      <c r="A393" s="7">
        <v>45861</v>
      </c>
      <c r="B393" s="9" t="s">
        <v>284</v>
      </c>
      <c r="C393" s="3"/>
      <c r="D393" s="6">
        <v>50</v>
      </c>
      <c r="E393" s="6">
        <f>E392+C393-D393</f>
      </c>
      <c r="F393" s="2"/>
    </row>
    <row x14ac:dyDescent="0.25" r="394" customHeight="1" ht="17.25">
      <c r="A394" s="7">
        <v>45861</v>
      </c>
      <c r="B394" s="9" t="s">
        <v>233</v>
      </c>
      <c r="C394" s="3"/>
      <c r="D394" s="6">
        <v>140</v>
      </c>
      <c r="E394" s="6">
        <f>E393+C394-D394</f>
      </c>
      <c r="F394" s="2"/>
    </row>
    <row x14ac:dyDescent="0.25" r="395" customHeight="1" ht="17.25">
      <c r="A395" s="7">
        <v>45861</v>
      </c>
      <c r="B395" s="9" t="s">
        <v>304</v>
      </c>
      <c r="C395" s="3"/>
      <c r="D395" s="6">
        <v>50</v>
      </c>
      <c r="E395" s="6">
        <f>E394+C395-D395</f>
      </c>
      <c r="F395" s="2"/>
    </row>
    <row x14ac:dyDescent="0.25" r="396" customHeight="1" ht="17.25">
      <c r="A396" s="8">
        <v>45861</v>
      </c>
      <c r="B396" s="9" t="s">
        <v>141</v>
      </c>
      <c r="C396" s="6">
        <v>26</v>
      </c>
      <c r="D396" s="4"/>
      <c r="E396" s="6">
        <f>E395+C396-D396</f>
      </c>
      <c r="F396" s="2"/>
    </row>
    <row x14ac:dyDescent="0.25" r="397" customHeight="1" ht="17.25">
      <c r="A397" s="8">
        <v>45862</v>
      </c>
      <c r="B397" s="9" t="s">
        <v>232</v>
      </c>
      <c r="C397" s="3"/>
      <c r="D397" s="6">
        <v>200</v>
      </c>
      <c r="E397" s="6">
        <f>E396+C397-D397</f>
      </c>
      <c r="F397" s="2"/>
    </row>
    <row x14ac:dyDescent="0.25" r="398" customHeight="1" ht="17.25">
      <c r="A398" s="7">
        <v>45862</v>
      </c>
      <c r="B398" s="9" t="s">
        <v>316</v>
      </c>
      <c r="C398" s="3"/>
      <c r="D398" s="6">
        <v>100</v>
      </c>
      <c r="E398" s="6">
        <f>E397+C398-D398</f>
      </c>
      <c r="F398" s="2"/>
    </row>
    <row x14ac:dyDescent="0.25" r="399" customHeight="1" ht="17.25">
      <c r="A399" s="7">
        <v>45862</v>
      </c>
      <c r="B399" s="9" t="s">
        <v>485</v>
      </c>
      <c r="C399" s="6">
        <v>216</v>
      </c>
      <c r="D399" s="4"/>
      <c r="E399" s="6">
        <f>E398+C399-D399</f>
      </c>
      <c r="F399" s="2"/>
    </row>
    <row x14ac:dyDescent="0.25" r="400" customHeight="1" ht="17.25">
      <c r="A400" s="7">
        <v>45862</v>
      </c>
      <c r="B400" s="9" t="s">
        <v>286</v>
      </c>
      <c r="C400" s="6">
        <v>30</v>
      </c>
      <c r="D400" s="4"/>
      <c r="E400" s="6">
        <f>E399+C400-D400</f>
      </c>
      <c r="F400" s="2"/>
    </row>
    <row x14ac:dyDescent="0.25" r="401" customHeight="1" ht="17.25">
      <c r="A401" s="7">
        <v>45863</v>
      </c>
      <c r="B401" s="9" t="s">
        <v>35</v>
      </c>
      <c r="C401" s="6">
        <v>57</v>
      </c>
      <c r="D401" s="4"/>
      <c r="E401" s="6">
        <f>E400+C401-D401</f>
      </c>
      <c r="F401" s="2"/>
    </row>
    <row x14ac:dyDescent="0.25" r="402" customHeight="1" ht="17.25">
      <c r="A402" s="8">
        <v>45864</v>
      </c>
      <c r="B402" s="9" t="s">
        <v>241</v>
      </c>
      <c r="C402" s="3"/>
      <c r="D402" s="6">
        <v>140</v>
      </c>
      <c r="E402" s="6">
        <f>E401+C402-D402</f>
      </c>
      <c r="F402" s="2"/>
    </row>
    <row x14ac:dyDescent="0.25" r="403" customHeight="1" ht="17.25">
      <c r="A403" s="7">
        <v>45864</v>
      </c>
      <c r="B403" s="9" t="s">
        <v>47</v>
      </c>
      <c r="C403" s="3"/>
      <c r="D403" s="6">
        <v>40</v>
      </c>
      <c r="E403" s="6">
        <f>E402+C403-D403</f>
      </c>
      <c r="F403" s="2"/>
    </row>
    <row x14ac:dyDescent="0.25" r="404" customHeight="1" ht="17.25">
      <c r="A404" s="8">
        <v>45864</v>
      </c>
      <c r="B404" s="9" t="s">
        <v>368</v>
      </c>
      <c r="C404" s="6">
        <v>22</v>
      </c>
      <c r="D404" s="4"/>
      <c r="E404" s="6">
        <f>E403+C404-D404</f>
      </c>
      <c r="F404" s="2"/>
    </row>
    <row x14ac:dyDescent="0.25" r="405" customHeight="1" ht="17.25">
      <c r="A405" s="7">
        <v>45864</v>
      </c>
      <c r="B405" s="9" t="s">
        <v>286</v>
      </c>
      <c r="C405" s="6">
        <v>61</v>
      </c>
      <c r="D405" s="4"/>
      <c r="E405" s="6">
        <f>E404+C405-D405</f>
      </c>
      <c r="F405" s="2"/>
    </row>
    <row x14ac:dyDescent="0.25" r="406" customHeight="1" ht="17.25">
      <c r="A406" s="8">
        <v>45866</v>
      </c>
      <c r="B406" s="9" t="s">
        <v>48</v>
      </c>
      <c r="C406" s="3"/>
      <c r="D406" s="6">
        <v>400</v>
      </c>
      <c r="E406" s="6">
        <f>E405+C406-D406</f>
      </c>
      <c r="F406" s="2"/>
    </row>
    <row x14ac:dyDescent="0.25" r="407" customHeight="1" ht="17.25">
      <c r="A407" s="7">
        <v>45866</v>
      </c>
      <c r="B407" s="9" t="s">
        <v>89</v>
      </c>
      <c r="C407" s="6">
        <v>39</v>
      </c>
      <c r="D407" s="4"/>
      <c r="E407" s="6">
        <f>E406+C407-D407</f>
      </c>
      <c r="F407" s="2"/>
    </row>
    <row x14ac:dyDescent="0.25" r="408" customHeight="1" ht="17.25">
      <c r="A408" s="8">
        <v>45867</v>
      </c>
      <c r="B408" s="9" t="s">
        <v>315</v>
      </c>
      <c r="C408" s="3"/>
      <c r="D408" s="6">
        <v>8</v>
      </c>
      <c r="E408" s="6">
        <f>E407+C408-D408</f>
      </c>
      <c r="F408" s="2"/>
    </row>
    <row x14ac:dyDescent="0.25" r="409" customHeight="1" ht="17.25">
      <c r="A409" s="7">
        <v>45867</v>
      </c>
      <c r="B409" s="9" t="s">
        <v>141</v>
      </c>
      <c r="C409" s="6">
        <v>13</v>
      </c>
      <c r="D409" s="4"/>
      <c r="E409" s="6">
        <f>E408+C409-D409</f>
      </c>
      <c r="F409" s="2"/>
    </row>
    <row x14ac:dyDescent="0.25" r="410" customHeight="1" ht="17.25">
      <c r="A410" s="8">
        <v>45867</v>
      </c>
      <c r="B410" s="9" t="s">
        <v>35</v>
      </c>
      <c r="C410" s="6">
        <v>54</v>
      </c>
      <c r="D410" s="4"/>
      <c r="E410" s="6">
        <f>E409+C410-D410</f>
      </c>
      <c r="F410" s="2"/>
    </row>
    <row x14ac:dyDescent="0.25" r="411" customHeight="1" ht="17.25">
      <c r="A411" s="7">
        <v>45867</v>
      </c>
      <c r="B411" s="9" t="s">
        <v>444</v>
      </c>
      <c r="C411" s="6">
        <v>12</v>
      </c>
      <c r="D411" s="4"/>
      <c r="E411" s="6">
        <f>E410+C411-D411</f>
      </c>
      <c r="F411" s="2"/>
    </row>
    <row x14ac:dyDescent="0.25" r="412" customHeight="1" ht="17.25">
      <c r="A412" s="8">
        <v>45868</v>
      </c>
      <c r="B412" s="9" t="s">
        <v>389</v>
      </c>
      <c r="C412" s="3"/>
      <c r="D412" s="6">
        <v>50</v>
      </c>
      <c r="E412" s="6">
        <f>E411+C412-D412</f>
      </c>
      <c r="F412" s="2"/>
    </row>
    <row x14ac:dyDescent="0.25" r="413" customHeight="1" ht="17.25">
      <c r="A413" s="7">
        <v>45868</v>
      </c>
      <c r="B413" s="9" t="s">
        <v>316</v>
      </c>
      <c r="C413" s="3"/>
      <c r="D413" s="6">
        <v>100</v>
      </c>
      <c r="E413" s="6">
        <f>E412+C413-D413</f>
      </c>
      <c r="F413" s="2"/>
    </row>
    <row x14ac:dyDescent="0.25" r="414" customHeight="1" ht="17.25">
      <c r="A414" s="8">
        <v>45868</v>
      </c>
      <c r="B414" s="9" t="s">
        <v>100</v>
      </c>
      <c r="C414" s="3"/>
      <c r="D414" s="6">
        <v>196</v>
      </c>
      <c r="E414" s="6">
        <f>E413+C414-D414</f>
      </c>
      <c r="F414" s="2"/>
    </row>
    <row x14ac:dyDescent="0.25" r="415" customHeight="1" ht="17.25">
      <c r="A415" s="7">
        <v>45868</v>
      </c>
      <c r="B415" s="9" t="s">
        <v>100</v>
      </c>
      <c r="C415" s="3"/>
      <c r="D415" s="6">
        <v>53</v>
      </c>
      <c r="E415" s="6">
        <f>E414+C415-D415</f>
      </c>
      <c r="F415" s="2"/>
    </row>
    <row x14ac:dyDescent="0.25" r="416" customHeight="1" ht="17.25">
      <c r="A416" s="8">
        <v>45868</v>
      </c>
      <c r="B416" s="9" t="s">
        <v>141</v>
      </c>
      <c r="C416" s="6">
        <v>74</v>
      </c>
      <c r="D416" s="4"/>
      <c r="E416" s="6">
        <f>E415+C416-D416</f>
      </c>
      <c r="F416" s="2"/>
    </row>
    <row x14ac:dyDescent="0.25" r="417" customHeight="1" ht="17.25">
      <c r="A417" s="8">
        <v>45869</v>
      </c>
      <c r="B417" s="9" t="s">
        <v>311</v>
      </c>
      <c r="C417" s="3"/>
      <c r="D417" s="6">
        <v>50</v>
      </c>
      <c r="E417" s="6">
        <f>E416+C417-D417</f>
      </c>
      <c r="F417" s="2"/>
    </row>
    <row x14ac:dyDescent="0.25" r="418" customHeight="1" ht="17.25">
      <c r="A418" s="7">
        <v>45869</v>
      </c>
      <c r="B418" s="9" t="s">
        <v>35</v>
      </c>
      <c r="C418" s="6">
        <v>31</v>
      </c>
      <c r="D418" s="4"/>
      <c r="E418" s="6">
        <f>E417+C418-D418</f>
      </c>
      <c r="F418" s="2"/>
    </row>
    <row x14ac:dyDescent="0.25" r="419" customHeight="1" ht="17.25">
      <c r="A419" s="8">
        <v>45871</v>
      </c>
      <c r="B419" s="9" t="s">
        <v>47</v>
      </c>
      <c r="C419" s="3"/>
      <c r="D419" s="6">
        <v>80</v>
      </c>
      <c r="E419" s="6">
        <f>E418+C419-D419</f>
      </c>
      <c r="F419" s="2"/>
    </row>
    <row x14ac:dyDescent="0.25" r="420" customHeight="1" ht="17.25">
      <c r="A420" s="8">
        <v>45873</v>
      </c>
      <c r="B420" s="9" t="s">
        <v>298</v>
      </c>
      <c r="C420" s="3"/>
      <c r="D420" s="6">
        <v>288</v>
      </c>
      <c r="E420" s="6">
        <f>E419+C420-D420</f>
      </c>
      <c r="F420" s="2"/>
    </row>
    <row x14ac:dyDescent="0.25" r="421" customHeight="1" ht="17.25">
      <c r="A421" s="8">
        <v>45873</v>
      </c>
      <c r="B421" s="9" t="s">
        <v>389</v>
      </c>
      <c r="C421" s="3"/>
      <c r="D421" s="6">
        <v>100</v>
      </c>
      <c r="E421" s="6">
        <f>E420+C421-D421</f>
      </c>
      <c r="F421" s="2"/>
    </row>
    <row x14ac:dyDescent="0.25" r="422" customHeight="1" ht="17.25">
      <c r="A422" s="7">
        <v>45873</v>
      </c>
      <c r="B422" s="9" t="s">
        <v>47</v>
      </c>
      <c r="C422" s="6">
        <v>80</v>
      </c>
      <c r="D422" s="4"/>
      <c r="E422" s="6">
        <f>E421+C422-D422</f>
      </c>
      <c r="F422" s="2"/>
    </row>
    <row x14ac:dyDescent="0.25" r="423" customHeight="1" ht="17.25">
      <c r="A423" s="7">
        <v>45873</v>
      </c>
      <c r="B423" s="9" t="s">
        <v>499</v>
      </c>
      <c r="C423" s="6">
        <v>288</v>
      </c>
      <c r="D423" s="4"/>
      <c r="E423" s="6">
        <f>E422+C423-D423</f>
      </c>
      <c r="F423" s="2"/>
    </row>
    <row x14ac:dyDescent="0.25" r="424" customHeight="1" ht="17.25">
      <c r="A424" s="8">
        <v>45874</v>
      </c>
      <c r="B424" s="9" t="s">
        <v>287</v>
      </c>
      <c r="C424" s="6">
        <v>6</v>
      </c>
      <c r="D424" s="4"/>
      <c r="E424" s="6">
        <f>E423+C424-D424</f>
      </c>
      <c r="F424" s="2"/>
    </row>
    <row x14ac:dyDescent="0.25" r="425" customHeight="1" ht="17.25">
      <c r="A425" s="7">
        <v>45874</v>
      </c>
      <c r="B425" s="9" t="s">
        <v>208</v>
      </c>
      <c r="C425" s="6">
        <v>140</v>
      </c>
      <c r="D425" s="4"/>
      <c r="E425" s="6">
        <f>E424+C425-D425</f>
      </c>
      <c r="F425" s="2"/>
    </row>
    <row x14ac:dyDescent="0.25" r="426" customHeight="1" ht="17.25">
      <c r="A426" s="7">
        <v>45875</v>
      </c>
      <c r="B426" s="9" t="s">
        <v>311</v>
      </c>
      <c r="C426" s="3"/>
      <c r="D426" s="6">
        <v>50</v>
      </c>
      <c r="E426" s="6">
        <f>E425+C426-D426</f>
      </c>
      <c r="F426" s="2"/>
    </row>
    <row x14ac:dyDescent="0.25" r="427" customHeight="1" ht="17.25">
      <c r="A427" s="7">
        <v>45875</v>
      </c>
      <c r="B427" s="9" t="s">
        <v>26</v>
      </c>
      <c r="C427" s="3"/>
      <c r="D427" s="6">
        <v>250</v>
      </c>
      <c r="E427" s="6">
        <f>E426+C427-D427</f>
      </c>
      <c r="F427" s="2"/>
    </row>
    <row x14ac:dyDescent="0.25" r="428" customHeight="1" ht="17.25">
      <c r="A428" s="7">
        <v>45875</v>
      </c>
      <c r="B428" s="9" t="s">
        <v>40</v>
      </c>
      <c r="C428" s="6">
        <v>300</v>
      </c>
      <c r="D428" s="4"/>
      <c r="E428" s="6">
        <f>E427+C428-D428</f>
      </c>
      <c r="F428" s="2"/>
    </row>
    <row x14ac:dyDescent="0.25" r="429" customHeight="1" ht="17.25">
      <c r="A429" s="7">
        <v>45875</v>
      </c>
      <c r="B429" s="9" t="s">
        <v>34</v>
      </c>
      <c r="C429" s="6">
        <v>282</v>
      </c>
      <c r="D429" s="4"/>
      <c r="E429" s="6">
        <f>E428+C429-D429</f>
      </c>
      <c r="F429" s="2"/>
    </row>
    <row x14ac:dyDescent="0.25" r="430" customHeight="1" ht="17.25">
      <c r="A430" s="8">
        <v>45876</v>
      </c>
      <c r="B430" s="9" t="s">
        <v>307</v>
      </c>
      <c r="C430" s="3"/>
      <c r="D430" s="6">
        <v>80</v>
      </c>
      <c r="E430" s="6">
        <f>E429+C430-D430</f>
      </c>
      <c r="F430" s="2"/>
    </row>
    <row x14ac:dyDescent="0.25" r="431" customHeight="1" ht="17.25">
      <c r="A431" s="8">
        <v>45876</v>
      </c>
      <c r="B431" s="9" t="s">
        <v>308</v>
      </c>
      <c r="C431" s="3"/>
      <c r="D431" s="6">
        <v>24</v>
      </c>
      <c r="E431" s="6">
        <f>E430+C431-D431</f>
      </c>
      <c r="F431" s="2"/>
    </row>
    <row x14ac:dyDescent="0.25" r="432" customHeight="1" ht="17.25">
      <c r="A432" s="7">
        <v>45876</v>
      </c>
      <c r="B432" s="9" t="s">
        <v>3</v>
      </c>
      <c r="C432" s="3"/>
      <c r="D432" s="6">
        <v>100</v>
      </c>
      <c r="E432" s="6">
        <f>E431+C432-D432</f>
      </c>
      <c r="F432" s="2"/>
    </row>
    <row x14ac:dyDescent="0.25" r="433" customHeight="1" ht="17.25">
      <c r="A433" s="7">
        <v>45876</v>
      </c>
      <c r="B433" s="9" t="s">
        <v>46</v>
      </c>
      <c r="C433" s="3"/>
      <c r="D433" s="6">
        <v>100</v>
      </c>
      <c r="E433" s="6">
        <f>E432+C433-D433</f>
      </c>
      <c r="F433" s="2"/>
    </row>
    <row x14ac:dyDescent="0.25" r="434" customHeight="1" ht="17.25">
      <c r="A434" s="7">
        <v>45876</v>
      </c>
      <c r="B434" s="9" t="s">
        <v>275</v>
      </c>
      <c r="C434" s="6">
        <v>38</v>
      </c>
      <c r="D434" s="4"/>
      <c r="E434" s="6">
        <f>E433+C434-D434</f>
      </c>
      <c r="F434" s="2"/>
    </row>
    <row x14ac:dyDescent="0.25" r="435" customHeight="1" ht="17.25">
      <c r="A435" s="8">
        <v>45876</v>
      </c>
      <c r="B435" s="9" t="s">
        <v>286</v>
      </c>
      <c r="C435" s="6">
        <v>2</v>
      </c>
      <c r="D435" s="4"/>
      <c r="E435" s="6">
        <f>E434+C435-D435</f>
      </c>
      <c r="F435" s="2"/>
    </row>
    <row x14ac:dyDescent="0.25" r="436" customHeight="1" ht="17.25">
      <c r="A436" s="7">
        <v>45876</v>
      </c>
      <c r="B436" s="9" t="s">
        <v>208</v>
      </c>
      <c r="C436" s="6">
        <v>12</v>
      </c>
      <c r="D436" s="4"/>
      <c r="E436" s="6">
        <f>E435+C436-D436</f>
      </c>
      <c r="F436" s="2"/>
    </row>
    <row x14ac:dyDescent="0.25" r="437" customHeight="1" ht="17.25">
      <c r="A437" s="8">
        <v>45878</v>
      </c>
      <c r="B437" s="9" t="s">
        <v>501</v>
      </c>
      <c r="C437" s="3"/>
      <c r="D437" s="6">
        <v>100</v>
      </c>
      <c r="E437" s="6">
        <f>E436+C437-D437</f>
      </c>
      <c r="F437" s="2"/>
    </row>
    <row x14ac:dyDescent="0.25" r="438" customHeight="1" ht="17.25">
      <c r="A438" s="7">
        <v>45878</v>
      </c>
      <c r="B438" s="9" t="s">
        <v>411</v>
      </c>
      <c r="C438" s="6">
        <v>12</v>
      </c>
      <c r="D438" s="4"/>
      <c r="E438" s="6">
        <f>E437+C438-D438</f>
      </c>
      <c r="F438" s="2"/>
    </row>
    <row x14ac:dyDescent="0.25" r="439" customHeight="1" ht="17.25">
      <c r="A439" s="7">
        <v>45878</v>
      </c>
      <c r="B439" s="9" t="s">
        <v>208</v>
      </c>
      <c r="C439" s="6">
        <v>25</v>
      </c>
      <c r="D439" s="4"/>
      <c r="E439" s="6">
        <f>E438+C439-D439</f>
      </c>
      <c r="F439" s="2"/>
    </row>
    <row x14ac:dyDescent="0.25" r="440" customHeight="1" ht="17.25">
      <c r="A440" s="7">
        <v>45878</v>
      </c>
      <c r="B440" s="9" t="s">
        <v>241</v>
      </c>
      <c r="C440" s="6">
        <v>130</v>
      </c>
      <c r="D440" s="4"/>
      <c r="E440" s="6">
        <f>E439+C440-D440</f>
      </c>
      <c r="F440" s="2"/>
    </row>
    <row x14ac:dyDescent="0.25" r="441" customHeight="1" ht="17.25">
      <c r="A441" s="8">
        <v>45880</v>
      </c>
      <c r="B441" s="9" t="s">
        <v>286</v>
      </c>
      <c r="C441" s="6">
        <v>5</v>
      </c>
      <c r="D441" s="4"/>
      <c r="E441" s="6">
        <f>E440+C441-D441</f>
      </c>
      <c r="F441" s="2"/>
    </row>
    <row x14ac:dyDescent="0.25" r="442" customHeight="1" ht="17.25">
      <c r="A442" s="8">
        <v>45880</v>
      </c>
      <c r="B442" s="9" t="s">
        <v>141</v>
      </c>
      <c r="C442" s="6">
        <v>23</v>
      </c>
      <c r="D442" s="4"/>
      <c r="E442" s="6">
        <f>E441+C442-D442</f>
      </c>
      <c r="F442" s="2"/>
    </row>
    <row x14ac:dyDescent="0.25" r="443" customHeight="1" ht="17.25">
      <c r="A443" s="7">
        <v>45881</v>
      </c>
      <c r="B443" s="9" t="s">
        <v>391</v>
      </c>
      <c r="C443" s="3"/>
      <c r="D443" s="6">
        <v>100</v>
      </c>
      <c r="E443" s="6">
        <f>E442+C443-D443</f>
      </c>
      <c r="F443" s="2"/>
    </row>
    <row x14ac:dyDescent="0.25" r="444" customHeight="1" ht="17.25">
      <c r="A444" s="7">
        <v>45881</v>
      </c>
      <c r="B444" s="9" t="s">
        <v>501</v>
      </c>
      <c r="C444" s="3"/>
      <c r="D444" s="6">
        <v>100</v>
      </c>
      <c r="E444" s="6">
        <f>E443+C444-D444</f>
      </c>
      <c r="F444" s="2"/>
    </row>
    <row x14ac:dyDescent="0.25" r="445" customHeight="1" ht="17.25">
      <c r="A445" s="7">
        <v>45881</v>
      </c>
      <c r="B445" s="9" t="s">
        <v>41</v>
      </c>
      <c r="C445" s="6">
        <v>4</v>
      </c>
      <c r="D445" s="4"/>
      <c r="E445" s="6">
        <f>E444+C445-D445</f>
      </c>
      <c r="F445" s="2"/>
    </row>
    <row x14ac:dyDescent="0.25" r="446" customHeight="1" ht="17.25">
      <c r="A446" s="8">
        <v>45881</v>
      </c>
      <c r="B446" s="9" t="s">
        <v>208</v>
      </c>
      <c r="C446" s="6">
        <v>37</v>
      </c>
      <c r="D446" s="4"/>
      <c r="E446" s="6">
        <f>E445+C446-D446</f>
      </c>
      <c r="F446" s="2"/>
    </row>
    <row x14ac:dyDescent="0.25" r="447" customHeight="1" ht="17.25">
      <c r="A447" s="7">
        <v>45882</v>
      </c>
      <c r="B447" s="9" t="s">
        <v>389</v>
      </c>
      <c r="C447" s="3"/>
      <c r="D447" s="6">
        <v>100</v>
      </c>
      <c r="E447" s="6">
        <f>E446+C447-D447</f>
      </c>
      <c r="F447" s="2"/>
    </row>
    <row x14ac:dyDescent="0.25" r="448" customHeight="1" ht="17.25">
      <c r="A448" s="7">
        <v>45882</v>
      </c>
      <c r="B448" s="9" t="s">
        <v>316</v>
      </c>
      <c r="C448" s="3"/>
      <c r="D448" s="6">
        <v>100</v>
      </c>
      <c r="E448" s="6">
        <f>E447+C448-D448</f>
      </c>
      <c r="F448" s="2"/>
    </row>
    <row x14ac:dyDescent="0.25" r="449" customHeight="1" ht="17.25">
      <c r="A449" s="7">
        <v>45882</v>
      </c>
      <c r="B449" s="9" t="s">
        <v>333</v>
      </c>
      <c r="C449" s="6">
        <v>100</v>
      </c>
      <c r="D449" s="4"/>
      <c r="E449" s="6">
        <f>E448+C449-D449</f>
      </c>
      <c r="F449" s="2"/>
    </row>
    <row x14ac:dyDescent="0.25" r="450" customHeight="1" ht="17.25">
      <c r="A450" s="8">
        <v>45883</v>
      </c>
      <c r="B450" s="9" t="s">
        <v>525</v>
      </c>
      <c r="C450" s="3"/>
      <c r="D450" s="6">
        <v>80</v>
      </c>
      <c r="E450" s="6">
        <f>E449+C450-D450</f>
      </c>
      <c r="F450" s="2"/>
    </row>
    <row x14ac:dyDescent="0.25" r="451" customHeight="1" ht="17.25">
      <c r="A451" s="7">
        <v>45883</v>
      </c>
      <c r="B451" s="9" t="s">
        <v>233</v>
      </c>
      <c r="C451" s="3"/>
      <c r="D451" s="6">
        <v>120</v>
      </c>
      <c r="E451" s="6">
        <f>E450+C451-D451</f>
      </c>
      <c r="F451" s="2"/>
    </row>
    <row x14ac:dyDescent="0.25" r="452" customHeight="1" ht="17.25">
      <c r="A452" s="7">
        <v>45883</v>
      </c>
      <c r="B452" s="9" t="s">
        <v>41</v>
      </c>
      <c r="C452" s="6">
        <v>2</v>
      </c>
      <c r="D452" s="4"/>
      <c r="E452" s="6">
        <f>E451+C452-D452</f>
      </c>
      <c r="F452" s="2"/>
    </row>
    <row x14ac:dyDescent="0.25" r="453" customHeight="1" ht="17.25">
      <c r="A453" s="7">
        <v>45883</v>
      </c>
      <c r="B453" s="9" t="s">
        <v>444</v>
      </c>
      <c r="C453" s="6">
        <v>11</v>
      </c>
      <c r="D453" s="4"/>
      <c r="E453" s="6">
        <f>E452+C453-D453</f>
      </c>
      <c r="F453" s="2"/>
    </row>
    <row x14ac:dyDescent="0.25" r="454" customHeight="1" ht="17.25">
      <c r="A454" s="7">
        <v>45884</v>
      </c>
      <c r="B454" s="9" t="s">
        <v>501</v>
      </c>
      <c r="C454" s="3"/>
      <c r="D454" s="6">
        <v>150</v>
      </c>
      <c r="E454" s="6">
        <f>E453+C454-D454</f>
      </c>
      <c r="F454" s="2"/>
    </row>
    <row x14ac:dyDescent="0.25" r="455" customHeight="1" ht="17.25">
      <c r="A455" s="7">
        <v>45884</v>
      </c>
      <c r="B455" s="9" t="s">
        <v>501</v>
      </c>
      <c r="C455" s="3"/>
      <c r="D455" s="6">
        <v>200</v>
      </c>
      <c r="E455" s="6">
        <f>E454+C455-D455</f>
      </c>
      <c r="F455" s="2"/>
    </row>
    <row x14ac:dyDescent="0.25" r="456" customHeight="1" ht="17.25">
      <c r="A456" s="8">
        <v>45884</v>
      </c>
      <c r="B456" s="9" t="s">
        <v>35</v>
      </c>
      <c r="C456" s="6">
        <v>35</v>
      </c>
      <c r="D456" s="4"/>
      <c r="E456" s="6">
        <f>E455+C456-D456</f>
      </c>
      <c r="F456" s="2"/>
    </row>
    <row x14ac:dyDescent="0.25" r="457" customHeight="1" ht="17.25">
      <c r="A457" s="7">
        <v>45884</v>
      </c>
      <c r="B457" s="9" t="s">
        <v>241</v>
      </c>
      <c r="C457" s="6">
        <v>17</v>
      </c>
      <c r="D457" s="4"/>
      <c r="E457" s="6">
        <f>E456+C457-D457</f>
      </c>
      <c r="F457" s="2"/>
    </row>
    <row x14ac:dyDescent="0.25" r="458" customHeight="1" ht="17.25">
      <c r="A458" s="7">
        <v>45885</v>
      </c>
      <c r="B458" s="9" t="s">
        <v>299</v>
      </c>
      <c r="C458" s="6">
        <v>22</v>
      </c>
      <c r="D458" s="4"/>
      <c r="E458" s="6">
        <f>E457+C458-D458</f>
      </c>
      <c r="F458" s="2"/>
    </row>
    <row x14ac:dyDescent="0.25" r="459" customHeight="1" ht="17.25">
      <c r="A459" s="8">
        <v>45885</v>
      </c>
      <c r="B459" s="9" t="s">
        <v>29</v>
      </c>
      <c r="C459" s="6">
        <v>402</v>
      </c>
      <c r="D459" s="4"/>
      <c r="E459" s="6">
        <f>E458+C459-D459</f>
      </c>
      <c r="F459" s="2"/>
    </row>
    <row x14ac:dyDescent="0.25" r="460" customHeight="1" ht="17.25">
      <c r="A460" s="7">
        <v>45887</v>
      </c>
      <c r="B460" s="9" t="s">
        <v>501</v>
      </c>
      <c r="C460" s="3"/>
      <c r="D460" s="6">
        <v>50</v>
      </c>
      <c r="E460" s="6">
        <f>E459+C460-D460</f>
      </c>
      <c r="F460" s="2"/>
    </row>
    <row x14ac:dyDescent="0.25" r="461" customHeight="1" ht="17.25">
      <c r="A461" s="7">
        <v>45888</v>
      </c>
      <c r="B461" s="9" t="s">
        <v>315</v>
      </c>
      <c r="C461" s="3"/>
      <c r="D461" s="6">
        <v>68</v>
      </c>
      <c r="E461" s="6">
        <f>E460+C461-D461</f>
      </c>
      <c r="F461" s="2"/>
    </row>
    <row x14ac:dyDescent="0.25" r="462" customHeight="1" ht="17.25">
      <c r="A462" s="8">
        <v>45888</v>
      </c>
      <c r="B462" s="9" t="s">
        <v>346</v>
      </c>
      <c r="C462" s="3"/>
      <c r="D462" s="6">
        <v>40</v>
      </c>
      <c r="E462" s="6">
        <f>E461+C462-D462</f>
      </c>
      <c r="F462" s="2"/>
    </row>
    <row x14ac:dyDescent="0.25" r="463" customHeight="1" ht="17.25">
      <c r="A463" s="8">
        <v>45888</v>
      </c>
      <c r="B463" s="9" t="s">
        <v>369</v>
      </c>
      <c r="C463" s="3"/>
      <c r="D463" s="6">
        <v>100</v>
      </c>
      <c r="E463" s="6">
        <f>E462+C463-D463</f>
      </c>
      <c r="F463" s="2"/>
    </row>
    <row x14ac:dyDescent="0.25" r="464" customHeight="1" ht="17.25">
      <c r="A464" s="7">
        <v>45888</v>
      </c>
      <c r="B464" s="9" t="s">
        <v>501</v>
      </c>
      <c r="C464" s="3"/>
      <c r="D464" s="6">
        <v>200</v>
      </c>
      <c r="E464" s="6">
        <f>E463+C464-D464</f>
      </c>
      <c r="F464" s="2"/>
    </row>
    <row x14ac:dyDescent="0.25" r="465" customHeight="1" ht="17.25">
      <c r="A465" s="7">
        <v>45888</v>
      </c>
      <c r="B465" s="9" t="s">
        <v>141</v>
      </c>
      <c r="C465" s="6">
        <v>19</v>
      </c>
      <c r="D465" s="4"/>
      <c r="E465" s="6">
        <f>E464+C465-D465</f>
      </c>
      <c r="F465" s="2"/>
    </row>
    <row x14ac:dyDescent="0.25" r="466" customHeight="1" ht="17.25">
      <c r="A466" s="7">
        <v>45889</v>
      </c>
      <c r="B466" s="9" t="s">
        <v>272</v>
      </c>
      <c r="C466" s="6">
        <v>3</v>
      </c>
      <c r="D466" s="4"/>
      <c r="E466" s="6">
        <f>E465+C466-D466</f>
      </c>
      <c r="F466" s="2"/>
    </row>
    <row x14ac:dyDescent="0.25" r="467" customHeight="1" ht="17.25">
      <c r="A467" s="7">
        <v>45889</v>
      </c>
      <c r="B467" s="9" t="s">
        <v>316</v>
      </c>
      <c r="C467" s="3"/>
      <c r="D467" s="6">
        <v>50</v>
      </c>
      <c r="E467" s="6">
        <f>E466+C467-D467</f>
      </c>
      <c r="F467" s="2"/>
    </row>
    <row x14ac:dyDescent="0.25" r="468" customHeight="1" ht="17.25">
      <c r="A468" s="7">
        <v>45890</v>
      </c>
      <c r="B468" s="9" t="s">
        <v>316</v>
      </c>
      <c r="C468" s="3"/>
      <c r="D468" s="6">
        <v>50</v>
      </c>
      <c r="E468" s="6">
        <f>E467+C468-D468</f>
      </c>
      <c r="F468" s="2"/>
    </row>
    <row x14ac:dyDescent="0.25" r="469" customHeight="1" ht="17.25">
      <c r="A469" s="7">
        <v>45890</v>
      </c>
      <c r="B469" s="9" t="s">
        <v>208</v>
      </c>
      <c r="C469" s="6">
        <v>119</v>
      </c>
      <c r="D469" s="4"/>
      <c r="E469" s="6">
        <f>E468+C469-D469</f>
      </c>
      <c r="F469" s="2"/>
    </row>
    <row x14ac:dyDescent="0.25" r="470" customHeight="1" ht="17.25">
      <c r="A470" s="7">
        <v>45890</v>
      </c>
      <c r="B470" s="9" t="s">
        <v>299</v>
      </c>
      <c r="C470" s="6">
        <v>2</v>
      </c>
      <c r="D470" s="4"/>
      <c r="E470" s="6">
        <f>E469+C470-D470</f>
      </c>
      <c r="F470" s="2"/>
    </row>
    <row x14ac:dyDescent="0.25" r="471" customHeight="1" ht="17.25">
      <c r="A471" s="7">
        <v>45890</v>
      </c>
      <c r="B471" s="9" t="s">
        <v>208</v>
      </c>
      <c r="C471" s="6">
        <v>1</v>
      </c>
      <c r="D471" s="4"/>
      <c r="E471" s="6">
        <f>E470+C471-D471</f>
      </c>
      <c r="F471" s="2"/>
    </row>
    <row x14ac:dyDescent="0.25" r="472" customHeight="1" ht="17.25">
      <c r="A472" s="8">
        <v>45891</v>
      </c>
      <c r="B472" s="9" t="s">
        <v>42</v>
      </c>
      <c r="C472" s="6">
        <v>5</v>
      </c>
      <c r="D472" s="4"/>
      <c r="E472" s="6">
        <f>E471+C472-D472</f>
      </c>
      <c r="F472" s="2"/>
    </row>
    <row x14ac:dyDescent="0.25" r="473" customHeight="1" ht="17.25">
      <c r="A473" s="7">
        <v>45891</v>
      </c>
      <c r="B473" s="9" t="s">
        <v>299</v>
      </c>
      <c r="C473" s="6">
        <v>8</v>
      </c>
      <c r="D473" s="4"/>
      <c r="E473" s="6">
        <f>E472+C473-D473</f>
      </c>
      <c r="F473" s="2"/>
    </row>
    <row x14ac:dyDescent="0.25" r="474" customHeight="1" ht="17.25">
      <c r="A474" s="8">
        <v>45891</v>
      </c>
      <c r="B474" s="9" t="s">
        <v>35</v>
      </c>
      <c r="C474" s="6">
        <v>3</v>
      </c>
      <c r="D474" s="4"/>
      <c r="E474" s="6">
        <f>E473+C474-D474</f>
      </c>
      <c r="F474" s="2"/>
    </row>
    <row x14ac:dyDescent="0.25" r="475" customHeight="1" ht="17.25">
      <c r="A475" s="7">
        <v>45891</v>
      </c>
      <c r="B475" s="9" t="s">
        <v>89</v>
      </c>
      <c r="C475" s="6">
        <v>8</v>
      </c>
      <c r="D475" s="4"/>
      <c r="E475" s="6">
        <f>E474+C475-D475</f>
      </c>
      <c r="F475" s="2"/>
    </row>
    <row x14ac:dyDescent="0.25" r="476" customHeight="1" ht="17.25">
      <c r="A476" s="8">
        <v>45892</v>
      </c>
      <c r="B476" s="9" t="s">
        <v>42</v>
      </c>
      <c r="C476" s="6">
        <v>45</v>
      </c>
      <c r="D476" s="4"/>
      <c r="E476" s="6">
        <f>E475+C476-D476</f>
      </c>
      <c r="F476" s="2"/>
    </row>
    <row x14ac:dyDescent="0.25" r="477" customHeight="1" ht="17.25">
      <c r="A477" s="7">
        <v>45894</v>
      </c>
      <c r="B477" s="9" t="s">
        <v>26</v>
      </c>
      <c r="C477" s="3"/>
      <c r="D477" s="6">
        <v>584</v>
      </c>
      <c r="E477" s="6">
        <f>E476+C477-D477</f>
      </c>
      <c r="F477" s="2"/>
    </row>
    <row x14ac:dyDescent="0.25" r="478" customHeight="1" ht="17.25">
      <c r="A478" s="8">
        <v>45894</v>
      </c>
      <c r="B478" s="9" t="s">
        <v>265</v>
      </c>
      <c r="C478" s="3"/>
      <c r="D478" s="6">
        <v>40</v>
      </c>
      <c r="E478" s="6">
        <f>E477+C478-D478</f>
      </c>
      <c r="F478" s="2"/>
    </row>
    <row x14ac:dyDescent="0.25" r="479" customHeight="1" ht="17.25">
      <c r="A479" s="7">
        <v>45894</v>
      </c>
      <c r="B479" s="9" t="s">
        <v>369</v>
      </c>
      <c r="C479" s="3"/>
      <c r="D479" s="6">
        <v>200</v>
      </c>
      <c r="E479" s="6">
        <f>E478+C479-D479</f>
      </c>
      <c r="F479" s="2"/>
    </row>
    <row x14ac:dyDescent="0.25" r="480" customHeight="1" ht="17.25">
      <c r="A480" s="7">
        <v>45894</v>
      </c>
      <c r="B480" s="9" t="s">
        <v>365</v>
      </c>
      <c r="C480" s="3"/>
      <c r="D480" s="6">
        <v>140</v>
      </c>
      <c r="E480" s="6">
        <f>E479+C480-D480</f>
      </c>
      <c r="F480" s="2"/>
    </row>
    <row x14ac:dyDescent="0.25" r="481" customHeight="1" ht="17.25">
      <c r="A481" s="7">
        <v>45894</v>
      </c>
      <c r="B481" s="9" t="s">
        <v>47</v>
      </c>
      <c r="C481" s="6">
        <v>5</v>
      </c>
      <c r="D481" s="4"/>
      <c r="E481" s="6">
        <f>E480+C481-D481</f>
      </c>
      <c r="F481" s="2"/>
    </row>
    <row x14ac:dyDescent="0.25" r="482" customHeight="1" ht="17.25">
      <c r="A482" s="8">
        <v>45895</v>
      </c>
      <c r="B482" s="9" t="s">
        <v>418</v>
      </c>
      <c r="C482" s="3"/>
      <c r="D482" s="6">
        <v>25</v>
      </c>
      <c r="E482" s="6">
        <f>E481+C482-D482</f>
      </c>
      <c r="F482" s="2"/>
    </row>
    <row x14ac:dyDescent="0.25" r="483" customHeight="1" ht="17.25">
      <c r="A483" s="7">
        <v>45895</v>
      </c>
      <c r="B483" s="9" t="s">
        <v>316</v>
      </c>
      <c r="C483" s="3"/>
      <c r="D483" s="6">
        <v>50</v>
      </c>
      <c r="E483" s="6">
        <f>E482+C483-D483</f>
      </c>
      <c r="F483" s="2"/>
    </row>
    <row x14ac:dyDescent="0.25" r="484" customHeight="1" ht="17.25">
      <c r="A484" s="7">
        <v>45895</v>
      </c>
      <c r="B484" s="9" t="s">
        <v>391</v>
      </c>
      <c r="C484" s="3"/>
      <c r="D484" s="6">
        <v>100</v>
      </c>
      <c r="E484" s="6">
        <f>E483+C484-D484</f>
      </c>
      <c r="F484" s="2"/>
    </row>
    <row x14ac:dyDescent="0.25" r="485" customHeight="1" ht="17.25">
      <c r="A485" s="7">
        <v>45896</v>
      </c>
      <c r="B485" s="9" t="s">
        <v>333</v>
      </c>
      <c r="C485" s="6">
        <v>100</v>
      </c>
      <c r="D485" s="4"/>
      <c r="E485" s="6">
        <f>E484+C485-D485</f>
      </c>
      <c r="F485" s="2"/>
    </row>
    <row x14ac:dyDescent="0.25" r="486" customHeight="1" ht="17.25">
      <c r="A486" s="7">
        <v>45897</v>
      </c>
      <c r="B486" s="9" t="s">
        <v>100</v>
      </c>
      <c r="C486" s="3"/>
      <c r="D486" s="6">
        <v>32</v>
      </c>
      <c r="E486" s="6">
        <f>E485+C486-D486</f>
      </c>
      <c r="F486" s="2"/>
    </row>
    <row x14ac:dyDescent="0.25" r="487" customHeight="1" ht="17.25">
      <c r="A487" s="8">
        <v>45897</v>
      </c>
      <c r="B487" s="9" t="s">
        <v>172</v>
      </c>
      <c r="C487" s="6">
        <v>10</v>
      </c>
      <c r="D487" s="4"/>
      <c r="E487" s="6">
        <f>E486+C487-D487</f>
      </c>
      <c r="F487" s="2"/>
    </row>
    <row x14ac:dyDescent="0.25" r="488" customHeight="1" ht="17.25">
      <c r="A488" s="8">
        <v>45898</v>
      </c>
      <c r="B488" s="9" t="s">
        <v>333</v>
      </c>
      <c r="C488" s="6">
        <v>82</v>
      </c>
      <c r="D488" s="4"/>
      <c r="E488" s="6">
        <f>E487+C488-D488</f>
      </c>
      <c r="F488" s="2"/>
    </row>
    <row x14ac:dyDescent="0.25" r="489" customHeight="1" ht="17.25">
      <c r="A489" s="8">
        <v>45898</v>
      </c>
      <c r="B489" s="9" t="s">
        <v>299</v>
      </c>
      <c r="C489" s="6">
        <v>8</v>
      </c>
      <c r="D489" s="4"/>
      <c r="E489" s="6">
        <f>E488+C489-D489</f>
      </c>
      <c r="F489" s="2"/>
    </row>
    <row x14ac:dyDescent="0.25" r="490" customHeight="1" ht="17.25">
      <c r="A490" s="7">
        <v>45898</v>
      </c>
      <c r="B490" s="9" t="s">
        <v>228</v>
      </c>
      <c r="C490" s="6">
        <v>78</v>
      </c>
      <c r="D490" s="4"/>
      <c r="E490" s="6">
        <f>E489+C490-D490</f>
      </c>
      <c r="F490" s="2"/>
    </row>
    <row x14ac:dyDescent="0.25" r="491" customHeight="1" ht="17.25">
      <c r="A491" s="8">
        <v>45899</v>
      </c>
      <c r="B491" s="9" t="s">
        <v>297</v>
      </c>
      <c r="C491" s="3"/>
      <c r="D491" s="6">
        <v>150</v>
      </c>
      <c r="E491" s="6">
        <f>E490+C491-D491</f>
      </c>
      <c r="F491" s="2"/>
    </row>
    <row x14ac:dyDescent="0.25" r="492" customHeight="1" ht="17.25">
      <c r="A492" s="7">
        <v>45899</v>
      </c>
      <c r="B492" s="9" t="s">
        <v>46</v>
      </c>
      <c r="C492" s="3"/>
      <c r="D492" s="6">
        <v>200</v>
      </c>
      <c r="E492" s="6">
        <f>E491+C492-D492</f>
      </c>
      <c r="F492" s="2"/>
    </row>
    <row x14ac:dyDescent="0.25" r="493" customHeight="1" ht="17.25">
      <c r="A493" s="7">
        <v>45899</v>
      </c>
      <c r="B493" s="9" t="s">
        <v>333</v>
      </c>
      <c r="C493" s="6">
        <v>12</v>
      </c>
      <c r="D493" s="4"/>
      <c r="E493" s="6">
        <f>E492+C493-D493</f>
      </c>
      <c r="F493" s="2"/>
    </row>
    <row x14ac:dyDescent="0.25" r="494" customHeight="1" ht="17.25">
      <c r="A494" s="7">
        <v>45901</v>
      </c>
      <c r="B494" s="9" t="s">
        <v>172</v>
      </c>
      <c r="C494" s="6">
        <v>5</v>
      </c>
      <c r="D494" s="4"/>
      <c r="E494" s="6">
        <f>E493+C494-D494</f>
      </c>
      <c r="F494" s="2"/>
    </row>
    <row x14ac:dyDescent="0.25" r="495" customHeight="1" ht="17.25">
      <c r="A495" s="8">
        <v>45902</v>
      </c>
      <c r="B495" s="9" t="s">
        <v>311</v>
      </c>
      <c r="C495" s="3"/>
      <c r="D495" s="6">
        <v>40</v>
      </c>
      <c r="E495" s="6">
        <f>E494+C495-D495</f>
      </c>
      <c r="F495" s="2"/>
    </row>
    <row x14ac:dyDescent="0.25" r="496" customHeight="1" ht="17.25">
      <c r="A496" s="8">
        <v>45902</v>
      </c>
      <c r="B496" s="9" t="s">
        <v>141</v>
      </c>
      <c r="C496" s="6">
        <v>12</v>
      </c>
      <c r="D496" s="4"/>
      <c r="E496" s="6">
        <f>E495+C496-D496</f>
      </c>
      <c r="F496" s="2"/>
    </row>
    <row x14ac:dyDescent="0.25" r="497" customHeight="1" ht="17.25">
      <c r="A497" s="8">
        <v>45902</v>
      </c>
      <c r="B497" s="9" t="s">
        <v>47</v>
      </c>
      <c r="C497" s="6">
        <v>119</v>
      </c>
      <c r="D497" s="4"/>
      <c r="E497" s="6">
        <f>E496+C497-D497</f>
      </c>
      <c r="F497" s="2"/>
    </row>
    <row x14ac:dyDescent="0.25" r="498" customHeight="1" ht="17.25">
      <c r="A498" s="7">
        <v>45903</v>
      </c>
      <c r="B498" s="9" t="s">
        <v>489</v>
      </c>
      <c r="C498" s="6">
        <v>32</v>
      </c>
      <c r="D498" s="4"/>
      <c r="E498" s="6">
        <f>E497+C498-D498</f>
      </c>
      <c r="F498" s="2"/>
    </row>
    <row x14ac:dyDescent="0.25" r="499" customHeight="1" ht="17.25">
      <c r="A499" s="7">
        <v>45904</v>
      </c>
      <c r="B499" s="9" t="s">
        <v>89</v>
      </c>
      <c r="C499" s="6">
        <v>7</v>
      </c>
      <c r="D499" s="4"/>
      <c r="E499" s="6">
        <f>E498+C499-D499</f>
      </c>
      <c r="F499" s="2"/>
    </row>
    <row x14ac:dyDescent="0.25" r="500" customHeight="1" ht="17.25">
      <c r="A500" s="7">
        <v>45905</v>
      </c>
      <c r="B500" s="9" t="s">
        <v>389</v>
      </c>
      <c r="C500" s="3"/>
      <c r="D500" s="6">
        <v>200</v>
      </c>
      <c r="E500" s="6">
        <f>E499+C500-D500</f>
      </c>
      <c r="F500" s="2"/>
    </row>
    <row x14ac:dyDescent="0.25" r="501" customHeight="1" ht="17.25">
      <c r="A501" s="7">
        <v>45906</v>
      </c>
      <c r="B501" s="9" t="s">
        <v>283</v>
      </c>
      <c r="C501" s="6">
        <v>46</v>
      </c>
      <c r="D501" s="4"/>
      <c r="E501" s="6">
        <f>E500+C501-D501</f>
      </c>
      <c r="F501" s="2"/>
    </row>
    <row x14ac:dyDescent="0.25" r="502" customHeight="1" ht="17.25">
      <c r="A502" s="7">
        <v>45906</v>
      </c>
      <c r="B502" s="9" t="s">
        <v>172</v>
      </c>
      <c r="C502" s="6">
        <v>8</v>
      </c>
      <c r="D502" s="4"/>
      <c r="E502" s="6">
        <f>E501+C502-D502</f>
      </c>
      <c r="F502" s="2"/>
    </row>
    <row x14ac:dyDescent="0.25" r="503" customHeight="1" ht="17.25">
      <c r="A503" s="8">
        <v>45908</v>
      </c>
      <c r="B503" s="9" t="s">
        <v>141</v>
      </c>
      <c r="C503" s="6">
        <v>6</v>
      </c>
      <c r="D503" s="4"/>
      <c r="E503" s="6">
        <f>E502+C503-D503</f>
      </c>
      <c r="F503" s="2"/>
    </row>
    <row x14ac:dyDescent="0.25" r="504" customHeight="1" ht="17.25">
      <c r="A504" s="8">
        <v>45909</v>
      </c>
      <c r="B504" s="9" t="s">
        <v>524</v>
      </c>
      <c r="C504" s="6">
        <v>10</v>
      </c>
      <c r="D504" s="4"/>
      <c r="E504" s="6">
        <f>E503+C504-D504</f>
      </c>
      <c r="F504" s="2"/>
    </row>
    <row x14ac:dyDescent="0.25" r="505" customHeight="1" ht="17.25">
      <c r="A505" s="8">
        <v>45910</v>
      </c>
      <c r="B505" s="9" t="s">
        <v>309</v>
      </c>
      <c r="C505" s="3"/>
      <c r="D505" s="6">
        <v>6</v>
      </c>
      <c r="E505" s="6">
        <f>E504+C505-D505</f>
      </c>
      <c r="F505" s="2"/>
    </row>
    <row x14ac:dyDescent="0.25" r="506" customHeight="1" ht="17.25">
      <c r="A506" s="8">
        <v>45910</v>
      </c>
      <c r="B506" s="9" t="s">
        <v>332</v>
      </c>
      <c r="C506" s="3"/>
      <c r="D506" s="6">
        <v>30</v>
      </c>
      <c r="E506" s="6">
        <f>E505+C506-D506</f>
      </c>
      <c r="F506" s="2"/>
    </row>
    <row x14ac:dyDescent="0.25" r="507" customHeight="1" ht="17.25">
      <c r="A507" s="8">
        <v>45910</v>
      </c>
      <c r="B507" s="9" t="s">
        <v>310</v>
      </c>
      <c r="C507" s="3"/>
      <c r="D507" s="6">
        <v>100</v>
      </c>
      <c r="E507" s="6">
        <f>E506+C507-D507</f>
      </c>
      <c r="F507" s="2"/>
    </row>
    <row x14ac:dyDescent="0.25" r="508" customHeight="1" ht="17.25">
      <c r="A508" s="7">
        <v>45910</v>
      </c>
      <c r="B508" s="9" t="s">
        <v>316</v>
      </c>
      <c r="C508" s="3"/>
      <c r="D508" s="6">
        <v>100</v>
      </c>
      <c r="E508" s="6">
        <f>E507+C508-D508</f>
      </c>
      <c r="F508" s="2"/>
    </row>
    <row x14ac:dyDescent="0.25" r="509" customHeight="1" ht="17.25">
      <c r="A509" s="8">
        <v>45911</v>
      </c>
      <c r="B509" s="9" t="s">
        <v>124</v>
      </c>
      <c r="C509" s="3"/>
      <c r="D509" s="6">
        <v>200</v>
      </c>
      <c r="E509" s="6">
        <f>E508+C509-D509</f>
      </c>
      <c r="F509" s="2"/>
    </row>
    <row x14ac:dyDescent="0.25" r="510" customHeight="1" ht="17.25">
      <c r="A510" s="8">
        <v>45911</v>
      </c>
      <c r="B510" s="9" t="s">
        <v>124</v>
      </c>
      <c r="C510" s="3"/>
      <c r="D510" s="6">
        <v>400</v>
      </c>
      <c r="E510" s="6">
        <f>E509+C510-D510</f>
      </c>
      <c r="F510" s="2"/>
    </row>
    <row x14ac:dyDescent="0.25" r="511" customHeight="1" ht="17.25">
      <c r="A511" s="8">
        <v>45911</v>
      </c>
      <c r="B511" s="9" t="s">
        <v>141</v>
      </c>
      <c r="C511" s="6">
        <v>11</v>
      </c>
      <c r="D511" s="4"/>
      <c r="E511" s="6">
        <f>E510+C511-D511</f>
      </c>
      <c r="F511" s="2"/>
    </row>
    <row x14ac:dyDescent="0.25" r="512" customHeight="1" ht="17.25">
      <c r="A512" s="7">
        <v>45911</v>
      </c>
      <c r="B512" s="9" t="s">
        <v>389</v>
      </c>
      <c r="C512" s="6">
        <v>91</v>
      </c>
      <c r="D512" s="4"/>
      <c r="E512" s="6">
        <f>E511+C512-D512</f>
      </c>
      <c r="F512" s="2"/>
    </row>
    <row x14ac:dyDescent="0.25" r="513" customHeight="1" ht="17.25">
      <c r="A513" s="8">
        <v>45911</v>
      </c>
      <c r="B513" s="9" t="s">
        <v>284</v>
      </c>
      <c r="C513" s="6">
        <v>34</v>
      </c>
      <c r="D513" s="4"/>
      <c r="E513" s="6">
        <f>E512+C513-D513</f>
      </c>
      <c r="F513" s="2"/>
    </row>
    <row x14ac:dyDescent="0.25" r="514" customHeight="1" ht="17.25">
      <c r="A514" s="8">
        <v>45912</v>
      </c>
      <c r="B514" s="9" t="s">
        <v>427</v>
      </c>
      <c r="C514" s="3"/>
      <c r="D514" s="6">
        <v>120</v>
      </c>
      <c r="E514" s="6">
        <f>E513+C514-D514</f>
      </c>
      <c r="F514" s="2"/>
    </row>
    <row x14ac:dyDescent="0.25" r="515" customHeight="1" ht="17.25">
      <c r="A515" s="7">
        <v>45912</v>
      </c>
      <c r="B515" s="9" t="s">
        <v>124</v>
      </c>
      <c r="C515" s="3"/>
      <c r="D515" s="6">
        <v>180</v>
      </c>
      <c r="E515" s="6">
        <f>E514+C515-D515</f>
      </c>
      <c r="F515" s="2"/>
    </row>
    <row x14ac:dyDescent="0.25" r="516" customHeight="1" ht="17.25">
      <c r="A516" s="7">
        <v>45912</v>
      </c>
      <c r="B516" s="9" t="s">
        <v>124</v>
      </c>
      <c r="C516" s="3"/>
      <c r="D516" s="6">
        <v>400</v>
      </c>
      <c r="E516" s="6">
        <f>E515+C516-D516</f>
      </c>
      <c r="F516" s="2"/>
    </row>
    <row x14ac:dyDescent="0.25" r="517" customHeight="1" ht="17.25">
      <c r="A517" s="7">
        <v>45912</v>
      </c>
      <c r="B517" s="9" t="s">
        <v>46</v>
      </c>
      <c r="C517" s="6">
        <v>6</v>
      </c>
      <c r="D517" s="4"/>
      <c r="E517" s="6">
        <f>E516+C517-D517</f>
      </c>
      <c r="F517" s="2"/>
    </row>
    <row x14ac:dyDescent="0.25" r="518" customHeight="1" ht="17.25">
      <c r="A518" s="7">
        <v>45913</v>
      </c>
      <c r="B518" s="9" t="s">
        <v>124</v>
      </c>
      <c r="C518" s="3"/>
      <c r="D518" s="6">
        <v>350</v>
      </c>
      <c r="E518" s="6">
        <f>E517+C518-D518</f>
      </c>
      <c r="F518" s="2"/>
    </row>
    <row x14ac:dyDescent="0.25" r="519" customHeight="1" ht="17.25">
      <c r="A519" s="7">
        <v>45913</v>
      </c>
      <c r="B519" s="9" t="s">
        <v>397</v>
      </c>
      <c r="C519" s="3"/>
      <c r="D519" s="6">
        <v>150</v>
      </c>
      <c r="E519" s="6">
        <f>E518+C519-D519</f>
      </c>
      <c r="F519" s="2"/>
    </row>
    <row x14ac:dyDescent="0.25" r="520" customHeight="1" ht="17.25">
      <c r="A520" s="7">
        <v>45913</v>
      </c>
      <c r="B520" s="9" t="s">
        <v>172</v>
      </c>
      <c r="C520" s="6">
        <v>5</v>
      </c>
      <c r="D520" s="4"/>
      <c r="E520" s="6">
        <f>E519+C520-D520</f>
      </c>
      <c r="F520" s="2"/>
    </row>
    <row x14ac:dyDescent="0.25" r="521" customHeight="1" ht="17.25">
      <c r="A521" s="7">
        <v>45915</v>
      </c>
      <c r="B521" s="9" t="s">
        <v>391</v>
      </c>
      <c r="C521" s="3"/>
      <c r="D521" s="6">
        <v>100</v>
      </c>
      <c r="E521" s="6">
        <f>E520+C521-D521</f>
      </c>
      <c r="F521" s="2"/>
    </row>
    <row x14ac:dyDescent="0.25" r="522" customHeight="1" ht="17.25">
      <c r="A522" s="7">
        <v>45915</v>
      </c>
      <c r="B522" s="9" t="s">
        <v>182</v>
      </c>
      <c r="C522" s="6">
        <v>14</v>
      </c>
      <c r="D522" s="4"/>
      <c r="E522" s="6">
        <f>E521+C522-D522</f>
      </c>
      <c r="F522" s="2"/>
    </row>
    <row x14ac:dyDescent="0.25" r="523" customHeight="1" ht="17.25">
      <c r="A523" s="8">
        <v>45915</v>
      </c>
      <c r="B523" s="9" t="s">
        <v>141</v>
      </c>
      <c r="C523" s="6">
        <v>12</v>
      </c>
      <c r="D523" s="4"/>
      <c r="E523" s="6">
        <f>E522+C523-D523</f>
      </c>
      <c r="F523" s="2"/>
    </row>
    <row x14ac:dyDescent="0.25" r="524" customHeight="1" ht="17.25">
      <c r="A524" s="8">
        <v>45915</v>
      </c>
      <c r="B524" s="9" t="s">
        <v>365</v>
      </c>
      <c r="C524" s="6">
        <v>77</v>
      </c>
      <c r="D524" s="4"/>
      <c r="E524" s="6">
        <f>E523+C524-D524</f>
      </c>
      <c r="F524" s="2"/>
    </row>
    <row x14ac:dyDescent="0.25" r="525" customHeight="1" ht="17.25">
      <c r="A525" s="7">
        <v>45916</v>
      </c>
      <c r="B525" s="9" t="s">
        <v>208</v>
      </c>
      <c r="C525" s="6">
        <v>79</v>
      </c>
      <c r="D525" s="4"/>
      <c r="E525" s="6">
        <f>E524+C525-D525</f>
      </c>
      <c r="F525" s="2"/>
    </row>
    <row x14ac:dyDescent="0.25" r="526" customHeight="1" ht="17.25">
      <c r="A526" s="8">
        <v>45917</v>
      </c>
      <c r="B526" s="9" t="s">
        <v>371</v>
      </c>
      <c r="C526" s="3"/>
      <c r="D526" s="6">
        <v>335</v>
      </c>
      <c r="E526" s="6">
        <f>E525+C526-D526</f>
      </c>
      <c r="F526" s="2"/>
    </row>
    <row x14ac:dyDescent="0.25" r="527" customHeight="1" ht="17.25">
      <c r="A527" s="8">
        <v>45917</v>
      </c>
      <c r="B527" s="9" t="s">
        <v>365</v>
      </c>
      <c r="C527" s="6">
        <v>4</v>
      </c>
      <c r="D527" s="4"/>
      <c r="E527" s="6">
        <f>E526+C527-D527</f>
      </c>
      <c r="F527" s="2"/>
    </row>
    <row x14ac:dyDescent="0.25" r="528" customHeight="1" ht="17.25">
      <c r="A528" s="7">
        <v>45917</v>
      </c>
      <c r="B528" s="9" t="s">
        <v>141</v>
      </c>
      <c r="C528" s="6">
        <v>2</v>
      </c>
      <c r="D528" s="4"/>
      <c r="E528" s="6">
        <f>E527+C528-D528</f>
      </c>
      <c r="F528" s="2"/>
    </row>
    <row x14ac:dyDescent="0.25" r="529" customHeight="1" ht="17.25">
      <c r="A529" s="7">
        <v>45918</v>
      </c>
      <c r="B529" s="9" t="s">
        <v>504</v>
      </c>
      <c r="C529" s="3"/>
      <c r="D529" s="6">
        <v>500</v>
      </c>
      <c r="E529" s="6">
        <f>E528+C529-D529</f>
      </c>
      <c r="F529" s="2"/>
    </row>
    <row x14ac:dyDescent="0.25" r="530" customHeight="1" ht="17.25">
      <c r="A530" s="7">
        <v>45918</v>
      </c>
      <c r="B530" s="9" t="s">
        <v>371</v>
      </c>
      <c r="C530" s="3"/>
      <c r="D530" s="6">
        <v>400</v>
      </c>
      <c r="E530" s="6">
        <f>E529+C530-D530</f>
      </c>
      <c r="F530" s="2"/>
    </row>
    <row x14ac:dyDescent="0.25" r="531" customHeight="1" ht="17.25">
      <c r="A531" s="1"/>
      <c r="B531" s="9" t="s">
        <v>526</v>
      </c>
      <c r="C531" s="3"/>
      <c r="D531" s="4"/>
      <c r="E531" s="6">
        <v>26</v>
      </c>
      <c r="F531" s="2"/>
    </row>
    <row x14ac:dyDescent="0.25" r="532" customHeight="1" ht="17.25">
      <c r="A532" s="7">
        <v>45918</v>
      </c>
      <c r="B532" s="9" t="s">
        <v>34</v>
      </c>
      <c r="C532" s="6">
        <v>236</v>
      </c>
      <c r="D532" s="4"/>
      <c r="E532" s="6">
        <f>E531+C532-D532</f>
      </c>
      <c r="F532" s="2"/>
    </row>
    <row x14ac:dyDescent="0.25" r="533" customHeight="1" ht="17.25">
      <c r="A533" s="7">
        <v>45918</v>
      </c>
      <c r="B533" s="9" t="s">
        <v>56</v>
      </c>
      <c r="C533" s="3"/>
      <c r="D533" s="6">
        <v>30</v>
      </c>
      <c r="E533" s="6">
        <f>E532+C533-D533</f>
      </c>
      <c r="F533" s="2"/>
    </row>
    <row x14ac:dyDescent="0.25" r="534" customHeight="1" ht="17.25">
      <c r="A534" s="7">
        <v>45918</v>
      </c>
      <c r="B534" s="9" t="s">
        <v>389</v>
      </c>
      <c r="C534" s="6">
        <v>55</v>
      </c>
      <c r="D534" s="4"/>
      <c r="E534" s="6">
        <f>E533+C534-D534</f>
      </c>
      <c r="F534" s="2"/>
    </row>
    <row x14ac:dyDescent="0.25" r="535" customHeight="1" ht="17.25">
      <c r="A535" s="7">
        <v>45919</v>
      </c>
      <c r="B535" s="9" t="s">
        <v>124</v>
      </c>
      <c r="C535" s="3"/>
      <c r="D535" s="6">
        <v>200</v>
      </c>
      <c r="E535" s="6">
        <f>E534+C535-D535</f>
      </c>
      <c r="F535" s="2"/>
    </row>
    <row x14ac:dyDescent="0.25" r="536" customHeight="1" ht="17.25">
      <c r="A536" s="7">
        <v>45919</v>
      </c>
      <c r="B536" s="9" t="s">
        <v>311</v>
      </c>
      <c r="C536" s="3"/>
      <c r="D536" s="6">
        <v>75</v>
      </c>
      <c r="E536" s="6">
        <f>E535+C536-D536</f>
      </c>
      <c r="F536" s="2"/>
    </row>
    <row x14ac:dyDescent="0.25" r="537" customHeight="1" ht="17.25">
      <c r="A537" s="7">
        <v>45919</v>
      </c>
      <c r="B537" s="9" t="s">
        <v>46</v>
      </c>
      <c r="C537" s="6">
        <v>1</v>
      </c>
      <c r="D537" s="4"/>
      <c r="E537" s="6">
        <f>E536+C537-D537</f>
      </c>
      <c r="F537" s="2"/>
    </row>
    <row x14ac:dyDescent="0.25" r="538" customHeight="1" ht="17.25">
      <c r="A538" s="7">
        <v>45920</v>
      </c>
      <c r="B538" s="9" t="s">
        <v>527</v>
      </c>
      <c r="C538" s="6">
        <v>409</v>
      </c>
      <c r="D538" s="4"/>
      <c r="E538" s="6">
        <f>E537+C538-D538</f>
      </c>
      <c r="F538" s="2"/>
    </row>
    <row x14ac:dyDescent="0.25" r="539" customHeight="1" ht="17.25">
      <c r="A539" s="7">
        <v>45920</v>
      </c>
      <c r="B539" s="9" t="s">
        <v>124</v>
      </c>
      <c r="C539" s="26"/>
      <c r="D539" s="27">
        <v>150</v>
      </c>
      <c r="E539" s="6">
        <f>E538+C539-D539</f>
      </c>
      <c r="F539" s="2"/>
    </row>
    <row x14ac:dyDescent="0.25" r="540" customHeight="1" ht="17.25">
      <c r="A540" s="7">
        <v>45889</v>
      </c>
      <c r="B540" s="9" t="s">
        <v>371</v>
      </c>
      <c r="C540" s="3"/>
      <c r="D540" s="6">
        <v>265</v>
      </c>
      <c r="E540" s="6">
        <f>E539+C540-D540</f>
      </c>
      <c r="F540" s="2"/>
    </row>
    <row x14ac:dyDescent="0.25" r="541" customHeight="1" ht="17.25">
      <c r="A541" s="7">
        <v>45923</v>
      </c>
      <c r="B541" s="9" t="s">
        <v>343</v>
      </c>
      <c r="C541" s="6">
        <v>34</v>
      </c>
      <c r="D541" s="4"/>
      <c r="E541" s="6">
        <f>E540+C541-D541</f>
      </c>
      <c r="F541" s="2"/>
    </row>
    <row x14ac:dyDescent="0.25" r="542" customHeight="1" ht="17.25">
      <c r="A542" s="8">
        <v>45924</v>
      </c>
      <c r="B542" s="9" t="s">
        <v>42</v>
      </c>
      <c r="C542" s="6">
        <v>27</v>
      </c>
      <c r="D542" s="4"/>
      <c r="E542" s="6">
        <f>E541+C542-D542</f>
      </c>
      <c r="F542" s="2"/>
    </row>
    <row x14ac:dyDescent="0.25" r="543" customHeight="1" ht="17.25">
      <c r="A543" s="7">
        <v>45924</v>
      </c>
      <c r="B543" s="9" t="s">
        <v>524</v>
      </c>
      <c r="C543" s="6">
        <v>3</v>
      </c>
      <c r="D543" s="4"/>
      <c r="E543" s="6">
        <f>E542+C543-D543</f>
      </c>
      <c r="F543" s="2"/>
    </row>
    <row x14ac:dyDescent="0.25" r="544" customHeight="1" ht="17.25">
      <c r="A544" s="8">
        <v>45925</v>
      </c>
      <c r="B544" s="9" t="s">
        <v>311</v>
      </c>
      <c r="C544" s="3"/>
      <c r="D544" s="6">
        <v>82</v>
      </c>
      <c r="E544" s="6">
        <f>E543+C544-D544</f>
      </c>
      <c r="F544" s="2"/>
    </row>
    <row x14ac:dyDescent="0.25" r="545" customHeight="1" ht="17.25">
      <c r="A545" s="8">
        <v>45925</v>
      </c>
      <c r="B545" s="9" t="s">
        <v>233</v>
      </c>
      <c r="C545" s="3"/>
      <c r="D545" s="6">
        <v>69</v>
      </c>
      <c r="E545" s="6">
        <f>E544+C545-D545</f>
      </c>
      <c r="F545" s="2"/>
    </row>
    <row x14ac:dyDescent="0.25" r="546" customHeight="1" ht="17.25">
      <c r="A546" s="7">
        <v>45925</v>
      </c>
      <c r="B546" s="9" t="s">
        <v>428</v>
      </c>
      <c r="C546" s="3"/>
      <c r="D546" s="6">
        <v>100</v>
      </c>
      <c r="E546" s="6">
        <f>E545+C546-D546</f>
      </c>
      <c r="F546" s="2"/>
    </row>
    <row x14ac:dyDescent="0.25" r="547" customHeight="1" ht="17.25">
      <c r="A547" s="7">
        <v>45925</v>
      </c>
      <c r="B547" s="9" t="s">
        <v>34</v>
      </c>
      <c r="C547" s="6">
        <v>82</v>
      </c>
      <c r="D547" s="4"/>
      <c r="E547" s="6">
        <f>E546+C547-D547</f>
      </c>
      <c r="F547" s="2"/>
    </row>
    <row x14ac:dyDescent="0.25" r="548" customHeight="1" ht="17.25">
      <c r="A548" s="7">
        <v>45925</v>
      </c>
      <c r="B548" s="9" t="s">
        <v>34</v>
      </c>
      <c r="C548" s="6">
        <v>100</v>
      </c>
      <c r="D548" s="4"/>
      <c r="E548" s="6">
        <f>E547+C548-D548</f>
      </c>
      <c r="F548" s="2"/>
    </row>
    <row x14ac:dyDescent="0.25" r="549" customHeight="1" ht="17.25">
      <c r="A549" s="7">
        <v>45926</v>
      </c>
      <c r="B549" s="9" t="s">
        <v>63</v>
      </c>
      <c r="C549" s="6">
        <v>300</v>
      </c>
      <c r="D549" s="4"/>
      <c r="E549" s="6">
        <f>E548+C549-D549</f>
      </c>
      <c r="F549" s="2"/>
    </row>
    <row x14ac:dyDescent="0.25" r="550" customHeight="1" ht="17.25">
      <c r="A550" s="7">
        <v>45926</v>
      </c>
      <c r="B550" s="9" t="s">
        <v>504</v>
      </c>
      <c r="C550" s="3"/>
      <c r="D550" s="6">
        <v>30</v>
      </c>
      <c r="E550" s="6">
        <f>E549+C550-D550</f>
      </c>
      <c r="F550" s="2"/>
    </row>
    <row x14ac:dyDescent="0.25" r="551" customHeight="1" ht="17.25">
      <c r="A551" s="7">
        <v>45926</v>
      </c>
      <c r="B551" s="9" t="s">
        <v>311</v>
      </c>
      <c r="C551" s="3"/>
      <c r="D551" s="6">
        <v>118</v>
      </c>
      <c r="E551" s="6">
        <f>E550+C551-D551</f>
      </c>
      <c r="F551" s="2"/>
    </row>
    <row x14ac:dyDescent="0.25" r="552" customHeight="1" ht="17.25">
      <c r="A552" s="7">
        <v>45926</v>
      </c>
      <c r="B552" s="9" t="s">
        <v>333</v>
      </c>
      <c r="C552" s="3"/>
      <c r="D552" s="6">
        <v>30</v>
      </c>
      <c r="E552" s="6">
        <f>E551+C552-D552</f>
      </c>
      <c r="F552" s="2"/>
    </row>
    <row x14ac:dyDescent="0.25" r="553" customHeight="1" ht="17.25">
      <c r="A553" s="7">
        <v>45926</v>
      </c>
      <c r="B553" s="9" t="s">
        <v>365</v>
      </c>
      <c r="C553" s="6">
        <v>59</v>
      </c>
      <c r="D553" s="4"/>
      <c r="E553" s="6">
        <f>E552+C553-D553</f>
      </c>
      <c r="F553" s="2"/>
    </row>
    <row x14ac:dyDescent="0.25" r="554" customHeight="1" ht="17.25">
      <c r="A554" s="7">
        <v>45926</v>
      </c>
      <c r="B554" s="9" t="s">
        <v>507</v>
      </c>
      <c r="C554" s="6">
        <v>299</v>
      </c>
      <c r="D554" s="4"/>
      <c r="E554" s="6">
        <f>E553+C554-D554</f>
      </c>
      <c r="F554" s="2"/>
    </row>
    <row x14ac:dyDescent="0.25" r="555" customHeight="1" ht="17.25">
      <c r="A555" s="7">
        <v>45927</v>
      </c>
      <c r="B555" s="9" t="s">
        <v>504</v>
      </c>
      <c r="C555" s="3"/>
      <c r="D555" s="6">
        <v>240</v>
      </c>
      <c r="E555" s="6">
        <f>E554+C555-D555</f>
      </c>
      <c r="F555" s="2"/>
    </row>
    <row x14ac:dyDescent="0.25" r="556" customHeight="1" ht="17.25">
      <c r="A556" s="7">
        <v>45927</v>
      </c>
      <c r="B556" s="9" t="s">
        <v>343</v>
      </c>
      <c r="C556" s="6">
        <v>5</v>
      </c>
      <c r="D556" s="4"/>
      <c r="E556" s="6">
        <f>E555+C556-D556</f>
      </c>
      <c r="F556" s="2"/>
    </row>
    <row x14ac:dyDescent="0.25" r="557" customHeight="1" ht="17.25">
      <c r="A557" s="7">
        <v>45929</v>
      </c>
      <c r="B557" s="9" t="s">
        <v>504</v>
      </c>
      <c r="C557" s="3"/>
      <c r="D557" s="6">
        <v>30</v>
      </c>
      <c r="E557" s="6">
        <f>E556+C557-D557</f>
      </c>
      <c r="F557" s="2"/>
    </row>
    <row x14ac:dyDescent="0.25" r="558" customHeight="1" ht="17.25">
      <c r="A558" s="7">
        <v>45929</v>
      </c>
      <c r="B558" s="9" t="s">
        <v>316</v>
      </c>
      <c r="C558" s="3"/>
      <c r="D558" s="6">
        <v>200</v>
      </c>
      <c r="E558" s="6">
        <f>E557+C558-D558</f>
      </c>
      <c r="F558" s="2"/>
    </row>
    <row x14ac:dyDescent="0.25" r="559" customHeight="1" ht="17.25">
      <c r="A559" s="7">
        <v>45929</v>
      </c>
      <c r="B559" s="9" t="s">
        <v>106</v>
      </c>
      <c r="C559" s="6">
        <v>93</v>
      </c>
      <c r="D559" s="4"/>
      <c r="E559" s="6">
        <f>E558+C559-D559</f>
      </c>
      <c r="F559" s="2"/>
    </row>
    <row x14ac:dyDescent="0.25" r="560" customHeight="1" ht="17.25">
      <c r="A560" s="7">
        <v>45930</v>
      </c>
      <c r="B560" s="9" t="s">
        <v>311</v>
      </c>
      <c r="C560" s="3"/>
      <c r="D560" s="6">
        <v>75</v>
      </c>
      <c r="E560" s="6">
        <f>E559+C560-D560</f>
      </c>
      <c r="F560" s="2"/>
    </row>
    <row x14ac:dyDescent="0.25" r="561" customHeight="1" ht="17.25">
      <c r="A561" s="7">
        <v>45930</v>
      </c>
      <c r="B561" s="9" t="s">
        <v>233</v>
      </c>
      <c r="C561" s="3"/>
      <c r="D561" s="6">
        <v>11</v>
      </c>
      <c r="E561" s="6">
        <f>E560+C561-D561</f>
      </c>
      <c r="F561" s="2"/>
    </row>
    <row x14ac:dyDescent="0.25" r="562" customHeight="1" ht="17.25">
      <c r="A562" s="7">
        <v>45930</v>
      </c>
      <c r="B562" s="9" t="s">
        <v>47</v>
      </c>
      <c r="C562" s="6">
        <v>2</v>
      </c>
      <c r="D562" s="4"/>
      <c r="E562" s="6">
        <f>E561+C562-D562</f>
      </c>
      <c r="F562" s="2"/>
    </row>
    <row x14ac:dyDescent="0.25" r="563" customHeight="1" ht="17.25">
      <c r="A563" s="7">
        <v>45930</v>
      </c>
      <c r="B563" s="9" t="s">
        <v>228</v>
      </c>
      <c r="C563" s="6">
        <v>14</v>
      </c>
      <c r="D563" s="4"/>
      <c r="E563" s="6">
        <f>E562+C563-D563</f>
      </c>
      <c r="F563" s="2"/>
    </row>
    <row x14ac:dyDescent="0.25" r="564" customHeight="1" ht="17.25">
      <c r="A564" s="7">
        <v>45930</v>
      </c>
      <c r="B564" s="9" t="s">
        <v>414</v>
      </c>
      <c r="C564" s="3"/>
      <c r="D564" s="6">
        <v>37</v>
      </c>
      <c r="E564" s="6">
        <f>E563+C564-D564</f>
      </c>
      <c r="F564" s="2"/>
    </row>
    <row x14ac:dyDescent="0.25" r="565" customHeight="1" ht="17.25">
      <c r="A565" s="7">
        <v>45931</v>
      </c>
      <c r="B565" s="9" t="s">
        <v>44</v>
      </c>
      <c r="C565" s="6">
        <v>30</v>
      </c>
      <c r="D565" s="4"/>
      <c r="E565" s="6">
        <f>E564+C565-D565</f>
      </c>
      <c r="F565" s="2"/>
    </row>
    <row x14ac:dyDescent="0.25" r="566" customHeight="1" ht="17.25">
      <c r="A566" s="7">
        <v>45931</v>
      </c>
      <c r="B566" s="9" t="s">
        <v>106</v>
      </c>
      <c r="C566" s="6">
        <v>58</v>
      </c>
      <c r="D566" s="4"/>
      <c r="E566" s="6">
        <f>E565+C566-D566</f>
      </c>
      <c r="F566" s="2"/>
    </row>
    <row x14ac:dyDescent="0.25" r="567" customHeight="1" ht="17.25">
      <c r="A567" s="7">
        <v>45932</v>
      </c>
      <c r="B567" s="9" t="s">
        <v>106</v>
      </c>
      <c r="C567" s="6">
        <v>150</v>
      </c>
      <c r="D567" s="4"/>
      <c r="E567" s="6">
        <f>E566+C567-D567</f>
      </c>
      <c r="F567" s="2"/>
    </row>
    <row x14ac:dyDescent="0.25" r="568" customHeight="1" ht="17.25">
      <c r="A568" s="7">
        <v>45933</v>
      </c>
      <c r="B568" s="9" t="s">
        <v>46</v>
      </c>
      <c r="C568" s="3"/>
      <c r="D568" s="6">
        <v>100</v>
      </c>
      <c r="E568" s="6">
        <f>E567+C568-D568</f>
      </c>
      <c r="F568" s="2"/>
    </row>
    <row x14ac:dyDescent="0.25" r="569" customHeight="1" ht="17.25">
      <c r="A569" s="8">
        <v>45933</v>
      </c>
      <c r="B569" s="9" t="s">
        <v>508</v>
      </c>
      <c r="C569" s="3"/>
      <c r="D569" s="6">
        <v>100</v>
      </c>
      <c r="E569" s="6">
        <f>E568+C569-D569</f>
      </c>
      <c r="F569" s="2"/>
    </row>
    <row x14ac:dyDescent="0.25" r="570" customHeight="1" ht="17.25">
      <c r="A570" s="7">
        <v>45934</v>
      </c>
      <c r="B570" s="9" t="s">
        <v>106</v>
      </c>
      <c r="C570" s="6">
        <v>73</v>
      </c>
      <c r="D570" s="4"/>
      <c r="E570" s="6">
        <f>E569+C570-D570</f>
      </c>
      <c r="F570" s="2"/>
    </row>
    <row x14ac:dyDescent="0.25" r="571" customHeight="1" ht="17.25">
      <c r="A571" s="8">
        <v>45936</v>
      </c>
      <c r="B571" s="9" t="s">
        <v>504</v>
      </c>
      <c r="C571" s="3"/>
      <c r="D571" s="6">
        <v>134</v>
      </c>
      <c r="E571" s="6">
        <f>E570+C571-D571</f>
      </c>
      <c r="F571" s="2"/>
    </row>
    <row x14ac:dyDescent="0.25" r="572" customHeight="1" ht="17.25">
      <c r="A572" s="1"/>
      <c r="B572" s="9" t="s">
        <v>528</v>
      </c>
      <c r="C572" s="3"/>
      <c r="D572" s="4"/>
      <c r="E572" s="4"/>
      <c r="F572" s="2"/>
    </row>
    <row x14ac:dyDescent="0.25" r="573" customHeight="1" ht="17.25">
      <c r="A573" s="7">
        <v>45937</v>
      </c>
      <c r="B573" s="9" t="s">
        <v>529</v>
      </c>
      <c r="C573" s="6">
        <v>250</v>
      </c>
      <c r="D573" s="4"/>
      <c r="E573" s="6">
        <v>250</v>
      </c>
      <c r="F573" s="2"/>
    </row>
    <row x14ac:dyDescent="0.25" r="574" customHeight="1" ht="17.25">
      <c r="A574" s="7">
        <v>45937</v>
      </c>
      <c r="B574" s="9" t="s">
        <v>504</v>
      </c>
      <c r="C574" s="3"/>
      <c r="D574" s="6">
        <v>166</v>
      </c>
      <c r="E574" s="6">
        <f>E573+C574-D574</f>
      </c>
      <c r="F574" s="2"/>
    </row>
    <row x14ac:dyDescent="0.25" r="575" customHeight="1" ht="17.25">
      <c r="A575" s="7">
        <v>45937</v>
      </c>
      <c r="B575" s="9" t="s">
        <v>106</v>
      </c>
      <c r="C575" s="6">
        <v>66</v>
      </c>
      <c r="D575" s="4"/>
      <c r="E575" s="6">
        <f>E574+C575-D575</f>
      </c>
      <c r="F575" s="2"/>
    </row>
    <row x14ac:dyDescent="0.25" r="576" customHeight="1" ht="17.25">
      <c r="A576" s="7">
        <v>45938</v>
      </c>
      <c r="B576" s="9" t="s">
        <v>233</v>
      </c>
      <c r="C576" s="3"/>
      <c r="D576" s="6">
        <v>40</v>
      </c>
      <c r="E576" s="6">
        <f>E575+C576-D576</f>
      </c>
      <c r="F576" s="2"/>
    </row>
    <row x14ac:dyDescent="0.25" r="577" customHeight="1" ht="17.25">
      <c r="A577" s="8">
        <v>45938</v>
      </c>
      <c r="B577" s="9" t="s">
        <v>313</v>
      </c>
      <c r="C577" s="3"/>
      <c r="D577" s="6">
        <v>20</v>
      </c>
      <c r="E577" s="6">
        <f>E576+C577-D577</f>
      </c>
      <c r="F577" s="2"/>
    </row>
    <row x14ac:dyDescent="0.25" r="578" customHeight="1" ht="17.25">
      <c r="A578" s="7">
        <v>45938</v>
      </c>
      <c r="B578" s="9" t="s">
        <v>316</v>
      </c>
      <c r="C578" s="3"/>
      <c r="D578" s="6">
        <v>50</v>
      </c>
      <c r="E578" s="6">
        <f>E577+C578-D578</f>
      </c>
      <c r="F578" s="2"/>
    </row>
    <row x14ac:dyDescent="0.25" r="579" customHeight="1" ht="17.25">
      <c r="A579" s="7">
        <v>45939</v>
      </c>
      <c r="B579" s="9" t="s">
        <v>233</v>
      </c>
      <c r="C579" s="3"/>
      <c r="D579" s="6">
        <v>20</v>
      </c>
      <c r="E579" s="6">
        <f>E578+C579-D579</f>
      </c>
      <c r="F579" s="2"/>
    </row>
    <row x14ac:dyDescent="0.25" r="580" customHeight="1" ht="17.25">
      <c r="A580" s="7">
        <v>45939</v>
      </c>
      <c r="B580" s="9" t="s">
        <v>182</v>
      </c>
      <c r="C580" s="6">
        <v>47</v>
      </c>
      <c r="D580" s="4"/>
      <c r="E580" s="6">
        <f>E579+C580-D580</f>
      </c>
      <c r="F580" s="2"/>
    </row>
    <row x14ac:dyDescent="0.25" r="581" customHeight="1" ht="17.25">
      <c r="A581" s="7">
        <v>45940</v>
      </c>
      <c r="B581" s="9" t="s">
        <v>389</v>
      </c>
      <c r="C581" s="6">
        <v>72</v>
      </c>
      <c r="D581" s="4"/>
      <c r="E581" s="6">
        <f>E580+C581-D581</f>
      </c>
      <c r="F581" s="2"/>
    </row>
    <row x14ac:dyDescent="0.25" r="582" customHeight="1" ht="17.25">
      <c r="A582" s="7">
        <v>45941</v>
      </c>
      <c r="B582" s="9" t="s">
        <v>63</v>
      </c>
      <c r="C582" s="6">
        <v>200</v>
      </c>
      <c r="D582" s="4"/>
      <c r="E582" s="6">
        <f>E581+C582-D582</f>
      </c>
      <c r="F582" s="2"/>
    </row>
    <row x14ac:dyDescent="0.25" r="583" customHeight="1" ht="17.25">
      <c r="A583" s="7">
        <v>45941</v>
      </c>
      <c r="B583" s="9" t="s">
        <v>504</v>
      </c>
      <c r="C583" s="3"/>
      <c r="D583" s="6">
        <v>200</v>
      </c>
      <c r="E583" s="6">
        <f>E582+C583-D583</f>
      </c>
      <c r="F583" s="2"/>
    </row>
    <row x14ac:dyDescent="0.25" r="584" customHeight="1" ht="17.25">
      <c r="A584" s="7">
        <v>45941</v>
      </c>
      <c r="B584" s="9" t="s">
        <v>243</v>
      </c>
      <c r="C584" s="3"/>
      <c r="D584" s="6">
        <v>100</v>
      </c>
      <c r="E584" s="6">
        <f>E583+C584-D584</f>
      </c>
      <c r="F584" s="2"/>
    </row>
    <row x14ac:dyDescent="0.25" r="585" customHeight="1" ht="17.25">
      <c r="A585" s="7">
        <v>45941</v>
      </c>
      <c r="B585" s="9" t="s">
        <v>530</v>
      </c>
      <c r="C585" s="6">
        <v>66</v>
      </c>
      <c r="D585" s="4"/>
      <c r="E585" s="6">
        <f>E584+C585-D585</f>
      </c>
      <c r="F585" s="2"/>
    </row>
    <row x14ac:dyDescent="0.25" r="586" customHeight="1" ht="17.25">
      <c r="A586" s="7">
        <v>45942</v>
      </c>
      <c r="B586" s="9" t="s">
        <v>36</v>
      </c>
      <c r="C586" s="6">
        <v>125</v>
      </c>
      <c r="D586" s="4"/>
      <c r="E586" s="6">
        <f>E585+C586-D586</f>
      </c>
      <c r="F586" s="2"/>
    </row>
    <row x14ac:dyDescent="0.25" r="587" customHeight="1" ht="17.25">
      <c r="A587" s="7">
        <v>45943</v>
      </c>
      <c r="B587" s="9" t="s">
        <v>304</v>
      </c>
      <c r="C587" s="3"/>
      <c r="D587" s="6">
        <v>300</v>
      </c>
      <c r="E587" s="6">
        <f>E586+C587-D587</f>
      </c>
      <c r="F587" s="2"/>
    </row>
    <row x14ac:dyDescent="0.25" r="588" customHeight="1" ht="17.25">
      <c r="A588" s="8">
        <v>45943</v>
      </c>
      <c r="B588" s="9" t="s">
        <v>512</v>
      </c>
      <c r="C588" s="3"/>
      <c r="D588" s="6">
        <v>100</v>
      </c>
      <c r="E588" s="6">
        <f>E587+C588-D588</f>
      </c>
      <c r="F588" s="2"/>
    </row>
    <row x14ac:dyDescent="0.25" r="589" customHeight="1" ht="17.25">
      <c r="A589" s="8">
        <v>45943</v>
      </c>
      <c r="B589" s="9" t="s">
        <v>512</v>
      </c>
      <c r="C589" s="3"/>
      <c r="D589" s="6">
        <v>100</v>
      </c>
      <c r="E589" s="6">
        <f>E588+C589-D589</f>
      </c>
      <c r="F589" s="2"/>
    </row>
    <row x14ac:dyDescent="0.25" r="590" customHeight="1" ht="17.25">
      <c r="A590" s="7">
        <v>45943</v>
      </c>
      <c r="B590" s="9" t="s">
        <v>63</v>
      </c>
      <c r="C590" s="6">
        <v>200</v>
      </c>
      <c r="D590" s="4"/>
      <c r="E590" s="6">
        <f>E589+C590-D590</f>
      </c>
      <c r="F590" s="2"/>
    </row>
    <row x14ac:dyDescent="0.25" r="591" customHeight="1" ht="17.25">
      <c r="A591" s="7">
        <v>45943</v>
      </c>
      <c r="B591" s="9" t="s">
        <v>316</v>
      </c>
      <c r="C591" s="3"/>
      <c r="D591" s="6">
        <v>200</v>
      </c>
      <c r="E591" s="6">
        <f>E590+C591-D591</f>
      </c>
      <c r="F591" s="2"/>
    </row>
    <row x14ac:dyDescent="0.25" r="592" customHeight="1" ht="17.25">
      <c r="A592" s="8">
        <v>45943</v>
      </c>
      <c r="B592" s="9" t="s">
        <v>41</v>
      </c>
      <c r="C592" s="6">
        <v>53</v>
      </c>
      <c r="D592" s="4"/>
      <c r="E592" s="6">
        <f>E591+C592-D592</f>
      </c>
      <c r="F592" s="2"/>
    </row>
    <row x14ac:dyDescent="0.25" r="593" customHeight="1" ht="17.25">
      <c r="A593" s="7">
        <v>45943</v>
      </c>
      <c r="B593" s="9" t="s">
        <v>531</v>
      </c>
      <c r="C593" s="6">
        <v>1000</v>
      </c>
      <c r="D593" s="4"/>
      <c r="E593" s="6">
        <f>E592+C593-D593</f>
      </c>
      <c r="F593" s="2"/>
    </row>
    <row x14ac:dyDescent="0.25" r="594" customHeight="1" ht="17.25">
      <c r="A594" s="8">
        <v>45944</v>
      </c>
      <c r="B594" s="9" t="s">
        <v>272</v>
      </c>
      <c r="C594" s="6">
        <v>2</v>
      </c>
      <c r="D594" s="4"/>
      <c r="E594" s="6">
        <f>E593+C594-D594</f>
      </c>
      <c r="F594" s="2"/>
    </row>
    <row x14ac:dyDescent="0.25" r="595" customHeight="1" ht="17.25">
      <c r="A595" s="7">
        <v>45945</v>
      </c>
      <c r="B595" s="9" t="s">
        <v>46</v>
      </c>
      <c r="C595" s="3"/>
      <c r="D595" s="6">
        <v>200</v>
      </c>
      <c r="E595" s="6">
        <f>E594+C595-D595</f>
      </c>
      <c r="F595" s="2"/>
    </row>
    <row x14ac:dyDescent="0.25" r="596" customHeight="1" ht="17.25">
      <c r="A596" s="8">
        <v>45945</v>
      </c>
      <c r="B596" s="9" t="s">
        <v>283</v>
      </c>
      <c r="C596" s="6">
        <v>25</v>
      </c>
      <c r="D596" s="4"/>
      <c r="E596" s="6">
        <f>E595+C596-D596</f>
      </c>
      <c r="F596" s="2"/>
    </row>
    <row x14ac:dyDescent="0.25" r="597" customHeight="1" ht="17.25">
      <c r="A597" s="7">
        <v>45945</v>
      </c>
      <c r="B597" s="9" t="s">
        <v>531</v>
      </c>
      <c r="C597" s="6">
        <v>500</v>
      </c>
      <c r="D597" s="4"/>
      <c r="E597" s="6">
        <f>E596+C597-D597</f>
      </c>
      <c r="F597" s="2"/>
    </row>
    <row x14ac:dyDescent="0.25" r="598" customHeight="1" ht="17.25">
      <c r="A598" s="7">
        <v>45945</v>
      </c>
      <c r="B598" s="9" t="s">
        <v>298</v>
      </c>
      <c r="C598" s="6">
        <v>200</v>
      </c>
      <c r="D598" s="4"/>
      <c r="E598" s="6">
        <f>E597+C598-D598</f>
      </c>
      <c r="F598" s="2"/>
    </row>
    <row x14ac:dyDescent="0.25" r="599" customHeight="1" ht="17.25">
      <c r="A599" s="7">
        <v>45946</v>
      </c>
      <c r="B599" s="9" t="s">
        <v>420</v>
      </c>
      <c r="C599" s="3"/>
      <c r="D599" s="6">
        <v>72</v>
      </c>
      <c r="E599" s="6">
        <f>E598+C599-D599</f>
      </c>
      <c r="F599" s="2"/>
    </row>
    <row x14ac:dyDescent="0.25" r="600" customHeight="1" ht="17.25">
      <c r="A600" s="7">
        <v>45946</v>
      </c>
      <c r="B600" s="9" t="s">
        <v>512</v>
      </c>
      <c r="C600" s="3"/>
      <c r="D600" s="6">
        <v>160</v>
      </c>
      <c r="E600" s="6">
        <f>E599+C600-D600</f>
      </c>
      <c r="F600" s="2"/>
    </row>
    <row x14ac:dyDescent="0.25" r="601" customHeight="1" ht="17.25">
      <c r="A601" s="7">
        <v>45946</v>
      </c>
      <c r="B601" s="9" t="s">
        <v>512</v>
      </c>
      <c r="C601" s="3"/>
      <c r="D601" s="6">
        <v>160</v>
      </c>
      <c r="E601" s="6">
        <f>E600+C601-D601</f>
      </c>
      <c r="F601" s="2"/>
    </row>
    <row x14ac:dyDescent="0.25" r="602" customHeight="1" ht="17.25">
      <c r="A602" s="8">
        <v>45946</v>
      </c>
      <c r="B602" s="9" t="s">
        <v>141</v>
      </c>
      <c r="C602" s="6">
        <v>11</v>
      </c>
      <c r="D602" s="4"/>
      <c r="E602" s="6">
        <f>E601+C602-D602</f>
      </c>
      <c r="F602" s="2"/>
    </row>
    <row x14ac:dyDescent="0.25" r="603" customHeight="1" ht="17.25">
      <c r="A603" s="8">
        <v>45946</v>
      </c>
      <c r="B603" s="9" t="s">
        <v>100</v>
      </c>
      <c r="C603" s="6">
        <v>170</v>
      </c>
      <c r="D603" s="4"/>
      <c r="E603" s="6">
        <f>E602+C603-D603</f>
      </c>
      <c r="F603" s="2"/>
    </row>
    <row x14ac:dyDescent="0.25" r="604" customHeight="1" ht="17.25">
      <c r="A604" s="7">
        <v>45946</v>
      </c>
      <c r="B604" s="9" t="s">
        <v>228</v>
      </c>
      <c r="C604" s="6">
        <v>41</v>
      </c>
      <c r="D604" s="4"/>
      <c r="E604" s="6">
        <f>E603+C604-D604</f>
      </c>
      <c r="F604" s="2"/>
    </row>
    <row x14ac:dyDescent="0.25" r="605" customHeight="1" ht="17.25">
      <c r="A605" s="7">
        <v>45947</v>
      </c>
      <c r="B605" s="9" t="s">
        <v>179</v>
      </c>
      <c r="C605" s="3"/>
      <c r="D605" s="6">
        <v>100</v>
      </c>
      <c r="E605" s="6">
        <f>E604+C605-D605</f>
      </c>
      <c r="F605" s="2"/>
    </row>
    <row x14ac:dyDescent="0.25" r="606" customHeight="1" ht="17.25">
      <c r="A606" s="8">
        <v>45947</v>
      </c>
      <c r="B606" s="9" t="s">
        <v>512</v>
      </c>
      <c r="C606" s="3"/>
      <c r="D606" s="6">
        <v>100</v>
      </c>
      <c r="E606" s="6">
        <f>E605+C606-D606</f>
      </c>
      <c r="F606" s="2"/>
    </row>
    <row x14ac:dyDescent="0.25" r="607" customHeight="1" ht="17.25">
      <c r="A607" s="8">
        <v>45947</v>
      </c>
      <c r="B607" s="9" t="s">
        <v>512</v>
      </c>
      <c r="C607" s="3"/>
      <c r="D607" s="6">
        <v>160</v>
      </c>
      <c r="E607" s="6">
        <f>E606+C607-D607</f>
      </c>
      <c r="F607" s="2"/>
    </row>
    <row x14ac:dyDescent="0.25" r="608" customHeight="1" ht="17.25">
      <c r="A608" s="7">
        <v>45947</v>
      </c>
      <c r="B608" s="9" t="s">
        <v>284</v>
      </c>
      <c r="C608" s="6">
        <v>53</v>
      </c>
      <c r="D608" s="4"/>
      <c r="E608" s="6">
        <f>E607+C608-D608</f>
      </c>
      <c r="F608" s="2"/>
    </row>
    <row x14ac:dyDescent="0.25" r="609" customHeight="1" ht="17.25">
      <c r="A609" s="8">
        <v>45947</v>
      </c>
      <c r="B609" s="9" t="s">
        <v>389</v>
      </c>
      <c r="C609" s="6">
        <v>20</v>
      </c>
      <c r="D609" s="4"/>
      <c r="E609" s="6">
        <f>E608+C609-D609</f>
      </c>
      <c r="F609" s="2"/>
    </row>
    <row x14ac:dyDescent="0.25" r="610" customHeight="1" ht="17.25">
      <c r="A610" s="7">
        <v>45947</v>
      </c>
      <c r="B610" s="9" t="s">
        <v>3</v>
      </c>
      <c r="C610" s="6">
        <v>58</v>
      </c>
      <c r="D610" s="4"/>
      <c r="E610" s="6">
        <f>E609+C610-D610</f>
      </c>
      <c r="F610" s="2"/>
    </row>
    <row x14ac:dyDescent="0.25" r="611" customHeight="1" ht="17.25">
      <c r="A611" s="7">
        <v>45948</v>
      </c>
      <c r="B611" s="9" t="s">
        <v>46</v>
      </c>
      <c r="C611" s="3"/>
      <c r="D611" s="6">
        <v>100</v>
      </c>
      <c r="E611" s="6">
        <f>E610+C611-D611</f>
      </c>
      <c r="F611" s="2"/>
    </row>
    <row x14ac:dyDescent="0.25" r="612" customHeight="1" ht="17.25">
      <c r="A612" s="8">
        <v>45948</v>
      </c>
      <c r="B612" s="9" t="s">
        <v>184</v>
      </c>
      <c r="C612" s="6">
        <v>36</v>
      </c>
      <c r="D612" s="4"/>
      <c r="E612" s="6">
        <f>E611+C612-D612</f>
      </c>
      <c r="F612" s="2"/>
    </row>
    <row x14ac:dyDescent="0.25" r="613" customHeight="1" ht="17.25">
      <c r="A613" s="8">
        <v>45948</v>
      </c>
      <c r="B613" s="9" t="s">
        <v>2</v>
      </c>
      <c r="C613" s="6">
        <v>53</v>
      </c>
      <c r="D613" s="4"/>
      <c r="E613" s="6">
        <f>E612+C613-D613</f>
      </c>
      <c r="F613" s="2"/>
    </row>
    <row x14ac:dyDescent="0.25" r="614" customHeight="1" ht="17.25">
      <c r="A614" s="7">
        <v>45950</v>
      </c>
      <c r="B614" s="9" t="s">
        <v>304</v>
      </c>
      <c r="C614" s="3"/>
      <c r="D614" s="6">
        <v>400</v>
      </c>
      <c r="E614" s="6">
        <f>E613+C614-D614</f>
      </c>
      <c r="F614" s="2"/>
    </row>
    <row x14ac:dyDescent="0.25" r="615" customHeight="1" ht="17.25">
      <c r="A615" s="7">
        <v>45950</v>
      </c>
      <c r="B615" s="9" t="s">
        <v>208</v>
      </c>
      <c r="C615" s="6">
        <v>62</v>
      </c>
      <c r="D615" s="4"/>
      <c r="E615" s="6">
        <f>E614+C615-D615</f>
      </c>
      <c r="F615" s="2"/>
    </row>
    <row x14ac:dyDescent="0.25" r="616" customHeight="1" ht="17.25">
      <c r="A616" s="7">
        <v>45951</v>
      </c>
      <c r="B616" s="9" t="s">
        <v>46</v>
      </c>
      <c r="C616" s="3"/>
      <c r="D616" s="6">
        <v>300</v>
      </c>
      <c r="E616" s="6">
        <f>E615+C616-D616</f>
      </c>
      <c r="F616" s="2"/>
    </row>
    <row x14ac:dyDescent="0.25" r="617" customHeight="1" ht="17.25">
      <c r="A617" s="7">
        <v>45951</v>
      </c>
      <c r="B617" s="9" t="s">
        <v>315</v>
      </c>
      <c r="C617" s="3"/>
      <c r="D617" s="6">
        <v>46</v>
      </c>
      <c r="E617" s="6">
        <f>E616+C617-D617</f>
      </c>
      <c r="F617" s="2"/>
    </row>
    <row x14ac:dyDescent="0.25" r="618" customHeight="1" ht="17.25">
      <c r="A618" s="7">
        <v>45951</v>
      </c>
      <c r="B618" s="9" t="s">
        <v>3</v>
      </c>
      <c r="C618" s="6">
        <v>67</v>
      </c>
      <c r="D618" s="4"/>
      <c r="E618" s="6">
        <f>E617+C618-D618</f>
      </c>
      <c r="F618" s="2"/>
    </row>
    <row x14ac:dyDescent="0.25" r="619" customHeight="1" ht="17.25">
      <c r="A619" s="7">
        <v>45951</v>
      </c>
      <c r="B619" s="9" t="s">
        <v>26</v>
      </c>
      <c r="C619" s="6">
        <v>431</v>
      </c>
      <c r="D619" s="4"/>
      <c r="E619" s="6">
        <f>E618+C619-D619</f>
      </c>
      <c r="F619" s="2"/>
    </row>
    <row x14ac:dyDescent="0.25" r="620" customHeight="1" ht="17.25">
      <c r="A620" s="7">
        <v>45952</v>
      </c>
      <c r="B620" s="9" t="s">
        <v>313</v>
      </c>
      <c r="C620" s="3"/>
      <c r="D620" s="6">
        <v>20</v>
      </c>
      <c r="E620" s="6">
        <f>E619+C620-D620</f>
      </c>
      <c r="F620" s="2"/>
    </row>
    <row x14ac:dyDescent="0.25" r="621" customHeight="1" ht="17.25">
      <c r="A621" s="7">
        <v>45952</v>
      </c>
      <c r="B621" s="9" t="s">
        <v>141</v>
      </c>
      <c r="C621" s="6">
        <v>4</v>
      </c>
      <c r="D621" s="4"/>
      <c r="E621" s="6">
        <f>E620+C621-D621</f>
      </c>
      <c r="F621" s="2"/>
    </row>
    <row x14ac:dyDescent="0.25" r="622" customHeight="1" ht="17.25">
      <c r="A622" s="7">
        <v>45952</v>
      </c>
      <c r="B622" s="9" t="s">
        <v>43</v>
      </c>
      <c r="C622" s="6">
        <v>72</v>
      </c>
      <c r="D622" s="4"/>
      <c r="E622" s="6">
        <f>E621+C622-D622</f>
      </c>
      <c r="F622" s="2"/>
    </row>
    <row x14ac:dyDescent="0.25" r="623" customHeight="1" ht="17.25">
      <c r="A623" s="7">
        <v>45953</v>
      </c>
      <c r="B623" s="9" t="s">
        <v>398</v>
      </c>
      <c r="C623" s="3"/>
      <c r="D623" s="6">
        <v>19</v>
      </c>
      <c r="E623" s="6">
        <f>E622+C623-D623</f>
      </c>
      <c r="F623" s="2"/>
    </row>
    <row x14ac:dyDescent="0.25" r="624" customHeight="1" ht="17.25">
      <c r="A624" s="7">
        <v>45953</v>
      </c>
      <c r="B624" s="9" t="s">
        <v>63</v>
      </c>
      <c r="C624" s="6">
        <v>400</v>
      </c>
      <c r="D624" s="4"/>
      <c r="E624" s="6">
        <f>E623+C624-D624</f>
      </c>
      <c r="F624" s="2"/>
    </row>
    <row x14ac:dyDescent="0.25" r="625" customHeight="1" ht="17.25">
      <c r="A625" s="7">
        <v>45953</v>
      </c>
      <c r="B625" s="9" t="s">
        <v>47</v>
      </c>
      <c r="C625" s="6">
        <v>33</v>
      </c>
      <c r="D625" s="4"/>
      <c r="E625" s="6">
        <f>E624+C625-D625</f>
      </c>
      <c r="F625" s="2"/>
    </row>
    <row x14ac:dyDescent="0.25" r="626" customHeight="1" ht="17.25">
      <c r="A626" s="7">
        <v>45953</v>
      </c>
      <c r="B626" s="9" t="s">
        <v>208</v>
      </c>
      <c r="C626" s="6">
        <v>2</v>
      </c>
      <c r="D626" s="4"/>
      <c r="E626" s="6">
        <f>E625+C626-D626</f>
      </c>
      <c r="F626" s="2"/>
    </row>
    <row x14ac:dyDescent="0.25" r="627" customHeight="1" ht="17.25">
      <c r="A627" s="7">
        <v>45954</v>
      </c>
      <c r="B627" s="9" t="s">
        <v>389</v>
      </c>
      <c r="C627" s="6">
        <v>18</v>
      </c>
      <c r="D627" s="4"/>
      <c r="E627" s="6">
        <f>E626+C627-D627</f>
      </c>
      <c r="F627" s="2"/>
    </row>
    <row x14ac:dyDescent="0.25" r="628" customHeight="1" ht="17.25">
      <c r="A628" s="7">
        <v>45954</v>
      </c>
      <c r="B628" s="9" t="s">
        <v>3</v>
      </c>
      <c r="C628" s="6">
        <v>68</v>
      </c>
      <c r="D628" s="4"/>
      <c r="E628" s="6">
        <f>E627+C628-D628</f>
      </c>
      <c r="F628" s="2"/>
    </row>
    <row x14ac:dyDescent="0.25" r="629" customHeight="1" ht="17.25">
      <c r="A629" s="7">
        <v>45955</v>
      </c>
      <c r="B629" s="9" t="s">
        <v>504</v>
      </c>
      <c r="C629" s="3"/>
      <c r="D629" s="6">
        <v>400</v>
      </c>
      <c r="E629" s="6">
        <f>E628+C629-D629</f>
      </c>
      <c r="F629" s="2"/>
    </row>
    <row x14ac:dyDescent="0.25" r="630" customHeight="1" ht="17.25">
      <c r="A630" s="7">
        <v>45955</v>
      </c>
      <c r="B630" s="9" t="s">
        <v>243</v>
      </c>
      <c r="C630" s="3"/>
      <c r="D630" s="6">
        <v>150</v>
      </c>
      <c r="E630" s="6">
        <f>E629+C630-D630</f>
      </c>
      <c r="F630" s="2"/>
    </row>
    <row x14ac:dyDescent="0.25" r="631" customHeight="1" ht="17.25">
      <c r="A631" s="1"/>
      <c r="B631" s="9" t="s">
        <v>532</v>
      </c>
      <c r="C631" s="3"/>
      <c r="D631" s="4"/>
      <c r="E631" s="6">
        <f>E630+C631-D631</f>
      </c>
      <c r="F631" s="2"/>
    </row>
    <row x14ac:dyDescent="0.25" r="632" customHeight="1" ht="17.25">
      <c r="A632" s="7">
        <v>45957</v>
      </c>
      <c r="B632" s="9" t="s">
        <v>3</v>
      </c>
      <c r="C632" s="6">
        <v>6</v>
      </c>
      <c r="D632" s="4"/>
      <c r="E632" s="6">
        <f>E631+C632-D632</f>
      </c>
      <c r="F632" s="2"/>
    </row>
    <row x14ac:dyDescent="0.25" r="633" customHeight="1" ht="17.25">
      <c r="A633" s="7">
        <v>45957</v>
      </c>
      <c r="B633" s="9" t="s">
        <v>41</v>
      </c>
      <c r="C633" s="6">
        <v>6</v>
      </c>
      <c r="D633" s="4"/>
      <c r="E633" s="6">
        <f>E632+C633-D633</f>
      </c>
      <c r="F633" s="2"/>
    </row>
    <row x14ac:dyDescent="0.25" r="634" customHeight="1" ht="17.25">
      <c r="A634" s="7">
        <v>45957</v>
      </c>
      <c r="B634" s="9" t="s">
        <v>495</v>
      </c>
      <c r="C634" s="6">
        <v>100</v>
      </c>
      <c r="D634" s="4"/>
      <c r="E634" s="6">
        <f>E633+C634-D634</f>
      </c>
      <c r="F634" s="2"/>
    </row>
    <row x14ac:dyDescent="0.25" r="635" customHeight="1" ht="17.25">
      <c r="A635" s="7">
        <v>45957</v>
      </c>
      <c r="B635" s="9" t="s">
        <v>141</v>
      </c>
      <c r="C635" s="6">
        <v>17</v>
      </c>
      <c r="D635" s="4"/>
      <c r="E635" s="6">
        <f>E634+C635-D635</f>
      </c>
      <c r="F635" s="2"/>
    </row>
    <row x14ac:dyDescent="0.25" r="636" customHeight="1" ht="17.25">
      <c r="A636" s="7">
        <v>45958</v>
      </c>
      <c r="B636" s="9" t="s">
        <v>316</v>
      </c>
      <c r="C636" s="3"/>
      <c r="D636" s="6">
        <v>200</v>
      </c>
      <c r="E636" s="6">
        <f>E635+C636-D636</f>
      </c>
      <c r="F636" s="2"/>
    </row>
    <row x14ac:dyDescent="0.25" r="637" customHeight="1" ht="17.25">
      <c r="A637" s="8">
        <v>45958</v>
      </c>
      <c r="B637" s="9" t="s">
        <v>495</v>
      </c>
      <c r="C637" s="6">
        <v>80</v>
      </c>
      <c r="D637" s="4"/>
      <c r="E637" s="6">
        <f>E636+C637-D637</f>
      </c>
      <c r="F637" s="2"/>
    </row>
    <row x14ac:dyDescent="0.25" r="638" customHeight="1" ht="17.25">
      <c r="A638" s="8">
        <v>45959</v>
      </c>
      <c r="B638" s="9" t="s">
        <v>184</v>
      </c>
      <c r="C638" s="6">
        <v>17</v>
      </c>
      <c r="D638" s="4"/>
      <c r="E638" s="6">
        <f>E637+C638-D638</f>
      </c>
      <c r="F638" s="2"/>
    </row>
    <row x14ac:dyDescent="0.25" r="639" customHeight="1" ht="17.25">
      <c r="A639" s="7">
        <v>45959</v>
      </c>
      <c r="B639" s="9" t="s">
        <v>3</v>
      </c>
      <c r="C639" s="6">
        <v>24</v>
      </c>
      <c r="D639" s="4"/>
      <c r="E639" s="6">
        <f>E638+C639-D639</f>
      </c>
      <c r="F639" s="2"/>
    </row>
    <row x14ac:dyDescent="0.25" r="640" customHeight="1" ht="17.25">
      <c r="A640" s="8">
        <v>45960</v>
      </c>
      <c r="B640" s="9" t="s">
        <v>347</v>
      </c>
      <c r="C640" s="3"/>
      <c r="D640" s="6">
        <v>24</v>
      </c>
      <c r="E640" s="6">
        <f>E639+C640-D640</f>
      </c>
      <c r="F640" s="2"/>
    </row>
    <row x14ac:dyDescent="0.25" r="641" customHeight="1" ht="17.25">
      <c r="A641" s="7">
        <v>45960</v>
      </c>
      <c r="B641" s="9" t="s">
        <v>318</v>
      </c>
      <c r="C641" s="3"/>
      <c r="D641" s="6">
        <v>32</v>
      </c>
      <c r="E641" s="6">
        <f>E640+C641-D641</f>
      </c>
      <c r="F641" s="2"/>
    </row>
    <row x14ac:dyDescent="0.25" r="642" customHeight="1" ht="17.25">
      <c r="A642" s="7">
        <v>45960</v>
      </c>
      <c r="B642" s="9" t="s">
        <v>514</v>
      </c>
      <c r="C642" s="3"/>
      <c r="D642" s="6">
        <v>50</v>
      </c>
      <c r="E642" s="6">
        <f>E641+C642-D642</f>
      </c>
      <c r="F642" s="2"/>
    </row>
    <row x14ac:dyDescent="0.25" r="643" customHeight="1" ht="17.25">
      <c r="A643" s="8">
        <v>45961</v>
      </c>
      <c r="B643" s="9" t="s">
        <v>179</v>
      </c>
      <c r="C643" s="3"/>
      <c r="D643" s="6">
        <v>100</v>
      </c>
      <c r="E643" s="6">
        <f>E642+C643-D643</f>
      </c>
      <c r="F643" s="2"/>
    </row>
    <row x14ac:dyDescent="0.25" r="644" customHeight="1" ht="17.25">
      <c r="A644" s="7">
        <v>45961</v>
      </c>
      <c r="B644" s="9" t="s">
        <v>319</v>
      </c>
      <c r="C644" s="3"/>
      <c r="D644" s="6">
        <v>130</v>
      </c>
      <c r="E644" s="6">
        <f>E643+C644-D644</f>
      </c>
      <c r="F644" s="2"/>
    </row>
    <row x14ac:dyDescent="0.25" r="645" customHeight="1" ht="17.25">
      <c r="A645" s="7">
        <v>45961</v>
      </c>
      <c r="B645" s="9" t="s">
        <v>51</v>
      </c>
      <c r="C645" s="3"/>
      <c r="D645" s="6">
        <v>200</v>
      </c>
      <c r="E645" s="6">
        <f>E644+C645-D645</f>
      </c>
      <c r="F645" s="2"/>
    </row>
    <row x14ac:dyDescent="0.25" r="646" customHeight="1" ht="17.25">
      <c r="A646" s="7">
        <v>45961</v>
      </c>
      <c r="B646" s="9" t="s">
        <v>51</v>
      </c>
      <c r="C646" s="3"/>
      <c r="D646" s="6">
        <v>50</v>
      </c>
      <c r="E646" s="6">
        <f>E645+C646-D646</f>
      </c>
      <c r="F646" s="2"/>
    </row>
    <row x14ac:dyDescent="0.25" r="647" customHeight="1" ht="17.25">
      <c r="A647" s="7">
        <v>45961</v>
      </c>
      <c r="B647" s="9" t="s">
        <v>184</v>
      </c>
      <c r="C647" s="6">
        <v>10</v>
      </c>
      <c r="D647" s="4"/>
      <c r="E647" s="6">
        <f>E646+C647-D647</f>
      </c>
      <c r="F647" s="2"/>
    </row>
    <row x14ac:dyDescent="0.25" r="648" customHeight="1" ht="17.25">
      <c r="A648" s="7">
        <v>45962</v>
      </c>
      <c r="B648" s="9" t="s">
        <v>51</v>
      </c>
      <c r="C648" s="3"/>
      <c r="D648" s="6">
        <v>190</v>
      </c>
      <c r="E648" s="6">
        <f>E647+C648-D648</f>
      </c>
      <c r="F648" s="2"/>
    </row>
    <row x14ac:dyDescent="0.25" r="649" customHeight="1" ht="17.25">
      <c r="A649" s="8">
        <v>45964</v>
      </c>
      <c r="B649" s="9" t="s">
        <v>36</v>
      </c>
      <c r="C649" s="6">
        <v>200</v>
      </c>
      <c r="D649" s="4"/>
      <c r="E649" s="6">
        <f>E648+C649-D649</f>
      </c>
      <c r="F649" s="2"/>
    </row>
    <row x14ac:dyDescent="0.25" r="650" customHeight="1" ht="17.25">
      <c r="A650" s="8">
        <v>45964</v>
      </c>
      <c r="B650" s="9" t="s">
        <v>266</v>
      </c>
      <c r="C650" s="3"/>
      <c r="D650" s="6">
        <v>200</v>
      </c>
      <c r="E650" s="6">
        <v>6</v>
      </c>
      <c r="F650" s="2"/>
    </row>
    <row x14ac:dyDescent="0.25" r="651" customHeight="1" ht="17.25">
      <c r="A651" s="8">
        <v>45965</v>
      </c>
      <c r="B651" s="9" t="s">
        <v>320</v>
      </c>
      <c r="C651" s="3"/>
      <c r="D651" s="6">
        <v>4</v>
      </c>
      <c r="E651" s="6">
        <f>E650+C651-D651</f>
      </c>
      <c r="F651" s="2"/>
    </row>
    <row x14ac:dyDescent="0.25" r="652" customHeight="1" ht="17.25">
      <c r="A652" s="7">
        <v>45965</v>
      </c>
      <c r="B652" s="9" t="s">
        <v>389</v>
      </c>
      <c r="C652" s="6">
        <v>55</v>
      </c>
      <c r="D652" s="4"/>
      <c r="E652" s="6">
        <f>E651+C652-D652</f>
      </c>
      <c r="F652" s="2"/>
    </row>
    <row x14ac:dyDescent="0.25" r="653" customHeight="1" ht="17.25">
      <c r="A653" s="7">
        <v>45966</v>
      </c>
      <c r="B653" s="9" t="s">
        <v>318</v>
      </c>
      <c r="C653" s="3"/>
      <c r="D653" s="6">
        <v>32</v>
      </c>
      <c r="E653" s="6">
        <f>E652+C653-D653</f>
      </c>
      <c r="F653" s="2"/>
    </row>
    <row x14ac:dyDescent="0.25" r="654" customHeight="1" ht="17.25">
      <c r="A654" s="8">
        <v>45966</v>
      </c>
      <c r="B654" s="9" t="s">
        <v>347</v>
      </c>
      <c r="C654" s="6">
        <v>24</v>
      </c>
      <c r="D654" s="4"/>
      <c r="E654" s="6">
        <f>E653+C654-D654</f>
      </c>
      <c r="F654" s="2"/>
    </row>
    <row x14ac:dyDescent="0.25" r="655" customHeight="1" ht="17.25">
      <c r="A655" s="8">
        <v>45966</v>
      </c>
      <c r="B655" s="9" t="s">
        <v>184</v>
      </c>
      <c r="C655" s="6">
        <v>23</v>
      </c>
      <c r="D655" s="4"/>
      <c r="E655" s="6">
        <f>E654+C655-D655</f>
      </c>
      <c r="F655" s="2"/>
    </row>
    <row x14ac:dyDescent="0.25" r="656" customHeight="1" ht="17.25">
      <c r="A656" s="8">
        <v>45966</v>
      </c>
      <c r="B656" s="9" t="s">
        <v>3</v>
      </c>
      <c r="C656" s="6">
        <v>46</v>
      </c>
      <c r="D656" s="4"/>
      <c r="E656" s="6">
        <f>E655+C656-D656</f>
      </c>
      <c r="F656" s="2"/>
    </row>
    <row x14ac:dyDescent="0.25" r="657" customHeight="1" ht="17.25">
      <c r="A657" s="8">
        <v>45967</v>
      </c>
      <c r="B657" s="9" t="s">
        <v>484</v>
      </c>
      <c r="C657" s="6">
        <v>62</v>
      </c>
      <c r="D657" s="4"/>
      <c r="E657" s="6">
        <f>E656+C657-D657</f>
      </c>
      <c r="F657" s="2"/>
    </row>
    <row x14ac:dyDescent="0.25" r="658" customHeight="1" ht="17.25">
      <c r="A658" s="7">
        <v>45967</v>
      </c>
      <c r="B658" s="9" t="s">
        <v>51</v>
      </c>
      <c r="C658" s="3"/>
      <c r="D658" s="6">
        <v>160</v>
      </c>
      <c r="E658" s="6">
        <f>E657+C658-D658</f>
      </c>
      <c r="F658" s="2"/>
    </row>
    <row x14ac:dyDescent="0.25" r="659" customHeight="1" ht="17.25">
      <c r="A659" s="7">
        <v>45967</v>
      </c>
      <c r="B659" s="9" t="s">
        <v>46</v>
      </c>
      <c r="C659" s="3"/>
      <c r="D659" s="6">
        <v>30</v>
      </c>
      <c r="E659" s="6">
        <f>E658+C659-D659</f>
      </c>
      <c r="F659" s="2"/>
    </row>
    <row x14ac:dyDescent="0.25" r="660" customHeight="1" ht="17.25">
      <c r="A660" s="8">
        <v>45967</v>
      </c>
      <c r="B660" s="9" t="s">
        <v>283</v>
      </c>
      <c r="C660" s="6">
        <v>15</v>
      </c>
      <c r="D660" s="4"/>
      <c r="E660" s="6">
        <f>E659+C660-D660</f>
      </c>
      <c r="F660" s="2"/>
    </row>
    <row x14ac:dyDescent="0.25" r="661" customHeight="1" ht="17.25">
      <c r="A661" s="7">
        <v>45968</v>
      </c>
      <c r="B661" s="9" t="s">
        <v>533</v>
      </c>
      <c r="C661" s="6">
        <v>100</v>
      </c>
      <c r="D661" s="4"/>
      <c r="E661" s="6">
        <f>E660+C661-D661</f>
      </c>
      <c r="F661" s="2"/>
    </row>
    <row x14ac:dyDescent="0.25" r="662" customHeight="1" ht="17.25">
      <c r="A662" s="7">
        <v>45968</v>
      </c>
      <c r="B662" s="9" t="s">
        <v>3</v>
      </c>
      <c r="C662" s="6">
        <v>29</v>
      </c>
      <c r="D662" s="4"/>
      <c r="E662" s="6">
        <f>E661+C662-D662</f>
      </c>
      <c r="F662" s="2"/>
    </row>
    <row x14ac:dyDescent="0.25" r="663" customHeight="1" ht="17.25">
      <c r="A663" s="7">
        <v>45968</v>
      </c>
      <c r="B663" s="9" t="s">
        <v>100</v>
      </c>
      <c r="C663" s="6">
        <v>150</v>
      </c>
      <c r="D663" s="4"/>
      <c r="E663" s="6">
        <f>E662+C663-D663</f>
      </c>
      <c r="F663" s="2"/>
    </row>
    <row x14ac:dyDescent="0.25" r="664" customHeight="1" ht="17.25">
      <c r="A664" s="7">
        <v>45969</v>
      </c>
      <c r="B664" s="9" t="s">
        <v>534</v>
      </c>
      <c r="C664" s="3"/>
      <c r="D664" s="6">
        <v>10</v>
      </c>
      <c r="E664" s="6">
        <f>E663+C664-D664</f>
      </c>
      <c r="F664" s="2"/>
    </row>
    <row x14ac:dyDescent="0.25" r="665" customHeight="1" ht="17.25">
      <c r="A665" s="7">
        <v>45969</v>
      </c>
      <c r="B665" s="9" t="s">
        <v>51</v>
      </c>
      <c r="C665" s="3"/>
      <c r="D665" s="6">
        <v>100</v>
      </c>
      <c r="E665" s="6">
        <f>E664+C665-D665</f>
      </c>
      <c r="F665" s="2"/>
    </row>
    <row x14ac:dyDescent="0.25" r="666" customHeight="1" ht="17.25">
      <c r="A666" s="7">
        <v>45969</v>
      </c>
      <c r="B666" s="9" t="s">
        <v>51</v>
      </c>
      <c r="C666" s="6">
        <v>2</v>
      </c>
      <c r="D666" s="4"/>
      <c r="E666" s="6">
        <f>E665+C666-D666</f>
      </c>
      <c r="F666" s="2"/>
    </row>
    <row x14ac:dyDescent="0.25" r="667" customHeight="1" ht="17.25">
      <c r="A667" s="7">
        <v>45969</v>
      </c>
      <c r="B667" s="9" t="s">
        <v>184</v>
      </c>
      <c r="C667" s="6">
        <v>31</v>
      </c>
      <c r="D667" s="4"/>
      <c r="E667" s="6">
        <f>E666+C667-D667</f>
      </c>
      <c r="F667" s="2"/>
    </row>
    <row x14ac:dyDescent="0.25" r="668" customHeight="1" ht="17.25">
      <c r="A668" s="7">
        <v>45971</v>
      </c>
      <c r="B668" s="9" t="s">
        <v>141</v>
      </c>
      <c r="C668" s="6">
        <v>3</v>
      </c>
      <c r="D668" s="4"/>
      <c r="E668" s="6">
        <f>E667+C668-D668</f>
      </c>
      <c r="F668" s="2"/>
    </row>
    <row x14ac:dyDescent="0.25" r="669" customHeight="1" ht="17.25">
      <c r="A669" s="8">
        <v>45972</v>
      </c>
      <c r="B669" s="9" t="s">
        <v>313</v>
      </c>
      <c r="C669" s="3"/>
      <c r="D669" s="6">
        <v>65</v>
      </c>
      <c r="E669" s="6">
        <f>E668+C669-D669</f>
      </c>
      <c r="F669" s="2"/>
    </row>
    <row x14ac:dyDescent="0.25" r="670" customHeight="1" ht="17.25">
      <c r="A670" s="7">
        <v>45972</v>
      </c>
      <c r="B670" s="9" t="s">
        <v>44</v>
      </c>
      <c r="C670" s="3"/>
      <c r="D670" s="6">
        <v>30</v>
      </c>
      <c r="E670" s="6">
        <f>E669+C670-D670</f>
      </c>
      <c r="F670" s="2"/>
    </row>
    <row x14ac:dyDescent="0.25" r="671" customHeight="1" ht="17.25">
      <c r="A671" s="8">
        <v>45973</v>
      </c>
      <c r="B671" s="9" t="s">
        <v>234</v>
      </c>
      <c r="C671" s="6">
        <v>14</v>
      </c>
      <c r="D671" s="4"/>
      <c r="E671" s="6">
        <f>E670+C671-D671</f>
      </c>
      <c r="F671" s="2"/>
    </row>
    <row x14ac:dyDescent="0.25" r="672" customHeight="1" ht="17.25">
      <c r="A672" s="8">
        <v>45973</v>
      </c>
      <c r="B672" s="9" t="s">
        <v>42</v>
      </c>
      <c r="C672" s="3"/>
      <c r="D672" s="6">
        <v>80</v>
      </c>
      <c r="E672" s="6">
        <f>E671+C672-D672</f>
      </c>
      <c r="F672" s="2"/>
    </row>
    <row x14ac:dyDescent="0.25" r="673" customHeight="1" ht="17.25">
      <c r="A673" s="7">
        <v>45974</v>
      </c>
      <c r="B673" s="9" t="s">
        <v>29</v>
      </c>
      <c r="C673" s="6">
        <v>295</v>
      </c>
      <c r="D673" s="4"/>
      <c r="E673" s="6">
        <f>E672+C673-D673</f>
      </c>
      <c r="F673" s="2"/>
    </row>
    <row x14ac:dyDescent="0.25" r="674" customHeight="1" ht="17.25">
      <c r="A674" s="8">
        <v>45974</v>
      </c>
      <c r="B674" s="9" t="s">
        <v>228</v>
      </c>
      <c r="C674" s="6">
        <v>54</v>
      </c>
      <c r="D674" s="4"/>
      <c r="E674" s="6">
        <f>E673+C674-D674</f>
      </c>
      <c r="F674" s="2"/>
    </row>
    <row x14ac:dyDescent="0.25" r="675" customHeight="1" ht="17.25">
      <c r="A675" s="7">
        <v>45975</v>
      </c>
      <c r="B675" s="9" t="s">
        <v>100</v>
      </c>
      <c r="C675" s="6">
        <v>50</v>
      </c>
      <c r="D675" s="4"/>
      <c r="E675" s="6">
        <f>E674+C675-D675</f>
      </c>
      <c r="F675" s="2"/>
    </row>
    <row x14ac:dyDescent="0.25" r="676" customHeight="1" ht="17.25">
      <c r="A676" s="8">
        <v>45976</v>
      </c>
      <c r="B676" s="9" t="s">
        <v>141</v>
      </c>
      <c r="C676" s="6">
        <v>56</v>
      </c>
      <c r="D676" s="4"/>
      <c r="E676" s="6">
        <f>E675+C676-D676</f>
      </c>
      <c r="F676" s="2"/>
    </row>
    <row x14ac:dyDescent="0.25" r="677" customHeight="1" ht="17.25">
      <c r="A677" s="7">
        <v>45976</v>
      </c>
      <c r="B677" s="9" t="s">
        <v>2</v>
      </c>
      <c r="C677" s="3"/>
      <c r="D677" s="6">
        <v>50</v>
      </c>
      <c r="E677" s="6">
        <f>E676+C677-D677</f>
      </c>
      <c r="F677" s="2"/>
    </row>
    <row x14ac:dyDescent="0.25" r="678" customHeight="1" ht="17.25">
      <c r="A678" s="8">
        <v>45978</v>
      </c>
      <c r="B678" s="9" t="s">
        <v>320</v>
      </c>
      <c r="C678" s="6">
        <v>4</v>
      </c>
      <c r="D678" s="4"/>
      <c r="E678" s="6">
        <f>E677+C678-D678</f>
      </c>
      <c r="F678" s="2"/>
    </row>
    <row x14ac:dyDescent="0.25" r="679" customHeight="1" ht="17.25">
      <c r="A679" s="8">
        <v>45979</v>
      </c>
      <c r="B679" s="9" t="s">
        <v>54</v>
      </c>
      <c r="C679" s="3"/>
      <c r="D679" s="6">
        <v>200</v>
      </c>
      <c r="E679" s="6">
        <f>E678+C679-D679</f>
      </c>
      <c r="F679" s="2"/>
    </row>
    <row x14ac:dyDescent="0.25" r="680" customHeight="1" ht="17.25">
      <c r="A680" s="8">
        <v>45979</v>
      </c>
      <c r="B680" s="9" t="s">
        <v>182</v>
      </c>
      <c r="C680" s="6">
        <v>76</v>
      </c>
      <c r="D680" s="4"/>
      <c r="E680" s="6">
        <f>E679+C680-D680</f>
      </c>
      <c r="F680" s="2"/>
    </row>
    <row x14ac:dyDescent="0.25" r="681" customHeight="1" ht="17.25">
      <c r="A681" s="8">
        <v>45980</v>
      </c>
      <c r="B681" s="9" t="s">
        <v>42</v>
      </c>
      <c r="C681" s="3"/>
      <c r="D681" s="6">
        <v>10</v>
      </c>
      <c r="E681" s="6">
        <f>E680+C681-D681</f>
      </c>
      <c r="F681" s="2"/>
    </row>
    <row x14ac:dyDescent="0.25" r="682" customHeight="1" ht="17.25">
      <c r="A682" s="8">
        <v>45980</v>
      </c>
      <c r="B682" s="9" t="s">
        <v>42</v>
      </c>
      <c r="C682" s="3"/>
      <c r="D682" s="6">
        <v>10</v>
      </c>
      <c r="E682" s="6">
        <f>E681+C682-D682</f>
      </c>
      <c r="F682" s="2"/>
    </row>
    <row x14ac:dyDescent="0.25" r="683" customHeight="1" ht="17.25">
      <c r="A683" s="8">
        <v>45980</v>
      </c>
      <c r="B683" s="9" t="s">
        <v>313</v>
      </c>
      <c r="C683" s="3"/>
      <c r="D683" s="6">
        <v>96</v>
      </c>
      <c r="E683" s="6">
        <f>E682+C683-D683</f>
      </c>
      <c r="F683" s="2"/>
    </row>
    <row x14ac:dyDescent="0.25" r="684" customHeight="1" ht="17.25">
      <c r="A684" s="8">
        <v>45980</v>
      </c>
      <c r="B684" s="9" t="s">
        <v>385</v>
      </c>
      <c r="C684" s="6">
        <v>24</v>
      </c>
      <c r="D684" s="4"/>
      <c r="E684" s="6">
        <f>E683+C684-D684</f>
      </c>
      <c r="F684" s="2"/>
    </row>
    <row x14ac:dyDescent="0.25" r="685" customHeight="1" ht="17.25">
      <c r="A685" s="8">
        <v>45981</v>
      </c>
      <c r="B685" s="9" t="s">
        <v>141</v>
      </c>
      <c r="C685" s="6">
        <v>5</v>
      </c>
      <c r="D685" s="4"/>
      <c r="E685" s="6">
        <f>E684+C685-D685</f>
      </c>
      <c r="F685" s="2"/>
    </row>
    <row x14ac:dyDescent="0.25" r="686" customHeight="1" ht="17.25">
      <c r="A686" s="8">
        <v>45982</v>
      </c>
      <c r="B686" s="9" t="s">
        <v>495</v>
      </c>
      <c r="C686" s="6">
        <v>120</v>
      </c>
      <c r="D686" s="4"/>
      <c r="E686" s="6">
        <f>E685+C686-D686</f>
      </c>
      <c r="F686" s="2"/>
    </row>
    <row x14ac:dyDescent="0.25" r="687" customHeight="1" ht="17.25">
      <c r="A687" s="8">
        <v>45985</v>
      </c>
      <c r="B687" s="9" t="s">
        <v>286</v>
      </c>
      <c r="C687" s="3"/>
      <c r="D687" s="6">
        <v>90</v>
      </c>
      <c r="E687" s="6">
        <f>E686+C687-D687</f>
      </c>
      <c r="F687" s="2"/>
    </row>
    <row x14ac:dyDescent="0.25" r="688" customHeight="1" ht="17.25">
      <c r="A688" s="8">
        <v>45985</v>
      </c>
      <c r="B688" s="9" t="s">
        <v>265</v>
      </c>
      <c r="C688" s="6">
        <v>37</v>
      </c>
      <c r="D688" s="4"/>
      <c r="E688" s="6">
        <f>E687+C688-D688</f>
      </c>
      <c r="F688" s="2"/>
    </row>
    <row x14ac:dyDescent="0.25" r="689" customHeight="1" ht="17.25">
      <c r="A689" s="8">
        <v>45985</v>
      </c>
      <c r="B689" s="9" t="s">
        <v>29</v>
      </c>
      <c r="C689" s="6">
        <v>138</v>
      </c>
      <c r="D689" s="4"/>
      <c r="E689" s="6">
        <f>E688+C689-D689</f>
      </c>
      <c r="F689" s="2"/>
    </row>
    <row x14ac:dyDescent="0.25" r="690" customHeight="1" ht="17.25">
      <c r="A690" s="8">
        <v>45985</v>
      </c>
      <c r="B690" s="9" t="s">
        <v>182</v>
      </c>
      <c r="C690" s="6">
        <v>81</v>
      </c>
      <c r="D690" s="4"/>
      <c r="E690" s="6">
        <f>E689+C690-D690</f>
      </c>
      <c r="F690" s="2"/>
    </row>
    <row x14ac:dyDescent="0.25" r="691" customHeight="1" ht="17.25">
      <c r="A691" s="8">
        <v>45985</v>
      </c>
      <c r="B691" s="9" t="s">
        <v>228</v>
      </c>
      <c r="C691" s="6">
        <v>17</v>
      </c>
      <c r="D691" s="4"/>
      <c r="E691" s="6">
        <f>E690+C691-D691</f>
      </c>
      <c r="F691" s="2"/>
    </row>
    <row x14ac:dyDescent="0.25" r="692" customHeight="1" ht="17.25">
      <c r="A692" s="7">
        <v>45986</v>
      </c>
      <c r="B692" s="9" t="s">
        <v>316</v>
      </c>
      <c r="C692" s="3"/>
      <c r="D692" s="6">
        <v>50</v>
      </c>
      <c r="E692" s="6">
        <f>E691+C692-D692</f>
      </c>
      <c r="F692" s="2"/>
    </row>
    <row x14ac:dyDescent="0.25" r="693" customHeight="1" ht="17.25">
      <c r="A693" s="7">
        <v>45986</v>
      </c>
      <c r="B693" s="9" t="s">
        <v>391</v>
      </c>
      <c r="C693" s="6">
        <v>17</v>
      </c>
      <c r="D693" s="4"/>
      <c r="E693" s="6">
        <f>E692+C693-D693</f>
      </c>
      <c r="F693" s="2"/>
    </row>
    <row x14ac:dyDescent="0.25" r="694" customHeight="1" ht="17.25">
      <c r="A694" s="7">
        <v>45987</v>
      </c>
      <c r="B694" s="9" t="s">
        <v>244</v>
      </c>
      <c r="C694" s="3"/>
      <c r="D694" s="6">
        <v>20</v>
      </c>
      <c r="E694" s="6">
        <f>E693+C694-D694</f>
      </c>
      <c r="F694" s="2"/>
    </row>
    <row x14ac:dyDescent="0.25" r="695" customHeight="1" ht="17.25">
      <c r="A695" s="8">
        <v>45987</v>
      </c>
      <c r="B695" s="9" t="s">
        <v>487</v>
      </c>
      <c r="C695" s="6">
        <v>6</v>
      </c>
      <c r="D695" s="4"/>
      <c r="E695" s="6">
        <f>E694+C695-D695</f>
      </c>
      <c r="F695" s="2"/>
    </row>
    <row x14ac:dyDescent="0.25" r="696" customHeight="1" ht="17.25">
      <c r="A696" s="7">
        <v>45988</v>
      </c>
      <c r="B696" s="9" t="s">
        <v>53</v>
      </c>
      <c r="C696" s="3"/>
      <c r="D696" s="6">
        <v>300</v>
      </c>
      <c r="E696" s="6">
        <f>E695+C696-D696</f>
      </c>
      <c r="F696" s="2"/>
    </row>
    <row x14ac:dyDescent="0.25" r="697" customHeight="1" ht="17.25">
      <c r="A697" s="7">
        <v>45988</v>
      </c>
      <c r="B697" s="9" t="s">
        <v>315</v>
      </c>
      <c r="C697" s="6">
        <v>60</v>
      </c>
      <c r="D697" s="4"/>
      <c r="E697" s="6">
        <f>E696+C697-D697</f>
      </c>
      <c r="F697" s="2"/>
    </row>
    <row x14ac:dyDescent="0.25" r="698" customHeight="1" ht="17.25">
      <c r="A698" s="8">
        <v>45988</v>
      </c>
      <c r="B698" s="9" t="s">
        <v>3</v>
      </c>
      <c r="C698" s="6">
        <v>13</v>
      </c>
      <c r="D698" s="4"/>
      <c r="E698" s="6">
        <f>E697+C698-D698</f>
      </c>
      <c r="F698" s="2"/>
    </row>
    <row x14ac:dyDescent="0.25" r="699" customHeight="1" ht="17.25">
      <c r="A699" s="7">
        <v>45988</v>
      </c>
      <c r="B699" s="9" t="s">
        <v>41</v>
      </c>
      <c r="C699" s="6">
        <v>2</v>
      </c>
      <c r="D699" s="4"/>
      <c r="E699" s="6">
        <f>E698+C699-D699</f>
      </c>
      <c r="F699" s="2"/>
    </row>
    <row x14ac:dyDescent="0.25" r="700" customHeight="1" ht="17.25">
      <c r="A700" s="8">
        <v>45989</v>
      </c>
      <c r="B700" s="9" t="s">
        <v>233</v>
      </c>
      <c r="C700" s="3"/>
      <c r="D700" s="6">
        <v>130</v>
      </c>
      <c r="E700" s="6">
        <f>E699+C700-D700</f>
      </c>
      <c r="F700" s="2"/>
    </row>
    <row x14ac:dyDescent="0.25" r="701" customHeight="1" ht="17.25">
      <c r="A701" s="8">
        <v>45989</v>
      </c>
      <c r="B701" s="9" t="s">
        <v>316</v>
      </c>
      <c r="C701" s="3"/>
      <c r="D701" s="6">
        <v>50</v>
      </c>
      <c r="E701" s="6">
        <f>E700+C701-D701</f>
      </c>
      <c r="F701" s="2"/>
    </row>
    <row x14ac:dyDescent="0.25" r="702" customHeight="1" ht="17.25">
      <c r="A702" s="7">
        <v>45989</v>
      </c>
      <c r="B702" s="9" t="s">
        <v>397</v>
      </c>
      <c r="C702" s="3"/>
      <c r="D702" s="6">
        <v>100</v>
      </c>
      <c r="E702" s="6">
        <f>E701+C702-D702</f>
      </c>
      <c r="F702" s="2"/>
    </row>
    <row x14ac:dyDescent="0.25" r="703" customHeight="1" ht="17.25">
      <c r="A703" s="7">
        <v>45989</v>
      </c>
      <c r="B703" s="9" t="s">
        <v>512</v>
      </c>
      <c r="C703" s="3"/>
      <c r="D703" s="6">
        <v>150</v>
      </c>
      <c r="E703" s="6">
        <f>E702+C703-D703</f>
      </c>
      <c r="F703" s="2"/>
    </row>
    <row x14ac:dyDescent="0.25" r="704" customHeight="1" ht="17.25">
      <c r="A704" s="7">
        <v>45989</v>
      </c>
      <c r="B704" s="9" t="s">
        <v>389</v>
      </c>
      <c r="C704" s="6">
        <v>148</v>
      </c>
      <c r="D704" s="4"/>
      <c r="E704" s="6">
        <f>E703+C704-D704</f>
      </c>
      <c r="F704" s="2"/>
    </row>
    <row x14ac:dyDescent="0.25" r="705" customHeight="1" ht="17.25">
      <c r="A705" s="7">
        <v>45990</v>
      </c>
      <c r="B705" s="9" t="s">
        <v>36</v>
      </c>
      <c r="C705" s="6">
        <v>395</v>
      </c>
      <c r="D705" s="4"/>
      <c r="E705" s="6">
        <f>E704+C705-D705</f>
      </c>
      <c r="F705" s="2"/>
    </row>
    <row x14ac:dyDescent="0.25" r="706" customHeight="1" ht="17.25">
      <c r="A706" s="7">
        <v>45990</v>
      </c>
      <c r="B706" s="9" t="s">
        <v>36</v>
      </c>
      <c r="C706" s="6">
        <v>105</v>
      </c>
      <c r="D706" s="4"/>
      <c r="E706" s="6">
        <f>E705+C706-D706</f>
      </c>
      <c r="F706" s="2"/>
    </row>
    <row x14ac:dyDescent="0.25" r="707" customHeight="1" ht="17.25">
      <c r="A707" s="8">
        <v>45990</v>
      </c>
      <c r="B707" s="9" t="s">
        <v>491</v>
      </c>
      <c r="C707" s="6">
        <v>362</v>
      </c>
      <c r="D707" s="4"/>
      <c r="E707" s="6">
        <f>E706+C707-D707</f>
      </c>
      <c r="F707" s="2"/>
    </row>
    <row x14ac:dyDescent="0.25" r="708" customHeight="1" ht="17.25">
      <c r="A708" s="7">
        <v>45990</v>
      </c>
      <c r="B708" s="9" t="s">
        <v>228</v>
      </c>
      <c r="C708" s="6">
        <v>37</v>
      </c>
      <c r="D708" s="4"/>
      <c r="E708" s="6">
        <f>E707+C708-D708</f>
      </c>
      <c r="F708" s="2"/>
    </row>
    <row x14ac:dyDescent="0.25" r="709" customHeight="1" ht="17.25">
      <c r="A709" s="8">
        <v>45992</v>
      </c>
      <c r="B709" s="9" t="s">
        <v>54</v>
      </c>
      <c r="C709" s="3"/>
      <c r="D709" s="6">
        <v>262</v>
      </c>
      <c r="E709" s="6">
        <f>E708+C709-D709</f>
      </c>
      <c r="F709" s="2"/>
    </row>
    <row x14ac:dyDescent="0.25" r="710" customHeight="1" ht="17.25">
      <c r="A710" s="8">
        <v>45992</v>
      </c>
      <c r="B710" s="9" t="s">
        <v>424</v>
      </c>
      <c r="C710" s="3"/>
      <c r="D710" s="6">
        <v>20</v>
      </c>
      <c r="E710" s="6">
        <f>E709+C710-D710</f>
      </c>
      <c r="F710" s="2"/>
    </row>
    <row x14ac:dyDescent="0.25" r="711" customHeight="1" ht="17.25">
      <c r="A711" s="8">
        <v>45992</v>
      </c>
      <c r="B711" s="9" t="s">
        <v>185</v>
      </c>
      <c r="C711" s="3"/>
      <c r="D711" s="6">
        <v>400</v>
      </c>
      <c r="E711" s="6">
        <f>E710+C711-D711</f>
      </c>
      <c r="F711" s="2"/>
    </row>
    <row x14ac:dyDescent="0.25" r="712" customHeight="1" ht="17.25">
      <c r="A712" s="8">
        <v>45992</v>
      </c>
      <c r="B712" s="9" t="s">
        <v>53</v>
      </c>
      <c r="C712" s="3"/>
      <c r="D712" s="6">
        <v>48</v>
      </c>
      <c r="E712" s="6">
        <f>E711+C712-D712</f>
      </c>
      <c r="F712" s="2"/>
    </row>
    <row x14ac:dyDescent="0.25" r="713" customHeight="1" ht="17.25">
      <c r="A713" s="8">
        <v>45992</v>
      </c>
      <c r="B713" s="9" t="s">
        <v>284</v>
      </c>
      <c r="C713" s="6">
        <v>51</v>
      </c>
      <c r="D713" s="4"/>
      <c r="E713" s="6">
        <f>E712+C713-D713</f>
      </c>
      <c r="F713" s="2"/>
    </row>
    <row x14ac:dyDescent="0.25" r="714" customHeight="1" ht="17.25">
      <c r="A714" s="7">
        <v>45992</v>
      </c>
      <c r="B714" s="9" t="s">
        <v>228</v>
      </c>
      <c r="C714" s="6">
        <v>8</v>
      </c>
      <c r="D714" s="4"/>
      <c r="E714" s="6">
        <f>E713+C714-D714</f>
      </c>
      <c r="F714" s="2"/>
    </row>
    <row x14ac:dyDescent="0.25" r="715" customHeight="1" ht="17.25">
      <c r="A715" s="7">
        <v>45992</v>
      </c>
      <c r="B715" s="9" t="s">
        <v>491</v>
      </c>
      <c r="C715" s="6">
        <v>38</v>
      </c>
      <c r="D715" s="4"/>
      <c r="E715" s="6">
        <f>E714+C715-D715</f>
      </c>
      <c r="F715" s="2"/>
    </row>
    <row x14ac:dyDescent="0.25" r="716" customHeight="1" ht="17.25">
      <c r="A716" s="7">
        <v>45993</v>
      </c>
      <c r="B716" s="9" t="s">
        <v>534</v>
      </c>
      <c r="C716" s="3"/>
      <c r="D716" s="6">
        <v>8</v>
      </c>
      <c r="E716" s="6">
        <f>E715+C716-D716</f>
      </c>
      <c r="F716" s="2"/>
    </row>
    <row x14ac:dyDescent="0.25" r="717" customHeight="1" ht="17.25">
      <c r="A717" s="7">
        <v>45993</v>
      </c>
      <c r="B717" s="9" t="s">
        <v>42</v>
      </c>
      <c r="C717" s="3"/>
      <c r="D717" s="6">
        <v>48</v>
      </c>
      <c r="E717" s="6">
        <f>E716+C717-D717</f>
      </c>
      <c r="F717" s="2"/>
    </row>
    <row x14ac:dyDescent="0.25" r="718" customHeight="1" ht="17.25">
      <c r="A718" s="8">
        <v>45993</v>
      </c>
      <c r="B718" s="9" t="s">
        <v>535</v>
      </c>
      <c r="C718" s="3"/>
      <c r="D718" s="6">
        <v>60</v>
      </c>
      <c r="E718" s="6">
        <f>E717+C718-D718</f>
      </c>
      <c r="F718" s="2"/>
    </row>
    <row x14ac:dyDescent="0.25" r="719" customHeight="1" ht="17.25">
      <c r="A719" s="7">
        <v>45993</v>
      </c>
      <c r="B719" s="9" t="s">
        <v>26</v>
      </c>
      <c r="C719" s="6">
        <v>52</v>
      </c>
      <c r="D719" s="4"/>
      <c r="E719" s="6">
        <f>E718+C719-D719</f>
      </c>
      <c r="F719" s="2"/>
    </row>
    <row x14ac:dyDescent="0.25" r="720" customHeight="1" ht="17.25">
      <c r="A720" s="8">
        <v>45994</v>
      </c>
      <c r="B720" s="9" t="s">
        <v>2</v>
      </c>
      <c r="C720" s="3"/>
      <c r="D720" s="6">
        <v>60</v>
      </c>
      <c r="E720" s="6">
        <f>E719+C720-D720</f>
      </c>
      <c r="F720" s="2"/>
    </row>
    <row x14ac:dyDescent="0.25" r="721" customHeight="1" ht="17.25">
      <c r="A721" s="7">
        <v>45994</v>
      </c>
      <c r="B721" s="9" t="s">
        <v>402</v>
      </c>
      <c r="C721" s="3"/>
      <c r="D721" s="6">
        <v>150</v>
      </c>
      <c r="E721" s="6">
        <f>E720+C721-D721</f>
      </c>
      <c r="F721" s="2"/>
    </row>
    <row x14ac:dyDescent="0.25" r="722" customHeight="1" ht="17.25">
      <c r="A722" s="7">
        <v>45994</v>
      </c>
      <c r="B722" s="9" t="s">
        <v>516</v>
      </c>
      <c r="C722" s="6">
        <v>260</v>
      </c>
      <c r="D722" s="4"/>
      <c r="E722" s="6">
        <f>E721+C722-D722</f>
      </c>
      <c r="F722" s="2"/>
    </row>
    <row x14ac:dyDescent="0.25" r="723" customHeight="1" ht="17.25">
      <c r="A723" s="7">
        <v>45994</v>
      </c>
      <c r="B723" s="9" t="s">
        <v>3</v>
      </c>
      <c r="C723" s="6">
        <v>7</v>
      </c>
      <c r="D723" s="4"/>
      <c r="E723" s="6">
        <f>E722+C723-D723</f>
      </c>
      <c r="F723" s="2"/>
    </row>
    <row x14ac:dyDescent="0.25" r="724" customHeight="1" ht="17.25">
      <c r="A724" s="7">
        <v>45994</v>
      </c>
      <c r="B724" s="9" t="s">
        <v>391</v>
      </c>
      <c r="C724" s="6">
        <v>28</v>
      </c>
      <c r="D724" s="4"/>
      <c r="E724" s="6">
        <f>E723+C724-D724</f>
      </c>
      <c r="F724" s="2"/>
    </row>
    <row x14ac:dyDescent="0.25" r="725" customHeight="1" ht="17.25">
      <c r="A725" s="7">
        <v>45995</v>
      </c>
      <c r="B725" s="9" t="s">
        <v>316</v>
      </c>
      <c r="C725" s="3"/>
      <c r="D725" s="6">
        <v>100</v>
      </c>
      <c r="E725" s="6">
        <f>E724+C725-D725</f>
      </c>
      <c r="F725" s="2"/>
    </row>
    <row x14ac:dyDescent="0.25" r="726" customHeight="1" ht="17.25">
      <c r="A726" s="7">
        <v>45995</v>
      </c>
      <c r="B726" s="9" t="s">
        <v>402</v>
      </c>
      <c r="C726" s="3"/>
      <c r="D726" s="6">
        <v>100</v>
      </c>
      <c r="E726" s="6">
        <f>E725+C726-D726</f>
      </c>
      <c r="F726" s="2"/>
    </row>
    <row x14ac:dyDescent="0.25" r="727" customHeight="1" ht="17.25">
      <c r="A727" s="7">
        <v>45995</v>
      </c>
      <c r="B727" s="9" t="s">
        <v>310</v>
      </c>
      <c r="C727" s="6">
        <v>98</v>
      </c>
      <c r="D727" s="4"/>
      <c r="E727" s="6">
        <f>E726+C727-D727</f>
      </c>
      <c r="F727" s="2"/>
    </row>
    <row x14ac:dyDescent="0.25" r="728" customHeight="1" ht="17.25">
      <c r="A728" s="7">
        <v>45996</v>
      </c>
      <c r="B728" s="9" t="s">
        <v>297</v>
      </c>
      <c r="C728" s="6">
        <v>15</v>
      </c>
      <c r="D728" s="4"/>
      <c r="E728" s="6">
        <f>E727+C728-D728</f>
      </c>
      <c r="F728" s="2"/>
    </row>
    <row x14ac:dyDescent="0.25" r="729" customHeight="1" ht="17.25">
      <c r="A729" s="7">
        <v>45996</v>
      </c>
      <c r="B729" s="9" t="s">
        <v>389</v>
      </c>
      <c r="C729" s="6">
        <v>151</v>
      </c>
      <c r="D729" s="4"/>
      <c r="E729" s="6">
        <f>E728+C729-D729</f>
      </c>
      <c r="F729" s="2"/>
    </row>
    <row x14ac:dyDescent="0.25" r="730" customHeight="1" ht="17.25">
      <c r="A730" s="30">
        <v>45078</v>
      </c>
      <c r="B730" s="9" t="s">
        <v>535</v>
      </c>
      <c r="C730" s="3"/>
      <c r="D730" s="6">
        <v>60</v>
      </c>
      <c r="E730" s="6">
        <f>E729+C730-D730</f>
      </c>
      <c r="F730" s="2"/>
    </row>
    <row x14ac:dyDescent="0.25" r="731" customHeight="1" ht="17.25">
      <c r="A731" s="8">
        <v>45999</v>
      </c>
      <c r="B731" s="9" t="s">
        <v>41</v>
      </c>
      <c r="C731" s="6">
        <v>3</v>
      </c>
      <c r="D731" s="4"/>
      <c r="E731" s="6">
        <f>E730+C731-D731</f>
      </c>
      <c r="F731" s="2"/>
    </row>
    <row x14ac:dyDescent="0.25" r="732" customHeight="1" ht="17.25">
      <c r="A732" s="7">
        <v>46000</v>
      </c>
      <c r="B732" s="9" t="s">
        <v>533</v>
      </c>
      <c r="C732" s="6">
        <v>55</v>
      </c>
      <c r="D732" s="4"/>
      <c r="E732" s="6">
        <f>E731+C732-D732</f>
      </c>
      <c r="F732" s="2"/>
    </row>
    <row x14ac:dyDescent="0.25" r="733" customHeight="1" ht="17.25">
      <c r="A733" s="7">
        <v>46001</v>
      </c>
      <c r="B733" s="9" t="s">
        <v>106</v>
      </c>
      <c r="C733" s="3"/>
      <c r="D733" s="6">
        <v>40</v>
      </c>
      <c r="E733" s="6">
        <f>E732+C733-D733</f>
      </c>
      <c r="F733" s="2"/>
    </row>
    <row x14ac:dyDescent="0.25" r="734" customHeight="1" ht="17.25">
      <c r="A734" s="8">
        <v>46001</v>
      </c>
      <c r="B734" s="9" t="s">
        <v>321</v>
      </c>
      <c r="C734" s="6">
        <v>68</v>
      </c>
      <c r="D734" s="4"/>
      <c r="E734" s="6">
        <f>E733+C734-D734</f>
      </c>
      <c r="F734" s="2"/>
    </row>
    <row x14ac:dyDescent="0.25" r="735" customHeight="1" ht="17.25">
      <c r="A735" s="7">
        <v>46002</v>
      </c>
      <c r="B735" s="9" t="s">
        <v>54</v>
      </c>
      <c r="C735" s="3"/>
      <c r="D735" s="6">
        <v>50</v>
      </c>
      <c r="E735" s="6">
        <f>E734+C735-D735</f>
      </c>
      <c r="F735" s="2"/>
    </row>
    <row x14ac:dyDescent="0.25" r="736" customHeight="1" ht="17.25">
      <c r="A736" s="7">
        <v>46002</v>
      </c>
      <c r="B736" s="9" t="s">
        <v>512</v>
      </c>
      <c r="C736" s="3"/>
      <c r="D736" s="6">
        <v>100</v>
      </c>
      <c r="E736" s="6">
        <f>E735+C736-D736</f>
      </c>
      <c r="F736" s="2"/>
    </row>
    <row x14ac:dyDescent="0.25" r="737" customHeight="1" ht="17.25">
      <c r="A737" s="8">
        <v>46002</v>
      </c>
      <c r="B737" s="9" t="s">
        <v>42</v>
      </c>
      <c r="C737" s="3"/>
      <c r="D737" s="6">
        <v>100</v>
      </c>
      <c r="E737" s="6">
        <f>E736+C737-D737</f>
      </c>
      <c r="F737" s="2"/>
    </row>
    <row x14ac:dyDescent="0.25" r="738" customHeight="1" ht="17.25">
      <c r="A738" s="7">
        <v>46003</v>
      </c>
      <c r="B738" s="9" t="s">
        <v>402</v>
      </c>
      <c r="C738" s="3"/>
      <c r="D738" s="6">
        <v>100</v>
      </c>
      <c r="E738" s="6">
        <f>E737+C738-D738</f>
      </c>
      <c r="F738" s="2"/>
    </row>
    <row x14ac:dyDescent="0.25" r="739" customHeight="1" ht="17.25">
      <c r="A739" s="7">
        <v>46004</v>
      </c>
      <c r="B739" s="9" t="s">
        <v>536</v>
      </c>
      <c r="C739" s="6">
        <v>398</v>
      </c>
      <c r="D739" s="4"/>
      <c r="E739" s="6">
        <f>E738+C739-D739</f>
      </c>
      <c r="F739" s="2"/>
    </row>
    <row x14ac:dyDescent="0.25" r="740" customHeight="1" ht="17.25">
      <c r="A740" s="7">
        <v>46004</v>
      </c>
      <c r="B740" s="9" t="s">
        <v>297</v>
      </c>
      <c r="C740" s="6">
        <v>12</v>
      </c>
      <c r="D740" s="4"/>
      <c r="E740" s="6">
        <f>E739+C740-D740</f>
      </c>
      <c r="F740" s="2"/>
    </row>
    <row x14ac:dyDescent="0.25" r="741" customHeight="1" ht="17.25">
      <c r="A741" s="7">
        <v>46004</v>
      </c>
      <c r="B741" s="9" t="s">
        <v>233</v>
      </c>
      <c r="C741" s="3"/>
      <c r="D741" s="6">
        <v>58</v>
      </c>
      <c r="E741" s="6">
        <f>E740+C741-D741</f>
      </c>
      <c r="F741" s="2"/>
    </row>
    <row x14ac:dyDescent="0.25" r="742" customHeight="1" ht="17.25">
      <c r="A742" s="7">
        <v>46006</v>
      </c>
      <c r="B742" s="9" t="s">
        <v>311</v>
      </c>
      <c r="C742" s="6">
        <v>136</v>
      </c>
      <c r="D742" s="4"/>
      <c r="E742" s="6">
        <f>E741+C742-D742</f>
      </c>
      <c r="F742" s="2"/>
    </row>
    <row x14ac:dyDescent="0.25" r="743" customHeight="1" ht="17.25">
      <c r="A743" s="7">
        <v>46006</v>
      </c>
      <c r="B743" s="9" t="s">
        <v>2</v>
      </c>
      <c r="C743" s="3"/>
      <c r="D743" s="6">
        <v>100</v>
      </c>
      <c r="E743" s="6">
        <f>E742+C743-D743</f>
      </c>
      <c r="F743" s="2"/>
    </row>
    <row x14ac:dyDescent="0.25" r="744" customHeight="1" ht="17.25">
      <c r="A744" s="7">
        <v>46006</v>
      </c>
      <c r="B744" s="9" t="s">
        <v>53</v>
      </c>
      <c r="C744" s="3"/>
      <c r="D744" s="6">
        <v>100</v>
      </c>
      <c r="E744" s="6">
        <f>E743+C744-D744</f>
      </c>
      <c r="F744" s="2"/>
    </row>
    <row x14ac:dyDescent="0.25" r="745" customHeight="1" ht="17.25">
      <c r="A745" s="8">
        <v>46007</v>
      </c>
      <c r="B745" s="9" t="s">
        <v>460</v>
      </c>
      <c r="C745" s="3"/>
      <c r="D745" s="6">
        <v>32</v>
      </c>
      <c r="E745" s="6">
        <f>E744+C745-D745</f>
      </c>
      <c r="F745" s="2"/>
    </row>
    <row x14ac:dyDescent="0.25" r="746" customHeight="1" ht="17.25">
      <c r="A746" s="7">
        <v>46007</v>
      </c>
      <c r="B746" s="9" t="s">
        <v>2</v>
      </c>
      <c r="C746" s="3"/>
      <c r="D746" s="6">
        <v>44</v>
      </c>
      <c r="E746" s="6">
        <f>E745+C746-D746</f>
      </c>
      <c r="F746" s="2"/>
    </row>
    <row x14ac:dyDescent="0.25" r="747" customHeight="1" ht="17.25">
      <c r="A747" s="7">
        <v>46007</v>
      </c>
      <c r="B747" s="9" t="s">
        <v>284</v>
      </c>
      <c r="C747" s="6">
        <v>86</v>
      </c>
      <c r="D747" s="4"/>
      <c r="E747" s="6">
        <f>E746+C747-D747</f>
      </c>
      <c r="F747" s="2"/>
    </row>
    <row x14ac:dyDescent="0.25" r="748" customHeight="1" ht="17.25">
      <c r="A748" s="8">
        <v>46007</v>
      </c>
      <c r="B748" s="9" t="s">
        <v>512</v>
      </c>
      <c r="C748" s="3"/>
      <c r="D748" s="6">
        <v>100</v>
      </c>
      <c r="E748" s="4"/>
      <c r="F748" s="2"/>
    </row>
    <row x14ac:dyDescent="0.25" r="749" customHeight="1" ht="17.25">
      <c r="A749" s="7">
        <v>46007</v>
      </c>
      <c r="B749" s="9" t="s">
        <v>26</v>
      </c>
      <c r="C749" s="6">
        <v>57</v>
      </c>
      <c r="D749" s="4"/>
      <c r="E749" s="4"/>
      <c r="F749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0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1.005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481</v>
      </c>
      <c r="B1" s="2"/>
      <c r="C1" s="3"/>
      <c r="D1" s="4"/>
      <c r="E1" s="4"/>
      <c r="F1" s="2"/>
    </row>
    <row x14ac:dyDescent="0.25" r="2" customHeight="1" ht="17.25">
      <c r="A2" s="1"/>
      <c r="B2" s="2"/>
      <c r="C2" s="3"/>
      <c r="D2" s="4"/>
      <c r="E2" s="4"/>
      <c r="F2" s="2"/>
    </row>
    <row x14ac:dyDescent="0.25" r="3" customHeight="1" ht="17.25">
      <c r="A3" s="7">
        <v>45658</v>
      </c>
      <c r="B3" s="2" t="s">
        <v>1</v>
      </c>
      <c r="C3" s="3"/>
      <c r="D3" s="4"/>
      <c r="E3" s="14">
        <v>4501</v>
      </c>
      <c r="F3" s="2" t="s">
        <v>482</v>
      </c>
    </row>
    <row x14ac:dyDescent="0.25" r="4" customHeight="1" ht="17.25">
      <c r="A4" s="7">
        <v>45659</v>
      </c>
      <c r="B4" s="2" t="s">
        <v>131</v>
      </c>
      <c r="C4" s="6">
        <v>54</v>
      </c>
      <c r="D4" s="4"/>
      <c r="E4" s="6">
        <f>E3+C4-D4</f>
      </c>
      <c r="F4" s="2"/>
    </row>
    <row x14ac:dyDescent="0.25" r="5" customHeight="1" ht="17.25">
      <c r="A5" s="8">
        <v>45659</v>
      </c>
      <c r="B5" s="9" t="s">
        <v>35</v>
      </c>
      <c r="C5" s="6">
        <v>150</v>
      </c>
      <c r="D5" s="4"/>
      <c r="E5" s="6">
        <f>E4+C5-D5</f>
      </c>
      <c r="F5" s="2"/>
    </row>
    <row x14ac:dyDescent="0.25" r="6" customHeight="1" ht="17.25">
      <c r="A6" s="8">
        <v>45660</v>
      </c>
      <c r="B6" s="9" t="s">
        <v>483</v>
      </c>
      <c r="C6" s="3"/>
      <c r="D6" s="6">
        <v>150</v>
      </c>
      <c r="E6" s="6">
        <f>E5+C6-D6</f>
      </c>
      <c r="F6" s="2"/>
    </row>
    <row x14ac:dyDescent="0.25" r="7" customHeight="1" ht="17.25">
      <c r="A7" s="7">
        <v>45660</v>
      </c>
      <c r="B7" s="2" t="s">
        <v>35</v>
      </c>
      <c r="C7" s="6">
        <f>435+52</f>
      </c>
      <c r="D7" s="4"/>
      <c r="E7" s="6">
        <f>E6+C7-D7</f>
      </c>
      <c r="F7" s="2"/>
    </row>
    <row x14ac:dyDescent="0.25" r="8" customHeight="1" ht="17.25">
      <c r="A8" s="7">
        <v>45660</v>
      </c>
      <c r="B8" s="2" t="s">
        <v>35</v>
      </c>
      <c r="C8" s="6">
        <v>238</v>
      </c>
      <c r="D8" s="4"/>
      <c r="E8" s="6">
        <f>E7+C8-D8</f>
      </c>
      <c r="F8" s="2"/>
    </row>
    <row x14ac:dyDescent="0.25" r="9" customHeight="1" ht="17.25">
      <c r="A9" s="7">
        <v>45660</v>
      </c>
      <c r="B9" s="2" t="s">
        <v>127</v>
      </c>
      <c r="C9" s="6">
        <f>321+12</f>
      </c>
      <c r="D9" s="4"/>
      <c r="E9" s="6">
        <f>E8+C9-D9</f>
      </c>
      <c r="F9" s="2"/>
    </row>
    <row x14ac:dyDescent="0.25" r="10" customHeight="1" ht="17.25">
      <c r="A10" s="8">
        <v>45660</v>
      </c>
      <c r="B10" s="38" t="s">
        <v>11</v>
      </c>
      <c r="C10" s="6">
        <v>145</v>
      </c>
      <c r="D10" s="4"/>
      <c r="E10" s="6">
        <f>E9+C10-D10</f>
      </c>
      <c r="F10" s="2"/>
    </row>
    <row x14ac:dyDescent="0.25" r="11" customHeight="1" ht="17.25">
      <c r="A11" s="8">
        <v>45661</v>
      </c>
      <c r="B11" s="9" t="s">
        <v>484</v>
      </c>
      <c r="C11" s="3"/>
      <c r="D11" s="6">
        <v>600</v>
      </c>
      <c r="E11" s="6">
        <f>E10+C11-D11</f>
      </c>
      <c r="F11" s="2"/>
    </row>
    <row x14ac:dyDescent="0.25" r="12" customHeight="1" ht="17.25">
      <c r="A12" s="7">
        <v>45661</v>
      </c>
      <c r="B12" s="9" t="s">
        <v>127</v>
      </c>
      <c r="C12" s="6">
        <v>890</v>
      </c>
      <c r="D12" s="4"/>
      <c r="E12" s="6">
        <f>E11+C12-D12</f>
      </c>
      <c r="F12" s="2"/>
    </row>
    <row x14ac:dyDescent="0.25" r="13" customHeight="1" ht="17.25">
      <c r="A13" s="8">
        <v>45661</v>
      </c>
      <c r="B13" s="9" t="s">
        <v>35</v>
      </c>
      <c r="C13" s="6">
        <f>521+4+22</f>
      </c>
      <c r="D13" s="4"/>
      <c r="E13" s="6">
        <f>E12+C13-D13</f>
      </c>
      <c r="F13" s="2"/>
    </row>
    <row x14ac:dyDescent="0.25" r="14" customHeight="1" ht="17.25">
      <c r="A14" s="8">
        <v>45663</v>
      </c>
      <c r="B14" s="9" t="s">
        <v>269</v>
      </c>
      <c r="C14" s="3"/>
      <c r="D14" s="6">
        <v>1</v>
      </c>
      <c r="E14" s="6">
        <f>E13+C14-D14</f>
      </c>
      <c r="F14" s="2"/>
    </row>
    <row x14ac:dyDescent="0.25" r="15" customHeight="1" ht="17.25">
      <c r="A15" s="8">
        <v>45663</v>
      </c>
      <c r="B15" s="9" t="s">
        <v>35</v>
      </c>
      <c r="C15" s="6">
        <v>686</v>
      </c>
      <c r="D15" s="4"/>
      <c r="E15" s="6">
        <f>E14+C15-D15</f>
      </c>
      <c r="F15" s="2"/>
    </row>
    <row x14ac:dyDescent="0.25" r="16" customHeight="1" ht="17.25">
      <c r="A16" s="7">
        <v>45665</v>
      </c>
      <c r="B16" s="9" t="s">
        <v>35</v>
      </c>
      <c r="C16" s="6">
        <v>150</v>
      </c>
      <c r="D16" s="4"/>
      <c r="E16" s="6">
        <f>E15+C16-D16</f>
      </c>
      <c r="F16" s="2"/>
    </row>
    <row x14ac:dyDescent="0.25" r="17" customHeight="1" ht="17.25">
      <c r="A17" s="7">
        <v>45666</v>
      </c>
      <c r="B17" s="9" t="s">
        <v>35</v>
      </c>
      <c r="C17" s="6">
        <v>65</v>
      </c>
      <c r="D17" s="4"/>
      <c r="E17" s="6">
        <f>E16+C17-D17</f>
      </c>
      <c r="F17" s="2"/>
    </row>
    <row x14ac:dyDescent="0.25" r="18" customHeight="1" ht="17.25">
      <c r="A18" s="7">
        <v>45666</v>
      </c>
      <c r="B18" s="9" t="s">
        <v>123</v>
      </c>
      <c r="C18" s="6">
        <v>299</v>
      </c>
      <c r="D18" s="4"/>
      <c r="E18" s="6">
        <f>E17+C18-D18</f>
      </c>
      <c r="F18" s="2"/>
    </row>
    <row x14ac:dyDescent="0.25" r="19" customHeight="1" ht="17.25">
      <c r="A19" s="7">
        <v>45667</v>
      </c>
      <c r="B19" s="9" t="s">
        <v>71</v>
      </c>
      <c r="C19" s="3"/>
      <c r="D19" s="6">
        <v>200</v>
      </c>
      <c r="E19" s="6">
        <f>E18+C19-D19</f>
      </c>
      <c r="F19" s="2"/>
    </row>
    <row x14ac:dyDescent="0.25" r="20" customHeight="1" ht="17.25">
      <c r="A20" s="7">
        <v>45667</v>
      </c>
      <c r="B20" s="9" t="s">
        <v>35</v>
      </c>
      <c r="C20" s="6">
        <f>676+10+13</f>
      </c>
      <c r="D20" s="4"/>
      <c r="E20" s="6">
        <f>E19+C20-D20</f>
      </c>
      <c r="F20" s="2"/>
    </row>
    <row x14ac:dyDescent="0.25" r="21" customHeight="1" ht="17.25">
      <c r="A21" s="7">
        <v>45668</v>
      </c>
      <c r="B21" s="9" t="s">
        <v>123</v>
      </c>
      <c r="C21" s="6">
        <v>547</v>
      </c>
      <c r="D21" s="4"/>
      <c r="E21" s="6">
        <f>E20+C21-D21</f>
      </c>
      <c r="F21" s="2"/>
    </row>
    <row x14ac:dyDescent="0.25" r="22" customHeight="1" ht="17.25">
      <c r="A22" s="7">
        <v>45668</v>
      </c>
      <c r="B22" s="9" t="s">
        <v>413</v>
      </c>
      <c r="C22" s="6">
        <v>42</v>
      </c>
      <c r="D22" s="4"/>
      <c r="E22" s="6">
        <f>E21+C22-D22</f>
      </c>
      <c r="F22" s="2"/>
    </row>
    <row x14ac:dyDescent="0.25" r="23" customHeight="1" ht="17.25">
      <c r="A23" s="8">
        <v>45670</v>
      </c>
      <c r="B23" s="9" t="s">
        <v>31</v>
      </c>
      <c r="C23" s="6">
        <v>124</v>
      </c>
      <c r="D23" s="4"/>
      <c r="E23" s="6">
        <f>E22+C23-D23</f>
      </c>
      <c r="F23" s="2"/>
    </row>
    <row x14ac:dyDescent="0.25" r="24" customHeight="1" ht="17.25">
      <c r="A24" s="8">
        <v>45670</v>
      </c>
      <c r="B24" s="9" t="s">
        <v>410</v>
      </c>
      <c r="C24" s="6">
        <v>4</v>
      </c>
      <c r="D24" s="4"/>
      <c r="E24" s="6">
        <f>E23+C24-D24</f>
      </c>
      <c r="F24" s="2"/>
    </row>
    <row x14ac:dyDescent="0.25" r="25" customHeight="1" ht="17.25">
      <c r="A25" s="8">
        <v>45671</v>
      </c>
      <c r="B25" s="9" t="s">
        <v>127</v>
      </c>
      <c r="C25" s="6">
        <v>200</v>
      </c>
      <c r="D25" s="4"/>
      <c r="E25" s="6">
        <f>E24+C25-D25</f>
      </c>
      <c r="F25" s="2"/>
    </row>
    <row x14ac:dyDescent="0.25" r="26" customHeight="1" ht="17.25">
      <c r="A26" s="8">
        <v>45672</v>
      </c>
      <c r="B26" s="9" t="s">
        <v>485</v>
      </c>
      <c r="C26" s="3"/>
      <c r="D26" s="6">
        <v>75</v>
      </c>
      <c r="E26" s="6">
        <f>E25+C26-D26</f>
      </c>
      <c r="F26" s="2"/>
    </row>
    <row x14ac:dyDescent="0.25" r="27" customHeight="1" ht="17.25">
      <c r="A27" s="8">
        <v>45673</v>
      </c>
      <c r="B27" s="9" t="s">
        <v>2</v>
      </c>
      <c r="C27" s="3"/>
      <c r="D27" s="6">
        <v>100</v>
      </c>
      <c r="E27" s="6">
        <f>E26+C27-D27</f>
      </c>
      <c r="F27" s="2"/>
    </row>
    <row x14ac:dyDescent="0.25" r="28" customHeight="1" ht="17.25">
      <c r="A28" s="8">
        <v>45673</v>
      </c>
      <c r="B28" s="9" t="s">
        <v>485</v>
      </c>
      <c r="C28" s="3"/>
      <c r="D28" s="6">
        <v>75</v>
      </c>
      <c r="E28" s="6">
        <f>E27+C28-D28</f>
      </c>
      <c r="F28" s="2"/>
    </row>
    <row x14ac:dyDescent="0.25" r="29" customHeight="1" ht="17.25">
      <c r="A29" s="7">
        <v>45674</v>
      </c>
      <c r="B29" s="9" t="s">
        <v>44</v>
      </c>
      <c r="C29" s="3"/>
      <c r="D29" s="6">
        <v>100</v>
      </c>
      <c r="E29" s="6">
        <f>E28+C29-D29</f>
      </c>
      <c r="F29" s="2"/>
    </row>
    <row x14ac:dyDescent="0.25" r="30" customHeight="1" ht="17.25">
      <c r="A30" s="7">
        <v>45674</v>
      </c>
      <c r="B30" s="9" t="s">
        <v>148</v>
      </c>
      <c r="C30" s="6">
        <v>14</v>
      </c>
      <c r="D30" s="4"/>
      <c r="E30" s="6">
        <f>E29+C30-D30</f>
      </c>
      <c r="F30" s="2"/>
    </row>
    <row x14ac:dyDescent="0.25" r="31" customHeight="1" ht="17.25">
      <c r="A31" s="7">
        <v>45675</v>
      </c>
      <c r="B31" s="9" t="s">
        <v>123</v>
      </c>
      <c r="C31" s="6">
        <v>10</v>
      </c>
      <c r="D31" s="4"/>
      <c r="E31" s="6">
        <f>E30+C31-D31</f>
      </c>
      <c r="F31" s="2"/>
    </row>
    <row x14ac:dyDescent="0.25" r="32" customHeight="1" ht="17.25">
      <c r="A32" s="7">
        <v>45677</v>
      </c>
      <c r="B32" s="9" t="s">
        <v>35</v>
      </c>
      <c r="C32" s="3"/>
      <c r="D32" s="6">
        <v>781</v>
      </c>
      <c r="E32" s="6">
        <f>E31+C32-D32</f>
      </c>
      <c r="F32" s="2"/>
    </row>
    <row x14ac:dyDescent="0.25" r="33" customHeight="1" ht="17.25">
      <c r="A33" s="7">
        <v>45677</v>
      </c>
      <c r="B33" s="9" t="s">
        <v>485</v>
      </c>
      <c r="C33" s="3"/>
      <c r="D33" s="6">
        <v>125</v>
      </c>
      <c r="E33" s="6">
        <f>E32+C33-D33</f>
      </c>
      <c r="F33" s="2"/>
    </row>
    <row x14ac:dyDescent="0.25" r="34" customHeight="1" ht="17.25">
      <c r="A34" s="8">
        <v>45677</v>
      </c>
      <c r="B34" s="9" t="s">
        <v>486</v>
      </c>
      <c r="C34" s="3"/>
      <c r="D34" s="6">
        <v>150</v>
      </c>
      <c r="E34" s="6">
        <f>E33+C34-D34</f>
      </c>
      <c r="F34" s="2"/>
    </row>
    <row x14ac:dyDescent="0.25" r="35" customHeight="1" ht="17.25">
      <c r="A35" s="7">
        <v>45677</v>
      </c>
      <c r="B35" s="9" t="s">
        <v>365</v>
      </c>
      <c r="C35" s="6">
        <v>95</v>
      </c>
      <c r="D35" s="4"/>
      <c r="E35" s="6">
        <f>E34+C35-D35</f>
      </c>
      <c r="F35" s="2"/>
    </row>
    <row x14ac:dyDescent="0.25" r="36" customHeight="1" ht="17.25">
      <c r="A36" s="8">
        <v>45677</v>
      </c>
      <c r="B36" s="9" t="s">
        <v>131</v>
      </c>
      <c r="C36" s="6">
        <v>33</v>
      </c>
      <c r="D36" s="4"/>
      <c r="E36" s="6">
        <f>E35+C36-D36</f>
      </c>
      <c r="F36" s="2"/>
    </row>
    <row x14ac:dyDescent="0.25" r="37" customHeight="1" ht="17.25">
      <c r="A37" s="8">
        <v>45678</v>
      </c>
      <c r="B37" s="9" t="s">
        <v>485</v>
      </c>
      <c r="C37" s="3"/>
      <c r="D37" s="6">
        <v>125</v>
      </c>
      <c r="E37" s="6">
        <f>E36+C37-D37</f>
      </c>
      <c r="F37" s="2"/>
    </row>
    <row x14ac:dyDescent="0.25" r="38" customHeight="1" ht="17.25">
      <c r="A38" s="7">
        <v>45679</v>
      </c>
      <c r="B38" s="9" t="s">
        <v>484</v>
      </c>
      <c r="C38" s="3"/>
      <c r="D38" s="6">
        <v>100</v>
      </c>
      <c r="E38" s="6">
        <f>E37+C38-D38</f>
      </c>
      <c r="F38" s="2"/>
    </row>
    <row x14ac:dyDescent="0.25" r="39" customHeight="1" ht="17.25">
      <c r="A39" s="8">
        <v>45680</v>
      </c>
      <c r="B39" s="9" t="s">
        <v>35</v>
      </c>
      <c r="C39" s="6">
        <v>27</v>
      </c>
      <c r="D39" s="4"/>
      <c r="E39" s="6">
        <f>E38+C39-D39</f>
      </c>
      <c r="F39" s="2"/>
    </row>
    <row x14ac:dyDescent="0.25" r="40" customHeight="1" ht="17.25">
      <c r="A40" s="8">
        <v>45681</v>
      </c>
      <c r="B40" s="9" t="s">
        <v>131</v>
      </c>
      <c r="C40" s="6">
        <v>42</v>
      </c>
      <c r="D40" s="4"/>
      <c r="E40" s="6">
        <f>E39+C40-D40</f>
      </c>
      <c r="F40" s="2"/>
    </row>
    <row x14ac:dyDescent="0.25" r="41" customHeight="1" ht="17.25">
      <c r="A41" s="7">
        <v>45685</v>
      </c>
      <c r="B41" s="9" t="s">
        <v>413</v>
      </c>
      <c r="C41" s="6">
        <v>34</v>
      </c>
      <c r="D41" s="4"/>
      <c r="E41" s="6">
        <f>E40+C41-D41</f>
      </c>
      <c r="F41" s="2"/>
    </row>
    <row x14ac:dyDescent="0.25" r="42" customHeight="1" ht="17.25">
      <c r="A42" s="8">
        <v>45688</v>
      </c>
      <c r="B42" s="9" t="s">
        <v>131</v>
      </c>
      <c r="C42" s="6">
        <v>30</v>
      </c>
      <c r="D42" s="4"/>
      <c r="E42" s="6">
        <f>E41+C42-D42</f>
      </c>
      <c r="F42" s="2"/>
    </row>
    <row x14ac:dyDescent="0.25" r="43" customHeight="1" ht="17.25">
      <c r="A43" s="8">
        <v>45689</v>
      </c>
      <c r="B43" s="9" t="s">
        <v>39</v>
      </c>
      <c r="C43" s="6">
        <v>139</v>
      </c>
      <c r="D43" s="4"/>
      <c r="E43" s="6">
        <f>E42+C43-D43</f>
      </c>
      <c r="F43" s="2"/>
    </row>
    <row x14ac:dyDescent="0.25" r="44" customHeight="1" ht="17.25">
      <c r="A44" s="7">
        <v>45694</v>
      </c>
      <c r="B44" s="9" t="s">
        <v>59</v>
      </c>
      <c r="C44" s="6">
        <v>25</v>
      </c>
      <c r="D44" s="4"/>
      <c r="E44" s="6">
        <f>E43+C44-D44</f>
      </c>
      <c r="F44" s="2"/>
    </row>
    <row x14ac:dyDescent="0.25" r="45" customHeight="1" ht="17.25">
      <c r="A45" s="7">
        <v>45695</v>
      </c>
      <c r="B45" s="9" t="s">
        <v>3</v>
      </c>
      <c r="C45" s="3"/>
      <c r="D45" s="6">
        <v>200</v>
      </c>
      <c r="E45" s="6">
        <f>E44+C45-D45</f>
      </c>
      <c r="F45" s="2"/>
    </row>
    <row x14ac:dyDescent="0.25" r="46" customHeight="1" ht="17.25">
      <c r="A46" s="8"/>
      <c r="B46" s="9"/>
      <c r="C46" s="3"/>
      <c r="D46" s="4"/>
      <c r="E46" s="6">
        <f>E45+C46-D46</f>
      </c>
      <c r="F46" s="2"/>
    </row>
    <row x14ac:dyDescent="0.25" r="47" customHeight="1" ht="17.25">
      <c r="A47" s="8">
        <v>45695</v>
      </c>
      <c r="B47" s="9" t="s">
        <v>11</v>
      </c>
      <c r="C47" s="6">
        <v>31</v>
      </c>
      <c r="D47" s="4"/>
      <c r="E47" s="6">
        <f>E46+C47-D47</f>
      </c>
      <c r="F47" s="2"/>
    </row>
    <row x14ac:dyDescent="0.25" r="48" customHeight="1" ht="17.25">
      <c r="A48" s="8">
        <v>45696</v>
      </c>
      <c r="B48" s="9" t="s">
        <v>3</v>
      </c>
      <c r="C48" s="3"/>
      <c r="D48" s="6">
        <v>100</v>
      </c>
      <c r="E48" s="6">
        <f>E47+C48-D48</f>
      </c>
      <c r="F48" s="2"/>
    </row>
    <row x14ac:dyDescent="0.25" r="49" customHeight="1" ht="17.25">
      <c r="A49" s="8">
        <v>45696</v>
      </c>
      <c r="B49" s="9" t="s">
        <v>3</v>
      </c>
      <c r="C49" s="3"/>
      <c r="D49" s="6">
        <v>200</v>
      </c>
      <c r="E49" s="6">
        <f>E48+C49-D49</f>
      </c>
      <c r="F49" s="2"/>
    </row>
    <row x14ac:dyDescent="0.25" r="50" customHeight="1" ht="17.25">
      <c r="A50" s="7">
        <v>45698</v>
      </c>
      <c r="B50" s="9" t="s">
        <v>3</v>
      </c>
      <c r="C50" s="3"/>
      <c r="D50" s="6">
        <v>100</v>
      </c>
      <c r="E50" s="6">
        <f>E49+C50-D50</f>
      </c>
      <c r="F50" s="2"/>
    </row>
    <row x14ac:dyDescent="0.25" r="51" customHeight="1" ht="17.25">
      <c r="A51" s="8">
        <v>45698</v>
      </c>
      <c r="B51" s="9" t="s">
        <v>269</v>
      </c>
      <c r="C51" s="6">
        <v>80</v>
      </c>
      <c r="D51" s="4"/>
      <c r="E51" s="6">
        <f>E50+C51-D51</f>
      </c>
      <c r="F51" s="2"/>
    </row>
    <row x14ac:dyDescent="0.25" r="52" customHeight="1" ht="17.25">
      <c r="A52" s="8">
        <v>45700</v>
      </c>
      <c r="B52" s="9" t="s">
        <v>34</v>
      </c>
      <c r="C52" s="3"/>
      <c r="D52" s="46">
        <v>600</v>
      </c>
      <c r="E52" s="6">
        <f>E51+C52-D52</f>
      </c>
      <c r="F52" s="2"/>
    </row>
    <row x14ac:dyDescent="0.25" r="53" customHeight="1" ht="17.25">
      <c r="A53" s="8">
        <v>45700</v>
      </c>
      <c r="B53" s="9" t="s">
        <v>35</v>
      </c>
      <c r="C53" s="6">
        <v>10</v>
      </c>
      <c r="D53" s="4"/>
      <c r="E53" s="6">
        <f>E52+C53-D53</f>
      </c>
      <c r="F53" s="2"/>
    </row>
    <row x14ac:dyDescent="0.25" r="54" customHeight="1" ht="17.25">
      <c r="A54" s="7">
        <v>45701</v>
      </c>
      <c r="B54" s="9" t="s">
        <v>34</v>
      </c>
      <c r="C54" s="3"/>
      <c r="D54" s="6">
        <v>400</v>
      </c>
      <c r="E54" s="6">
        <f>E53+C54-D54</f>
      </c>
      <c r="F54" s="2"/>
    </row>
    <row x14ac:dyDescent="0.25" r="55" customHeight="1" ht="17.25">
      <c r="A55" s="8">
        <v>45701</v>
      </c>
      <c r="B55" s="9" t="s">
        <v>11</v>
      </c>
      <c r="C55" s="6">
        <v>11</v>
      </c>
      <c r="D55" s="4"/>
      <c r="E55" s="6">
        <f>E54+C55-D55</f>
      </c>
      <c r="F55" s="2"/>
    </row>
    <row x14ac:dyDescent="0.25" r="56" customHeight="1" ht="17.25">
      <c r="A56" s="8">
        <v>45702</v>
      </c>
      <c r="B56" s="9" t="s">
        <v>39</v>
      </c>
      <c r="C56" s="6">
        <v>37</v>
      </c>
      <c r="D56" s="4"/>
      <c r="E56" s="6">
        <f>E55+C56-D56</f>
      </c>
      <c r="F56" s="2"/>
    </row>
    <row x14ac:dyDescent="0.25" r="57" customHeight="1" ht="17.25">
      <c r="A57" s="8">
        <v>45705</v>
      </c>
      <c r="B57" s="9" t="s">
        <v>3</v>
      </c>
      <c r="C57" s="3"/>
      <c r="D57" s="6">
        <v>200</v>
      </c>
      <c r="E57" s="6">
        <f>E56+C57-D57</f>
      </c>
      <c r="F57" s="2"/>
    </row>
    <row x14ac:dyDescent="0.25" r="58" customHeight="1" ht="17.25">
      <c r="A58" s="7">
        <v>45705</v>
      </c>
      <c r="B58" s="9" t="s">
        <v>131</v>
      </c>
      <c r="C58" s="6">
        <v>15</v>
      </c>
      <c r="D58" s="4"/>
      <c r="E58" s="6">
        <f>E57+C58-D58</f>
      </c>
      <c r="F58" s="2"/>
    </row>
    <row x14ac:dyDescent="0.25" r="59" customHeight="1" ht="17.25">
      <c r="A59" s="8">
        <v>45706</v>
      </c>
      <c r="B59" s="9" t="s">
        <v>269</v>
      </c>
      <c r="C59" s="6">
        <v>58</v>
      </c>
      <c r="D59" s="4"/>
      <c r="E59" s="6">
        <f>E58+C59-D59</f>
      </c>
      <c r="F59" s="2"/>
    </row>
    <row x14ac:dyDescent="0.25" r="60" customHeight="1" ht="17.25">
      <c r="A60" s="8">
        <v>45707</v>
      </c>
      <c r="B60" s="9" t="s">
        <v>141</v>
      </c>
      <c r="C60" s="3"/>
      <c r="D60" s="6">
        <v>112</v>
      </c>
      <c r="E60" s="6">
        <f>E59+C60-D60</f>
      </c>
      <c r="F60" s="2"/>
    </row>
    <row x14ac:dyDescent="0.25" r="61" customHeight="1" ht="17.25">
      <c r="A61" s="8">
        <v>45707</v>
      </c>
      <c r="B61" s="9" t="s">
        <v>227</v>
      </c>
      <c r="C61" s="3"/>
      <c r="D61" s="6">
        <v>1</v>
      </c>
      <c r="E61" s="6">
        <f>E60+C61-D61</f>
      </c>
      <c r="F61" s="2"/>
    </row>
    <row x14ac:dyDescent="0.25" r="62" customHeight="1" ht="17.25">
      <c r="A62" s="7">
        <v>45708</v>
      </c>
      <c r="B62" s="9" t="s">
        <v>3</v>
      </c>
      <c r="C62" s="3"/>
      <c r="D62" s="6">
        <v>150</v>
      </c>
      <c r="E62" s="6">
        <f>E61+C62-D62</f>
      </c>
      <c r="F62" s="2"/>
    </row>
    <row x14ac:dyDescent="0.25" r="63" customHeight="1" ht="17.25">
      <c r="A63" s="7">
        <v>45708</v>
      </c>
      <c r="B63" s="9" t="s">
        <v>3</v>
      </c>
      <c r="C63" s="3"/>
      <c r="D63" s="6">
        <v>150</v>
      </c>
      <c r="E63" s="6">
        <f>E62+C63-D63</f>
      </c>
      <c r="F63" s="2"/>
    </row>
    <row x14ac:dyDescent="0.25" r="64" customHeight="1" ht="17.25">
      <c r="A64" s="8">
        <v>45708</v>
      </c>
      <c r="B64" s="9" t="s">
        <v>485</v>
      </c>
      <c r="C64" s="3"/>
      <c r="D64" s="6">
        <v>50</v>
      </c>
      <c r="E64" s="6">
        <f>E63+C64-D64</f>
      </c>
      <c r="F64" s="2"/>
    </row>
    <row x14ac:dyDescent="0.25" r="65" customHeight="1" ht="17.25">
      <c r="A65" s="7">
        <v>45708</v>
      </c>
      <c r="B65" s="9" t="s">
        <v>59</v>
      </c>
      <c r="C65" s="6">
        <v>5</v>
      </c>
      <c r="D65" s="4"/>
      <c r="E65" s="6">
        <f>E64+C65-D65</f>
      </c>
      <c r="F65" s="2"/>
    </row>
    <row x14ac:dyDescent="0.25" r="66" customHeight="1" ht="17.25">
      <c r="A66" s="7">
        <v>45709</v>
      </c>
      <c r="B66" s="9" t="s">
        <v>3</v>
      </c>
      <c r="C66" s="3"/>
      <c r="D66" s="6">
        <v>850</v>
      </c>
      <c r="E66" s="6">
        <f>E65+C66-D66</f>
      </c>
      <c r="F66" s="2"/>
    </row>
    <row x14ac:dyDescent="0.25" r="67" customHeight="1" ht="17.25">
      <c r="A67" s="8">
        <v>45709</v>
      </c>
      <c r="B67" s="9" t="s">
        <v>485</v>
      </c>
      <c r="C67" s="3"/>
      <c r="D67" s="6">
        <v>73</v>
      </c>
      <c r="E67" s="6">
        <f>E66+C67-D67</f>
      </c>
      <c r="F67" s="2"/>
    </row>
    <row x14ac:dyDescent="0.25" r="68" customHeight="1" ht="17.25">
      <c r="A68" s="8">
        <v>45709</v>
      </c>
      <c r="B68" s="9" t="s">
        <v>39</v>
      </c>
      <c r="C68" s="6">
        <v>2</v>
      </c>
      <c r="D68" s="4"/>
      <c r="E68" s="6">
        <f>E67+C68-D68</f>
      </c>
      <c r="F68" s="2"/>
    </row>
    <row x14ac:dyDescent="0.25" r="69" customHeight="1" ht="17.25">
      <c r="A69" s="8">
        <v>45709</v>
      </c>
      <c r="B69" s="9" t="s">
        <v>131</v>
      </c>
      <c r="C69" s="6">
        <v>12</v>
      </c>
      <c r="D69" s="4"/>
      <c r="E69" s="6">
        <f>E68+C69-D69</f>
      </c>
      <c r="F69" s="2"/>
    </row>
    <row x14ac:dyDescent="0.25" r="70" customHeight="1" ht="17.25">
      <c r="A70" s="7">
        <v>45712</v>
      </c>
      <c r="B70" s="9" t="s">
        <v>3</v>
      </c>
      <c r="C70" s="3"/>
      <c r="D70" s="6">
        <v>100</v>
      </c>
      <c r="E70" s="6">
        <f>E69+C70-D70</f>
      </c>
      <c r="F70" s="2"/>
    </row>
    <row x14ac:dyDescent="0.25" r="71" customHeight="1" ht="17.25">
      <c r="A71" s="7">
        <v>45712</v>
      </c>
      <c r="B71" s="9" t="s">
        <v>35</v>
      </c>
      <c r="C71" s="6">
        <v>27</v>
      </c>
      <c r="D71" s="4"/>
      <c r="E71" s="6">
        <f>E70+C71-D71</f>
      </c>
      <c r="F71" s="2"/>
    </row>
    <row x14ac:dyDescent="0.25" r="72" customHeight="1" ht="17.25">
      <c r="A72" s="8">
        <v>45712</v>
      </c>
      <c r="B72" s="9" t="s">
        <v>413</v>
      </c>
      <c r="C72" s="6">
        <v>22</v>
      </c>
      <c r="D72" s="4"/>
      <c r="E72" s="6">
        <f>E71+C72-D72</f>
      </c>
      <c r="F72" s="2"/>
    </row>
    <row x14ac:dyDescent="0.25" r="73" customHeight="1" ht="17.25">
      <c r="A73" s="8">
        <v>45712</v>
      </c>
      <c r="B73" s="9" t="s">
        <v>257</v>
      </c>
      <c r="C73" s="6">
        <v>145</v>
      </c>
      <c r="D73" s="4"/>
      <c r="E73" s="6">
        <f>E72+C73-D73</f>
      </c>
      <c r="F73" s="2"/>
    </row>
    <row x14ac:dyDescent="0.25" r="74" customHeight="1" ht="17.25">
      <c r="A74" s="8">
        <v>45713</v>
      </c>
      <c r="B74" s="9" t="s">
        <v>44</v>
      </c>
      <c r="C74" s="3"/>
      <c r="D74" s="6">
        <v>30</v>
      </c>
      <c r="E74" s="6">
        <f>E73+C74-D74</f>
      </c>
      <c r="F74" s="2"/>
    </row>
    <row x14ac:dyDescent="0.25" r="75" customHeight="1" ht="17.25">
      <c r="A75" s="8">
        <v>45713</v>
      </c>
      <c r="B75" s="9" t="s">
        <v>131</v>
      </c>
      <c r="C75" s="6">
        <v>2</v>
      </c>
      <c r="D75" s="4"/>
      <c r="E75" s="6">
        <f>E74+C75-D75</f>
      </c>
      <c r="F75" s="2"/>
    </row>
    <row x14ac:dyDescent="0.25" r="76" customHeight="1" ht="17.25">
      <c r="A76" s="7">
        <v>45713</v>
      </c>
      <c r="B76" s="9" t="s">
        <v>257</v>
      </c>
      <c r="C76" s="6">
        <v>12</v>
      </c>
      <c r="D76" s="4"/>
      <c r="E76" s="6">
        <f>E75+C76-D76</f>
      </c>
      <c r="F76" s="2"/>
    </row>
    <row x14ac:dyDescent="0.25" r="77" customHeight="1" ht="17.25">
      <c r="A77" s="7">
        <v>45713</v>
      </c>
      <c r="B77" s="9" t="s">
        <v>172</v>
      </c>
      <c r="C77" s="6">
        <v>108</v>
      </c>
      <c r="D77" s="4"/>
      <c r="E77" s="6">
        <f>E76+C77-D77</f>
      </c>
      <c r="F77" s="2"/>
    </row>
    <row x14ac:dyDescent="0.25" r="78" customHeight="1" ht="17.25">
      <c r="A78" s="7">
        <v>45714</v>
      </c>
      <c r="B78" s="9" t="s">
        <v>3</v>
      </c>
      <c r="C78" s="3"/>
      <c r="D78" s="6">
        <v>550</v>
      </c>
      <c r="E78" s="6">
        <f>E77+C78-D78</f>
      </c>
      <c r="F78" s="2"/>
    </row>
    <row x14ac:dyDescent="0.25" r="79" customHeight="1" ht="17.25">
      <c r="A79" s="8">
        <v>45716</v>
      </c>
      <c r="B79" s="9" t="s">
        <v>487</v>
      </c>
      <c r="C79" s="3"/>
      <c r="D79" s="6">
        <v>100</v>
      </c>
      <c r="E79" s="6">
        <f>E78+C79-D79</f>
      </c>
      <c r="F79" s="2"/>
    </row>
    <row x14ac:dyDescent="0.25" r="80" customHeight="1" ht="17.25">
      <c r="A80" s="7">
        <v>45717</v>
      </c>
      <c r="B80" s="9" t="s">
        <v>488</v>
      </c>
      <c r="C80" s="3"/>
      <c r="D80" s="6">
        <v>100</v>
      </c>
      <c r="E80" s="6">
        <f>E79+C80-D80</f>
      </c>
      <c r="F80" s="2"/>
    </row>
    <row x14ac:dyDescent="0.25" r="81" customHeight="1" ht="17.25">
      <c r="A81" s="8">
        <v>45717</v>
      </c>
      <c r="B81" s="9" t="s">
        <v>487</v>
      </c>
      <c r="C81" s="3"/>
      <c r="D81" s="6">
        <v>100</v>
      </c>
      <c r="E81" s="6">
        <f>E80+C81-D81</f>
      </c>
      <c r="F81" s="2"/>
    </row>
    <row x14ac:dyDescent="0.25" r="82" customHeight="1" ht="17.25">
      <c r="A82" s="8">
        <v>45717</v>
      </c>
      <c r="B82" s="9" t="s">
        <v>3</v>
      </c>
      <c r="C82" s="3"/>
      <c r="D82" s="6">
        <v>150</v>
      </c>
      <c r="E82" s="6">
        <f>E81+C82-D82</f>
      </c>
      <c r="F82" s="2"/>
    </row>
    <row x14ac:dyDescent="0.25" r="83" customHeight="1" ht="17.25">
      <c r="A83" s="7">
        <v>45719</v>
      </c>
      <c r="B83" s="9" t="s">
        <v>3</v>
      </c>
      <c r="C83" s="3"/>
      <c r="D83" s="6">
        <v>325</v>
      </c>
      <c r="E83" s="6">
        <f>E82+C83-D83</f>
      </c>
      <c r="F83" s="2"/>
    </row>
    <row x14ac:dyDescent="0.25" r="84" customHeight="1" ht="17.25">
      <c r="A84" s="7">
        <v>45719</v>
      </c>
      <c r="B84" s="9" t="s">
        <v>3</v>
      </c>
      <c r="C84" s="3"/>
      <c r="D84" s="6">
        <v>200</v>
      </c>
      <c r="E84" s="6">
        <f>E83+C84-D84</f>
      </c>
      <c r="F84" s="2"/>
    </row>
    <row x14ac:dyDescent="0.25" r="85" customHeight="1" ht="17.25">
      <c r="A85" s="8">
        <v>45719</v>
      </c>
      <c r="B85" s="9" t="s">
        <v>141</v>
      </c>
      <c r="C85" s="3"/>
      <c r="D85" s="6">
        <v>150</v>
      </c>
      <c r="E85" s="6">
        <f>E84+C85-D85</f>
      </c>
      <c r="F85" s="2"/>
    </row>
    <row x14ac:dyDescent="0.25" r="86" customHeight="1" ht="17.25">
      <c r="A86" s="7">
        <v>45719</v>
      </c>
      <c r="B86" s="9" t="s">
        <v>39</v>
      </c>
      <c r="C86" s="6">
        <v>10</v>
      </c>
      <c r="D86" s="4"/>
      <c r="E86" s="6">
        <f>E85+C86-D86</f>
      </c>
      <c r="F86" s="2"/>
    </row>
    <row x14ac:dyDescent="0.25" r="87" customHeight="1" ht="17.25">
      <c r="A87" s="7">
        <v>45720</v>
      </c>
      <c r="B87" s="9" t="s">
        <v>3</v>
      </c>
      <c r="C87" s="3"/>
      <c r="D87" s="6">
        <v>325</v>
      </c>
      <c r="E87" s="6">
        <f>E86+C87-D87</f>
      </c>
      <c r="F87" s="2"/>
    </row>
    <row x14ac:dyDescent="0.25" r="88" customHeight="1" ht="17.25">
      <c r="A88" s="7">
        <v>45721</v>
      </c>
      <c r="B88" s="9" t="s">
        <v>3</v>
      </c>
      <c r="C88" s="3"/>
      <c r="D88" s="6">
        <v>350</v>
      </c>
      <c r="E88" s="6">
        <f>E87+C88-D88</f>
      </c>
      <c r="F88" s="2"/>
    </row>
    <row x14ac:dyDescent="0.25" r="89" customHeight="1" ht="17.25">
      <c r="A89" s="8">
        <v>45721</v>
      </c>
      <c r="B89" s="9" t="s">
        <v>39</v>
      </c>
      <c r="C89" s="6">
        <v>45</v>
      </c>
      <c r="D89" s="4"/>
      <c r="E89" s="6">
        <f>E88+C89-D89</f>
      </c>
      <c r="F89" s="2"/>
    </row>
    <row x14ac:dyDescent="0.25" r="90" customHeight="1" ht="17.25">
      <c r="A90" s="7">
        <v>45722</v>
      </c>
      <c r="B90" s="9" t="s">
        <v>172</v>
      </c>
      <c r="C90" s="6">
        <v>18</v>
      </c>
      <c r="D90" s="4"/>
      <c r="E90" s="6">
        <f>E89+C90-D90</f>
      </c>
      <c r="F90" s="2"/>
    </row>
    <row x14ac:dyDescent="0.25" r="91" customHeight="1" ht="17.25">
      <c r="A91" s="7">
        <v>45723</v>
      </c>
      <c r="B91" s="9" t="s">
        <v>3</v>
      </c>
      <c r="C91" s="3"/>
      <c r="D91" s="6">
        <v>400</v>
      </c>
      <c r="E91" s="6">
        <f>E90+C91-D91</f>
      </c>
      <c r="F91" s="2"/>
    </row>
    <row x14ac:dyDescent="0.25" r="92" customHeight="1" ht="17.25">
      <c r="A92" s="8">
        <v>45723</v>
      </c>
      <c r="B92" s="9" t="s">
        <v>257</v>
      </c>
      <c r="C92" s="6">
        <v>4</v>
      </c>
      <c r="D92" s="4"/>
      <c r="E92" s="6">
        <f>E91+C92-D92</f>
      </c>
      <c r="F92" s="2"/>
    </row>
    <row x14ac:dyDescent="0.25" r="93" customHeight="1" ht="17.25">
      <c r="A93" s="8">
        <v>45723</v>
      </c>
      <c r="B93" s="9" t="s">
        <v>489</v>
      </c>
      <c r="C93" s="6">
        <v>95</v>
      </c>
      <c r="D93" s="4"/>
      <c r="E93" s="6">
        <f>E92+C93-D93</f>
      </c>
      <c r="F93" s="2"/>
    </row>
    <row x14ac:dyDescent="0.25" r="94" customHeight="1" ht="17.25">
      <c r="A94" s="8">
        <v>45724</v>
      </c>
      <c r="B94" s="9" t="s">
        <v>141</v>
      </c>
      <c r="C94" s="3"/>
      <c r="D94" s="6">
        <v>150</v>
      </c>
      <c r="E94" s="6">
        <f>E93+C94-D94</f>
      </c>
      <c r="F94" s="2"/>
    </row>
    <row x14ac:dyDescent="0.25" r="95" customHeight="1" ht="17.25">
      <c r="A95" s="8">
        <v>45724</v>
      </c>
      <c r="B95" s="9" t="s">
        <v>2</v>
      </c>
      <c r="C95" s="6">
        <v>1</v>
      </c>
      <c r="D95" s="4"/>
      <c r="E95" s="6">
        <f>E94+C95-D95</f>
      </c>
      <c r="F95" s="2"/>
    </row>
    <row x14ac:dyDescent="0.25" r="96" customHeight="1" ht="17.25">
      <c r="A96" s="8">
        <v>45726</v>
      </c>
      <c r="B96" s="9" t="s">
        <v>141</v>
      </c>
      <c r="C96" s="3"/>
      <c r="D96" s="6">
        <v>310</v>
      </c>
      <c r="E96" s="6">
        <f>E95+C96-D96</f>
      </c>
      <c r="F96" s="2"/>
    </row>
    <row x14ac:dyDescent="0.25" r="97" customHeight="1" ht="17.25">
      <c r="A97" s="8">
        <v>45728</v>
      </c>
      <c r="B97" s="9" t="s">
        <v>486</v>
      </c>
      <c r="C97" s="6">
        <v>500</v>
      </c>
      <c r="D97" s="4"/>
      <c r="E97" s="6">
        <f>E96+C97-D97</f>
      </c>
      <c r="F97" s="2"/>
    </row>
    <row x14ac:dyDescent="0.25" r="98" customHeight="1" ht="17.25">
      <c r="A98" s="7">
        <v>45728</v>
      </c>
      <c r="B98" s="9" t="s">
        <v>3</v>
      </c>
      <c r="C98" s="3"/>
      <c r="D98" s="6">
        <v>500</v>
      </c>
      <c r="E98" s="6">
        <f>E97+C98-D98</f>
      </c>
      <c r="F98" s="2"/>
    </row>
    <row x14ac:dyDescent="0.25" r="99" customHeight="1" ht="17.25">
      <c r="A99" s="7">
        <v>45728</v>
      </c>
      <c r="B99" s="9" t="s">
        <v>361</v>
      </c>
      <c r="C99" s="3"/>
      <c r="D99" s="6">
        <v>150</v>
      </c>
      <c r="E99" s="6">
        <f>E98+C99-D99</f>
      </c>
      <c r="F99" s="2"/>
    </row>
    <row x14ac:dyDescent="0.25" r="100" customHeight="1" ht="17.25">
      <c r="A100" s="8">
        <v>45729</v>
      </c>
      <c r="B100" s="9" t="s">
        <v>3</v>
      </c>
      <c r="C100" s="3"/>
      <c r="D100" s="6">
        <v>200</v>
      </c>
      <c r="E100" s="6">
        <f>E99+C100-D100</f>
      </c>
      <c r="F100" s="2"/>
    </row>
    <row x14ac:dyDescent="0.25" r="101" customHeight="1" ht="17.25">
      <c r="A101" s="8">
        <v>45729</v>
      </c>
      <c r="B101" s="9" t="s">
        <v>3</v>
      </c>
      <c r="C101" s="3"/>
      <c r="D101" s="6">
        <v>200</v>
      </c>
      <c r="E101" s="6">
        <f>E100+C101-D101</f>
      </c>
      <c r="F101" s="2"/>
    </row>
    <row x14ac:dyDescent="0.25" r="102" customHeight="1" ht="17.25">
      <c r="A102" s="8">
        <v>45729</v>
      </c>
      <c r="B102" s="9" t="s">
        <v>365</v>
      </c>
      <c r="C102" s="6">
        <v>4</v>
      </c>
      <c r="D102" s="4"/>
      <c r="E102" s="6">
        <f>E101+C102-D102</f>
      </c>
      <c r="F102" s="2"/>
    </row>
    <row x14ac:dyDescent="0.25" r="103" customHeight="1" ht="17.25">
      <c r="A103" s="7">
        <v>45730</v>
      </c>
      <c r="B103" s="9" t="s">
        <v>3</v>
      </c>
      <c r="C103" s="3"/>
      <c r="D103" s="6">
        <v>200</v>
      </c>
      <c r="E103" s="6">
        <f>E102+C103-D103</f>
      </c>
      <c r="F103" s="2"/>
    </row>
    <row x14ac:dyDescent="0.25" r="104" customHeight="1" ht="17.25">
      <c r="A104" s="7">
        <v>45730</v>
      </c>
      <c r="B104" s="9" t="s">
        <v>11</v>
      </c>
      <c r="C104" s="6">
        <v>55</v>
      </c>
      <c r="D104" s="4"/>
      <c r="E104" s="6">
        <f>E103+C104-D104</f>
      </c>
      <c r="F104" s="2"/>
    </row>
    <row x14ac:dyDescent="0.25" r="105" customHeight="1" ht="17.25">
      <c r="A105" s="7">
        <v>45731</v>
      </c>
      <c r="B105" s="9" t="s">
        <v>141</v>
      </c>
      <c r="C105" s="3"/>
      <c r="D105" s="6">
        <v>100</v>
      </c>
      <c r="E105" s="6">
        <f>E104+C105-D105</f>
      </c>
      <c r="F105" s="2"/>
    </row>
    <row x14ac:dyDescent="0.25" r="106" customHeight="1" ht="17.25">
      <c r="A106" s="8">
        <v>45733</v>
      </c>
      <c r="B106" s="9" t="s">
        <v>141</v>
      </c>
      <c r="C106" s="3"/>
      <c r="D106" s="6">
        <v>92</v>
      </c>
      <c r="E106" s="6">
        <f>E105+C106-D106</f>
      </c>
      <c r="F106" s="2"/>
    </row>
    <row x14ac:dyDescent="0.25" r="107" customHeight="1" ht="17.25">
      <c r="A107" s="8">
        <v>45733</v>
      </c>
      <c r="B107" s="9" t="s">
        <v>382</v>
      </c>
      <c r="C107" s="6">
        <v>1</v>
      </c>
      <c r="D107" s="4"/>
      <c r="E107" s="6">
        <f>E106+C107-D107</f>
      </c>
      <c r="F107" s="2"/>
    </row>
    <row x14ac:dyDescent="0.25" r="108" customHeight="1" ht="17.25">
      <c r="A108" s="8">
        <v>45733</v>
      </c>
      <c r="B108" s="9" t="s">
        <v>11</v>
      </c>
      <c r="C108" s="6">
        <v>6</v>
      </c>
      <c r="D108" s="4"/>
      <c r="E108" s="6">
        <f>E107+C108-D108</f>
      </c>
      <c r="F108" s="2"/>
    </row>
    <row x14ac:dyDescent="0.25" r="109" customHeight="1" ht="17.25">
      <c r="A109" s="8">
        <v>45733</v>
      </c>
      <c r="B109" s="9" t="s">
        <v>11</v>
      </c>
      <c r="C109" s="6">
        <v>20</v>
      </c>
      <c r="D109" s="4"/>
      <c r="E109" s="6">
        <f>E108+C109-D109</f>
      </c>
      <c r="F109" s="2"/>
    </row>
    <row x14ac:dyDescent="0.25" r="110" customHeight="1" ht="17.25">
      <c r="A110" s="8">
        <v>45734</v>
      </c>
      <c r="B110" s="9" t="s">
        <v>141</v>
      </c>
      <c r="C110" s="3"/>
      <c r="D110" s="6">
        <v>150</v>
      </c>
      <c r="E110" s="6">
        <f>E109+C110-D110</f>
      </c>
      <c r="F110" s="2"/>
    </row>
    <row x14ac:dyDescent="0.25" r="111" customHeight="1" ht="17.25">
      <c r="A111" s="8">
        <v>45734</v>
      </c>
      <c r="B111" s="9" t="s">
        <v>141</v>
      </c>
      <c r="C111" s="3"/>
      <c r="D111" s="6">
        <v>150</v>
      </c>
      <c r="E111" s="6">
        <f>E110+C111-D111</f>
      </c>
      <c r="F111" s="2"/>
    </row>
    <row x14ac:dyDescent="0.25" r="112" customHeight="1" ht="17.25">
      <c r="A112" s="8">
        <v>45734</v>
      </c>
      <c r="B112" s="9" t="s">
        <v>2</v>
      </c>
      <c r="C112" s="6">
        <v>15</v>
      </c>
      <c r="D112" s="4"/>
      <c r="E112" s="6">
        <f>E111+C112-D112</f>
      </c>
      <c r="F112" s="2"/>
    </row>
    <row x14ac:dyDescent="0.25" r="113" customHeight="1" ht="17.25">
      <c r="A113" s="8">
        <v>45734</v>
      </c>
      <c r="B113" s="9" t="s">
        <v>141</v>
      </c>
      <c r="C113" s="6">
        <v>7</v>
      </c>
      <c r="D113" s="4"/>
      <c r="E113" s="6">
        <f>E112+C113-D113</f>
      </c>
      <c r="F113" s="2"/>
    </row>
    <row x14ac:dyDescent="0.25" r="114" customHeight="1" ht="17.25">
      <c r="A114" s="8">
        <v>45735</v>
      </c>
      <c r="B114" s="9" t="s">
        <v>172</v>
      </c>
      <c r="C114" s="6">
        <v>32</v>
      </c>
      <c r="D114" s="4"/>
      <c r="E114" s="6">
        <f>E113+C114-D114</f>
      </c>
      <c r="F114" s="2"/>
    </row>
    <row x14ac:dyDescent="0.25" r="115" customHeight="1" ht="17.25">
      <c r="A115" s="8">
        <v>45735</v>
      </c>
      <c r="B115" s="9" t="s">
        <v>257</v>
      </c>
      <c r="C115" s="6">
        <v>1</v>
      </c>
      <c r="D115" s="4"/>
      <c r="E115" s="6">
        <f>E114+C115-D115</f>
      </c>
      <c r="F115" s="2"/>
    </row>
    <row x14ac:dyDescent="0.25" r="116" customHeight="1" ht="17.25">
      <c r="A116" s="8">
        <v>45735</v>
      </c>
      <c r="B116" s="9" t="s">
        <v>257</v>
      </c>
      <c r="C116" s="6">
        <v>11</v>
      </c>
      <c r="D116" s="4"/>
      <c r="E116" s="6">
        <f>E115+C116-D116</f>
      </c>
      <c r="F116" s="2"/>
    </row>
    <row x14ac:dyDescent="0.25" r="117" customHeight="1" ht="17.25">
      <c r="A117" s="8">
        <v>45736</v>
      </c>
      <c r="B117" s="9" t="s">
        <v>486</v>
      </c>
      <c r="C117" s="6">
        <v>276</v>
      </c>
      <c r="D117" s="4"/>
      <c r="E117" s="6">
        <f>E116+C117-D117</f>
      </c>
      <c r="F117" s="2"/>
    </row>
    <row x14ac:dyDescent="0.25" r="118" customHeight="1" ht="17.25">
      <c r="A118" s="8">
        <v>45737</v>
      </c>
      <c r="B118" s="9" t="s">
        <v>2</v>
      </c>
      <c r="C118" s="6">
        <v>70</v>
      </c>
      <c r="D118" s="4"/>
      <c r="E118" s="6">
        <f>E117+C118-D118</f>
      </c>
      <c r="F118" s="2"/>
    </row>
    <row x14ac:dyDescent="0.25" r="119" customHeight="1" ht="17.25">
      <c r="A119" s="8">
        <v>45737</v>
      </c>
      <c r="B119" s="9" t="s">
        <v>484</v>
      </c>
      <c r="C119" s="6">
        <v>170</v>
      </c>
      <c r="D119" s="4"/>
      <c r="E119" s="6">
        <f>E118+C119-D119</f>
      </c>
      <c r="F119" s="2"/>
    </row>
    <row x14ac:dyDescent="0.25" r="120" customHeight="1" ht="17.25">
      <c r="A120" s="8">
        <v>45737</v>
      </c>
      <c r="B120" s="9" t="s">
        <v>141</v>
      </c>
      <c r="C120" s="6">
        <v>100</v>
      </c>
      <c r="D120" s="4"/>
      <c r="E120" s="6">
        <f>E119+C120-D120</f>
      </c>
      <c r="F120" s="2"/>
    </row>
    <row x14ac:dyDescent="0.25" r="121" customHeight="1" ht="17.25">
      <c r="A121" s="8">
        <v>45737</v>
      </c>
      <c r="B121" s="9" t="s">
        <v>257</v>
      </c>
      <c r="C121" s="6">
        <v>13</v>
      </c>
      <c r="D121" s="4"/>
      <c r="E121" s="6">
        <f>E120+C121-D121</f>
      </c>
      <c r="F121" s="2"/>
    </row>
    <row x14ac:dyDescent="0.25" r="122" customHeight="1" ht="17.25">
      <c r="A122" s="8">
        <v>45738</v>
      </c>
      <c r="B122" s="9" t="s">
        <v>39</v>
      </c>
      <c r="C122" s="6">
        <v>1</v>
      </c>
      <c r="D122" s="4"/>
      <c r="E122" s="6">
        <f>E121+C122-D122</f>
      </c>
      <c r="F122" s="2"/>
    </row>
    <row x14ac:dyDescent="0.25" r="123" customHeight="1" ht="17.25">
      <c r="A123" s="8">
        <v>45738</v>
      </c>
      <c r="B123" s="9" t="s">
        <v>257</v>
      </c>
      <c r="C123" s="6">
        <v>3</v>
      </c>
      <c r="D123" s="4"/>
      <c r="E123" s="6">
        <f>E122+C123-D123</f>
      </c>
      <c r="F123" s="2"/>
    </row>
    <row x14ac:dyDescent="0.25" r="124" customHeight="1" ht="17.25">
      <c r="A124" s="8">
        <v>45740</v>
      </c>
      <c r="B124" s="9" t="s">
        <v>172</v>
      </c>
      <c r="C124" s="6">
        <v>21</v>
      </c>
      <c r="D124" s="4"/>
      <c r="E124" s="6">
        <f>E123+C124-D124</f>
      </c>
      <c r="F124" s="2"/>
    </row>
    <row x14ac:dyDescent="0.25" r="125" customHeight="1" ht="17.25">
      <c r="A125" s="8">
        <v>45741</v>
      </c>
      <c r="B125" s="9" t="s">
        <v>257</v>
      </c>
      <c r="C125" s="6">
        <v>4</v>
      </c>
      <c r="D125" s="4"/>
      <c r="E125" s="6">
        <f>E124+C125-D125</f>
      </c>
      <c r="F125" s="2"/>
    </row>
    <row x14ac:dyDescent="0.25" r="126" customHeight="1" ht="17.25">
      <c r="A126" s="7">
        <v>45758</v>
      </c>
      <c r="B126" s="9" t="s">
        <v>35</v>
      </c>
      <c r="C126" s="3"/>
      <c r="D126" s="6">
        <v>91</v>
      </c>
      <c r="E126" s="6">
        <f>E125+C126-D126</f>
      </c>
      <c r="F126" s="2"/>
    </row>
    <row x14ac:dyDescent="0.25" r="127" customHeight="1" ht="17.25">
      <c r="A127" s="7">
        <v>45761</v>
      </c>
      <c r="B127" s="9" t="s">
        <v>490</v>
      </c>
      <c r="C127" s="3"/>
      <c r="D127" s="6">
        <v>128</v>
      </c>
      <c r="E127" s="6">
        <f>E126+C127-D127</f>
      </c>
      <c r="F127" s="2"/>
    </row>
    <row x14ac:dyDescent="0.25" r="128" customHeight="1" ht="17.25">
      <c r="A128" s="7">
        <v>45765</v>
      </c>
      <c r="B128" s="9" t="s">
        <v>2</v>
      </c>
      <c r="C128" s="6">
        <v>10</v>
      </c>
      <c r="D128" s="4"/>
      <c r="E128" s="6">
        <f>E127+C128-D128</f>
      </c>
      <c r="F128" s="2"/>
    </row>
    <row x14ac:dyDescent="0.25" r="129" customHeight="1" ht="17.25">
      <c r="A129" s="8">
        <v>45772</v>
      </c>
      <c r="B129" s="9" t="s">
        <v>491</v>
      </c>
      <c r="C129" s="3"/>
      <c r="D129" s="6">
        <v>200</v>
      </c>
      <c r="E129" s="6">
        <f>E128+C129-D129</f>
      </c>
      <c r="F129" s="2"/>
    </row>
    <row x14ac:dyDescent="0.25" r="130" customHeight="1" ht="17.25">
      <c r="A130" s="8">
        <v>45772</v>
      </c>
      <c r="B130" s="9" t="s">
        <v>44</v>
      </c>
      <c r="C130" s="6">
        <v>150</v>
      </c>
      <c r="D130" s="4"/>
      <c r="E130" s="6">
        <f>E129+C130-D130</f>
      </c>
      <c r="F130" s="2"/>
    </row>
    <row x14ac:dyDescent="0.25" r="131" customHeight="1" ht="17.25">
      <c r="A131" s="7">
        <v>45773</v>
      </c>
      <c r="B131" s="9" t="s">
        <v>484</v>
      </c>
      <c r="C131" s="6">
        <v>150</v>
      </c>
      <c r="D131" s="4"/>
      <c r="E131" s="6">
        <f>E130+C131-D131</f>
      </c>
      <c r="F131" s="2"/>
    </row>
    <row x14ac:dyDescent="0.25" r="132" customHeight="1" ht="17.25">
      <c r="A132" s="8">
        <v>45774</v>
      </c>
      <c r="B132" s="9" t="s">
        <v>41</v>
      </c>
      <c r="C132" s="3"/>
      <c r="D132" s="6">
        <v>100</v>
      </c>
      <c r="E132" s="6">
        <f>E131+C132-D132</f>
      </c>
      <c r="F132" s="2"/>
    </row>
    <row x14ac:dyDescent="0.25" r="133" customHeight="1" ht="17.25">
      <c r="A133" s="8">
        <v>45777</v>
      </c>
      <c r="B133" s="9" t="s">
        <v>491</v>
      </c>
      <c r="C133" s="3"/>
      <c r="D133" s="6">
        <v>200</v>
      </c>
      <c r="E133" s="6">
        <f>E132+C133-D133</f>
      </c>
      <c r="F133" s="2"/>
    </row>
    <row x14ac:dyDescent="0.25" r="134" customHeight="1" ht="17.25">
      <c r="A134" s="7">
        <v>45779</v>
      </c>
      <c r="B134" s="9" t="s">
        <v>361</v>
      </c>
      <c r="C134" s="6">
        <v>150</v>
      </c>
      <c r="D134" s="4"/>
      <c r="E134" s="6">
        <f>E133+C134-D134</f>
      </c>
      <c r="F134" s="2"/>
    </row>
    <row x14ac:dyDescent="0.25" r="135" customHeight="1" ht="17.25">
      <c r="A135" s="8">
        <v>45780</v>
      </c>
      <c r="B135" s="9" t="s">
        <v>41</v>
      </c>
      <c r="C135" s="3"/>
      <c r="D135" s="6">
        <v>100</v>
      </c>
      <c r="E135" s="6">
        <f>E134+C135-D135</f>
      </c>
      <c r="F135" s="2"/>
    </row>
    <row x14ac:dyDescent="0.25" r="136" customHeight="1" ht="17.25">
      <c r="A136" s="7">
        <v>45783</v>
      </c>
      <c r="B136" s="9" t="s">
        <v>100</v>
      </c>
      <c r="C136" s="3"/>
      <c r="D136" s="6">
        <v>50</v>
      </c>
      <c r="E136" s="6">
        <f>E135+C136-D136</f>
      </c>
      <c r="F136" s="2"/>
    </row>
    <row x14ac:dyDescent="0.25" r="137" customHeight="1" ht="17.25">
      <c r="A137" s="7">
        <v>45784</v>
      </c>
      <c r="B137" s="9" t="s">
        <v>89</v>
      </c>
      <c r="C137" s="3"/>
      <c r="D137" s="6">
        <v>150</v>
      </c>
      <c r="E137" s="6">
        <f>E136+C137-D137</f>
      </c>
      <c r="F137" s="2"/>
    </row>
    <row x14ac:dyDescent="0.25" r="138" customHeight="1" ht="17.25">
      <c r="A138" s="7">
        <v>45784</v>
      </c>
      <c r="B138" s="9" t="s">
        <v>4</v>
      </c>
      <c r="C138" s="3"/>
      <c r="D138" s="6">
        <v>149</v>
      </c>
      <c r="E138" s="6">
        <f>E137+C138-D138</f>
      </c>
      <c r="F138" s="2"/>
    </row>
    <row x14ac:dyDescent="0.25" r="139" customHeight="1" ht="17.25">
      <c r="A139" s="8">
        <v>45784</v>
      </c>
      <c r="B139" s="9" t="s">
        <v>485</v>
      </c>
      <c r="C139" s="6">
        <v>100</v>
      </c>
      <c r="D139" s="4"/>
      <c r="E139" s="6">
        <f>E138+C139-D139</f>
      </c>
      <c r="F139" s="2"/>
    </row>
    <row x14ac:dyDescent="0.25" r="140" customHeight="1" ht="17.25">
      <c r="A140" s="7">
        <v>45786</v>
      </c>
      <c r="B140" s="9" t="s">
        <v>484</v>
      </c>
      <c r="C140" s="6">
        <v>50</v>
      </c>
      <c r="D140" s="4"/>
      <c r="E140" s="6">
        <f>E139+C140-D140</f>
      </c>
      <c r="F140" s="2"/>
    </row>
    <row x14ac:dyDescent="0.25" r="141" customHeight="1" ht="17.25">
      <c r="A141" s="7">
        <v>45790</v>
      </c>
      <c r="B141" s="9" t="s">
        <v>4</v>
      </c>
      <c r="C141" s="3"/>
      <c r="D141" s="6">
        <v>1</v>
      </c>
      <c r="E141" s="6">
        <f>E140+C141-D141</f>
      </c>
      <c r="F141" s="2"/>
    </row>
    <row x14ac:dyDescent="0.25" r="142" customHeight="1" ht="17.25">
      <c r="A142" s="7">
        <v>45791</v>
      </c>
      <c r="B142" s="9" t="s">
        <v>44</v>
      </c>
      <c r="C142" s="6">
        <v>100</v>
      </c>
      <c r="D142" s="4"/>
      <c r="E142" s="6">
        <f>E141+C142-D142</f>
      </c>
      <c r="F142" s="2"/>
    </row>
    <row x14ac:dyDescent="0.25" r="143" customHeight="1" ht="17.25">
      <c r="A143" s="7">
        <v>45793</v>
      </c>
      <c r="B143" s="9" t="s">
        <v>141</v>
      </c>
      <c r="C143" s="3"/>
      <c r="D143" s="6">
        <v>260</v>
      </c>
      <c r="E143" s="6">
        <f>E142+C143-D143</f>
      </c>
      <c r="F143" s="2"/>
    </row>
    <row x14ac:dyDescent="0.25" r="144" customHeight="1" ht="17.25">
      <c r="A144" s="7">
        <v>45793</v>
      </c>
      <c r="B144" s="9" t="s">
        <v>3</v>
      </c>
      <c r="C144" s="6">
        <v>67</v>
      </c>
      <c r="D144" s="4"/>
      <c r="E144" s="6">
        <f>E143+C144-D144</f>
      </c>
      <c r="F144" s="2"/>
    </row>
    <row x14ac:dyDescent="0.25" r="145" customHeight="1" ht="17.25">
      <c r="A145" s="7">
        <v>45794</v>
      </c>
      <c r="B145" s="9" t="s">
        <v>29</v>
      </c>
      <c r="C145" s="3"/>
      <c r="D145" s="6">
        <v>400</v>
      </c>
      <c r="E145" s="6">
        <f>E144+C145-D145</f>
      </c>
      <c r="F145" s="2"/>
    </row>
    <row x14ac:dyDescent="0.25" r="146" customHeight="1" ht="17.25">
      <c r="A146" s="7">
        <v>45794</v>
      </c>
      <c r="B146" s="9" t="s">
        <v>484</v>
      </c>
      <c r="C146" s="6">
        <v>300</v>
      </c>
      <c r="D146" s="4"/>
      <c r="E146" s="6">
        <f>E145+C146-D146</f>
      </c>
      <c r="F146" s="2"/>
    </row>
    <row x14ac:dyDescent="0.25" r="147" customHeight="1" ht="17.25">
      <c r="A147" s="7">
        <v>45794</v>
      </c>
      <c r="B147" s="9" t="s">
        <v>486</v>
      </c>
      <c r="C147" s="6">
        <v>515</v>
      </c>
      <c r="D147" s="4"/>
      <c r="E147" s="6">
        <f>E146+C147-D147</f>
      </c>
      <c r="F147" s="2"/>
    </row>
    <row x14ac:dyDescent="0.25" r="148" customHeight="1" ht="17.25">
      <c r="A148" s="7">
        <v>45796</v>
      </c>
      <c r="B148" s="9" t="s">
        <v>484</v>
      </c>
      <c r="C148" s="6">
        <v>172</v>
      </c>
      <c r="D148" s="4"/>
      <c r="E148" s="6">
        <f>E147+C148-D148</f>
      </c>
      <c r="F148" s="2"/>
    </row>
    <row x14ac:dyDescent="0.25" r="149" customHeight="1" ht="17.25">
      <c r="A149" s="7">
        <v>45799</v>
      </c>
      <c r="B149" s="9" t="s">
        <v>43</v>
      </c>
      <c r="C149" s="6">
        <v>150</v>
      </c>
      <c r="D149" s="4"/>
      <c r="E149" s="6">
        <f>E148+C149-D149</f>
      </c>
      <c r="F149" s="2"/>
    </row>
    <row x14ac:dyDescent="0.25" r="150" customHeight="1" ht="17.25">
      <c r="A150" s="7">
        <v>45799</v>
      </c>
      <c r="B150" s="9" t="s">
        <v>486</v>
      </c>
      <c r="C150" s="6">
        <v>90</v>
      </c>
      <c r="D150" s="4"/>
      <c r="E150" s="6">
        <f>E149+C150-D150</f>
      </c>
      <c r="F150" s="2"/>
    </row>
    <row x14ac:dyDescent="0.25" r="151" customHeight="1" ht="17.25">
      <c r="A151" s="7">
        <v>45799</v>
      </c>
      <c r="B151" s="9" t="s">
        <v>3</v>
      </c>
      <c r="C151" s="6">
        <v>70</v>
      </c>
      <c r="D151" s="4"/>
      <c r="E151" s="6">
        <f>E150+C151-D151</f>
      </c>
      <c r="F151" s="2"/>
    </row>
    <row x14ac:dyDescent="0.25" r="152" customHeight="1" ht="17.25">
      <c r="A152" s="8">
        <v>45800</v>
      </c>
      <c r="B152" s="9" t="s">
        <v>42</v>
      </c>
      <c r="C152" s="3"/>
      <c r="D152" s="6">
        <v>100</v>
      </c>
      <c r="E152" s="6">
        <f>E151+C152-D152</f>
      </c>
      <c r="F152" s="2"/>
    </row>
    <row x14ac:dyDescent="0.25" r="153" customHeight="1" ht="17.25">
      <c r="A153" s="8">
        <v>45800</v>
      </c>
      <c r="B153" s="9" t="s">
        <v>42</v>
      </c>
      <c r="C153" s="3"/>
      <c r="D153" s="6">
        <v>1200</v>
      </c>
      <c r="E153" s="6">
        <f>E152+C153-D153</f>
      </c>
      <c r="F153" s="2"/>
    </row>
    <row x14ac:dyDescent="0.25" r="154" customHeight="1" ht="17.25">
      <c r="A154" s="7">
        <v>45800</v>
      </c>
      <c r="B154" s="9" t="s">
        <v>43</v>
      </c>
      <c r="C154" s="6">
        <v>106</v>
      </c>
      <c r="D154" s="4"/>
      <c r="E154" s="6">
        <f>E153+C154-D154</f>
      </c>
      <c r="F154" s="2"/>
    </row>
    <row x14ac:dyDescent="0.25" r="155" customHeight="1" ht="17.25">
      <c r="A155" s="7">
        <v>45803</v>
      </c>
      <c r="B155" s="9" t="s">
        <v>3</v>
      </c>
      <c r="C155" s="6">
        <v>298</v>
      </c>
      <c r="D155" s="4"/>
      <c r="E155" s="6">
        <f>E154+C155-D155</f>
      </c>
      <c r="F155" s="2"/>
    </row>
    <row x14ac:dyDescent="0.25" r="156" customHeight="1" ht="17.25">
      <c r="A156" s="8">
        <v>45804</v>
      </c>
      <c r="B156" s="9" t="s">
        <v>34</v>
      </c>
      <c r="C156" s="3"/>
      <c r="D156" s="6">
        <v>300</v>
      </c>
      <c r="E156" s="6">
        <f>E155+C156-D156</f>
      </c>
      <c r="F156" s="2"/>
    </row>
    <row x14ac:dyDescent="0.25" r="157" customHeight="1" ht="17.25">
      <c r="A157" s="8">
        <v>45804</v>
      </c>
      <c r="B157" s="9" t="s">
        <v>44</v>
      </c>
      <c r="C157" s="6">
        <v>30</v>
      </c>
      <c r="D157" s="4"/>
      <c r="E157" s="6">
        <f>E156+C157-D157</f>
      </c>
      <c r="F157" s="2"/>
    </row>
    <row x14ac:dyDescent="0.25" r="158" customHeight="1" ht="17.25">
      <c r="A158" s="7">
        <v>45804</v>
      </c>
      <c r="B158" s="9" t="s">
        <v>3</v>
      </c>
      <c r="C158" s="6">
        <v>250</v>
      </c>
      <c r="D158" s="4"/>
      <c r="E158" s="6">
        <f>E157+C158-D158</f>
      </c>
      <c r="F158" s="2"/>
    </row>
    <row x14ac:dyDescent="0.25" r="159" customHeight="1" ht="17.25">
      <c r="A159" s="7">
        <v>45805</v>
      </c>
      <c r="B159" s="9" t="s">
        <v>42</v>
      </c>
      <c r="C159" s="3"/>
      <c r="D159" s="6">
        <v>300</v>
      </c>
      <c r="E159" s="6">
        <f>E158+C159-D159</f>
      </c>
      <c r="F159" s="2"/>
    </row>
    <row x14ac:dyDescent="0.25" r="160" customHeight="1" ht="17.25">
      <c r="A160" s="7">
        <v>45805</v>
      </c>
      <c r="B160" s="9" t="s">
        <v>141</v>
      </c>
      <c r="C160" s="3"/>
      <c r="D160" s="6">
        <v>30</v>
      </c>
      <c r="E160" s="6">
        <f>E159+C160-D160</f>
      </c>
      <c r="F160" s="2"/>
    </row>
    <row x14ac:dyDescent="0.25" r="161" customHeight="1" ht="17.25">
      <c r="A161" s="7">
        <v>45805</v>
      </c>
      <c r="B161" s="9" t="s">
        <v>3</v>
      </c>
      <c r="C161" s="6">
        <v>271</v>
      </c>
      <c r="D161" s="4"/>
      <c r="E161" s="6">
        <f>E160+C161-D161</f>
      </c>
      <c r="F161" s="2"/>
    </row>
    <row x14ac:dyDescent="0.25" r="162" customHeight="1" ht="17.25">
      <c r="A162" s="7">
        <v>45805</v>
      </c>
      <c r="B162" s="9" t="s">
        <v>3</v>
      </c>
      <c r="C162" s="6">
        <v>449</v>
      </c>
      <c r="D162" s="4"/>
      <c r="E162" s="6">
        <f>E161+C162-D162</f>
      </c>
      <c r="F162" s="2"/>
    </row>
    <row x14ac:dyDescent="0.25" r="163" customHeight="1" ht="17.25">
      <c r="A163" s="7">
        <v>45807</v>
      </c>
      <c r="B163" s="9" t="s">
        <v>3</v>
      </c>
      <c r="C163" s="6">
        <v>300</v>
      </c>
      <c r="D163" s="4"/>
      <c r="E163" s="6">
        <f>E162+C163-D163</f>
      </c>
      <c r="F163" s="2"/>
    </row>
    <row x14ac:dyDescent="0.25" r="164" customHeight="1" ht="17.25">
      <c r="A164" s="7">
        <v>45812</v>
      </c>
      <c r="B164" s="9" t="s">
        <v>492</v>
      </c>
      <c r="C164" s="3"/>
      <c r="D164" s="6">
        <v>200</v>
      </c>
      <c r="E164" s="6">
        <f>E163+C164-D164</f>
      </c>
      <c r="F164" s="2"/>
    </row>
    <row x14ac:dyDescent="0.25" r="165" customHeight="1" ht="17.25">
      <c r="A165" s="7">
        <v>45812</v>
      </c>
      <c r="B165" s="9" t="s">
        <v>493</v>
      </c>
      <c r="C165" s="3"/>
      <c r="D165" s="6">
        <v>150</v>
      </c>
      <c r="E165" s="6">
        <f>E164+C165-D165</f>
      </c>
      <c r="F165" s="2"/>
    </row>
    <row x14ac:dyDescent="0.25" r="166" customHeight="1" ht="17.25">
      <c r="A166" s="7">
        <v>45813</v>
      </c>
      <c r="B166" s="9" t="s">
        <v>89</v>
      </c>
      <c r="C166" s="6">
        <v>150</v>
      </c>
      <c r="D166" s="4"/>
      <c r="E166" s="6">
        <f>E165+C166-D166</f>
      </c>
      <c r="F166" s="2"/>
    </row>
    <row x14ac:dyDescent="0.25" r="167" customHeight="1" ht="17.25">
      <c r="A167" s="7">
        <v>45815</v>
      </c>
      <c r="B167" s="9" t="s">
        <v>3</v>
      </c>
      <c r="C167" s="6">
        <v>50</v>
      </c>
      <c r="D167" s="4"/>
      <c r="E167" s="6">
        <f>E166+C167-D167</f>
      </c>
      <c r="F167" s="2"/>
    </row>
    <row x14ac:dyDescent="0.25" r="168" customHeight="1" ht="17.25">
      <c r="A168" s="8">
        <v>45817</v>
      </c>
      <c r="B168" s="9" t="s">
        <v>4</v>
      </c>
      <c r="C168" s="3"/>
      <c r="D168" s="6">
        <v>50</v>
      </c>
      <c r="E168" s="6">
        <f>E167+C168-D168</f>
      </c>
      <c r="F168" s="2"/>
    </row>
    <row x14ac:dyDescent="0.25" r="169" customHeight="1" ht="17.25">
      <c r="A169" s="8">
        <v>45817</v>
      </c>
      <c r="B169" s="9" t="s">
        <v>4</v>
      </c>
      <c r="C169" s="3"/>
      <c r="D169" s="6">
        <v>100</v>
      </c>
      <c r="E169" s="6">
        <f>E168+C169-D169</f>
      </c>
      <c r="F169" s="2"/>
    </row>
    <row x14ac:dyDescent="0.25" r="170" customHeight="1" ht="17.25">
      <c r="A170" s="7">
        <v>45818</v>
      </c>
      <c r="B170" s="9" t="s">
        <v>333</v>
      </c>
      <c r="C170" s="3"/>
      <c r="D170" s="6">
        <v>48</v>
      </c>
      <c r="E170" s="6">
        <f>E169+C170-D170</f>
      </c>
      <c r="F170" s="2"/>
    </row>
    <row x14ac:dyDescent="0.25" r="171" customHeight="1" ht="17.25">
      <c r="A171" s="7">
        <v>45818</v>
      </c>
      <c r="B171" s="9" t="s">
        <v>191</v>
      </c>
      <c r="C171" s="6">
        <v>1</v>
      </c>
      <c r="D171" s="4"/>
      <c r="E171" s="6">
        <f>E170+C171-D171</f>
      </c>
      <c r="F171" s="2"/>
    </row>
    <row x14ac:dyDescent="0.25" r="172" customHeight="1" ht="17.25">
      <c r="A172" s="7">
        <v>45819</v>
      </c>
      <c r="B172" s="9" t="s">
        <v>4</v>
      </c>
      <c r="C172" s="3"/>
      <c r="D172" s="6">
        <v>150</v>
      </c>
      <c r="E172" s="6">
        <f>E171+C172-D172</f>
      </c>
      <c r="F172" s="2"/>
    </row>
    <row x14ac:dyDescent="0.25" r="173" customHeight="1" ht="17.25">
      <c r="A173" s="7">
        <v>45819</v>
      </c>
      <c r="B173" s="9" t="s">
        <v>494</v>
      </c>
      <c r="C173" s="3"/>
      <c r="D173" s="6">
        <v>160</v>
      </c>
      <c r="E173" s="6">
        <f>E172+C173-D173</f>
      </c>
      <c r="F173" s="2"/>
    </row>
    <row x14ac:dyDescent="0.25" r="174" customHeight="1" ht="17.25">
      <c r="A174" s="7">
        <v>45819</v>
      </c>
      <c r="B174" s="9" t="s">
        <v>333</v>
      </c>
      <c r="C174" s="3"/>
      <c r="D174" s="6">
        <v>98</v>
      </c>
      <c r="E174" s="6">
        <f>E173+C174-D174</f>
      </c>
      <c r="F174" s="2"/>
    </row>
    <row x14ac:dyDescent="0.25" r="175" customHeight="1" ht="17.25">
      <c r="A175" s="7">
        <v>45819</v>
      </c>
      <c r="B175" s="9" t="s">
        <v>484</v>
      </c>
      <c r="C175" s="6">
        <v>100</v>
      </c>
      <c r="D175" s="4"/>
      <c r="E175" s="6">
        <f>E174+C175-D175</f>
      </c>
      <c r="F175" s="2"/>
    </row>
    <row x14ac:dyDescent="0.25" r="176" customHeight="1" ht="17.25">
      <c r="A176" s="8">
        <v>45820</v>
      </c>
      <c r="B176" s="9" t="s">
        <v>495</v>
      </c>
      <c r="C176" s="3"/>
      <c r="D176" s="6">
        <v>100</v>
      </c>
      <c r="E176" s="6">
        <f>E175+C176-D176</f>
      </c>
      <c r="F176" s="2"/>
    </row>
    <row x14ac:dyDescent="0.25" r="177" customHeight="1" ht="17.25">
      <c r="A177" s="8">
        <v>45821</v>
      </c>
      <c r="B177" s="9" t="s">
        <v>495</v>
      </c>
      <c r="C177" s="3"/>
      <c r="D177" s="6">
        <v>50</v>
      </c>
      <c r="E177" s="6">
        <f>E176+C177-D177</f>
      </c>
      <c r="F177" s="2"/>
    </row>
    <row x14ac:dyDescent="0.25" r="178" customHeight="1" ht="17.25">
      <c r="A178" s="7">
        <v>45821</v>
      </c>
      <c r="B178" s="9" t="s">
        <v>484</v>
      </c>
      <c r="C178" s="6">
        <v>160</v>
      </c>
      <c r="D178" s="4"/>
      <c r="E178" s="6">
        <f>E177+C178-D178</f>
      </c>
      <c r="F178" s="2"/>
    </row>
    <row x14ac:dyDescent="0.25" r="179" customHeight="1" ht="17.25">
      <c r="A179" s="7">
        <v>45821</v>
      </c>
      <c r="B179" s="9" t="s">
        <v>3</v>
      </c>
      <c r="C179" s="6">
        <v>278</v>
      </c>
      <c r="D179" s="4"/>
      <c r="E179" s="6">
        <f>E178+C179-D179</f>
      </c>
      <c r="F179" s="2"/>
    </row>
    <row x14ac:dyDescent="0.25" r="180" customHeight="1" ht="17.25">
      <c r="A180" s="7">
        <v>45822</v>
      </c>
      <c r="B180" s="9" t="s">
        <v>3</v>
      </c>
      <c r="C180" s="6">
        <v>86</v>
      </c>
      <c r="D180" s="4"/>
      <c r="E180" s="6">
        <f>E179+C180-D180</f>
      </c>
      <c r="F180" s="2"/>
    </row>
    <row x14ac:dyDescent="0.25" r="181" customHeight="1" ht="17.25">
      <c r="A181" s="7">
        <v>45824</v>
      </c>
      <c r="B181" s="9" t="s">
        <v>494</v>
      </c>
      <c r="C181" s="3"/>
      <c r="D181" s="6">
        <v>100</v>
      </c>
      <c r="E181" s="6">
        <f>E180+C181-D181</f>
      </c>
      <c r="F181" s="2"/>
    </row>
    <row x14ac:dyDescent="0.25" r="182" customHeight="1" ht="17.25">
      <c r="A182" s="7">
        <v>45824</v>
      </c>
      <c r="B182" s="9" t="s">
        <v>484</v>
      </c>
      <c r="C182" s="6">
        <v>94</v>
      </c>
      <c r="D182" s="4"/>
      <c r="E182" s="6">
        <f>E181+C182-D182</f>
      </c>
      <c r="F182" s="2"/>
    </row>
    <row x14ac:dyDescent="0.25" r="183" customHeight="1" ht="17.25">
      <c r="A183" s="8">
        <v>45825</v>
      </c>
      <c r="B183" s="9" t="s">
        <v>35</v>
      </c>
      <c r="C183" s="3"/>
      <c r="D183" s="6">
        <v>50</v>
      </c>
      <c r="E183" s="6">
        <f>E182+C183-D183</f>
      </c>
      <c r="F183" s="2"/>
    </row>
    <row x14ac:dyDescent="0.25" r="184" customHeight="1" ht="17.25">
      <c r="A184" s="7">
        <v>45825</v>
      </c>
      <c r="B184" s="9" t="s">
        <v>3</v>
      </c>
      <c r="C184" s="6">
        <v>250</v>
      </c>
      <c r="D184" s="4"/>
      <c r="E184" s="6">
        <f>E183+C184-D184</f>
      </c>
      <c r="F184" s="2"/>
    </row>
    <row x14ac:dyDescent="0.25" r="185" customHeight="1" ht="17.25">
      <c r="A185" s="7">
        <v>45825</v>
      </c>
      <c r="B185" s="9" t="s">
        <v>3</v>
      </c>
      <c r="C185" s="6">
        <v>265</v>
      </c>
      <c r="D185" s="4"/>
      <c r="E185" s="6">
        <f>E184+C185-D185</f>
      </c>
      <c r="F185" s="2"/>
    </row>
    <row x14ac:dyDescent="0.25" r="186" customHeight="1" ht="17.25">
      <c r="A186" s="7">
        <v>45825</v>
      </c>
      <c r="B186" s="9" t="s">
        <v>3</v>
      </c>
      <c r="C186" s="6">
        <f>289+8</f>
      </c>
      <c r="D186" s="4"/>
      <c r="E186" s="6">
        <f>E185+C186-D186</f>
      </c>
      <c r="F186" s="2"/>
    </row>
    <row x14ac:dyDescent="0.25" r="187" customHeight="1" ht="17.25">
      <c r="A187" s="8">
        <v>45826</v>
      </c>
      <c r="B187" s="9" t="s">
        <v>25</v>
      </c>
      <c r="C187" s="3"/>
      <c r="D187" s="6">
        <v>60</v>
      </c>
      <c r="E187" s="6">
        <f>E186+C187-D187</f>
      </c>
      <c r="F187" s="2"/>
    </row>
    <row x14ac:dyDescent="0.25" r="188" customHeight="1" ht="17.25">
      <c r="A188" s="7">
        <v>45826</v>
      </c>
      <c r="B188" s="9" t="s">
        <v>496</v>
      </c>
      <c r="C188" s="3"/>
      <c r="D188" s="6">
        <v>50</v>
      </c>
      <c r="E188" s="6">
        <f>E187+C188-D188</f>
      </c>
      <c r="F188" s="2"/>
    </row>
    <row x14ac:dyDescent="0.25" r="189" customHeight="1" ht="17.25">
      <c r="A189" s="7">
        <v>45826</v>
      </c>
      <c r="B189" s="9" t="s">
        <v>3</v>
      </c>
      <c r="C189" s="6">
        <v>200</v>
      </c>
      <c r="D189" s="4"/>
      <c r="E189" s="6">
        <f>E188+C189-D189</f>
      </c>
      <c r="F189" s="2"/>
    </row>
    <row x14ac:dyDescent="0.25" r="190" customHeight="1" ht="17.25">
      <c r="A190" s="7">
        <v>45826</v>
      </c>
      <c r="B190" s="9" t="s">
        <v>3</v>
      </c>
      <c r="C190" s="6">
        <v>259</v>
      </c>
      <c r="D190" s="4"/>
      <c r="E190" s="6">
        <f>E189+C190-D190</f>
      </c>
      <c r="F190" s="2"/>
    </row>
    <row x14ac:dyDescent="0.25" r="191" customHeight="1" ht="17.25">
      <c r="A191" s="8">
        <v>45827</v>
      </c>
      <c r="B191" s="9" t="s">
        <v>485</v>
      </c>
      <c r="C191" s="6">
        <v>46</v>
      </c>
      <c r="D191" s="4"/>
      <c r="E191" s="6">
        <f>E190+C191-D191</f>
      </c>
      <c r="F191" s="2"/>
    </row>
    <row x14ac:dyDescent="0.25" r="192" customHeight="1" ht="17.25">
      <c r="A192" s="7">
        <v>45827</v>
      </c>
      <c r="B192" s="9" t="s">
        <v>3</v>
      </c>
      <c r="C192" s="6">
        <v>376</v>
      </c>
      <c r="D192" s="4"/>
      <c r="E192" s="6">
        <f>E191+C192-D192</f>
      </c>
      <c r="F192" s="2"/>
    </row>
    <row x14ac:dyDescent="0.25" r="193" customHeight="1" ht="17.25">
      <c r="A193" s="7">
        <v>45827</v>
      </c>
      <c r="B193" s="9" t="s">
        <v>3</v>
      </c>
      <c r="C193" s="6">
        <f>86+34</f>
      </c>
      <c r="D193" s="4"/>
      <c r="E193" s="6">
        <f>E192+C193-D193</f>
      </c>
      <c r="F193" s="2"/>
    </row>
    <row x14ac:dyDescent="0.25" r="194" customHeight="1" ht="17.25">
      <c r="A194" s="8">
        <v>45828</v>
      </c>
      <c r="B194" s="9" t="s">
        <v>172</v>
      </c>
      <c r="C194" s="6">
        <v>32</v>
      </c>
      <c r="D194" s="4"/>
      <c r="E194" s="6">
        <f>E193+C194-D194</f>
      </c>
      <c r="F194" s="2"/>
    </row>
    <row x14ac:dyDescent="0.25" r="195" customHeight="1" ht="17.25">
      <c r="A195" s="8">
        <v>45828</v>
      </c>
      <c r="B195" s="9" t="s">
        <v>497</v>
      </c>
      <c r="C195" s="6">
        <v>33</v>
      </c>
      <c r="D195" s="4"/>
      <c r="E195" s="6">
        <f>E194+C195-D195</f>
      </c>
      <c r="F195" s="2"/>
    </row>
    <row x14ac:dyDescent="0.25" r="196" customHeight="1" ht="17.25">
      <c r="A196" s="7">
        <v>45828</v>
      </c>
      <c r="B196" s="9" t="s">
        <v>3</v>
      </c>
      <c r="C196" s="6">
        <v>67</v>
      </c>
      <c r="D196" s="4"/>
      <c r="E196" s="6">
        <f>E195+C196-D196</f>
      </c>
      <c r="F196" s="2"/>
    </row>
    <row x14ac:dyDescent="0.25" r="197" customHeight="1" ht="17.25">
      <c r="A197" s="7">
        <v>45829</v>
      </c>
      <c r="B197" s="9" t="s">
        <v>497</v>
      </c>
      <c r="C197" s="3"/>
      <c r="D197" s="4"/>
      <c r="E197" s="6">
        <f>E196+C197-D197</f>
      </c>
      <c r="F197" s="2"/>
    </row>
    <row x14ac:dyDescent="0.25" r="198" customHeight="1" ht="17.25">
      <c r="A198" s="7">
        <v>45831</v>
      </c>
      <c r="B198" s="9" t="s">
        <v>89</v>
      </c>
      <c r="C198" s="3"/>
      <c r="D198" s="6">
        <v>100</v>
      </c>
      <c r="E198" s="6">
        <f>E197+C198-D198</f>
      </c>
      <c r="F198" s="2"/>
    </row>
    <row x14ac:dyDescent="0.25" r="199" customHeight="1" ht="17.25">
      <c r="A199" s="7">
        <v>45831</v>
      </c>
      <c r="B199" s="9" t="s">
        <v>4</v>
      </c>
      <c r="C199" s="3"/>
      <c r="D199" s="6">
        <v>40</v>
      </c>
      <c r="E199" s="6">
        <f>E198+C199-D199</f>
      </c>
      <c r="F199" s="2"/>
    </row>
    <row x14ac:dyDescent="0.25" r="200" customHeight="1" ht="17.25">
      <c r="A200" s="8">
        <v>45831</v>
      </c>
      <c r="B200" s="9" t="s">
        <v>141</v>
      </c>
      <c r="C200" s="6">
        <v>43</v>
      </c>
      <c r="D200" s="4"/>
      <c r="E200" s="6">
        <f>E199+C200-D200</f>
      </c>
      <c r="F200" s="2"/>
    </row>
    <row x14ac:dyDescent="0.25" r="201" customHeight="1" ht="17.25">
      <c r="A201" s="8">
        <v>45833</v>
      </c>
      <c r="B201" s="9" t="s">
        <v>485</v>
      </c>
      <c r="C201" s="6">
        <v>150</v>
      </c>
      <c r="D201" s="4"/>
      <c r="E201" s="6">
        <f>E200+C201-D201</f>
      </c>
      <c r="F201" s="2"/>
    </row>
    <row x14ac:dyDescent="0.25" r="202" customHeight="1" ht="17.25">
      <c r="A202" s="8">
        <v>45833</v>
      </c>
      <c r="B202" s="9" t="s">
        <v>35</v>
      </c>
      <c r="C202" s="6">
        <v>43</v>
      </c>
      <c r="D202" s="4"/>
      <c r="E202" s="6">
        <f>E201+C202-D202</f>
      </c>
      <c r="F202" s="2"/>
    </row>
    <row x14ac:dyDescent="0.25" r="203" customHeight="1" ht="17.25">
      <c r="A203" s="7">
        <v>45833</v>
      </c>
      <c r="B203" s="9" t="s">
        <v>3</v>
      </c>
      <c r="C203" s="6">
        <v>399</v>
      </c>
      <c r="D203" s="4"/>
      <c r="E203" s="6">
        <f>E202+C203-D203</f>
      </c>
      <c r="F203" s="2"/>
    </row>
    <row x14ac:dyDescent="0.25" r="204" customHeight="1" ht="17.25">
      <c r="A204" s="7">
        <v>45833</v>
      </c>
      <c r="B204" s="9" t="s">
        <v>3</v>
      </c>
      <c r="C204" s="6">
        <f>442+5</f>
      </c>
      <c r="D204" s="4"/>
      <c r="E204" s="6">
        <f>E203+C204-D204</f>
      </c>
      <c r="F204" s="2"/>
    </row>
    <row x14ac:dyDescent="0.25" r="205" customHeight="1" ht="17.25">
      <c r="A205" s="7">
        <v>45834</v>
      </c>
      <c r="B205" s="9" t="s">
        <v>4</v>
      </c>
      <c r="C205" s="3"/>
      <c r="D205" s="6">
        <v>130</v>
      </c>
      <c r="E205" s="6">
        <f>E204+C205-D205</f>
      </c>
      <c r="F205" s="2"/>
    </row>
    <row x14ac:dyDescent="0.25" r="206" customHeight="1" ht="17.25">
      <c r="A206" s="7">
        <v>45834</v>
      </c>
      <c r="B206" s="9" t="s">
        <v>3</v>
      </c>
      <c r="C206" s="6">
        <v>308</v>
      </c>
      <c r="D206" s="4"/>
      <c r="E206" s="6">
        <f>E205+C206-D206</f>
      </c>
      <c r="F206" s="2"/>
    </row>
    <row x14ac:dyDescent="0.25" r="207" customHeight="1" ht="17.25">
      <c r="A207" s="7">
        <v>45834</v>
      </c>
      <c r="B207" s="9" t="s">
        <v>3</v>
      </c>
      <c r="C207" s="6">
        <v>99</v>
      </c>
      <c r="D207" s="4"/>
      <c r="E207" s="6">
        <f>E206+C207-D207</f>
      </c>
      <c r="F207" s="2"/>
    </row>
    <row x14ac:dyDescent="0.25" r="208" customHeight="1" ht="17.25">
      <c r="A208" s="7">
        <v>45835</v>
      </c>
      <c r="B208" s="9" t="s">
        <v>495</v>
      </c>
      <c r="C208" s="3"/>
      <c r="D208" s="6">
        <v>150</v>
      </c>
      <c r="E208" s="6">
        <f>E207+C208-D208</f>
      </c>
      <c r="F208" s="2"/>
    </row>
    <row x14ac:dyDescent="0.25" r="209" customHeight="1" ht="17.25">
      <c r="A209" s="7">
        <v>45838</v>
      </c>
      <c r="B209" s="9" t="s">
        <v>42</v>
      </c>
      <c r="C209" s="6">
        <v>52</v>
      </c>
      <c r="D209" s="4"/>
      <c r="E209" s="6">
        <f>E208+C209-D209</f>
      </c>
      <c r="F209" s="2"/>
    </row>
    <row x14ac:dyDescent="0.25" r="210" customHeight="1" ht="17.25">
      <c r="A210" s="8">
        <v>45839</v>
      </c>
      <c r="B210" s="9" t="s">
        <v>35</v>
      </c>
      <c r="C210" s="6">
        <v>2</v>
      </c>
      <c r="D210" s="4"/>
      <c r="E210" s="6">
        <f>E209+C210-D210</f>
      </c>
      <c r="F210" s="2"/>
    </row>
    <row x14ac:dyDescent="0.25" r="211" customHeight="1" ht="17.25">
      <c r="A211" s="7">
        <v>45839</v>
      </c>
      <c r="B211" s="9" t="s">
        <v>3</v>
      </c>
      <c r="C211" s="6">
        <v>14</v>
      </c>
      <c r="D211" s="4"/>
      <c r="E211" s="6">
        <f>E210+C211-D211</f>
      </c>
      <c r="F211" s="2"/>
    </row>
    <row x14ac:dyDescent="0.25" r="212" customHeight="1" ht="17.25">
      <c r="A212" s="8">
        <v>45842</v>
      </c>
      <c r="B212" s="9" t="s">
        <v>333</v>
      </c>
      <c r="C212" s="3"/>
      <c r="D212" s="6">
        <v>100</v>
      </c>
      <c r="E212" s="6">
        <f>E211+C212-D212</f>
      </c>
      <c r="F212" s="2"/>
    </row>
    <row x14ac:dyDescent="0.25" r="213" customHeight="1" ht="17.25">
      <c r="A213" s="8">
        <v>45842</v>
      </c>
      <c r="B213" s="9" t="s">
        <v>89</v>
      </c>
      <c r="C213" s="6">
        <v>52</v>
      </c>
      <c r="D213" s="4"/>
      <c r="E213" s="6">
        <f>E212+C213-D213</f>
      </c>
      <c r="F213" s="2"/>
    </row>
    <row x14ac:dyDescent="0.25" r="214" customHeight="1" ht="17.25">
      <c r="A214" s="7">
        <v>45843</v>
      </c>
      <c r="B214" s="9" t="s">
        <v>333</v>
      </c>
      <c r="C214" s="3"/>
      <c r="D214" s="6">
        <v>46</v>
      </c>
      <c r="E214" s="6">
        <f>E213+C214-D214</f>
      </c>
      <c r="F214" s="2"/>
    </row>
    <row x14ac:dyDescent="0.25" r="215" customHeight="1" ht="17.25">
      <c r="A215" s="8">
        <v>45846</v>
      </c>
      <c r="B215" s="9" t="s">
        <v>141</v>
      </c>
      <c r="C215" s="6">
        <v>96</v>
      </c>
      <c r="D215" s="4"/>
      <c r="E215" s="6">
        <f>E214+C215-D215</f>
      </c>
      <c r="F215" s="2"/>
    </row>
    <row x14ac:dyDescent="0.25" r="216" customHeight="1" ht="17.25">
      <c r="A216" s="8">
        <v>45846</v>
      </c>
      <c r="B216" s="9" t="s">
        <v>42</v>
      </c>
      <c r="C216" s="6">
        <v>160</v>
      </c>
      <c r="D216" s="4"/>
      <c r="E216" s="6">
        <f>E215+C216-D216</f>
      </c>
      <c r="F216" s="2"/>
    </row>
    <row x14ac:dyDescent="0.25" r="217" customHeight="1" ht="17.25">
      <c r="A217" s="7">
        <v>45854</v>
      </c>
      <c r="B217" s="9" t="s">
        <v>35</v>
      </c>
      <c r="C217" s="6">
        <v>33</v>
      </c>
      <c r="D217" s="4"/>
      <c r="E217" s="6">
        <f>E216+C217-D217</f>
      </c>
      <c r="F217" s="2"/>
    </row>
    <row x14ac:dyDescent="0.25" r="218" customHeight="1" ht="17.25">
      <c r="A218" s="7">
        <v>45854</v>
      </c>
      <c r="B218" s="9" t="s">
        <v>498</v>
      </c>
      <c r="C218" s="6">
        <v>200</v>
      </c>
      <c r="D218" s="4"/>
      <c r="E218" s="6">
        <f>E217+C218-D218</f>
      </c>
      <c r="F218" s="2"/>
    </row>
    <row x14ac:dyDescent="0.25" r="219" customHeight="1" ht="17.25">
      <c r="A219" s="8">
        <v>45855</v>
      </c>
      <c r="B219" s="9" t="s">
        <v>42</v>
      </c>
      <c r="C219" s="6">
        <v>100</v>
      </c>
      <c r="D219" s="4"/>
      <c r="E219" s="6">
        <f>E218+C219-D219</f>
      </c>
      <c r="F219" s="2"/>
    </row>
    <row x14ac:dyDescent="0.25" r="220" customHeight="1" ht="17.25">
      <c r="A220" s="7">
        <v>45856</v>
      </c>
      <c r="B220" s="9" t="s">
        <v>41</v>
      </c>
      <c r="C220" s="6">
        <v>5</v>
      </c>
      <c r="D220" s="4"/>
      <c r="E220" s="6">
        <f>E219+C220-D220</f>
      </c>
      <c r="F220" s="2"/>
    </row>
    <row x14ac:dyDescent="0.25" r="221" customHeight="1" ht="17.25">
      <c r="A221" s="8">
        <v>45860</v>
      </c>
      <c r="B221" s="9" t="s">
        <v>42</v>
      </c>
      <c r="C221" s="6">
        <v>63</v>
      </c>
      <c r="D221" s="4"/>
      <c r="E221" s="6">
        <f>E220+C221-D221</f>
      </c>
      <c r="F221" s="2"/>
    </row>
    <row x14ac:dyDescent="0.25" r="222" customHeight="1" ht="17.25">
      <c r="A222" s="8">
        <v>45860</v>
      </c>
      <c r="B222" s="9" t="s">
        <v>89</v>
      </c>
      <c r="C222" s="6">
        <v>50</v>
      </c>
      <c r="D222" s="4"/>
      <c r="E222" s="6">
        <f>E221+C222-D222</f>
      </c>
      <c r="F222" s="2"/>
    </row>
    <row x14ac:dyDescent="0.25" r="223" customHeight="1" ht="17.25">
      <c r="A223" s="8">
        <v>45860</v>
      </c>
      <c r="B223" s="9" t="s">
        <v>141</v>
      </c>
      <c r="C223" s="6">
        <v>38</v>
      </c>
      <c r="D223" s="4"/>
      <c r="E223" s="6">
        <f>E222+C223-D223</f>
      </c>
      <c r="F223" s="2"/>
    </row>
    <row x14ac:dyDescent="0.25" r="224" customHeight="1" ht="17.25">
      <c r="A224" s="7">
        <v>45861</v>
      </c>
      <c r="B224" s="9" t="s">
        <v>499</v>
      </c>
      <c r="C224" s="6">
        <v>499</v>
      </c>
      <c r="D224" s="4"/>
      <c r="E224" s="6">
        <f>E223+C224-D224</f>
      </c>
      <c r="F224" s="2"/>
    </row>
    <row x14ac:dyDescent="0.25" r="225" customHeight="1" ht="17.25">
      <c r="A225" s="8">
        <v>45861</v>
      </c>
      <c r="B225" s="9" t="s">
        <v>141</v>
      </c>
      <c r="C225" s="6">
        <v>82</v>
      </c>
      <c r="D225" s="4"/>
      <c r="E225" s="6">
        <f>E224+C225-D225</f>
      </c>
      <c r="F225" s="2"/>
    </row>
    <row x14ac:dyDescent="0.25" r="226" customHeight="1" ht="17.25">
      <c r="A226" s="7">
        <v>45862</v>
      </c>
      <c r="B226" s="9" t="s">
        <v>485</v>
      </c>
      <c r="C226" s="6">
        <v>119</v>
      </c>
      <c r="D226" s="4"/>
      <c r="E226" s="6">
        <f>E225+C226-D226</f>
      </c>
      <c r="F226" s="2"/>
    </row>
    <row x14ac:dyDescent="0.25" r="227" customHeight="1" ht="17.25">
      <c r="A227" s="7">
        <v>45862</v>
      </c>
      <c r="B227" s="9" t="s">
        <v>499</v>
      </c>
      <c r="C227" s="6">
        <v>512</v>
      </c>
      <c r="D227" s="4"/>
      <c r="E227" s="6">
        <f>E226+C227-D227</f>
      </c>
      <c r="F227" s="2"/>
    </row>
    <row x14ac:dyDescent="0.25" r="228" customHeight="1" ht="17.25">
      <c r="A228" s="7">
        <v>45864</v>
      </c>
      <c r="B228" s="9" t="s">
        <v>141</v>
      </c>
      <c r="C228" s="6">
        <v>150</v>
      </c>
      <c r="D228" s="4"/>
      <c r="E228" s="6">
        <f>E227+C228-D228</f>
      </c>
      <c r="F228" s="2"/>
    </row>
    <row x14ac:dyDescent="0.25" r="229" customHeight="1" ht="17.25">
      <c r="A229" s="8">
        <v>45864</v>
      </c>
      <c r="B229" s="9" t="s">
        <v>257</v>
      </c>
      <c r="C229" s="6">
        <v>1</v>
      </c>
      <c r="D229" s="4"/>
      <c r="E229" s="6">
        <f>E228+C229-D229</f>
      </c>
      <c r="F229" s="2"/>
    </row>
    <row x14ac:dyDescent="0.25" r="230" customHeight="1" ht="17.25">
      <c r="A230" s="8">
        <v>45866</v>
      </c>
      <c r="B230" s="9" t="s">
        <v>48</v>
      </c>
      <c r="C230" s="3"/>
      <c r="D230" s="6">
        <v>400</v>
      </c>
      <c r="E230" s="6">
        <f>E229+C230-D230</f>
      </c>
      <c r="F230" s="2"/>
    </row>
    <row x14ac:dyDescent="0.25" r="231" customHeight="1" ht="17.25">
      <c r="A231" s="7">
        <v>45867</v>
      </c>
      <c r="B231" s="9" t="s">
        <v>141</v>
      </c>
      <c r="C231" s="6">
        <v>584</v>
      </c>
      <c r="D231" s="4"/>
      <c r="E231" s="6">
        <f>E230+C231-D231</f>
      </c>
      <c r="F231" s="2"/>
    </row>
    <row x14ac:dyDescent="0.25" r="232" customHeight="1" ht="17.25">
      <c r="A232" s="8">
        <v>45868</v>
      </c>
      <c r="B232" s="9" t="s">
        <v>141</v>
      </c>
      <c r="C232" s="6">
        <v>61</v>
      </c>
      <c r="D232" s="4"/>
      <c r="E232" s="6">
        <f>E231+C232-D232</f>
      </c>
      <c r="F232" s="2"/>
    </row>
    <row x14ac:dyDescent="0.25" r="233" customHeight="1" ht="17.25">
      <c r="A233" s="7">
        <v>45870</v>
      </c>
      <c r="B233" s="9" t="s">
        <v>486</v>
      </c>
      <c r="C233" s="6">
        <v>300</v>
      </c>
      <c r="D233" s="4"/>
      <c r="E233" s="6">
        <f>E232+C233-D233</f>
      </c>
      <c r="F233" s="2"/>
    </row>
    <row x14ac:dyDescent="0.25" r="234" customHeight="1" ht="17.25">
      <c r="A234" s="7">
        <v>45873</v>
      </c>
      <c r="B234" s="9" t="s">
        <v>500</v>
      </c>
      <c r="C234" s="3"/>
      <c r="D234" s="6">
        <v>50</v>
      </c>
      <c r="E234" s="6">
        <f>E233+C234-D234</f>
      </c>
      <c r="F234" s="2"/>
    </row>
    <row x14ac:dyDescent="0.25" r="235" customHeight="1" ht="17.25">
      <c r="A235" s="7">
        <v>45873</v>
      </c>
      <c r="B235" s="9" t="s">
        <v>499</v>
      </c>
      <c r="C235" s="6">
        <v>129</v>
      </c>
      <c r="D235" s="4"/>
      <c r="E235" s="6">
        <f>E234+C235-D235</f>
      </c>
      <c r="F235" s="2"/>
    </row>
    <row x14ac:dyDescent="0.25" r="236" customHeight="1" ht="17.25">
      <c r="A236" s="7">
        <v>45874</v>
      </c>
      <c r="B236" s="9" t="s">
        <v>486</v>
      </c>
      <c r="C236" s="6">
        <v>100</v>
      </c>
      <c r="D236" s="4"/>
      <c r="E236" s="6">
        <f>E235+C236-D236</f>
      </c>
      <c r="F236" s="2"/>
    </row>
    <row x14ac:dyDescent="0.25" r="237" customHeight="1" ht="17.25">
      <c r="A237" s="7">
        <v>45875</v>
      </c>
      <c r="B237" s="9" t="s">
        <v>191</v>
      </c>
      <c r="C237" s="3"/>
      <c r="D237" s="6">
        <v>1</v>
      </c>
      <c r="E237" s="6">
        <f>E236+C237-D237</f>
      </c>
      <c r="F237" s="2"/>
    </row>
    <row x14ac:dyDescent="0.25" r="238" customHeight="1" ht="17.25">
      <c r="A238" s="7">
        <v>45875</v>
      </c>
      <c r="B238" s="9" t="s">
        <v>26</v>
      </c>
      <c r="C238" s="3"/>
      <c r="D238" s="6">
        <v>250</v>
      </c>
      <c r="E238" s="6">
        <f>E237+C238-D238</f>
      </c>
      <c r="F238" s="2"/>
    </row>
    <row x14ac:dyDescent="0.25" r="239" customHeight="1" ht="17.25">
      <c r="A239" s="7">
        <v>45875</v>
      </c>
      <c r="B239" s="9" t="s">
        <v>40</v>
      </c>
      <c r="C239" s="6">
        <v>300</v>
      </c>
      <c r="D239" s="4"/>
      <c r="E239" s="6">
        <f>E238+C239-D239</f>
      </c>
      <c r="F239" s="2"/>
    </row>
    <row x14ac:dyDescent="0.25" r="240" customHeight="1" ht="17.25">
      <c r="A240" s="8">
        <v>45876</v>
      </c>
      <c r="B240" s="9" t="s">
        <v>308</v>
      </c>
      <c r="C240" s="3"/>
      <c r="D240" s="6">
        <v>200</v>
      </c>
      <c r="E240" s="6">
        <f>E239+C240-D240</f>
      </c>
      <c r="F240" s="2"/>
    </row>
    <row x14ac:dyDescent="0.25" r="241" customHeight="1" ht="17.25">
      <c r="A241" s="8">
        <v>45878</v>
      </c>
      <c r="B241" s="9" t="s">
        <v>501</v>
      </c>
      <c r="C241" s="3"/>
      <c r="D241" s="6">
        <v>100</v>
      </c>
      <c r="E241" s="6">
        <f>E240+C241-D241</f>
      </c>
      <c r="F241" s="2"/>
    </row>
    <row x14ac:dyDescent="0.25" r="242" customHeight="1" ht="17.25">
      <c r="A242" s="8">
        <v>45880</v>
      </c>
      <c r="B242" s="9" t="s">
        <v>141</v>
      </c>
      <c r="C242" s="6">
        <v>25</v>
      </c>
      <c r="D242" s="4"/>
      <c r="E242" s="6">
        <f>E241+C242-D242</f>
      </c>
      <c r="F242" s="2"/>
    </row>
    <row x14ac:dyDescent="0.25" r="243" customHeight="1" ht="17.25">
      <c r="A243" s="7">
        <v>45881</v>
      </c>
      <c r="B243" s="9" t="s">
        <v>501</v>
      </c>
      <c r="C243" s="3"/>
      <c r="D243" s="6">
        <v>100</v>
      </c>
      <c r="E243" s="6">
        <f>E242+C243-D243</f>
      </c>
      <c r="F243" s="2"/>
    </row>
    <row x14ac:dyDescent="0.25" r="244" customHeight="1" ht="17.25">
      <c r="A244" s="7">
        <v>45881</v>
      </c>
      <c r="B244" s="9" t="s">
        <v>41</v>
      </c>
      <c r="C244" s="6">
        <v>6</v>
      </c>
      <c r="D244" s="4"/>
      <c r="E244" s="6">
        <f>E243+C244-D244</f>
      </c>
      <c r="F244" s="2"/>
    </row>
    <row x14ac:dyDescent="0.25" r="245" customHeight="1" ht="17.25">
      <c r="A245" s="7">
        <v>45882</v>
      </c>
      <c r="B245" s="9" t="s">
        <v>333</v>
      </c>
      <c r="C245" s="6">
        <v>110</v>
      </c>
      <c r="D245" s="4"/>
      <c r="E245" s="6">
        <f>E244+C245-D245</f>
      </c>
      <c r="F245" s="2"/>
    </row>
    <row x14ac:dyDescent="0.25" r="246" customHeight="1" ht="17.25">
      <c r="A246" s="7">
        <v>45883</v>
      </c>
      <c r="B246" s="9" t="s">
        <v>41</v>
      </c>
      <c r="C246" s="6">
        <v>1</v>
      </c>
      <c r="D246" s="4"/>
      <c r="E246" s="6">
        <f>E245+C246-D246</f>
      </c>
      <c r="F246" s="2"/>
    </row>
    <row x14ac:dyDescent="0.25" r="247" customHeight="1" ht="17.25">
      <c r="A247" s="7">
        <v>45884</v>
      </c>
      <c r="B247" s="9" t="s">
        <v>501</v>
      </c>
      <c r="C247" s="3"/>
      <c r="D247" s="6">
        <v>150</v>
      </c>
      <c r="E247" s="6">
        <f>E246+C247-D247</f>
      </c>
      <c r="F247" s="2"/>
    </row>
    <row x14ac:dyDescent="0.25" r="248" customHeight="1" ht="17.25">
      <c r="A248" s="7">
        <v>45884</v>
      </c>
      <c r="B248" s="9" t="s">
        <v>501</v>
      </c>
      <c r="C248" s="3"/>
      <c r="D248" s="6">
        <v>200</v>
      </c>
      <c r="E248" s="6">
        <f>E247+C248-D248</f>
      </c>
      <c r="F248" s="2"/>
    </row>
    <row x14ac:dyDescent="0.25" r="249" customHeight="1" ht="17.25">
      <c r="A249" s="8">
        <v>45885</v>
      </c>
      <c r="B249" s="9" t="s">
        <v>29</v>
      </c>
      <c r="C249" s="6">
        <v>388</v>
      </c>
      <c r="D249" s="4"/>
      <c r="E249" s="6">
        <f>E248+C249-D249</f>
      </c>
      <c r="F249" s="2"/>
    </row>
    <row x14ac:dyDescent="0.25" r="250" customHeight="1" ht="17.25">
      <c r="A250" s="7">
        <v>45887</v>
      </c>
      <c r="B250" s="9" t="s">
        <v>501</v>
      </c>
      <c r="C250" s="3"/>
      <c r="D250" s="6">
        <v>50</v>
      </c>
      <c r="E250" s="6">
        <f>E249+C250-D250</f>
      </c>
      <c r="F250" s="2"/>
    </row>
    <row x14ac:dyDescent="0.25" r="251" customHeight="1" ht="17.25">
      <c r="A251" s="8">
        <v>45888</v>
      </c>
      <c r="B251" s="9" t="s">
        <v>346</v>
      </c>
      <c r="C251" s="3"/>
      <c r="D251" s="6">
        <v>36</v>
      </c>
      <c r="E251" s="6">
        <f>E250+C251-D251</f>
      </c>
      <c r="F251" s="2"/>
    </row>
    <row x14ac:dyDescent="0.25" r="252" customHeight="1" ht="17.25">
      <c r="A252" s="8">
        <v>45888</v>
      </c>
      <c r="B252" s="9" t="s">
        <v>369</v>
      </c>
      <c r="C252" s="3"/>
      <c r="D252" s="6">
        <v>100</v>
      </c>
      <c r="E252" s="6">
        <f>E251+C252-D252</f>
      </c>
      <c r="F252" s="2"/>
    </row>
    <row x14ac:dyDescent="0.25" r="253" customHeight="1" ht="17.25">
      <c r="A253" s="7">
        <v>45888</v>
      </c>
      <c r="B253" s="9" t="s">
        <v>501</v>
      </c>
      <c r="C253" s="3"/>
      <c r="D253" s="6">
        <v>200</v>
      </c>
      <c r="E253" s="6">
        <f>E252+C253-D253</f>
      </c>
      <c r="F253" s="2"/>
    </row>
    <row x14ac:dyDescent="0.25" r="254" customHeight="1" ht="17.25">
      <c r="A254" s="8">
        <v>45888</v>
      </c>
      <c r="B254" s="9" t="s">
        <v>502</v>
      </c>
      <c r="C254" s="3"/>
      <c r="D254" s="6">
        <v>150</v>
      </c>
      <c r="E254" s="6">
        <f>E253+C254-D254</f>
      </c>
      <c r="F254" s="2"/>
    </row>
    <row x14ac:dyDescent="0.25" r="255" customHeight="1" ht="17.25">
      <c r="A255" s="7">
        <v>45888</v>
      </c>
      <c r="B255" s="9" t="s">
        <v>141</v>
      </c>
      <c r="C255" s="6">
        <v>11</v>
      </c>
      <c r="D255" s="4"/>
      <c r="E255" s="6">
        <f>E254+C255-D255</f>
      </c>
      <c r="F255" s="2"/>
    </row>
    <row x14ac:dyDescent="0.25" r="256" customHeight="1" ht="17.25">
      <c r="A256" s="7">
        <v>45890</v>
      </c>
      <c r="B256" s="9" t="s">
        <v>47</v>
      </c>
      <c r="C256" s="3"/>
      <c r="D256" s="6">
        <v>120</v>
      </c>
      <c r="E256" s="6">
        <f>E255+C256-D256</f>
      </c>
      <c r="F256" s="2"/>
    </row>
    <row x14ac:dyDescent="0.25" r="257" customHeight="1" ht="17.25">
      <c r="A257" s="8">
        <v>45891</v>
      </c>
      <c r="B257" s="9" t="s">
        <v>35</v>
      </c>
      <c r="C257" s="6">
        <v>6</v>
      </c>
      <c r="D257" s="4"/>
      <c r="E257" s="6">
        <f>E256+C257-D257</f>
      </c>
      <c r="F257" s="2"/>
    </row>
    <row x14ac:dyDescent="0.25" r="258" customHeight="1" ht="17.25">
      <c r="A258" s="7">
        <v>45894</v>
      </c>
      <c r="B258" s="9" t="s">
        <v>26</v>
      </c>
      <c r="C258" s="3"/>
      <c r="D258" s="6">
        <v>754</v>
      </c>
      <c r="E258" s="6">
        <f>E257+C258-D258</f>
      </c>
      <c r="F258" s="2"/>
    </row>
    <row x14ac:dyDescent="0.25" r="259" customHeight="1" ht="17.25">
      <c r="A259" s="7">
        <v>45894</v>
      </c>
      <c r="B259" s="9" t="s">
        <v>369</v>
      </c>
      <c r="C259" s="3"/>
      <c r="D259" s="6">
        <v>200</v>
      </c>
      <c r="E259" s="6">
        <f>E258+C259-D259</f>
      </c>
      <c r="F259" s="2"/>
    </row>
    <row x14ac:dyDescent="0.25" r="260" customHeight="1" ht="17.25">
      <c r="A260" s="7">
        <v>45894</v>
      </c>
      <c r="B260" s="9" t="s">
        <v>365</v>
      </c>
      <c r="C260" s="3"/>
      <c r="D260" s="6">
        <v>230</v>
      </c>
      <c r="E260" s="6">
        <f>E259+C260-D260</f>
      </c>
      <c r="F260" s="2"/>
    </row>
    <row x14ac:dyDescent="0.25" r="261" customHeight="1" ht="17.25">
      <c r="A261" s="8">
        <v>45897</v>
      </c>
      <c r="B261" s="9" t="s">
        <v>172</v>
      </c>
      <c r="C261" s="6">
        <v>7</v>
      </c>
      <c r="D261" s="4"/>
      <c r="E261" s="6">
        <f>E260+C261-D261</f>
      </c>
      <c r="F261" s="2"/>
    </row>
    <row x14ac:dyDescent="0.25" r="262" customHeight="1" ht="17.25">
      <c r="A262" s="8">
        <v>45898</v>
      </c>
      <c r="B262" s="9" t="s">
        <v>333</v>
      </c>
      <c r="C262" s="6">
        <v>60</v>
      </c>
      <c r="D262" s="4"/>
      <c r="E262" s="6">
        <f>E261+C262-D262</f>
      </c>
      <c r="F262" s="2"/>
    </row>
    <row x14ac:dyDescent="0.25" r="263" customHeight="1" ht="17.25">
      <c r="A263" s="7">
        <v>45899</v>
      </c>
      <c r="B263" s="9" t="s">
        <v>333</v>
      </c>
      <c r="C263" s="6">
        <v>99</v>
      </c>
      <c r="D263" s="4"/>
      <c r="E263" s="6">
        <f>E262+C263-D263</f>
      </c>
      <c r="F263" s="2"/>
    </row>
    <row x14ac:dyDescent="0.25" r="264" customHeight="1" ht="17.25">
      <c r="A264" s="7">
        <v>45901</v>
      </c>
      <c r="B264" s="9" t="s">
        <v>47</v>
      </c>
      <c r="C264" s="6">
        <v>85</v>
      </c>
      <c r="D264" s="4"/>
      <c r="E264" s="6">
        <f>E263+C264-D264</f>
      </c>
      <c r="F264" s="2"/>
    </row>
    <row x14ac:dyDescent="0.25" r="265" customHeight="1" ht="17.25">
      <c r="A265" s="7">
        <v>45901</v>
      </c>
      <c r="B265" s="9" t="s">
        <v>172</v>
      </c>
      <c r="C265" s="6">
        <v>1</v>
      </c>
      <c r="D265" s="4"/>
      <c r="E265" s="6">
        <f>E264+C265-D265</f>
      </c>
      <c r="F265" s="2"/>
    </row>
    <row x14ac:dyDescent="0.25" r="266" customHeight="1" ht="17.25">
      <c r="A266" s="7">
        <v>45902</v>
      </c>
      <c r="B266" s="9" t="s">
        <v>3</v>
      </c>
      <c r="C266" s="3"/>
      <c r="D266" s="6">
        <v>40</v>
      </c>
      <c r="E266" s="6">
        <f>E265+C266-D266</f>
      </c>
      <c r="F266" s="2"/>
    </row>
    <row x14ac:dyDescent="0.25" r="267" customHeight="1" ht="17.25">
      <c r="A267" s="8">
        <v>45902</v>
      </c>
      <c r="B267" s="9" t="s">
        <v>141</v>
      </c>
      <c r="C267" s="6">
        <v>22</v>
      </c>
      <c r="D267" s="4"/>
      <c r="E267" s="6">
        <f>E266+C267-D267</f>
      </c>
      <c r="F267" s="2"/>
    </row>
    <row x14ac:dyDescent="0.25" r="268" customHeight="1" ht="17.25">
      <c r="A268" s="7">
        <v>45903</v>
      </c>
      <c r="B268" s="9" t="s">
        <v>369</v>
      </c>
      <c r="C268" s="3"/>
      <c r="D268" s="6">
        <v>50</v>
      </c>
      <c r="E268" s="6">
        <f>E267+C268-D268</f>
      </c>
      <c r="F268" s="2"/>
    </row>
    <row x14ac:dyDescent="0.25" r="269" customHeight="1" ht="17.25">
      <c r="A269" s="7">
        <v>45903</v>
      </c>
      <c r="B269" s="9" t="s">
        <v>489</v>
      </c>
      <c r="C269" s="6">
        <v>47</v>
      </c>
      <c r="D269" s="4"/>
      <c r="E269" s="6">
        <f>E268+C269-D269</f>
      </c>
      <c r="F269" s="2"/>
    </row>
    <row x14ac:dyDescent="0.25" r="270" customHeight="1" ht="17.25">
      <c r="A270" s="7">
        <v>45906</v>
      </c>
      <c r="B270" s="9" t="s">
        <v>71</v>
      </c>
      <c r="C270" s="6">
        <v>200</v>
      </c>
      <c r="D270" s="4"/>
      <c r="E270" s="6">
        <f>E269+C270-D270</f>
      </c>
      <c r="F270" s="2"/>
    </row>
    <row x14ac:dyDescent="0.25" r="271" customHeight="1" ht="17.25">
      <c r="A271" s="8">
        <v>45908</v>
      </c>
      <c r="B271" s="9" t="s">
        <v>141</v>
      </c>
      <c r="C271" s="6">
        <v>4</v>
      </c>
      <c r="D271" s="4"/>
      <c r="E271" s="6">
        <f>E270+C271-D271</f>
      </c>
      <c r="F271" s="2"/>
    </row>
    <row x14ac:dyDescent="0.25" r="272" customHeight="1" ht="17.25">
      <c r="A272" s="8">
        <v>45911</v>
      </c>
      <c r="B272" s="9" t="s">
        <v>124</v>
      </c>
      <c r="C272" s="3"/>
      <c r="D272" s="6">
        <v>200</v>
      </c>
      <c r="E272" s="6">
        <f>E271+C272-D272</f>
      </c>
      <c r="F272" s="2"/>
    </row>
    <row x14ac:dyDescent="0.25" r="273" customHeight="1" ht="17.25">
      <c r="A273" s="8">
        <v>45911</v>
      </c>
      <c r="B273" s="9" t="s">
        <v>124</v>
      </c>
      <c r="C273" s="3"/>
      <c r="D273" s="6">
        <v>400</v>
      </c>
      <c r="E273" s="6">
        <f>E272+C273-D273</f>
      </c>
      <c r="F273" s="2"/>
    </row>
    <row x14ac:dyDescent="0.25" r="274" customHeight="1" ht="17.25">
      <c r="A274" s="8">
        <v>45911</v>
      </c>
      <c r="B274" s="9" t="s">
        <v>141</v>
      </c>
      <c r="C274" s="6">
        <v>9</v>
      </c>
      <c r="D274" s="4"/>
      <c r="E274" s="6">
        <f>E273+C274-D274</f>
      </c>
      <c r="F274" s="2"/>
    </row>
    <row x14ac:dyDescent="0.25" r="275" customHeight="1" ht="17.25">
      <c r="A275" s="8">
        <v>45912</v>
      </c>
      <c r="B275" s="9" t="s">
        <v>124</v>
      </c>
      <c r="C275" s="3"/>
      <c r="D275" s="6">
        <v>150</v>
      </c>
      <c r="E275" s="6">
        <f>E274+C275-D275</f>
      </c>
      <c r="F275" s="2"/>
    </row>
    <row x14ac:dyDescent="0.25" r="276" customHeight="1" ht="17.25">
      <c r="A276" s="7">
        <v>45912</v>
      </c>
      <c r="B276" s="9" t="s">
        <v>124</v>
      </c>
      <c r="C276" s="3"/>
      <c r="D276" s="6">
        <v>400</v>
      </c>
      <c r="E276" s="6">
        <f>E275+C276-D276</f>
      </c>
      <c r="F276" s="2"/>
    </row>
    <row x14ac:dyDescent="0.25" r="277" customHeight="1" ht="17.25">
      <c r="A277" s="8">
        <v>45912</v>
      </c>
      <c r="B277" s="9" t="s">
        <v>503</v>
      </c>
      <c r="C277" s="6">
        <v>30</v>
      </c>
      <c r="D277" s="4"/>
      <c r="E277" s="6">
        <f>E276+C277-D277</f>
      </c>
      <c r="F277" s="2"/>
    </row>
    <row x14ac:dyDescent="0.25" r="278" customHeight="1" ht="17.25">
      <c r="A278" s="7">
        <v>45912</v>
      </c>
      <c r="B278" s="9" t="s">
        <v>46</v>
      </c>
      <c r="C278" s="6">
        <v>1</v>
      </c>
      <c r="D278" s="4"/>
      <c r="E278" s="6">
        <f>E277+C278-D278</f>
      </c>
      <c r="F278" s="2"/>
    </row>
    <row x14ac:dyDescent="0.25" r="279" customHeight="1" ht="17.25">
      <c r="A279" s="7">
        <v>45913</v>
      </c>
      <c r="B279" s="9" t="s">
        <v>124</v>
      </c>
      <c r="C279" s="3"/>
      <c r="D279" s="6">
        <v>320</v>
      </c>
      <c r="E279" s="6">
        <f>E278+C279-D279</f>
      </c>
      <c r="F279" s="2"/>
    </row>
    <row x14ac:dyDescent="0.25" r="280" customHeight="1" ht="17.25">
      <c r="A280" s="8">
        <v>45915</v>
      </c>
      <c r="B280" s="9" t="s">
        <v>141</v>
      </c>
      <c r="C280" s="6">
        <v>12</v>
      </c>
      <c r="D280" s="4"/>
      <c r="E280" s="6">
        <f>E279+C280-D280</f>
      </c>
      <c r="F280" s="2"/>
    </row>
    <row x14ac:dyDescent="0.25" r="281" customHeight="1" ht="17.25">
      <c r="A281" s="8">
        <v>45915</v>
      </c>
      <c r="B281" s="9" t="s">
        <v>365</v>
      </c>
      <c r="C281" s="6">
        <v>46</v>
      </c>
      <c r="D281" s="4"/>
      <c r="E281" s="6">
        <f>E280+C281-D281</f>
      </c>
      <c r="F281" s="2"/>
    </row>
    <row x14ac:dyDescent="0.25" r="282" customHeight="1" ht="17.25">
      <c r="A282" s="7">
        <v>45916</v>
      </c>
      <c r="B282" s="9" t="s">
        <v>365</v>
      </c>
      <c r="C282" s="6">
        <v>25</v>
      </c>
      <c r="D282" s="4"/>
      <c r="E282" s="6">
        <f>E281+C282-D282</f>
      </c>
      <c r="F282" s="2"/>
    </row>
    <row x14ac:dyDescent="0.25" r="283" customHeight="1" ht="17.25">
      <c r="A283" s="8">
        <v>45917</v>
      </c>
      <c r="B283" s="9" t="s">
        <v>365</v>
      </c>
      <c r="C283" s="6">
        <v>12</v>
      </c>
      <c r="D283" s="4"/>
      <c r="E283" s="6">
        <f>E282+C283-D283</f>
      </c>
      <c r="F283" s="2"/>
    </row>
    <row x14ac:dyDescent="0.25" r="284" customHeight="1" ht="17.25">
      <c r="A284" s="7">
        <v>45917</v>
      </c>
      <c r="B284" s="9" t="s">
        <v>141</v>
      </c>
      <c r="C284" s="6">
        <v>23</v>
      </c>
      <c r="D284" s="4"/>
      <c r="E284" s="6">
        <f>E283+C284-D284</f>
      </c>
      <c r="F284" s="2"/>
    </row>
    <row x14ac:dyDescent="0.25" r="285" customHeight="1" ht="17.25">
      <c r="A285" s="7">
        <v>45917</v>
      </c>
      <c r="B285" s="9" t="s">
        <v>371</v>
      </c>
      <c r="C285" s="3"/>
      <c r="D285" s="6">
        <v>335</v>
      </c>
      <c r="E285" s="6">
        <f>E284+C285-D285</f>
      </c>
      <c r="F285" s="2"/>
    </row>
    <row x14ac:dyDescent="0.25" r="286" customHeight="1" ht="17.25">
      <c r="A286" s="7">
        <v>45918</v>
      </c>
      <c r="B286" s="9" t="s">
        <v>371</v>
      </c>
      <c r="C286" s="3"/>
      <c r="D286" s="6">
        <v>335</v>
      </c>
      <c r="E286" s="6">
        <f>E285+C286-D286</f>
      </c>
      <c r="F286" s="2"/>
    </row>
    <row x14ac:dyDescent="0.25" r="287" customHeight="1" ht="17.25">
      <c r="A287" s="7">
        <v>45918</v>
      </c>
      <c r="B287" s="9" t="s">
        <v>504</v>
      </c>
      <c r="C287" s="3"/>
      <c r="D287" s="6">
        <v>500</v>
      </c>
      <c r="E287" s="6">
        <f>E286+C287-D287</f>
      </c>
      <c r="F287" s="2"/>
    </row>
    <row x14ac:dyDescent="0.25" r="288" customHeight="1" ht="17.25">
      <c r="A288" s="7">
        <v>45918</v>
      </c>
      <c r="B288" s="9" t="s">
        <v>47</v>
      </c>
      <c r="C288" s="6">
        <v>35</v>
      </c>
      <c r="D288" s="4"/>
      <c r="E288" s="6">
        <f>E287+C288-D288</f>
      </c>
      <c r="F288" s="2"/>
    </row>
    <row x14ac:dyDescent="0.25" r="289" customHeight="1" ht="17.25">
      <c r="A289" s="7">
        <v>45918</v>
      </c>
      <c r="B289" s="9" t="s">
        <v>505</v>
      </c>
      <c r="C289" s="6">
        <v>199</v>
      </c>
      <c r="D289" s="4"/>
      <c r="E289" s="6">
        <f>E288+C289-D289</f>
      </c>
      <c r="F289" s="2"/>
    </row>
    <row x14ac:dyDescent="0.25" r="290" customHeight="1" ht="17.25">
      <c r="A290" s="7">
        <v>45919</v>
      </c>
      <c r="B290" s="9" t="s">
        <v>376</v>
      </c>
      <c r="C290" s="3"/>
      <c r="D290" s="6">
        <v>1</v>
      </c>
      <c r="E290" s="6">
        <f>E289+C290-D290</f>
      </c>
      <c r="F290" s="2"/>
    </row>
    <row x14ac:dyDescent="0.25" r="291" customHeight="1" ht="17.25">
      <c r="A291" s="7">
        <v>45919</v>
      </c>
      <c r="B291" s="9" t="s">
        <v>124</v>
      </c>
      <c r="C291" s="3"/>
      <c r="D291" s="6">
        <v>600</v>
      </c>
      <c r="E291" s="6">
        <f>E290+C291-D291</f>
      </c>
      <c r="F291" s="2"/>
    </row>
    <row x14ac:dyDescent="0.25" r="292" customHeight="1" ht="17.25">
      <c r="A292" s="7">
        <v>45919</v>
      </c>
      <c r="B292" s="9" t="s">
        <v>46</v>
      </c>
      <c r="C292" s="6">
        <v>1</v>
      </c>
      <c r="D292" s="4"/>
      <c r="E292" s="6">
        <f>E291+C292-D292</f>
      </c>
      <c r="F292" s="2"/>
    </row>
    <row x14ac:dyDescent="0.25" r="293" customHeight="1" ht="17.25">
      <c r="A293" s="7">
        <v>45920</v>
      </c>
      <c r="B293" s="9" t="s">
        <v>506</v>
      </c>
      <c r="C293" s="3"/>
      <c r="D293" s="6">
        <v>409</v>
      </c>
      <c r="E293" s="6">
        <f>E292+C293-D293</f>
      </c>
      <c r="F293" s="2"/>
    </row>
    <row x14ac:dyDescent="0.25" r="294" customHeight="1" ht="17.25">
      <c r="A294" s="7">
        <v>45920</v>
      </c>
      <c r="B294" s="9" t="s">
        <v>124</v>
      </c>
      <c r="C294" s="3"/>
      <c r="D294" s="6">
        <v>300</v>
      </c>
      <c r="E294" s="6">
        <f>E293+C294-D294</f>
      </c>
      <c r="F294" s="2"/>
    </row>
    <row x14ac:dyDescent="0.25" r="295" customHeight="1" ht="17.25">
      <c r="A295" s="7">
        <v>45920</v>
      </c>
      <c r="B295" s="9" t="s">
        <v>124</v>
      </c>
      <c r="C295" s="3"/>
      <c r="D295" s="6">
        <v>820</v>
      </c>
      <c r="E295" s="6">
        <f>E294+C295-D295</f>
      </c>
      <c r="F295" s="2"/>
    </row>
    <row x14ac:dyDescent="0.25" r="296" customHeight="1" ht="17.25">
      <c r="A296" s="7">
        <v>45920</v>
      </c>
      <c r="B296" s="9" t="s">
        <v>371</v>
      </c>
      <c r="C296" s="3"/>
      <c r="D296" s="6">
        <f>1000-335-335</f>
      </c>
      <c r="E296" s="6">
        <f>E295+C296-D296</f>
      </c>
      <c r="F296" s="2"/>
    </row>
    <row x14ac:dyDescent="0.25" r="297" customHeight="1" ht="17.25">
      <c r="A297" s="7">
        <v>45924</v>
      </c>
      <c r="B297" s="9" t="s">
        <v>34</v>
      </c>
      <c r="C297" s="6">
        <v>500</v>
      </c>
      <c r="D297" s="4"/>
      <c r="E297" s="6">
        <f>E296+C297-D297</f>
      </c>
      <c r="F297" s="2"/>
    </row>
    <row x14ac:dyDescent="0.25" r="298" customHeight="1" ht="17.25">
      <c r="A298" s="7">
        <v>45924</v>
      </c>
      <c r="B298" s="9" t="s">
        <v>504</v>
      </c>
      <c r="C298" s="3"/>
      <c r="D298" s="6">
        <v>500</v>
      </c>
      <c r="E298" s="6">
        <f>E297+C298-D298</f>
      </c>
      <c r="F298" s="2"/>
    </row>
    <row x14ac:dyDescent="0.25" r="299" customHeight="1" ht="17.25">
      <c r="A299" s="8">
        <v>45924</v>
      </c>
      <c r="B299" s="9" t="s">
        <v>42</v>
      </c>
      <c r="C299" s="6">
        <v>9</v>
      </c>
      <c r="D299" s="4"/>
      <c r="E299" s="6">
        <f>E298+C299-D299</f>
      </c>
      <c r="F299" s="2"/>
    </row>
    <row x14ac:dyDescent="0.25" r="300" customHeight="1" ht="17.25">
      <c r="A300" s="7">
        <v>45925</v>
      </c>
      <c r="B300" s="9" t="s">
        <v>428</v>
      </c>
      <c r="C300" s="3"/>
      <c r="D300" s="6">
        <v>6</v>
      </c>
      <c r="E300" s="6">
        <f>E299+C300-D300</f>
      </c>
      <c r="F300" s="2"/>
    </row>
    <row x14ac:dyDescent="0.25" r="301" customHeight="1" ht="17.25">
      <c r="A301" s="7">
        <v>45925</v>
      </c>
      <c r="B301" s="9" t="s">
        <v>34</v>
      </c>
      <c r="C301" s="6">
        <v>6</v>
      </c>
      <c r="D301" s="4"/>
      <c r="E301" s="6">
        <f>E300+C301-D301</f>
      </c>
      <c r="F301" s="2"/>
    </row>
    <row x14ac:dyDescent="0.25" r="302" customHeight="1" ht="17.25">
      <c r="A302" s="7">
        <v>45926</v>
      </c>
      <c r="B302" s="9" t="s">
        <v>265</v>
      </c>
      <c r="C302" s="3"/>
      <c r="D302" s="6">
        <v>26</v>
      </c>
      <c r="E302" s="6">
        <f>E301+C302-D302</f>
      </c>
      <c r="F302" s="2"/>
    </row>
    <row x14ac:dyDescent="0.25" r="303" customHeight="1" ht="17.25">
      <c r="A303" s="7">
        <v>45926</v>
      </c>
      <c r="B303" s="9" t="s">
        <v>365</v>
      </c>
      <c r="C303" s="6">
        <v>142</v>
      </c>
      <c r="D303" s="4"/>
      <c r="E303" s="6">
        <f>E302+C303-D303</f>
      </c>
      <c r="F303" s="2"/>
    </row>
    <row x14ac:dyDescent="0.25" r="304" customHeight="1" ht="17.25">
      <c r="A304" s="7">
        <v>45926</v>
      </c>
      <c r="B304" s="9" t="s">
        <v>507</v>
      </c>
      <c r="C304" s="6">
        <v>298</v>
      </c>
      <c r="D304" s="4"/>
      <c r="E304" s="6">
        <f>E303+C304-D304</f>
      </c>
      <c r="F304" s="2"/>
    </row>
    <row x14ac:dyDescent="0.25" r="305" customHeight="1" ht="17.25">
      <c r="A305" s="7">
        <v>45926</v>
      </c>
      <c r="B305" s="9" t="s">
        <v>2</v>
      </c>
      <c r="C305" s="6">
        <v>4</v>
      </c>
      <c r="D305" s="4"/>
      <c r="E305" s="6">
        <f>E304+C305-D305</f>
      </c>
      <c r="F305" s="2"/>
    </row>
    <row x14ac:dyDescent="0.25" r="306" customHeight="1" ht="17.25">
      <c r="A306" s="7">
        <v>45929</v>
      </c>
      <c r="B306" s="9" t="s">
        <v>428</v>
      </c>
      <c r="C306" s="3"/>
      <c r="D306" s="6">
        <v>94</v>
      </c>
      <c r="E306" s="6">
        <f>E305+C306-D306</f>
      </c>
      <c r="F306" s="2"/>
    </row>
    <row x14ac:dyDescent="0.25" r="307" customHeight="1" ht="17.25">
      <c r="A307" s="7">
        <v>45929</v>
      </c>
      <c r="B307" s="9" t="s">
        <v>106</v>
      </c>
      <c r="C307" s="6">
        <v>130</v>
      </c>
      <c r="D307" s="4"/>
      <c r="E307" s="6">
        <f>E306+C307-D307</f>
      </c>
      <c r="F307" s="2"/>
    </row>
    <row x14ac:dyDescent="0.25" r="308" customHeight="1" ht="17.25">
      <c r="A308" s="7">
        <v>45931</v>
      </c>
      <c r="B308" s="9" t="s">
        <v>44</v>
      </c>
      <c r="C308" s="6">
        <v>60</v>
      </c>
      <c r="D308" s="4"/>
      <c r="E308" s="6">
        <f>E307+C308-D308</f>
      </c>
      <c r="F308" s="2"/>
    </row>
    <row x14ac:dyDescent="0.25" r="309" customHeight="1" ht="17.25">
      <c r="A309" s="8">
        <v>45931</v>
      </c>
      <c r="B309" s="9" t="s">
        <v>106</v>
      </c>
      <c r="C309" s="6">
        <v>84</v>
      </c>
      <c r="D309" s="4"/>
      <c r="E309" s="6">
        <f>E308+C309-D309</f>
      </c>
      <c r="F309" s="2"/>
    </row>
    <row x14ac:dyDescent="0.25" r="310" customHeight="1" ht="17.25">
      <c r="A310" s="7">
        <v>45932</v>
      </c>
      <c r="B310" s="9" t="s">
        <v>106</v>
      </c>
      <c r="C310" s="6">
        <v>230</v>
      </c>
      <c r="D310" s="4"/>
      <c r="E310" s="6">
        <f>E309+C310-D310</f>
      </c>
      <c r="F310" s="2"/>
    </row>
    <row x14ac:dyDescent="0.25" r="311" customHeight="1" ht="17.25">
      <c r="A311" s="7">
        <v>45932</v>
      </c>
      <c r="B311" s="9" t="s">
        <v>100</v>
      </c>
      <c r="C311" s="6">
        <v>40</v>
      </c>
      <c r="D311" s="4"/>
      <c r="E311" s="6">
        <f>E310+C311-D311</f>
      </c>
      <c r="F311" s="2"/>
    </row>
    <row x14ac:dyDescent="0.25" r="312" customHeight="1" ht="17.25">
      <c r="A312" s="7">
        <v>45932</v>
      </c>
      <c r="B312" s="9" t="s">
        <v>4</v>
      </c>
      <c r="C312" s="6">
        <v>144</v>
      </c>
      <c r="D312" s="4"/>
      <c r="E312" s="6">
        <f>E311+C312-D312</f>
      </c>
      <c r="F312" s="2"/>
    </row>
    <row x14ac:dyDescent="0.25" r="313" customHeight="1" ht="17.25">
      <c r="A313" s="8">
        <v>45933</v>
      </c>
      <c r="B313" s="9" t="s">
        <v>508</v>
      </c>
      <c r="C313" s="3"/>
      <c r="D313" s="6">
        <v>100</v>
      </c>
      <c r="E313" s="6">
        <f>E312+C313-D313</f>
      </c>
      <c r="F313" s="2"/>
    </row>
    <row x14ac:dyDescent="0.25" r="314" customHeight="1" ht="17.25">
      <c r="A314" s="7">
        <v>45934</v>
      </c>
      <c r="B314" s="9" t="s">
        <v>106</v>
      </c>
      <c r="C314" s="6">
        <v>71</v>
      </c>
      <c r="D314" s="4"/>
      <c r="E314" s="6">
        <f>E313+C314-D314</f>
      </c>
      <c r="F314" s="2"/>
    </row>
    <row x14ac:dyDescent="0.25" r="315" customHeight="1" ht="17.25">
      <c r="A315" s="8">
        <v>45936</v>
      </c>
      <c r="B315" s="9" t="s">
        <v>504</v>
      </c>
      <c r="C315" s="3"/>
      <c r="D315" s="6">
        <v>300</v>
      </c>
      <c r="E315" s="6">
        <f>E314+C315-D315</f>
      </c>
      <c r="F315" s="2"/>
    </row>
    <row x14ac:dyDescent="0.25" r="316" customHeight="1" ht="17.25">
      <c r="A316" s="7">
        <v>45937</v>
      </c>
      <c r="B316" s="9" t="s">
        <v>509</v>
      </c>
      <c r="C316" s="3"/>
      <c r="D316" s="6">
        <v>250</v>
      </c>
      <c r="E316" s="6">
        <f>E315+C316-D316</f>
      </c>
      <c r="F316" s="2"/>
    </row>
    <row x14ac:dyDescent="0.25" r="317" customHeight="1" ht="17.25">
      <c r="A317" s="7">
        <v>45937</v>
      </c>
      <c r="B317" s="9" t="s">
        <v>510</v>
      </c>
      <c r="C317" s="3"/>
      <c r="D317" s="6">
        <v>250</v>
      </c>
      <c r="E317" s="6">
        <f>E316+C317-D317</f>
      </c>
      <c r="F317" s="2"/>
    </row>
    <row x14ac:dyDescent="0.25" r="318" customHeight="1" ht="17.25">
      <c r="A318" s="7">
        <v>45937</v>
      </c>
      <c r="B318" s="2" t="s">
        <v>106</v>
      </c>
      <c r="C318" s="6">
        <v>106</v>
      </c>
      <c r="D318" s="4"/>
      <c r="E318" s="6">
        <f>E317+C318-D318</f>
      </c>
      <c r="F318" s="2"/>
    </row>
    <row x14ac:dyDescent="0.25" r="319" customHeight="1" ht="17.25">
      <c r="A319" s="7">
        <v>45939</v>
      </c>
      <c r="B319" s="9" t="s">
        <v>106</v>
      </c>
      <c r="C319" s="6">
        <v>14</v>
      </c>
      <c r="D319" s="4"/>
      <c r="E319" s="6">
        <f>E318+C319-D319</f>
      </c>
      <c r="F319" s="2"/>
    </row>
    <row x14ac:dyDescent="0.25" r="320" customHeight="1" ht="17.25">
      <c r="A320" s="8">
        <v>45939</v>
      </c>
      <c r="B320" s="9" t="s">
        <v>26</v>
      </c>
      <c r="C320" s="6">
        <v>20</v>
      </c>
      <c r="D320" s="4"/>
      <c r="E320" s="6">
        <f>E319+C320-D320</f>
      </c>
      <c r="F320" s="2"/>
    </row>
    <row x14ac:dyDescent="0.25" r="321" customHeight="1" ht="17.25">
      <c r="A321" s="7">
        <v>45940</v>
      </c>
      <c r="B321" s="9" t="s">
        <v>106</v>
      </c>
      <c r="C321" s="6">
        <v>27</v>
      </c>
      <c r="D321" s="4"/>
      <c r="E321" s="6">
        <f>E320+C321-D321</f>
      </c>
      <c r="F321" s="2"/>
    </row>
    <row x14ac:dyDescent="0.25" r="322" customHeight="1" ht="17.25">
      <c r="A322" s="7">
        <v>45941</v>
      </c>
      <c r="B322" s="9" t="s">
        <v>504</v>
      </c>
      <c r="C322" s="3"/>
      <c r="D322" s="6">
        <v>300</v>
      </c>
      <c r="E322" s="6">
        <f>E321+C322-D322</f>
      </c>
      <c r="F322" s="2"/>
    </row>
    <row x14ac:dyDescent="0.25" r="323" customHeight="1" ht="17.25">
      <c r="A323" s="7">
        <v>45941</v>
      </c>
      <c r="B323" s="9" t="s">
        <v>511</v>
      </c>
      <c r="C323" s="6">
        <v>304</v>
      </c>
      <c r="D323" s="4"/>
      <c r="E323" s="6">
        <f>E322+C323-D323</f>
      </c>
      <c r="F323" s="2"/>
    </row>
    <row x14ac:dyDescent="0.25" r="324" customHeight="1" ht="17.25">
      <c r="A324" s="7">
        <v>45942</v>
      </c>
      <c r="B324" s="9" t="s">
        <v>36</v>
      </c>
      <c r="C324" s="6">
        <v>200</v>
      </c>
      <c r="D324" s="4"/>
      <c r="E324" s="6">
        <f>E323+C324-D324</f>
      </c>
      <c r="F324" s="2"/>
    </row>
    <row x14ac:dyDescent="0.25" r="325" customHeight="1" ht="17.25">
      <c r="A325" s="8">
        <v>45943</v>
      </c>
      <c r="B325" s="9" t="s">
        <v>512</v>
      </c>
      <c r="C325" s="3"/>
      <c r="D325" s="6">
        <v>100</v>
      </c>
      <c r="E325" s="6">
        <f>E324+C325-D325</f>
      </c>
      <c r="F325" s="2"/>
    </row>
    <row x14ac:dyDescent="0.25" r="326" customHeight="1" ht="17.25">
      <c r="A326" s="8">
        <v>45943</v>
      </c>
      <c r="B326" s="9" t="s">
        <v>512</v>
      </c>
      <c r="C326" s="3"/>
      <c r="D326" s="6">
        <v>100</v>
      </c>
      <c r="E326" s="6">
        <f>E325+C326-D326</f>
      </c>
      <c r="F326" s="2"/>
    </row>
    <row x14ac:dyDescent="0.25" r="327" customHeight="1" ht="17.25">
      <c r="A327" s="8">
        <v>45943</v>
      </c>
      <c r="B327" s="9" t="s">
        <v>41</v>
      </c>
      <c r="C327" s="6">
        <v>28</v>
      </c>
      <c r="D327" s="4"/>
      <c r="E327" s="6">
        <f>E326+C327-D327</f>
      </c>
      <c r="F327" s="2"/>
    </row>
    <row x14ac:dyDescent="0.25" r="328" customHeight="1" ht="17.25">
      <c r="A328" s="7">
        <v>45943</v>
      </c>
      <c r="B328" s="9" t="s">
        <v>106</v>
      </c>
      <c r="C328" s="6">
        <v>24</v>
      </c>
      <c r="D328" s="4"/>
      <c r="E328" s="6">
        <f>E327+C328-D328</f>
      </c>
      <c r="F328" s="2"/>
    </row>
    <row x14ac:dyDescent="0.25" r="329" customHeight="1" ht="17.25">
      <c r="A329" s="7">
        <v>45944</v>
      </c>
      <c r="B329" s="9" t="s">
        <v>63</v>
      </c>
      <c r="C329" s="3"/>
      <c r="D329" s="4"/>
      <c r="E329" s="6">
        <f>E328+C329-D329</f>
      </c>
      <c r="F329" s="2"/>
    </row>
    <row x14ac:dyDescent="0.25" r="330" customHeight="1" ht="17.25">
      <c r="A330" s="7">
        <v>45944</v>
      </c>
      <c r="B330" s="9" t="s">
        <v>504</v>
      </c>
      <c r="C330" s="3"/>
      <c r="D330" s="6">
        <v>100</v>
      </c>
      <c r="E330" s="6">
        <f>E329+C330-D330</f>
      </c>
      <c r="F330" s="2"/>
    </row>
    <row x14ac:dyDescent="0.25" r="331" customHeight="1" ht="17.25">
      <c r="A331" s="7">
        <v>45945</v>
      </c>
      <c r="B331" s="9" t="s">
        <v>46</v>
      </c>
      <c r="C331" s="3"/>
      <c r="D331" s="6">
        <v>200</v>
      </c>
      <c r="E331" s="6">
        <f>E330+C331-D331</f>
      </c>
      <c r="F331" s="2"/>
    </row>
    <row x14ac:dyDescent="0.25" r="332" customHeight="1" ht="17.25">
      <c r="A332" s="7">
        <v>45946</v>
      </c>
      <c r="B332" s="9" t="s">
        <v>512</v>
      </c>
      <c r="C332" s="3"/>
      <c r="D332" s="6">
        <v>160</v>
      </c>
      <c r="E332" s="6">
        <f>E331+C332-D332</f>
      </c>
      <c r="F332" s="2"/>
    </row>
    <row x14ac:dyDescent="0.25" r="333" customHeight="1" ht="17.25">
      <c r="A333" s="7">
        <v>45946</v>
      </c>
      <c r="B333" s="9" t="s">
        <v>512</v>
      </c>
      <c r="C333" s="3"/>
      <c r="D333" s="6">
        <v>160</v>
      </c>
      <c r="E333" s="6">
        <f>E332+C333-D333</f>
      </c>
      <c r="F333" s="2"/>
    </row>
    <row x14ac:dyDescent="0.25" r="334" customHeight="1" ht="17.25">
      <c r="A334" s="8">
        <v>45946</v>
      </c>
      <c r="B334" s="9" t="s">
        <v>141</v>
      </c>
      <c r="C334" s="6">
        <v>12</v>
      </c>
      <c r="D334" s="4"/>
      <c r="E334" s="6">
        <f>E333+C334-D334</f>
      </c>
      <c r="F334" s="2"/>
    </row>
    <row x14ac:dyDescent="0.25" r="335" customHeight="1" ht="17.25">
      <c r="A335" s="8">
        <v>45946</v>
      </c>
      <c r="B335" s="9" t="s">
        <v>106</v>
      </c>
      <c r="C335" s="6">
        <v>3</v>
      </c>
      <c r="D335" s="4"/>
      <c r="E335" s="6">
        <f>E334+C335-D335</f>
      </c>
      <c r="F335" s="2"/>
    </row>
    <row x14ac:dyDescent="0.25" r="336" customHeight="1" ht="17.25">
      <c r="A336" s="8">
        <v>45947</v>
      </c>
      <c r="B336" s="9" t="s">
        <v>512</v>
      </c>
      <c r="C336" s="3"/>
      <c r="D336" s="6">
        <v>100</v>
      </c>
      <c r="E336" s="6">
        <f>E335+C336-D336</f>
      </c>
      <c r="F336" s="2"/>
    </row>
    <row x14ac:dyDescent="0.25" r="337" customHeight="1" ht="17.25">
      <c r="A337" s="8">
        <v>45947</v>
      </c>
      <c r="B337" s="9" t="s">
        <v>3</v>
      </c>
      <c r="C337" s="6">
        <v>68</v>
      </c>
      <c r="D337" s="4"/>
      <c r="E337" s="6">
        <f>E336+C337-D337</f>
      </c>
      <c r="F337" s="2"/>
    </row>
    <row x14ac:dyDescent="0.25" r="338" customHeight="1" ht="17.25">
      <c r="A338" s="7">
        <v>45947</v>
      </c>
      <c r="B338" s="9" t="s">
        <v>512</v>
      </c>
      <c r="C338" s="3"/>
      <c r="D338" s="6">
        <v>160</v>
      </c>
      <c r="E338" s="6">
        <f>E337+C338-D338</f>
      </c>
      <c r="F338" s="2"/>
    </row>
    <row x14ac:dyDescent="0.25" r="339" customHeight="1" ht="17.25">
      <c r="A339" s="7">
        <v>45951</v>
      </c>
      <c r="B339" s="9" t="s">
        <v>3</v>
      </c>
      <c r="C339" s="6">
        <v>32</v>
      </c>
      <c r="D339" s="4"/>
      <c r="E339" s="6">
        <f>E338+C339-D339</f>
      </c>
      <c r="F339" s="2"/>
    </row>
    <row x14ac:dyDescent="0.25" r="340" customHeight="1" ht="17.25">
      <c r="A340" s="7">
        <v>45951</v>
      </c>
      <c r="B340" s="9" t="s">
        <v>106</v>
      </c>
      <c r="C340" s="6">
        <v>1</v>
      </c>
      <c r="D340" s="4"/>
      <c r="E340" s="6">
        <f>E339+C340-D340</f>
      </c>
      <c r="F340" s="2"/>
    </row>
    <row x14ac:dyDescent="0.25" r="341" customHeight="1" ht="17.25">
      <c r="A341" s="7">
        <v>45951</v>
      </c>
      <c r="B341" s="9" t="s">
        <v>26</v>
      </c>
      <c r="C341" s="6">
        <v>437</v>
      </c>
      <c r="D341" s="4"/>
      <c r="E341" s="6">
        <f>E340+C341-D341</f>
      </c>
      <c r="F341" s="2"/>
    </row>
    <row x14ac:dyDescent="0.25" r="342" customHeight="1" ht="17.25">
      <c r="A342" s="7">
        <v>45952</v>
      </c>
      <c r="B342" s="9" t="s">
        <v>141</v>
      </c>
      <c r="C342" s="6">
        <v>18</v>
      </c>
      <c r="D342" s="4"/>
      <c r="E342" s="6">
        <f>E341+C342-D342</f>
      </c>
      <c r="F342" s="2"/>
    </row>
    <row x14ac:dyDescent="0.25" r="343" customHeight="1" ht="17.25">
      <c r="A343" s="7">
        <v>45952</v>
      </c>
      <c r="B343" s="9" t="s">
        <v>43</v>
      </c>
      <c r="C343" s="6">
        <v>75</v>
      </c>
      <c r="D343" s="4"/>
      <c r="E343" s="6">
        <f>E342+C343-D343</f>
      </c>
      <c r="F343" s="2"/>
    </row>
    <row x14ac:dyDescent="0.25" r="344" customHeight="1" ht="17.25">
      <c r="A344" s="7">
        <v>45954</v>
      </c>
      <c r="B344" s="9" t="s">
        <v>504</v>
      </c>
      <c r="C344" s="3"/>
      <c r="D344" s="6">
        <v>300</v>
      </c>
      <c r="E344" s="6">
        <f>E343+C344-D344</f>
      </c>
      <c r="F344" s="2"/>
    </row>
    <row x14ac:dyDescent="0.25" r="345" customHeight="1" ht="17.25">
      <c r="A345" s="7">
        <v>45954</v>
      </c>
      <c r="B345" s="9" t="s">
        <v>504</v>
      </c>
      <c r="C345" s="3"/>
      <c r="D345" s="6">
        <v>200</v>
      </c>
      <c r="E345" s="6">
        <f>E344+C345-D345</f>
      </c>
      <c r="F345" s="2"/>
    </row>
    <row x14ac:dyDescent="0.25" r="346" customHeight="1" ht="17.25">
      <c r="A346" s="7">
        <v>45955</v>
      </c>
      <c r="B346" s="9" t="s">
        <v>106</v>
      </c>
      <c r="C346" s="6">
        <v>4</v>
      </c>
      <c r="D346" s="4"/>
      <c r="E346" s="6">
        <f>E345+C346-D346</f>
      </c>
      <c r="F346" s="2"/>
    </row>
    <row x14ac:dyDescent="0.25" r="347" customHeight="1" ht="17.25">
      <c r="A347" s="1"/>
      <c r="B347" s="9" t="s">
        <v>513</v>
      </c>
      <c r="C347" s="3"/>
      <c r="D347" s="4"/>
      <c r="E347" s="6">
        <f>E346+C347-D347</f>
      </c>
      <c r="F347" s="2"/>
    </row>
    <row x14ac:dyDescent="0.25" r="348" customHeight="1" ht="17.25">
      <c r="A348" s="7">
        <v>45957</v>
      </c>
      <c r="B348" s="9" t="s">
        <v>3</v>
      </c>
      <c r="C348" s="6">
        <v>2</v>
      </c>
      <c r="D348" s="4"/>
      <c r="E348" s="6">
        <f>E347+C348-D348</f>
      </c>
      <c r="F348" s="2"/>
    </row>
    <row x14ac:dyDescent="0.25" r="349" customHeight="1" ht="17.25">
      <c r="A349" s="7">
        <v>45957</v>
      </c>
      <c r="B349" s="9" t="s">
        <v>41</v>
      </c>
      <c r="C349" s="6">
        <v>15</v>
      </c>
      <c r="D349" s="4"/>
      <c r="E349" s="6">
        <f>E348+C349-D349</f>
      </c>
      <c r="F349" s="2"/>
    </row>
    <row x14ac:dyDescent="0.25" r="350" customHeight="1" ht="17.25">
      <c r="A350" s="7">
        <v>45957</v>
      </c>
      <c r="B350" s="9" t="s">
        <v>141</v>
      </c>
      <c r="C350" s="6">
        <v>2</v>
      </c>
      <c r="D350" s="4"/>
      <c r="E350" s="6">
        <f>E349+C350-D350</f>
      </c>
      <c r="F350" s="2"/>
    </row>
    <row x14ac:dyDescent="0.25" r="351" customHeight="1" ht="17.25">
      <c r="A351" s="8">
        <v>45958</v>
      </c>
      <c r="B351" s="9" t="s">
        <v>495</v>
      </c>
      <c r="C351" s="6">
        <v>145</v>
      </c>
      <c r="D351" s="4"/>
      <c r="E351" s="6">
        <f>E350+C351-D351</f>
      </c>
      <c r="F351" s="2"/>
    </row>
    <row x14ac:dyDescent="0.25" r="352" customHeight="1" ht="17.25">
      <c r="A352" s="8">
        <v>45958</v>
      </c>
      <c r="B352" s="9" t="s">
        <v>26</v>
      </c>
      <c r="C352" s="6">
        <v>84</v>
      </c>
      <c r="D352" s="4"/>
      <c r="E352" s="6">
        <f>E351+C352-D352</f>
      </c>
      <c r="F352" s="2"/>
    </row>
    <row x14ac:dyDescent="0.25" r="353" customHeight="1" ht="17.25">
      <c r="A353" s="7">
        <v>45959</v>
      </c>
      <c r="B353" s="9" t="s">
        <v>3</v>
      </c>
      <c r="C353" s="6">
        <v>7</v>
      </c>
      <c r="D353" s="4"/>
      <c r="E353" s="6">
        <f>E352+C353-D353</f>
      </c>
      <c r="F353" s="2"/>
    </row>
    <row x14ac:dyDescent="0.25" r="354" customHeight="1" ht="17.25">
      <c r="A354" s="8">
        <v>45960</v>
      </c>
      <c r="B354" s="9" t="s">
        <v>514</v>
      </c>
      <c r="C354" s="3"/>
      <c r="D354" s="6">
        <v>50</v>
      </c>
      <c r="E354" s="6">
        <f>E353+C354-D354</f>
      </c>
      <c r="F354" s="2"/>
    </row>
    <row x14ac:dyDescent="0.25" r="355" customHeight="1" ht="17.25">
      <c r="A355" s="7">
        <v>45962</v>
      </c>
      <c r="B355" s="9" t="s">
        <v>51</v>
      </c>
      <c r="C355" s="3"/>
      <c r="D355" s="6">
        <v>415</v>
      </c>
      <c r="E355" s="6">
        <f>E354+C355-D355</f>
      </c>
      <c r="F355" s="2"/>
    </row>
    <row x14ac:dyDescent="0.25" r="356" customHeight="1" ht="17.25">
      <c r="A356" s="8">
        <v>45964</v>
      </c>
      <c r="B356" s="9" t="s">
        <v>51</v>
      </c>
      <c r="C356" s="3"/>
      <c r="D356" s="6">
        <v>35</v>
      </c>
      <c r="E356" s="6">
        <f>E355+C356-D356</f>
      </c>
      <c r="F356" s="2"/>
    </row>
    <row x14ac:dyDescent="0.25" r="357" customHeight="1" ht="17.25">
      <c r="A357" s="7">
        <v>45964</v>
      </c>
      <c r="B357" s="9" t="s">
        <v>36</v>
      </c>
      <c r="C357" s="6">
        <v>300</v>
      </c>
      <c r="D357" s="4"/>
      <c r="E357" s="6">
        <f>E356+C357-D357</f>
      </c>
      <c r="F357" s="2"/>
    </row>
    <row x14ac:dyDescent="0.25" r="358" customHeight="1" ht="17.25">
      <c r="A358" s="7">
        <v>45965</v>
      </c>
      <c r="B358" s="9" t="s">
        <v>36</v>
      </c>
      <c r="C358" s="6">
        <v>236</v>
      </c>
      <c r="D358" s="4"/>
      <c r="E358" s="6">
        <f>E357+C358-D358</f>
      </c>
      <c r="F358" s="2"/>
    </row>
    <row x14ac:dyDescent="0.25" r="359" customHeight="1" ht="17.25">
      <c r="A359" s="7">
        <v>45965</v>
      </c>
      <c r="B359" s="9" t="s">
        <v>36</v>
      </c>
      <c r="C359" s="6">
        <v>252</v>
      </c>
      <c r="D359" s="4"/>
      <c r="E359" s="6">
        <f>E358+C359-D359</f>
      </c>
      <c r="F359" s="2"/>
    </row>
    <row x14ac:dyDescent="0.25" r="360" customHeight="1" ht="17.25">
      <c r="A360" s="7">
        <v>45965</v>
      </c>
      <c r="B360" s="9" t="s">
        <v>515</v>
      </c>
      <c r="C360" s="3"/>
      <c r="D360" s="6">
        <v>500</v>
      </c>
      <c r="E360" s="6">
        <f>E359+C360-D360</f>
      </c>
      <c r="F360" s="2"/>
    </row>
    <row x14ac:dyDescent="0.25" r="361" customHeight="1" ht="17.25">
      <c r="A361" s="8">
        <v>45965</v>
      </c>
      <c r="B361" s="9" t="s">
        <v>424</v>
      </c>
      <c r="C361" s="3"/>
      <c r="D361" s="6">
        <v>20</v>
      </c>
      <c r="E361" s="6">
        <f>E360+C361-D361</f>
      </c>
      <c r="F361" s="2"/>
    </row>
    <row x14ac:dyDescent="0.25" r="362" customHeight="1" ht="17.25">
      <c r="A362" s="8">
        <v>45966</v>
      </c>
      <c r="B362" s="9" t="s">
        <v>3</v>
      </c>
      <c r="C362" s="6">
        <v>4</v>
      </c>
      <c r="D362" s="4"/>
      <c r="E362" s="6">
        <f>E361+C362-D362</f>
      </c>
      <c r="F362" s="2"/>
    </row>
    <row x14ac:dyDescent="0.25" r="363" customHeight="1" ht="17.25">
      <c r="A363" s="8">
        <v>45967</v>
      </c>
      <c r="B363" s="9" t="s">
        <v>484</v>
      </c>
      <c r="C363" s="6">
        <v>6</v>
      </c>
      <c r="D363" s="4"/>
      <c r="E363" s="6">
        <f>E362+C363-D363</f>
      </c>
      <c r="F363" s="2"/>
    </row>
    <row x14ac:dyDescent="0.25" r="364" customHeight="1" ht="17.25">
      <c r="A364" s="7">
        <v>45967</v>
      </c>
      <c r="B364" s="9" t="s">
        <v>51</v>
      </c>
      <c r="C364" s="3"/>
      <c r="D364" s="6">
        <v>61</v>
      </c>
      <c r="E364" s="6">
        <f>E363+C364-D364</f>
      </c>
      <c r="F364" s="2"/>
    </row>
    <row x14ac:dyDescent="0.25" r="365" customHeight="1" ht="17.25">
      <c r="A365" s="8">
        <v>45967</v>
      </c>
      <c r="B365" s="9" t="s">
        <v>283</v>
      </c>
      <c r="C365" s="6">
        <v>32</v>
      </c>
      <c r="D365" s="4"/>
      <c r="E365" s="6">
        <f>E364+C365-D365</f>
      </c>
      <c r="F365" s="2"/>
    </row>
    <row x14ac:dyDescent="0.25" r="366" customHeight="1" ht="17.25">
      <c r="A366" s="8">
        <v>45968</v>
      </c>
      <c r="B366" s="9" t="s">
        <v>51</v>
      </c>
      <c r="C366" s="3"/>
      <c r="D366" s="6">
        <v>38</v>
      </c>
      <c r="E366" s="6">
        <f>E365+C366-D366</f>
      </c>
      <c r="F366" s="2"/>
    </row>
    <row x14ac:dyDescent="0.25" r="367" customHeight="1" ht="17.25">
      <c r="A367" s="7">
        <v>45968</v>
      </c>
      <c r="B367" s="9" t="s">
        <v>3</v>
      </c>
      <c r="C367" s="6">
        <v>23</v>
      </c>
      <c r="D367" s="4"/>
      <c r="E367" s="6">
        <f>E366+C367-D367</f>
      </c>
      <c r="F367" s="2"/>
    </row>
    <row x14ac:dyDescent="0.25" r="368" customHeight="1" ht="17.25">
      <c r="A368" s="7">
        <v>45969</v>
      </c>
      <c r="B368" s="9" t="s">
        <v>51</v>
      </c>
      <c r="C368" s="3"/>
      <c r="D368" s="6">
        <v>25</v>
      </c>
      <c r="E368" s="6">
        <f>E367+C368-D368</f>
      </c>
      <c r="F368" s="2"/>
    </row>
    <row x14ac:dyDescent="0.25" r="369" customHeight="1" ht="17.25">
      <c r="A369" s="7">
        <v>45969</v>
      </c>
      <c r="B369" s="9" t="s">
        <v>51</v>
      </c>
      <c r="C369" s="6">
        <v>26</v>
      </c>
      <c r="D369" s="4"/>
      <c r="E369" s="6">
        <f>E368+C369-D369</f>
      </c>
      <c r="F369" s="2"/>
    </row>
    <row x14ac:dyDescent="0.25" r="370" customHeight="1" ht="17.25">
      <c r="A370" s="7">
        <v>45969</v>
      </c>
      <c r="B370" s="9" t="s">
        <v>184</v>
      </c>
      <c r="C370" s="6">
        <v>1</v>
      </c>
      <c r="D370" s="4"/>
      <c r="E370" s="6">
        <f>E369+C370-D370</f>
      </c>
      <c r="F370" s="2"/>
    </row>
    <row x14ac:dyDescent="0.25" r="371" customHeight="1" ht="17.25">
      <c r="A371" s="7">
        <v>45971</v>
      </c>
      <c r="B371" s="9" t="s">
        <v>141</v>
      </c>
      <c r="C371" s="6">
        <v>2</v>
      </c>
      <c r="D371" s="4"/>
      <c r="E371" s="6">
        <f>E370+C371-D371</f>
      </c>
      <c r="F371" s="2"/>
    </row>
    <row x14ac:dyDescent="0.25" r="372" customHeight="1" ht="17.25">
      <c r="A372" s="7">
        <v>45973</v>
      </c>
      <c r="B372" s="9" t="s">
        <v>283</v>
      </c>
      <c r="C372" s="3"/>
      <c r="D372" s="6">
        <v>32</v>
      </c>
      <c r="E372" s="6">
        <f>E371+C372-D372</f>
      </c>
      <c r="F372" s="2"/>
    </row>
    <row x14ac:dyDescent="0.25" r="373" customHeight="1" ht="17.25">
      <c r="A373" s="8">
        <v>45974</v>
      </c>
      <c r="B373" s="9" t="s">
        <v>29</v>
      </c>
      <c r="C373" s="6">
        <v>184</v>
      </c>
      <c r="D373" s="4"/>
      <c r="E373" s="6">
        <f>E372+C373</f>
      </c>
      <c r="F373" s="2"/>
    </row>
    <row x14ac:dyDescent="0.25" r="374" customHeight="1" ht="17.25">
      <c r="A374" s="7">
        <v>45976</v>
      </c>
      <c r="B374" s="9" t="s">
        <v>141</v>
      </c>
      <c r="C374" s="6">
        <v>50</v>
      </c>
      <c r="D374" s="4"/>
      <c r="E374" s="6">
        <f>E373+C374-D374</f>
      </c>
      <c r="F374" s="2"/>
    </row>
    <row x14ac:dyDescent="0.25" r="375" customHeight="1" ht="17.25">
      <c r="A375" s="8">
        <v>45979</v>
      </c>
      <c r="B375" s="9" t="s">
        <v>54</v>
      </c>
      <c r="C375" s="3"/>
      <c r="D375" s="6">
        <v>200</v>
      </c>
      <c r="E375" s="6">
        <f>E374+C375-D375</f>
      </c>
      <c r="F375" s="2"/>
    </row>
    <row x14ac:dyDescent="0.25" r="376" customHeight="1" ht="17.25">
      <c r="A376" s="8">
        <v>45981</v>
      </c>
      <c r="B376" s="9" t="s">
        <v>141</v>
      </c>
      <c r="C376" s="6">
        <v>2</v>
      </c>
      <c r="D376" s="4"/>
      <c r="E376" s="6">
        <f>E375+C376-D376</f>
      </c>
      <c r="F376" s="2"/>
    </row>
    <row x14ac:dyDescent="0.25" r="377" customHeight="1" ht="17.25">
      <c r="A377" s="8">
        <v>45982</v>
      </c>
      <c r="B377" s="9" t="s">
        <v>495</v>
      </c>
      <c r="C377" s="6">
        <v>155</v>
      </c>
      <c r="D377" s="4"/>
      <c r="E377" s="6">
        <f>E376+C377-D377</f>
      </c>
      <c r="F377" s="2"/>
    </row>
    <row x14ac:dyDescent="0.25" r="378" customHeight="1" ht="17.25">
      <c r="A378" s="7">
        <v>45983</v>
      </c>
      <c r="B378" s="9" t="s">
        <v>34</v>
      </c>
      <c r="C378" s="6">
        <v>180</v>
      </c>
      <c r="D378" s="4"/>
      <c r="E378" s="6">
        <f>E377+C378-D378</f>
      </c>
      <c r="F378" s="2"/>
    </row>
    <row x14ac:dyDescent="0.25" r="379" customHeight="1" ht="17.25">
      <c r="A379" s="8">
        <v>45985</v>
      </c>
      <c r="B379" s="9" t="s">
        <v>265</v>
      </c>
      <c r="C379" s="6">
        <v>26</v>
      </c>
      <c r="D379" s="4"/>
      <c r="E379" s="6">
        <f>E378+C379-D379</f>
      </c>
      <c r="F379" s="2"/>
    </row>
    <row x14ac:dyDescent="0.25" r="380" customHeight="1" ht="17.25">
      <c r="A380" s="8">
        <v>45985</v>
      </c>
      <c r="B380" s="9" t="s">
        <v>29</v>
      </c>
      <c r="C380" s="6">
        <v>128</v>
      </c>
      <c r="D380" s="4"/>
      <c r="E380" s="6">
        <f>E379+C380-D380</f>
      </c>
      <c r="F380" s="2"/>
    </row>
    <row x14ac:dyDescent="0.25" r="381" customHeight="1" ht="17.25">
      <c r="A381" s="7">
        <v>45985</v>
      </c>
      <c r="B381" s="9" t="s">
        <v>26</v>
      </c>
      <c r="C381" s="6">
        <v>100</v>
      </c>
      <c r="D381" s="4"/>
      <c r="E381" s="6">
        <f>E380+C381-D381</f>
      </c>
      <c r="F381" s="2"/>
    </row>
    <row x14ac:dyDescent="0.25" r="382" customHeight="1" ht="17.25">
      <c r="A382" s="8">
        <v>45987</v>
      </c>
      <c r="B382" s="9" t="s">
        <v>487</v>
      </c>
      <c r="C382" s="6">
        <v>7</v>
      </c>
      <c r="D382" s="4"/>
      <c r="E382" s="6">
        <f>E381+C382-D382</f>
      </c>
      <c r="F382" s="2"/>
    </row>
    <row x14ac:dyDescent="0.25" r="383" customHeight="1" ht="17.25">
      <c r="A383" s="7">
        <v>45988</v>
      </c>
      <c r="B383" s="9" t="s">
        <v>53</v>
      </c>
      <c r="C383" s="3"/>
      <c r="D383" s="6">
        <v>200</v>
      </c>
      <c r="E383" s="6">
        <f>E382+C383-D383</f>
      </c>
      <c r="F383" s="2"/>
    </row>
    <row x14ac:dyDescent="0.25" r="384" customHeight="1" ht="17.25">
      <c r="A384" s="8">
        <v>45988</v>
      </c>
      <c r="B384" s="9" t="s">
        <v>3</v>
      </c>
      <c r="C384" s="6">
        <v>4</v>
      </c>
      <c r="D384" s="4"/>
      <c r="E384" s="6">
        <f>E383+C384-D384</f>
      </c>
      <c r="F384" s="2"/>
    </row>
    <row x14ac:dyDescent="0.25" r="385" customHeight="1" ht="17.25">
      <c r="A385" s="8">
        <v>45988</v>
      </c>
      <c r="B385" s="9" t="s">
        <v>41</v>
      </c>
      <c r="C385" s="6">
        <v>4</v>
      </c>
      <c r="D385" s="4"/>
      <c r="E385" s="6">
        <f>E384+C385-D385</f>
      </c>
      <c r="F385" s="2"/>
    </row>
    <row x14ac:dyDescent="0.25" r="386" customHeight="1" ht="17.25">
      <c r="A386" s="7">
        <v>45989</v>
      </c>
      <c r="B386" s="9" t="s">
        <v>512</v>
      </c>
      <c r="C386" s="3"/>
      <c r="D386" s="6">
        <v>150</v>
      </c>
      <c r="E386" s="6">
        <f>E385+C386-D386</f>
      </c>
      <c r="F386" s="2"/>
    </row>
    <row x14ac:dyDescent="0.25" r="387" customHeight="1" ht="17.25">
      <c r="A387" s="8">
        <v>45990</v>
      </c>
      <c r="B387" s="9" t="s">
        <v>491</v>
      </c>
      <c r="C387" s="6">
        <v>300</v>
      </c>
      <c r="D387" s="4"/>
      <c r="E387" s="6">
        <f>E386+C387-D387</f>
      </c>
      <c r="F387" s="2"/>
    </row>
    <row x14ac:dyDescent="0.25" r="388" customHeight="1" ht="17.25">
      <c r="A388" s="8">
        <v>45992</v>
      </c>
      <c r="B388" s="9" t="s">
        <v>54</v>
      </c>
      <c r="C388" s="3"/>
      <c r="D388" s="6">
        <v>262</v>
      </c>
      <c r="E388" s="6">
        <f>E387+C388-D388</f>
      </c>
      <c r="F388" s="2"/>
    </row>
    <row x14ac:dyDescent="0.25" r="389" customHeight="1" ht="17.25">
      <c r="A389" s="8">
        <v>45992</v>
      </c>
      <c r="B389" s="9" t="s">
        <v>185</v>
      </c>
      <c r="C389" s="3"/>
      <c r="D389" s="6">
        <v>200</v>
      </c>
      <c r="E389" s="6">
        <f>E388+C389-D389</f>
      </c>
      <c r="F389" s="2"/>
    </row>
    <row x14ac:dyDescent="0.25" r="390" customHeight="1" ht="17.25">
      <c r="A390" s="7">
        <v>45992</v>
      </c>
      <c r="B390" s="9" t="s">
        <v>491</v>
      </c>
      <c r="C390" s="6">
        <v>100</v>
      </c>
      <c r="D390" s="4"/>
      <c r="E390" s="6">
        <f>E389+C390-D390</f>
      </c>
      <c r="F390" s="2"/>
    </row>
    <row x14ac:dyDescent="0.25" r="391" customHeight="1" ht="17.25">
      <c r="A391" s="7">
        <v>45993</v>
      </c>
      <c r="B391" s="9" t="s">
        <v>141</v>
      </c>
      <c r="C391" s="3"/>
      <c r="D391" s="6">
        <v>48</v>
      </c>
      <c r="E391" s="6">
        <f>E390+C391-D391</f>
      </c>
      <c r="F391" s="2"/>
    </row>
    <row x14ac:dyDescent="0.25" r="392" customHeight="1" ht="17.25">
      <c r="A392" s="7">
        <v>45993</v>
      </c>
      <c r="B392" s="9" t="s">
        <v>34</v>
      </c>
      <c r="C392" s="6">
        <v>100</v>
      </c>
      <c r="D392" s="4"/>
      <c r="E392" s="6">
        <f>E391+C392-D392</f>
      </c>
      <c r="F392" s="2"/>
    </row>
    <row x14ac:dyDescent="0.25" r="393" customHeight="1" ht="17.25">
      <c r="A393" s="7">
        <v>45993</v>
      </c>
      <c r="B393" s="9" t="s">
        <v>26</v>
      </c>
      <c r="C393" s="6">
        <v>401</v>
      </c>
      <c r="D393" s="4"/>
      <c r="E393" s="6">
        <f>E392+C393-D393</f>
      </c>
      <c r="F393" s="2"/>
    </row>
    <row x14ac:dyDescent="0.25" r="394" customHeight="1" ht="17.25">
      <c r="A394" s="7">
        <v>45994</v>
      </c>
      <c r="B394" s="9" t="s">
        <v>516</v>
      </c>
      <c r="C394" s="6">
        <v>300</v>
      </c>
      <c r="D394" s="4"/>
      <c r="E394" s="6">
        <f>E393+C394-D394</f>
      </c>
      <c r="F394" s="2"/>
    </row>
    <row x14ac:dyDescent="0.25" r="395" customHeight="1" ht="17.25">
      <c r="A395" s="8">
        <v>45994</v>
      </c>
      <c r="B395" s="9" t="s">
        <v>34</v>
      </c>
      <c r="C395" s="6">
        <v>181</v>
      </c>
      <c r="D395" s="4"/>
      <c r="E395" s="6">
        <f>E394+C395-D395</f>
      </c>
      <c r="F395" s="2"/>
    </row>
    <row x14ac:dyDescent="0.25" r="396" customHeight="1" ht="17.25">
      <c r="A396" s="7">
        <v>45995</v>
      </c>
      <c r="B396" s="9" t="s">
        <v>34</v>
      </c>
      <c r="C396" s="6">
        <v>121</v>
      </c>
      <c r="D396" s="4"/>
      <c r="E396" s="6">
        <f>E395+C396-D396</f>
      </c>
      <c r="F396" s="2"/>
    </row>
    <row x14ac:dyDescent="0.25" r="397" customHeight="1" ht="17.25">
      <c r="A397" s="8">
        <v>45999</v>
      </c>
      <c r="B397" s="9" t="s">
        <v>517</v>
      </c>
      <c r="C397" s="6">
        <v>73</v>
      </c>
      <c r="D397" s="4"/>
      <c r="E397" s="6">
        <f>E396+C397-D397</f>
      </c>
      <c r="F397" s="2"/>
    </row>
    <row x14ac:dyDescent="0.25" r="398" customHeight="1" ht="17.25">
      <c r="A398" s="7">
        <v>45999</v>
      </c>
      <c r="B398" s="9" t="s">
        <v>106</v>
      </c>
      <c r="C398" s="6">
        <v>106</v>
      </c>
      <c r="D398" s="4"/>
      <c r="E398" s="6">
        <f>E397+C398-D398</f>
      </c>
      <c r="F398" s="2"/>
    </row>
    <row x14ac:dyDescent="0.25" r="399" customHeight="1" ht="17.25">
      <c r="A399" s="7">
        <v>46000</v>
      </c>
      <c r="B399" s="9" t="s">
        <v>369</v>
      </c>
      <c r="C399" s="6">
        <v>52</v>
      </c>
      <c r="D399" s="4"/>
      <c r="E399" s="6">
        <f>E398+C399-D399</f>
      </c>
      <c r="F399" s="2"/>
    </row>
    <row x14ac:dyDescent="0.25" r="400" customHeight="1" ht="17.25">
      <c r="A400" s="7">
        <v>46001</v>
      </c>
      <c r="B400" s="9" t="s">
        <v>56</v>
      </c>
      <c r="C400" s="3"/>
      <c r="D400" s="6">
        <v>300</v>
      </c>
      <c r="E400" s="4"/>
      <c r="F400" s="2"/>
    </row>
    <row x14ac:dyDescent="0.25" r="401" customHeight="1" ht="17.25">
      <c r="A401" s="7">
        <v>46002</v>
      </c>
      <c r="B401" s="9" t="s">
        <v>54</v>
      </c>
      <c r="C401" s="3"/>
      <c r="D401" s="6">
        <v>75</v>
      </c>
      <c r="E401" s="4"/>
      <c r="F401" s="2"/>
    </row>
    <row x14ac:dyDescent="0.25" r="402" customHeight="1" ht="17.25">
      <c r="A402" s="7">
        <v>46002</v>
      </c>
      <c r="B402" s="9" t="s">
        <v>51</v>
      </c>
      <c r="C402" s="3"/>
      <c r="D402" s="6">
        <v>100</v>
      </c>
      <c r="E402" s="4"/>
      <c r="F402" s="2"/>
    </row>
    <row x14ac:dyDescent="0.25" r="403" customHeight="1" ht="17.25">
      <c r="A403" s="7">
        <v>46002</v>
      </c>
      <c r="B403" s="9" t="s">
        <v>512</v>
      </c>
      <c r="C403" s="3"/>
      <c r="D403" s="6">
        <v>100</v>
      </c>
      <c r="E403" s="4"/>
      <c r="F403" s="2"/>
    </row>
    <row x14ac:dyDescent="0.25" r="404" customHeight="1" ht="17.25">
      <c r="A404" s="8">
        <v>46002</v>
      </c>
      <c r="B404" s="9" t="s">
        <v>4</v>
      </c>
      <c r="C404" s="6">
        <v>167</v>
      </c>
      <c r="D404" s="4"/>
      <c r="E404" s="4"/>
      <c r="F404" s="2"/>
    </row>
    <row x14ac:dyDescent="0.25" r="405" customHeight="1" ht="17.25">
      <c r="A405" s="7">
        <v>46006</v>
      </c>
      <c r="B405" s="9" t="s">
        <v>53</v>
      </c>
      <c r="C405" s="3"/>
      <c r="D405" s="6">
        <v>100</v>
      </c>
      <c r="E405" s="4"/>
      <c r="F405" s="2"/>
    </row>
    <row x14ac:dyDescent="0.25" r="406" customHeight="1" ht="17.25">
      <c r="A406" s="8">
        <v>46007</v>
      </c>
      <c r="B406" s="9" t="s">
        <v>512</v>
      </c>
      <c r="C406" s="3"/>
      <c r="D406" s="6">
        <v>100</v>
      </c>
      <c r="E406" s="4"/>
      <c r="F406" s="2"/>
    </row>
    <row x14ac:dyDescent="0.25" r="407" customHeight="1" ht="17.25">
      <c r="A407" s="7">
        <v>46007</v>
      </c>
      <c r="B407" s="9" t="s">
        <v>26</v>
      </c>
      <c r="C407" s="6">
        <v>57</v>
      </c>
      <c r="D407" s="4"/>
      <c r="E407" s="4"/>
      <c r="F407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9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5.005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480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14">
        <v>7</v>
      </c>
    </row>
    <row x14ac:dyDescent="0.25" r="4" customHeight="1" ht="17.25">
      <c r="A4" s="8">
        <v>45660</v>
      </c>
      <c r="B4" s="9" t="s">
        <v>410</v>
      </c>
      <c r="C4" s="6">
        <v>1</v>
      </c>
      <c r="D4" s="4"/>
      <c r="E4" s="6">
        <f>E3+C4-D4</f>
      </c>
    </row>
    <row x14ac:dyDescent="0.25" r="5" customHeight="1" ht="17.25">
      <c r="A5" s="8">
        <v>45664</v>
      </c>
      <c r="B5" s="9" t="s">
        <v>376</v>
      </c>
      <c r="C5" s="6">
        <v>1</v>
      </c>
      <c r="D5" s="4"/>
      <c r="E5" s="6">
        <f>E4+C5-D5</f>
      </c>
    </row>
    <row x14ac:dyDescent="0.25" r="6" customHeight="1" ht="17.25">
      <c r="A6" s="7">
        <v>45670</v>
      </c>
      <c r="B6" s="2" t="s">
        <v>375</v>
      </c>
      <c r="C6" s="6">
        <v>1</v>
      </c>
      <c r="D6" s="4"/>
      <c r="E6" s="6">
        <f>E5+C6-D6</f>
      </c>
    </row>
    <row x14ac:dyDescent="0.25" r="7" customHeight="1" ht="17.25">
      <c r="A7" s="8">
        <v>45672</v>
      </c>
      <c r="B7" s="9" t="s">
        <v>412</v>
      </c>
      <c r="C7" s="6">
        <v>6</v>
      </c>
      <c r="D7" s="4"/>
      <c r="E7" s="6">
        <f>E6+C7-D7</f>
      </c>
    </row>
    <row x14ac:dyDescent="0.25" r="8" customHeight="1" ht="17.25">
      <c r="A8" s="8">
        <v>45689</v>
      </c>
      <c r="B8" s="9" t="s">
        <v>39</v>
      </c>
      <c r="C8" s="6">
        <v>5</v>
      </c>
      <c r="D8" s="4"/>
      <c r="E8" s="6">
        <f>E7+C8-D8</f>
      </c>
    </row>
    <row x14ac:dyDescent="0.25" r="9" customHeight="1" ht="17.25">
      <c r="A9" s="8">
        <v>45698</v>
      </c>
      <c r="B9" s="9" t="s">
        <v>269</v>
      </c>
      <c r="C9" s="6">
        <v>57</v>
      </c>
      <c r="D9" s="4"/>
      <c r="E9" s="6">
        <f>E8+C9-D9</f>
      </c>
    </row>
    <row x14ac:dyDescent="0.25" r="10" customHeight="1" ht="17.25">
      <c r="A10" s="7">
        <v>45699</v>
      </c>
      <c r="B10" s="9" t="s">
        <v>381</v>
      </c>
      <c r="C10" s="3"/>
      <c r="D10" s="6">
        <v>1</v>
      </c>
      <c r="E10" s="6">
        <f>E9+C10-D10</f>
      </c>
    </row>
    <row x14ac:dyDescent="0.25" r="11" customHeight="1" ht="17.25">
      <c r="A11" s="8">
        <v>45700</v>
      </c>
      <c r="B11" s="9" t="s">
        <v>412</v>
      </c>
      <c r="C11" s="6">
        <v>3</v>
      </c>
      <c r="D11" s="4"/>
      <c r="E11" s="6">
        <f>E10+C11-D11</f>
      </c>
    </row>
    <row x14ac:dyDescent="0.25" r="12" customHeight="1" ht="17.25">
      <c r="A12" s="8">
        <v>45701</v>
      </c>
      <c r="B12" s="9" t="s">
        <v>11</v>
      </c>
      <c r="C12" s="6">
        <v>1</v>
      </c>
      <c r="D12" s="4"/>
      <c r="E12" s="6">
        <f>E11+C12-D12</f>
      </c>
    </row>
    <row x14ac:dyDescent="0.25" r="13" customHeight="1" ht="17.25">
      <c r="A13" s="8">
        <v>45705</v>
      </c>
      <c r="B13" s="9" t="s">
        <v>131</v>
      </c>
      <c r="C13" s="6">
        <v>10</v>
      </c>
      <c r="D13" s="4"/>
      <c r="E13" s="6">
        <f>E12+C13-D13</f>
      </c>
    </row>
    <row x14ac:dyDescent="0.25" r="14" customHeight="1" ht="17.25">
      <c r="A14" s="8">
        <v>45709</v>
      </c>
      <c r="B14" s="9" t="s">
        <v>39</v>
      </c>
      <c r="C14" s="6">
        <v>1</v>
      </c>
      <c r="D14" s="4"/>
      <c r="E14" s="6">
        <f>E13+C14-D14</f>
      </c>
    </row>
    <row x14ac:dyDescent="0.25" r="15" customHeight="1" ht="17.25">
      <c r="A15" s="8">
        <v>45709</v>
      </c>
      <c r="B15" s="9" t="s">
        <v>131</v>
      </c>
      <c r="C15" s="6">
        <v>6</v>
      </c>
      <c r="D15" s="4"/>
      <c r="E15" s="6">
        <f>E14+C15-D15</f>
      </c>
    </row>
    <row x14ac:dyDescent="0.25" r="16" customHeight="1" ht="17.25">
      <c r="A16" s="8">
        <v>45712</v>
      </c>
      <c r="B16" s="9" t="s">
        <v>257</v>
      </c>
      <c r="C16" s="6">
        <v>12</v>
      </c>
      <c r="D16" s="4"/>
      <c r="E16" s="6">
        <f>E15+C16-D16</f>
      </c>
    </row>
    <row x14ac:dyDescent="0.25" r="17" customHeight="1" ht="17.25">
      <c r="A17" s="7">
        <v>45713</v>
      </c>
      <c r="B17" s="9" t="s">
        <v>131</v>
      </c>
      <c r="C17" s="6">
        <v>11</v>
      </c>
      <c r="D17" s="4"/>
      <c r="E17" s="6">
        <f>E16+C17-D17</f>
      </c>
    </row>
    <row x14ac:dyDescent="0.25" r="18" customHeight="1" ht="17.25">
      <c r="A18" s="7">
        <v>45721</v>
      </c>
      <c r="B18" s="9" t="s">
        <v>375</v>
      </c>
      <c r="C18" s="3"/>
      <c r="D18" s="6">
        <v>1</v>
      </c>
      <c r="E18" s="6">
        <f>E17+C18-D18</f>
      </c>
    </row>
    <row x14ac:dyDescent="0.25" r="19" customHeight="1" ht="17.25">
      <c r="A19" s="8">
        <v>45721</v>
      </c>
      <c r="B19" s="9" t="s">
        <v>39</v>
      </c>
      <c r="C19" s="6">
        <v>3</v>
      </c>
      <c r="D19" s="4"/>
      <c r="E19" s="6">
        <f>E18+C19-D19</f>
      </c>
    </row>
    <row x14ac:dyDescent="0.25" r="20" customHeight="1" ht="17.25">
      <c r="A20" s="7">
        <v>45723</v>
      </c>
      <c r="B20" s="9" t="s">
        <v>269</v>
      </c>
      <c r="C20" s="3"/>
      <c r="D20" s="6">
        <v>87</v>
      </c>
      <c r="E20" s="6">
        <f>E19+C20-D20</f>
      </c>
    </row>
    <row x14ac:dyDescent="0.25" r="21" customHeight="1" ht="17.25">
      <c r="A21" s="8">
        <v>45726</v>
      </c>
      <c r="B21" s="9" t="s">
        <v>11</v>
      </c>
      <c r="C21" s="3"/>
      <c r="D21" s="6">
        <v>1</v>
      </c>
      <c r="E21" s="6">
        <f>E20+C21-D21</f>
      </c>
    </row>
    <row x14ac:dyDescent="0.25" r="22" customHeight="1" ht="17.25">
      <c r="A22" s="8">
        <v>45737</v>
      </c>
      <c r="B22" s="9" t="s">
        <v>257</v>
      </c>
      <c r="C22" s="6">
        <v>11</v>
      </c>
      <c r="D22" s="4"/>
      <c r="E22" s="6">
        <f>E21+C22-D22</f>
      </c>
    </row>
    <row x14ac:dyDescent="0.25" r="23" customHeight="1" ht="17.25">
      <c r="A23" s="8">
        <v>45738</v>
      </c>
      <c r="B23" s="9" t="s">
        <v>257</v>
      </c>
      <c r="C23" s="6">
        <v>1</v>
      </c>
      <c r="D23" s="4"/>
      <c r="E23" s="6">
        <f>E22+C23-D23</f>
      </c>
    </row>
    <row x14ac:dyDescent="0.25" r="24" customHeight="1" ht="17.25">
      <c r="A24" s="8">
        <v>45741</v>
      </c>
      <c r="B24" s="9" t="s">
        <v>257</v>
      </c>
      <c r="C24" s="6">
        <v>1</v>
      </c>
      <c r="D24" s="4"/>
      <c r="E24" s="6">
        <f>E23+C24-D24</f>
      </c>
    </row>
    <row x14ac:dyDescent="0.25" r="25" customHeight="1" ht="17.25">
      <c r="A25" s="8">
        <v>45850</v>
      </c>
      <c r="B25" s="9" t="s">
        <v>238</v>
      </c>
      <c r="C25" s="6">
        <v>3</v>
      </c>
      <c r="D25" s="4"/>
      <c r="E25" s="6">
        <f>E24+C25-D25</f>
      </c>
    </row>
    <row x14ac:dyDescent="0.25" r="26" customHeight="1" ht="17.25">
      <c r="A26" s="7">
        <v>45874</v>
      </c>
      <c r="B26" s="9" t="s">
        <v>208</v>
      </c>
      <c r="C26" s="6">
        <v>2</v>
      </c>
      <c r="D26" s="4"/>
      <c r="E26" s="6">
        <f>E25+C26-D26</f>
      </c>
    </row>
    <row x14ac:dyDescent="0.25" r="27" customHeight="1" ht="17.25">
      <c r="A27" s="8">
        <v>45881</v>
      </c>
      <c r="B27" s="9" t="s">
        <v>208</v>
      </c>
      <c r="C27" s="6">
        <v>1</v>
      </c>
      <c r="D27" s="4"/>
      <c r="E27" s="6">
        <f>E26+C27-D27</f>
      </c>
    </row>
    <row x14ac:dyDescent="0.25" r="28" customHeight="1" ht="17.25">
      <c r="A28" s="8">
        <v>45904</v>
      </c>
      <c r="B28" s="9" t="s">
        <v>454</v>
      </c>
      <c r="C28" s="3"/>
      <c r="D28" s="6">
        <v>4</v>
      </c>
      <c r="E28" s="6">
        <f>E27+C28-D28</f>
      </c>
    </row>
    <row x14ac:dyDescent="0.25" r="29" customHeight="1" ht="17.25">
      <c r="A29" s="7">
        <v>45916</v>
      </c>
      <c r="B29" s="9" t="s">
        <v>208</v>
      </c>
      <c r="C29" s="6">
        <v>1</v>
      </c>
      <c r="D29" s="4"/>
      <c r="E29" s="4"/>
    </row>
    <row x14ac:dyDescent="0.25" r="30" customHeight="1" ht="17.25">
      <c r="A30" s="7">
        <v>45919</v>
      </c>
      <c r="B30" s="9" t="s">
        <v>376</v>
      </c>
      <c r="C30" s="3"/>
      <c r="D30" s="6">
        <v>1</v>
      </c>
      <c r="E30" s="4"/>
    </row>
    <row x14ac:dyDescent="0.25" r="31" customHeight="1" ht="17.25">
      <c r="A31" s="7">
        <v>45937</v>
      </c>
      <c r="B31" s="9" t="s">
        <v>312</v>
      </c>
      <c r="C31" s="3"/>
      <c r="D31" s="6">
        <v>4</v>
      </c>
      <c r="E31" s="4"/>
    </row>
    <row x14ac:dyDescent="0.25" r="32" customHeight="1" ht="17.25">
      <c r="A32" s="8">
        <v>45958</v>
      </c>
      <c r="B32" s="9" t="s">
        <v>317</v>
      </c>
      <c r="C32" s="6">
        <v>4</v>
      </c>
      <c r="D32" s="4"/>
      <c r="E32" s="4"/>
    </row>
    <row x14ac:dyDescent="0.25" r="33" customHeight="1" ht="17.25">
      <c r="A33" s="8">
        <v>45964</v>
      </c>
      <c r="B33" s="9" t="s">
        <v>320</v>
      </c>
      <c r="C33" s="3"/>
      <c r="D33" s="6">
        <v>10</v>
      </c>
      <c r="E33" s="4"/>
    </row>
    <row x14ac:dyDescent="0.25" r="34" customHeight="1" ht="17.25">
      <c r="A34" s="7">
        <v>45967</v>
      </c>
      <c r="B34" s="9" t="s">
        <v>400</v>
      </c>
      <c r="C34" s="3"/>
      <c r="D34" s="6">
        <v>70</v>
      </c>
      <c r="E34" s="4"/>
    </row>
    <row x14ac:dyDescent="0.25" r="35" customHeight="1" ht="17.25">
      <c r="A35" s="8">
        <v>45974</v>
      </c>
      <c r="B35" s="9" t="s">
        <v>29</v>
      </c>
      <c r="C35" s="6">
        <v>2</v>
      </c>
      <c r="D35" s="4"/>
      <c r="E35" s="4"/>
    </row>
    <row x14ac:dyDescent="0.25" r="36" customHeight="1" ht="17.25">
      <c r="A36" s="8">
        <v>45978</v>
      </c>
      <c r="B36" s="9" t="s">
        <v>320</v>
      </c>
      <c r="C36" s="6">
        <v>10</v>
      </c>
      <c r="D36" s="4"/>
      <c r="E36" s="4"/>
    </row>
    <row x14ac:dyDescent="0.25" r="37" customHeight="1" ht="17.25">
      <c r="A37" s="8">
        <v>45979</v>
      </c>
      <c r="B37" s="9" t="s">
        <v>182</v>
      </c>
      <c r="C37" s="6">
        <v>1</v>
      </c>
      <c r="D37" s="4"/>
      <c r="E37" s="4"/>
    </row>
    <row x14ac:dyDescent="0.25" r="38" customHeight="1" ht="17.25">
      <c r="A38" s="7">
        <v>45985</v>
      </c>
      <c r="B38" s="9" t="s">
        <v>182</v>
      </c>
      <c r="C38" s="3"/>
      <c r="D38" s="6">
        <v>1</v>
      </c>
      <c r="E38" s="4"/>
    </row>
    <row x14ac:dyDescent="0.25" r="39" customHeight="1" ht="17.25">
      <c r="A39" s="8">
        <v>45985</v>
      </c>
      <c r="B39" s="9" t="s">
        <v>29</v>
      </c>
      <c r="C39" s="6">
        <v>1</v>
      </c>
      <c r="D39" s="4"/>
      <c r="E39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2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6.005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478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14">
        <v>148</v>
      </c>
    </row>
    <row x14ac:dyDescent="0.25" r="4" customHeight="1" ht="17.25">
      <c r="A4" s="8">
        <v>45663</v>
      </c>
      <c r="B4" s="9" t="s">
        <v>269</v>
      </c>
      <c r="C4" s="4"/>
      <c r="D4" s="6">
        <v>2</v>
      </c>
      <c r="E4" s="6">
        <v>146</v>
      </c>
    </row>
    <row x14ac:dyDescent="0.25" r="5" customHeight="1" ht="17.25">
      <c r="A5" s="8">
        <v>45689</v>
      </c>
      <c r="B5" s="9" t="s">
        <v>39</v>
      </c>
      <c r="C5" s="6">
        <v>17</v>
      </c>
      <c r="D5" s="4"/>
      <c r="E5" s="6">
        <f>E4+C5-D5</f>
      </c>
    </row>
    <row x14ac:dyDescent="0.25" r="6" customHeight="1" ht="17.25">
      <c r="A6" s="8">
        <v>45695</v>
      </c>
      <c r="B6" s="9" t="s">
        <v>479</v>
      </c>
      <c r="C6" s="4"/>
      <c r="D6" s="4"/>
      <c r="E6" s="6">
        <f>E5+C6-D6</f>
      </c>
    </row>
    <row x14ac:dyDescent="0.25" r="7" customHeight="1" ht="17.25">
      <c r="A7" s="8">
        <v>45698</v>
      </c>
      <c r="B7" s="9" t="s">
        <v>269</v>
      </c>
      <c r="C7" s="6">
        <v>13</v>
      </c>
      <c r="D7" s="4"/>
      <c r="E7" s="6">
        <f>E6+C7-D7</f>
      </c>
    </row>
    <row x14ac:dyDescent="0.25" r="8" customHeight="1" ht="17.25">
      <c r="A8" s="8">
        <v>45712</v>
      </c>
      <c r="B8" s="9" t="s">
        <v>413</v>
      </c>
      <c r="C8" s="6">
        <v>1</v>
      </c>
      <c r="D8" s="4"/>
      <c r="E8" s="6">
        <f>E7+C8-D8</f>
      </c>
    </row>
    <row x14ac:dyDescent="0.25" r="9" customHeight="1" ht="17.25">
      <c r="A9" s="8">
        <v>45712</v>
      </c>
      <c r="B9" s="9" t="s">
        <v>257</v>
      </c>
      <c r="C9" s="6">
        <v>1</v>
      </c>
      <c r="D9" s="4"/>
      <c r="E9" s="6">
        <f>E8+C9-D9</f>
      </c>
    </row>
    <row x14ac:dyDescent="0.25" r="10" customHeight="1" ht="17.25">
      <c r="A10" s="7">
        <v>45723</v>
      </c>
      <c r="B10" s="9" t="s">
        <v>269</v>
      </c>
      <c r="C10" s="4"/>
      <c r="D10" s="6">
        <v>13</v>
      </c>
      <c r="E10" s="6">
        <f>E9+C10-D10</f>
      </c>
    </row>
    <row x14ac:dyDescent="0.25" r="11" customHeight="1" ht="17.25">
      <c r="A11" s="7">
        <v>45727</v>
      </c>
      <c r="B11" s="9" t="s">
        <v>39</v>
      </c>
      <c r="C11" s="6">
        <v>1</v>
      </c>
      <c r="D11" s="4"/>
      <c r="E11" s="6">
        <f>E10+C11-D11</f>
      </c>
    </row>
    <row x14ac:dyDescent="0.25" r="12" customHeight="1" ht="17.25">
      <c r="A12" s="7">
        <v>45741</v>
      </c>
      <c r="B12" s="9" t="s">
        <v>257</v>
      </c>
      <c r="C12" s="4"/>
      <c r="D12" s="6">
        <v>1</v>
      </c>
      <c r="E12" s="6">
        <f>E11+C12-D12</f>
      </c>
    </row>
    <row x14ac:dyDescent="0.25" r="13" customHeight="1" ht="17.25">
      <c r="A13" s="7">
        <v>45874</v>
      </c>
      <c r="B13" s="9" t="s">
        <v>208</v>
      </c>
      <c r="C13" s="6">
        <v>1</v>
      </c>
      <c r="D13" s="4"/>
      <c r="E13" s="6">
        <f>E12+C13-D13</f>
      </c>
    </row>
    <row x14ac:dyDescent="0.25" r="14" customHeight="1" ht="17.25">
      <c r="A14" s="7">
        <v>45899</v>
      </c>
      <c r="B14" s="9" t="s">
        <v>333</v>
      </c>
      <c r="C14" s="6">
        <v>1</v>
      </c>
      <c r="D14" s="4"/>
      <c r="E14" s="6">
        <f>E13+C14-D14</f>
      </c>
    </row>
    <row x14ac:dyDescent="0.25" r="15" customHeight="1" ht="17.25">
      <c r="A15" s="7">
        <v>45932</v>
      </c>
      <c r="B15" s="9" t="s">
        <v>4</v>
      </c>
      <c r="C15" s="6">
        <v>2</v>
      </c>
      <c r="D15" s="4"/>
      <c r="E15" s="6">
        <f>E14+C15-D15</f>
      </c>
    </row>
    <row x14ac:dyDescent="0.25" r="16" customHeight="1" ht="17.25">
      <c r="A16" s="8">
        <v>45968</v>
      </c>
      <c r="B16" s="9" t="s">
        <v>51</v>
      </c>
      <c r="C16" s="4"/>
      <c r="D16" s="6">
        <v>51</v>
      </c>
      <c r="E16" s="6">
        <f>E15+C16-D16</f>
      </c>
    </row>
    <row x14ac:dyDescent="0.25" r="17" customHeight="1" ht="17.25">
      <c r="A17" s="7">
        <v>45969</v>
      </c>
      <c r="B17" s="9" t="s">
        <v>51</v>
      </c>
      <c r="C17" s="4"/>
      <c r="D17" s="6">
        <v>110</v>
      </c>
      <c r="E17" s="6">
        <f>E16+C17-D17</f>
      </c>
    </row>
    <row x14ac:dyDescent="0.25" r="18" customHeight="1" ht="17.25">
      <c r="A18" s="7">
        <v>45969</v>
      </c>
      <c r="B18" s="9" t="s">
        <v>51</v>
      </c>
      <c r="C18" s="6">
        <v>5</v>
      </c>
      <c r="D18" s="4"/>
      <c r="E18" s="6">
        <f>E17+C18-D18</f>
      </c>
    </row>
    <row x14ac:dyDescent="0.25" r="19" customHeight="1" ht="17.25">
      <c r="A19" s="8">
        <v>45974</v>
      </c>
      <c r="B19" s="9" t="s">
        <v>29</v>
      </c>
      <c r="C19" s="6">
        <v>4</v>
      </c>
      <c r="D19" s="4"/>
      <c r="E19" s="6">
        <f>E18+C19-D19</f>
      </c>
    </row>
    <row x14ac:dyDescent="0.25" r="20" customHeight="1" ht="17.25">
      <c r="A20" s="8">
        <v>45985</v>
      </c>
      <c r="B20" s="9" t="s">
        <v>29</v>
      </c>
      <c r="C20" s="6">
        <v>1</v>
      </c>
      <c r="D20" s="4"/>
      <c r="E20" s="6">
        <f>E19+C20-D20</f>
      </c>
    </row>
    <row x14ac:dyDescent="0.25" r="21" customHeight="1" ht="17.25">
      <c r="A21" s="1"/>
      <c r="B21" s="2"/>
      <c r="C21" s="4"/>
      <c r="D21" s="4"/>
      <c r="E21" s="6">
        <f>E20+C21-D21</f>
      </c>
    </row>
    <row x14ac:dyDescent="0.25" r="22" customHeight="1" ht="17.25">
      <c r="A22" s="1"/>
      <c r="B22" s="2"/>
      <c r="C22" s="4"/>
      <c r="D22" s="4"/>
      <c r="E22" s="6">
        <f>E21+C22-D22</f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862142857142857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477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14">
        <v>1717</v>
      </c>
    </row>
    <row x14ac:dyDescent="0.25" r="4" customHeight="1" ht="17.25">
      <c r="A4" s="8">
        <v>45660</v>
      </c>
      <c r="B4" s="9" t="s">
        <v>11</v>
      </c>
      <c r="C4" s="6">
        <v>32</v>
      </c>
      <c r="D4" s="4"/>
      <c r="E4" s="6">
        <f>E3+C4-D4</f>
      </c>
    </row>
    <row x14ac:dyDescent="0.25" r="5" customHeight="1" ht="17.25">
      <c r="A5" s="8">
        <v>45664</v>
      </c>
      <c r="B5" s="9" t="s">
        <v>31</v>
      </c>
      <c r="C5" s="6">
        <v>6</v>
      </c>
      <c r="D5" s="4"/>
      <c r="E5" s="6">
        <f>E4+C5-D5</f>
      </c>
    </row>
    <row x14ac:dyDescent="0.25" r="6" customHeight="1" ht="17.25">
      <c r="A6" s="7">
        <v>45666</v>
      </c>
      <c r="B6" s="2" t="s">
        <v>177</v>
      </c>
      <c r="C6" s="6">
        <v>15</v>
      </c>
      <c r="D6" s="4"/>
      <c r="E6" s="6">
        <f>E5+C6-D6</f>
      </c>
    </row>
    <row x14ac:dyDescent="0.25" r="7" customHeight="1" ht="17.25">
      <c r="A7" s="7">
        <v>45666</v>
      </c>
      <c r="B7" s="2" t="s">
        <v>171</v>
      </c>
      <c r="C7" s="6">
        <v>1</v>
      </c>
      <c r="D7" s="4"/>
      <c r="E7" s="6">
        <f>E6+C7-D7</f>
      </c>
    </row>
    <row x14ac:dyDescent="0.25" r="8" customHeight="1" ht="17.25">
      <c r="A8" s="7">
        <v>45666</v>
      </c>
      <c r="B8" s="2" t="s">
        <v>171</v>
      </c>
      <c r="C8" s="6">
        <v>143</v>
      </c>
      <c r="D8" s="4"/>
      <c r="E8" s="6">
        <f>E7+C8-D8</f>
      </c>
    </row>
    <row x14ac:dyDescent="0.25" r="9" customHeight="1" ht="17.25">
      <c r="A9" s="8">
        <v>45670</v>
      </c>
      <c r="B9" s="9" t="s">
        <v>31</v>
      </c>
      <c r="C9" s="6">
        <v>6</v>
      </c>
      <c r="D9" s="4"/>
      <c r="E9" s="6">
        <f>E8+C9-D9</f>
      </c>
    </row>
    <row x14ac:dyDescent="0.25" r="10" customHeight="1" ht="17.25">
      <c r="A10" s="8">
        <v>45681</v>
      </c>
      <c r="B10" s="9" t="s">
        <v>189</v>
      </c>
      <c r="C10" s="6">
        <v>1</v>
      </c>
      <c r="D10" s="4"/>
      <c r="E10" s="6">
        <f>E9+C10-D10</f>
      </c>
    </row>
    <row x14ac:dyDescent="0.25" r="11" customHeight="1" ht="17.25">
      <c r="A11" s="7">
        <v>45706</v>
      </c>
      <c r="B11" s="2" t="s">
        <v>31</v>
      </c>
      <c r="C11" s="6">
        <v>4</v>
      </c>
      <c r="D11" s="4"/>
      <c r="E11" s="6">
        <f>E10+C11-D11</f>
      </c>
    </row>
    <row x14ac:dyDescent="0.25" r="12" customHeight="1" ht="17.25">
      <c r="A12" s="7">
        <v>45710</v>
      </c>
      <c r="B12" s="2" t="s">
        <v>11</v>
      </c>
      <c r="C12" s="6">
        <v>28</v>
      </c>
      <c r="D12" s="4"/>
      <c r="E12" s="6">
        <f>E11+C12-D12</f>
      </c>
    </row>
    <row x14ac:dyDescent="0.25" r="13" customHeight="1" ht="17.25">
      <c r="A13" s="8">
        <v>45726</v>
      </c>
      <c r="B13" s="9" t="s">
        <v>31</v>
      </c>
      <c r="C13" s="3"/>
      <c r="D13" s="6">
        <v>4</v>
      </c>
      <c r="E13" s="6">
        <f>E12+C13-D13</f>
      </c>
    </row>
    <row x14ac:dyDescent="0.25" r="14" customHeight="1" ht="17.25">
      <c r="A14" s="7">
        <v>45730</v>
      </c>
      <c r="B14" s="9" t="s">
        <v>11</v>
      </c>
      <c r="C14" s="6">
        <v>8</v>
      </c>
      <c r="D14" s="4"/>
      <c r="E14" s="6">
        <f>E13+C14-D14</f>
      </c>
    </row>
    <row x14ac:dyDescent="0.25" r="15" customHeight="1" ht="17.25">
      <c r="A15" s="8">
        <v>45733</v>
      </c>
      <c r="B15" s="9" t="s">
        <v>11</v>
      </c>
      <c r="C15" s="6">
        <v>5</v>
      </c>
      <c r="D15" s="4"/>
      <c r="E15" s="6">
        <f>E14+C15-D15</f>
      </c>
    </row>
    <row x14ac:dyDescent="0.25" r="16" customHeight="1" ht="17.25">
      <c r="A16" s="8">
        <v>45733</v>
      </c>
      <c r="B16" s="9" t="s">
        <v>11</v>
      </c>
      <c r="C16" s="6">
        <v>4</v>
      </c>
      <c r="D16" s="4"/>
      <c r="E16" s="6">
        <f>E15+C16-D16</f>
      </c>
    </row>
    <row x14ac:dyDescent="0.25" r="17" customHeight="1" ht="17.25">
      <c r="A17" s="7">
        <v>45734</v>
      </c>
      <c r="B17" s="9" t="s">
        <v>28</v>
      </c>
      <c r="C17" s="3"/>
      <c r="D17" s="6">
        <v>170</v>
      </c>
      <c r="E17" s="6">
        <f>E16+C17-D17</f>
      </c>
    </row>
    <row x14ac:dyDescent="0.25" r="18" customHeight="1" ht="17.25">
      <c r="A18" s="7">
        <v>45735</v>
      </c>
      <c r="B18" s="9" t="s">
        <v>28</v>
      </c>
      <c r="C18" s="3"/>
      <c r="D18" s="6">
        <v>130</v>
      </c>
      <c r="E18" s="6">
        <f>E17+C18-D18</f>
      </c>
    </row>
    <row x14ac:dyDescent="0.25" r="19" customHeight="1" ht="17.25">
      <c r="A19" s="8">
        <v>45735</v>
      </c>
      <c r="B19" s="9" t="s">
        <v>172</v>
      </c>
      <c r="C19" s="6">
        <v>4</v>
      </c>
      <c r="D19" s="4"/>
      <c r="E19" s="6">
        <f>E18+C19-D19</f>
      </c>
    </row>
    <row x14ac:dyDescent="0.25" r="20" customHeight="1" ht="17.25">
      <c r="A20" s="7">
        <v>45738</v>
      </c>
      <c r="B20" s="9" t="s">
        <v>11</v>
      </c>
      <c r="C20" s="6">
        <v>42</v>
      </c>
      <c r="D20" s="4"/>
      <c r="E20" s="6">
        <f>E19+C20-D20</f>
      </c>
    </row>
    <row x14ac:dyDescent="0.25" r="21" customHeight="1" ht="17.25">
      <c r="A21" s="7">
        <v>45812</v>
      </c>
      <c r="B21" s="9" t="s">
        <v>28</v>
      </c>
      <c r="C21" s="3"/>
      <c r="D21" s="6">
        <v>75</v>
      </c>
      <c r="E21" s="6">
        <f>E20+C21-D21</f>
      </c>
    </row>
    <row x14ac:dyDescent="0.25" r="22" customHeight="1" ht="17.25">
      <c r="A22" s="7">
        <v>45812</v>
      </c>
      <c r="B22" s="9" t="s">
        <v>28</v>
      </c>
      <c r="C22" s="3"/>
      <c r="D22" s="6">
        <v>75</v>
      </c>
      <c r="E22" s="6">
        <f>E21+C22-D22</f>
      </c>
    </row>
    <row x14ac:dyDescent="0.25" r="23" customHeight="1" ht="17.25">
      <c r="A23" s="7">
        <v>45824</v>
      </c>
      <c r="B23" s="9" t="s">
        <v>28</v>
      </c>
      <c r="C23" s="3"/>
      <c r="D23" s="6">
        <v>250</v>
      </c>
      <c r="E23" s="6">
        <f>E22+C23-D23</f>
      </c>
    </row>
    <row x14ac:dyDescent="0.25" r="24" customHeight="1" ht="17.25">
      <c r="A24" s="7">
        <v>45798</v>
      </c>
      <c r="B24" s="9" t="s">
        <v>28</v>
      </c>
      <c r="C24" s="3"/>
      <c r="D24" s="6">
        <v>150</v>
      </c>
      <c r="E24" s="6">
        <f>E23+C24-D24</f>
      </c>
    </row>
    <row x14ac:dyDescent="0.25" r="25" customHeight="1" ht="17.25">
      <c r="A25" s="8">
        <v>45845</v>
      </c>
      <c r="B25" s="9" t="s">
        <v>28</v>
      </c>
      <c r="C25" s="3"/>
      <c r="D25" s="6">
        <v>100</v>
      </c>
      <c r="E25" s="6">
        <f>E24+C25-D25</f>
      </c>
    </row>
    <row x14ac:dyDescent="0.25" r="26" customHeight="1" ht="17.25">
      <c r="A26" s="8">
        <v>45845</v>
      </c>
      <c r="B26" s="9" t="s">
        <v>28</v>
      </c>
      <c r="C26" s="3"/>
      <c r="D26" s="6">
        <v>100</v>
      </c>
      <c r="E26" s="6">
        <f>E25+C26-D26</f>
      </c>
    </row>
    <row x14ac:dyDescent="0.25" r="27" customHeight="1" ht="17.25">
      <c r="A27" s="8">
        <v>45856</v>
      </c>
      <c r="B27" s="9" t="s">
        <v>183</v>
      </c>
      <c r="C27" s="3"/>
      <c r="D27" s="6">
        <v>8</v>
      </c>
      <c r="E27" s="6">
        <f>E26+C27-D27</f>
      </c>
    </row>
    <row x14ac:dyDescent="0.25" r="28" customHeight="1" ht="17.25">
      <c r="A28" s="7">
        <v>45857</v>
      </c>
      <c r="B28" s="9" t="s">
        <v>46</v>
      </c>
      <c r="C28" s="3"/>
      <c r="D28" s="6">
        <v>130</v>
      </c>
      <c r="E28" s="6">
        <f>E27+C28-D28</f>
      </c>
    </row>
    <row x14ac:dyDescent="0.25" r="29" customHeight="1" ht="17.25">
      <c r="A29" s="7">
        <v>45875</v>
      </c>
      <c r="B29" s="9" t="s">
        <v>468</v>
      </c>
      <c r="C29" s="6">
        <v>111</v>
      </c>
      <c r="D29" s="4"/>
      <c r="E29" s="6">
        <f>E28+C29-D29</f>
      </c>
    </row>
    <row x14ac:dyDescent="0.25" r="30" customHeight="1" ht="17.25">
      <c r="A30" s="8">
        <v>45877</v>
      </c>
      <c r="B30" s="9" t="s">
        <v>28</v>
      </c>
      <c r="C30" s="6">
        <v>11</v>
      </c>
      <c r="D30" s="4"/>
      <c r="E30" s="6">
        <f>E29+C30-D30</f>
      </c>
    </row>
    <row x14ac:dyDescent="0.25" r="31" customHeight="1" ht="17.25">
      <c r="A31" s="7">
        <v>45879</v>
      </c>
      <c r="B31" s="9" t="s">
        <v>26</v>
      </c>
      <c r="C31" s="3"/>
      <c r="D31" s="6">
        <v>20</v>
      </c>
      <c r="E31" s="6">
        <f>E30+C31-D31</f>
      </c>
    </row>
    <row x14ac:dyDescent="0.25" r="32" customHeight="1" ht="17.25">
      <c r="A32" s="7">
        <v>45880</v>
      </c>
      <c r="B32" s="9" t="s">
        <v>26</v>
      </c>
      <c r="C32" s="3"/>
      <c r="D32" s="6">
        <v>200</v>
      </c>
      <c r="E32" s="6">
        <f>E31+C32-D32</f>
      </c>
    </row>
    <row x14ac:dyDescent="0.25" r="33" customHeight="1" ht="17.25">
      <c r="A33" s="7">
        <v>45880</v>
      </c>
      <c r="B33" s="9" t="s">
        <v>28</v>
      </c>
      <c r="C33" s="6">
        <v>27</v>
      </c>
      <c r="D33" s="4"/>
      <c r="E33" s="6">
        <f>E32+C33-D33</f>
      </c>
    </row>
    <row x14ac:dyDescent="0.25" r="34" customHeight="1" ht="17.25">
      <c r="A34" s="8">
        <v>45881</v>
      </c>
      <c r="B34" s="9" t="s">
        <v>28</v>
      </c>
      <c r="C34" s="6">
        <v>14</v>
      </c>
      <c r="D34" s="4"/>
      <c r="E34" s="6">
        <f>E33+C34-D34</f>
      </c>
    </row>
    <row x14ac:dyDescent="0.25" r="35" customHeight="1" ht="17.25">
      <c r="A35" s="7">
        <v>45882</v>
      </c>
      <c r="B35" s="9" t="s">
        <v>179</v>
      </c>
      <c r="C35" s="6">
        <v>3</v>
      </c>
      <c r="D35" s="4"/>
      <c r="E35" s="6">
        <f>E34+C35-D35</f>
      </c>
    </row>
    <row x14ac:dyDescent="0.25" r="36" customHeight="1" ht="17.25">
      <c r="A36" s="7">
        <v>45882</v>
      </c>
      <c r="B36" s="9" t="s">
        <v>26</v>
      </c>
      <c r="C36" s="3"/>
      <c r="D36" s="6">
        <v>70</v>
      </c>
      <c r="E36" s="6">
        <f>E35+C36-D36</f>
      </c>
    </row>
    <row x14ac:dyDescent="0.25" r="37" customHeight="1" ht="17.25">
      <c r="A37" s="7">
        <v>45883</v>
      </c>
      <c r="B37" s="9" t="s">
        <v>26</v>
      </c>
      <c r="C37" s="3"/>
      <c r="D37" s="6">
        <v>70</v>
      </c>
      <c r="E37" s="6">
        <f>E36+C37-D37</f>
      </c>
    </row>
    <row x14ac:dyDescent="0.25" r="38" customHeight="1" ht="17.25">
      <c r="A38" s="7">
        <v>45883</v>
      </c>
      <c r="B38" s="9" t="s">
        <v>28</v>
      </c>
      <c r="C38" s="6">
        <v>69</v>
      </c>
      <c r="D38" s="4"/>
      <c r="E38" s="6">
        <f>E37+C38-D38</f>
      </c>
    </row>
    <row x14ac:dyDescent="0.25" r="39" customHeight="1" ht="17.25">
      <c r="A39" s="7">
        <v>45885</v>
      </c>
      <c r="B39" s="9" t="s">
        <v>28</v>
      </c>
      <c r="C39" s="6">
        <v>29</v>
      </c>
      <c r="D39" s="4"/>
      <c r="E39" s="6">
        <f>E38+C39-D39</f>
      </c>
    </row>
    <row x14ac:dyDescent="0.25" r="40" customHeight="1" ht="17.25">
      <c r="A40" s="8">
        <v>45885</v>
      </c>
      <c r="B40" s="9" t="s">
        <v>28</v>
      </c>
      <c r="C40" s="6">
        <v>62</v>
      </c>
      <c r="D40" s="4"/>
      <c r="E40" s="6">
        <f>E39+C40-D40</f>
      </c>
    </row>
    <row x14ac:dyDescent="0.25" r="41" customHeight="1" ht="17.25">
      <c r="A41" s="7">
        <v>45887</v>
      </c>
      <c r="B41" s="9" t="s">
        <v>26</v>
      </c>
      <c r="C41" s="3"/>
      <c r="D41" s="6">
        <v>155</v>
      </c>
      <c r="E41" s="6">
        <f>E40+C41-D41</f>
      </c>
    </row>
    <row x14ac:dyDescent="0.25" r="42" customHeight="1" ht="17.25">
      <c r="A42" s="7">
        <v>45889</v>
      </c>
      <c r="B42" s="9" t="s">
        <v>26</v>
      </c>
      <c r="C42" s="3"/>
      <c r="D42" s="6">
        <v>170</v>
      </c>
      <c r="E42" s="6">
        <f>E41+C42-D42</f>
      </c>
    </row>
    <row x14ac:dyDescent="0.25" r="43" customHeight="1" ht="17.25">
      <c r="A43" s="7">
        <v>45891</v>
      </c>
      <c r="B43" s="9" t="s">
        <v>26</v>
      </c>
      <c r="C43" s="3"/>
      <c r="D43" s="6">
        <v>239</v>
      </c>
      <c r="E43" s="6">
        <f>E42+C43-D43</f>
      </c>
    </row>
    <row x14ac:dyDescent="0.25" r="44" customHeight="1" ht="17.25">
      <c r="A44" s="7">
        <v>45891</v>
      </c>
      <c r="B44" s="9" t="s">
        <v>28</v>
      </c>
      <c r="C44" s="6">
        <v>40</v>
      </c>
      <c r="D44" s="4"/>
      <c r="E44" s="6">
        <f>E43+C44-D44</f>
      </c>
    </row>
    <row x14ac:dyDescent="0.25" r="45" customHeight="1" ht="17.25">
      <c r="A45" s="8">
        <v>45891</v>
      </c>
      <c r="B45" s="9" t="s">
        <v>28</v>
      </c>
      <c r="C45" s="6">
        <v>105</v>
      </c>
      <c r="D45" s="4"/>
      <c r="E45" s="6">
        <f>E44+C45-D45</f>
      </c>
    </row>
    <row x14ac:dyDescent="0.25" r="46" customHeight="1" ht="17.25">
      <c r="A46" s="7">
        <v>45892</v>
      </c>
      <c r="B46" s="9" t="s">
        <v>26</v>
      </c>
      <c r="C46" s="3"/>
      <c r="D46" s="6">
        <v>100</v>
      </c>
      <c r="E46" s="6">
        <f>E45+C46-D46</f>
      </c>
    </row>
    <row x14ac:dyDescent="0.25" r="47" customHeight="1" ht="17.25">
      <c r="A47" s="7">
        <v>45895</v>
      </c>
      <c r="B47" s="9" t="s">
        <v>28</v>
      </c>
      <c r="C47" s="6">
        <v>90</v>
      </c>
      <c r="D47" s="4"/>
      <c r="E47" s="6">
        <f>E46+C47-D47</f>
      </c>
    </row>
    <row x14ac:dyDescent="0.25" r="48" customHeight="1" ht="17.25">
      <c r="A48" s="8">
        <v>45897</v>
      </c>
      <c r="B48" s="9" t="s">
        <v>28</v>
      </c>
      <c r="C48" s="6">
        <v>17</v>
      </c>
      <c r="D48" s="4"/>
      <c r="E48" s="6">
        <f>E47+C48-D48</f>
      </c>
    </row>
    <row x14ac:dyDescent="0.25" r="49" customHeight="1" ht="17.25">
      <c r="A49" s="8">
        <v>45899</v>
      </c>
      <c r="B49" s="9" t="s">
        <v>28</v>
      </c>
      <c r="C49" s="6">
        <v>21</v>
      </c>
      <c r="D49" s="4"/>
      <c r="E49" s="6">
        <f>E48+C49-D49</f>
      </c>
    </row>
    <row x14ac:dyDescent="0.25" r="50" customHeight="1" ht="17.25">
      <c r="A50" s="1"/>
      <c r="B50" s="9" t="s">
        <v>28</v>
      </c>
      <c r="C50" s="6">
        <v>7</v>
      </c>
      <c r="D50" s="4"/>
      <c r="E50" s="6">
        <f>E49+C50-D50</f>
      </c>
    </row>
    <row x14ac:dyDescent="0.25" r="51" customHeight="1" ht="17.25">
      <c r="A51" s="8">
        <v>45903</v>
      </c>
      <c r="B51" s="9" t="s">
        <v>28</v>
      </c>
      <c r="C51" s="6">
        <v>6</v>
      </c>
      <c r="D51" s="4"/>
      <c r="E51" s="6">
        <f>E50+C51-D51</f>
      </c>
    </row>
    <row x14ac:dyDescent="0.25" r="52" customHeight="1" ht="17.25">
      <c r="A52" s="7">
        <v>45906</v>
      </c>
      <c r="B52" s="9" t="s">
        <v>28</v>
      </c>
      <c r="C52" s="6">
        <v>3</v>
      </c>
      <c r="D52" s="4"/>
      <c r="E52" s="6">
        <f>E51+C52-D52</f>
      </c>
    </row>
    <row x14ac:dyDescent="0.25" r="53" customHeight="1" ht="17.25">
      <c r="A53" s="7">
        <v>45906</v>
      </c>
      <c r="B53" s="9" t="s">
        <v>172</v>
      </c>
      <c r="C53" s="6">
        <v>1</v>
      </c>
      <c r="D53" s="4"/>
      <c r="E53" s="6">
        <f>E52+C53-D53</f>
      </c>
    </row>
    <row x14ac:dyDescent="0.25" r="54" customHeight="1" ht="17.25">
      <c r="A54" s="8">
        <v>45909</v>
      </c>
      <c r="B54" s="9" t="s">
        <v>28</v>
      </c>
      <c r="C54" s="6">
        <v>2</v>
      </c>
      <c r="D54" s="4"/>
      <c r="E54" s="6">
        <f>E53+C54-D54</f>
      </c>
    </row>
    <row x14ac:dyDescent="0.25" r="55" customHeight="1" ht="17.25">
      <c r="A55" s="7">
        <v>45910</v>
      </c>
      <c r="B55" s="9" t="s">
        <v>46</v>
      </c>
      <c r="C55" s="6">
        <v>5</v>
      </c>
      <c r="D55" s="4"/>
      <c r="E55" s="6">
        <f>E54+C55-D55</f>
      </c>
    </row>
    <row x14ac:dyDescent="0.25" r="56" customHeight="1" ht="17.25">
      <c r="A56" s="8">
        <v>45912</v>
      </c>
      <c r="B56" s="9" t="s">
        <v>183</v>
      </c>
      <c r="C56" s="3"/>
      <c r="D56" s="6">
        <v>8</v>
      </c>
      <c r="E56" s="6">
        <f>E55+C56-D56</f>
      </c>
    </row>
    <row x14ac:dyDescent="0.25" r="57" customHeight="1" ht="17.25">
      <c r="A57" s="7">
        <v>45912</v>
      </c>
      <c r="B57" s="9" t="s">
        <v>46</v>
      </c>
      <c r="C57" s="6">
        <v>66</v>
      </c>
      <c r="D57" s="4"/>
      <c r="E57" s="6">
        <f>E56+C57-D57</f>
      </c>
    </row>
    <row x14ac:dyDescent="0.25" r="58" customHeight="1" ht="17.25">
      <c r="A58" s="8">
        <v>45917</v>
      </c>
      <c r="B58" s="9" t="s">
        <v>28</v>
      </c>
      <c r="C58" s="6">
        <v>14</v>
      </c>
      <c r="D58" s="4"/>
      <c r="E58" s="6">
        <f>E57+C58-D58</f>
      </c>
    </row>
    <row x14ac:dyDescent="0.25" r="59" customHeight="1" ht="17.25">
      <c r="A59" s="7">
        <v>45919</v>
      </c>
      <c r="B59" s="9" t="s">
        <v>46</v>
      </c>
      <c r="C59" s="6">
        <v>6</v>
      </c>
      <c r="D59" s="4"/>
      <c r="E59" s="6">
        <f>E58+C59-D59</f>
      </c>
    </row>
    <row x14ac:dyDescent="0.25" r="60" customHeight="1" ht="17.25">
      <c r="A60" s="8">
        <v>45923</v>
      </c>
      <c r="B60" s="9" t="s">
        <v>26</v>
      </c>
      <c r="C60" s="6">
        <v>212</v>
      </c>
      <c r="D60" s="4"/>
      <c r="E60" s="6">
        <f>E59+C60-D60</f>
      </c>
    </row>
    <row x14ac:dyDescent="0.25" r="61" customHeight="1" ht="17.25">
      <c r="A61" s="7">
        <v>45933</v>
      </c>
      <c r="B61" s="9" t="s">
        <v>26</v>
      </c>
      <c r="C61" s="6">
        <v>310</v>
      </c>
      <c r="D61" s="4"/>
      <c r="E61" s="6">
        <f>E60+C61-D61</f>
      </c>
    </row>
    <row x14ac:dyDescent="0.25" r="62" customHeight="1" ht="17.25">
      <c r="A62" s="8">
        <v>45939</v>
      </c>
      <c r="B62" s="9" t="s">
        <v>26</v>
      </c>
      <c r="C62" s="6">
        <v>35</v>
      </c>
      <c r="D62" s="4"/>
      <c r="E62" s="6">
        <f>E61+C62-D62</f>
      </c>
    </row>
    <row x14ac:dyDescent="0.25" r="63" customHeight="1" ht="17.25">
      <c r="A63" s="7">
        <v>45941</v>
      </c>
      <c r="B63" s="9" t="s">
        <v>28</v>
      </c>
      <c r="C63" s="6">
        <v>3</v>
      </c>
      <c r="D63" s="4"/>
      <c r="E63" s="6">
        <f>E62+C63-D63</f>
      </c>
    </row>
    <row x14ac:dyDescent="0.25" r="64" customHeight="1" ht="17.25">
      <c r="A64" s="7">
        <v>45945</v>
      </c>
      <c r="B64" s="9" t="s">
        <v>26</v>
      </c>
      <c r="C64" s="6">
        <v>173</v>
      </c>
      <c r="D64" s="4"/>
      <c r="E64" s="6">
        <f>E63+C64-D64</f>
      </c>
    </row>
    <row x14ac:dyDescent="0.25" r="65" customHeight="1" ht="17.25">
      <c r="A65" s="7">
        <v>45951</v>
      </c>
      <c r="B65" s="9" t="s">
        <v>26</v>
      </c>
      <c r="C65" s="6">
        <v>13</v>
      </c>
      <c r="D65" s="4"/>
      <c r="E65" s="6">
        <f>E64+C65-D65</f>
      </c>
    </row>
    <row x14ac:dyDescent="0.25" r="66" customHeight="1" ht="17.25">
      <c r="A66" s="7">
        <v>45953</v>
      </c>
      <c r="B66" s="9" t="s">
        <v>26</v>
      </c>
      <c r="C66" s="6">
        <v>47</v>
      </c>
      <c r="D66" s="4"/>
      <c r="E66" s="6">
        <f>E65+C66-D66</f>
      </c>
    </row>
    <row x14ac:dyDescent="0.25" r="67" customHeight="1" ht="17.25">
      <c r="A67" s="8">
        <v>45955</v>
      </c>
      <c r="B67" s="9" t="s">
        <v>26</v>
      </c>
      <c r="C67" s="6">
        <v>14</v>
      </c>
      <c r="D67" s="4"/>
      <c r="E67" s="6">
        <f>E66+C67-D67</f>
      </c>
    </row>
    <row x14ac:dyDescent="0.25" r="68" customHeight="1" ht="17.25">
      <c r="A68" s="8">
        <v>45958</v>
      </c>
      <c r="B68" s="9" t="s">
        <v>26</v>
      </c>
      <c r="C68" s="6">
        <v>71</v>
      </c>
      <c r="D68" s="4"/>
      <c r="E68" s="6">
        <f>E67+C68-D68</f>
      </c>
    </row>
    <row x14ac:dyDescent="0.25" r="69" customHeight="1" ht="17.25">
      <c r="A69" s="8">
        <v>45958</v>
      </c>
      <c r="B69" s="9" t="s">
        <v>183</v>
      </c>
      <c r="C69" s="6">
        <v>5</v>
      </c>
      <c r="D69" s="4"/>
      <c r="E69" s="6">
        <f>E68+C69-D69</f>
      </c>
    </row>
    <row x14ac:dyDescent="0.25" r="70" customHeight="1" ht="17.25">
      <c r="A70" s="8">
        <v>45962</v>
      </c>
      <c r="B70" s="9" t="s">
        <v>26</v>
      </c>
      <c r="C70" s="6">
        <v>100</v>
      </c>
      <c r="D70" s="4"/>
      <c r="E70" s="6">
        <f>E69+C70-D70</f>
      </c>
    </row>
    <row x14ac:dyDescent="0.25" r="71" customHeight="1" ht="17.25">
      <c r="A71" s="8">
        <v>45980</v>
      </c>
      <c r="B71" s="9" t="s">
        <v>26</v>
      </c>
      <c r="C71" s="6">
        <v>35</v>
      </c>
      <c r="D71" s="4"/>
      <c r="E71" s="6">
        <f>E70+C71-D71</f>
      </c>
    </row>
    <row x14ac:dyDescent="0.25" r="72" customHeight="1" ht="17.25">
      <c r="A72" s="7">
        <v>45992</v>
      </c>
      <c r="B72" s="9" t="s">
        <v>28</v>
      </c>
      <c r="C72" s="6">
        <v>17</v>
      </c>
      <c r="D72" s="4"/>
      <c r="E72" s="4"/>
    </row>
    <row x14ac:dyDescent="0.25" r="73" customHeight="1" ht="17.25">
      <c r="A73" s="7">
        <v>45996</v>
      </c>
      <c r="B73" s="9" t="s">
        <v>55</v>
      </c>
      <c r="C73" s="3"/>
      <c r="D73" s="6">
        <v>86</v>
      </c>
      <c r="E73" s="4"/>
    </row>
    <row x14ac:dyDescent="0.25" r="74" customHeight="1" ht="17.25">
      <c r="A74" s="7">
        <v>46007</v>
      </c>
      <c r="B74" s="9" t="s">
        <v>28</v>
      </c>
      <c r="C74" s="6">
        <v>13</v>
      </c>
      <c r="D74" s="4"/>
      <c r="E74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2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5.719285714285714" customWidth="1" bestFit="1"/>
    <col min="3" max="3" style="12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475</v>
      </c>
      <c r="B1" s="2"/>
      <c r="C1" s="3"/>
      <c r="D1" s="4"/>
      <c r="E1" s="3"/>
    </row>
    <row x14ac:dyDescent="0.25" r="2" customHeight="1" ht="17.25">
      <c r="A2" s="1"/>
      <c r="B2" s="2"/>
      <c r="C2" s="3"/>
      <c r="D2" s="4"/>
      <c r="E2" s="3"/>
    </row>
    <row x14ac:dyDescent="0.25" r="3" customHeight="1" ht="17.25">
      <c r="A3" s="7">
        <v>45658</v>
      </c>
      <c r="B3" s="2" t="s">
        <v>1</v>
      </c>
      <c r="C3" s="3"/>
      <c r="D3" s="4"/>
      <c r="E3" s="6">
        <v>1996</v>
      </c>
    </row>
    <row x14ac:dyDescent="0.25" r="4" customHeight="1" ht="17.25">
      <c r="A4" s="8">
        <v>45660</v>
      </c>
      <c r="B4" s="9" t="s">
        <v>11</v>
      </c>
      <c r="C4" s="6">
        <v>36</v>
      </c>
      <c r="D4" s="4"/>
      <c r="E4" s="6">
        <f>E3+C4-D4</f>
      </c>
    </row>
    <row x14ac:dyDescent="0.25" r="5" customHeight="1" ht="17.25">
      <c r="A5" s="8">
        <v>45664</v>
      </c>
      <c r="B5" s="9" t="s">
        <v>31</v>
      </c>
      <c r="C5" s="6">
        <v>2</v>
      </c>
      <c r="D5" s="4"/>
      <c r="E5" s="6">
        <f>E4+C5-D5</f>
      </c>
    </row>
    <row x14ac:dyDescent="0.25" r="6" customHeight="1" ht="17.25">
      <c r="A6" s="8">
        <v>45695</v>
      </c>
      <c r="B6" s="9" t="s">
        <v>11</v>
      </c>
      <c r="C6" s="6">
        <v>53</v>
      </c>
      <c r="D6" s="4"/>
      <c r="E6" s="6">
        <f>E5+C6-D6</f>
      </c>
    </row>
    <row x14ac:dyDescent="0.25" r="7" customHeight="1" ht="17.25">
      <c r="A7" s="7">
        <v>45710</v>
      </c>
      <c r="B7" s="9" t="s">
        <v>11</v>
      </c>
      <c r="C7" s="6">
        <v>67</v>
      </c>
      <c r="D7" s="4"/>
      <c r="E7" s="6">
        <f>E6+C7-D7</f>
      </c>
    </row>
    <row x14ac:dyDescent="0.25" r="8" customHeight="1" ht="17.25">
      <c r="A8" s="7">
        <v>45730</v>
      </c>
      <c r="B8" s="9" t="s">
        <v>11</v>
      </c>
      <c r="C8" s="6">
        <v>2</v>
      </c>
      <c r="D8" s="4"/>
      <c r="E8" s="6">
        <f>E7+C8-D8</f>
      </c>
    </row>
    <row x14ac:dyDescent="0.25" r="9" customHeight="1" ht="17.25">
      <c r="A9" s="8">
        <v>45733</v>
      </c>
      <c r="B9" s="9" t="s">
        <v>11</v>
      </c>
      <c r="C9" s="6">
        <v>21</v>
      </c>
      <c r="D9" s="4"/>
      <c r="E9" s="6">
        <f>E8+C9-D9</f>
      </c>
    </row>
    <row x14ac:dyDescent="0.25" r="10" customHeight="1" ht="17.25">
      <c r="A10" s="8">
        <v>45733</v>
      </c>
      <c r="B10" s="9" t="s">
        <v>11</v>
      </c>
      <c r="C10" s="6">
        <v>2</v>
      </c>
      <c r="D10" s="4"/>
      <c r="E10" s="6">
        <f>E9+C10-D10</f>
      </c>
    </row>
    <row x14ac:dyDescent="0.25" r="11" customHeight="1" ht="17.25">
      <c r="A11" s="8">
        <v>45734</v>
      </c>
      <c r="B11" s="9" t="s">
        <v>28</v>
      </c>
      <c r="C11" s="3"/>
      <c r="D11" s="6">
        <v>50</v>
      </c>
      <c r="E11" s="6">
        <f>E10+C11-D11</f>
      </c>
    </row>
    <row x14ac:dyDescent="0.25" r="12" customHeight="1" ht="17.25">
      <c r="A12" s="7">
        <v>45735</v>
      </c>
      <c r="B12" s="9" t="s">
        <v>28</v>
      </c>
      <c r="C12" s="3"/>
      <c r="D12" s="6">
        <v>100</v>
      </c>
      <c r="E12" s="6">
        <f>E11+C12-D12</f>
      </c>
    </row>
    <row x14ac:dyDescent="0.25" r="13" customHeight="1" ht="17.25">
      <c r="A13" s="7">
        <v>45738</v>
      </c>
      <c r="B13" s="9" t="s">
        <v>11</v>
      </c>
      <c r="C13" s="6">
        <v>52</v>
      </c>
      <c r="D13" s="4"/>
      <c r="E13" s="6">
        <f>E12+C13-D13</f>
      </c>
    </row>
    <row x14ac:dyDescent="0.25" r="14" customHeight="1" ht="17.25">
      <c r="A14" s="7">
        <v>45793</v>
      </c>
      <c r="B14" s="9" t="s">
        <v>28</v>
      </c>
      <c r="C14" s="3"/>
      <c r="D14" s="6">
        <v>150</v>
      </c>
      <c r="E14" s="6">
        <f>E13+C14-D14</f>
      </c>
    </row>
    <row x14ac:dyDescent="0.25" r="15" customHeight="1" ht="17.25">
      <c r="A15" s="7">
        <v>45794</v>
      </c>
      <c r="B15" s="9" t="s">
        <v>28</v>
      </c>
      <c r="C15" s="3"/>
      <c r="D15" s="6">
        <v>150</v>
      </c>
      <c r="E15" s="6">
        <f>E14+C15-D15</f>
      </c>
    </row>
    <row x14ac:dyDescent="0.25" r="16" customHeight="1" ht="17.25">
      <c r="A16" s="7">
        <v>45796</v>
      </c>
      <c r="B16" s="9" t="s">
        <v>28</v>
      </c>
      <c r="C16" s="3"/>
      <c r="D16" s="6">
        <v>80</v>
      </c>
      <c r="E16" s="6">
        <f>E15+C16-D16</f>
      </c>
    </row>
    <row x14ac:dyDescent="0.25" r="17" customHeight="1" ht="17.25">
      <c r="A17" s="7">
        <v>45797</v>
      </c>
      <c r="B17" s="9" t="s">
        <v>28</v>
      </c>
      <c r="C17" s="3"/>
      <c r="D17" s="6">
        <v>50</v>
      </c>
      <c r="E17" s="6">
        <f>E16+C17-D17</f>
      </c>
    </row>
    <row x14ac:dyDescent="0.25" r="18" customHeight="1" ht="17.25">
      <c r="A18" s="7">
        <v>45799</v>
      </c>
      <c r="B18" s="9" t="s">
        <v>28</v>
      </c>
      <c r="C18" s="3"/>
      <c r="D18" s="6">
        <v>70</v>
      </c>
      <c r="E18" s="6">
        <f>E17+C18-D18</f>
      </c>
    </row>
    <row x14ac:dyDescent="0.25" r="19" customHeight="1" ht="17.25">
      <c r="A19" s="7">
        <v>45812</v>
      </c>
      <c r="B19" s="9" t="s">
        <v>28</v>
      </c>
      <c r="C19" s="3"/>
      <c r="D19" s="6">
        <v>100</v>
      </c>
      <c r="E19" s="6">
        <f>E18+C19-D19</f>
      </c>
    </row>
    <row x14ac:dyDescent="0.25" r="20" customHeight="1" ht="17.25">
      <c r="A20" s="7">
        <v>45812</v>
      </c>
      <c r="B20" s="9" t="s">
        <v>28</v>
      </c>
      <c r="C20" s="3"/>
      <c r="D20" s="6">
        <v>100</v>
      </c>
      <c r="E20" s="6">
        <f>E19+C20-D20</f>
      </c>
    </row>
    <row x14ac:dyDescent="0.25" r="21" customHeight="1" ht="17.25">
      <c r="A21" s="7">
        <v>45813</v>
      </c>
      <c r="B21" s="9" t="s">
        <v>11</v>
      </c>
      <c r="C21" s="6">
        <v>1</v>
      </c>
      <c r="D21" s="4"/>
      <c r="E21" s="6">
        <f>E20+C21-D21</f>
      </c>
    </row>
    <row x14ac:dyDescent="0.25" r="22" customHeight="1" ht="17.25">
      <c r="A22" s="7">
        <v>45824</v>
      </c>
      <c r="B22" s="9" t="s">
        <v>476</v>
      </c>
      <c r="C22" s="3"/>
      <c r="D22" s="6">
        <v>300</v>
      </c>
      <c r="E22" s="6">
        <f>E21+C22-D22</f>
      </c>
    </row>
    <row x14ac:dyDescent="0.25" r="23" customHeight="1" ht="17.25">
      <c r="A23" s="7">
        <v>45828</v>
      </c>
      <c r="B23" s="9" t="s">
        <v>28</v>
      </c>
      <c r="C23" s="3"/>
      <c r="D23" s="6">
        <v>50</v>
      </c>
      <c r="E23" s="6">
        <f>E22+C23-D23</f>
      </c>
    </row>
    <row x14ac:dyDescent="0.25" r="24" customHeight="1" ht="17.25">
      <c r="A24" s="7">
        <v>45829</v>
      </c>
      <c r="B24" s="9" t="s">
        <v>28</v>
      </c>
      <c r="C24" s="3"/>
      <c r="D24" s="6">
        <v>300</v>
      </c>
      <c r="E24" s="6">
        <f>E23+C24-D24</f>
      </c>
    </row>
    <row x14ac:dyDescent="0.25" r="25" customHeight="1" ht="17.25">
      <c r="A25" s="7">
        <v>45829</v>
      </c>
      <c r="B25" s="9" t="s">
        <v>28</v>
      </c>
      <c r="C25" s="3"/>
      <c r="D25" s="6">
        <v>400</v>
      </c>
      <c r="E25" s="6">
        <f>E24+C25-D25</f>
      </c>
    </row>
    <row x14ac:dyDescent="0.25" r="26" customHeight="1" ht="17.25">
      <c r="A26" s="7">
        <v>45833</v>
      </c>
      <c r="B26" s="9" t="s">
        <v>28</v>
      </c>
      <c r="C26" s="3"/>
      <c r="D26" s="6">
        <v>560</v>
      </c>
      <c r="E26" s="6">
        <f>E25+C26-D26</f>
      </c>
    </row>
    <row x14ac:dyDescent="0.25" r="27" customHeight="1" ht="17.25">
      <c r="A27" s="8">
        <v>45845</v>
      </c>
      <c r="B27" s="9" t="s">
        <v>28</v>
      </c>
      <c r="C27" s="3"/>
      <c r="D27" s="6">
        <v>125</v>
      </c>
      <c r="E27" s="6">
        <f>E26+C27-D27</f>
      </c>
    </row>
    <row x14ac:dyDescent="0.25" r="28" customHeight="1" ht="17.25">
      <c r="A28" s="8">
        <v>45845</v>
      </c>
      <c r="B28" s="9" t="s">
        <v>28</v>
      </c>
      <c r="C28" s="3"/>
      <c r="D28" s="6">
        <v>125</v>
      </c>
      <c r="E28" s="6">
        <f>E27+C28-D28</f>
      </c>
    </row>
    <row x14ac:dyDescent="0.25" r="29" customHeight="1" ht="17.25">
      <c r="A29" s="8">
        <v>45848</v>
      </c>
      <c r="B29" s="9" t="s">
        <v>46</v>
      </c>
      <c r="C29" s="3"/>
      <c r="D29" s="6">
        <v>60</v>
      </c>
      <c r="E29" s="6">
        <f>E28+C29-D29</f>
      </c>
    </row>
    <row x14ac:dyDescent="0.25" r="30" customHeight="1" ht="17.25">
      <c r="A30" s="7">
        <v>45855</v>
      </c>
      <c r="B30" s="9" t="s">
        <v>46</v>
      </c>
      <c r="C30" s="3"/>
      <c r="D30" s="6">
        <v>72</v>
      </c>
      <c r="E30" s="6">
        <f>E29+C30-D30</f>
      </c>
    </row>
    <row x14ac:dyDescent="0.25" r="31" customHeight="1" ht="17.25">
      <c r="A31" s="7">
        <v>45875</v>
      </c>
      <c r="B31" s="9" t="s">
        <v>468</v>
      </c>
      <c r="C31" s="6">
        <v>30</v>
      </c>
      <c r="D31" s="4"/>
      <c r="E31" s="6">
        <f>E30+C31-D31</f>
      </c>
    </row>
    <row x14ac:dyDescent="0.25" r="32" customHeight="1" ht="17.25">
      <c r="A32" s="7">
        <v>45876</v>
      </c>
      <c r="B32" s="9" t="s">
        <v>46</v>
      </c>
      <c r="C32" s="3"/>
      <c r="D32" s="6">
        <v>30</v>
      </c>
      <c r="E32" s="6">
        <v>0</v>
      </c>
    </row>
    <row x14ac:dyDescent="0.25" r="33" customHeight="1" ht="17.25">
      <c r="A33" s="8">
        <v>45877</v>
      </c>
      <c r="B33" s="9" t="s">
        <v>28</v>
      </c>
      <c r="C33" s="6">
        <v>40</v>
      </c>
      <c r="D33" s="4"/>
      <c r="E33" s="6">
        <f>E32+C33-D33</f>
      </c>
    </row>
    <row x14ac:dyDescent="0.25" r="34" customHeight="1" ht="17.25">
      <c r="A34" s="7">
        <v>45880</v>
      </c>
      <c r="B34" s="9" t="s">
        <v>26</v>
      </c>
      <c r="C34" s="3"/>
      <c r="D34" s="6">
        <v>90</v>
      </c>
      <c r="E34" s="6">
        <f>E33+C34-D34</f>
      </c>
    </row>
    <row x14ac:dyDescent="0.25" r="35" customHeight="1" ht="17.25">
      <c r="A35" s="7">
        <v>45880</v>
      </c>
      <c r="B35" s="9" t="s">
        <v>28</v>
      </c>
      <c r="C35" s="6">
        <v>55</v>
      </c>
      <c r="D35" s="4"/>
      <c r="E35" s="6">
        <f>E34+C35-D35</f>
      </c>
    </row>
    <row x14ac:dyDescent="0.25" r="36" customHeight="1" ht="17.25">
      <c r="A36" s="8">
        <v>45881</v>
      </c>
      <c r="B36" s="9" t="s">
        <v>28</v>
      </c>
      <c r="C36" s="6">
        <v>15</v>
      </c>
      <c r="D36" s="4"/>
      <c r="E36" s="6">
        <f>E35+C36-D36</f>
      </c>
    </row>
    <row x14ac:dyDescent="0.25" r="37" customHeight="1" ht="17.25">
      <c r="A37" s="7">
        <v>45883</v>
      </c>
      <c r="B37" s="9" t="s">
        <v>28</v>
      </c>
      <c r="C37" s="6">
        <v>114</v>
      </c>
      <c r="D37" s="4"/>
      <c r="E37" s="6">
        <f>E36+C37-D37</f>
      </c>
    </row>
    <row x14ac:dyDescent="0.25" r="38" customHeight="1" ht="17.25">
      <c r="A38" s="7">
        <v>45885</v>
      </c>
      <c r="B38" s="9" t="s">
        <v>28</v>
      </c>
      <c r="C38" s="6">
        <v>81</v>
      </c>
      <c r="D38" s="4"/>
      <c r="E38" s="6">
        <f>E37+C38-D38</f>
      </c>
    </row>
    <row x14ac:dyDescent="0.25" r="39" customHeight="1" ht="17.25">
      <c r="A39" s="8">
        <v>45885</v>
      </c>
      <c r="B39" s="9" t="s">
        <v>28</v>
      </c>
      <c r="C39" s="6">
        <v>32</v>
      </c>
      <c r="D39" s="4"/>
      <c r="E39" s="6">
        <f>E38+C39-D39</f>
      </c>
    </row>
    <row x14ac:dyDescent="0.25" r="40" customHeight="1" ht="17.25">
      <c r="A40" s="7">
        <v>45887</v>
      </c>
      <c r="B40" s="9" t="s">
        <v>26</v>
      </c>
      <c r="C40" s="3"/>
      <c r="D40" s="6">
        <v>100</v>
      </c>
      <c r="E40" s="6">
        <f>E39+C40-D40</f>
      </c>
    </row>
    <row x14ac:dyDescent="0.25" r="41" customHeight="1" ht="17.25">
      <c r="A41" s="7">
        <v>45891</v>
      </c>
      <c r="B41" s="9" t="s">
        <v>26</v>
      </c>
      <c r="C41" s="3"/>
      <c r="D41" s="6">
        <v>130</v>
      </c>
      <c r="E41" s="6">
        <f>E40+C41-D41</f>
      </c>
    </row>
    <row x14ac:dyDescent="0.25" r="42" customHeight="1" ht="17.25">
      <c r="A42" s="7">
        <v>45891</v>
      </c>
      <c r="B42" s="9" t="s">
        <v>28</v>
      </c>
      <c r="C42" s="6">
        <v>43</v>
      </c>
      <c r="D42" s="4"/>
      <c r="E42" s="6">
        <f>E41+C42-D42</f>
      </c>
    </row>
    <row x14ac:dyDescent="0.25" r="43" customHeight="1" ht="17.25">
      <c r="A43" s="8">
        <v>45891</v>
      </c>
      <c r="B43" s="9" t="s">
        <v>28</v>
      </c>
      <c r="C43" s="6">
        <v>102</v>
      </c>
      <c r="D43" s="4"/>
      <c r="E43" s="6">
        <f>E42+C43-D43</f>
      </c>
    </row>
    <row x14ac:dyDescent="0.25" r="44" customHeight="1" ht="17.25">
      <c r="A44" s="7">
        <v>45895</v>
      </c>
      <c r="B44" s="9" t="s">
        <v>28</v>
      </c>
      <c r="C44" s="6">
        <v>95</v>
      </c>
      <c r="D44" s="4"/>
      <c r="E44" s="6">
        <f>E43+C44-D44</f>
      </c>
    </row>
    <row x14ac:dyDescent="0.25" r="45" customHeight="1" ht="17.25">
      <c r="A45" s="7">
        <v>45895</v>
      </c>
      <c r="B45" s="9" t="s">
        <v>46</v>
      </c>
      <c r="C45" s="6">
        <v>40</v>
      </c>
      <c r="D45" s="4"/>
      <c r="E45" s="6">
        <f>E44+C45-D45</f>
      </c>
    </row>
    <row x14ac:dyDescent="0.25" r="46" customHeight="1" ht="17.25">
      <c r="A46" s="8">
        <v>45897</v>
      </c>
      <c r="B46" s="9" t="s">
        <v>28</v>
      </c>
      <c r="C46" s="6">
        <v>49</v>
      </c>
      <c r="D46" s="4"/>
      <c r="E46" s="6">
        <f>E45+C46-D46</f>
      </c>
    </row>
    <row x14ac:dyDescent="0.25" r="47" customHeight="1" ht="17.25">
      <c r="A47" s="8">
        <v>45899</v>
      </c>
      <c r="B47" s="9" t="s">
        <v>28</v>
      </c>
      <c r="C47" s="6">
        <v>48</v>
      </c>
      <c r="D47" s="4"/>
      <c r="E47" s="6">
        <f>E46+C47-D47</f>
      </c>
    </row>
    <row x14ac:dyDescent="0.25" r="48" customHeight="1" ht="17.25">
      <c r="A48" s="1"/>
      <c r="B48" s="9" t="s">
        <v>28</v>
      </c>
      <c r="C48" s="6">
        <v>58</v>
      </c>
      <c r="D48" s="4"/>
      <c r="E48" s="6">
        <f>E47+C48-D48</f>
      </c>
    </row>
    <row x14ac:dyDescent="0.25" r="49" customHeight="1" ht="17.25">
      <c r="A49" s="1"/>
      <c r="B49" s="9" t="s">
        <v>26</v>
      </c>
      <c r="C49" s="3"/>
      <c r="D49" s="6">
        <v>299</v>
      </c>
      <c r="E49" s="6">
        <f>E48+C49-D49</f>
      </c>
    </row>
    <row x14ac:dyDescent="0.25" r="50" customHeight="1" ht="17.25">
      <c r="A50" s="8">
        <v>45903</v>
      </c>
      <c r="B50" s="9" t="s">
        <v>28</v>
      </c>
      <c r="C50" s="6">
        <v>32</v>
      </c>
      <c r="D50" s="4"/>
      <c r="E50" s="6">
        <f>E49+C50-D50</f>
      </c>
    </row>
    <row x14ac:dyDescent="0.25" r="51" customHeight="1" ht="17.25">
      <c r="A51" s="8">
        <v>45904</v>
      </c>
      <c r="B51" s="9" t="s">
        <v>46</v>
      </c>
      <c r="C51" s="6">
        <v>25</v>
      </c>
      <c r="D51" s="4"/>
      <c r="E51" s="6">
        <f>E50+C51-D51</f>
      </c>
    </row>
    <row x14ac:dyDescent="0.25" r="52" customHeight="1" ht="17.25">
      <c r="A52" s="7">
        <v>45906</v>
      </c>
      <c r="B52" s="9" t="s">
        <v>28</v>
      </c>
      <c r="C52" s="6">
        <v>22</v>
      </c>
      <c r="D52" s="4"/>
      <c r="E52" s="6">
        <f>E51+C52-D52</f>
      </c>
    </row>
    <row x14ac:dyDescent="0.25" r="53" customHeight="1" ht="17.25">
      <c r="A53" s="7">
        <v>45909</v>
      </c>
      <c r="B53" s="9" t="s">
        <v>28</v>
      </c>
      <c r="C53" s="6">
        <v>28</v>
      </c>
      <c r="D53" s="4"/>
      <c r="E53" s="6">
        <f>E52+C53-D53</f>
      </c>
    </row>
    <row x14ac:dyDescent="0.25" r="54" customHeight="1" ht="17.25">
      <c r="A54" s="7">
        <v>45910</v>
      </c>
      <c r="B54" s="9" t="s">
        <v>46</v>
      </c>
      <c r="C54" s="6">
        <v>5</v>
      </c>
      <c r="D54" s="4"/>
      <c r="E54" s="6">
        <f>E53+C54-D54</f>
      </c>
    </row>
    <row x14ac:dyDescent="0.25" r="55" customHeight="1" ht="17.25">
      <c r="A55" s="7">
        <v>45911</v>
      </c>
      <c r="B55" s="9" t="s">
        <v>28</v>
      </c>
      <c r="C55" s="6">
        <v>20</v>
      </c>
      <c r="D55" s="4"/>
      <c r="E55" s="6">
        <f>E54+C55-D55</f>
      </c>
    </row>
    <row x14ac:dyDescent="0.25" r="56" customHeight="1" ht="17.25">
      <c r="A56" s="7">
        <v>45912</v>
      </c>
      <c r="B56" s="9" t="s">
        <v>46</v>
      </c>
      <c r="C56" s="6">
        <v>20</v>
      </c>
      <c r="D56" s="4"/>
      <c r="E56" s="6">
        <f>E55+C56-D56</f>
      </c>
    </row>
    <row x14ac:dyDescent="0.25" r="57" customHeight="1" ht="17.25">
      <c r="A57" s="8">
        <v>45917</v>
      </c>
      <c r="B57" s="9" t="s">
        <v>28</v>
      </c>
      <c r="C57" s="6">
        <v>51</v>
      </c>
      <c r="D57" s="4"/>
      <c r="E57" s="6">
        <f>E56+C57-D57</f>
      </c>
    </row>
    <row x14ac:dyDescent="0.25" r="58" customHeight="1" ht="17.25">
      <c r="A58" s="7">
        <v>45919</v>
      </c>
      <c r="B58" s="9" t="s">
        <v>46</v>
      </c>
      <c r="C58" s="6">
        <v>53</v>
      </c>
      <c r="D58" s="4"/>
      <c r="E58" s="6">
        <f>E57+C58-D58</f>
      </c>
    </row>
    <row x14ac:dyDescent="0.25" r="59" customHeight="1" ht="17.25">
      <c r="A59" s="7">
        <v>45922</v>
      </c>
      <c r="B59" s="9" t="s">
        <v>28</v>
      </c>
      <c r="C59" s="6">
        <v>9</v>
      </c>
      <c r="D59" s="4"/>
      <c r="E59" s="6">
        <f>E58+C59-D59</f>
      </c>
    </row>
    <row x14ac:dyDescent="0.25" r="60" customHeight="1" ht="17.25">
      <c r="A60" s="7">
        <v>45933</v>
      </c>
      <c r="B60" s="9" t="s">
        <v>26</v>
      </c>
      <c r="C60" s="6">
        <v>200</v>
      </c>
      <c r="D60" s="4"/>
      <c r="E60" s="6">
        <f>E59+C60-D60</f>
      </c>
    </row>
    <row x14ac:dyDescent="0.25" r="61" customHeight="1" ht="17.25">
      <c r="A61" s="8">
        <v>45939</v>
      </c>
      <c r="B61" s="9" t="s">
        <v>26</v>
      </c>
      <c r="C61" s="6">
        <v>38</v>
      </c>
      <c r="D61" s="4"/>
      <c r="E61" s="6">
        <f>E60+C61-D61</f>
      </c>
    </row>
    <row x14ac:dyDescent="0.25" r="62" customHeight="1" ht="17.25">
      <c r="A62" s="7">
        <v>45941</v>
      </c>
      <c r="B62" s="9" t="s">
        <v>28</v>
      </c>
      <c r="C62" s="6">
        <v>17</v>
      </c>
      <c r="D62" s="4"/>
      <c r="E62" s="6">
        <f>E61+C62-D62</f>
      </c>
    </row>
    <row x14ac:dyDescent="0.25" r="63" customHeight="1" ht="17.25">
      <c r="A63" s="8">
        <v>45941</v>
      </c>
      <c r="B63" s="9" t="s">
        <v>26</v>
      </c>
      <c r="C63" s="6">
        <v>257</v>
      </c>
      <c r="D63" s="4"/>
      <c r="E63" s="6">
        <f>E62+C63-D63</f>
      </c>
    </row>
    <row x14ac:dyDescent="0.25" r="64" customHeight="1" ht="17.25">
      <c r="A64" s="8">
        <v>45955</v>
      </c>
      <c r="B64" s="9" t="s">
        <v>26</v>
      </c>
      <c r="C64" s="6">
        <v>61</v>
      </c>
      <c r="D64" s="4"/>
      <c r="E64" s="6">
        <f>E63+C64-D64</f>
      </c>
    </row>
    <row x14ac:dyDescent="0.25" r="65" customHeight="1" ht="17.25">
      <c r="A65" s="8">
        <v>45958</v>
      </c>
      <c r="B65" s="9" t="s">
        <v>26</v>
      </c>
      <c r="C65" s="6">
        <v>71</v>
      </c>
      <c r="D65" s="4"/>
      <c r="E65" s="6">
        <f>E64+C65-D65</f>
      </c>
    </row>
    <row x14ac:dyDescent="0.25" r="66" customHeight="1" ht="17.25">
      <c r="A66" s="8">
        <v>45962</v>
      </c>
      <c r="B66" s="9" t="s">
        <v>26</v>
      </c>
      <c r="C66" s="6">
        <v>49</v>
      </c>
      <c r="D66" s="4"/>
      <c r="E66" s="6">
        <f>E65+C66-D66</f>
      </c>
    </row>
    <row x14ac:dyDescent="0.25" r="67" customHeight="1" ht="17.25">
      <c r="A67" s="8">
        <v>45980</v>
      </c>
      <c r="B67" s="9" t="s">
        <v>26</v>
      </c>
      <c r="C67" s="6">
        <v>47</v>
      </c>
      <c r="D67" s="4"/>
      <c r="E67" s="6">
        <f>E66+C67-D67</f>
      </c>
    </row>
    <row x14ac:dyDescent="0.25" r="68" customHeight="1" ht="17.25">
      <c r="A68" s="7">
        <v>45988</v>
      </c>
      <c r="B68" s="9" t="s">
        <v>179</v>
      </c>
      <c r="C68" s="6">
        <v>1</v>
      </c>
      <c r="D68" s="4"/>
      <c r="E68" s="6">
        <f>E67+C68-D68</f>
      </c>
    </row>
    <row x14ac:dyDescent="0.25" r="69" customHeight="1" ht="17.25">
      <c r="A69" s="7">
        <v>45992</v>
      </c>
      <c r="B69" s="9" t="s">
        <v>28</v>
      </c>
      <c r="C69" s="6">
        <v>53</v>
      </c>
      <c r="D69" s="4"/>
      <c r="E69" s="6">
        <f>E68+C69-D69</f>
      </c>
    </row>
    <row x14ac:dyDescent="0.25" r="70" customHeight="1" ht="17.25">
      <c r="A70" s="7">
        <v>45993</v>
      </c>
      <c r="B70" s="9" t="s">
        <v>26</v>
      </c>
      <c r="C70" s="6">
        <v>17</v>
      </c>
      <c r="D70" s="4"/>
      <c r="E70" s="6">
        <f>E69+C70-D70</f>
      </c>
    </row>
    <row x14ac:dyDescent="0.25" r="71" customHeight="1" ht="17.25">
      <c r="A71" s="8">
        <v>45996</v>
      </c>
      <c r="B71" s="9" t="s">
        <v>55</v>
      </c>
      <c r="C71" s="3"/>
      <c r="D71" s="6">
        <v>130</v>
      </c>
      <c r="E71" s="6">
        <f>E70+C71-D71</f>
      </c>
    </row>
    <row x14ac:dyDescent="0.25" r="72" customHeight="1" ht="17.25">
      <c r="A72" s="7">
        <v>46007</v>
      </c>
      <c r="B72" s="9" t="s">
        <v>28</v>
      </c>
      <c r="C72" s="6">
        <v>26</v>
      </c>
      <c r="D72" s="4"/>
      <c r="E72" s="6">
        <f>E71+C72-D72</f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576428571428572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472</v>
      </c>
      <c r="B1" s="2"/>
      <c r="C1" s="4"/>
      <c r="D1" s="4"/>
      <c r="E1" s="3"/>
      <c r="F1" s="2"/>
    </row>
    <row x14ac:dyDescent="0.25" r="2" customHeight="1" ht="17.25">
      <c r="A2" s="1"/>
      <c r="B2" s="2"/>
      <c r="C2" s="4"/>
      <c r="D2" s="4"/>
      <c r="E2" s="3"/>
      <c r="F2" s="2"/>
    </row>
    <row x14ac:dyDescent="0.25" r="3" customHeight="1" ht="17.25">
      <c r="A3" s="7">
        <v>45658</v>
      </c>
      <c r="B3" s="2" t="s">
        <v>1</v>
      </c>
      <c r="C3" s="4"/>
      <c r="D3" s="4"/>
      <c r="E3" s="6">
        <v>1577</v>
      </c>
      <c r="F3" s="2"/>
    </row>
    <row x14ac:dyDescent="0.25" r="4" customHeight="1" ht="17.25">
      <c r="A4" s="8">
        <v>45660</v>
      </c>
      <c r="B4" s="9" t="s">
        <v>11</v>
      </c>
      <c r="C4" s="6">
        <v>43</v>
      </c>
      <c r="D4" s="4"/>
      <c r="E4" s="6">
        <f>E3+C4-D4</f>
      </c>
      <c r="F4" s="2"/>
    </row>
    <row x14ac:dyDescent="0.25" r="5" customHeight="1" ht="17.25">
      <c r="A5" s="8">
        <v>45664</v>
      </c>
      <c r="B5" s="9" t="s">
        <v>31</v>
      </c>
      <c r="C5" s="6">
        <v>4</v>
      </c>
      <c r="D5" s="4"/>
      <c r="E5" s="6">
        <f>E4+C5-D5</f>
      </c>
      <c r="F5" s="2"/>
    </row>
    <row x14ac:dyDescent="0.25" r="6" customHeight="1" ht="17.25">
      <c r="A6" s="7">
        <v>45666</v>
      </c>
      <c r="B6" s="2" t="s">
        <v>177</v>
      </c>
      <c r="C6" s="6">
        <v>3</v>
      </c>
      <c r="D6" s="4"/>
      <c r="E6" s="6">
        <f>E5+C6-D6</f>
      </c>
      <c r="F6" s="2"/>
    </row>
    <row x14ac:dyDescent="0.25" r="7" customHeight="1" ht="17.25">
      <c r="A7" s="7">
        <v>45670</v>
      </c>
      <c r="B7" s="2" t="s">
        <v>31</v>
      </c>
      <c r="C7" s="6">
        <v>6</v>
      </c>
      <c r="D7" s="4"/>
      <c r="E7" s="6">
        <f>E6+C7-D7</f>
      </c>
      <c r="F7" s="2"/>
    </row>
    <row x14ac:dyDescent="0.25" r="8" customHeight="1" ht="17.25">
      <c r="A8" s="8">
        <v>45681</v>
      </c>
      <c r="B8" s="9" t="s">
        <v>189</v>
      </c>
      <c r="C8" s="6">
        <v>8</v>
      </c>
      <c r="D8" s="4"/>
      <c r="E8" s="6">
        <f>E7+C8-D8</f>
      </c>
      <c r="F8" s="2"/>
    </row>
    <row x14ac:dyDescent="0.25" r="9" customHeight="1" ht="17.25">
      <c r="A9" s="8">
        <v>45694</v>
      </c>
      <c r="B9" s="9" t="s">
        <v>189</v>
      </c>
      <c r="C9" s="6">
        <v>2</v>
      </c>
      <c r="D9" s="4"/>
      <c r="E9" s="6">
        <f>E8+C9-D9</f>
      </c>
      <c r="F9" s="2"/>
    </row>
    <row x14ac:dyDescent="0.25" r="10" customHeight="1" ht="17.25">
      <c r="A10" s="8">
        <v>45701</v>
      </c>
      <c r="B10" s="9" t="s">
        <v>11</v>
      </c>
      <c r="C10" s="6">
        <v>1</v>
      </c>
      <c r="D10" s="4"/>
      <c r="E10" s="6">
        <f>E9+C10-D10</f>
      </c>
      <c r="F10" s="2"/>
    </row>
    <row x14ac:dyDescent="0.25" r="11" customHeight="1" ht="17.25">
      <c r="A11" s="7">
        <v>45706</v>
      </c>
      <c r="B11" s="9" t="s">
        <v>31</v>
      </c>
      <c r="C11" s="6">
        <v>1</v>
      </c>
      <c r="D11" s="4"/>
      <c r="E11" s="6">
        <f>E10+C11-D11</f>
      </c>
      <c r="F11" s="2"/>
    </row>
    <row x14ac:dyDescent="0.25" r="12" customHeight="1" ht="17.25">
      <c r="A12" s="7">
        <v>45710</v>
      </c>
      <c r="B12" s="9" t="s">
        <v>11</v>
      </c>
      <c r="C12" s="6">
        <v>57</v>
      </c>
      <c r="D12" s="4"/>
      <c r="E12" s="6">
        <f>E11+C12-D12</f>
      </c>
      <c r="F12" s="2"/>
    </row>
    <row x14ac:dyDescent="0.25" r="13" customHeight="1" ht="17.25">
      <c r="A13" s="7">
        <v>45730</v>
      </c>
      <c r="B13" s="9" t="s">
        <v>11</v>
      </c>
      <c r="C13" s="6">
        <v>6</v>
      </c>
      <c r="D13" s="4"/>
      <c r="E13" s="6">
        <f>E12+C13-D13</f>
      </c>
      <c r="F13" s="2"/>
    </row>
    <row x14ac:dyDescent="0.25" r="14" customHeight="1" ht="17.25">
      <c r="A14" s="7">
        <v>45733</v>
      </c>
      <c r="B14" s="9" t="s">
        <v>11</v>
      </c>
      <c r="C14" s="6">
        <v>26</v>
      </c>
      <c r="D14" s="4"/>
      <c r="E14" s="6">
        <f>E13+C14-D14</f>
      </c>
      <c r="F14" s="2"/>
    </row>
    <row x14ac:dyDescent="0.25" r="15" customHeight="1" ht="17.25">
      <c r="A15" s="8">
        <v>45733</v>
      </c>
      <c r="B15" s="9" t="s">
        <v>11</v>
      </c>
      <c r="C15" s="6">
        <v>1</v>
      </c>
      <c r="D15" s="4"/>
      <c r="E15" s="6">
        <f>E14+C15-D15</f>
      </c>
      <c r="F15" s="2"/>
    </row>
    <row x14ac:dyDescent="0.25" r="16" customHeight="1" ht="17.25">
      <c r="A16" s="8">
        <v>45735</v>
      </c>
      <c r="B16" s="9" t="s">
        <v>172</v>
      </c>
      <c r="C16" s="6">
        <v>2</v>
      </c>
      <c r="D16" s="4"/>
      <c r="E16" s="6">
        <f>E15+C16-D16</f>
      </c>
      <c r="F16" s="2"/>
    </row>
    <row x14ac:dyDescent="0.25" r="17" customHeight="1" ht="17.25">
      <c r="A17" s="7">
        <v>45738</v>
      </c>
      <c r="B17" s="9" t="s">
        <v>11</v>
      </c>
      <c r="C17" s="6">
        <v>378</v>
      </c>
      <c r="D17" s="4"/>
      <c r="E17" s="6">
        <f>E16+C17-D17</f>
      </c>
      <c r="F17" s="2" t="s">
        <v>473</v>
      </c>
    </row>
    <row x14ac:dyDescent="0.25" r="18" customHeight="1" ht="17.25">
      <c r="A18" s="7">
        <v>45738</v>
      </c>
      <c r="B18" s="9" t="s">
        <v>11</v>
      </c>
      <c r="C18" s="6">
        <v>37</v>
      </c>
      <c r="D18" s="4"/>
      <c r="E18" s="6">
        <f>E17+C18-D18</f>
      </c>
      <c r="F18" s="2" t="s">
        <v>473</v>
      </c>
    </row>
    <row x14ac:dyDescent="0.25" r="19" customHeight="1" ht="17.25">
      <c r="A19" s="7">
        <v>45740</v>
      </c>
      <c r="B19" s="9" t="s">
        <v>11</v>
      </c>
      <c r="C19" s="6">
        <v>9</v>
      </c>
      <c r="D19" s="4"/>
      <c r="E19" s="6">
        <f>E18+C19-D19</f>
      </c>
      <c r="F19" s="2"/>
    </row>
    <row x14ac:dyDescent="0.25" r="20" customHeight="1" ht="17.25">
      <c r="A20" s="7">
        <v>45800</v>
      </c>
      <c r="B20" s="9" t="s">
        <v>206</v>
      </c>
      <c r="C20" s="4"/>
      <c r="D20" s="6">
        <v>300</v>
      </c>
      <c r="E20" s="6">
        <f>E19+C20-D20</f>
      </c>
      <c r="F20" s="2"/>
    </row>
    <row x14ac:dyDescent="0.25" r="21" customHeight="1" ht="17.25">
      <c r="A21" s="7">
        <v>45811</v>
      </c>
      <c r="B21" s="9" t="s">
        <v>206</v>
      </c>
      <c r="C21" s="4"/>
      <c r="D21" s="6">
        <v>227</v>
      </c>
      <c r="E21" s="6">
        <f>E20+C21-D21</f>
      </c>
      <c r="F21" s="2"/>
    </row>
    <row x14ac:dyDescent="0.25" r="22" customHeight="1" ht="17.25">
      <c r="A22" s="7">
        <v>45813</v>
      </c>
      <c r="B22" s="9" t="s">
        <v>474</v>
      </c>
      <c r="C22" s="4"/>
      <c r="D22" s="6">
        <v>100</v>
      </c>
      <c r="E22" s="6">
        <f>E21+C22-D22</f>
      </c>
      <c r="F22" s="2"/>
    </row>
    <row x14ac:dyDescent="0.25" r="23" customHeight="1" ht="17.25">
      <c r="A23" s="7">
        <v>45813</v>
      </c>
      <c r="B23" s="9" t="s">
        <v>11</v>
      </c>
      <c r="C23" s="6">
        <v>1</v>
      </c>
      <c r="D23" s="4"/>
      <c r="E23" s="6">
        <f>E22+C23-D23</f>
      </c>
      <c r="F23" s="2"/>
    </row>
    <row x14ac:dyDescent="0.25" r="24" customHeight="1" ht="17.25">
      <c r="A24" s="8">
        <v>45842</v>
      </c>
      <c r="B24" s="9" t="s">
        <v>179</v>
      </c>
      <c r="C24" s="4"/>
      <c r="D24" s="6">
        <v>195</v>
      </c>
      <c r="E24" s="6">
        <f>E23+C24-D24</f>
      </c>
      <c r="F24" s="2"/>
    </row>
    <row x14ac:dyDescent="0.25" r="25" customHeight="1" ht="17.25">
      <c r="A25" s="8">
        <v>45843</v>
      </c>
      <c r="B25" s="9" t="s">
        <v>46</v>
      </c>
      <c r="C25" s="4"/>
      <c r="D25" s="6">
        <v>110</v>
      </c>
      <c r="E25" s="6">
        <f>E24+C25-D25</f>
      </c>
      <c r="F25" s="2"/>
    </row>
    <row x14ac:dyDescent="0.25" r="26" customHeight="1" ht="17.25">
      <c r="A26" s="8">
        <v>45848</v>
      </c>
      <c r="B26" s="9" t="s">
        <v>46</v>
      </c>
      <c r="C26" s="4"/>
      <c r="D26" s="6">
        <v>60</v>
      </c>
      <c r="E26" s="6">
        <f>E25+C26-D26</f>
      </c>
      <c r="F26" s="2"/>
    </row>
    <row x14ac:dyDescent="0.25" r="27" customHeight="1" ht="17.25">
      <c r="A27" s="7">
        <v>45853</v>
      </c>
      <c r="B27" s="9" t="s">
        <v>46</v>
      </c>
      <c r="C27" s="4"/>
      <c r="D27" s="6">
        <v>200</v>
      </c>
      <c r="E27" s="6">
        <f>E26+C27-D27</f>
      </c>
      <c r="F27" s="2"/>
    </row>
    <row x14ac:dyDescent="0.25" r="28" customHeight="1" ht="17.25">
      <c r="A28" s="7">
        <v>45855</v>
      </c>
      <c r="B28" s="9" t="s">
        <v>46</v>
      </c>
      <c r="C28" s="4"/>
      <c r="D28" s="6">
        <v>130</v>
      </c>
      <c r="E28" s="6">
        <f>E27+C28-D28</f>
      </c>
      <c r="F28" s="2"/>
    </row>
    <row x14ac:dyDescent="0.25" r="29" customHeight="1" ht="17.25">
      <c r="A29" s="7">
        <v>45870</v>
      </c>
      <c r="B29" s="9" t="s">
        <v>180</v>
      </c>
      <c r="C29" s="4"/>
      <c r="D29" s="6">
        <v>100</v>
      </c>
      <c r="E29" s="6">
        <f>E28+C29-D29</f>
      </c>
      <c r="F29" s="2"/>
    </row>
    <row x14ac:dyDescent="0.25" r="30" customHeight="1" ht="17.25">
      <c r="A30" s="8">
        <v>45874</v>
      </c>
      <c r="B30" s="9" t="s">
        <v>180</v>
      </c>
      <c r="C30" s="4"/>
      <c r="D30" s="6">
        <v>100</v>
      </c>
      <c r="E30" s="6">
        <f>E29+C30-D30</f>
      </c>
      <c r="F30" s="2"/>
    </row>
    <row x14ac:dyDescent="0.25" r="31" customHeight="1" ht="17.25">
      <c r="A31" s="8">
        <v>45875</v>
      </c>
      <c r="B31" s="9" t="s">
        <v>468</v>
      </c>
      <c r="C31" s="6">
        <v>198</v>
      </c>
      <c r="D31" s="4"/>
      <c r="E31" s="6">
        <f>E30+C31-D31</f>
      </c>
      <c r="F31" s="2"/>
    </row>
    <row x14ac:dyDescent="0.25" r="32" customHeight="1" ht="17.25">
      <c r="A32" s="7">
        <v>45877</v>
      </c>
      <c r="B32" s="9" t="s">
        <v>26</v>
      </c>
      <c r="C32" s="4"/>
      <c r="D32" s="6">
        <v>86</v>
      </c>
      <c r="E32" s="6">
        <f>E31+C32-D32</f>
      </c>
      <c r="F32" s="2"/>
    </row>
    <row x14ac:dyDescent="0.25" r="33" customHeight="1" ht="17.25">
      <c r="A33" s="7">
        <v>45879</v>
      </c>
      <c r="B33" s="9" t="s">
        <v>26</v>
      </c>
      <c r="C33" s="4"/>
      <c r="D33" s="6">
        <v>180</v>
      </c>
      <c r="E33" s="6">
        <f>E32+C33-D33</f>
      </c>
      <c r="F33" s="2"/>
    </row>
    <row x14ac:dyDescent="0.25" r="34" customHeight="1" ht="17.25">
      <c r="A34" s="7">
        <v>45882</v>
      </c>
      <c r="B34" s="9" t="s">
        <v>179</v>
      </c>
      <c r="C34" s="6">
        <v>29</v>
      </c>
      <c r="D34" s="4"/>
      <c r="E34" s="6">
        <f>E33+C34-D34</f>
      </c>
      <c r="F34" s="2"/>
    </row>
    <row x14ac:dyDescent="0.25" r="35" customHeight="1" ht="17.25">
      <c r="A35" s="7">
        <v>45882</v>
      </c>
      <c r="B35" s="9" t="s">
        <v>26</v>
      </c>
      <c r="C35" s="4"/>
      <c r="D35" s="6">
        <v>136</v>
      </c>
      <c r="E35" s="6">
        <f>E34+C35-D35</f>
      </c>
      <c r="F35" s="2"/>
    </row>
    <row x14ac:dyDescent="0.25" r="36" customHeight="1" ht="17.25">
      <c r="A36" s="7">
        <v>45887</v>
      </c>
      <c r="B36" s="9" t="s">
        <v>26</v>
      </c>
      <c r="C36" s="4"/>
      <c r="D36" s="6">
        <v>45</v>
      </c>
      <c r="E36" s="6">
        <f>E35+C36-D36</f>
      </c>
      <c r="F36" s="2"/>
    </row>
    <row x14ac:dyDescent="0.25" r="37" customHeight="1" ht="17.25">
      <c r="A37" s="7">
        <v>45889</v>
      </c>
      <c r="B37" s="9" t="s">
        <v>26</v>
      </c>
      <c r="C37" s="4"/>
      <c r="D37" s="6">
        <v>330</v>
      </c>
      <c r="E37" s="6">
        <f>E36+C37-D37</f>
      </c>
      <c r="F37" s="2"/>
    </row>
    <row x14ac:dyDescent="0.25" r="38" customHeight="1" ht="17.25">
      <c r="A38" s="7">
        <v>45891</v>
      </c>
      <c r="B38" s="9" t="s">
        <v>26</v>
      </c>
      <c r="C38" s="4"/>
      <c r="D38" s="6">
        <v>11</v>
      </c>
      <c r="E38" s="6">
        <f>E37+C38-D38</f>
      </c>
      <c r="F38" s="2"/>
    </row>
    <row x14ac:dyDescent="0.25" r="39" customHeight="1" ht="17.25">
      <c r="A39" s="7">
        <v>45891</v>
      </c>
      <c r="B39" s="9" t="s">
        <v>179</v>
      </c>
      <c r="C39" s="6">
        <v>21</v>
      </c>
      <c r="D39" s="4"/>
      <c r="E39" s="6">
        <f>E38+C39-D39</f>
      </c>
      <c r="F39" s="2"/>
    </row>
    <row x14ac:dyDescent="0.25" r="40" customHeight="1" ht="17.25">
      <c r="A40" s="7">
        <v>45895</v>
      </c>
      <c r="B40" s="9" t="s">
        <v>46</v>
      </c>
      <c r="C40" s="6">
        <v>127</v>
      </c>
      <c r="D40" s="4"/>
      <c r="E40" s="6">
        <f>E39+C40-D40</f>
      </c>
      <c r="F40" s="2"/>
    </row>
    <row x14ac:dyDescent="0.25" r="41" customHeight="1" ht="17.25">
      <c r="A41" s="8">
        <v>45904</v>
      </c>
      <c r="B41" s="9" t="s">
        <v>46</v>
      </c>
      <c r="C41" s="6">
        <v>16</v>
      </c>
      <c r="D41" s="4"/>
      <c r="E41" s="6">
        <f>E40+C41-D41</f>
      </c>
      <c r="F41" s="2"/>
    </row>
    <row x14ac:dyDescent="0.25" r="42" customHeight="1" ht="17.25">
      <c r="A42" s="8">
        <v>45909</v>
      </c>
      <c r="B42" s="9" t="s">
        <v>28</v>
      </c>
      <c r="C42" s="4"/>
      <c r="D42" s="6">
        <v>2</v>
      </c>
      <c r="E42" s="6">
        <f>E41+C42-D42</f>
      </c>
      <c r="F42" s="2"/>
    </row>
    <row x14ac:dyDescent="0.25" r="43" customHeight="1" ht="17.25">
      <c r="A43" s="8">
        <v>45909</v>
      </c>
      <c r="B43" s="9" t="s">
        <v>179</v>
      </c>
      <c r="C43" s="6">
        <v>12</v>
      </c>
      <c r="D43" s="4"/>
      <c r="E43" s="6">
        <f>E42+C43-D43</f>
      </c>
      <c r="F43" s="2"/>
    </row>
    <row x14ac:dyDescent="0.25" r="44" customHeight="1" ht="17.25">
      <c r="A44" s="7">
        <v>45910</v>
      </c>
      <c r="B44" s="9" t="s">
        <v>46</v>
      </c>
      <c r="C44" s="6">
        <v>46</v>
      </c>
      <c r="D44" s="4"/>
      <c r="E44" s="6">
        <f>E43+C44-D44</f>
      </c>
      <c r="F44" s="2"/>
    </row>
    <row x14ac:dyDescent="0.25" r="45" customHeight="1" ht="17.25">
      <c r="A45" s="7">
        <v>45912</v>
      </c>
      <c r="B45" s="9" t="s">
        <v>46</v>
      </c>
      <c r="C45" s="6">
        <v>112</v>
      </c>
      <c r="D45" s="4"/>
      <c r="E45" s="6">
        <f>E44+C45-D45</f>
      </c>
      <c r="F45" s="2"/>
    </row>
    <row x14ac:dyDescent="0.25" r="46" customHeight="1" ht="17.25">
      <c r="A46" s="7">
        <v>45919</v>
      </c>
      <c r="B46" s="9" t="s">
        <v>46</v>
      </c>
      <c r="C46" s="6">
        <v>106</v>
      </c>
      <c r="D46" s="4"/>
      <c r="E46" s="6">
        <f>E45+C46-D46</f>
      </c>
      <c r="F46" s="2"/>
    </row>
    <row x14ac:dyDescent="0.25" r="47" customHeight="1" ht="17.25">
      <c r="A47" s="7">
        <v>45920</v>
      </c>
      <c r="B47" s="9" t="s">
        <v>46</v>
      </c>
      <c r="C47" s="6">
        <v>33</v>
      </c>
      <c r="D47" s="4"/>
      <c r="E47" s="6">
        <f>E46+C47-D47</f>
      </c>
      <c r="F47" s="2"/>
    </row>
    <row x14ac:dyDescent="0.25" r="48" customHeight="1" ht="17.25">
      <c r="A48" s="7">
        <v>45922</v>
      </c>
      <c r="B48" s="9" t="s">
        <v>179</v>
      </c>
      <c r="C48" s="6">
        <v>18</v>
      </c>
      <c r="D48" s="4"/>
      <c r="E48" s="6">
        <f>E47+C48-D48</f>
      </c>
      <c r="F48" s="2"/>
    </row>
    <row x14ac:dyDescent="0.25" r="49" customHeight="1" ht="17.25">
      <c r="A49" s="8">
        <v>45923</v>
      </c>
      <c r="B49" s="9" t="s">
        <v>26</v>
      </c>
      <c r="C49" s="6">
        <v>112</v>
      </c>
      <c r="D49" s="4"/>
      <c r="E49" s="6">
        <f>E48+C49-D49</f>
      </c>
      <c r="F49" s="2"/>
    </row>
    <row x14ac:dyDescent="0.25" r="50" customHeight="1" ht="17.25">
      <c r="A50" s="7">
        <v>45933</v>
      </c>
      <c r="B50" s="2" t="s">
        <v>26</v>
      </c>
      <c r="C50" s="6">
        <v>51</v>
      </c>
      <c r="D50" s="4"/>
      <c r="E50" s="6">
        <f>E49+C50-D50</f>
      </c>
      <c r="F50" s="2"/>
    </row>
    <row x14ac:dyDescent="0.25" r="51" customHeight="1" ht="17.25">
      <c r="A51" s="8">
        <v>45939</v>
      </c>
      <c r="B51" s="9" t="s">
        <v>26</v>
      </c>
      <c r="C51" s="6">
        <v>55</v>
      </c>
      <c r="D51" s="4"/>
      <c r="E51" s="6">
        <f>E50+C51-D51</f>
      </c>
      <c r="F51" s="2"/>
    </row>
    <row x14ac:dyDescent="0.25" r="52" customHeight="1" ht="17.25">
      <c r="A52" s="8">
        <v>45941</v>
      </c>
      <c r="B52" s="9" t="s">
        <v>26</v>
      </c>
      <c r="C52" s="6">
        <v>167</v>
      </c>
      <c r="D52" s="4"/>
      <c r="E52" s="6">
        <f>E51+C52-D52</f>
      </c>
      <c r="F52" s="2"/>
    </row>
    <row x14ac:dyDescent="0.25" r="53" customHeight="1" ht="17.25">
      <c r="A53" s="8">
        <v>45945</v>
      </c>
      <c r="B53" s="9" t="s">
        <v>26</v>
      </c>
      <c r="C53" s="6">
        <v>2</v>
      </c>
      <c r="D53" s="4"/>
      <c r="E53" s="6">
        <f>E52+C53-D53</f>
      </c>
      <c r="F53" s="2"/>
    </row>
    <row x14ac:dyDescent="0.25" r="54" customHeight="1" ht="17.25">
      <c r="A54" s="8">
        <v>45947</v>
      </c>
      <c r="B54" s="9" t="s">
        <v>179</v>
      </c>
      <c r="C54" s="6">
        <v>4</v>
      </c>
      <c r="D54" s="4"/>
      <c r="E54" s="6">
        <f>E53+C54-D54</f>
      </c>
      <c r="F54" s="2"/>
    </row>
    <row x14ac:dyDescent="0.25" r="55" customHeight="1" ht="17.25">
      <c r="A55" s="7">
        <v>45953</v>
      </c>
      <c r="B55" s="9" t="s">
        <v>26</v>
      </c>
      <c r="C55" s="6">
        <v>134</v>
      </c>
      <c r="D55" s="4"/>
      <c r="E55" s="6">
        <f>E54+C55-D55</f>
      </c>
      <c r="F55" s="2"/>
    </row>
    <row x14ac:dyDescent="0.25" r="56" customHeight="1" ht="17.25">
      <c r="A56" s="8">
        <v>45955</v>
      </c>
      <c r="B56" s="9" t="s">
        <v>26</v>
      </c>
      <c r="C56" s="6">
        <v>42</v>
      </c>
      <c r="D56" s="4"/>
      <c r="E56" s="6">
        <f>E55+C56-D56</f>
      </c>
      <c r="F56" s="2"/>
    </row>
    <row x14ac:dyDescent="0.25" r="57" customHeight="1" ht="17.25">
      <c r="A57" s="7">
        <v>45958</v>
      </c>
      <c r="B57" s="9" t="s">
        <v>26</v>
      </c>
      <c r="C57" s="6">
        <v>95</v>
      </c>
      <c r="D57" s="4"/>
      <c r="E57" s="6">
        <f>E56+C57-D57</f>
      </c>
      <c r="F57" s="2"/>
    </row>
    <row x14ac:dyDescent="0.25" r="58" customHeight="1" ht="17.25">
      <c r="A58" s="8">
        <v>45962</v>
      </c>
      <c r="B58" s="9" t="s">
        <v>26</v>
      </c>
      <c r="C58" s="6">
        <v>153</v>
      </c>
      <c r="D58" s="4"/>
      <c r="E58" s="6">
        <f>E57+C58-D58</f>
      </c>
      <c r="F58" s="2"/>
    </row>
    <row x14ac:dyDescent="0.25" r="59" customHeight="1" ht="17.25">
      <c r="A59" s="8">
        <v>45974</v>
      </c>
      <c r="B59" s="9" t="s">
        <v>46</v>
      </c>
      <c r="C59" s="4"/>
      <c r="D59" s="6">
        <v>200</v>
      </c>
      <c r="E59" s="6">
        <f>E58+C59-D59</f>
      </c>
      <c r="F59" s="2"/>
    </row>
    <row x14ac:dyDescent="0.25" r="60" customHeight="1" ht="17.25">
      <c r="A60" s="8">
        <v>45975</v>
      </c>
      <c r="B60" s="9" t="s">
        <v>206</v>
      </c>
      <c r="C60" s="6">
        <v>12</v>
      </c>
      <c r="D60" s="4"/>
      <c r="E60" s="6">
        <f>E59+C60-D60</f>
      </c>
      <c r="F60" s="2"/>
    </row>
    <row x14ac:dyDescent="0.25" r="61" customHeight="1" ht="17.25">
      <c r="A61" s="8">
        <v>45978</v>
      </c>
      <c r="B61" s="9" t="s">
        <v>179</v>
      </c>
      <c r="C61" s="6">
        <v>2</v>
      </c>
      <c r="D61" s="4"/>
      <c r="E61" s="6">
        <f>E60+C61-D61</f>
      </c>
      <c r="F61" s="2"/>
    </row>
    <row x14ac:dyDescent="0.25" r="62" customHeight="1" ht="17.25">
      <c r="A62" s="8">
        <v>45980</v>
      </c>
      <c r="B62" s="9" t="s">
        <v>26</v>
      </c>
      <c r="C62" s="6">
        <v>73</v>
      </c>
      <c r="D62" s="4"/>
      <c r="E62" s="6">
        <f>E61+C62-D62</f>
      </c>
      <c r="F62" s="2"/>
    </row>
    <row x14ac:dyDescent="0.25" r="63" customHeight="1" ht="17.25">
      <c r="A63" s="7">
        <v>45988</v>
      </c>
      <c r="B63" s="9" t="s">
        <v>179</v>
      </c>
      <c r="C63" s="6">
        <v>9</v>
      </c>
      <c r="D63" s="4"/>
      <c r="E63" s="6">
        <f>E62+C63-D63</f>
      </c>
      <c r="F63" s="2"/>
    </row>
    <row x14ac:dyDescent="0.25" r="64" customHeight="1" ht="17.25">
      <c r="A64" s="7">
        <v>45993</v>
      </c>
      <c r="B64" s="9" t="s">
        <v>179</v>
      </c>
      <c r="C64" s="6">
        <v>5</v>
      </c>
      <c r="D64" s="4"/>
      <c r="E64" s="6">
        <f>E63+C64-D64</f>
      </c>
      <c r="F64" s="2"/>
    </row>
    <row x14ac:dyDescent="0.25" r="65" customHeight="1" ht="17.25">
      <c r="A65" s="7">
        <v>45993</v>
      </c>
      <c r="B65" s="9" t="s">
        <v>26</v>
      </c>
      <c r="C65" s="6">
        <v>3</v>
      </c>
      <c r="D65" s="4"/>
      <c r="E65" s="6">
        <f>E64+C65-D65</f>
      </c>
      <c r="F65" s="2"/>
    </row>
    <row x14ac:dyDescent="0.25" r="66" customHeight="1" ht="17.25">
      <c r="A66" s="7">
        <v>46007</v>
      </c>
      <c r="B66" s="9" t="s">
        <v>46</v>
      </c>
      <c r="C66" s="4"/>
      <c r="D66" s="6">
        <v>200</v>
      </c>
      <c r="E66" s="6">
        <f>E65+C66-D66</f>
      </c>
      <c r="F66" s="2"/>
    </row>
    <row x14ac:dyDescent="0.25" r="67" customHeight="1" ht="17.25">
      <c r="A67" s="1"/>
      <c r="B67" s="2"/>
      <c r="C67" s="4"/>
      <c r="D67" s="4"/>
      <c r="E67" s="6">
        <f>E66+C67-D67</f>
      </c>
      <c r="F67" s="2"/>
    </row>
    <row x14ac:dyDescent="0.25" r="68" customHeight="1" ht="17.25">
      <c r="A68" s="1"/>
      <c r="B68" s="2"/>
      <c r="C68" s="4"/>
      <c r="D68" s="4"/>
      <c r="E68" s="6">
        <f>E67+C68-D68</f>
      </c>
      <c r="F68" s="2"/>
    </row>
    <row x14ac:dyDescent="0.25" r="69" customHeight="1" ht="17.25">
      <c r="A69" s="1"/>
      <c r="B69" s="2"/>
      <c r="C69" s="4"/>
      <c r="D69" s="4"/>
      <c r="E69" s="6">
        <f>E68+C69-D69</f>
      </c>
      <c r="F69" s="2"/>
    </row>
    <row x14ac:dyDescent="0.25" r="70" customHeight="1" ht="17.25">
      <c r="A70" s="1"/>
      <c r="B70" s="2"/>
      <c r="C70" s="4"/>
      <c r="D70" s="4"/>
      <c r="E70" s="6">
        <f>E69+C70-D70</f>
      </c>
      <c r="F70" s="2"/>
    </row>
    <row x14ac:dyDescent="0.25" r="71" customHeight="1" ht="17.25">
      <c r="A71" s="1"/>
      <c r="B71" s="2"/>
      <c r="C71" s="4"/>
      <c r="D71" s="4"/>
      <c r="E71" s="6">
        <f>E70+C71-D71</f>
      </c>
      <c r="F71" s="2"/>
    </row>
    <row x14ac:dyDescent="0.25" r="72" customHeight="1" ht="17.25">
      <c r="A72" s="1"/>
      <c r="B72" s="2"/>
      <c r="C72" s="4"/>
      <c r="D72" s="4"/>
      <c r="E72" s="6">
        <f>E71+C72-D72</f>
      </c>
      <c r="F72" s="2"/>
    </row>
    <row x14ac:dyDescent="0.25" r="73" customHeight="1" ht="17.25">
      <c r="A73" s="1"/>
      <c r="B73" s="2"/>
      <c r="C73" s="4"/>
      <c r="D73" s="4"/>
      <c r="E73" s="6">
        <f>E72+C73-D73</f>
      </c>
      <c r="F73" s="2"/>
    </row>
    <row x14ac:dyDescent="0.25" r="74" customHeight="1" ht="17.25">
      <c r="A74" s="1"/>
      <c r="B74" s="2"/>
      <c r="C74" s="4"/>
      <c r="D74" s="4"/>
      <c r="E74" s="6">
        <f>E73+C74-D74</f>
      </c>
      <c r="F74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5.862142857142857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470</v>
      </c>
      <c r="B1" s="2"/>
      <c r="C1" s="4"/>
      <c r="D1" s="4"/>
      <c r="E1" s="3"/>
      <c r="F1" s="2"/>
    </row>
    <row x14ac:dyDescent="0.25" r="2" customHeight="1" ht="17.25">
      <c r="A2" s="1"/>
      <c r="B2" s="2"/>
      <c r="C2" s="4"/>
      <c r="D2" s="4"/>
      <c r="E2" s="3"/>
      <c r="F2" s="2"/>
    </row>
    <row x14ac:dyDescent="0.25" r="3" customHeight="1" ht="17.25">
      <c r="A3" s="7">
        <v>45658</v>
      </c>
      <c r="B3" s="2" t="s">
        <v>1</v>
      </c>
      <c r="C3" s="4"/>
      <c r="D3" s="4"/>
      <c r="E3" s="6">
        <v>1507</v>
      </c>
      <c r="F3" s="2"/>
    </row>
    <row x14ac:dyDescent="0.25" r="4" customHeight="1" ht="17.25">
      <c r="A4" s="8">
        <v>45660</v>
      </c>
      <c r="B4" s="9" t="s">
        <v>11</v>
      </c>
      <c r="C4" s="6">
        <v>51</v>
      </c>
      <c r="D4" s="4"/>
      <c r="E4" s="6">
        <f>E3+C4-D4</f>
      </c>
      <c r="F4" s="2"/>
    </row>
    <row x14ac:dyDescent="0.25" r="5" customHeight="1" ht="17.25">
      <c r="A5" s="8">
        <v>45664</v>
      </c>
      <c r="B5" s="9" t="s">
        <v>31</v>
      </c>
      <c r="C5" s="6">
        <v>2</v>
      </c>
      <c r="D5" s="4"/>
      <c r="E5" s="6">
        <f>E4+C5-D5</f>
      </c>
      <c r="F5" s="2"/>
    </row>
    <row x14ac:dyDescent="0.25" r="6" customHeight="1" ht="17.25">
      <c r="A6" s="8">
        <v>45670</v>
      </c>
      <c r="B6" s="9" t="s">
        <v>31</v>
      </c>
      <c r="C6" s="6">
        <v>7</v>
      </c>
      <c r="D6" s="4"/>
      <c r="E6" s="6">
        <f>E5+C6-D6</f>
      </c>
      <c r="F6" s="2"/>
    </row>
    <row x14ac:dyDescent="0.25" r="7" customHeight="1" ht="17.25">
      <c r="A7" s="7">
        <v>45681</v>
      </c>
      <c r="B7" s="9" t="s">
        <v>191</v>
      </c>
      <c r="C7" s="4"/>
      <c r="D7" s="6">
        <v>4</v>
      </c>
      <c r="E7" s="6">
        <f>E6+C7-D7</f>
      </c>
      <c r="F7" s="2"/>
    </row>
    <row x14ac:dyDescent="0.25" r="8" customHeight="1" ht="17.25">
      <c r="A8" s="8">
        <v>45681</v>
      </c>
      <c r="B8" s="9" t="s">
        <v>189</v>
      </c>
      <c r="C8" s="6">
        <v>9</v>
      </c>
      <c r="D8" s="4"/>
      <c r="E8" s="6">
        <f>E7+C8-D8</f>
      </c>
      <c r="F8" s="2"/>
    </row>
    <row x14ac:dyDescent="0.25" r="9" customHeight="1" ht="17.25">
      <c r="A9" s="8">
        <v>45694</v>
      </c>
      <c r="B9" s="9" t="s">
        <v>189</v>
      </c>
      <c r="C9" s="6">
        <v>3</v>
      </c>
      <c r="D9" s="4"/>
      <c r="E9" s="6">
        <f>E8+C9-D9</f>
      </c>
      <c r="F9" s="2"/>
    </row>
    <row x14ac:dyDescent="0.25" r="10" customHeight="1" ht="17.25">
      <c r="A10" s="8">
        <v>45695</v>
      </c>
      <c r="B10" s="9" t="s">
        <v>11</v>
      </c>
      <c r="C10" s="6">
        <v>113</v>
      </c>
      <c r="D10" s="4"/>
      <c r="E10" s="6">
        <f>E9+C10-D10</f>
      </c>
      <c r="F10" s="2"/>
    </row>
    <row x14ac:dyDescent="0.25" r="11" customHeight="1" ht="17.25">
      <c r="A11" s="7">
        <v>45705</v>
      </c>
      <c r="B11" s="9" t="s">
        <v>384</v>
      </c>
      <c r="C11" s="4"/>
      <c r="D11" s="6">
        <v>25</v>
      </c>
      <c r="E11" s="6">
        <f>E10+C11-D11</f>
      </c>
      <c r="F11" s="2"/>
    </row>
    <row x14ac:dyDescent="0.25" r="12" customHeight="1" ht="17.25">
      <c r="A12" s="7">
        <v>45710</v>
      </c>
      <c r="B12" s="9" t="s">
        <v>11</v>
      </c>
      <c r="C12" s="6">
        <v>38</v>
      </c>
      <c r="D12" s="4"/>
      <c r="E12" s="6">
        <f>E11+C12-D12</f>
      </c>
      <c r="F12" s="2"/>
    </row>
    <row x14ac:dyDescent="0.25" r="13" customHeight="1" ht="17.25">
      <c r="A13" s="7">
        <v>45726</v>
      </c>
      <c r="B13" s="2" t="s">
        <v>11</v>
      </c>
      <c r="C13" s="4"/>
      <c r="D13" s="6">
        <v>2</v>
      </c>
      <c r="E13" s="6">
        <f>E12+C13-D13</f>
      </c>
      <c r="F13" s="2"/>
    </row>
    <row x14ac:dyDescent="0.25" r="14" customHeight="1" ht="17.25">
      <c r="A14" s="8">
        <v>45726</v>
      </c>
      <c r="B14" s="9" t="s">
        <v>31</v>
      </c>
      <c r="C14" s="4"/>
      <c r="D14" s="6">
        <v>7</v>
      </c>
      <c r="E14" s="6">
        <f>E13+C14-D14</f>
      </c>
      <c r="F14" s="2"/>
    </row>
    <row x14ac:dyDescent="0.25" r="15" customHeight="1" ht="17.25">
      <c r="A15" s="7">
        <v>6</v>
      </c>
      <c r="B15" s="9" t="s">
        <v>11</v>
      </c>
      <c r="C15" s="6">
        <v>5</v>
      </c>
      <c r="D15" s="4"/>
      <c r="E15" s="6">
        <f>E14+C15-D15</f>
      </c>
      <c r="F15" s="2"/>
    </row>
    <row x14ac:dyDescent="0.25" r="16" customHeight="1" ht="17.25">
      <c r="A16" s="8">
        <v>45733</v>
      </c>
      <c r="B16" s="9" t="s">
        <v>11</v>
      </c>
      <c r="C16" s="6">
        <v>1</v>
      </c>
      <c r="D16" s="4"/>
      <c r="E16" s="6">
        <f>E15+C16-D16</f>
      </c>
      <c r="F16" s="2"/>
    </row>
    <row x14ac:dyDescent="0.25" r="17" customHeight="1" ht="17.25">
      <c r="A17" s="8">
        <v>45735</v>
      </c>
      <c r="B17" s="9" t="s">
        <v>172</v>
      </c>
      <c r="C17" s="6">
        <v>2</v>
      </c>
      <c r="D17" s="4"/>
      <c r="E17" s="6">
        <f>E16+C17-D17</f>
      </c>
      <c r="F17" s="2" t="s">
        <v>471</v>
      </c>
    </row>
    <row x14ac:dyDescent="0.25" r="18" customHeight="1" ht="17.25">
      <c r="A18" s="8">
        <v>45736</v>
      </c>
      <c r="B18" s="9" t="s">
        <v>11</v>
      </c>
      <c r="C18" s="6">
        <v>50</v>
      </c>
      <c r="D18" s="4"/>
      <c r="E18" s="6">
        <f>E17+C18-D18</f>
      </c>
      <c r="F18" s="2" t="s">
        <v>471</v>
      </c>
    </row>
    <row x14ac:dyDescent="0.25" r="19" customHeight="1" ht="17.25">
      <c r="A19" s="8">
        <v>223</v>
      </c>
      <c r="B19" s="9" t="s">
        <v>11</v>
      </c>
      <c r="C19" s="6">
        <v>717</v>
      </c>
      <c r="D19" s="4"/>
      <c r="E19" s="6">
        <f>E18+C19-D19</f>
      </c>
      <c r="F19" s="2"/>
    </row>
    <row x14ac:dyDescent="0.25" r="20" customHeight="1" ht="17.25">
      <c r="A20" s="7">
        <v>45740</v>
      </c>
      <c r="B20" s="9" t="s">
        <v>11</v>
      </c>
      <c r="C20" s="6">
        <v>6</v>
      </c>
      <c r="D20" s="4"/>
      <c r="E20" s="6">
        <f>E19+C20-D20</f>
      </c>
      <c r="F20" s="2"/>
    </row>
    <row x14ac:dyDescent="0.25" r="21" customHeight="1" ht="17.25">
      <c r="A21" s="8">
        <v>45784</v>
      </c>
      <c r="B21" s="9" t="s">
        <v>384</v>
      </c>
      <c r="C21" s="6">
        <v>25</v>
      </c>
      <c r="D21" s="4"/>
      <c r="E21" s="6">
        <f>E20+C21-D21</f>
      </c>
      <c r="F21" s="2"/>
    </row>
    <row x14ac:dyDescent="0.25" r="22" customHeight="1" ht="17.25">
      <c r="A22" s="7">
        <v>45787</v>
      </c>
      <c r="B22" s="9" t="s">
        <v>28</v>
      </c>
      <c r="C22" s="4"/>
      <c r="D22" s="6">
        <v>500</v>
      </c>
      <c r="E22" s="6">
        <f>E21+C22-D22</f>
      </c>
      <c r="F22" s="2"/>
    </row>
    <row x14ac:dyDescent="0.25" r="23" customHeight="1" ht="17.25">
      <c r="A23" s="7">
        <v>45800</v>
      </c>
      <c r="B23" s="9" t="s">
        <v>206</v>
      </c>
      <c r="C23" s="4"/>
      <c r="D23" s="6">
        <v>300</v>
      </c>
      <c r="E23" s="6">
        <f>E22+C23-D23</f>
      </c>
      <c r="F23" s="2"/>
    </row>
    <row x14ac:dyDescent="0.25" r="24" customHeight="1" ht="17.25">
      <c r="A24" s="7">
        <v>45811</v>
      </c>
      <c r="B24" s="9" t="s">
        <v>206</v>
      </c>
      <c r="C24" s="4"/>
      <c r="D24" s="6">
        <v>300</v>
      </c>
      <c r="E24" s="6">
        <f>E23+C24-D24</f>
      </c>
      <c r="F24" s="2"/>
    </row>
    <row x14ac:dyDescent="0.25" r="25" customHeight="1" ht="17.25">
      <c r="A25" s="7">
        <v>45813</v>
      </c>
      <c r="B25" s="9" t="s">
        <v>206</v>
      </c>
      <c r="C25" s="4"/>
      <c r="D25" s="6">
        <v>652</v>
      </c>
      <c r="E25" s="6">
        <f>E24+C25-D25</f>
      </c>
      <c r="F25" s="2"/>
    </row>
    <row x14ac:dyDescent="0.25" r="26" customHeight="1" ht="17.25">
      <c r="A26" s="7">
        <v>45784</v>
      </c>
      <c r="B26" s="9" t="s">
        <v>206</v>
      </c>
      <c r="C26" s="4"/>
      <c r="D26" s="6">
        <v>300</v>
      </c>
      <c r="E26" s="6">
        <f>E25+C26-D26</f>
      </c>
      <c r="F26" s="2"/>
    </row>
    <row x14ac:dyDescent="0.25" r="27" customHeight="1" ht="17.25">
      <c r="A27" s="8">
        <v>45839</v>
      </c>
      <c r="B27" s="9" t="s">
        <v>179</v>
      </c>
      <c r="C27" s="4"/>
      <c r="D27" s="6">
        <v>115</v>
      </c>
      <c r="E27" s="6">
        <f>E26+C27-D27</f>
      </c>
      <c r="F27" s="2"/>
    </row>
    <row x14ac:dyDescent="0.25" r="28" customHeight="1" ht="17.25">
      <c r="A28" s="8">
        <v>45840</v>
      </c>
      <c r="B28" s="9" t="s">
        <v>179</v>
      </c>
      <c r="C28" s="4"/>
      <c r="D28" s="6">
        <v>115</v>
      </c>
      <c r="E28" s="6">
        <f>E27+C28-D28</f>
      </c>
      <c r="F28" s="2"/>
    </row>
    <row x14ac:dyDescent="0.25" r="29" customHeight="1" ht="17.25">
      <c r="A29" s="8">
        <v>45842</v>
      </c>
      <c r="B29" s="9" t="s">
        <v>179</v>
      </c>
      <c r="C29" s="4"/>
      <c r="D29" s="6">
        <v>115</v>
      </c>
      <c r="E29" s="6">
        <f>E28+C29-D29</f>
      </c>
      <c r="F29" s="2"/>
    </row>
    <row x14ac:dyDescent="0.25" r="30" customHeight="1" ht="17.25">
      <c r="A30" s="8">
        <v>45843</v>
      </c>
      <c r="B30" s="9" t="s">
        <v>46</v>
      </c>
      <c r="C30" s="4"/>
      <c r="D30" s="6">
        <v>110</v>
      </c>
      <c r="E30" s="6">
        <f>E29+C30-D30</f>
      </c>
      <c r="F30" s="2"/>
    </row>
    <row x14ac:dyDescent="0.25" r="31" customHeight="1" ht="17.25">
      <c r="A31" s="7">
        <v>45853</v>
      </c>
      <c r="B31" s="9" t="s">
        <v>46</v>
      </c>
      <c r="C31" s="4"/>
      <c r="D31" s="6">
        <v>50</v>
      </c>
      <c r="E31" s="6">
        <f>E30+C31-D31</f>
      </c>
      <c r="F31" s="2"/>
    </row>
    <row x14ac:dyDescent="0.25" r="32" customHeight="1" ht="17.25">
      <c r="A32" s="7">
        <v>45855</v>
      </c>
      <c r="B32" s="9" t="s">
        <v>46</v>
      </c>
      <c r="C32" s="4"/>
      <c r="D32" s="6">
        <v>33</v>
      </c>
      <c r="E32" s="6">
        <v>0</v>
      </c>
      <c r="F32" s="2"/>
    </row>
    <row x14ac:dyDescent="0.25" r="33" customHeight="1" ht="17.25">
      <c r="A33" s="8">
        <v>45875</v>
      </c>
      <c r="B33" s="9" t="s">
        <v>468</v>
      </c>
      <c r="C33" s="6">
        <v>56</v>
      </c>
      <c r="D33" s="4"/>
      <c r="E33" s="3"/>
      <c r="F33" s="2"/>
    </row>
    <row x14ac:dyDescent="0.25" r="34" customHeight="1" ht="17.25">
      <c r="A34" s="7">
        <v>45876</v>
      </c>
      <c r="B34" s="9" t="s">
        <v>46</v>
      </c>
      <c r="C34" s="4"/>
      <c r="D34" s="6">
        <v>56</v>
      </c>
      <c r="E34" s="6">
        <v>0</v>
      </c>
      <c r="F34" s="2"/>
    </row>
    <row x14ac:dyDescent="0.25" r="35" customHeight="1" ht="17.25">
      <c r="A35" s="8">
        <v>45877</v>
      </c>
      <c r="B35" s="9" t="s">
        <v>28</v>
      </c>
      <c r="C35" s="6">
        <v>5</v>
      </c>
      <c r="D35" s="4"/>
      <c r="E35" s="6">
        <v>5</v>
      </c>
      <c r="F35" s="2"/>
    </row>
    <row x14ac:dyDescent="0.25" r="36" customHeight="1" ht="17.25">
      <c r="A36" s="7">
        <v>45880</v>
      </c>
      <c r="B36" s="9" t="s">
        <v>28</v>
      </c>
      <c r="C36" s="6">
        <v>1</v>
      </c>
      <c r="D36" s="4"/>
      <c r="E36" s="6">
        <v>6</v>
      </c>
      <c r="F36" s="2"/>
    </row>
    <row x14ac:dyDescent="0.25" r="37" customHeight="1" ht="17.25">
      <c r="A37" s="8">
        <v>45881</v>
      </c>
      <c r="B37" s="9" t="s">
        <v>28</v>
      </c>
      <c r="C37" s="6">
        <v>3</v>
      </c>
      <c r="D37" s="4"/>
      <c r="E37" s="6">
        <v>9</v>
      </c>
      <c r="F37" s="2"/>
    </row>
    <row x14ac:dyDescent="0.25" r="38" customHeight="1" ht="17.25">
      <c r="A38" s="8">
        <v>45882</v>
      </c>
      <c r="B38" s="9" t="s">
        <v>179</v>
      </c>
      <c r="C38" s="6">
        <v>83</v>
      </c>
      <c r="D38" s="4"/>
      <c r="E38" s="6">
        <v>92</v>
      </c>
      <c r="F38" s="2"/>
    </row>
    <row x14ac:dyDescent="0.25" r="39" customHeight="1" ht="17.25">
      <c r="A39" s="7">
        <v>45882</v>
      </c>
      <c r="B39" s="9" t="s">
        <v>26</v>
      </c>
      <c r="C39" s="4"/>
      <c r="D39" s="6">
        <v>90</v>
      </c>
      <c r="E39" s="6">
        <v>2</v>
      </c>
      <c r="F39" s="2"/>
    </row>
    <row x14ac:dyDescent="0.25" r="40" customHeight="1" ht="17.25">
      <c r="A40" s="7">
        <v>45883</v>
      </c>
      <c r="B40" s="9" t="s">
        <v>26</v>
      </c>
      <c r="C40" s="4"/>
      <c r="D40" s="6">
        <v>110</v>
      </c>
      <c r="E40" s="3"/>
      <c r="F40" s="2"/>
    </row>
    <row x14ac:dyDescent="0.25" r="41" customHeight="1" ht="17.25">
      <c r="A41" s="7">
        <v>45883</v>
      </c>
      <c r="B41" s="9" t="s">
        <v>28</v>
      </c>
      <c r="C41" s="6">
        <v>18</v>
      </c>
      <c r="D41" s="4"/>
      <c r="E41" s="6">
        <v>0</v>
      </c>
      <c r="F41" s="2"/>
    </row>
    <row x14ac:dyDescent="0.25" r="42" customHeight="1" ht="17.25">
      <c r="A42" s="8">
        <v>45885</v>
      </c>
      <c r="B42" s="9" t="s">
        <v>28</v>
      </c>
      <c r="C42" s="6">
        <v>27</v>
      </c>
      <c r="D42" s="4"/>
      <c r="E42" s="6">
        <v>27</v>
      </c>
      <c r="F42" s="2"/>
    </row>
    <row x14ac:dyDescent="0.25" r="43" customHeight="1" ht="17.25">
      <c r="A43" s="8">
        <v>45885</v>
      </c>
      <c r="B43" s="9" t="s">
        <v>28</v>
      </c>
      <c r="C43" s="6">
        <v>19</v>
      </c>
      <c r="D43" s="4"/>
      <c r="E43" s="6">
        <f>E42+C43-D43</f>
      </c>
      <c r="F43" s="2"/>
    </row>
    <row x14ac:dyDescent="0.25" r="44" customHeight="1" ht="17.25">
      <c r="A44" s="7">
        <v>45891</v>
      </c>
      <c r="B44" s="9" t="s">
        <v>26</v>
      </c>
      <c r="C44" s="4"/>
      <c r="D44" s="6">
        <v>120</v>
      </c>
      <c r="E44" s="6">
        <f>E43+C44-D44</f>
      </c>
      <c r="F44" s="2"/>
    </row>
    <row x14ac:dyDescent="0.25" r="45" customHeight="1" ht="17.25">
      <c r="A45" s="8">
        <v>45891</v>
      </c>
      <c r="B45" s="9" t="s">
        <v>28</v>
      </c>
      <c r="C45" s="6">
        <v>3</v>
      </c>
      <c r="D45" s="4"/>
      <c r="E45" s="6">
        <f>E44+C45-D45</f>
      </c>
      <c r="F45" s="2"/>
    </row>
    <row x14ac:dyDescent="0.25" r="46" customHeight="1" ht="17.25">
      <c r="A46" s="8">
        <v>45891</v>
      </c>
      <c r="B46" s="9" t="s">
        <v>28</v>
      </c>
      <c r="C46" s="6">
        <v>14</v>
      </c>
      <c r="D46" s="4"/>
      <c r="E46" s="6">
        <f>E45+C46-D46</f>
      </c>
      <c r="F46" s="2"/>
    </row>
    <row x14ac:dyDescent="0.25" r="47" customHeight="1" ht="17.25">
      <c r="A47" s="7">
        <v>45891</v>
      </c>
      <c r="B47" s="9" t="s">
        <v>179</v>
      </c>
      <c r="C47" s="6">
        <v>16</v>
      </c>
      <c r="D47" s="4"/>
      <c r="E47" s="6">
        <f>E46+C47-D47</f>
      </c>
      <c r="F47" s="2"/>
    </row>
    <row x14ac:dyDescent="0.25" r="48" customHeight="1" ht="17.25">
      <c r="A48" s="7">
        <v>45895</v>
      </c>
      <c r="B48" s="9" t="s">
        <v>28</v>
      </c>
      <c r="C48" s="6">
        <v>25</v>
      </c>
      <c r="D48" s="4"/>
      <c r="E48" s="6">
        <f>E47+C48-D48</f>
      </c>
      <c r="F48" s="2"/>
    </row>
    <row x14ac:dyDescent="0.25" r="49" customHeight="1" ht="17.25">
      <c r="A49" s="7">
        <v>45895</v>
      </c>
      <c r="B49" s="9" t="s">
        <v>46</v>
      </c>
      <c r="C49" s="6">
        <v>59</v>
      </c>
      <c r="D49" s="4"/>
      <c r="E49" s="6">
        <f>E48+C49-D49</f>
      </c>
      <c r="F49" s="2"/>
    </row>
    <row x14ac:dyDescent="0.25" r="50" customHeight="1" ht="17.25">
      <c r="A50" s="8">
        <v>45897</v>
      </c>
      <c r="B50" s="9" t="s">
        <v>28</v>
      </c>
      <c r="C50" s="6">
        <v>10</v>
      </c>
      <c r="D50" s="4"/>
      <c r="E50" s="6">
        <f>E49+C50-D50</f>
      </c>
      <c r="F50" s="2"/>
    </row>
    <row x14ac:dyDescent="0.25" r="51" customHeight="1" ht="17.25">
      <c r="A51" s="8">
        <v>45899</v>
      </c>
      <c r="B51" s="9" t="s">
        <v>28</v>
      </c>
      <c r="C51" s="6">
        <v>16</v>
      </c>
      <c r="D51" s="4"/>
      <c r="E51" s="6">
        <f>E50+C51-D51</f>
      </c>
      <c r="F51" s="2"/>
    </row>
    <row x14ac:dyDescent="0.25" r="52" customHeight="1" ht="17.25">
      <c r="A52" s="1"/>
      <c r="B52" s="9" t="s">
        <v>28</v>
      </c>
      <c r="C52" s="6">
        <v>6</v>
      </c>
      <c r="D52" s="4"/>
      <c r="E52" s="6">
        <f>E51+C52-D52</f>
      </c>
      <c r="F52" s="2"/>
    </row>
    <row x14ac:dyDescent="0.25" r="53" customHeight="1" ht="17.25">
      <c r="A53" s="1"/>
      <c r="B53" s="9" t="s">
        <v>26</v>
      </c>
      <c r="C53" s="4"/>
      <c r="D53" s="6">
        <v>137</v>
      </c>
      <c r="E53" s="3"/>
      <c r="F53" s="2"/>
    </row>
    <row x14ac:dyDescent="0.25" r="54" customHeight="1" ht="17.25">
      <c r="A54" s="8">
        <v>45903</v>
      </c>
      <c r="B54" s="9" t="s">
        <v>28</v>
      </c>
      <c r="C54" s="6">
        <v>6</v>
      </c>
      <c r="D54" s="4"/>
      <c r="E54" s="6">
        <v>6</v>
      </c>
      <c r="F54" s="2"/>
    </row>
    <row x14ac:dyDescent="0.25" r="55" customHeight="1" ht="17.25">
      <c r="A55" s="8">
        <v>45904</v>
      </c>
      <c r="B55" s="9" t="s">
        <v>46</v>
      </c>
      <c r="C55" s="6">
        <v>34</v>
      </c>
      <c r="D55" s="4"/>
      <c r="E55" s="6">
        <f>E54+C55-D55</f>
      </c>
      <c r="F55" s="2"/>
    </row>
    <row x14ac:dyDescent="0.25" r="56" customHeight="1" ht="17.25">
      <c r="A56" s="7">
        <v>45906</v>
      </c>
      <c r="B56" s="9" t="s">
        <v>28</v>
      </c>
      <c r="C56" s="6">
        <v>4</v>
      </c>
      <c r="D56" s="4"/>
      <c r="E56" s="6">
        <f>E55+C56-D56</f>
      </c>
      <c r="F56" s="2"/>
    </row>
    <row x14ac:dyDescent="0.25" r="57" customHeight="1" ht="17.25">
      <c r="A57" s="7">
        <v>45906</v>
      </c>
      <c r="B57" s="9" t="s">
        <v>172</v>
      </c>
      <c r="C57" s="6">
        <v>1</v>
      </c>
      <c r="D57" s="4"/>
      <c r="E57" s="6">
        <f>E56+C57-D57</f>
      </c>
      <c r="F57" s="2"/>
    </row>
    <row x14ac:dyDescent="0.25" r="58" customHeight="1" ht="17.25">
      <c r="A58" s="8">
        <v>45909</v>
      </c>
      <c r="B58" s="9" t="s">
        <v>28</v>
      </c>
      <c r="C58" s="6">
        <v>1</v>
      </c>
      <c r="D58" s="4"/>
      <c r="E58" s="6">
        <f>E57+C58-D58</f>
      </c>
      <c r="F58" s="2"/>
    </row>
    <row x14ac:dyDescent="0.25" r="59" customHeight="1" ht="17.25">
      <c r="A59" s="8">
        <v>45909</v>
      </c>
      <c r="B59" s="9" t="s">
        <v>179</v>
      </c>
      <c r="C59" s="6">
        <v>15</v>
      </c>
      <c r="D59" s="4"/>
      <c r="E59" s="6">
        <f>E58+C59-D59</f>
      </c>
      <c r="F59" s="2"/>
    </row>
    <row x14ac:dyDescent="0.25" r="60" customHeight="1" ht="17.25">
      <c r="A60" s="7">
        <v>45910</v>
      </c>
      <c r="B60" s="9" t="s">
        <v>46</v>
      </c>
      <c r="C60" s="6">
        <v>5</v>
      </c>
      <c r="D60" s="4"/>
      <c r="E60" s="6">
        <f>E59+C60-D60</f>
      </c>
      <c r="F60" s="2"/>
    </row>
    <row x14ac:dyDescent="0.25" r="61" customHeight="1" ht="17.25">
      <c r="A61" s="7">
        <v>45912</v>
      </c>
      <c r="B61" s="9" t="s">
        <v>46</v>
      </c>
      <c r="C61" s="6">
        <v>40</v>
      </c>
      <c r="D61" s="4"/>
      <c r="E61" s="6">
        <f>E60+C61-D61</f>
      </c>
      <c r="F61" s="2"/>
    </row>
    <row x14ac:dyDescent="0.25" r="62" customHeight="1" ht="17.25">
      <c r="A62" s="8">
        <v>45917</v>
      </c>
      <c r="B62" s="9" t="s">
        <v>28</v>
      </c>
      <c r="C62" s="6">
        <v>26</v>
      </c>
      <c r="D62" s="4"/>
      <c r="E62" s="6">
        <f>E61+C62-D62</f>
      </c>
      <c r="F62" s="2"/>
    </row>
    <row x14ac:dyDescent="0.25" r="63" customHeight="1" ht="17.25">
      <c r="A63" s="7">
        <v>45919</v>
      </c>
      <c r="B63" s="9" t="s">
        <v>46</v>
      </c>
      <c r="C63" s="6">
        <v>72</v>
      </c>
      <c r="D63" s="4"/>
      <c r="E63" s="6">
        <f>E62+C63-D63</f>
      </c>
      <c r="F63" s="2"/>
    </row>
    <row x14ac:dyDescent="0.25" r="64" customHeight="1" ht="17.25">
      <c r="A64" s="7">
        <v>45922</v>
      </c>
      <c r="B64" s="9" t="s">
        <v>28</v>
      </c>
      <c r="C64" s="6">
        <v>2</v>
      </c>
      <c r="D64" s="4"/>
      <c r="E64" s="6">
        <f>E63+C64-D64</f>
      </c>
      <c r="F64" s="2"/>
    </row>
    <row x14ac:dyDescent="0.25" r="65" customHeight="1" ht="17.25">
      <c r="A65" s="7">
        <v>45922</v>
      </c>
      <c r="B65" s="9" t="s">
        <v>179</v>
      </c>
      <c r="C65" s="6">
        <v>8</v>
      </c>
      <c r="D65" s="4"/>
      <c r="E65" s="6">
        <f>E64+C65-D65</f>
      </c>
      <c r="F65" s="2"/>
    </row>
    <row x14ac:dyDescent="0.25" r="66" customHeight="1" ht="17.25">
      <c r="A66" s="8">
        <v>45939</v>
      </c>
      <c r="B66" s="9" t="s">
        <v>26</v>
      </c>
      <c r="C66" s="6">
        <v>25</v>
      </c>
      <c r="D66" s="4"/>
      <c r="E66" s="6">
        <f>E65+C66-D66</f>
      </c>
      <c r="F66" s="2"/>
    </row>
    <row x14ac:dyDescent="0.25" r="67" customHeight="1" ht="17.25">
      <c r="A67" s="8">
        <v>45941</v>
      </c>
      <c r="B67" s="9" t="s">
        <v>26</v>
      </c>
      <c r="C67" s="6">
        <v>135</v>
      </c>
      <c r="D67" s="4"/>
      <c r="E67" s="6">
        <f>E66+C67-D67</f>
      </c>
      <c r="F67" s="2"/>
    </row>
    <row x14ac:dyDescent="0.25" r="68" customHeight="1" ht="17.25">
      <c r="A68" s="8">
        <v>45947</v>
      </c>
      <c r="B68" s="9" t="s">
        <v>179</v>
      </c>
      <c r="C68" s="6">
        <v>76</v>
      </c>
      <c r="D68" s="4"/>
      <c r="E68" s="6">
        <f>E67+C68-D68</f>
      </c>
      <c r="F68" s="2"/>
    </row>
    <row x14ac:dyDescent="0.25" r="69" customHeight="1" ht="17.25">
      <c r="A69" s="7">
        <v>45953</v>
      </c>
      <c r="B69" s="9" t="s">
        <v>26</v>
      </c>
      <c r="C69" s="6">
        <v>8</v>
      </c>
      <c r="D69" s="4"/>
      <c r="E69" s="6">
        <f>E68+C69-D69</f>
      </c>
      <c r="F69" s="2"/>
    </row>
    <row x14ac:dyDescent="0.25" r="70" customHeight="1" ht="17.25">
      <c r="A70" s="8">
        <v>45955</v>
      </c>
      <c r="B70" s="9" t="s">
        <v>26</v>
      </c>
      <c r="C70" s="6">
        <v>37</v>
      </c>
      <c r="D70" s="4"/>
      <c r="E70" s="6">
        <f>E69+C70-D70</f>
      </c>
      <c r="F70" s="2"/>
    </row>
    <row x14ac:dyDescent="0.25" r="71" customHeight="1" ht="17.25">
      <c r="A71" s="8">
        <v>45958</v>
      </c>
      <c r="B71" s="9" t="s">
        <v>26</v>
      </c>
      <c r="C71" s="6">
        <v>13</v>
      </c>
      <c r="D71" s="4"/>
      <c r="E71" s="6">
        <f>E70+C71-D71</f>
      </c>
      <c r="F71" s="2"/>
    </row>
    <row x14ac:dyDescent="0.25" r="72" customHeight="1" ht="17.25">
      <c r="A72" s="8">
        <v>45962</v>
      </c>
      <c r="B72" s="9" t="s">
        <v>26</v>
      </c>
      <c r="C72" s="6">
        <v>16</v>
      </c>
      <c r="D72" s="4"/>
      <c r="E72" s="6">
        <f>E71+C72-D72</f>
      </c>
      <c r="F72" s="2"/>
    </row>
    <row x14ac:dyDescent="0.25" r="73" customHeight="1" ht="17.25">
      <c r="A73" s="8">
        <v>45974</v>
      </c>
      <c r="B73" s="9" t="s">
        <v>46</v>
      </c>
      <c r="C73" s="4"/>
      <c r="D73" s="6">
        <v>200</v>
      </c>
      <c r="E73" s="6">
        <f>E72+C73-D73</f>
      </c>
      <c r="F73" s="2"/>
    </row>
    <row x14ac:dyDescent="0.25" r="74" customHeight="1" ht="17.25">
      <c r="A74" s="8">
        <v>45975</v>
      </c>
      <c r="B74" s="9" t="s">
        <v>206</v>
      </c>
      <c r="C74" s="6">
        <v>13</v>
      </c>
      <c r="D74" s="4"/>
      <c r="E74" s="6">
        <f>E73+C74-D74</f>
      </c>
      <c r="F74" s="2"/>
    </row>
    <row x14ac:dyDescent="0.25" r="75" customHeight="1" ht="17.25">
      <c r="A75" s="8">
        <v>45978</v>
      </c>
      <c r="B75" s="9" t="s">
        <v>179</v>
      </c>
      <c r="C75" s="6">
        <v>39</v>
      </c>
      <c r="D75" s="4"/>
      <c r="E75" s="6">
        <f>E74+C75-D75</f>
      </c>
      <c r="F75" s="2"/>
    </row>
    <row x14ac:dyDescent="0.25" r="76" customHeight="1" ht="17.25">
      <c r="A76" s="8">
        <v>45980</v>
      </c>
      <c r="B76" s="9" t="s">
        <v>26</v>
      </c>
      <c r="C76" s="6">
        <v>59</v>
      </c>
      <c r="D76" s="4"/>
      <c r="E76" s="6">
        <f>E75+C76-D76</f>
      </c>
      <c r="F76" s="2"/>
    </row>
    <row x14ac:dyDescent="0.25" r="77" customHeight="1" ht="17.25">
      <c r="A77" s="7">
        <v>45988</v>
      </c>
      <c r="B77" s="9" t="s">
        <v>179</v>
      </c>
      <c r="C77" s="6">
        <v>22</v>
      </c>
      <c r="D77" s="4"/>
      <c r="E77" s="6">
        <f>E76+C77-D77</f>
      </c>
      <c r="F77" s="2"/>
    </row>
    <row x14ac:dyDescent="0.25" r="78" customHeight="1" ht="17.25">
      <c r="A78" s="7">
        <v>45992</v>
      </c>
      <c r="B78" s="9" t="s">
        <v>28</v>
      </c>
      <c r="C78" s="6">
        <v>7</v>
      </c>
      <c r="D78" s="4"/>
      <c r="E78" s="6">
        <f>E77+C78-D78</f>
      </c>
      <c r="F78" s="2"/>
    </row>
    <row x14ac:dyDescent="0.25" r="79" customHeight="1" ht="17.25">
      <c r="A79" s="7">
        <v>45993</v>
      </c>
      <c r="B79" s="9" t="s">
        <v>179</v>
      </c>
      <c r="C79" s="6">
        <v>2</v>
      </c>
      <c r="D79" s="4"/>
      <c r="E79" s="6">
        <f>E78+C79-D79</f>
      </c>
      <c r="F79" s="2"/>
    </row>
    <row x14ac:dyDescent="0.25" r="80" customHeight="1" ht="17.25">
      <c r="A80" s="7">
        <v>45993</v>
      </c>
      <c r="B80" s="9" t="s">
        <v>26</v>
      </c>
      <c r="C80" s="6">
        <v>6</v>
      </c>
      <c r="D80" s="4"/>
      <c r="E80" s="6">
        <f>E79+C80-D80</f>
      </c>
      <c r="F80" s="2"/>
    </row>
    <row x14ac:dyDescent="0.25" r="81" customHeight="1" ht="17.25">
      <c r="A81" s="7">
        <v>45993</v>
      </c>
      <c r="B81" s="9" t="s">
        <v>26</v>
      </c>
      <c r="C81" s="6">
        <v>6</v>
      </c>
      <c r="D81" s="4"/>
      <c r="E81" s="6">
        <f>E80+C81-D81</f>
      </c>
      <c r="F81" s="2"/>
    </row>
    <row x14ac:dyDescent="0.25" r="82" customHeight="1" ht="17.25">
      <c r="A82" s="7">
        <v>46007</v>
      </c>
      <c r="B82" s="9" t="s">
        <v>46</v>
      </c>
      <c r="C82" s="4"/>
      <c r="D82" s="6">
        <v>200</v>
      </c>
      <c r="E82" s="6">
        <f>E81+C82-D82</f>
      </c>
      <c r="F82" s="2"/>
    </row>
    <row x14ac:dyDescent="0.25" r="83" customHeight="1" ht="17.25">
      <c r="A83" s="7">
        <v>46007</v>
      </c>
      <c r="B83" s="9" t="s">
        <v>28</v>
      </c>
      <c r="C83" s="6">
        <v>11</v>
      </c>
      <c r="D83" s="4"/>
      <c r="E83" s="6">
        <f>E82+C83-D83</f>
      </c>
      <c r="F83" s="2"/>
    </row>
    <row x14ac:dyDescent="0.25" r="84" customHeight="1" ht="17.25">
      <c r="A84" s="1"/>
      <c r="B84" s="2"/>
      <c r="C84" s="4"/>
      <c r="D84" s="4"/>
      <c r="E84" s="6">
        <f>E83+C84-D84</f>
      </c>
      <c r="F84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14785714285714" customWidth="1" bestFit="1"/>
    <col min="3" max="3" style="12" width="12.43357142857143" customWidth="1" bestFit="1"/>
    <col min="4" max="4" style="13" width="12.43357142857143" customWidth="1" bestFit="1"/>
  </cols>
  <sheetData>
    <row x14ac:dyDescent="0.25" r="1" customHeight="1" ht="17.25">
      <c r="A1" s="1" t="s">
        <v>469</v>
      </c>
      <c r="B1" s="2"/>
      <c r="C1" s="3"/>
      <c r="D1" s="4"/>
    </row>
    <row x14ac:dyDescent="0.25" r="2" customHeight="1" ht="17.25">
      <c r="A2" s="1"/>
      <c r="B2" s="2"/>
      <c r="C2" s="3"/>
      <c r="D2" s="4"/>
    </row>
    <row x14ac:dyDescent="0.25" r="3" customHeight="1" ht="17.25">
      <c r="A3" s="7">
        <v>45658</v>
      </c>
      <c r="B3" s="2" t="s">
        <v>1</v>
      </c>
      <c r="C3" s="3"/>
      <c r="D3" s="4"/>
    </row>
    <row x14ac:dyDescent="0.25" r="4" customHeight="1" ht="17.25">
      <c r="A4" s="7">
        <v>45664</v>
      </c>
      <c r="B4" s="2" t="s">
        <v>31</v>
      </c>
      <c r="C4" s="6">
        <v>2</v>
      </c>
      <c r="D4" s="4"/>
    </row>
    <row x14ac:dyDescent="0.25" r="5" customHeight="1" ht="17.25">
      <c r="A5" s="8">
        <v>45670</v>
      </c>
      <c r="B5" s="9" t="s">
        <v>31</v>
      </c>
      <c r="C5" s="6">
        <v>1</v>
      </c>
      <c r="D5" s="4"/>
    </row>
    <row x14ac:dyDescent="0.25" r="6" customHeight="1" ht="17.25">
      <c r="A6" s="7">
        <v>45706</v>
      </c>
      <c r="B6" s="2" t="s">
        <v>31</v>
      </c>
      <c r="C6" s="6">
        <v>1</v>
      </c>
      <c r="D6" s="4"/>
    </row>
    <row x14ac:dyDescent="0.25" r="7" customHeight="1" ht="17.25">
      <c r="A7" s="8">
        <v>45710</v>
      </c>
      <c r="B7" s="9" t="s">
        <v>11</v>
      </c>
      <c r="C7" s="6">
        <v>12</v>
      </c>
      <c r="D7" s="4"/>
    </row>
    <row x14ac:dyDescent="0.25" r="8" customHeight="1" ht="17.25">
      <c r="A8" s="8">
        <v>45726</v>
      </c>
      <c r="B8" s="9" t="s">
        <v>31</v>
      </c>
      <c r="C8" s="3"/>
      <c r="D8" s="6">
        <v>1</v>
      </c>
    </row>
    <row x14ac:dyDescent="0.25" r="9" customHeight="1" ht="17.25">
      <c r="A9" s="7">
        <v>45738</v>
      </c>
      <c r="B9" s="9" t="s">
        <v>11</v>
      </c>
      <c r="C9" s="6">
        <v>21</v>
      </c>
      <c r="D9" s="4"/>
    </row>
    <row x14ac:dyDescent="0.25" r="10" customHeight="1" ht="17.25">
      <c r="A10" s="8">
        <v>45875</v>
      </c>
      <c r="B10" s="9" t="s">
        <v>468</v>
      </c>
      <c r="C10" s="6">
        <v>92</v>
      </c>
      <c r="D10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6.005" customWidth="1" bestFit="1"/>
    <col min="3" max="3" style="12" width="12.43357142857143" customWidth="1" bestFit="1"/>
    <col min="4" max="4" style="13" width="12.43357142857143" customWidth="1" bestFit="1"/>
  </cols>
  <sheetData>
    <row x14ac:dyDescent="0.25" r="1" customHeight="1" ht="17.25">
      <c r="A1" s="1" t="s">
        <v>467</v>
      </c>
      <c r="B1" s="2"/>
      <c r="C1" s="3"/>
      <c r="D1" s="4"/>
    </row>
    <row x14ac:dyDescent="0.25" r="2" customHeight="1" ht="17.25">
      <c r="A2" s="1"/>
      <c r="B2" s="2"/>
      <c r="C2" s="3"/>
      <c r="D2" s="4"/>
    </row>
    <row x14ac:dyDescent="0.25" r="3" customHeight="1" ht="17.25">
      <c r="A3" s="1"/>
      <c r="B3" s="2"/>
      <c r="C3" s="3"/>
      <c r="D3" s="4"/>
    </row>
    <row x14ac:dyDescent="0.25" r="4" customHeight="1" ht="17.25">
      <c r="A4" s="7">
        <v>45658</v>
      </c>
      <c r="B4" s="2" t="s">
        <v>1</v>
      </c>
      <c r="C4" s="3"/>
      <c r="D4" s="4"/>
    </row>
    <row x14ac:dyDescent="0.25" r="5" customHeight="1" ht="17.25">
      <c r="A5" s="7">
        <v>45706</v>
      </c>
      <c r="B5" s="2" t="s">
        <v>31</v>
      </c>
      <c r="C5" s="6">
        <v>7</v>
      </c>
      <c r="D5" s="4"/>
    </row>
    <row x14ac:dyDescent="0.25" r="6" customHeight="1" ht="17.25">
      <c r="A6" s="8">
        <v>45710</v>
      </c>
      <c r="B6" s="9" t="s">
        <v>11</v>
      </c>
      <c r="C6" s="6">
        <v>55</v>
      </c>
      <c r="D6" s="4"/>
    </row>
    <row x14ac:dyDescent="0.25" r="7" customHeight="1" ht="17.25">
      <c r="A7" s="7">
        <v>45726</v>
      </c>
      <c r="B7" s="2" t="s">
        <v>11</v>
      </c>
      <c r="C7" s="3"/>
      <c r="D7" s="6">
        <v>2</v>
      </c>
    </row>
    <row x14ac:dyDescent="0.25" r="8" customHeight="1" ht="17.25">
      <c r="A8" s="7">
        <v>45738</v>
      </c>
      <c r="B8" s="2" t="s">
        <v>11</v>
      </c>
      <c r="C8" s="6">
        <v>11</v>
      </c>
      <c r="D8" s="4"/>
    </row>
    <row x14ac:dyDescent="0.25" r="9" customHeight="1" ht="17.25">
      <c r="A9" s="7">
        <v>45857</v>
      </c>
      <c r="B9" s="2" t="s">
        <v>46</v>
      </c>
      <c r="C9" s="3"/>
      <c r="D9" s="6">
        <v>88</v>
      </c>
    </row>
    <row x14ac:dyDescent="0.25" r="10" customHeight="1" ht="17.25">
      <c r="A10" s="8">
        <v>45875</v>
      </c>
      <c r="B10" s="9" t="s">
        <v>468</v>
      </c>
      <c r="C10" s="6">
        <v>1</v>
      </c>
      <c r="D10" s="4"/>
    </row>
    <row x14ac:dyDescent="0.25" r="11" customHeight="1" ht="17.25">
      <c r="A11" s="8">
        <v>45904</v>
      </c>
      <c r="B11" s="9" t="s">
        <v>46</v>
      </c>
      <c r="C11" s="6">
        <v>61</v>
      </c>
      <c r="D11" s="4"/>
    </row>
    <row x14ac:dyDescent="0.25" r="12" customHeight="1" ht="17.25">
      <c r="A12" s="7">
        <v>45912</v>
      </c>
      <c r="B12" s="2" t="s">
        <v>46</v>
      </c>
      <c r="C12" s="6">
        <v>14</v>
      </c>
      <c r="D12" s="4"/>
    </row>
    <row x14ac:dyDescent="0.25" r="13" customHeight="1" ht="17.25">
      <c r="A13" s="7">
        <v>45920</v>
      </c>
      <c r="B13" s="2" t="s">
        <v>46</v>
      </c>
      <c r="C13" s="6">
        <v>1</v>
      </c>
      <c r="D13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9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7.1478571428571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466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14">
        <v>1763</v>
      </c>
    </row>
    <row x14ac:dyDescent="0.25" r="4" customHeight="1" ht="17.25">
      <c r="A4" s="8">
        <v>45660</v>
      </c>
      <c r="B4" s="9" t="s">
        <v>11</v>
      </c>
      <c r="C4" s="6">
        <v>42</v>
      </c>
      <c r="D4" s="4"/>
      <c r="E4" s="6">
        <f>E3+C4-D4</f>
      </c>
    </row>
    <row x14ac:dyDescent="0.25" r="5" customHeight="1" ht="17.25">
      <c r="A5" s="8">
        <v>45670</v>
      </c>
      <c r="B5" s="9" t="s">
        <v>31</v>
      </c>
      <c r="C5" s="6">
        <v>1</v>
      </c>
      <c r="D5" s="4"/>
      <c r="E5" s="6">
        <f>E4+C5-D5</f>
      </c>
    </row>
    <row x14ac:dyDescent="0.25" r="6" customHeight="1" ht="17.25">
      <c r="A6" s="7">
        <v>45674</v>
      </c>
      <c r="B6" s="2" t="s">
        <v>179</v>
      </c>
      <c r="C6" s="4"/>
      <c r="D6" s="6">
        <v>187</v>
      </c>
      <c r="E6" s="6">
        <f>E5+C6-D6</f>
      </c>
    </row>
    <row x14ac:dyDescent="0.25" r="7" customHeight="1" ht="17.25">
      <c r="A7" s="7">
        <v>45710</v>
      </c>
      <c r="B7" s="2" t="s">
        <v>11</v>
      </c>
      <c r="C7" s="6">
        <v>41</v>
      </c>
      <c r="D7" s="4"/>
      <c r="E7" s="6">
        <f>E6+C7-D7</f>
      </c>
    </row>
    <row x14ac:dyDescent="0.25" r="8" customHeight="1" ht="17.25">
      <c r="A8" s="7">
        <v>45730</v>
      </c>
      <c r="B8" s="2" t="s">
        <v>11</v>
      </c>
      <c r="C8" s="6">
        <v>2</v>
      </c>
      <c r="D8" s="4"/>
      <c r="E8" s="6">
        <f>E7+C8-D8</f>
      </c>
    </row>
    <row x14ac:dyDescent="0.25" r="9" customHeight="1" ht="17.25">
      <c r="A9" s="8">
        <v>45733</v>
      </c>
      <c r="B9" s="9" t="s">
        <v>11</v>
      </c>
      <c r="C9" s="6">
        <v>2</v>
      </c>
      <c r="D9" s="4"/>
      <c r="E9" s="6">
        <f>E8+C9-D9</f>
      </c>
    </row>
    <row x14ac:dyDescent="0.25" r="10" customHeight="1" ht="17.25">
      <c r="A10" s="7">
        <v>45772</v>
      </c>
      <c r="B10" s="2" t="s">
        <v>180</v>
      </c>
      <c r="C10" s="4"/>
      <c r="D10" s="6">
        <v>88</v>
      </c>
      <c r="E10" s="6">
        <f>E9+C10-D10</f>
      </c>
    </row>
    <row x14ac:dyDescent="0.25" r="11" customHeight="1" ht="17.25">
      <c r="A11" s="7">
        <v>45784</v>
      </c>
      <c r="B11" s="2" t="s">
        <v>180</v>
      </c>
      <c r="C11" s="4"/>
      <c r="D11" s="6">
        <v>150</v>
      </c>
      <c r="E11" s="6">
        <f>E10+C11-D11</f>
      </c>
    </row>
    <row x14ac:dyDescent="0.25" r="12" customHeight="1" ht="17.25">
      <c r="A12" s="7">
        <v>45785</v>
      </c>
      <c r="B12" s="2" t="s">
        <v>180</v>
      </c>
      <c r="C12" s="4"/>
      <c r="D12" s="6">
        <v>100</v>
      </c>
      <c r="E12" s="6">
        <f>E11+C12-D12</f>
      </c>
    </row>
    <row x14ac:dyDescent="0.25" r="13" customHeight="1" ht="17.25">
      <c r="A13" s="7">
        <v>45813</v>
      </c>
      <c r="B13" s="2" t="s">
        <v>11</v>
      </c>
      <c r="C13" s="6">
        <v>1</v>
      </c>
      <c r="D13" s="4"/>
      <c r="E13" s="6">
        <f>E12+C13-D13</f>
      </c>
    </row>
    <row x14ac:dyDescent="0.25" r="14" customHeight="1" ht="17.25">
      <c r="A14" s="7">
        <v>45824</v>
      </c>
      <c r="B14" s="2" t="s">
        <v>46</v>
      </c>
      <c r="C14" s="4"/>
      <c r="D14" s="6">
        <v>400</v>
      </c>
      <c r="E14" s="6">
        <f>E13+C14-D14</f>
      </c>
    </row>
    <row x14ac:dyDescent="0.25" r="15" customHeight="1" ht="17.25">
      <c r="A15" s="7">
        <v>45826</v>
      </c>
      <c r="B15" s="2" t="s">
        <v>46</v>
      </c>
      <c r="C15" s="4"/>
      <c r="D15" s="6">
        <v>400</v>
      </c>
      <c r="E15" s="6">
        <f>E14+C15-D15</f>
      </c>
    </row>
    <row x14ac:dyDescent="0.25" r="16" customHeight="1" ht="17.25">
      <c r="A16" s="7">
        <v>45830</v>
      </c>
      <c r="B16" s="2" t="s">
        <v>46</v>
      </c>
      <c r="C16" s="4"/>
      <c r="D16" s="6">
        <v>396</v>
      </c>
      <c r="E16" s="6">
        <f>E15+C16-D16</f>
      </c>
    </row>
    <row x14ac:dyDescent="0.25" r="17" customHeight="1" ht="17.25">
      <c r="A17" s="8">
        <v>45839</v>
      </c>
      <c r="B17" s="9" t="s">
        <v>179</v>
      </c>
      <c r="C17" s="4"/>
      <c r="D17" s="6">
        <v>115</v>
      </c>
      <c r="E17" s="6">
        <f>E16+C17-D17</f>
      </c>
    </row>
    <row x14ac:dyDescent="0.25" r="18" customHeight="1" ht="17.25">
      <c r="A18" s="8">
        <v>45840</v>
      </c>
      <c r="B18" s="9" t="s">
        <v>179</v>
      </c>
      <c r="C18" s="4"/>
      <c r="D18" s="6">
        <v>35</v>
      </c>
      <c r="E18" s="6">
        <f>E17+C18-D18</f>
      </c>
    </row>
    <row x14ac:dyDescent="0.25" r="19" customHeight="1" ht="17.25">
      <c r="A19" s="8">
        <v>45859</v>
      </c>
      <c r="B19" s="9" t="s">
        <v>179</v>
      </c>
      <c r="C19" s="6">
        <v>114</v>
      </c>
      <c r="D19" s="4"/>
      <c r="E19" s="6">
        <v>114</v>
      </c>
    </row>
    <row x14ac:dyDescent="0.25" r="20" customHeight="1" ht="17.25">
      <c r="A20" s="7">
        <v>45877</v>
      </c>
      <c r="B20" s="9" t="s">
        <v>26</v>
      </c>
      <c r="C20" s="4"/>
      <c r="D20" s="6">
        <v>114</v>
      </c>
      <c r="E20" s="3"/>
    </row>
    <row x14ac:dyDescent="0.25" r="21" customHeight="1" ht="17.25">
      <c r="A21" s="7">
        <v>45882</v>
      </c>
      <c r="B21" s="9" t="s">
        <v>179</v>
      </c>
      <c r="C21" s="6">
        <v>44</v>
      </c>
      <c r="D21" s="4"/>
      <c r="E21" s="3"/>
    </row>
    <row x14ac:dyDescent="0.25" r="22" customHeight="1" ht="17.25">
      <c r="A22" s="7">
        <v>45882</v>
      </c>
      <c r="B22" s="9" t="s">
        <v>26</v>
      </c>
      <c r="C22" s="4"/>
      <c r="D22" s="6">
        <v>44</v>
      </c>
      <c r="E22" s="6">
        <v>0</v>
      </c>
    </row>
    <row x14ac:dyDescent="0.25" r="23" customHeight="1" ht="17.25">
      <c r="A23" s="7">
        <v>45890</v>
      </c>
      <c r="B23" s="9" t="s">
        <v>46</v>
      </c>
      <c r="C23" s="6">
        <v>399</v>
      </c>
      <c r="D23" s="4"/>
      <c r="E23" s="6">
        <v>399</v>
      </c>
    </row>
    <row x14ac:dyDescent="0.25" r="24" customHeight="1" ht="17.25">
      <c r="A24" s="7">
        <v>45890</v>
      </c>
      <c r="B24" s="9" t="s">
        <v>26</v>
      </c>
      <c r="C24" s="4"/>
      <c r="D24" s="6">
        <v>250</v>
      </c>
      <c r="E24" s="6">
        <f>E23+C24-D24</f>
      </c>
    </row>
    <row x14ac:dyDescent="0.25" r="25" customHeight="1" ht="17.25">
      <c r="A25" s="7">
        <v>45904</v>
      </c>
      <c r="B25" s="9" t="s">
        <v>46</v>
      </c>
      <c r="C25" s="6">
        <v>14</v>
      </c>
      <c r="D25" s="4"/>
      <c r="E25" s="6">
        <f>E24+C25-D25</f>
      </c>
    </row>
    <row x14ac:dyDescent="0.25" r="26" customHeight="1" ht="17.25">
      <c r="A26" s="8">
        <v>45909</v>
      </c>
      <c r="B26" s="9" t="s">
        <v>179</v>
      </c>
      <c r="C26" s="6">
        <v>28</v>
      </c>
      <c r="D26" s="4"/>
      <c r="E26" s="6">
        <f>E25+C26-D26</f>
      </c>
    </row>
    <row x14ac:dyDescent="0.25" r="27" customHeight="1" ht="17.25">
      <c r="A27" s="7">
        <v>45910</v>
      </c>
      <c r="B27" s="9" t="s">
        <v>46</v>
      </c>
      <c r="C27" s="6">
        <v>147</v>
      </c>
      <c r="D27" s="4"/>
      <c r="E27" s="6">
        <f>E26+C27-D27</f>
      </c>
    </row>
    <row x14ac:dyDescent="0.25" r="28" customHeight="1" ht="17.25">
      <c r="A28" s="7">
        <v>45912</v>
      </c>
      <c r="B28" s="9" t="s">
        <v>46</v>
      </c>
      <c r="C28" s="6">
        <v>131</v>
      </c>
      <c r="D28" s="4"/>
      <c r="E28" s="6">
        <f>E27+C28-D28</f>
      </c>
    </row>
    <row x14ac:dyDescent="0.25" r="29" customHeight="1" ht="17.25">
      <c r="A29" s="7">
        <v>45919</v>
      </c>
      <c r="B29" s="9" t="s">
        <v>46</v>
      </c>
      <c r="C29" s="6">
        <v>174</v>
      </c>
      <c r="D29" s="4"/>
      <c r="E29" s="6">
        <f>E28+C29-D29</f>
      </c>
    </row>
    <row x14ac:dyDescent="0.25" r="30" customHeight="1" ht="17.25">
      <c r="A30" s="7">
        <v>45920</v>
      </c>
      <c r="B30" s="9" t="s">
        <v>46</v>
      </c>
      <c r="C30" s="6">
        <v>54</v>
      </c>
      <c r="D30" s="4"/>
      <c r="E30" s="6">
        <f>E29+C30-D30</f>
      </c>
    </row>
    <row x14ac:dyDescent="0.25" r="31" customHeight="1" ht="17.25">
      <c r="A31" s="7">
        <v>45922</v>
      </c>
      <c r="B31" s="9" t="s">
        <v>179</v>
      </c>
      <c r="C31" s="6">
        <v>24</v>
      </c>
      <c r="D31" s="4"/>
      <c r="E31" s="6">
        <f>E30+C31-D31</f>
      </c>
    </row>
    <row x14ac:dyDescent="0.25" r="32" customHeight="1" ht="17.25">
      <c r="A32" s="8">
        <v>45939</v>
      </c>
      <c r="B32" s="9" t="s">
        <v>26</v>
      </c>
      <c r="C32" s="6">
        <v>22</v>
      </c>
      <c r="D32" s="4"/>
      <c r="E32" s="6">
        <f>E31+C32-D32</f>
      </c>
    </row>
    <row x14ac:dyDescent="0.25" r="33" customHeight="1" ht="17.25">
      <c r="A33" s="7">
        <v>45945</v>
      </c>
      <c r="B33" s="9" t="s">
        <v>26</v>
      </c>
      <c r="C33" s="6">
        <v>174</v>
      </c>
      <c r="D33" s="4"/>
      <c r="E33" s="6">
        <f>E32+C33-D33</f>
      </c>
    </row>
    <row x14ac:dyDescent="0.25" r="34" customHeight="1" ht="17.25">
      <c r="A34" s="7">
        <v>45953</v>
      </c>
      <c r="B34" s="9" t="s">
        <v>26</v>
      </c>
      <c r="C34" s="6">
        <v>60</v>
      </c>
      <c r="D34" s="4"/>
      <c r="E34" s="6">
        <f>E33+C34-D34</f>
      </c>
    </row>
    <row x14ac:dyDescent="0.25" r="35" customHeight="1" ht="17.25">
      <c r="A35" s="8">
        <v>45955</v>
      </c>
      <c r="B35" s="9" t="s">
        <v>26</v>
      </c>
      <c r="C35" s="6">
        <v>20</v>
      </c>
      <c r="D35" s="4"/>
      <c r="E35" s="6">
        <f>E34+C35-D35</f>
      </c>
    </row>
    <row x14ac:dyDescent="0.25" r="36" customHeight="1" ht="17.25">
      <c r="A36" s="7">
        <v>45958</v>
      </c>
      <c r="B36" s="9" t="s">
        <v>26</v>
      </c>
      <c r="C36" s="6">
        <v>53</v>
      </c>
      <c r="D36" s="4"/>
      <c r="E36" s="6">
        <f>E35+C36-D36</f>
      </c>
    </row>
    <row x14ac:dyDescent="0.25" r="37" customHeight="1" ht="17.25">
      <c r="A37" s="8">
        <v>45962</v>
      </c>
      <c r="B37" s="9" t="s">
        <v>26</v>
      </c>
      <c r="C37" s="6">
        <v>62</v>
      </c>
      <c r="D37" s="4"/>
      <c r="E37" s="6">
        <f>E36+C37-D37</f>
      </c>
    </row>
    <row x14ac:dyDescent="0.25" r="38" customHeight="1" ht="17.25">
      <c r="A38" s="8">
        <v>45980</v>
      </c>
      <c r="B38" s="9" t="s">
        <v>26</v>
      </c>
      <c r="C38" s="6">
        <v>4</v>
      </c>
      <c r="D38" s="4"/>
      <c r="E38" s="6">
        <f>E37+C38-D38</f>
      </c>
    </row>
    <row x14ac:dyDescent="0.25" r="39" customHeight="1" ht="17.25">
      <c r="A39" s="8">
        <v>45992</v>
      </c>
      <c r="B39" s="9" t="s">
        <v>185</v>
      </c>
      <c r="C39" s="4"/>
      <c r="D39" s="6">
        <v>278</v>
      </c>
      <c r="E39" s="6">
        <f>E38+C39-D39</f>
      </c>
    </row>
    <row x14ac:dyDescent="0.25" r="40" customHeight="1" ht="17.25">
      <c r="A40" s="7">
        <v>45993</v>
      </c>
      <c r="B40" s="9" t="s">
        <v>179</v>
      </c>
      <c r="C40" s="6">
        <v>2</v>
      </c>
      <c r="D40" s="4"/>
      <c r="E40" s="6">
        <f>E39+C40-D40</f>
      </c>
    </row>
    <row x14ac:dyDescent="0.25" r="41" customHeight="1" ht="17.25">
      <c r="A41" s="7">
        <v>45993</v>
      </c>
      <c r="B41" s="9" t="s">
        <v>26</v>
      </c>
      <c r="C41" s="6">
        <v>12</v>
      </c>
      <c r="D41" s="4"/>
      <c r="E41" s="6">
        <f>E40+C41-D41</f>
      </c>
    </row>
    <row x14ac:dyDescent="0.25" r="42" customHeight="1" ht="17.25">
      <c r="A42" s="7">
        <v>45995</v>
      </c>
      <c r="B42" s="9" t="s">
        <v>185</v>
      </c>
      <c r="C42" s="4"/>
      <c r="D42" s="6">
        <v>100</v>
      </c>
      <c r="E42" s="6">
        <f>E41+C42-D42</f>
      </c>
    </row>
    <row x14ac:dyDescent="0.25" r="43" customHeight="1" ht="17.25">
      <c r="A43" s="8">
        <v>46001</v>
      </c>
      <c r="B43" s="9" t="s">
        <v>46</v>
      </c>
      <c r="C43" s="4"/>
      <c r="D43" s="6">
        <v>165</v>
      </c>
      <c r="E43" s="6">
        <f>E42+C43-D43</f>
      </c>
    </row>
    <row x14ac:dyDescent="0.25" r="44" customHeight="1" ht="17.25">
      <c r="A44" s="7">
        <v>46003</v>
      </c>
      <c r="B44" s="9" t="s">
        <v>46</v>
      </c>
      <c r="C44" s="4"/>
      <c r="D44" s="6">
        <v>135</v>
      </c>
      <c r="E44" s="6">
        <f>E43+C44-D44</f>
      </c>
    </row>
    <row x14ac:dyDescent="0.25" r="45" customHeight="1" ht="17.25">
      <c r="A45" s="1"/>
      <c r="B45" s="2"/>
      <c r="C45" s="4"/>
      <c r="D45" s="4"/>
      <c r="E45" s="6">
        <f>E44+C45-D45</f>
      </c>
    </row>
    <row x14ac:dyDescent="0.25" r="46" customHeight="1" ht="17.25">
      <c r="A46" s="1"/>
      <c r="B46" s="2"/>
      <c r="C46" s="4"/>
      <c r="D46" s="4"/>
      <c r="E46" s="6">
        <f>E45+C46-D46</f>
      </c>
    </row>
    <row x14ac:dyDescent="0.25" r="47" customHeight="1" ht="17.25">
      <c r="A47" s="1"/>
      <c r="B47" s="2"/>
      <c r="C47" s="4"/>
      <c r="D47" s="4"/>
      <c r="E47" s="6">
        <f>E46+C47-D47</f>
      </c>
    </row>
    <row x14ac:dyDescent="0.25" r="48" customHeight="1" ht="17.25">
      <c r="A48" s="1"/>
      <c r="B48" s="2"/>
      <c r="C48" s="4"/>
      <c r="D48" s="4"/>
      <c r="E48" s="6">
        <f>E47+C48-D48</f>
      </c>
    </row>
    <row x14ac:dyDescent="0.25" r="49" customHeight="1" ht="17.25">
      <c r="A49" s="1"/>
      <c r="B49" s="2"/>
      <c r="C49" s="4"/>
      <c r="D49" s="4"/>
      <c r="E49" s="6">
        <f>E48+C49-D49</f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9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7.576428571428572" customWidth="1" bestFit="1"/>
    <col min="3" max="3" style="13" width="12.43357142857143" customWidth="1" bestFit="1"/>
    <col min="4" max="4" style="12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464</v>
      </c>
      <c r="B1" s="2"/>
      <c r="C1" s="4"/>
      <c r="D1" s="3"/>
      <c r="E1" s="4"/>
    </row>
    <row x14ac:dyDescent="0.25" r="2" customHeight="1" ht="17.25">
      <c r="A2" s="1"/>
      <c r="B2" s="2"/>
      <c r="C2" s="4"/>
      <c r="D2" s="3"/>
      <c r="E2" s="4"/>
    </row>
    <row x14ac:dyDescent="0.25" r="3" customHeight="1" ht="17.25">
      <c r="A3" s="7">
        <v>45658</v>
      </c>
      <c r="B3" s="2" t="s">
        <v>1</v>
      </c>
      <c r="C3" s="4"/>
      <c r="D3" s="3"/>
      <c r="E3" s="14">
        <v>1490</v>
      </c>
    </row>
    <row x14ac:dyDescent="0.25" r="4" customHeight="1" ht="17.25">
      <c r="A4" s="8">
        <v>45660</v>
      </c>
      <c r="B4" s="9" t="s">
        <v>11</v>
      </c>
      <c r="C4" s="6">
        <v>25</v>
      </c>
      <c r="D4" s="3"/>
      <c r="E4" s="6">
        <f>E3+C4-D4</f>
      </c>
    </row>
    <row x14ac:dyDescent="0.25" r="5" customHeight="1" ht="17.25">
      <c r="A5" s="8">
        <v>45695</v>
      </c>
      <c r="B5" s="9" t="s">
        <v>11</v>
      </c>
      <c r="C5" s="6">
        <v>45</v>
      </c>
      <c r="D5" s="3"/>
      <c r="E5" s="6">
        <f>E4+C5-D5</f>
      </c>
    </row>
    <row x14ac:dyDescent="0.25" r="6" customHeight="1" ht="17.25">
      <c r="A6" s="8">
        <v>45710</v>
      </c>
      <c r="B6" s="9" t="s">
        <v>11</v>
      </c>
      <c r="C6" s="6">
        <v>27</v>
      </c>
      <c r="D6" s="3"/>
      <c r="E6" s="6">
        <f>E5+C6-D6</f>
      </c>
    </row>
    <row x14ac:dyDescent="0.25" r="7" customHeight="1" ht="17.25">
      <c r="A7" s="8">
        <v>45713</v>
      </c>
      <c r="B7" s="9" t="s">
        <v>118</v>
      </c>
      <c r="C7" s="6">
        <v>60</v>
      </c>
      <c r="D7" s="3"/>
      <c r="E7" s="6">
        <f>E6+C7-D7</f>
      </c>
    </row>
    <row x14ac:dyDescent="0.25" r="8" customHeight="1" ht="17.25">
      <c r="A8" s="8">
        <v>45729</v>
      </c>
      <c r="B8" s="9" t="s">
        <v>119</v>
      </c>
      <c r="C8" s="6">
        <v>23</v>
      </c>
      <c r="D8" s="3"/>
      <c r="E8" s="6">
        <f>E7+C8-D8</f>
      </c>
    </row>
    <row x14ac:dyDescent="0.25" r="9" customHeight="1" ht="17.25">
      <c r="A9" s="7">
        <v>45730</v>
      </c>
      <c r="B9" s="9" t="s">
        <v>11</v>
      </c>
      <c r="C9" s="6">
        <v>6</v>
      </c>
      <c r="D9" s="3"/>
      <c r="E9" s="6">
        <f>E8+C9-D9</f>
      </c>
    </row>
    <row x14ac:dyDescent="0.25" r="10" customHeight="1" ht="17.25">
      <c r="A10" s="8">
        <v>45733</v>
      </c>
      <c r="B10" s="9" t="s">
        <v>11</v>
      </c>
      <c r="C10" s="6">
        <v>1</v>
      </c>
      <c r="D10" s="3"/>
      <c r="E10" s="6">
        <f>E9+C10-D10</f>
      </c>
    </row>
    <row x14ac:dyDescent="0.25" r="11" customHeight="1" ht="17.25">
      <c r="A11" s="8">
        <v>45740</v>
      </c>
      <c r="B11" s="9" t="s">
        <v>119</v>
      </c>
      <c r="C11" s="6">
        <v>22</v>
      </c>
      <c r="D11" s="3"/>
      <c r="E11" s="6">
        <f>E10+C11-D11</f>
      </c>
    </row>
    <row x14ac:dyDescent="0.25" r="12" customHeight="1" ht="17.25">
      <c r="A12" s="7">
        <v>45857</v>
      </c>
      <c r="B12" s="9" t="s">
        <v>46</v>
      </c>
      <c r="C12" s="4"/>
      <c r="D12" s="6">
        <v>67</v>
      </c>
      <c r="E12" s="6">
        <f>E11+C12-D12</f>
      </c>
    </row>
    <row x14ac:dyDescent="0.25" r="13" customHeight="1" ht="17.25">
      <c r="A13" s="7">
        <v>45868</v>
      </c>
      <c r="B13" s="9" t="s">
        <v>46</v>
      </c>
      <c r="C13" s="4"/>
      <c r="D13" s="6">
        <v>130</v>
      </c>
      <c r="E13" s="6">
        <f>E12+C13-D13</f>
      </c>
    </row>
    <row x14ac:dyDescent="0.25" r="14" customHeight="1" ht="17.25">
      <c r="A14" s="7">
        <v>45876</v>
      </c>
      <c r="B14" s="9" t="s">
        <v>465</v>
      </c>
      <c r="C14" s="4"/>
      <c r="D14" s="6">
        <v>44</v>
      </c>
      <c r="E14" s="6">
        <f>E13+C14-D14</f>
      </c>
    </row>
    <row x14ac:dyDescent="0.25" r="15" customHeight="1" ht="17.25">
      <c r="A15" s="7">
        <v>45877</v>
      </c>
      <c r="B15" s="9" t="s">
        <v>26</v>
      </c>
      <c r="C15" s="4"/>
      <c r="D15" s="6">
        <v>200</v>
      </c>
      <c r="E15" s="6">
        <f>E14+C15-D15</f>
      </c>
    </row>
    <row x14ac:dyDescent="0.25" r="16" customHeight="1" ht="17.25">
      <c r="A16" s="7">
        <v>45882</v>
      </c>
      <c r="B16" s="9" t="s">
        <v>26</v>
      </c>
      <c r="C16" s="4"/>
      <c r="D16" s="6">
        <v>160</v>
      </c>
      <c r="E16" s="6">
        <f>E15+C16-D16</f>
      </c>
    </row>
    <row x14ac:dyDescent="0.25" r="17" customHeight="1" ht="17.25">
      <c r="A17" s="7">
        <v>45887</v>
      </c>
      <c r="B17" s="9" t="s">
        <v>26</v>
      </c>
      <c r="C17" s="4"/>
      <c r="D17" s="6">
        <v>100</v>
      </c>
      <c r="E17" s="6">
        <f>E16+C17-D17</f>
      </c>
    </row>
    <row x14ac:dyDescent="0.25" r="18" customHeight="1" ht="17.25">
      <c r="A18" s="7">
        <v>45889</v>
      </c>
      <c r="B18" s="9" t="s">
        <v>26</v>
      </c>
      <c r="C18" s="4"/>
      <c r="D18" s="6">
        <v>300</v>
      </c>
      <c r="E18" s="6">
        <f>E17+C18-D18</f>
      </c>
    </row>
    <row x14ac:dyDescent="0.25" r="19" customHeight="1" ht="17.25">
      <c r="A19" s="7">
        <v>45890</v>
      </c>
      <c r="B19" s="9" t="s">
        <v>26</v>
      </c>
      <c r="C19" s="4"/>
      <c r="D19" s="6">
        <v>250</v>
      </c>
      <c r="E19" s="6">
        <f>E18+C19-D19</f>
      </c>
    </row>
    <row x14ac:dyDescent="0.25" r="20" customHeight="1" ht="17.25">
      <c r="A20" s="7">
        <v>45892</v>
      </c>
      <c r="B20" s="9" t="s">
        <v>26</v>
      </c>
      <c r="C20" s="4"/>
      <c r="D20" s="6">
        <v>250</v>
      </c>
      <c r="E20" s="6">
        <f>E19+C20-D20</f>
      </c>
    </row>
    <row x14ac:dyDescent="0.25" r="21" customHeight="1" ht="17.25">
      <c r="A21" s="1"/>
      <c r="B21" s="9" t="s">
        <v>26</v>
      </c>
      <c r="C21" s="4"/>
      <c r="D21" s="6">
        <v>34</v>
      </c>
      <c r="E21" s="6">
        <f>E20+C21-D21</f>
      </c>
    </row>
    <row x14ac:dyDescent="0.25" r="22" customHeight="1" ht="17.25">
      <c r="A22" s="8">
        <v>45904</v>
      </c>
      <c r="B22" s="9" t="s">
        <v>46</v>
      </c>
      <c r="C22" s="6">
        <v>56</v>
      </c>
      <c r="D22" s="3"/>
      <c r="E22" s="6">
        <f>E21+C22-D22</f>
      </c>
    </row>
    <row x14ac:dyDescent="0.25" r="23" customHeight="1" ht="17.25">
      <c r="A23" s="7">
        <v>45910</v>
      </c>
      <c r="B23" s="9" t="s">
        <v>46</v>
      </c>
      <c r="C23" s="6">
        <v>67</v>
      </c>
      <c r="D23" s="3"/>
      <c r="E23" s="6">
        <f>E22+C23-D23</f>
      </c>
    </row>
    <row x14ac:dyDescent="0.25" r="24" customHeight="1" ht="17.25">
      <c r="A24" s="7">
        <v>45912</v>
      </c>
      <c r="B24" s="9" t="s">
        <v>46</v>
      </c>
      <c r="C24" s="6">
        <v>36</v>
      </c>
      <c r="D24" s="3"/>
      <c r="E24" s="6">
        <f>E23+C24-D24</f>
      </c>
    </row>
    <row x14ac:dyDescent="0.25" r="25" customHeight="1" ht="17.25">
      <c r="A25" s="7">
        <v>45919</v>
      </c>
      <c r="B25" s="9" t="s">
        <v>46</v>
      </c>
      <c r="C25" s="6">
        <v>53</v>
      </c>
      <c r="D25" s="3"/>
      <c r="E25" s="6">
        <f>E24+C25-D25</f>
      </c>
    </row>
    <row x14ac:dyDescent="0.25" r="26" customHeight="1" ht="17.25">
      <c r="A26" s="7">
        <v>45920</v>
      </c>
      <c r="B26" s="9" t="s">
        <v>46</v>
      </c>
      <c r="C26" s="6">
        <v>1</v>
      </c>
      <c r="D26" s="3"/>
      <c r="E26" s="6">
        <f>E25+C26-D26</f>
      </c>
    </row>
    <row x14ac:dyDescent="0.25" r="27" customHeight="1" ht="17.25">
      <c r="A27" s="7">
        <v>45927</v>
      </c>
      <c r="B27" s="9" t="s">
        <v>26</v>
      </c>
      <c r="C27" s="6">
        <v>150</v>
      </c>
      <c r="D27" s="3"/>
      <c r="E27" s="6">
        <f>E26+C27-D27</f>
      </c>
    </row>
    <row x14ac:dyDescent="0.25" r="28" customHeight="1" ht="17.25">
      <c r="A28" s="7">
        <v>45933</v>
      </c>
      <c r="B28" s="9" t="s">
        <v>26</v>
      </c>
      <c r="C28" s="6">
        <v>244</v>
      </c>
      <c r="D28" s="3"/>
      <c r="E28" s="6">
        <f>E27+C28-D28</f>
      </c>
    </row>
    <row x14ac:dyDescent="0.25" r="29" customHeight="1" ht="17.25">
      <c r="A29" s="8">
        <v>45939</v>
      </c>
      <c r="B29" s="9" t="s">
        <v>26</v>
      </c>
      <c r="C29" s="6">
        <v>87</v>
      </c>
      <c r="D29" s="3"/>
      <c r="E29" s="6">
        <f>E28+C29-D29</f>
      </c>
    </row>
    <row x14ac:dyDescent="0.25" r="30" customHeight="1" ht="17.25">
      <c r="A30" s="8">
        <v>45941</v>
      </c>
      <c r="B30" s="9" t="s">
        <v>26</v>
      </c>
      <c r="C30" s="6">
        <v>170</v>
      </c>
      <c r="D30" s="3"/>
      <c r="E30" s="6">
        <f>E29+C30-D30</f>
      </c>
    </row>
    <row x14ac:dyDescent="0.25" r="31" customHeight="1" ht="17.25">
      <c r="A31" s="7">
        <v>45951</v>
      </c>
      <c r="B31" s="9" t="s">
        <v>26</v>
      </c>
      <c r="C31" s="6">
        <v>15</v>
      </c>
      <c r="D31" s="3"/>
      <c r="E31" s="6">
        <f>E30+C31-D31</f>
      </c>
    </row>
    <row x14ac:dyDescent="0.25" r="32" customHeight="1" ht="17.25">
      <c r="A32" s="7">
        <v>45953</v>
      </c>
      <c r="B32" s="9" t="s">
        <v>26</v>
      </c>
      <c r="C32" s="6">
        <v>193</v>
      </c>
      <c r="D32" s="3"/>
      <c r="E32" s="6">
        <f>E31+C32-D32</f>
      </c>
    </row>
    <row x14ac:dyDescent="0.25" r="33" customHeight="1" ht="17.25">
      <c r="A33" s="8">
        <v>45955</v>
      </c>
      <c r="B33" s="9" t="s">
        <v>26</v>
      </c>
      <c r="C33" s="6">
        <v>92</v>
      </c>
      <c r="D33" s="3"/>
      <c r="E33" s="6">
        <f>E32+C33-D33</f>
      </c>
    </row>
    <row x14ac:dyDescent="0.25" r="34" customHeight="1" ht="17.25">
      <c r="A34" s="7">
        <v>45958</v>
      </c>
      <c r="B34" s="9" t="s">
        <v>26</v>
      </c>
      <c r="C34" s="6">
        <v>120</v>
      </c>
      <c r="D34" s="3"/>
      <c r="E34" s="6">
        <f>E33+C34-D34</f>
      </c>
    </row>
    <row x14ac:dyDescent="0.25" r="35" customHeight="1" ht="17.25">
      <c r="A35" s="8">
        <v>45962</v>
      </c>
      <c r="B35" s="9" t="s">
        <v>26</v>
      </c>
      <c r="C35" s="6">
        <v>162</v>
      </c>
      <c r="D35" s="3"/>
      <c r="E35" s="6">
        <f>E34+C35-D35</f>
      </c>
    </row>
    <row x14ac:dyDescent="0.25" r="36" customHeight="1" ht="17.25">
      <c r="A36" s="8">
        <v>45980</v>
      </c>
      <c r="B36" s="9" t="s">
        <v>26</v>
      </c>
      <c r="C36" s="6">
        <v>141</v>
      </c>
      <c r="D36" s="3"/>
      <c r="E36" s="6">
        <f>E35+C36-D36</f>
      </c>
    </row>
    <row x14ac:dyDescent="0.25" r="37" customHeight="1" ht="17.25">
      <c r="A37" s="7">
        <v>45993</v>
      </c>
      <c r="B37" s="9" t="s">
        <v>26</v>
      </c>
      <c r="C37" s="6">
        <v>15</v>
      </c>
      <c r="D37" s="3"/>
      <c r="E37" s="4"/>
    </row>
    <row x14ac:dyDescent="0.25" r="38" customHeight="1" ht="17.25">
      <c r="A38" s="8">
        <v>46001</v>
      </c>
      <c r="B38" s="9" t="s">
        <v>46</v>
      </c>
      <c r="C38" s="4"/>
      <c r="D38" s="6">
        <v>165</v>
      </c>
      <c r="E38" s="4"/>
    </row>
    <row x14ac:dyDescent="0.25" r="39" customHeight="1" ht="17.25">
      <c r="A39" s="7">
        <v>46003</v>
      </c>
      <c r="B39" s="9" t="s">
        <v>46</v>
      </c>
      <c r="C39" s="4"/>
      <c r="D39" s="6">
        <v>135</v>
      </c>
      <c r="E39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7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0.576428571428572" customWidth="1" bestFit="1"/>
    <col min="3" max="3" style="12" width="9.005" customWidth="1" bestFit="1"/>
    <col min="4" max="4" style="13" width="8.862142857142858" customWidth="1" bestFit="1"/>
    <col min="5" max="5" style="13" width="11.290714285714287" customWidth="1" bestFit="1"/>
    <col min="6" max="6" style="11" width="12.43357142857143" customWidth="1" bestFit="1"/>
  </cols>
  <sheetData>
    <row x14ac:dyDescent="0.25" r="1" customHeight="1" ht="17.25">
      <c r="A1" s="1" t="s">
        <v>429</v>
      </c>
      <c r="B1" s="2"/>
      <c r="C1" s="3"/>
      <c r="D1" s="4"/>
      <c r="E1" s="4"/>
      <c r="F1" s="2"/>
    </row>
    <row x14ac:dyDescent="0.25" r="2" customHeight="1" ht="17.25">
      <c r="A2" s="1"/>
      <c r="B2" s="2"/>
      <c r="C2" s="3"/>
      <c r="D2" s="4"/>
      <c r="E2" s="4"/>
      <c r="F2" s="2"/>
    </row>
    <row x14ac:dyDescent="0.25" r="3" customHeight="1" ht="17.25">
      <c r="A3" s="7">
        <v>45658</v>
      </c>
      <c r="B3" s="2" t="s">
        <v>1</v>
      </c>
      <c r="C3" s="3"/>
      <c r="D3" s="4"/>
      <c r="E3" s="6">
        <v>154</v>
      </c>
      <c r="F3" s="2"/>
    </row>
    <row x14ac:dyDescent="0.25" r="4" customHeight="1" ht="17.25">
      <c r="A4" s="7">
        <v>45659</v>
      </c>
      <c r="B4" s="2" t="s">
        <v>131</v>
      </c>
      <c r="C4" s="6">
        <v>37</v>
      </c>
      <c r="D4" s="4"/>
      <c r="E4" s="6">
        <f>E3+C4-D4</f>
      </c>
      <c r="F4" s="2"/>
    </row>
    <row x14ac:dyDescent="0.25" r="5" customHeight="1" ht="17.25">
      <c r="A5" s="7">
        <v>45659</v>
      </c>
      <c r="B5" s="2" t="s">
        <v>375</v>
      </c>
      <c r="C5" s="6">
        <v>81</v>
      </c>
      <c r="D5" s="4"/>
      <c r="E5" s="6">
        <f>E4+C5-D5</f>
      </c>
      <c r="F5" s="2"/>
    </row>
    <row x14ac:dyDescent="0.25" r="6" customHeight="1" ht="17.25">
      <c r="A6" s="7">
        <v>45660</v>
      </c>
      <c r="B6" s="2" t="s">
        <v>35</v>
      </c>
      <c r="C6" s="3"/>
      <c r="D6" s="6">
        <v>135</v>
      </c>
      <c r="E6" s="6">
        <f>E5+C6-D6</f>
      </c>
      <c r="F6" s="2"/>
    </row>
    <row x14ac:dyDescent="0.25" r="7" customHeight="1" ht="17.25">
      <c r="A7" s="8">
        <v>45660</v>
      </c>
      <c r="B7" s="9" t="s">
        <v>375</v>
      </c>
      <c r="C7" s="6">
        <v>15</v>
      </c>
      <c r="D7" s="4"/>
      <c r="E7" s="6">
        <f>E6+C7-D7</f>
      </c>
      <c r="F7" s="2"/>
    </row>
    <row x14ac:dyDescent="0.25" r="8" customHeight="1" ht="17.25">
      <c r="A8" s="8">
        <v>45660</v>
      </c>
      <c r="B8" s="9" t="s">
        <v>269</v>
      </c>
      <c r="C8" s="6">
        <v>24</v>
      </c>
      <c r="D8" s="4"/>
      <c r="E8" s="6">
        <f>E7+C8-D8</f>
      </c>
      <c r="F8" s="2"/>
    </row>
    <row x14ac:dyDescent="0.25" r="9" customHeight="1" ht="17.25">
      <c r="A9" s="8">
        <v>45660</v>
      </c>
      <c r="B9" s="9" t="s">
        <v>410</v>
      </c>
      <c r="C9" s="6">
        <v>20</v>
      </c>
      <c r="D9" s="4"/>
      <c r="E9" s="6">
        <f>E8+C9-D9</f>
      </c>
      <c r="F9" s="2"/>
    </row>
    <row x14ac:dyDescent="0.25" r="10" customHeight="1" ht="17.25">
      <c r="A10" s="7">
        <v>45661</v>
      </c>
      <c r="B10" s="9" t="s">
        <v>35</v>
      </c>
      <c r="C10" s="3"/>
      <c r="D10" s="6">
        <v>200</v>
      </c>
      <c r="E10" s="6">
        <f>E9+C10-D10</f>
      </c>
      <c r="F10" s="2"/>
    </row>
    <row x14ac:dyDescent="0.25" r="11" customHeight="1" ht="17.25">
      <c r="A11" s="8">
        <v>45661</v>
      </c>
      <c r="B11" s="9" t="s">
        <v>257</v>
      </c>
      <c r="C11" s="3"/>
      <c r="D11" s="6">
        <v>14</v>
      </c>
      <c r="E11" s="6">
        <f>E10+C11-D11</f>
      </c>
      <c r="F11" s="2"/>
    </row>
    <row x14ac:dyDescent="0.25" r="12" customHeight="1" ht="17.25">
      <c r="A12" s="8">
        <v>45661</v>
      </c>
      <c r="B12" s="9" t="s">
        <v>189</v>
      </c>
      <c r="C12" s="6">
        <v>74</v>
      </c>
      <c r="D12" s="4"/>
      <c r="E12" s="6">
        <f>E11+C12-D12</f>
      </c>
      <c r="F12" s="2"/>
    </row>
    <row x14ac:dyDescent="0.25" r="13" customHeight="1" ht="17.25">
      <c r="A13" s="7">
        <v>45661</v>
      </c>
      <c r="B13" s="9" t="s">
        <v>375</v>
      </c>
      <c r="C13" s="6">
        <v>35</v>
      </c>
      <c r="D13" s="4"/>
      <c r="E13" s="6">
        <f>E12+C13-D13</f>
      </c>
      <c r="F13" s="2"/>
    </row>
    <row x14ac:dyDescent="0.25" r="14" customHeight="1" ht="17.25">
      <c r="A14" s="8">
        <v>45663</v>
      </c>
      <c r="B14" s="9" t="s">
        <v>255</v>
      </c>
      <c r="C14" s="6">
        <v>8</v>
      </c>
      <c r="D14" s="4"/>
      <c r="E14" s="6">
        <f>E13+C14-D14</f>
      </c>
      <c r="F14" s="2"/>
    </row>
    <row x14ac:dyDescent="0.25" r="15" customHeight="1" ht="17.25">
      <c r="A15" s="8">
        <v>45663</v>
      </c>
      <c r="B15" s="9" t="s">
        <v>269</v>
      </c>
      <c r="C15" s="6">
        <v>3</v>
      </c>
      <c r="D15" s="4"/>
      <c r="E15" s="6">
        <f>E14+C15-D15</f>
      </c>
      <c r="F15" s="2"/>
    </row>
    <row x14ac:dyDescent="0.25" r="16" customHeight="1" ht="17.25">
      <c r="A16" s="7">
        <v>45663</v>
      </c>
      <c r="B16" s="9" t="s">
        <v>375</v>
      </c>
      <c r="C16" s="6">
        <v>35</v>
      </c>
      <c r="D16" s="4"/>
      <c r="E16" s="6">
        <f>E15+C16-D16</f>
      </c>
      <c r="F16" s="2"/>
    </row>
    <row x14ac:dyDescent="0.25" r="17" customHeight="1" ht="17.25">
      <c r="A17" s="8">
        <v>45663</v>
      </c>
      <c r="B17" s="9" t="s">
        <v>412</v>
      </c>
      <c r="C17" s="6">
        <v>70</v>
      </c>
      <c r="D17" s="4"/>
      <c r="E17" s="6">
        <f>E16+C17-D17</f>
      </c>
      <c r="F17" s="2"/>
    </row>
    <row x14ac:dyDescent="0.25" r="18" customHeight="1" ht="17.25">
      <c r="A18" s="7">
        <v>45663</v>
      </c>
      <c r="B18" s="9" t="s">
        <v>189</v>
      </c>
      <c r="C18" s="6">
        <v>36</v>
      </c>
      <c r="D18" s="4"/>
      <c r="E18" s="6">
        <f>E17+C18-D18</f>
      </c>
      <c r="F18" s="2"/>
    </row>
    <row x14ac:dyDescent="0.25" r="19" customHeight="1" ht="17.25">
      <c r="A19" s="8">
        <v>45664</v>
      </c>
      <c r="B19" s="9" t="s">
        <v>257</v>
      </c>
      <c r="C19" s="3"/>
      <c r="D19" s="6">
        <v>14</v>
      </c>
      <c r="E19" s="6">
        <f>E18+C19-D19</f>
      </c>
      <c r="F19" s="2"/>
    </row>
    <row x14ac:dyDescent="0.25" r="20" customHeight="1" ht="17.25">
      <c r="A20" s="8">
        <v>45664</v>
      </c>
      <c r="B20" s="9" t="s">
        <v>131</v>
      </c>
      <c r="C20" s="6">
        <v>87</v>
      </c>
      <c r="D20" s="4"/>
      <c r="E20" s="6">
        <f>E19+C20-D20</f>
      </c>
      <c r="F20" s="2"/>
    </row>
    <row x14ac:dyDescent="0.25" r="21" customHeight="1" ht="17.25">
      <c r="A21" s="8">
        <v>45664</v>
      </c>
      <c r="B21" s="9" t="s">
        <v>376</v>
      </c>
      <c r="C21" s="6">
        <v>10</v>
      </c>
      <c r="D21" s="4"/>
      <c r="E21" s="6">
        <f>E20+C21-D21</f>
      </c>
      <c r="F21" s="2"/>
    </row>
    <row x14ac:dyDescent="0.25" r="22" customHeight="1" ht="17.25">
      <c r="A22" s="7">
        <v>45664</v>
      </c>
      <c r="B22" s="9" t="s">
        <v>375</v>
      </c>
      <c r="C22" s="6">
        <v>70</v>
      </c>
      <c r="D22" s="4"/>
      <c r="E22" s="6">
        <f>E21+C22-D22</f>
      </c>
      <c r="F22" s="2"/>
    </row>
    <row x14ac:dyDescent="0.25" r="23" customHeight="1" ht="17.25">
      <c r="A23" s="8">
        <v>45664</v>
      </c>
      <c r="B23" s="9" t="s">
        <v>31</v>
      </c>
      <c r="C23" s="6">
        <v>49</v>
      </c>
      <c r="D23" s="4"/>
      <c r="E23" s="6">
        <f>E22+C23-D23</f>
      </c>
      <c r="F23" s="2"/>
    </row>
    <row x14ac:dyDescent="0.25" r="24" customHeight="1" ht="17.25">
      <c r="A24" s="7">
        <v>45665</v>
      </c>
      <c r="B24" s="9" t="s">
        <v>39</v>
      </c>
      <c r="C24" s="3"/>
      <c r="D24" s="6">
        <v>100</v>
      </c>
      <c r="E24" s="6">
        <f>E23+C24-D24</f>
      </c>
      <c r="F24" s="2"/>
    </row>
    <row x14ac:dyDescent="0.25" r="25" customHeight="1" ht="17.25">
      <c r="A25" s="7">
        <v>45665</v>
      </c>
      <c r="B25" s="9" t="s">
        <v>35</v>
      </c>
      <c r="C25" s="3"/>
      <c r="D25" s="6">
        <v>100</v>
      </c>
      <c r="E25" s="6">
        <f>E24+C25-D25</f>
      </c>
      <c r="F25" s="2"/>
    </row>
    <row x14ac:dyDescent="0.25" r="26" customHeight="1" ht="17.25">
      <c r="A26" s="7">
        <v>45665</v>
      </c>
      <c r="B26" s="9" t="s">
        <v>189</v>
      </c>
      <c r="C26" s="6">
        <v>27</v>
      </c>
      <c r="D26" s="4"/>
      <c r="E26" s="6">
        <f>E25+C26-D26</f>
      </c>
      <c r="F26" s="2"/>
    </row>
    <row x14ac:dyDescent="0.25" r="27" customHeight="1" ht="17.25">
      <c r="A27" s="7">
        <v>45665</v>
      </c>
      <c r="B27" s="9" t="s">
        <v>171</v>
      </c>
      <c r="C27" s="6">
        <v>175</v>
      </c>
      <c r="D27" s="4"/>
      <c r="E27" s="6">
        <f>E26+C27-D27</f>
      </c>
      <c r="F27" s="2"/>
    </row>
    <row x14ac:dyDescent="0.25" r="28" customHeight="1" ht="17.25">
      <c r="A28" s="7">
        <v>45666</v>
      </c>
      <c r="B28" s="9" t="s">
        <v>384</v>
      </c>
      <c r="C28" s="3"/>
      <c r="D28" s="6">
        <v>160</v>
      </c>
      <c r="E28" s="6">
        <f>E27+C28-D28</f>
      </c>
      <c r="F28" s="2"/>
    </row>
    <row x14ac:dyDescent="0.25" r="29" customHeight="1" ht="17.25">
      <c r="A29" s="7">
        <v>45666</v>
      </c>
      <c r="B29" s="9" t="s">
        <v>377</v>
      </c>
      <c r="C29" s="6">
        <v>60</v>
      </c>
      <c r="D29" s="4"/>
      <c r="E29" s="6">
        <f>E28+C29-D29</f>
      </c>
      <c r="F29" s="2"/>
    </row>
    <row x14ac:dyDescent="0.25" r="30" customHeight="1" ht="17.25">
      <c r="A30" s="7">
        <v>45666</v>
      </c>
      <c r="B30" s="9" t="s">
        <v>430</v>
      </c>
      <c r="C30" s="6">
        <v>1</v>
      </c>
      <c r="D30" s="4"/>
      <c r="E30" s="6">
        <f>E29+C30-D30</f>
      </c>
      <c r="F30" s="2"/>
    </row>
    <row x14ac:dyDescent="0.25" r="31" customHeight="1" ht="17.25">
      <c r="A31" s="7">
        <v>45666</v>
      </c>
      <c r="B31" s="9" t="s">
        <v>376</v>
      </c>
      <c r="C31" s="6">
        <v>64</v>
      </c>
      <c r="D31" s="4"/>
      <c r="E31" s="6">
        <f>E30+C31-D31</f>
      </c>
      <c r="F31" s="2"/>
    </row>
    <row x14ac:dyDescent="0.25" r="32" customHeight="1" ht="17.25">
      <c r="A32" s="7">
        <v>45666</v>
      </c>
      <c r="B32" s="9" t="s">
        <v>171</v>
      </c>
      <c r="C32" s="6">
        <v>18</v>
      </c>
      <c r="D32" s="4"/>
      <c r="E32" s="6">
        <f>E31+C32-D32</f>
      </c>
      <c r="F32" s="2"/>
    </row>
    <row x14ac:dyDescent="0.25" r="33" customHeight="1" ht="17.25">
      <c r="A33" s="7">
        <v>45667</v>
      </c>
      <c r="B33" s="9" t="s">
        <v>384</v>
      </c>
      <c r="C33" s="3"/>
      <c r="D33" s="6">
        <v>170</v>
      </c>
      <c r="E33" s="6">
        <f>E32+C33-D33</f>
      </c>
      <c r="F33" s="2"/>
    </row>
    <row x14ac:dyDescent="0.25" r="34" customHeight="1" ht="17.25">
      <c r="A34" s="7">
        <v>45667</v>
      </c>
      <c r="B34" s="9" t="s">
        <v>227</v>
      </c>
      <c r="C34" s="6">
        <v>58</v>
      </c>
      <c r="D34" s="4"/>
      <c r="E34" s="6">
        <f>E33+C34-D34</f>
      </c>
      <c r="F34" s="2"/>
    </row>
    <row x14ac:dyDescent="0.25" r="35" customHeight="1" ht="17.25">
      <c r="A35" s="7">
        <v>45668</v>
      </c>
      <c r="B35" s="9" t="s">
        <v>384</v>
      </c>
      <c r="C35" s="3"/>
      <c r="D35" s="6">
        <v>20</v>
      </c>
      <c r="E35" s="6">
        <f>E34+C35-D35</f>
      </c>
      <c r="F35" s="2"/>
    </row>
    <row x14ac:dyDescent="0.25" r="36" customHeight="1" ht="17.25">
      <c r="A36" s="7">
        <v>45668</v>
      </c>
      <c r="B36" s="9" t="s">
        <v>270</v>
      </c>
      <c r="C36" s="3"/>
      <c r="D36" s="6">
        <v>20</v>
      </c>
      <c r="E36" s="6">
        <f>E35+C36-D36</f>
      </c>
      <c r="F36" s="2"/>
    </row>
    <row x14ac:dyDescent="0.25" r="37" customHeight="1" ht="17.25">
      <c r="A37" s="7">
        <v>45668</v>
      </c>
      <c r="B37" s="9" t="s">
        <v>411</v>
      </c>
      <c r="C37" s="3"/>
      <c r="D37" s="6">
        <v>18</v>
      </c>
      <c r="E37" s="6">
        <f>E36+C37-D37</f>
      </c>
      <c r="F37" s="2"/>
    </row>
    <row x14ac:dyDescent="0.25" r="38" customHeight="1" ht="17.25">
      <c r="A38" s="8">
        <v>45668</v>
      </c>
      <c r="B38" s="9" t="s">
        <v>413</v>
      </c>
      <c r="C38" s="6">
        <v>16</v>
      </c>
      <c r="D38" s="4"/>
      <c r="E38" s="6">
        <f>E37+C38-D38</f>
      </c>
      <c r="F38" s="2"/>
    </row>
    <row x14ac:dyDescent="0.25" r="39" customHeight="1" ht="17.25">
      <c r="A39" s="8">
        <v>45668</v>
      </c>
      <c r="B39" s="9" t="s">
        <v>413</v>
      </c>
      <c r="C39" s="6">
        <v>13</v>
      </c>
      <c r="D39" s="4"/>
      <c r="E39" s="6">
        <f>E38+C39-D39</f>
      </c>
      <c r="F39" s="2"/>
    </row>
    <row x14ac:dyDescent="0.25" r="40" customHeight="1" ht="17.25">
      <c r="A40" s="7">
        <v>45668</v>
      </c>
      <c r="B40" s="9" t="s">
        <v>375</v>
      </c>
      <c r="C40" s="6">
        <v>83</v>
      </c>
      <c r="D40" s="4"/>
      <c r="E40" s="6">
        <f>E39+C40-D40</f>
      </c>
      <c r="F40" s="2"/>
    </row>
    <row x14ac:dyDescent="0.25" r="41" customHeight="1" ht="17.25">
      <c r="A41" s="7">
        <v>45670</v>
      </c>
      <c r="B41" s="9" t="s">
        <v>35</v>
      </c>
      <c r="C41" s="3"/>
      <c r="D41" s="6">
        <v>100</v>
      </c>
      <c r="E41" s="6">
        <f>E40+C41-D41</f>
      </c>
      <c r="F41" s="2"/>
    </row>
    <row x14ac:dyDescent="0.25" r="42" customHeight="1" ht="17.25">
      <c r="A42" s="8">
        <v>45670</v>
      </c>
      <c r="B42" s="9" t="s">
        <v>31</v>
      </c>
      <c r="C42" s="6">
        <v>15</v>
      </c>
      <c r="D42" s="4"/>
      <c r="E42" s="6">
        <f>E41+C42-D42</f>
      </c>
      <c r="F42" s="2"/>
    </row>
    <row x14ac:dyDescent="0.25" r="43" customHeight="1" ht="17.25">
      <c r="A43" s="8">
        <v>45670</v>
      </c>
      <c r="B43" s="9" t="s">
        <v>189</v>
      </c>
      <c r="C43" s="6">
        <v>7</v>
      </c>
      <c r="D43" s="4"/>
      <c r="E43" s="6">
        <f>E42+C43-D43</f>
      </c>
      <c r="F43" s="2"/>
    </row>
    <row x14ac:dyDescent="0.25" r="44" customHeight="1" ht="17.25">
      <c r="A44" s="8">
        <v>45670</v>
      </c>
      <c r="B44" s="9" t="s">
        <v>410</v>
      </c>
      <c r="C44" s="6">
        <v>26</v>
      </c>
      <c r="D44" s="4"/>
      <c r="E44" s="6">
        <f>E43+C44-D44</f>
      </c>
      <c r="F44" s="2"/>
    </row>
    <row x14ac:dyDescent="0.25" r="45" customHeight="1" ht="17.25">
      <c r="A45" s="7">
        <v>45670</v>
      </c>
      <c r="B45" s="9" t="s">
        <v>375</v>
      </c>
      <c r="C45" s="6">
        <v>11</v>
      </c>
      <c r="D45" s="4"/>
      <c r="E45" s="6">
        <f>E44+C45-D45</f>
      </c>
      <c r="F45" s="2"/>
    </row>
    <row x14ac:dyDescent="0.25" r="46" customHeight="1" ht="17.25">
      <c r="A46" s="7">
        <v>45671</v>
      </c>
      <c r="B46" s="9" t="s">
        <v>269</v>
      </c>
      <c r="C46" s="6">
        <v>41</v>
      </c>
      <c r="D46" s="4"/>
      <c r="E46" s="6">
        <f>E45+C46-D46</f>
      </c>
      <c r="F46" s="2"/>
    </row>
    <row x14ac:dyDescent="0.25" r="47" customHeight="1" ht="17.25">
      <c r="A47" s="7">
        <v>45671</v>
      </c>
      <c r="B47" s="9" t="s">
        <v>375</v>
      </c>
      <c r="C47" s="6">
        <v>74</v>
      </c>
      <c r="D47" s="4"/>
      <c r="E47" s="6">
        <f>E46+C47-D47</f>
      </c>
      <c r="F47" s="2"/>
    </row>
    <row x14ac:dyDescent="0.25" r="48" customHeight="1" ht="17.25">
      <c r="A48" s="7">
        <v>45671</v>
      </c>
      <c r="B48" s="9" t="s">
        <v>375</v>
      </c>
      <c r="C48" s="6">
        <v>80</v>
      </c>
      <c r="D48" s="4"/>
      <c r="E48" s="6">
        <f>E47+C48-D48</f>
      </c>
      <c r="F48" s="2"/>
    </row>
    <row x14ac:dyDescent="0.25" r="49" customHeight="1" ht="17.25">
      <c r="A49" s="7">
        <v>45672</v>
      </c>
      <c r="B49" s="9" t="s">
        <v>431</v>
      </c>
      <c r="C49" s="6">
        <v>150</v>
      </c>
      <c r="D49" s="4"/>
      <c r="E49" s="6">
        <f>E48+C49-D49</f>
      </c>
      <c r="F49" s="2"/>
    </row>
    <row x14ac:dyDescent="0.25" r="50" customHeight="1" ht="17.25">
      <c r="A50" s="7">
        <v>45672</v>
      </c>
      <c r="B50" s="9" t="s">
        <v>413</v>
      </c>
      <c r="C50" s="6">
        <v>11</v>
      </c>
      <c r="D50" s="4"/>
      <c r="E50" s="6">
        <f>E49+C50-D50</f>
      </c>
      <c r="F50" s="2"/>
    </row>
    <row x14ac:dyDescent="0.25" r="51" customHeight="1" ht="17.25">
      <c r="A51" s="7">
        <v>45672</v>
      </c>
      <c r="B51" s="9" t="s">
        <v>255</v>
      </c>
      <c r="C51" s="6">
        <v>14</v>
      </c>
      <c r="D51" s="4"/>
      <c r="E51" s="6">
        <f>E50+C51-D51</f>
      </c>
      <c r="F51" s="2"/>
    </row>
    <row x14ac:dyDescent="0.25" r="52" customHeight="1" ht="17.25">
      <c r="A52" s="7">
        <v>45672</v>
      </c>
      <c r="B52" s="9" t="s">
        <v>375</v>
      </c>
      <c r="C52" s="6">
        <v>94</v>
      </c>
      <c r="D52" s="4"/>
      <c r="E52" s="6">
        <f>E51+C52-D52</f>
      </c>
      <c r="F52" s="2"/>
    </row>
    <row x14ac:dyDescent="0.25" r="53" customHeight="1" ht="17.25">
      <c r="A53" s="8">
        <v>45672</v>
      </c>
      <c r="B53" s="9" t="s">
        <v>412</v>
      </c>
      <c r="C53" s="6">
        <v>100</v>
      </c>
      <c r="D53" s="4"/>
      <c r="E53" s="6">
        <f>E52+C53-D53</f>
      </c>
      <c r="F53" s="2"/>
    </row>
    <row x14ac:dyDescent="0.25" r="54" customHeight="1" ht="17.25">
      <c r="A54" s="8">
        <v>45673</v>
      </c>
      <c r="B54" s="9" t="s">
        <v>382</v>
      </c>
      <c r="C54" s="3"/>
      <c r="D54" s="6">
        <v>250</v>
      </c>
      <c r="E54" s="6">
        <f>E53+C54-D54</f>
      </c>
      <c r="F54" s="2"/>
    </row>
    <row x14ac:dyDescent="0.25" r="55" customHeight="1" ht="17.25">
      <c r="A55" s="8">
        <v>45673</v>
      </c>
      <c r="B55" s="9" t="s">
        <v>2</v>
      </c>
      <c r="C55" s="3"/>
      <c r="D55" s="6">
        <v>25</v>
      </c>
      <c r="E55" s="6">
        <f>E54+C55-D55</f>
      </c>
      <c r="F55" s="2"/>
    </row>
    <row x14ac:dyDescent="0.25" r="56" customHeight="1" ht="17.25">
      <c r="A56" s="8">
        <v>45673</v>
      </c>
      <c r="B56" s="9" t="s">
        <v>272</v>
      </c>
      <c r="C56" s="3"/>
      <c r="D56" s="6">
        <v>47</v>
      </c>
      <c r="E56" s="6">
        <f>E55+C56-D56</f>
      </c>
      <c r="F56" s="2"/>
    </row>
    <row x14ac:dyDescent="0.25" r="57" customHeight="1" ht="17.25">
      <c r="A57" s="8">
        <v>45673</v>
      </c>
      <c r="B57" s="9" t="s">
        <v>415</v>
      </c>
      <c r="C57" s="6">
        <v>54</v>
      </c>
      <c r="D57" s="4"/>
      <c r="E57" s="6">
        <f>E56+C57-D57</f>
      </c>
      <c r="F57" s="2"/>
    </row>
    <row x14ac:dyDescent="0.25" r="58" customHeight="1" ht="17.25">
      <c r="A58" s="7">
        <v>45674</v>
      </c>
      <c r="B58" s="9" t="s">
        <v>382</v>
      </c>
      <c r="C58" s="3"/>
      <c r="D58" s="6">
        <v>200</v>
      </c>
      <c r="E58" s="6">
        <f>E57+C58-D58</f>
      </c>
      <c r="F58" s="2"/>
    </row>
    <row x14ac:dyDescent="0.25" r="59" customHeight="1" ht="17.25">
      <c r="A59" s="7">
        <v>45674</v>
      </c>
      <c r="B59" s="9" t="s">
        <v>338</v>
      </c>
      <c r="C59" s="6">
        <v>15</v>
      </c>
      <c r="D59" s="4"/>
      <c r="E59" s="6">
        <f>E58+C59-D59</f>
      </c>
      <c r="F59" s="2"/>
    </row>
    <row x14ac:dyDescent="0.25" r="60" customHeight="1" ht="17.25">
      <c r="A60" s="7">
        <v>45674</v>
      </c>
      <c r="B60" s="9" t="s">
        <v>413</v>
      </c>
      <c r="C60" s="6">
        <v>40</v>
      </c>
      <c r="D60" s="4"/>
      <c r="E60" s="6">
        <f>E59+C60-D60</f>
      </c>
      <c r="F60" s="2"/>
    </row>
    <row x14ac:dyDescent="0.25" r="61" customHeight="1" ht="17.25">
      <c r="A61" s="7">
        <v>45674</v>
      </c>
      <c r="B61" s="9" t="s">
        <v>432</v>
      </c>
      <c r="C61" s="6">
        <v>2</v>
      </c>
      <c r="D61" s="4"/>
      <c r="E61" s="6">
        <f>E60+C61-D61</f>
      </c>
      <c r="F61" s="2"/>
    </row>
    <row x14ac:dyDescent="0.25" r="62" customHeight="1" ht="17.25">
      <c r="A62" s="7">
        <v>45675</v>
      </c>
      <c r="B62" s="9" t="s">
        <v>272</v>
      </c>
      <c r="C62" s="3"/>
      <c r="D62" s="6">
        <v>3</v>
      </c>
      <c r="E62" s="6">
        <f>E61+C62-D62</f>
      </c>
      <c r="F62" s="2"/>
    </row>
    <row x14ac:dyDescent="0.25" r="63" customHeight="1" ht="17.25">
      <c r="A63" s="8">
        <v>45675</v>
      </c>
      <c r="B63" s="9" t="s">
        <v>240</v>
      </c>
      <c r="C63" s="6">
        <v>13</v>
      </c>
      <c r="D63" s="4"/>
      <c r="E63" s="6">
        <f>E62+C63-D63</f>
      </c>
      <c r="F63" s="2"/>
    </row>
    <row x14ac:dyDescent="0.25" r="64" customHeight="1" ht="17.25">
      <c r="A64" s="8">
        <v>45675</v>
      </c>
      <c r="B64" s="9" t="s">
        <v>413</v>
      </c>
      <c r="C64" s="6">
        <v>85</v>
      </c>
      <c r="D64" s="4"/>
      <c r="E64" s="6">
        <f>E63+C64-D64</f>
      </c>
      <c r="F64" s="2"/>
    </row>
    <row x14ac:dyDescent="0.25" r="65" customHeight="1" ht="17.25">
      <c r="A65" s="7">
        <v>45677</v>
      </c>
      <c r="B65" s="9" t="s">
        <v>382</v>
      </c>
      <c r="C65" s="3"/>
      <c r="D65" s="6">
        <v>440</v>
      </c>
      <c r="E65" s="6">
        <f>E64+C65-D65</f>
      </c>
      <c r="F65" s="2"/>
    </row>
    <row x14ac:dyDescent="0.25" r="66" customHeight="1" ht="17.25">
      <c r="A66" s="7">
        <v>45677</v>
      </c>
      <c r="B66" s="9" t="s">
        <v>382</v>
      </c>
      <c r="C66" s="3"/>
      <c r="D66" s="6">
        <v>15</v>
      </c>
      <c r="E66" s="6">
        <f>E65+C66-D66</f>
      </c>
      <c r="F66" s="2"/>
    </row>
    <row x14ac:dyDescent="0.25" r="67" customHeight="1" ht="17.25">
      <c r="A67" s="8">
        <v>45677</v>
      </c>
      <c r="B67" s="9" t="s">
        <v>410</v>
      </c>
      <c r="C67" s="6">
        <v>20</v>
      </c>
      <c r="D67" s="4"/>
      <c r="E67" s="6">
        <f>E66+C67-D67</f>
      </c>
      <c r="F67" s="2"/>
    </row>
    <row x14ac:dyDescent="0.25" r="68" customHeight="1" ht="17.25">
      <c r="A68" s="8">
        <v>45677</v>
      </c>
      <c r="B68" s="9" t="s">
        <v>131</v>
      </c>
      <c r="C68" s="6">
        <v>19</v>
      </c>
      <c r="D68" s="4"/>
      <c r="E68" s="6">
        <f>E67+C68-D68</f>
      </c>
      <c r="F68" s="2"/>
    </row>
    <row x14ac:dyDescent="0.25" r="69" customHeight="1" ht="17.25">
      <c r="A69" s="7">
        <v>45678</v>
      </c>
      <c r="B69" s="9" t="s">
        <v>128</v>
      </c>
      <c r="C69" s="6">
        <v>89</v>
      </c>
      <c r="D69" s="4"/>
      <c r="E69" s="6">
        <f>E68+C69-D69</f>
      </c>
      <c r="F69" s="2"/>
    </row>
    <row x14ac:dyDescent="0.25" r="70" customHeight="1" ht="17.25">
      <c r="A70" s="7">
        <v>45678</v>
      </c>
      <c r="B70" s="9" t="s">
        <v>35</v>
      </c>
      <c r="C70" s="3"/>
      <c r="D70" s="6">
        <v>100</v>
      </c>
      <c r="E70" s="6">
        <f>E69+C70-D70</f>
      </c>
      <c r="F70" s="2"/>
    </row>
    <row x14ac:dyDescent="0.25" r="71" customHeight="1" ht="17.25">
      <c r="A71" s="7">
        <v>45679</v>
      </c>
      <c r="B71" s="9" t="s">
        <v>29</v>
      </c>
      <c r="C71" s="3"/>
      <c r="D71" s="6">
        <v>50</v>
      </c>
      <c r="E71" s="6">
        <f>E70+C71-D71</f>
      </c>
      <c r="F71" s="2"/>
    </row>
    <row x14ac:dyDescent="0.25" r="72" customHeight="1" ht="17.25">
      <c r="A72" s="8">
        <v>45679</v>
      </c>
      <c r="B72" s="9" t="s">
        <v>414</v>
      </c>
      <c r="C72" s="6">
        <v>12</v>
      </c>
      <c r="D72" s="4"/>
      <c r="E72" s="6">
        <f>E71+C72-D72</f>
      </c>
      <c r="F72" s="2"/>
    </row>
    <row x14ac:dyDescent="0.25" r="73" customHeight="1" ht="17.25">
      <c r="A73" s="7">
        <v>45679</v>
      </c>
      <c r="B73" s="9" t="s">
        <v>375</v>
      </c>
      <c r="C73" s="6">
        <v>54</v>
      </c>
      <c r="D73" s="4"/>
      <c r="E73" s="6">
        <f>E72+C73-D73</f>
      </c>
      <c r="F73" s="2"/>
    </row>
    <row x14ac:dyDescent="0.25" r="74" customHeight="1" ht="17.25">
      <c r="A74" s="8">
        <v>45679</v>
      </c>
      <c r="B74" s="9" t="s">
        <v>376</v>
      </c>
      <c r="C74" s="6">
        <v>55</v>
      </c>
      <c r="D74" s="4"/>
      <c r="E74" s="6">
        <f>E73+C74-D74</f>
      </c>
      <c r="F74" s="2"/>
    </row>
    <row x14ac:dyDescent="0.25" r="75" customHeight="1" ht="17.25">
      <c r="A75" s="8">
        <v>45680</v>
      </c>
      <c r="B75" s="9" t="s">
        <v>326</v>
      </c>
      <c r="C75" s="6">
        <v>10</v>
      </c>
      <c r="D75" s="4"/>
      <c r="E75" s="6">
        <f>E74+C75-D75</f>
      </c>
      <c r="F75" s="2"/>
    </row>
    <row x14ac:dyDescent="0.25" r="76" customHeight="1" ht="17.25">
      <c r="A76" s="8">
        <v>45680</v>
      </c>
      <c r="B76" s="9" t="s">
        <v>269</v>
      </c>
      <c r="C76" s="6">
        <v>2</v>
      </c>
      <c r="D76" s="4"/>
      <c r="E76" s="6">
        <f>E75+C76-D76</f>
      </c>
      <c r="F76" s="2"/>
    </row>
    <row x14ac:dyDescent="0.25" r="77" customHeight="1" ht="17.25">
      <c r="A77" s="7">
        <v>45681</v>
      </c>
      <c r="B77" s="9" t="s">
        <v>35</v>
      </c>
      <c r="C77" s="6">
        <v>182</v>
      </c>
      <c r="D77" s="4"/>
      <c r="E77" s="6">
        <f>E76+C77-D77</f>
      </c>
      <c r="F77" s="2"/>
    </row>
    <row x14ac:dyDescent="0.25" r="78" customHeight="1" ht="17.25">
      <c r="A78" s="7">
        <v>45681</v>
      </c>
      <c r="B78" s="9" t="s">
        <v>131</v>
      </c>
      <c r="C78" s="6">
        <v>31</v>
      </c>
      <c r="D78" s="4"/>
      <c r="E78" s="6">
        <f>E77+C78-D78</f>
      </c>
      <c r="F78" s="2"/>
    </row>
    <row x14ac:dyDescent="0.25" r="79" customHeight="1" ht="17.25">
      <c r="A79" s="7">
        <v>45681</v>
      </c>
      <c r="B79" s="9" t="s">
        <v>131</v>
      </c>
      <c r="C79" s="6">
        <v>15</v>
      </c>
      <c r="D79" s="4"/>
      <c r="E79" s="6">
        <f>E78+C79-D79</f>
      </c>
      <c r="F79" s="2"/>
    </row>
    <row x14ac:dyDescent="0.25" r="80" customHeight="1" ht="17.25">
      <c r="A80" s="8">
        <v>45682</v>
      </c>
      <c r="B80" s="9" t="s">
        <v>2</v>
      </c>
      <c r="C80" s="3"/>
      <c r="D80" s="6">
        <v>10</v>
      </c>
      <c r="E80" s="6">
        <f>E79+C80-D80</f>
      </c>
      <c r="F80" s="2"/>
    </row>
    <row x14ac:dyDescent="0.25" r="81" customHeight="1" ht="17.25">
      <c r="A81" s="7">
        <v>45682</v>
      </c>
      <c r="B81" s="9" t="s">
        <v>35</v>
      </c>
      <c r="C81" s="6">
        <v>171</v>
      </c>
      <c r="D81" s="4"/>
      <c r="E81" s="6">
        <f>E80+C81-D81</f>
      </c>
      <c r="F81" s="2"/>
    </row>
    <row x14ac:dyDescent="0.25" r="82" customHeight="1" ht="17.25">
      <c r="A82" s="8">
        <v>45682</v>
      </c>
      <c r="B82" s="9" t="s">
        <v>414</v>
      </c>
      <c r="C82" s="6">
        <v>20</v>
      </c>
      <c r="D82" s="4"/>
      <c r="E82" s="6">
        <f>E81+C82-D82</f>
      </c>
      <c r="F82" s="2"/>
    </row>
    <row x14ac:dyDescent="0.25" r="83" customHeight="1" ht="17.25">
      <c r="A83" s="8">
        <v>45682</v>
      </c>
      <c r="B83" s="9" t="s">
        <v>123</v>
      </c>
      <c r="C83" s="6">
        <v>10</v>
      </c>
      <c r="D83" s="4"/>
      <c r="E83" s="6">
        <f>E82+C83-D83</f>
      </c>
      <c r="F83" s="2"/>
    </row>
    <row x14ac:dyDescent="0.25" r="84" customHeight="1" ht="17.25">
      <c r="A84" s="8">
        <v>45685</v>
      </c>
      <c r="B84" s="9" t="s">
        <v>413</v>
      </c>
      <c r="C84" s="6">
        <v>4</v>
      </c>
      <c r="D84" s="4"/>
      <c r="E84" s="6">
        <f>E83+C84-D84</f>
      </c>
      <c r="F84" s="2"/>
    </row>
    <row x14ac:dyDescent="0.25" r="85" customHeight="1" ht="17.25">
      <c r="A85" s="7">
        <v>45685</v>
      </c>
      <c r="B85" s="9" t="s">
        <v>35</v>
      </c>
      <c r="C85" s="6">
        <v>173</v>
      </c>
      <c r="D85" s="4"/>
      <c r="E85" s="6">
        <f>E84+C85-D85</f>
      </c>
      <c r="F85" s="2"/>
    </row>
    <row x14ac:dyDescent="0.25" r="86" customHeight="1" ht="17.25">
      <c r="A86" s="7">
        <v>45685</v>
      </c>
      <c r="B86" s="9" t="s">
        <v>412</v>
      </c>
      <c r="C86" s="6">
        <v>73</v>
      </c>
      <c r="D86" s="4"/>
      <c r="E86" s="6">
        <f>E85+C86-D86</f>
      </c>
      <c r="F86" s="2"/>
    </row>
    <row x14ac:dyDescent="0.25" r="87" customHeight="1" ht="17.25">
      <c r="A87" s="8">
        <v>45685</v>
      </c>
      <c r="B87" s="9" t="s">
        <v>227</v>
      </c>
      <c r="C87" s="6">
        <v>31</v>
      </c>
      <c r="D87" s="4"/>
      <c r="E87" s="6">
        <f>E86+C87-D87</f>
      </c>
      <c r="F87" s="2"/>
    </row>
    <row x14ac:dyDescent="0.25" r="88" customHeight="1" ht="17.25">
      <c r="A88" s="8">
        <v>45685</v>
      </c>
      <c r="B88" s="9" t="s">
        <v>259</v>
      </c>
      <c r="C88" s="6">
        <v>83</v>
      </c>
      <c r="D88" s="4"/>
      <c r="E88" s="6">
        <f>E87+C88-D88</f>
      </c>
      <c r="F88" s="2"/>
    </row>
    <row x14ac:dyDescent="0.25" r="89" customHeight="1" ht="17.25">
      <c r="A89" s="8">
        <v>45687</v>
      </c>
      <c r="B89" s="9" t="s">
        <v>189</v>
      </c>
      <c r="C89" s="6">
        <v>12</v>
      </c>
      <c r="D89" s="4"/>
      <c r="E89" s="6">
        <f>E88+C89-D89</f>
      </c>
      <c r="F89" s="2"/>
    </row>
    <row x14ac:dyDescent="0.25" r="90" customHeight="1" ht="17.25">
      <c r="A90" s="8">
        <v>45687</v>
      </c>
      <c r="B90" s="9" t="s">
        <v>11</v>
      </c>
      <c r="C90" s="6">
        <v>75</v>
      </c>
      <c r="D90" s="4"/>
      <c r="E90" s="6">
        <f>E89+C90-D90</f>
      </c>
      <c r="F90" s="2"/>
    </row>
    <row x14ac:dyDescent="0.25" r="91" customHeight="1" ht="17.25">
      <c r="A91" s="8">
        <v>45688</v>
      </c>
      <c r="B91" s="9" t="s">
        <v>39</v>
      </c>
      <c r="C91" s="6">
        <v>183</v>
      </c>
      <c r="D91" s="4"/>
      <c r="E91" s="6">
        <f>E90+C91-D91</f>
      </c>
      <c r="F91" s="2"/>
    </row>
    <row x14ac:dyDescent="0.25" r="92" customHeight="1" ht="17.25">
      <c r="A92" s="8">
        <v>45688</v>
      </c>
      <c r="B92" s="9" t="s">
        <v>269</v>
      </c>
      <c r="C92" s="6">
        <v>42</v>
      </c>
      <c r="D92" s="4"/>
      <c r="E92" s="6">
        <f>E91+C92-D92</f>
      </c>
      <c r="F92" s="2"/>
    </row>
    <row x14ac:dyDescent="0.25" r="93" customHeight="1" ht="17.25">
      <c r="A93" s="7">
        <v>45688</v>
      </c>
      <c r="B93" s="9" t="s">
        <v>35</v>
      </c>
      <c r="C93" s="6">
        <v>204</v>
      </c>
      <c r="D93" s="4"/>
      <c r="E93" s="6">
        <f>E92+C93-D93</f>
      </c>
      <c r="F93" s="2"/>
    </row>
    <row x14ac:dyDescent="0.25" r="94" customHeight="1" ht="17.25">
      <c r="A94" s="8">
        <v>45688</v>
      </c>
      <c r="B94" s="9" t="s">
        <v>131</v>
      </c>
      <c r="C94" s="6">
        <v>15</v>
      </c>
      <c r="D94" s="4"/>
      <c r="E94" s="6">
        <f>E93+C94-D94</f>
      </c>
      <c r="F94" s="2"/>
    </row>
    <row x14ac:dyDescent="0.25" r="95" customHeight="1" ht="17.25">
      <c r="A95" s="7">
        <v>45688</v>
      </c>
      <c r="B95" s="9" t="s">
        <v>189</v>
      </c>
      <c r="C95" s="6">
        <v>25</v>
      </c>
      <c r="D95" s="4"/>
      <c r="E95" s="6">
        <f>E94+C95-D95</f>
      </c>
      <c r="F95" s="2"/>
    </row>
    <row x14ac:dyDescent="0.25" r="96" customHeight="1" ht="17.25">
      <c r="A96" s="8">
        <v>45688</v>
      </c>
      <c r="B96" s="9" t="s">
        <v>385</v>
      </c>
      <c r="C96" s="6">
        <v>29</v>
      </c>
      <c r="D96" s="4"/>
      <c r="E96" s="6">
        <f>E95+C96-D96</f>
      </c>
      <c r="F96" s="2"/>
    </row>
    <row x14ac:dyDescent="0.25" r="97" customHeight="1" ht="17.25">
      <c r="A97" s="8">
        <v>45688</v>
      </c>
      <c r="B97" s="9" t="s">
        <v>415</v>
      </c>
      <c r="C97" s="6">
        <v>15</v>
      </c>
      <c r="D97" s="4"/>
      <c r="E97" s="6">
        <f>E96+C97-D97</f>
      </c>
      <c r="F97" s="2"/>
    </row>
    <row x14ac:dyDescent="0.25" r="98" customHeight="1" ht="17.25">
      <c r="A98" s="8">
        <v>45688</v>
      </c>
      <c r="B98" s="9" t="s">
        <v>375</v>
      </c>
      <c r="C98" s="6">
        <v>115</v>
      </c>
      <c r="D98" s="4"/>
      <c r="E98" s="6">
        <f>E97+C98-D98</f>
      </c>
      <c r="F98" s="2"/>
    </row>
    <row x14ac:dyDescent="0.25" r="99" customHeight="1" ht="17.25">
      <c r="A99" s="7">
        <v>45688</v>
      </c>
      <c r="B99" s="9" t="s">
        <v>31</v>
      </c>
      <c r="C99" s="6">
        <v>16</v>
      </c>
      <c r="D99" s="4"/>
      <c r="E99" s="6">
        <f>E98+C99-D99</f>
      </c>
      <c r="F99" s="2"/>
    </row>
    <row x14ac:dyDescent="0.25" r="100" customHeight="1" ht="17.25">
      <c r="A100" s="8">
        <v>45689</v>
      </c>
      <c r="B100" s="9" t="s">
        <v>11</v>
      </c>
      <c r="C100" s="6">
        <v>2</v>
      </c>
      <c r="D100" s="4"/>
      <c r="E100" s="6">
        <f>E99+C100-D100</f>
      </c>
      <c r="F100" s="2"/>
    </row>
    <row x14ac:dyDescent="0.25" r="101" customHeight="1" ht="17.25">
      <c r="A101" s="8">
        <v>45689</v>
      </c>
      <c r="B101" s="9" t="s">
        <v>269</v>
      </c>
      <c r="C101" s="6">
        <v>4</v>
      </c>
      <c r="D101" s="4"/>
      <c r="E101" s="6">
        <f>E100+C101-D101</f>
      </c>
      <c r="F101" s="2"/>
    </row>
    <row x14ac:dyDescent="0.25" r="102" customHeight="1" ht="17.25">
      <c r="A102" s="39">
        <v>45689</v>
      </c>
      <c r="B102" s="36" t="s">
        <v>39</v>
      </c>
      <c r="C102" s="33">
        <v>30</v>
      </c>
      <c r="D102" s="32"/>
      <c r="E102" s="33">
        <f>E101+C102-D102</f>
      </c>
      <c r="F102" s="31" t="s">
        <v>178</v>
      </c>
    </row>
    <row x14ac:dyDescent="0.25" r="103" customHeight="1" ht="17.25">
      <c r="A103" s="8">
        <v>45689</v>
      </c>
      <c r="B103" s="9" t="s">
        <v>375</v>
      </c>
      <c r="C103" s="6">
        <v>30</v>
      </c>
      <c r="D103" s="4"/>
      <c r="E103" s="6">
        <f>E102+C103-D103</f>
      </c>
      <c r="F103" s="2"/>
    </row>
    <row x14ac:dyDescent="0.25" r="104" customHeight="1" ht="17.25">
      <c r="A104" s="7">
        <v>45689</v>
      </c>
      <c r="B104" s="9" t="s">
        <v>131</v>
      </c>
      <c r="C104" s="6">
        <v>50</v>
      </c>
      <c r="D104" s="4"/>
      <c r="E104" s="6">
        <f>E103+C104-D104</f>
      </c>
      <c r="F104" s="2"/>
    </row>
    <row x14ac:dyDescent="0.25" r="105" customHeight="1" ht="17.25">
      <c r="A105" s="7">
        <v>45691</v>
      </c>
      <c r="B105" s="9" t="s">
        <v>273</v>
      </c>
      <c r="C105" s="6">
        <v>27</v>
      </c>
      <c r="D105" s="4"/>
      <c r="E105" s="6">
        <f>E104+C105-D105</f>
      </c>
      <c r="F105" s="2"/>
    </row>
    <row x14ac:dyDescent="0.25" r="106" customHeight="1" ht="17.25">
      <c r="A106" s="8">
        <v>45691</v>
      </c>
      <c r="B106" s="9" t="s">
        <v>35</v>
      </c>
      <c r="C106" s="6">
        <v>41</v>
      </c>
      <c r="D106" s="4"/>
      <c r="E106" s="6">
        <f>E105+C106-D106</f>
      </c>
      <c r="F106" s="2"/>
    </row>
    <row x14ac:dyDescent="0.25" r="107" customHeight="1" ht="17.25">
      <c r="A107" s="7">
        <v>45691</v>
      </c>
      <c r="B107" s="9" t="s">
        <v>11</v>
      </c>
      <c r="C107" s="6">
        <v>15</v>
      </c>
      <c r="D107" s="4"/>
      <c r="E107" s="6">
        <f>E106+C107-D107</f>
      </c>
      <c r="F107" s="2"/>
    </row>
    <row x14ac:dyDescent="0.25" r="108" customHeight="1" ht="17.25">
      <c r="A108" s="8">
        <v>45692</v>
      </c>
      <c r="B108" s="9" t="s">
        <v>433</v>
      </c>
      <c r="C108" s="3"/>
      <c r="D108" s="6">
        <v>2</v>
      </c>
      <c r="E108" s="6">
        <f>E107+C108-D108</f>
      </c>
      <c r="F108" s="2"/>
    </row>
    <row x14ac:dyDescent="0.25" r="109" customHeight="1" ht="17.25">
      <c r="A109" s="7">
        <v>45692</v>
      </c>
      <c r="B109" s="9" t="s">
        <v>131</v>
      </c>
      <c r="C109" s="6">
        <v>77</v>
      </c>
      <c r="D109" s="4"/>
      <c r="E109" s="6">
        <f>E108+C109-D109</f>
      </c>
      <c r="F109" s="2"/>
    </row>
    <row x14ac:dyDescent="0.25" r="110" customHeight="1" ht="17.25">
      <c r="A110" s="7">
        <v>45692</v>
      </c>
      <c r="B110" s="9" t="s">
        <v>378</v>
      </c>
      <c r="C110" s="6">
        <v>2</v>
      </c>
      <c r="D110" s="4"/>
      <c r="E110" s="6">
        <f>E109+C110-D110</f>
      </c>
      <c r="F110" s="2"/>
    </row>
    <row x14ac:dyDescent="0.25" r="111" customHeight="1" ht="17.25">
      <c r="A111" s="8">
        <v>45693</v>
      </c>
      <c r="B111" s="9" t="s">
        <v>269</v>
      </c>
      <c r="C111" s="6">
        <v>41</v>
      </c>
      <c r="D111" s="4"/>
      <c r="E111" s="6">
        <f>E110+C111-D111</f>
      </c>
      <c r="F111" s="2"/>
    </row>
    <row x14ac:dyDescent="0.25" r="112" customHeight="1" ht="17.25">
      <c r="A112" s="8">
        <v>45693</v>
      </c>
      <c r="B112" s="9" t="s">
        <v>378</v>
      </c>
      <c r="C112" s="6">
        <v>67</v>
      </c>
      <c r="D112" s="4"/>
      <c r="E112" s="6">
        <f>E111+C112-D112</f>
      </c>
      <c r="F112" s="2"/>
    </row>
    <row x14ac:dyDescent="0.25" r="113" customHeight="1" ht="17.25">
      <c r="A113" s="8">
        <v>45693</v>
      </c>
      <c r="B113" s="9" t="s">
        <v>376</v>
      </c>
      <c r="C113" s="6">
        <v>57</v>
      </c>
      <c r="D113" s="4"/>
      <c r="E113" s="6">
        <f>E112+C113-D113</f>
      </c>
      <c r="F113" s="2"/>
    </row>
    <row x14ac:dyDescent="0.25" r="114" customHeight="1" ht="17.25">
      <c r="A114" s="39">
        <v>45693</v>
      </c>
      <c r="B114" s="36" t="s">
        <v>41</v>
      </c>
      <c r="C114" s="32"/>
      <c r="D114" s="33">
        <v>2</v>
      </c>
      <c r="E114" s="33">
        <f>E113+C114-D114</f>
      </c>
      <c r="F114" s="31" t="s">
        <v>203</v>
      </c>
    </row>
    <row x14ac:dyDescent="0.25" r="115" customHeight="1" ht="17.25">
      <c r="A115" s="7">
        <v>45694</v>
      </c>
      <c r="B115" s="9" t="s">
        <v>382</v>
      </c>
      <c r="C115" s="6">
        <v>166</v>
      </c>
      <c r="D115" s="4"/>
      <c r="E115" s="6">
        <f>E114+C115-D115</f>
      </c>
      <c r="F115" s="2"/>
    </row>
    <row x14ac:dyDescent="0.25" r="116" customHeight="1" ht="17.25">
      <c r="A116" s="8">
        <v>45694</v>
      </c>
      <c r="B116" s="9" t="s">
        <v>189</v>
      </c>
      <c r="C116" s="6">
        <v>12</v>
      </c>
      <c r="D116" s="4"/>
      <c r="E116" s="6">
        <f>E115+C116-D116</f>
      </c>
      <c r="F116" s="2"/>
    </row>
    <row x14ac:dyDescent="0.25" r="117" customHeight="1" ht="17.25">
      <c r="A117" s="7">
        <v>45694</v>
      </c>
      <c r="B117" s="9" t="s">
        <v>35</v>
      </c>
      <c r="C117" s="6">
        <v>111</v>
      </c>
      <c r="D117" s="4"/>
      <c r="E117" s="6">
        <f>E116+C117-D117</f>
      </c>
      <c r="F117" s="2"/>
    </row>
    <row x14ac:dyDescent="0.25" r="118" customHeight="1" ht="17.25">
      <c r="A118" s="8">
        <v>45694</v>
      </c>
      <c r="B118" s="9" t="s">
        <v>275</v>
      </c>
      <c r="C118" s="6">
        <v>9</v>
      </c>
      <c r="D118" s="4"/>
      <c r="E118" s="6">
        <f>E117+C118-D118</f>
      </c>
      <c r="F118" s="2"/>
    </row>
    <row x14ac:dyDescent="0.25" r="119" customHeight="1" ht="17.25">
      <c r="A119" s="7">
        <v>45695</v>
      </c>
      <c r="B119" s="9" t="s">
        <v>3</v>
      </c>
      <c r="C119" s="3"/>
      <c r="D119" s="6">
        <v>10</v>
      </c>
      <c r="E119" s="6">
        <f>E118+C119-D119</f>
      </c>
      <c r="F119" s="2"/>
    </row>
    <row x14ac:dyDescent="0.25" r="120" customHeight="1" ht="17.25">
      <c r="A120" s="34">
        <v>45695</v>
      </c>
      <c r="B120" s="36" t="s">
        <v>284</v>
      </c>
      <c r="C120" s="32"/>
      <c r="D120" s="33">
        <v>20</v>
      </c>
      <c r="E120" s="33">
        <f>E119+C120-D120</f>
      </c>
      <c r="F120" s="31" t="s">
        <v>380</v>
      </c>
    </row>
    <row x14ac:dyDescent="0.25" r="121" customHeight="1" ht="17.25">
      <c r="A121" s="7">
        <v>45695</v>
      </c>
      <c r="B121" s="9" t="s">
        <v>31</v>
      </c>
      <c r="C121" s="6">
        <v>6</v>
      </c>
      <c r="D121" s="4"/>
      <c r="E121" s="6">
        <f>E120+C121-D121</f>
      </c>
      <c r="F121" s="2"/>
    </row>
    <row x14ac:dyDescent="0.25" r="122" customHeight="1" ht="17.25">
      <c r="A122" s="8">
        <v>45695</v>
      </c>
      <c r="B122" s="9" t="s">
        <v>11</v>
      </c>
      <c r="C122" s="6">
        <v>171</v>
      </c>
      <c r="D122" s="4"/>
      <c r="E122" s="6">
        <f>E121+C122-D122</f>
      </c>
      <c r="F122" s="2"/>
    </row>
    <row x14ac:dyDescent="0.25" r="123" customHeight="1" ht="17.25">
      <c r="A123" s="39">
        <v>45695</v>
      </c>
      <c r="B123" s="36" t="s">
        <v>41</v>
      </c>
      <c r="C123" s="33">
        <v>2</v>
      </c>
      <c r="D123" s="32"/>
      <c r="E123" s="33">
        <f>E122+C123-D123</f>
      </c>
      <c r="F123" s="31" t="s">
        <v>434</v>
      </c>
    </row>
    <row x14ac:dyDescent="0.25" r="124" customHeight="1" ht="17.25">
      <c r="A124" s="7">
        <v>45696</v>
      </c>
      <c r="B124" s="9" t="s">
        <v>35</v>
      </c>
      <c r="C124" s="6">
        <v>196</v>
      </c>
      <c r="D124" s="4"/>
      <c r="E124" s="6">
        <f>E123+C124-D124</f>
      </c>
      <c r="F124" s="2"/>
    </row>
    <row x14ac:dyDescent="0.25" r="125" customHeight="1" ht="17.25">
      <c r="A125" s="7">
        <v>45696</v>
      </c>
      <c r="B125" s="9" t="s">
        <v>35</v>
      </c>
      <c r="C125" s="6">
        <v>22</v>
      </c>
      <c r="D125" s="4"/>
      <c r="E125" s="6">
        <f>E124+C125-D125</f>
      </c>
      <c r="F125" s="2"/>
    </row>
    <row x14ac:dyDescent="0.25" r="126" customHeight="1" ht="17.25">
      <c r="A126" s="7">
        <v>45696</v>
      </c>
      <c r="B126" s="9" t="s">
        <v>189</v>
      </c>
      <c r="C126" s="6">
        <v>36</v>
      </c>
      <c r="D126" s="4"/>
      <c r="E126" s="6">
        <f>E125+C126-D126</f>
      </c>
      <c r="F126" s="2"/>
    </row>
    <row x14ac:dyDescent="0.25" r="127" customHeight="1" ht="17.25">
      <c r="A127" s="8">
        <v>45697</v>
      </c>
      <c r="B127" s="9" t="s">
        <v>29</v>
      </c>
      <c r="C127" s="3"/>
      <c r="D127" s="6">
        <v>60</v>
      </c>
      <c r="E127" s="6">
        <f>E126+C127-D127</f>
      </c>
      <c r="F127" s="2"/>
    </row>
    <row x14ac:dyDescent="0.25" r="128" customHeight="1" ht="17.25">
      <c r="A128" s="8">
        <v>45698</v>
      </c>
      <c r="B128" s="9" t="s">
        <v>11</v>
      </c>
      <c r="C128" s="6">
        <v>161</v>
      </c>
      <c r="D128" s="4"/>
      <c r="E128" s="6">
        <f>E127+C128-D128</f>
      </c>
      <c r="F128" s="2"/>
    </row>
    <row x14ac:dyDescent="0.25" r="129" customHeight="1" ht="17.25">
      <c r="A129" s="8">
        <v>45698</v>
      </c>
      <c r="B129" s="9" t="s">
        <v>35</v>
      </c>
      <c r="C129" s="6">
        <v>8</v>
      </c>
      <c r="D129" s="4"/>
      <c r="E129" s="6">
        <f>E128+C129-D129</f>
      </c>
      <c r="F129" s="2"/>
    </row>
    <row x14ac:dyDescent="0.25" r="130" customHeight="1" ht="17.25">
      <c r="A130" s="8">
        <v>45698</v>
      </c>
      <c r="B130" s="9" t="s">
        <v>35</v>
      </c>
      <c r="C130" s="6">
        <v>60</v>
      </c>
      <c r="D130" s="4"/>
      <c r="E130" s="6">
        <f>E129+C130-D130</f>
      </c>
      <c r="F130" s="2"/>
    </row>
    <row x14ac:dyDescent="0.25" r="131" customHeight="1" ht="17.25">
      <c r="A131" s="8">
        <v>45698</v>
      </c>
      <c r="B131" s="9" t="s">
        <v>269</v>
      </c>
      <c r="C131" s="6">
        <v>7</v>
      </c>
      <c r="D131" s="4"/>
      <c r="E131" s="6">
        <f>E130+C131-D131</f>
      </c>
      <c r="F131" s="2"/>
    </row>
    <row x14ac:dyDescent="0.25" r="132" customHeight="1" ht="17.25">
      <c r="A132" s="7">
        <v>45698</v>
      </c>
      <c r="B132" s="9" t="s">
        <v>189</v>
      </c>
      <c r="C132" s="6">
        <v>32</v>
      </c>
      <c r="D132" s="4"/>
      <c r="E132" s="6">
        <f>E131+C132-D132</f>
      </c>
      <c r="F132" s="2"/>
    </row>
    <row x14ac:dyDescent="0.25" r="133" customHeight="1" ht="17.25">
      <c r="A133" s="8">
        <v>45699</v>
      </c>
      <c r="B133" s="9" t="s">
        <v>131</v>
      </c>
      <c r="C133" s="6">
        <v>1</v>
      </c>
      <c r="D133" s="4"/>
      <c r="E133" s="6">
        <f>E132+C133-D133</f>
      </c>
      <c r="F133" s="2"/>
    </row>
    <row x14ac:dyDescent="0.25" r="134" customHeight="1" ht="17.25">
      <c r="A134" s="8">
        <v>45699</v>
      </c>
      <c r="B134" s="9" t="s">
        <v>189</v>
      </c>
      <c r="C134" s="6">
        <v>29</v>
      </c>
      <c r="D134" s="4"/>
      <c r="E134" s="6">
        <f>E133+C134-D134</f>
      </c>
      <c r="F134" s="2"/>
    </row>
    <row x14ac:dyDescent="0.25" r="135" customHeight="1" ht="17.25">
      <c r="A135" s="8">
        <v>45700</v>
      </c>
      <c r="B135" s="9" t="s">
        <v>35</v>
      </c>
      <c r="C135" s="6">
        <v>47</v>
      </c>
      <c r="D135" s="4"/>
      <c r="E135" s="6">
        <f>E134+C135-D135</f>
      </c>
      <c r="F135" s="2"/>
    </row>
    <row x14ac:dyDescent="0.25" r="136" customHeight="1" ht="17.25">
      <c r="A136" s="8">
        <v>45700</v>
      </c>
      <c r="B136" s="9" t="s">
        <v>35</v>
      </c>
      <c r="C136" s="6">
        <v>91</v>
      </c>
      <c r="D136" s="4"/>
      <c r="E136" s="6">
        <f>E135+C136-D136</f>
      </c>
      <c r="F136" s="2"/>
    </row>
    <row x14ac:dyDescent="0.25" r="137" customHeight="1" ht="17.25">
      <c r="A137" s="7">
        <v>45700</v>
      </c>
      <c r="B137" s="9" t="s">
        <v>406</v>
      </c>
      <c r="C137" s="6">
        <v>16</v>
      </c>
      <c r="D137" s="4"/>
      <c r="E137" s="6">
        <f>E136+C137-D137</f>
      </c>
      <c r="F137" s="2"/>
    </row>
    <row x14ac:dyDescent="0.25" r="138" customHeight="1" ht="17.25">
      <c r="A138" s="8">
        <v>45700</v>
      </c>
      <c r="B138" s="9" t="s">
        <v>189</v>
      </c>
      <c r="C138" s="6">
        <v>26</v>
      </c>
      <c r="D138" s="4"/>
      <c r="E138" s="6">
        <f>E137+C138-D138</f>
      </c>
      <c r="F138" s="2"/>
    </row>
    <row x14ac:dyDescent="0.25" r="139" customHeight="1" ht="17.25">
      <c r="A139" s="8">
        <v>45700</v>
      </c>
      <c r="B139" s="9" t="s">
        <v>376</v>
      </c>
      <c r="C139" s="6">
        <v>51</v>
      </c>
      <c r="D139" s="4"/>
      <c r="E139" s="6">
        <f>E138+C139-D139</f>
      </c>
      <c r="F139" s="2"/>
    </row>
    <row x14ac:dyDescent="0.25" r="140" customHeight="1" ht="17.25">
      <c r="A140" s="8">
        <v>45700</v>
      </c>
      <c r="B140" s="9" t="s">
        <v>412</v>
      </c>
      <c r="C140" s="6">
        <v>33</v>
      </c>
      <c r="D140" s="4"/>
      <c r="E140" s="6">
        <f>E139+C140-D140</f>
      </c>
      <c r="F140" s="2"/>
    </row>
    <row x14ac:dyDescent="0.25" r="141" customHeight="1" ht="17.25">
      <c r="A141" s="7">
        <v>45700</v>
      </c>
      <c r="B141" s="9" t="s">
        <v>382</v>
      </c>
      <c r="C141" s="6">
        <v>131</v>
      </c>
      <c r="D141" s="4"/>
      <c r="E141" s="6">
        <f>E140+C141-D141</f>
      </c>
      <c r="F141" s="2"/>
    </row>
    <row x14ac:dyDescent="0.25" r="142" customHeight="1" ht="17.25">
      <c r="A142" s="8">
        <v>45700</v>
      </c>
      <c r="B142" s="9" t="s">
        <v>11</v>
      </c>
      <c r="C142" s="6">
        <v>170</v>
      </c>
      <c r="D142" s="4"/>
      <c r="E142" s="6">
        <f>E141+C142-D142</f>
      </c>
      <c r="F142" s="2"/>
    </row>
    <row x14ac:dyDescent="0.25" r="143" customHeight="1" ht="17.25">
      <c r="A143" s="7">
        <v>45701</v>
      </c>
      <c r="B143" s="9" t="s">
        <v>435</v>
      </c>
      <c r="C143" s="3"/>
      <c r="D143" s="4"/>
      <c r="E143" s="6">
        <f>E142+C143-D143</f>
      </c>
      <c r="F143" s="2"/>
    </row>
    <row x14ac:dyDescent="0.25" r="144" customHeight="1" ht="17.25">
      <c r="A144" s="7">
        <v>45701</v>
      </c>
      <c r="B144" s="9" t="s">
        <v>382</v>
      </c>
      <c r="C144" s="6">
        <v>133</v>
      </c>
      <c r="D144" s="4"/>
      <c r="E144" s="6">
        <f>E143+C144-D144</f>
      </c>
      <c r="F144" s="2"/>
    </row>
    <row x14ac:dyDescent="0.25" r="145" customHeight="1" ht="17.25">
      <c r="A145" s="7">
        <v>45701</v>
      </c>
      <c r="B145" s="9" t="s">
        <v>382</v>
      </c>
      <c r="C145" s="6">
        <v>130</v>
      </c>
      <c r="D145" s="4"/>
      <c r="E145" s="6">
        <f>E144+C145-D145</f>
      </c>
      <c r="F145" s="2"/>
    </row>
    <row x14ac:dyDescent="0.25" r="146" customHeight="1" ht="17.25">
      <c r="A146" s="7">
        <v>45701</v>
      </c>
      <c r="B146" s="9" t="s">
        <v>382</v>
      </c>
      <c r="C146" s="6">
        <v>100</v>
      </c>
      <c r="D146" s="4"/>
      <c r="E146" s="6">
        <f>E145+C146-D146</f>
      </c>
      <c r="F146" s="2"/>
    </row>
    <row x14ac:dyDescent="0.25" r="147" customHeight="1" ht="17.25">
      <c r="A147" s="7">
        <v>45701</v>
      </c>
      <c r="B147" s="9" t="s">
        <v>189</v>
      </c>
      <c r="C147" s="6">
        <v>12</v>
      </c>
      <c r="D147" s="4"/>
      <c r="E147" s="6">
        <f>E146+C147-D147</f>
      </c>
      <c r="F147" s="2"/>
    </row>
    <row x14ac:dyDescent="0.25" r="148" customHeight="1" ht="17.25">
      <c r="A148" s="8">
        <v>45701</v>
      </c>
      <c r="B148" s="9" t="s">
        <v>11</v>
      </c>
      <c r="C148" s="6">
        <v>95</v>
      </c>
      <c r="D148" s="4"/>
      <c r="E148" s="6">
        <f>E147+C148-D148</f>
      </c>
      <c r="F148" s="2"/>
    </row>
    <row x14ac:dyDescent="0.25" r="149" customHeight="1" ht="17.25">
      <c r="A149" s="7">
        <v>45701</v>
      </c>
      <c r="B149" s="9" t="s">
        <v>338</v>
      </c>
      <c r="C149" s="6">
        <v>8</v>
      </c>
      <c r="D149" s="4"/>
      <c r="E149" s="6">
        <f>E148+C149-D149</f>
      </c>
      <c r="F149" s="2"/>
    </row>
    <row x14ac:dyDescent="0.25" r="150" customHeight="1" ht="17.25">
      <c r="A150" s="34">
        <v>45701</v>
      </c>
      <c r="B150" s="36" t="s">
        <v>435</v>
      </c>
      <c r="C150" s="32"/>
      <c r="D150" s="33">
        <v>8</v>
      </c>
      <c r="E150" s="33">
        <f>E149+C150-D150</f>
      </c>
      <c r="F150" s="31" t="s">
        <v>203</v>
      </c>
    </row>
    <row x14ac:dyDescent="0.25" r="151" customHeight="1" ht="17.25">
      <c r="A151" s="7">
        <v>45702</v>
      </c>
      <c r="B151" s="9" t="s">
        <v>436</v>
      </c>
      <c r="C151" s="3"/>
      <c r="D151" s="6">
        <v>39</v>
      </c>
      <c r="E151" s="6">
        <f>E150+C151-D151</f>
      </c>
      <c r="F151" s="2"/>
    </row>
    <row x14ac:dyDescent="0.25" r="152" customHeight="1" ht="17.25">
      <c r="A152" s="7">
        <v>45702</v>
      </c>
      <c r="B152" s="9" t="s">
        <v>382</v>
      </c>
      <c r="C152" s="6">
        <v>102</v>
      </c>
      <c r="D152" s="4"/>
      <c r="E152" s="6">
        <f>E151+C152-D152</f>
      </c>
      <c r="F152" s="2"/>
    </row>
    <row x14ac:dyDescent="0.25" r="153" customHeight="1" ht="17.25">
      <c r="A153" s="8">
        <v>45702</v>
      </c>
      <c r="B153" s="9" t="s">
        <v>189</v>
      </c>
      <c r="C153" s="6">
        <v>34</v>
      </c>
      <c r="D153" s="4"/>
      <c r="E153" s="6">
        <f>E152+C153-D153</f>
      </c>
      <c r="F153" s="2"/>
    </row>
    <row x14ac:dyDescent="0.25" r="154" customHeight="1" ht="17.25">
      <c r="A154" s="7">
        <v>45703</v>
      </c>
      <c r="B154" s="9" t="s">
        <v>272</v>
      </c>
      <c r="C154" s="3"/>
      <c r="D154" s="6">
        <v>30</v>
      </c>
      <c r="E154" s="6">
        <f>E153+C154-D154</f>
      </c>
      <c r="F154" s="2"/>
    </row>
    <row x14ac:dyDescent="0.25" r="155" customHeight="1" ht="17.25">
      <c r="A155" s="7">
        <v>45703</v>
      </c>
      <c r="B155" s="9" t="s">
        <v>376</v>
      </c>
      <c r="C155" s="6">
        <v>59</v>
      </c>
      <c r="D155" s="4"/>
      <c r="E155" s="6">
        <f>E154+C155-D155</f>
      </c>
      <c r="F155" s="2"/>
    </row>
    <row x14ac:dyDescent="0.25" r="156" customHeight="1" ht="17.25">
      <c r="A156" s="7">
        <v>45703</v>
      </c>
      <c r="B156" s="9" t="s">
        <v>35</v>
      </c>
      <c r="C156" s="6">
        <v>128</v>
      </c>
      <c r="D156" s="4"/>
      <c r="E156" s="6">
        <f>E155+C156-D156</f>
      </c>
      <c r="F156" s="2"/>
    </row>
    <row x14ac:dyDescent="0.25" r="157" customHeight="1" ht="17.25">
      <c r="A157" s="8">
        <v>45703</v>
      </c>
      <c r="B157" s="9" t="s">
        <v>414</v>
      </c>
      <c r="C157" s="6">
        <v>8</v>
      </c>
      <c r="D157" s="4"/>
      <c r="E157" s="6">
        <f>E156+C157-D157</f>
      </c>
      <c r="F157" s="2"/>
    </row>
    <row x14ac:dyDescent="0.25" r="158" customHeight="1" ht="17.25">
      <c r="A158" s="7">
        <v>45703</v>
      </c>
      <c r="B158" s="9" t="s">
        <v>382</v>
      </c>
      <c r="C158" s="6">
        <v>48</v>
      </c>
      <c r="D158" s="4"/>
      <c r="E158" s="6">
        <f>E157+C158-D158</f>
      </c>
      <c r="F158" s="2"/>
    </row>
    <row x14ac:dyDescent="0.25" r="159" customHeight="1" ht="17.25">
      <c r="A159" s="7">
        <v>45703</v>
      </c>
      <c r="B159" s="9" t="s">
        <v>31</v>
      </c>
      <c r="C159" s="6">
        <v>39</v>
      </c>
      <c r="D159" s="4"/>
      <c r="E159" s="6">
        <f>E158+C159-D159</f>
      </c>
      <c r="F159" s="2"/>
    </row>
    <row x14ac:dyDescent="0.25" r="160" customHeight="1" ht="17.25">
      <c r="A160" s="8">
        <v>45705</v>
      </c>
      <c r="B160" s="9" t="s">
        <v>437</v>
      </c>
      <c r="C160" s="3"/>
      <c r="D160" s="6">
        <v>2</v>
      </c>
      <c r="E160" s="6">
        <f>E159+C160-D160</f>
      </c>
      <c r="F160" s="2"/>
    </row>
    <row x14ac:dyDescent="0.25" r="161" customHeight="1" ht="17.25">
      <c r="A161" s="8">
        <v>45705</v>
      </c>
      <c r="B161" s="9" t="s">
        <v>177</v>
      </c>
      <c r="C161" s="6">
        <v>2</v>
      </c>
      <c r="D161" s="4"/>
      <c r="E161" s="6">
        <f>E160+C161-D161</f>
      </c>
      <c r="F161" s="2"/>
    </row>
    <row x14ac:dyDescent="0.25" r="162" customHeight="1" ht="17.25">
      <c r="A162" s="7">
        <v>45705</v>
      </c>
      <c r="B162" s="9" t="s">
        <v>35</v>
      </c>
      <c r="C162" s="6">
        <v>143</v>
      </c>
      <c r="D162" s="4"/>
      <c r="E162" s="6">
        <f>E161+C162-D162</f>
      </c>
      <c r="F162" s="2"/>
    </row>
    <row x14ac:dyDescent="0.25" r="163" customHeight="1" ht="17.25">
      <c r="A163" s="7">
        <v>45705</v>
      </c>
      <c r="B163" s="9" t="s">
        <v>189</v>
      </c>
      <c r="C163" s="6">
        <v>32</v>
      </c>
      <c r="D163" s="4"/>
      <c r="E163" s="6">
        <f>E162+C163-D163</f>
      </c>
      <c r="F163" s="2"/>
    </row>
    <row x14ac:dyDescent="0.25" r="164" customHeight="1" ht="17.25">
      <c r="A164" s="8">
        <v>45705</v>
      </c>
      <c r="B164" s="9" t="s">
        <v>131</v>
      </c>
      <c r="C164" s="6">
        <v>5</v>
      </c>
      <c r="D164" s="4"/>
      <c r="E164" s="6">
        <f>E163+C164-D164</f>
      </c>
      <c r="F164" s="2"/>
    </row>
    <row x14ac:dyDescent="0.25" r="165" customHeight="1" ht="17.25">
      <c r="A165" s="7">
        <v>45705</v>
      </c>
      <c r="B165" s="9" t="s">
        <v>128</v>
      </c>
      <c r="C165" s="6">
        <v>53</v>
      </c>
      <c r="D165" s="4"/>
      <c r="E165" s="6">
        <f>E164+C165-D165</f>
      </c>
      <c r="F165" s="2"/>
    </row>
    <row x14ac:dyDescent="0.25" r="166" customHeight="1" ht="17.25">
      <c r="A166" s="7">
        <v>45706</v>
      </c>
      <c r="B166" s="9" t="s">
        <v>35</v>
      </c>
      <c r="C166" s="6">
        <v>124</v>
      </c>
      <c r="D166" s="4"/>
      <c r="E166" s="6">
        <f>E165+C166-D166</f>
      </c>
      <c r="F166" s="2"/>
    </row>
    <row x14ac:dyDescent="0.25" r="167" customHeight="1" ht="17.25">
      <c r="A167" s="8">
        <v>45706</v>
      </c>
      <c r="B167" s="9" t="s">
        <v>269</v>
      </c>
      <c r="C167" s="6">
        <v>19</v>
      </c>
      <c r="D167" s="4"/>
      <c r="E167" s="6">
        <f>E166+C167-D167</f>
      </c>
      <c r="F167" s="2"/>
    </row>
    <row x14ac:dyDescent="0.25" r="168" customHeight="1" ht="17.25">
      <c r="A168" s="8">
        <v>45706</v>
      </c>
      <c r="B168" s="9" t="s">
        <v>189</v>
      </c>
      <c r="C168" s="6">
        <v>29</v>
      </c>
      <c r="D168" s="4"/>
      <c r="E168" s="6">
        <f>E167+C168-D168</f>
      </c>
      <c r="F168" s="2"/>
    </row>
    <row x14ac:dyDescent="0.25" r="169" customHeight="1" ht="17.25">
      <c r="A169" s="8">
        <v>45706</v>
      </c>
      <c r="B169" s="9" t="s">
        <v>375</v>
      </c>
      <c r="C169" s="6">
        <v>44</v>
      </c>
      <c r="D169" s="4"/>
      <c r="E169" s="6">
        <f>E168+C169-D169</f>
      </c>
      <c r="F169" s="2"/>
    </row>
    <row x14ac:dyDescent="0.25" r="170" customHeight="1" ht="17.25">
      <c r="A170" s="8">
        <v>45707</v>
      </c>
      <c r="B170" s="9" t="s">
        <v>35</v>
      </c>
      <c r="C170" s="6">
        <v>78</v>
      </c>
      <c r="D170" s="4"/>
      <c r="E170" s="6">
        <f>E169+C170-D170</f>
      </c>
      <c r="F170" s="2"/>
    </row>
    <row x14ac:dyDescent="0.25" r="171" customHeight="1" ht="17.25">
      <c r="A171" s="34">
        <v>45707</v>
      </c>
      <c r="B171" s="36" t="s">
        <v>128</v>
      </c>
      <c r="C171" s="33">
        <v>33</v>
      </c>
      <c r="D171" s="32"/>
      <c r="E171" s="33">
        <f>E170+C171-D171</f>
      </c>
      <c r="F171" s="31" t="s">
        <v>438</v>
      </c>
    </row>
    <row x14ac:dyDescent="0.25" r="172" customHeight="1" ht="17.25">
      <c r="A172" s="7">
        <v>45708</v>
      </c>
      <c r="B172" s="9" t="s">
        <v>227</v>
      </c>
      <c r="C172" s="3"/>
      <c r="D172" s="6">
        <v>50</v>
      </c>
      <c r="E172" s="6">
        <f>E171+C172-D172</f>
      </c>
      <c r="F172" s="2"/>
    </row>
    <row x14ac:dyDescent="0.25" r="173" customHeight="1" ht="17.25">
      <c r="A173" s="7">
        <v>45708</v>
      </c>
      <c r="B173" s="9" t="s">
        <v>437</v>
      </c>
      <c r="C173" s="3"/>
      <c r="D173" s="6">
        <v>3</v>
      </c>
      <c r="E173" s="6">
        <f>E172+C173-D173</f>
      </c>
      <c r="F173" s="2"/>
    </row>
    <row x14ac:dyDescent="0.25" r="174" customHeight="1" ht="17.25">
      <c r="A174" s="7">
        <v>45708</v>
      </c>
      <c r="B174" s="9" t="s">
        <v>272</v>
      </c>
      <c r="C174" s="3"/>
      <c r="D174" s="6">
        <v>70</v>
      </c>
      <c r="E174" s="6">
        <f>E173+C174-D174</f>
      </c>
      <c r="F174" s="2"/>
    </row>
    <row x14ac:dyDescent="0.25" r="175" customHeight="1" ht="17.25">
      <c r="A175" s="7">
        <v>45708</v>
      </c>
      <c r="B175" s="9" t="s">
        <v>433</v>
      </c>
      <c r="C175" s="6">
        <v>2</v>
      </c>
      <c r="D175" s="4"/>
      <c r="E175" s="6">
        <f>E174+C175-D175</f>
      </c>
      <c r="F175" s="2"/>
    </row>
    <row x14ac:dyDescent="0.25" r="176" customHeight="1" ht="17.25">
      <c r="A176" s="7">
        <v>45708</v>
      </c>
      <c r="B176" s="9" t="s">
        <v>269</v>
      </c>
      <c r="C176" s="6">
        <v>72</v>
      </c>
      <c r="D176" s="4"/>
      <c r="E176" s="6">
        <f>E175+C176-D176</f>
      </c>
      <c r="F176" s="2"/>
    </row>
    <row x14ac:dyDescent="0.25" r="177" customHeight="1" ht="17.25">
      <c r="A177" s="7">
        <v>45708</v>
      </c>
      <c r="B177" s="9" t="s">
        <v>338</v>
      </c>
      <c r="C177" s="6">
        <v>12</v>
      </c>
      <c r="D177" s="4"/>
      <c r="E177" s="6">
        <f>E176+C177-D177</f>
      </c>
      <c r="F177" s="2"/>
    </row>
    <row x14ac:dyDescent="0.25" r="178" customHeight="1" ht="17.25">
      <c r="A178" s="7">
        <v>45708</v>
      </c>
      <c r="B178" s="9" t="s">
        <v>376</v>
      </c>
      <c r="C178" s="6">
        <v>58</v>
      </c>
      <c r="D178" s="4"/>
      <c r="E178" s="6">
        <f>E177+C178-D178</f>
      </c>
      <c r="F178" s="2"/>
    </row>
    <row x14ac:dyDescent="0.25" r="179" customHeight="1" ht="17.25">
      <c r="A179" s="7">
        <v>45708</v>
      </c>
      <c r="B179" s="9" t="s">
        <v>384</v>
      </c>
      <c r="C179" s="6">
        <v>67</v>
      </c>
      <c r="D179" s="4"/>
      <c r="E179" s="6">
        <f>E178+C179-D179</f>
      </c>
      <c r="F179" s="2"/>
    </row>
    <row x14ac:dyDescent="0.25" r="180" customHeight="1" ht="17.25">
      <c r="A180" s="7">
        <v>45708</v>
      </c>
      <c r="B180" s="9" t="s">
        <v>189</v>
      </c>
      <c r="C180" s="6">
        <v>33</v>
      </c>
      <c r="D180" s="4"/>
      <c r="E180" s="6">
        <f>E179+C180-D180</f>
      </c>
      <c r="F180" s="2"/>
    </row>
    <row x14ac:dyDescent="0.25" r="181" customHeight="1" ht="17.25">
      <c r="A181" s="7">
        <v>45709</v>
      </c>
      <c r="B181" s="9" t="s">
        <v>227</v>
      </c>
      <c r="C181" s="3"/>
      <c r="D181" s="6">
        <v>100</v>
      </c>
      <c r="E181" s="6">
        <f>E180+C181-D181</f>
      </c>
      <c r="F181" s="2"/>
    </row>
    <row x14ac:dyDescent="0.25" r="182" customHeight="1" ht="17.25">
      <c r="A182" s="8">
        <v>45709</v>
      </c>
      <c r="B182" s="9" t="s">
        <v>131</v>
      </c>
      <c r="C182" s="6">
        <v>76</v>
      </c>
      <c r="D182" s="4"/>
      <c r="E182" s="6">
        <f>E181+C182-D182</f>
      </c>
      <c r="F182" s="2"/>
    </row>
    <row x14ac:dyDescent="0.25" r="183" customHeight="1" ht="17.25">
      <c r="A183" s="8">
        <v>45709</v>
      </c>
      <c r="B183" s="9" t="s">
        <v>189</v>
      </c>
      <c r="C183" s="6">
        <v>38</v>
      </c>
      <c r="D183" s="4"/>
      <c r="E183" s="6">
        <f>E182+C183-D183</f>
      </c>
      <c r="F183" s="2"/>
    </row>
    <row x14ac:dyDescent="0.25" r="184" customHeight="1" ht="17.25">
      <c r="A184" s="8">
        <v>45709</v>
      </c>
      <c r="B184" s="9" t="s">
        <v>35</v>
      </c>
      <c r="C184" s="6">
        <v>2</v>
      </c>
      <c r="D184" s="4"/>
      <c r="E184" s="6">
        <f>E183+C184-D184</f>
      </c>
      <c r="F184" s="2"/>
    </row>
    <row x14ac:dyDescent="0.25" r="185" customHeight="1" ht="17.25">
      <c r="A185" s="8">
        <v>45709</v>
      </c>
      <c r="B185" s="9" t="s">
        <v>35</v>
      </c>
      <c r="C185" s="6">
        <v>13</v>
      </c>
      <c r="D185" s="4"/>
      <c r="E185" s="6">
        <f>E184+C185-D185</f>
      </c>
      <c r="F185" s="2"/>
    </row>
    <row x14ac:dyDescent="0.25" r="186" customHeight="1" ht="17.25">
      <c r="A186" s="8">
        <v>45709</v>
      </c>
      <c r="B186" s="9" t="s">
        <v>2</v>
      </c>
      <c r="C186" s="6">
        <v>25</v>
      </c>
      <c r="D186" s="4"/>
      <c r="E186" s="6">
        <f>E185+C186-D186</f>
      </c>
      <c r="F186" s="2"/>
    </row>
    <row x14ac:dyDescent="0.25" r="187" customHeight="1" ht="17.25">
      <c r="A187" s="7">
        <v>45710</v>
      </c>
      <c r="B187" s="9" t="s">
        <v>227</v>
      </c>
      <c r="C187" s="3"/>
      <c r="D187" s="6">
        <v>50</v>
      </c>
      <c r="E187" s="6">
        <f>E186+C187-D187</f>
      </c>
      <c r="F187" s="2"/>
    </row>
    <row x14ac:dyDescent="0.25" r="188" customHeight="1" ht="17.25">
      <c r="A188" s="8">
        <v>45710</v>
      </c>
      <c r="B188" s="9" t="s">
        <v>35</v>
      </c>
      <c r="C188" s="6">
        <v>5</v>
      </c>
      <c r="D188" s="4"/>
      <c r="E188" s="6">
        <f>E187+C188-D188</f>
      </c>
      <c r="F188" s="2"/>
    </row>
    <row x14ac:dyDescent="0.25" r="189" customHeight="1" ht="17.25">
      <c r="A189" s="7">
        <v>45710</v>
      </c>
      <c r="B189" s="9" t="s">
        <v>382</v>
      </c>
      <c r="C189" s="6">
        <v>199</v>
      </c>
      <c r="D189" s="4"/>
      <c r="E189" s="6">
        <f>E188+C189-D189</f>
      </c>
      <c r="F189" s="2"/>
    </row>
    <row x14ac:dyDescent="0.25" r="190" customHeight="1" ht="17.25">
      <c r="A190" s="8">
        <v>45710</v>
      </c>
      <c r="B190" s="9" t="s">
        <v>11</v>
      </c>
      <c r="C190" s="6">
        <v>136</v>
      </c>
      <c r="D190" s="4"/>
      <c r="E190" s="6">
        <f>E189+C190-D190</f>
      </c>
      <c r="F190" s="2"/>
    </row>
    <row x14ac:dyDescent="0.25" r="191" customHeight="1" ht="17.25">
      <c r="A191" s="7">
        <v>45712</v>
      </c>
      <c r="B191" s="9" t="s">
        <v>35</v>
      </c>
      <c r="C191" s="6">
        <v>13</v>
      </c>
      <c r="D191" s="4"/>
      <c r="E191" s="6">
        <f>E190+C191-D191</f>
      </c>
      <c r="F191" s="2"/>
    </row>
    <row x14ac:dyDescent="0.25" r="192" customHeight="1" ht="17.25">
      <c r="A192" s="8">
        <v>45712</v>
      </c>
      <c r="B192" s="9" t="s">
        <v>413</v>
      </c>
      <c r="C192" s="6">
        <v>6</v>
      </c>
      <c r="D192" s="4"/>
      <c r="E192" s="6">
        <f>E191+C192-D192</f>
      </c>
      <c r="F192" s="2"/>
    </row>
    <row x14ac:dyDescent="0.25" r="193" customHeight="1" ht="17.25">
      <c r="A193" s="8">
        <v>45712</v>
      </c>
      <c r="B193" s="9" t="s">
        <v>270</v>
      </c>
      <c r="C193" s="6">
        <v>20</v>
      </c>
      <c r="D193" s="4"/>
      <c r="E193" s="6">
        <f>E192+C193-D193</f>
      </c>
      <c r="F193" s="2"/>
    </row>
    <row x14ac:dyDescent="0.25" r="194" customHeight="1" ht="17.25">
      <c r="A194" s="7">
        <v>45712</v>
      </c>
      <c r="B194" s="9" t="s">
        <v>255</v>
      </c>
      <c r="C194" s="6">
        <v>2</v>
      </c>
      <c r="D194" s="4"/>
      <c r="E194" s="6">
        <f>E193+C194-D194</f>
      </c>
      <c r="F194" s="2"/>
    </row>
    <row x14ac:dyDescent="0.25" r="195" customHeight="1" ht="17.25">
      <c r="A195" s="7">
        <v>45712</v>
      </c>
      <c r="B195" s="9" t="s">
        <v>382</v>
      </c>
      <c r="C195" s="6">
        <v>20</v>
      </c>
      <c r="D195" s="4"/>
      <c r="E195" s="6">
        <f>E194+C195-D195</f>
      </c>
      <c r="F195" s="2"/>
    </row>
    <row x14ac:dyDescent="0.25" r="196" customHeight="1" ht="17.25">
      <c r="A196" s="7">
        <v>45712</v>
      </c>
      <c r="B196" s="9" t="s">
        <v>382</v>
      </c>
      <c r="C196" s="6">
        <v>91</v>
      </c>
      <c r="D196" s="4"/>
      <c r="E196" s="6">
        <f>E195+C196-D196</f>
      </c>
      <c r="F196" s="2"/>
    </row>
    <row x14ac:dyDescent="0.25" r="197" customHeight="1" ht="17.25">
      <c r="A197" s="8">
        <v>45712</v>
      </c>
      <c r="B197" s="9" t="s">
        <v>189</v>
      </c>
      <c r="C197" s="6">
        <v>18</v>
      </c>
      <c r="D197" s="4"/>
      <c r="E197" s="6">
        <f>E196+C197-D197</f>
      </c>
      <c r="F197" s="2"/>
    </row>
    <row x14ac:dyDescent="0.25" r="198" customHeight="1" ht="17.25">
      <c r="A198" s="8">
        <v>45712</v>
      </c>
      <c r="B198" s="9" t="s">
        <v>274</v>
      </c>
      <c r="C198" s="6">
        <v>9</v>
      </c>
      <c r="D198" s="4"/>
      <c r="E198" s="6">
        <f>E197+C198-D198</f>
      </c>
      <c r="F198" s="2"/>
    </row>
    <row x14ac:dyDescent="0.25" r="199" customHeight="1" ht="17.25">
      <c r="A199" s="8">
        <v>45713</v>
      </c>
      <c r="B199" s="9" t="s">
        <v>131</v>
      </c>
      <c r="C199" s="6">
        <v>8</v>
      </c>
      <c r="D199" s="4"/>
      <c r="E199" s="6">
        <f>E198+C199-D199</f>
      </c>
      <c r="F199" s="2"/>
    </row>
    <row x14ac:dyDescent="0.25" r="200" customHeight="1" ht="17.25">
      <c r="A200" s="7">
        <v>45713</v>
      </c>
      <c r="B200" s="9" t="s">
        <v>439</v>
      </c>
      <c r="C200" s="6">
        <v>6</v>
      </c>
      <c r="D200" s="4"/>
      <c r="E200" s="6">
        <f>E199+C200-D200</f>
      </c>
      <c r="F200" s="2"/>
    </row>
    <row x14ac:dyDescent="0.25" r="201" customHeight="1" ht="17.25">
      <c r="A201" s="8">
        <v>45713</v>
      </c>
      <c r="B201" s="9" t="s">
        <v>172</v>
      </c>
      <c r="C201" s="6">
        <v>2</v>
      </c>
      <c r="D201" s="4"/>
      <c r="E201" s="6">
        <f>E200+C201-D201</f>
      </c>
      <c r="F201" s="2"/>
    </row>
    <row x14ac:dyDescent="0.25" r="202" customHeight="1" ht="17.25">
      <c r="A202" s="7">
        <v>45713</v>
      </c>
      <c r="B202" s="9" t="s">
        <v>382</v>
      </c>
      <c r="C202" s="6">
        <v>100</v>
      </c>
      <c r="D202" s="4"/>
      <c r="E202" s="6">
        <f>E201+C202-D202</f>
      </c>
      <c r="F202" s="2"/>
    </row>
    <row x14ac:dyDescent="0.25" r="203" customHeight="1" ht="17.25">
      <c r="A203" s="7">
        <v>45713</v>
      </c>
      <c r="B203" s="9" t="s">
        <v>382</v>
      </c>
      <c r="C203" s="6">
        <v>20</v>
      </c>
      <c r="D203" s="4"/>
      <c r="E203" s="6">
        <f>E202+C203-D203</f>
      </c>
      <c r="F203" s="2"/>
    </row>
    <row x14ac:dyDescent="0.25" r="204" customHeight="1" ht="17.25">
      <c r="A204" s="7">
        <v>45713</v>
      </c>
      <c r="B204" s="9" t="s">
        <v>118</v>
      </c>
      <c r="C204" s="6">
        <v>13</v>
      </c>
      <c r="D204" s="4"/>
      <c r="E204" s="6">
        <f>E203+C204-D204</f>
      </c>
      <c r="F204" s="2"/>
    </row>
    <row x14ac:dyDescent="0.25" r="205" customHeight="1" ht="17.25">
      <c r="A205" s="8">
        <v>45714</v>
      </c>
      <c r="B205" s="9" t="s">
        <v>39</v>
      </c>
      <c r="C205" s="6">
        <v>93</v>
      </c>
      <c r="D205" s="4"/>
      <c r="E205" s="6">
        <f>E204+C205-D205</f>
      </c>
      <c r="F205" s="2"/>
    </row>
    <row x14ac:dyDescent="0.25" r="206" customHeight="1" ht="17.25">
      <c r="A206" s="8">
        <v>45714</v>
      </c>
      <c r="B206" s="9" t="s">
        <v>35</v>
      </c>
      <c r="C206" s="6">
        <v>89</v>
      </c>
      <c r="D206" s="4"/>
      <c r="E206" s="6">
        <f>E205+C206-D206</f>
      </c>
      <c r="F206" s="2"/>
    </row>
    <row x14ac:dyDescent="0.25" r="207" customHeight="1" ht="17.25">
      <c r="A207" s="8">
        <v>45714</v>
      </c>
      <c r="B207" s="9" t="s">
        <v>128</v>
      </c>
      <c r="C207" s="6">
        <v>16</v>
      </c>
      <c r="D207" s="4"/>
      <c r="E207" s="6">
        <f>E206+C207-D207</f>
      </c>
      <c r="F207" s="2"/>
    </row>
    <row x14ac:dyDescent="0.25" r="208" customHeight="1" ht="17.25">
      <c r="A208" s="8">
        <v>45715</v>
      </c>
      <c r="B208" s="9" t="s">
        <v>440</v>
      </c>
      <c r="C208" s="3"/>
      <c r="D208" s="6">
        <v>2</v>
      </c>
      <c r="E208" s="6">
        <f>E207+C208-D208</f>
      </c>
      <c r="F208" s="2"/>
    </row>
    <row x14ac:dyDescent="0.25" r="209" customHeight="1" ht="17.25">
      <c r="A209" s="7">
        <v>45715</v>
      </c>
      <c r="B209" s="9" t="s">
        <v>384</v>
      </c>
      <c r="C209" s="6">
        <v>57</v>
      </c>
      <c r="D209" s="4"/>
      <c r="E209" s="6">
        <f>E208+C209-D209</f>
      </c>
      <c r="F209" s="2"/>
    </row>
    <row x14ac:dyDescent="0.25" r="210" customHeight="1" ht="17.25">
      <c r="A210" s="7">
        <v>45716</v>
      </c>
      <c r="B210" s="9" t="s">
        <v>441</v>
      </c>
      <c r="C210" s="3"/>
      <c r="D210" s="6">
        <v>40</v>
      </c>
      <c r="E210" s="6">
        <f>E209+C210-D210</f>
      </c>
      <c r="F210" s="2"/>
    </row>
    <row x14ac:dyDescent="0.25" r="211" customHeight="1" ht="17.25">
      <c r="A211" s="7">
        <v>45717</v>
      </c>
      <c r="B211" s="9" t="s">
        <v>269</v>
      </c>
      <c r="C211" s="6">
        <v>6</v>
      </c>
      <c r="D211" s="4"/>
      <c r="E211" s="6">
        <f>E210+C211-D211</f>
      </c>
      <c r="F211" s="2"/>
    </row>
    <row x14ac:dyDescent="0.25" r="212" customHeight="1" ht="17.25">
      <c r="A212" s="8">
        <v>45717</v>
      </c>
      <c r="B212" s="9" t="s">
        <v>189</v>
      </c>
      <c r="C212" s="6">
        <v>58</v>
      </c>
      <c r="D212" s="4"/>
      <c r="E212" s="6">
        <f>E211+C212-D212</f>
      </c>
      <c r="F212" s="2"/>
    </row>
    <row x14ac:dyDescent="0.25" r="213" customHeight="1" ht="17.25">
      <c r="A213" s="7">
        <v>45717</v>
      </c>
      <c r="B213" s="9" t="s">
        <v>131</v>
      </c>
      <c r="C213" s="6">
        <v>2</v>
      </c>
      <c r="D213" s="4"/>
      <c r="E213" s="6">
        <f>E212+C213-D213</f>
      </c>
      <c r="F213" s="2"/>
    </row>
    <row x14ac:dyDescent="0.25" r="214" customHeight="1" ht="17.25">
      <c r="A214" s="7">
        <v>45719</v>
      </c>
      <c r="B214" s="9" t="s">
        <v>283</v>
      </c>
      <c r="C214" s="6">
        <v>14</v>
      </c>
      <c r="D214" s="4"/>
      <c r="E214" s="6">
        <f>E213+C214-D214</f>
      </c>
      <c r="F214" s="2"/>
    </row>
    <row x14ac:dyDescent="0.25" r="215" customHeight="1" ht="17.25">
      <c r="A215" s="7">
        <v>45719</v>
      </c>
      <c r="B215" s="9" t="s">
        <v>189</v>
      </c>
      <c r="C215" s="6">
        <v>111</v>
      </c>
      <c r="D215" s="4"/>
      <c r="E215" s="6">
        <f>E214+C215-D215</f>
      </c>
      <c r="F215" s="2"/>
    </row>
    <row x14ac:dyDescent="0.25" r="216" customHeight="1" ht="17.25">
      <c r="A216" s="7">
        <v>45719</v>
      </c>
      <c r="B216" s="9" t="s">
        <v>35</v>
      </c>
      <c r="C216" s="6">
        <v>229</v>
      </c>
      <c r="D216" s="4"/>
      <c r="E216" s="6">
        <f>E215+C216-D216</f>
      </c>
      <c r="F216" s="2"/>
    </row>
    <row x14ac:dyDescent="0.25" r="217" customHeight="1" ht="17.25">
      <c r="A217" s="8">
        <v>45719</v>
      </c>
      <c r="B217" s="9" t="s">
        <v>118</v>
      </c>
      <c r="C217" s="6">
        <v>21</v>
      </c>
      <c r="D217" s="4"/>
      <c r="E217" s="6">
        <f>E216+C217-D217</f>
      </c>
      <c r="F217" s="2"/>
    </row>
    <row x14ac:dyDescent="0.25" r="218" customHeight="1" ht="17.25">
      <c r="A218" s="7">
        <v>45719</v>
      </c>
      <c r="B218" s="9" t="s">
        <v>384</v>
      </c>
      <c r="C218" s="6">
        <v>85</v>
      </c>
      <c r="D218" s="4"/>
      <c r="E218" s="6">
        <f>E217+C218-D218</f>
      </c>
      <c r="F218" s="2"/>
    </row>
    <row x14ac:dyDescent="0.25" r="219" customHeight="1" ht="17.25">
      <c r="A219" s="8">
        <v>45720</v>
      </c>
      <c r="B219" s="9" t="s">
        <v>387</v>
      </c>
      <c r="C219" s="3"/>
      <c r="D219" s="6">
        <v>250</v>
      </c>
      <c r="E219" s="6">
        <f>E218+C219-D219</f>
      </c>
      <c r="F219" s="2"/>
    </row>
    <row x14ac:dyDescent="0.25" r="220" customHeight="1" ht="17.25">
      <c r="A220" s="7">
        <v>45720</v>
      </c>
      <c r="B220" s="9" t="s">
        <v>3</v>
      </c>
      <c r="C220" s="3"/>
      <c r="D220" s="6">
        <v>20</v>
      </c>
      <c r="E220" s="6">
        <f>E219+C220-D220</f>
      </c>
      <c r="F220" s="2"/>
    </row>
    <row x14ac:dyDescent="0.25" r="221" customHeight="1" ht="17.25">
      <c r="A221" s="7">
        <v>45720</v>
      </c>
      <c r="B221" s="9" t="s">
        <v>297</v>
      </c>
      <c r="C221" s="3"/>
      <c r="D221" s="6">
        <v>10</v>
      </c>
      <c r="E221" s="6">
        <f>E220+C221-D221</f>
      </c>
      <c r="F221" s="2"/>
    </row>
    <row x14ac:dyDescent="0.25" r="222" customHeight="1" ht="17.25">
      <c r="A222" s="7">
        <v>45720</v>
      </c>
      <c r="B222" s="9" t="s">
        <v>35</v>
      </c>
      <c r="C222" s="6">
        <v>107</v>
      </c>
      <c r="D222" s="4"/>
      <c r="E222" s="6">
        <f>E221+C222-D222</f>
      </c>
      <c r="F222" s="2"/>
    </row>
    <row x14ac:dyDescent="0.25" r="223" customHeight="1" ht="17.25">
      <c r="A223" s="8">
        <v>45720</v>
      </c>
      <c r="B223" s="9" t="s">
        <v>440</v>
      </c>
      <c r="C223" s="6">
        <v>2</v>
      </c>
      <c r="D223" s="4"/>
      <c r="E223" s="6">
        <f>E222+C223-D223</f>
      </c>
      <c r="F223" s="2"/>
    </row>
    <row x14ac:dyDescent="0.25" r="224" customHeight="1" ht="17.25">
      <c r="A224" s="7">
        <v>45721</v>
      </c>
      <c r="B224" s="9" t="s">
        <v>39</v>
      </c>
      <c r="C224" s="6">
        <v>105</v>
      </c>
      <c r="D224" s="4"/>
      <c r="E224" s="6">
        <f>E223+C224-D224</f>
      </c>
      <c r="F224" s="2"/>
    </row>
    <row x14ac:dyDescent="0.25" r="225" customHeight="1" ht="17.25">
      <c r="A225" s="8">
        <v>45721</v>
      </c>
      <c r="B225" s="9" t="s">
        <v>35</v>
      </c>
      <c r="C225" s="6">
        <v>84</v>
      </c>
      <c r="D225" s="4"/>
      <c r="E225" s="6">
        <f>E224+C225-D225</f>
      </c>
      <c r="F225" s="2"/>
    </row>
    <row x14ac:dyDescent="0.25" r="226" customHeight="1" ht="17.25">
      <c r="A226" s="8">
        <v>45721</v>
      </c>
      <c r="B226" s="9" t="s">
        <v>437</v>
      </c>
      <c r="C226" s="6">
        <v>5</v>
      </c>
      <c r="D226" s="4"/>
      <c r="E226" s="6">
        <f>E225+C226-D226</f>
      </c>
      <c r="F226" s="2"/>
    </row>
    <row x14ac:dyDescent="0.25" r="227" customHeight="1" ht="17.25">
      <c r="A227" s="7">
        <v>45721</v>
      </c>
      <c r="B227" s="9" t="s">
        <v>375</v>
      </c>
      <c r="C227" s="6">
        <v>26</v>
      </c>
      <c r="D227" s="4"/>
      <c r="E227" s="6">
        <f>E226+C227-D227</f>
      </c>
      <c r="F227" s="2"/>
    </row>
    <row x14ac:dyDescent="0.25" r="228" customHeight="1" ht="17.25">
      <c r="A228" s="7">
        <v>45722</v>
      </c>
      <c r="B228" s="9" t="s">
        <v>387</v>
      </c>
      <c r="C228" s="3"/>
      <c r="D228" s="6">
        <v>250</v>
      </c>
      <c r="E228" s="6">
        <f>E227+C228-D228</f>
      </c>
      <c r="F228" s="2"/>
    </row>
    <row x14ac:dyDescent="0.25" r="229" customHeight="1" ht="17.25">
      <c r="A229" s="8">
        <v>45722</v>
      </c>
      <c r="B229" s="9" t="s">
        <v>283</v>
      </c>
      <c r="C229" s="6">
        <v>30</v>
      </c>
      <c r="D229" s="4"/>
      <c r="E229" s="6">
        <f>E228+C229-D229</f>
      </c>
      <c r="F229" s="2"/>
    </row>
    <row x14ac:dyDescent="0.25" r="230" customHeight="1" ht="17.25">
      <c r="A230" s="7">
        <v>45722</v>
      </c>
      <c r="B230" s="9" t="s">
        <v>275</v>
      </c>
      <c r="C230" s="6">
        <v>18</v>
      </c>
      <c r="D230" s="4"/>
      <c r="E230" s="6">
        <f>E229+C230-D230</f>
      </c>
      <c r="F230" s="2"/>
    </row>
    <row x14ac:dyDescent="0.25" r="231" customHeight="1" ht="17.25">
      <c r="A231" s="7">
        <v>45722</v>
      </c>
      <c r="B231" s="9" t="s">
        <v>172</v>
      </c>
      <c r="C231" s="6">
        <v>2</v>
      </c>
      <c r="D231" s="4"/>
      <c r="E231" s="6">
        <f>E230+C231-D231</f>
      </c>
      <c r="F231" s="2"/>
    </row>
    <row x14ac:dyDescent="0.25" r="232" customHeight="1" ht="17.25">
      <c r="A232" s="7">
        <v>45722</v>
      </c>
      <c r="B232" s="9" t="s">
        <v>128</v>
      </c>
      <c r="C232" s="6">
        <v>30</v>
      </c>
      <c r="D232" s="4"/>
      <c r="E232" s="6">
        <f>E231+C232-D232</f>
      </c>
      <c r="F232" s="2"/>
    </row>
    <row x14ac:dyDescent="0.25" r="233" customHeight="1" ht="17.25">
      <c r="A233" s="8">
        <v>45722</v>
      </c>
      <c r="B233" s="9" t="s">
        <v>35</v>
      </c>
      <c r="C233" s="6">
        <v>47</v>
      </c>
      <c r="D233" s="4"/>
      <c r="E233" s="6">
        <f>E232+C233-D233</f>
      </c>
      <c r="F233" s="2"/>
    </row>
    <row x14ac:dyDescent="0.25" r="234" customHeight="1" ht="17.25">
      <c r="A234" s="34">
        <v>45723</v>
      </c>
      <c r="B234" s="36" t="s">
        <v>412</v>
      </c>
      <c r="C234" s="32"/>
      <c r="D234" s="33">
        <v>25</v>
      </c>
      <c r="E234" s="33">
        <f>E233+C234-D234</f>
      </c>
      <c r="F234" s="31" t="s">
        <v>442</v>
      </c>
    </row>
    <row x14ac:dyDescent="0.25" r="235" customHeight="1" ht="17.25">
      <c r="A235" s="7">
        <v>45723</v>
      </c>
      <c r="B235" s="9" t="s">
        <v>257</v>
      </c>
      <c r="C235" s="6">
        <v>2</v>
      </c>
      <c r="D235" s="4"/>
      <c r="E235" s="6">
        <f>E234+C235-D235</f>
      </c>
      <c r="F235" s="2"/>
    </row>
    <row x14ac:dyDescent="0.25" r="236" customHeight="1" ht="17.25">
      <c r="A236" s="7">
        <v>45723</v>
      </c>
      <c r="B236" s="9" t="s">
        <v>273</v>
      </c>
      <c r="C236" s="6">
        <v>8</v>
      </c>
      <c r="D236" s="4"/>
      <c r="E236" s="6">
        <f>E235+C236-D236</f>
      </c>
      <c r="F236" s="2"/>
    </row>
    <row x14ac:dyDescent="0.25" r="237" customHeight="1" ht="17.25">
      <c r="A237" s="8">
        <v>45723</v>
      </c>
      <c r="B237" s="9" t="s">
        <v>35</v>
      </c>
      <c r="C237" s="6">
        <v>166</v>
      </c>
      <c r="D237" s="4"/>
      <c r="E237" s="6">
        <f>E236+C237-D237</f>
      </c>
      <c r="F237" s="2"/>
    </row>
    <row x14ac:dyDescent="0.25" r="238" customHeight="1" ht="17.25">
      <c r="A238" s="8">
        <v>45723</v>
      </c>
      <c r="B238" s="9" t="s">
        <v>35</v>
      </c>
      <c r="C238" s="6">
        <v>104</v>
      </c>
      <c r="D238" s="4"/>
      <c r="E238" s="6">
        <f>E237+C238-D238</f>
      </c>
      <c r="F238" s="2"/>
    </row>
    <row x14ac:dyDescent="0.25" r="239" customHeight="1" ht="17.25">
      <c r="A239" s="8">
        <v>45723</v>
      </c>
      <c r="B239" s="9" t="s">
        <v>189</v>
      </c>
      <c r="C239" s="6">
        <v>17</v>
      </c>
      <c r="D239" s="4"/>
      <c r="E239" s="6">
        <f>E238+C239-D239</f>
      </c>
      <c r="F239" s="2"/>
    </row>
    <row x14ac:dyDescent="0.25" r="240" customHeight="1" ht="17.25">
      <c r="A240" s="7">
        <v>45724</v>
      </c>
      <c r="B240" s="9" t="s">
        <v>412</v>
      </c>
      <c r="C240" s="3"/>
      <c r="D240" s="6">
        <v>75</v>
      </c>
      <c r="E240" s="6">
        <f>E239+C240-D240</f>
      </c>
      <c r="F240" s="2"/>
    </row>
    <row x14ac:dyDescent="0.25" r="241" customHeight="1" ht="17.25">
      <c r="A241" s="8">
        <v>45724</v>
      </c>
      <c r="B241" s="9" t="s">
        <v>35</v>
      </c>
      <c r="C241" s="6">
        <v>40</v>
      </c>
      <c r="D241" s="4"/>
      <c r="E241" s="6">
        <f>E240+C241-D241</f>
      </c>
      <c r="F241" s="2"/>
    </row>
    <row x14ac:dyDescent="0.25" r="242" customHeight="1" ht="17.25">
      <c r="A242" s="8">
        <v>45724</v>
      </c>
      <c r="B242" s="9" t="s">
        <v>189</v>
      </c>
      <c r="C242" s="6">
        <v>42</v>
      </c>
      <c r="D242" s="4"/>
      <c r="E242" s="6">
        <f>E241+C242-D242</f>
      </c>
      <c r="F242" s="2"/>
    </row>
    <row x14ac:dyDescent="0.25" r="243" customHeight="1" ht="17.25">
      <c r="A243" s="7">
        <v>45726</v>
      </c>
      <c r="B243" s="9" t="s">
        <v>35</v>
      </c>
      <c r="C243" s="6">
        <v>22</v>
      </c>
      <c r="D243" s="4"/>
      <c r="E243" s="6">
        <f>E242+C243-D243</f>
      </c>
      <c r="F243" s="2"/>
    </row>
    <row x14ac:dyDescent="0.25" r="244" customHeight="1" ht="17.25">
      <c r="A244" s="8">
        <v>45726</v>
      </c>
      <c r="B244" s="9" t="s">
        <v>275</v>
      </c>
      <c r="C244" s="6">
        <v>7</v>
      </c>
      <c r="D244" s="4"/>
      <c r="E244" s="6">
        <f>E243+C244-D244</f>
      </c>
      <c r="F244" s="2"/>
    </row>
    <row x14ac:dyDescent="0.25" r="245" customHeight="1" ht="17.25">
      <c r="A245" s="8">
        <v>45726</v>
      </c>
      <c r="B245" s="9" t="s">
        <v>385</v>
      </c>
      <c r="C245" s="6">
        <v>36</v>
      </c>
      <c r="D245" s="4"/>
      <c r="E245" s="6">
        <f>E244+C245-D245</f>
      </c>
      <c r="F245" s="2"/>
    </row>
    <row x14ac:dyDescent="0.25" r="246" customHeight="1" ht="17.25">
      <c r="A246" s="7">
        <v>45726</v>
      </c>
      <c r="B246" s="9" t="s">
        <v>35</v>
      </c>
      <c r="C246" s="6">
        <v>61</v>
      </c>
      <c r="D246" s="4"/>
      <c r="E246" s="6">
        <f>E245+C246-D246</f>
      </c>
      <c r="F246" s="2"/>
    </row>
    <row x14ac:dyDescent="0.25" r="247" customHeight="1" ht="17.25">
      <c r="A247" s="8">
        <v>45726</v>
      </c>
      <c r="B247" s="9" t="s">
        <v>375</v>
      </c>
      <c r="C247" s="6">
        <v>8</v>
      </c>
      <c r="D247" s="4"/>
      <c r="E247" s="6">
        <f>E246+C247-D247</f>
      </c>
      <c r="F247" s="2"/>
    </row>
    <row x14ac:dyDescent="0.25" r="248" customHeight="1" ht="17.25">
      <c r="A248" s="7">
        <v>45726</v>
      </c>
      <c r="B248" s="9" t="s">
        <v>384</v>
      </c>
      <c r="C248" s="6">
        <v>61</v>
      </c>
      <c r="D248" s="4"/>
      <c r="E248" s="6">
        <f>E247+C248-D248</f>
      </c>
      <c r="F248" s="2"/>
    </row>
    <row x14ac:dyDescent="0.25" r="249" customHeight="1" ht="17.25">
      <c r="A249" s="7">
        <v>45727</v>
      </c>
      <c r="B249" s="9" t="s">
        <v>412</v>
      </c>
      <c r="C249" s="3"/>
      <c r="D249" s="6">
        <v>50</v>
      </c>
      <c r="E249" s="6">
        <f>E248+C249-D249</f>
      </c>
      <c r="F249" s="2"/>
    </row>
    <row x14ac:dyDescent="0.25" r="250" customHeight="1" ht="17.25">
      <c r="A250" s="7">
        <v>45727</v>
      </c>
      <c r="B250" s="9" t="s">
        <v>382</v>
      </c>
      <c r="C250" s="6">
        <v>99</v>
      </c>
      <c r="D250" s="4"/>
      <c r="E250" s="6">
        <f>E249+C250-D250</f>
      </c>
      <c r="F250" s="2"/>
    </row>
    <row x14ac:dyDescent="0.25" r="251" customHeight="1" ht="17.25">
      <c r="A251" s="8">
        <v>45727</v>
      </c>
      <c r="B251" s="9" t="s">
        <v>119</v>
      </c>
      <c r="C251" s="6">
        <v>49</v>
      </c>
      <c r="D251" s="4"/>
      <c r="E251" s="6">
        <f>E250+C251-D251</f>
      </c>
      <c r="F251" s="2"/>
    </row>
    <row x14ac:dyDescent="0.25" r="252" customHeight="1" ht="17.25">
      <c r="A252" s="7">
        <v>45727</v>
      </c>
      <c r="B252" s="9" t="s">
        <v>39</v>
      </c>
      <c r="C252" s="6">
        <v>24</v>
      </c>
      <c r="D252" s="4"/>
      <c r="E252" s="6">
        <f>E251+C252-D252</f>
      </c>
      <c r="F252" s="2"/>
    </row>
    <row x14ac:dyDescent="0.25" r="253" customHeight="1" ht="17.25">
      <c r="A253" s="8">
        <v>45727</v>
      </c>
      <c r="B253" s="9" t="s">
        <v>189</v>
      </c>
      <c r="C253" s="6">
        <v>60</v>
      </c>
      <c r="D253" s="4"/>
      <c r="E253" s="6">
        <f>E252+C253-D253</f>
      </c>
      <c r="F253" s="2"/>
    </row>
    <row x14ac:dyDescent="0.25" r="254" customHeight="1" ht="17.25">
      <c r="A254" s="7">
        <v>45727</v>
      </c>
      <c r="B254" s="9" t="s">
        <v>35</v>
      </c>
      <c r="C254" s="6">
        <v>27</v>
      </c>
      <c r="D254" s="4"/>
      <c r="E254" s="6">
        <f>E253+C254-D254</f>
      </c>
      <c r="F254" s="2"/>
    </row>
    <row x14ac:dyDescent="0.25" r="255" customHeight="1" ht="17.25">
      <c r="A255" s="7">
        <v>45728</v>
      </c>
      <c r="B255" s="9" t="s">
        <v>412</v>
      </c>
      <c r="C255" s="3"/>
      <c r="D255" s="6">
        <v>50</v>
      </c>
      <c r="E255" s="6">
        <f>E254+C255-D255</f>
      </c>
      <c r="F255" s="2"/>
    </row>
    <row x14ac:dyDescent="0.25" r="256" customHeight="1" ht="17.25">
      <c r="A256" s="8">
        <v>45728</v>
      </c>
      <c r="B256" s="9" t="s">
        <v>35</v>
      </c>
      <c r="C256" s="6">
        <v>65</v>
      </c>
      <c r="D256" s="4"/>
      <c r="E256" s="6">
        <f>E255+C256-D256</f>
      </c>
      <c r="F256" s="2"/>
    </row>
    <row x14ac:dyDescent="0.25" r="257" customHeight="1" ht="17.25">
      <c r="A257" s="7">
        <v>45729</v>
      </c>
      <c r="B257" s="9" t="s">
        <v>119</v>
      </c>
      <c r="C257" s="6">
        <v>6</v>
      </c>
      <c r="D257" s="4"/>
      <c r="E257" s="6">
        <f>E256+C257-D257</f>
      </c>
      <c r="F257" s="2"/>
    </row>
    <row x14ac:dyDescent="0.25" r="258" customHeight="1" ht="17.25">
      <c r="A258" s="8">
        <v>45729</v>
      </c>
      <c r="B258" s="9" t="s">
        <v>189</v>
      </c>
      <c r="C258" s="6">
        <v>25</v>
      </c>
      <c r="D258" s="4"/>
      <c r="E258" s="6">
        <f>E257+C258-D258</f>
      </c>
      <c r="F258" s="2"/>
    </row>
    <row x14ac:dyDescent="0.25" r="259" customHeight="1" ht="17.25">
      <c r="A259" s="7">
        <v>45730</v>
      </c>
      <c r="B259" s="9" t="s">
        <v>11</v>
      </c>
      <c r="C259" s="6">
        <v>108</v>
      </c>
      <c r="D259" s="4"/>
      <c r="E259" s="6">
        <f>E258+C259-D259</f>
      </c>
      <c r="F259" s="2"/>
    </row>
    <row x14ac:dyDescent="0.25" r="260" customHeight="1" ht="17.25">
      <c r="A260" s="8">
        <v>45730</v>
      </c>
      <c r="B260" s="9" t="s">
        <v>35</v>
      </c>
      <c r="C260" s="6">
        <v>10</v>
      </c>
      <c r="D260" s="4"/>
      <c r="E260" s="6">
        <f>E259+C260-D260</f>
      </c>
      <c r="F260" s="2"/>
    </row>
    <row x14ac:dyDescent="0.25" r="261" customHeight="1" ht="17.25">
      <c r="A261" s="7">
        <v>45731</v>
      </c>
      <c r="B261" s="9" t="s">
        <v>384</v>
      </c>
      <c r="C261" s="6">
        <v>70</v>
      </c>
      <c r="D261" s="4"/>
      <c r="E261" s="6">
        <f>E260+C261-D261</f>
      </c>
      <c r="F261" s="2"/>
    </row>
    <row x14ac:dyDescent="0.25" r="262" customHeight="1" ht="17.25">
      <c r="A262" s="7">
        <v>45731</v>
      </c>
      <c r="B262" s="9" t="s">
        <v>189</v>
      </c>
      <c r="C262" s="6">
        <v>50</v>
      </c>
      <c r="D262" s="4"/>
      <c r="E262" s="6">
        <f>E261+C262-D262</f>
      </c>
      <c r="F262" s="2"/>
    </row>
    <row x14ac:dyDescent="0.25" r="263" customHeight="1" ht="17.25">
      <c r="A263" s="8">
        <v>45733</v>
      </c>
      <c r="B263" s="9" t="s">
        <v>234</v>
      </c>
      <c r="C263" s="3"/>
      <c r="D263" s="6">
        <v>200</v>
      </c>
      <c r="E263" s="6">
        <f>E262+C263-D263</f>
      </c>
      <c r="F263" s="2"/>
    </row>
    <row x14ac:dyDescent="0.25" r="264" customHeight="1" ht="17.25">
      <c r="A264" s="7">
        <v>45733</v>
      </c>
      <c r="B264" s="9" t="s">
        <v>382</v>
      </c>
      <c r="C264" s="6">
        <v>50</v>
      </c>
      <c r="D264" s="4"/>
      <c r="E264" s="6">
        <f>E263+C264-D264</f>
      </c>
      <c r="F264" s="2"/>
    </row>
    <row x14ac:dyDescent="0.25" r="265" customHeight="1" ht="17.25">
      <c r="A265" s="7">
        <v>45733</v>
      </c>
      <c r="B265" s="9" t="s">
        <v>384</v>
      </c>
      <c r="C265" s="6">
        <v>182</v>
      </c>
      <c r="D265" s="4"/>
      <c r="E265" s="6">
        <f>E264+C265-D265</f>
      </c>
      <c r="F265" s="2"/>
    </row>
    <row x14ac:dyDescent="0.25" r="266" customHeight="1" ht="17.25">
      <c r="A266" s="8">
        <v>45733</v>
      </c>
      <c r="B266" s="9" t="s">
        <v>39</v>
      </c>
      <c r="C266" s="6">
        <v>19</v>
      </c>
      <c r="D266" s="4"/>
      <c r="E266" s="6">
        <f>E265+C266-D266</f>
      </c>
      <c r="F266" s="2"/>
    </row>
    <row x14ac:dyDescent="0.25" r="267" customHeight="1" ht="17.25">
      <c r="A267" s="7">
        <v>45734</v>
      </c>
      <c r="B267" s="9" t="s">
        <v>382</v>
      </c>
      <c r="C267" s="6">
        <v>105</v>
      </c>
      <c r="D267" s="4"/>
      <c r="E267" s="6">
        <f>E266+C267-D267</f>
      </c>
      <c r="F267" s="2"/>
    </row>
    <row x14ac:dyDescent="0.25" r="268" customHeight="1" ht="17.25">
      <c r="A268" s="7">
        <v>45735</v>
      </c>
      <c r="B268" s="9" t="s">
        <v>277</v>
      </c>
      <c r="C268" s="3"/>
      <c r="D268" s="6">
        <v>25</v>
      </c>
      <c r="E268" s="6">
        <f>E267+C268-D268</f>
      </c>
      <c r="F268" s="2"/>
    </row>
    <row x14ac:dyDescent="0.25" r="269" customHeight="1" ht="17.25">
      <c r="A269" s="8">
        <v>45735</v>
      </c>
      <c r="B269" s="9" t="s">
        <v>35</v>
      </c>
      <c r="C269" s="6">
        <v>42</v>
      </c>
      <c r="D269" s="4"/>
      <c r="E269" s="6">
        <f>E268+C269-D269</f>
      </c>
      <c r="F269" s="2"/>
    </row>
    <row x14ac:dyDescent="0.25" r="270" customHeight="1" ht="17.25">
      <c r="A270" s="7">
        <v>45735</v>
      </c>
      <c r="B270" s="9" t="s">
        <v>119</v>
      </c>
      <c r="C270" s="6">
        <v>9</v>
      </c>
      <c r="D270" s="4"/>
      <c r="E270" s="6">
        <f>E269+C270-D270</f>
      </c>
      <c r="F270" s="2"/>
    </row>
    <row x14ac:dyDescent="0.25" r="271" customHeight="1" ht="17.25">
      <c r="A271" s="8">
        <v>45735</v>
      </c>
      <c r="B271" s="9" t="s">
        <v>172</v>
      </c>
      <c r="C271" s="6">
        <v>3</v>
      </c>
      <c r="D271" s="4"/>
      <c r="E271" s="6">
        <f>E270+C271-D271</f>
      </c>
      <c r="F271" s="2"/>
    </row>
    <row x14ac:dyDescent="0.25" r="272" customHeight="1" ht="17.25">
      <c r="A272" s="8">
        <v>45735</v>
      </c>
      <c r="B272" s="9" t="s">
        <v>257</v>
      </c>
      <c r="C272" s="6">
        <v>6</v>
      </c>
      <c r="D272" s="4"/>
      <c r="E272" s="6">
        <f>E271+C272-D272</f>
      </c>
      <c r="F272" s="2"/>
    </row>
    <row x14ac:dyDescent="0.25" r="273" customHeight="1" ht="17.25">
      <c r="A273" s="8">
        <v>45735</v>
      </c>
      <c r="B273" s="9" t="s">
        <v>283</v>
      </c>
      <c r="C273" s="6">
        <v>23</v>
      </c>
      <c r="D273" s="4"/>
      <c r="E273" s="6">
        <f>E272+C273-D273</f>
      </c>
      <c r="F273" s="2"/>
    </row>
    <row x14ac:dyDescent="0.25" r="274" customHeight="1" ht="17.25">
      <c r="A274" s="8">
        <v>45736</v>
      </c>
      <c r="B274" s="9" t="s">
        <v>382</v>
      </c>
      <c r="C274" s="6">
        <v>98</v>
      </c>
      <c r="D274" s="4"/>
      <c r="E274" s="6">
        <f>E273+C274-D274</f>
      </c>
      <c r="F274" s="2"/>
    </row>
    <row x14ac:dyDescent="0.25" r="275" customHeight="1" ht="17.25">
      <c r="A275" s="7">
        <v>45737</v>
      </c>
      <c r="B275" s="9" t="s">
        <v>189</v>
      </c>
      <c r="C275" s="6">
        <v>34</v>
      </c>
      <c r="D275" s="4"/>
      <c r="E275" s="6">
        <f>E274+C275-D275</f>
      </c>
      <c r="F275" s="2"/>
    </row>
    <row x14ac:dyDescent="0.25" r="276" customHeight="1" ht="17.25">
      <c r="A276" s="8">
        <v>45737</v>
      </c>
      <c r="B276" s="9" t="s">
        <v>189</v>
      </c>
      <c r="C276" s="6">
        <v>48</v>
      </c>
      <c r="D276" s="4"/>
      <c r="E276" s="6">
        <f>E275+C276-D276</f>
      </c>
      <c r="F276" s="2"/>
    </row>
    <row x14ac:dyDescent="0.25" r="277" customHeight="1" ht="17.25">
      <c r="A277" s="7">
        <v>45737</v>
      </c>
      <c r="B277" s="9" t="s">
        <v>382</v>
      </c>
      <c r="C277" s="6">
        <v>98</v>
      </c>
      <c r="D277" s="4"/>
      <c r="E277" s="6">
        <f>E276+C277-D277</f>
      </c>
      <c r="F277" s="2"/>
    </row>
    <row x14ac:dyDescent="0.25" r="278" customHeight="1" ht="17.25">
      <c r="A278" s="7">
        <v>45737</v>
      </c>
      <c r="B278" s="9" t="s">
        <v>414</v>
      </c>
      <c r="C278" s="6">
        <v>23</v>
      </c>
      <c r="D278" s="4"/>
      <c r="E278" s="6">
        <f>E277+C278-D278</f>
      </c>
      <c r="F278" s="2"/>
    </row>
    <row x14ac:dyDescent="0.25" r="279" customHeight="1" ht="17.25">
      <c r="A279" s="8">
        <v>45737</v>
      </c>
      <c r="B279" s="9" t="s">
        <v>275</v>
      </c>
      <c r="C279" s="6">
        <v>6</v>
      </c>
      <c r="D279" s="4"/>
      <c r="E279" s="6">
        <f>E278+C279-D279</f>
      </c>
      <c r="F279" s="2"/>
    </row>
    <row x14ac:dyDescent="0.25" r="280" customHeight="1" ht="17.25">
      <c r="A280" s="39">
        <v>45737</v>
      </c>
      <c r="B280" s="36" t="s">
        <v>275</v>
      </c>
      <c r="C280" s="32"/>
      <c r="D280" s="32"/>
      <c r="E280" s="33">
        <f>E279+C280-D280</f>
      </c>
      <c r="F280" s="31" t="s">
        <v>443</v>
      </c>
    </row>
    <row x14ac:dyDescent="0.25" r="281" customHeight="1" ht="17.25">
      <c r="A281" s="8">
        <v>45737</v>
      </c>
      <c r="B281" s="9" t="s">
        <v>272</v>
      </c>
      <c r="C281" s="6">
        <v>7</v>
      </c>
      <c r="D281" s="4"/>
      <c r="E281" s="6">
        <f>E280+C281-D281</f>
      </c>
      <c r="F281" s="2"/>
    </row>
    <row x14ac:dyDescent="0.25" r="282" customHeight="1" ht="17.25">
      <c r="A282" s="8">
        <v>45737</v>
      </c>
      <c r="B282" s="9" t="s">
        <v>258</v>
      </c>
      <c r="C282" s="6">
        <v>8</v>
      </c>
      <c r="D282" s="4"/>
      <c r="E282" s="6">
        <f>E281+C282-D282</f>
      </c>
      <c r="F282" s="2"/>
    </row>
    <row x14ac:dyDescent="0.25" r="283" customHeight="1" ht="17.25">
      <c r="A283" s="8">
        <v>45738</v>
      </c>
      <c r="B283" s="9" t="s">
        <v>382</v>
      </c>
      <c r="C283" s="6">
        <v>50</v>
      </c>
      <c r="D283" s="4"/>
      <c r="E283" s="6">
        <f>E282+C283-D283</f>
      </c>
      <c r="F283" s="2"/>
    </row>
    <row x14ac:dyDescent="0.25" r="284" customHeight="1" ht="17.25">
      <c r="A284" s="8">
        <v>45738</v>
      </c>
      <c r="B284" s="9" t="s">
        <v>382</v>
      </c>
      <c r="C284" s="6">
        <v>74</v>
      </c>
      <c r="D284" s="4"/>
      <c r="E284" s="6">
        <f>E283+C284-D284</f>
      </c>
      <c r="F284" s="2"/>
    </row>
    <row x14ac:dyDescent="0.25" r="285" customHeight="1" ht="17.25">
      <c r="A285" s="7">
        <v>45738</v>
      </c>
      <c r="B285" s="9" t="s">
        <v>189</v>
      </c>
      <c r="C285" s="6">
        <v>23</v>
      </c>
      <c r="D285" s="4"/>
      <c r="E285" s="6">
        <f>E284+C285-D285</f>
      </c>
      <c r="F285" s="2"/>
    </row>
    <row x14ac:dyDescent="0.25" r="286" customHeight="1" ht="17.25">
      <c r="A286" s="8">
        <v>45738</v>
      </c>
      <c r="B286" s="9" t="s">
        <v>384</v>
      </c>
      <c r="C286" s="6">
        <v>210</v>
      </c>
      <c r="D286" s="4"/>
      <c r="E286" s="6">
        <f>E285+C286-D286</f>
      </c>
      <c r="F286" s="2"/>
    </row>
    <row x14ac:dyDescent="0.25" r="287" customHeight="1" ht="17.25">
      <c r="A287" s="7">
        <v>45738</v>
      </c>
      <c r="B287" s="9" t="s">
        <v>35</v>
      </c>
      <c r="C287" s="6">
        <v>48</v>
      </c>
      <c r="D287" s="4"/>
      <c r="E287" s="6">
        <f>E286+C287-D287</f>
      </c>
      <c r="F287" s="2"/>
    </row>
    <row x14ac:dyDescent="0.25" r="288" customHeight="1" ht="17.25">
      <c r="A288" s="8">
        <v>45738</v>
      </c>
      <c r="B288" s="9" t="s">
        <v>39</v>
      </c>
      <c r="C288" s="6">
        <v>24</v>
      </c>
      <c r="D288" s="4"/>
      <c r="E288" s="6">
        <f>E287+C288-D288</f>
      </c>
      <c r="F288" s="2"/>
    </row>
    <row x14ac:dyDescent="0.25" r="289" customHeight="1" ht="17.25">
      <c r="A289" s="8">
        <v>45738</v>
      </c>
      <c r="B289" s="9" t="s">
        <v>257</v>
      </c>
      <c r="C289" s="6">
        <v>11</v>
      </c>
      <c r="D289" s="4"/>
      <c r="E289" s="6">
        <f>E288+C289-D289</f>
      </c>
      <c r="F289" s="2"/>
    </row>
    <row x14ac:dyDescent="0.25" r="290" customHeight="1" ht="17.25">
      <c r="A290" s="8">
        <v>45740</v>
      </c>
      <c r="B290" s="9" t="s">
        <v>172</v>
      </c>
      <c r="C290" s="6">
        <v>11</v>
      </c>
      <c r="D290" s="4"/>
      <c r="E290" s="6">
        <f>E289+C290-D290</f>
      </c>
      <c r="F290" s="2"/>
    </row>
    <row x14ac:dyDescent="0.25" r="291" customHeight="1" ht="17.25">
      <c r="A291" s="7">
        <v>45740</v>
      </c>
      <c r="B291" s="9" t="s">
        <v>382</v>
      </c>
      <c r="C291" s="6">
        <v>110</v>
      </c>
      <c r="D291" s="4"/>
      <c r="E291" s="6">
        <f>E290+C291-D291</f>
      </c>
      <c r="F291" s="2"/>
    </row>
    <row x14ac:dyDescent="0.25" r="292" customHeight="1" ht="17.25">
      <c r="A292" s="7">
        <v>45740</v>
      </c>
      <c r="B292" s="9" t="s">
        <v>444</v>
      </c>
      <c r="C292" s="6">
        <v>28</v>
      </c>
      <c r="D292" s="4"/>
      <c r="E292" s="6">
        <f>E291+C292-D292</f>
      </c>
      <c r="F292" s="2"/>
    </row>
    <row x14ac:dyDescent="0.25" r="293" customHeight="1" ht="17.25">
      <c r="A293" s="8">
        <v>45740</v>
      </c>
      <c r="B293" s="9" t="s">
        <v>376</v>
      </c>
      <c r="C293" s="6">
        <v>47</v>
      </c>
      <c r="D293" s="4"/>
      <c r="E293" s="6">
        <f>E292+C293-D293</f>
      </c>
      <c r="F293" s="2"/>
    </row>
    <row x14ac:dyDescent="0.25" r="294" customHeight="1" ht="17.25">
      <c r="A294" s="7">
        <v>45740</v>
      </c>
      <c r="B294" s="9" t="s">
        <v>445</v>
      </c>
      <c r="C294" s="6">
        <v>39</v>
      </c>
      <c r="D294" s="4"/>
      <c r="E294" s="6">
        <f>E293+C294-D294</f>
      </c>
      <c r="F294" s="2"/>
    </row>
    <row x14ac:dyDescent="0.25" r="295" customHeight="1" ht="17.25">
      <c r="A295" s="7">
        <v>45740</v>
      </c>
      <c r="B295" s="9" t="s">
        <v>39</v>
      </c>
      <c r="C295" s="6">
        <v>3</v>
      </c>
      <c r="D295" s="4"/>
      <c r="E295" s="6">
        <f>E294+C295-D295</f>
      </c>
      <c r="F295" s="2"/>
    </row>
    <row x14ac:dyDescent="0.25" r="296" customHeight="1" ht="17.25">
      <c r="A296" s="8">
        <v>45741</v>
      </c>
      <c r="B296" s="9" t="s">
        <v>272</v>
      </c>
      <c r="C296" s="6">
        <v>14</v>
      </c>
      <c r="D296" s="4"/>
      <c r="E296" s="6">
        <f>E295+C296-D296</f>
      </c>
      <c r="F296" s="2"/>
    </row>
    <row x14ac:dyDescent="0.25" r="297" customHeight="1" ht="17.25">
      <c r="A297" s="8">
        <v>45741</v>
      </c>
      <c r="B297" s="9" t="s">
        <v>257</v>
      </c>
      <c r="C297" s="6">
        <v>7</v>
      </c>
      <c r="D297" s="4"/>
      <c r="E297" s="6">
        <f>E296+C297-D297</f>
      </c>
      <c r="F297" s="2"/>
    </row>
    <row x14ac:dyDescent="0.25" r="298" customHeight="1" ht="17.25">
      <c r="A298" s="8">
        <v>45741</v>
      </c>
      <c r="B298" s="9" t="s">
        <v>119</v>
      </c>
      <c r="C298" s="6">
        <v>52</v>
      </c>
      <c r="D298" s="4"/>
      <c r="E298" s="6">
        <f>E297+C298-D298</f>
      </c>
      <c r="F298" s="2"/>
    </row>
    <row x14ac:dyDescent="0.25" r="299" customHeight="1" ht="17.25">
      <c r="A299" s="8">
        <v>45741</v>
      </c>
      <c r="B299" s="9" t="s">
        <v>257</v>
      </c>
      <c r="C299" s="6">
        <v>28</v>
      </c>
      <c r="D299" s="4"/>
      <c r="E299" s="6">
        <f>E298+C299-D299</f>
      </c>
      <c r="F299" s="2"/>
    </row>
    <row x14ac:dyDescent="0.25" r="300" customHeight="1" ht="17.25">
      <c r="A300" s="7">
        <v>45742</v>
      </c>
      <c r="B300" s="9" t="s">
        <v>172</v>
      </c>
      <c r="C300" s="6">
        <v>27</v>
      </c>
      <c r="D300" s="4"/>
      <c r="E300" s="6">
        <f>E299+C300-D300</f>
      </c>
      <c r="F300" s="2"/>
    </row>
    <row x14ac:dyDescent="0.25" r="301" customHeight="1" ht="17.25">
      <c r="A301" s="7">
        <v>45755</v>
      </c>
      <c r="B301" s="9" t="s">
        <v>382</v>
      </c>
      <c r="C301" s="6">
        <v>100</v>
      </c>
      <c r="D301" s="4"/>
      <c r="E301" s="6">
        <f>E300+C301-D301</f>
      </c>
      <c r="F301" s="2"/>
    </row>
    <row x14ac:dyDescent="0.25" r="302" customHeight="1" ht="17.25">
      <c r="A302" s="34">
        <v>45755</v>
      </c>
      <c r="B302" s="36" t="s">
        <v>446</v>
      </c>
      <c r="C302" s="32"/>
      <c r="D302" s="33">
        <v>30</v>
      </c>
      <c r="E302" s="33">
        <f>E301+C302-D302</f>
      </c>
      <c r="F302" s="31" t="s">
        <v>203</v>
      </c>
    </row>
    <row x14ac:dyDescent="0.25" r="303" customHeight="1" ht="17.25">
      <c r="A303" s="8">
        <v>45755</v>
      </c>
      <c r="B303" s="9" t="s">
        <v>232</v>
      </c>
      <c r="C303" s="3"/>
      <c r="D303" s="6">
        <v>20</v>
      </c>
      <c r="E303" s="6">
        <f>E302+C303-D303</f>
      </c>
      <c r="F303" s="2"/>
    </row>
    <row x14ac:dyDescent="0.25" r="304" customHeight="1" ht="17.25">
      <c r="A304" s="8">
        <v>45755</v>
      </c>
      <c r="B304" s="9" t="s">
        <v>232</v>
      </c>
      <c r="C304" s="6">
        <v>25</v>
      </c>
      <c r="D304" s="4"/>
      <c r="E304" s="6">
        <f>E303+C304-D304</f>
      </c>
      <c r="F304" s="2"/>
    </row>
    <row x14ac:dyDescent="0.25" r="305" customHeight="1" ht="17.25">
      <c r="A305" s="7">
        <v>45757</v>
      </c>
      <c r="B305" s="9" t="s">
        <v>275</v>
      </c>
      <c r="C305" s="6">
        <v>31</v>
      </c>
      <c r="D305" s="4"/>
      <c r="E305" s="6">
        <f>E304+C305-D305</f>
      </c>
      <c r="F305" s="2"/>
    </row>
    <row x14ac:dyDescent="0.25" r="306" customHeight="1" ht="17.25">
      <c r="A306" s="34">
        <v>45757</v>
      </c>
      <c r="B306" s="36" t="s">
        <v>189</v>
      </c>
      <c r="C306" s="33">
        <v>18</v>
      </c>
      <c r="D306" s="32"/>
      <c r="E306" s="33">
        <f>E305+C306-D306</f>
      </c>
      <c r="F306" s="31" t="s">
        <v>178</v>
      </c>
    </row>
    <row x14ac:dyDescent="0.25" r="307" customHeight="1" ht="17.25">
      <c r="A307" s="8">
        <v>45761</v>
      </c>
      <c r="B307" s="9" t="s">
        <v>282</v>
      </c>
      <c r="C307" s="3"/>
      <c r="D307" s="6">
        <v>6</v>
      </c>
      <c r="E307" s="6">
        <f>E306+C307-D307</f>
      </c>
      <c r="F307" s="2"/>
    </row>
    <row x14ac:dyDescent="0.25" r="308" customHeight="1" ht="17.25">
      <c r="A308" s="8">
        <v>45761</v>
      </c>
      <c r="B308" s="9" t="s">
        <v>39</v>
      </c>
      <c r="C308" s="6">
        <v>26</v>
      </c>
      <c r="D308" s="4"/>
      <c r="E308" s="6">
        <f>E307+C308-D308</f>
      </c>
      <c r="F308" s="2"/>
    </row>
    <row x14ac:dyDescent="0.25" r="309" customHeight="1" ht="17.25">
      <c r="A309" s="8">
        <v>45762</v>
      </c>
      <c r="B309" s="9" t="s">
        <v>189</v>
      </c>
      <c r="C309" s="3"/>
      <c r="D309" s="6">
        <v>60</v>
      </c>
      <c r="E309" s="6">
        <f>E308+C309-D309</f>
      </c>
      <c r="F309" s="2"/>
    </row>
    <row x14ac:dyDescent="0.25" r="310" customHeight="1" ht="17.25">
      <c r="A310" s="7">
        <v>45762</v>
      </c>
      <c r="B310" s="9" t="s">
        <v>283</v>
      </c>
      <c r="C310" s="6">
        <v>35</v>
      </c>
      <c r="D310" s="4"/>
      <c r="E310" s="6">
        <f>E309+C310-D310</f>
      </c>
      <c r="F310" s="2"/>
    </row>
    <row x14ac:dyDescent="0.25" r="311" customHeight="1" ht="17.25">
      <c r="A311" s="8">
        <v>45762</v>
      </c>
      <c r="B311" s="9" t="s">
        <v>283</v>
      </c>
      <c r="C311" s="6">
        <v>18</v>
      </c>
      <c r="D311" s="4"/>
      <c r="E311" s="6">
        <f>E310+C311-D311</f>
      </c>
      <c r="F311" s="2"/>
    </row>
    <row x14ac:dyDescent="0.25" r="312" customHeight="1" ht="17.25">
      <c r="A312" s="7">
        <v>45762</v>
      </c>
      <c r="B312" s="9" t="s">
        <v>384</v>
      </c>
      <c r="C312" s="6">
        <v>89</v>
      </c>
      <c r="D312" s="4"/>
      <c r="E312" s="6">
        <f>E311+C312-D312</f>
      </c>
      <c r="F312" s="2"/>
    </row>
    <row x14ac:dyDescent="0.25" r="313" customHeight="1" ht="17.25">
      <c r="A313" s="8">
        <v>45763</v>
      </c>
      <c r="B313" s="9" t="s">
        <v>416</v>
      </c>
      <c r="C313" s="3"/>
      <c r="D313" s="6">
        <v>24</v>
      </c>
      <c r="E313" s="6">
        <f>E312+C313-D313</f>
      </c>
      <c r="F313" s="2"/>
    </row>
    <row x14ac:dyDescent="0.25" r="314" customHeight="1" ht="17.25">
      <c r="A314" s="39">
        <v>45763</v>
      </c>
      <c r="B314" s="36" t="s">
        <v>2</v>
      </c>
      <c r="C314" s="32"/>
      <c r="D314" s="33">
        <v>10</v>
      </c>
      <c r="E314" s="33">
        <f>E313+C314-D314</f>
      </c>
      <c r="F314" s="31" t="s">
        <v>380</v>
      </c>
    </row>
    <row x14ac:dyDescent="0.25" r="315" customHeight="1" ht="17.25">
      <c r="A315" s="8">
        <v>45763</v>
      </c>
      <c r="B315" s="9" t="s">
        <v>283</v>
      </c>
      <c r="C315" s="6">
        <v>34</v>
      </c>
      <c r="D315" s="4"/>
      <c r="E315" s="6">
        <f>E314+C315-D315</f>
      </c>
      <c r="F315" s="2"/>
    </row>
    <row x14ac:dyDescent="0.25" r="316" customHeight="1" ht="17.25">
      <c r="A316" s="7">
        <v>45764</v>
      </c>
      <c r="B316" s="9" t="s">
        <v>189</v>
      </c>
      <c r="C316" s="3"/>
      <c r="D316" s="6">
        <v>100</v>
      </c>
      <c r="E316" s="6">
        <f>E315+C316-D316</f>
      </c>
      <c r="F316" s="2"/>
    </row>
    <row x14ac:dyDescent="0.25" r="317" customHeight="1" ht="17.25">
      <c r="A317" s="8">
        <v>45764</v>
      </c>
      <c r="B317" s="9" t="s">
        <v>286</v>
      </c>
      <c r="C317" s="3"/>
      <c r="D317" s="6">
        <v>26</v>
      </c>
      <c r="E317" s="6">
        <f>E316+C317-D317</f>
      </c>
      <c r="F317" s="2"/>
    </row>
    <row x14ac:dyDescent="0.25" r="318" customHeight="1" ht="17.25">
      <c r="A318" s="7">
        <v>45764</v>
      </c>
      <c r="B318" s="9" t="s">
        <v>2</v>
      </c>
      <c r="C318" s="3"/>
      <c r="D318" s="6">
        <v>20</v>
      </c>
      <c r="E318" s="6">
        <f>E317+C318-D318</f>
      </c>
      <c r="F318" s="2"/>
    </row>
    <row x14ac:dyDescent="0.25" r="319" customHeight="1" ht="17.25">
      <c r="A319" s="7">
        <v>45764</v>
      </c>
      <c r="B319" s="9" t="s">
        <v>259</v>
      </c>
      <c r="C319" s="6">
        <v>118</v>
      </c>
      <c r="D319" s="4"/>
      <c r="E319" s="6">
        <f>E318+C319-D319</f>
      </c>
      <c r="F319" s="2"/>
    </row>
    <row x14ac:dyDescent="0.25" r="320" customHeight="1" ht="17.25">
      <c r="A320" s="7">
        <v>45765</v>
      </c>
      <c r="B320" s="9" t="s">
        <v>297</v>
      </c>
      <c r="C320" s="3"/>
      <c r="D320" s="6">
        <v>15</v>
      </c>
      <c r="E320" s="6">
        <f>E319+C320-D320</f>
      </c>
      <c r="F320" s="2"/>
    </row>
    <row x14ac:dyDescent="0.25" r="321" customHeight="1" ht="17.25">
      <c r="A321" s="7">
        <v>45766</v>
      </c>
      <c r="B321" s="9" t="s">
        <v>384</v>
      </c>
      <c r="C321" s="6">
        <v>130</v>
      </c>
      <c r="D321" s="4"/>
      <c r="E321" s="6">
        <f>E320+C321-D321</f>
      </c>
      <c r="F321" s="2"/>
    </row>
    <row x14ac:dyDescent="0.25" r="322" customHeight="1" ht="17.25">
      <c r="A322" s="8">
        <v>45768</v>
      </c>
      <c r="B322" s="9" t="s">
        <v>412</v>
      </c>
      <c r="C322" s="3"/>
      <c r="D322" s="6">
        <v>20</v>
      </c>
      <c r="E322" s="6">
        <f>E321+C322-D322</f>
      </c>
      <c r="F322" s="2"/>
    </row>
    <row x14ac:dyDescent="0.25" r="323" customHeight="1" ht="17.25">
      <c r="A323" s="8">
        <v>45768</v>
      </c>
      <c r="B323" s="9" t="s">
        <v>284</v>
      </c>
      <c r="C323" s="3"/>
      <c r="D323" s="6">
        <v>140</v>
      </c>
      <c r="E323" s="6">
        <f>E322+C323-D323</f>
      </c>
      <c r="F323" s="2"/>
    </row>
    <row x14ac:dyDescent="0.25" r="324" customHeight="1" ht="17.25">
      <c r="A324" s="7">
        <v>45769</v>
      </c>
      <c r="B324" s="9" t="s">
        <v>284</v>
      </c>
      <c r="C324" s="3"/>
      <c r="D324" s="6">
        <v>593</v>
      </c>
      <c r="E324" s="6">
        <f>E323+C324-D324</f>
      </c>
      <c r="F324" s="2"/>
    </row>
    <row x14ac:dyDescent="0.25" r="325" customHeight="1" ht="17.25">
      <c r="A325" s="8">
        <v>45769</v>
      </c>
      <c r="B325" s="9" t="s">
        <v>412</v>
      </c>
      <c r="C325" s="3"/>
      <c r="D325" s="6">
        <v>20</v>
      </c>
      <c r="E325" s="6">
        <f>E324+C325-D325</f>
      </c>
      <c r="F325" s="2"/>
    </row>
    <row x14ac:dyDescent="0.25" r="326" customHeight="1" ht="17.25">
      <c r="A326" s="8">
        <v>45769</v>
      </c>
      <c r="B326" s="9" t="s">
        <v>39</v>
      </c>
      <c r="C326" s="6">
        <v>10</v>
      </c>
      <c r="D326" s="4"/>
      <c r="E326" s="6">
        <f>E325+C326-D326</f>
      </c>
      <c r="F326" s="2"/>
    </row>
    <row x14ac:dyDescent="0.25" r="327" customHeight="1" ht="17.25">
      <c r="A327" s="7">
        <v>45769</v>
      </c>
      <c r="B327" s="9" t="s">
        <v>118</v>
      </c>
      <c r="C327" s="6">
        <v>21</v>
      </c>
      <c r="D327" s="4"/>
      <c r="E327" s="6">
        <f>E326+C327-D327</f>
      </c>
      <c r="F327" s="2"/>
    </row>
    <row x14ac:dyDescent="0.25" r="328" customHeight="1" ht="17.25">
      <c r="A328" s="8">
        <v>45769</v>
      </c>
      <c r="B328" s="9" t="s">
        <v>286</v>
      </c>
      <c r="C328" s="3"/>
      <c r="D328" s="6">
        <v>164</v>
      </c>
      <c r="E328" s="6">
        <f>E327+C328-D328</f>
      </c>
      <c r="F328" s="2"/>
    </row>
    <row x14ac:dyDescent="0.25" r="329" customHeight="1" ht="17.25">
      <c r="A329" s="7">
        <v>45769</v>
      </c>
      <c r="B329" s="9" t="s">
        <v>275</v>
      </c>
      <c r="C329" s="6">
        <v>12</v>
      </c>
      <c r="D329" s="4"/>
      <c r="E329" s="6">
        <f>E328+C329-D329</f>
      </c>
      <c r="F329" s="2"/>
    </row>
    <row x14ac:dyDescent="0.25" r="330" customHeight="1" ht="17.25">
      <c r="A330" s="7">
        <v>45771</v>
      </c>
      <c r="B330" s="9" t="s">
        <v>228</v>
      </c>
      <c r="C330" s="3"/>
      <c r="D330" s="6">
        <v>15</v>
      </c>
      <c r="E330" s="6">
        <f>E329+C330-D330</f>
      </c>
      <c r="F330" s="2"/>
    </row>
    <row x14ac:dyDescent="0.25" r="331" customHeight="1" ht="17.25">
      <c r="A331" s="8">
        <v>45771</v>
      </c>
      <c r="B331" s="9" t="s">
        <v>228</v>
      </c>
      <c r="C331" s="3"/>
      <c r="D331" s="6">
        <v>50</v>
      </c>
      <c r="E331" s="6">
        <f>E330+C331-D331</f>
      </c>
      <c r="F331" s="2"/>
    </row>
    <row x14ac:dyDescent="0.25" r="332" customHeight="1" ht="17.25">
      <c r="A332" s="8">
        <v>45771</v>
      </c>
      <c r="B332" s="9" t="s">
        <v>411</v>
      </c>
      <c r="C332" s="3"/>
      <c r="D332" s="6">
        <v>10</v>
      </c>
      <c r="E332" s="6">
        <f>E331+C332-D332</f>
      </c>
      <c r="F332" s="2"/>
    </row>
    <row x14ac:dyDescent="0.25" r="333" customHeight="1" ht="17.25">
      <c r="A333" s="7">
        <v>45771</v>
      </c>
      <c r="B333" s="9" t="s">
        <v>283</v>
      </c>
      <c r="C333" s="6">
        <v>4</v>
      </c>
      <c r="D333" s="4"/>
      <c r="E333" s="6">
        <f>E332+C333-D333</f>
      </c>
      <c r="F333" s="2"/>
    </row>
    <row x14ac:dyDescent="0.25" r="334" customHeight="1" ht="17.25">
      <c r="A334" s="8">
        <v>45772</v>
      </c>
      <c r="B334" s="9" t="s">
        <v>228</v>
      </c>
      <c r="C334" s="3"/>
      <c r="D334" s="6">
        <v>30</v>
      </c>
      <c r="E334" s="6">
        <f>E333+C334-D334</f>
      </c>
      <c r="F334" s="2"/>
    </row>
    <row x14ac:dyDescent="0.25" r="335" customHeight="1" ht="17.25">
      <c r="A335" s="8">
        <v>45772</v>
      </c>
      <c r="B335" s="9" t="s">
        <v>228</v>
      </c>
      <c r="C335" s="3"/>
      <c r="D335" s="6">
        <v>50</v>
      </c>
      <c r="E335" s="6">
        <f>E334+C335-D335</f>
      </c>
      <c r="F335" s="2"/>
    </row>
    <row x14ac:dyDescent="0.25" r="336" customHeight="1" ht="17.25">
      <c r="A336" s="8">
        <v>45773</v>
      </c>
      <c r="B336" s="9" t="s">
        <v>228</v>
      </c>
      <c r="C336" s="3"/>
      <c r="D336" s="6">
        <v>25</v>
      </c>
      <c r="E336" s="6">
        <f>E335+C336-D336</f>
      </c>
      <c r="F336" s="2"/>
    </row>
    <row x14ac:dyDescent="0.25" r="337" customHeight="1" ht="17.25">
      <c r="A337" s="7">
        <v>45773</v>
      </c>
      <c r="B337" s="9" t="s">
        <v>389</v>
      </c>
      <c r="C337" s="3"/>
      <c r="D337" s="6">
        <v>160</v>
      </c>
      <c r="E337" s="6">
        <f>E336+C337-D337</f>
      </c>
      <c r="F337" s="2"/>
    </row>
    <row x14ac:dyDescent="0.25" r="338" customHeight="1" ht="17.25">
      <c r="A338" s="7">
        <v>45773</v>
      </c>
      <c r="B338" s="9" t="s">
        <v>287</v>
      </c>
      <c r="C338" s="3"/>
      <c r="D338" s="6">
        <v>10</v>
      </c>
      <c r="E338" s="6">
        <f>E337+C338-D338</f>
      </c>
      <c r="F338" s="2"/>
    </row>
    <row x14ac:dyDescent="0.25" r="339" customHeight="1" ht="17.25">
      <c r="A339" s="7">
        <v>45775</v>
      </c>
      <c r="B339" s="9" t="s">
        <v>412</v>
      </c>
      <c r="C339" s="3"/>
      <c r="D339" s="6">
        <v>20</v>
      </c>
      <c r="E339" s="6">
        <f>E338+C339-D339</f>
      </c>
      <c r="F339" s="2"/>
    </row>
    <row x14ac:dyDescent="0.25" r="340" customHeight="1" ht="17.25">
      <c r="A340" s="8">
        <v>45775</v>
      </c>
      <c r="B340" s="9" t="s">
        <v>228</v>
      </c>
      <c r="C340" s="3"/>
      <c r="D340" s="6">
        <v>20</v>
      </c>
      <c r="E340" s="6">
        <f>E339+C340-D340</f>
      </c>
      <c r="F340" s="2"/>
    </row>
    <row x14ac:dyDescent="0.25" r="341" customHeight="1" ht="17.25">
      <c r="A341" s="8">
        <v>45775</v>
      </c>
      <c r="B341" s="9" t="s">
        <v>283</v>
      </c>
      <c r="C341" s="6">
        <v>18</v>
      </c>
      <c r="D341" s="4"/>
      <c r="E341" s="6">
        <f>E340+C341-D341</f>
      </c>
      <c r="F341" s="2"/>
    </row>
    <row x14ac:dyDescent="0.25" r="342" customHeight="1" ht="17.25">
      <c r="A342" s="7">
        <v>45775</v>
      </c>
      <c r="B342" s="9" t="s">
        <v>384</v>
      </c>
      <c r="C342" s="6">
        <v>142</v>
      </c>
      <c r="D342" s="4"/>
      <c r="E342" s="6">
        <f>E341+C342-D342</f>
      </c>
      <c r="F342" s="2"/>
    </row>
    <row x14ac:dyDescent="0.25" r="343" customHeight="1" ht="17.25">
      <c r="A343" s="7">
        <v>45775</v>
      </c>
      <c r="B343" s="9" t="s">
        <v>444</v>
      </c>
      <c r="C343" s="6">
        <v>59</v>
      </c>
      <c r="D343" s="4"/>
      <c r="E343" s="6">
        <f>E342+C343-D343</f>
      </c>
      <c r="F343" s="2"/>
    </row>
    <row x14ac:dyDescent="0.25" r="344" customHeight="1" ht="17.25">
      <c r="A344" s="8">
        <v>45776</v>
      </c>
      <c r="B344" s="9" t="s">
        <v>288</v>
      </c>
      <c r="C344" s="6">
        <v>25</v>
      </c>
      <c r="D344" s="4"/>
      <c r="E344" s="6">
        <f>E343+C344-D344</f>
      </c>
      <c r="F344" s="2"/>
    </row>
    <row x14ac:dyDescent="0.25" r="345" customHeight="1" ht="17.25">
      <c r="A345" s="7">
        <v>45776</v>
      </c>
      <c r="B345" s="9" t="s">
        <v>444</v>
      </c>
      <c r="C345" s="6">
        <v>22</v>
      </c>
      <c r="D345" s="4"/>
      <c r="E345" s="6">
        <f>E344+C345-D345</f>
      </c>
      <c r="F345" s="2"/>
    </row>
    <row x14ac:dyDescent="0.25" r="346" customHeight="1" ht="17.25">
      <c r="A346" s="7">
        <v>45777</v>
      </c>
      <c r="B346" s="9" t="s">
        <v>311</v>
      </c>
      <c r="C346" s="3"/>
      <c r="D346" s="6">
        <v>100</v>
      </c>
      <c r="E346" s="6">
        <f>E345+C346-D346</f>
      </c>
      <c r="F346" s="2"/>
    </row>
    <row x14ac:dyDescent="0.25" r="347" customHeight="1" ht="17.25">
      <c r="A347" s="34">
        <v>45777</v>
      </c>
      <c r="B347" s="36" t="s">
        <v>289</v>
      </c>
      <c r="C347" s="32"/>
      <c r="D347" s="33">
        <v>74</v>
      </c>
      <c r="E347" s="33">
        <f>E346+C347-D347</f>
      </c>
      <c r="F347" s="31" t="s">
        <v>447</v>
      </c>
    </row>
    <row x14ac:dyDescent="0.25" r="348" customHeight="1" ht="17.25">
      <c r="A348" s="7">
        <v>45777</v>
      </c>
      <c r="B348" s="9" t="s">
        <v>412</v>
      </c>
      <c r="C348" s="3"/>
      <c r="D348" s="6">
        <v>10</v>
      </c>
      <c r="E348" s="6">
        <f>E347+C348-D348</f>
      </c>
      <c r="F348" s="2"/>
    </row>
    <row x14ac:dyDescent="0.25" r="349" customHeight="1" ht="17.25">
      <c r="A349" s="7">
        <v>45777</v>
      </c>
      <c r="B349" s="9" t="s">
        <v>412</v>
      </c>
      <c r="C349" s="3"/>
      <c r="D349" s="6">
        <v>10</v>
      </c>
      <c r="E349" s="6">
        <f>E348+C349-D349</f>
      </c>
      <c r="F349" s="2"/>
    </row>
    <row x14ac:dyDescent="0.25" r="350" customHeight="1" ht="17.25">
      <c r="A350" s="8">
        <v>45777</v>
      </c>
      <c r="B350" s="9" t="s">
        <v>275</v>
      </c>
      <c r="C350" s="6">
        <v>6</v>
      </c>
      <c r="D350" s="4"/>
      <c r="E350" s="6">
        <f>E349+C350-D350</f>
      </c>
      <c r="F350" s="2"/>
    </row>
    <row x14ac:dyDescent="0.25" r="351" customHeight="1" ht="17.25">
      <c r="A351" s="7">
        <v>45777</v>
      </c>
      <c r="B351" s="9" t="s">
        <v>382</v>
      </c>
      <c r="C351" s="6">
        <v>60</v>
      </c>
      <c r="D351" s="4"/>
      <c r="E351" s="6">
        <f>E350+C351-D351</f>
      </c>
      <c r="F351" s="2"/>
    </row>
    <row x14ac:dyDescent="0.25" r="352" customHeight="1" ht="17.25">
      <c r="A352" s="39">
        <v>45779</v>
      </c>
      <c r="B352" s="36" t="s">
        <v>241</v>
      </c>
      <c r="C352" s="32"/>
      <c r="D352" s="33">
        <v>12</v>
      </c>
      <c r="E352" s="33">
        <f>E351+C352-D352</f>
      </c>
      <c r="F352" s="31" t="s">
        <v>380</v>
      </c>
    </row>
    <row x14ac:dyDescent="0.25" r="353" customHeight="1" ht="17.25">
      <c r="A353" s="7">
        <v>45779</v>
      </c>
      <c r="B353" s="9" t="s">
        <v>228</v>
      </c>
      <c r="C353" s="3"/>
      <c r="D353" s="6">
        <v>50</v>
      </c>
      <c r="E353" s="6">
        <f>E352+C353-D353</f>
      </c>
      <c r="F353" s="2"/>
    </row>
    <row x14ac:dyDescent="0.25" r="354" customHeight="1" ht="17.25">
      <c r="A354" s="8">
        <v>45779</v>
      </c>
      <c r="B354" s="9" t="s">
        <v>286</v>
      </c>
      <c r="C354" s="3"/>
      <c r="D354" s="6">
        <v>20</v>
      </c>
      <c r="E354" s="6">
        <f>E353+C354-D354</f>
      </c>
      <c r="F354" s="2"/>
    </row>
    <row x14ac:dyDescent="0.25" r="355" customHeight="1" ht="17.25">
      <c r="A355" s="8">
        <v>45779</v>
      </c>
      <c r="B355" s="9" t="s">
        <v>382</v>
      </c>
      <c r="C355" s="6">
        <v>34</v>
      </c>
      <c r="D355" s="4"/>
      <c r="E355" s="6">
        <f>E354+C355-D355</f>
      </c>
      <c r="F355" s="2"/>
    </row>
    <row x14ac:dyDescent="0.25" r="356" customHeight="1" ht="17.25">
      <c r="A356" s="8">
        <v>45780</v>
      </c>
      <c r="B356" s="9" t="s">
        <v>232</v>
      </c>
      <c r="C356" s="3"/>
      <c r="D356" s="6">
        <v>30</v>
      </c>
      <c r="E356" s="6">
        <f>E355+C356-D356</f>
      </c>
      <c r="F356" s="2"/>
    </row>
    <row x14ac:dyDescent="0.25" r="357" customHeight="1" ht="17.25">
      <c r="A357" s="7">
        <v>45782</v>
      </c>
      <c r="B357" s="9" t="s">
        <v>284</v>
      </c>
      <c r="C357" s="3"/>
      <c r="D357" s="6">
        <v>200</v>
      </c>
      <c r="E357" s="6">
        <f>E356+C357-D357</f>
      </c>
      <c r="F357" s="2"/>
    </row>
    <row x14ac:dyDescent="0.25" r="358" customHeight="1" ht="17.25">
      <c r="A358" s="7">
        <v>45782</v>
      </c>
      <c r="B358" s="9" t="s">
        <v>389</v>
      </c>
      <c r="C358" s="3"/>
      <c r="D358" s="6">
        <v>75</v>
      </c>
      <c r="E358" s="6">
        <f>E357+C358-D358</f>
      </c>
      <c r="F358" s="2"/>
    </row>
    <row x14ac:dyDescent="0.25" r="359" customHeight="1" ht="17.25">
      <c r="A359" s="7">
        <v>45782</v>
      </c>
      <c r="B359" s="9" t="s">
        <v>286</v>
      </c>
      <c r="C359" s="3"/>
      <c r="D359" s="6">
        <v>100</v>
      </c>
      <c r="E359" s="6">
        <f>E358+C359-D359</f>
      </c>
      <c r="F359" s="2"/>
    </row>
    <row x14ac:dyDescent="0.25" r="360" customHeight="1" ht="17.25">
      <c r="A360" s="8">
        <v>45782</v>
      </c>
      <c r="B360" s="9" t="s">
        <v>341</v>
      </c>
      <c r="C360" s="3"/>
      <c r="D360" s="6">
        <v>46</v>
      </c>
      <c r="E360" s="6">
        <f>E359+C360-D360</f>
      </c>
      <c r="F360" s="2"/>
    </row>
    <row x14ac:dyDescent="0.25" r="361" customHeight="1" ht="17.25">
      <c r="A361" s="7">
        <v>45782</v>
      </c>
      <c r="B361" s="9" t="s">
        <v>189</v>
      </c>
      <c r="C361" s="6">
        <v>29</v>
      </c>
      <c r="D361" s="4"/>
      <c r="E361" s="6">
        <f>E360+C361-D361</f>
      </c>
      <c r="F361" s="2"/>
    </row>
    <row x14ac:dyDescent="0.25" r="362" customHeight="1" ht="17.25">
      <c r="A362" s="8">
        <v>45783</v>
      </c>
      <c r="B362" s="9" t="s">
        <v>448</v>
      </c>
      <c r="C362" s="3"/>
      <c r="D362" s="6">
        <v>10</v>
      </c>
      <c r="E362" s="6">
        <f>E361+C362-D362</f>
      </c>
      <c r="F362" s="2"/>
    </row>
    <row x14ac:dyDescent="0.25" r="363" customHeight="1" ht="17.25">
      <c r="A363" s="8">
        <v>45783</v>
      </c>
      <c r="B363" s="9" t="s">
        <v>141</v>
      </c>
      <c r="C363" s="3"/>
      <c r="D363" s="6">
        <v>15</v>
      </c>
      <c r="E363" s="6">
        <f>E362+C363-D363</f>
      </c>
      <c r="F363" s="2"/>
    </row>
    <row x14ac:dyDescent="0.25" r="364" customHeight="1" ht="17.25">
      <c r="A364" s="7">
        <v>45783</v>
      </c>
      <c r="B364" s="9" t="s">
        <v>241</v>
      </c>
      <c r="C364" s="3"/>
      <c r="D364" s="6">
        <v>48</v>
      </c>
      <c r="E364" s="6">
        <f>E363+C364-D364</f>
      </c>
      <c r="F364" s="2"/>
    </row>
    <row x14ac:dyDescent="0.25" r="365" customHeight="1" ht="17.25">
      <c r="A365" s="7">
        <v>45783</v>
      </c>
      <c r="B365" s="9" t="s">
        <v>389</v>
      </c>
      <c r="C365" s="3"/>
      <c r="D365" s="6">
        <v>125</v>
      </c>
      <c r="E365" s="6">
        <f>E364+C365-D365</f>
      </c>
      <c r="F365" s="2"/>
    </row>
    <row x14ac:dyDescent="0.25" r="366" customHeight="1" ht="17.25">
      <c r="A366" s="8">
        <v>45783</v>
      </c>
      <c r="B366" s="9" t="s">
        <v>449</v>
      </c>
      <c r="C366" s="3"/>
      <c r="D366" s="6">
        <v>4</v>
      </c>
      <c r="E366" s="6">
        <f>E365+C366-D366</f>
      </c>
      <c r="F366" s="2"/>
    </row>
    <row x14ac:dyDescent="0.25" r="367" customHeight="1" ht="17.25">
      <c r="A367" s="7">
        <v>45783</v>
      </c>
      <c r="B367" s="9" t="s">
        <v>189</v>
      </c>
      <c r="C367" s="6">
        <v>77</v>
      </c>
      <c r="D367" s="4"/>
      <c r="E367" s="6">
        <f>E366+C367-D367</f>
      </c>
      <c r="F367" s="2"/>
    </row>
    <row x14ac:dyDescent="0.25" r="368" customHeight="1" ht="17.25">
      <c r="A368" s="7">
        <v>45784</v>
      </c>
      <c r="B368" s="9" t="s">
        <v>289</v>
      </c>
      <c r="C368" s="3"/>
      <c r="D368" s="6">
        <v>100</v>
      </c>
      <c r="E368" s="6">
        <f>E367+C368-D368</f>
      </c>
      <c r="F368" s="2"/>
    </row>
    <row x14ac:dyDescent="0.25" r="369" customHeight="1" ht="17.25">
      <c r="A369" s="34">
        <v>45784</v>
      </c>
      <c r="B369" s="36" t="s">
        <v>284</v>
      </c>
      <c r="C369" s="32"/>
      <c r="D369" s="33">
        <v>25</v>
      </c>
      <c r="E369" s="33">
        <f>E368+C369-D369</f>
      </c>
      <c r="F369" s="31" t="s">
        <v>203</v>
      </c>
    </row>
    <row x14ac:dyDescent="0.25" r="370" customHeight="1" ht="17.25">
      <c r="A370" s="7">
        <v>45784</v>
      </c>
      <c r="B370" s="9" t="s">
        <v>262</v>
      </c>
      <c r="C370" s="3"/>
      <c r="D370" s="6">
        <v>14</v>
      </c>
      <c r="E370" s="6">
        <f>E369+C370-D370</f>
      </c>
      <c r="F370" s="2"/>
    </row>
    <row x14ac:dyDescent="0.25" r="371" customHeight="1" ht="17.25">
      <c r="A371" s="7">
        <v>45784</v>
      </c>
      <c r="B371" s="9" t="s">
        <v>4</v>
      </c>
      <c r="C371" s="3"/>
      <c r="D371" s="6">
        <v>50</v>
      </c>
      <c r="E371" s="6">
        <f>E370+C371-D371</f>
      </c>
      <c r="F371" s="2"/>
    </row>
    <row x14ac:dyDescent="0.25" r="372" customHeight="1" ht="17.25">
      <c r="A372" s="7">
        <v>45784</v>
      </c>
      <c r="B372" s="9" t="s">
        <v>384</v>
      </c>
      <c r="C372" s="6">
        <v>80</v>
      </c>
      <c r="D372" s="4"/>
      <c r="E372" s="6">
        <f>E371+C372-D372</f>
      </c>
      <c r="F372" s="2"/>
    </row>
    <row x14ac:dyDescent="0.25" r="373" customHeight="1" ht="17.25">
      <c r="A373" s="7">
        <v>45785</v>
      </c>
      <c r="B373" s="9" t="s">
        <v>35</v>
      </c>
      <c r="C373" s="3"/>
      <c r="D373" s="6">
        <v>105</v>
      </c>
      <c r="E373" s="6">
        <f>E372+C373-D373</f>
      </c>
      <c r="F373" s="2"/>
    </row>
    <row x14ac:dyDescent="0.25" r="374" customHeight="1" ht="17.25">
      <c r="A374" s="8">
        <v>45785</v>
      </c>
      <c r="B374" s="9" t="s">
        <v>388</v>
      </c>
      <c r="C374" s="3"/>
      <c r="D374" s="6">
        <v>16</v>
      </c>
      <c r="E374" s="6">
        <f>E373+C374-D374</f>
      </c>
      <c r="F374" s="2"/>
    </row>
    <row x14ac:dyDescent="0.25" r="375" customHeight="1" ht="17.25">
      <c r="A375" s="7">
        <v>45785</v>
      </c>
      <c r="B375" s="9" t="s">
        <v>385</v>
      </c>
      <c r="C375" s="6">
        <v>24</v>
      </c>
      <c r="D375" s="4"/>
      <c r="E375" s="6">
        <f>E374+C375-D375</f>
      </c>
      <c r="F375" s="2"/>
    </row>
    <row x14ac:dyDescent="0.25" r="376" customHeight="1" ht="17.25">
      <c r="A376" s="8">
        <v>45785</v>
      </c>
      <c r="B376" s="9" t="s">
        <v>42</v>
      </c>
      <c r="C376" s="3"/>
      <c r="D376" s="6">
        <v>14</v>
      </c>
      <c r="E376" s="6">
        <f>E375+C376-D376</f>
      </c>
      <c r="F376" s="2"/>
    </row>
    <row x14ac:dyDescent="0.25" r="377" customHeight="1" ht="17.25">
      <c r="A377" s="7">
        <v>45786</v>
      </c>
      <c r="B377" s="9" t="s">
        <v>228</v>
      </c>
      <c r="C377" s="3"/>
      <c r="D377" s="6">
        <v>80</v>
      </c>
      <c r="E377" s="6">
        <f>E376+C377-D377</f>
      </c>
      <c r="F377" s="2"/>
    </row>
    <row x14ac:dyDescent="0.25" r="378" customHeight="1" ht="17.25">
      <c r="A378" s="7">
        <v>45786</v>
      </c>
      <c r="B378" s="9" t="s">
        <v>388</v>
      </c>
      <c r="C378" s="6">
        <v>10</v>
      </c>
      <c r="D378" s="4"/>
      <c r="E378" s="6">
        <f>E377+C378-D378</f>
      </c>
      <c r="F378" s="2"/>
    </row>
    <row x14ac:dyDescent="0.25" r="379" customHeight="1" ht="17.25">
      <c r="A379" s="7">
        <v>45787</v>
      </c>
      <c r="B379" s="9" t="s">
        <v>35</v>
      </c>
      <c r="C379" s="3"/>
      <c r="D379" s="6">
        <v>74</v>
      </c>
      <c r="E379" s="6">
        <f>E378+C379-D379</f>
      </c>
      <c r="F379" s="2"/>
    </row>
    <row x14ac:dyDescent="0.25" r="380" customHeight="1" ht="17.25">
      <c r="A380" s="7">
        <v>45787</v>
      </c>
      <c r="B380" s="9" t="s">
        <v>228</v>
      </c>
      <c r="C380" s="3"/>
      <c r="D380" s="6">
        <v>120</v>
      </c>
      <c r="E380" s="6">
        <f>E379+C380-D380</f>
      </c>
      <c r="F380" s="2"/>
    </row>
    <row x14ac:dyDescent="0.25" r="381" customHeight="1" ht="17.25">
      <c r="A381" s="7">
        <v>45787</v>
      </c>
      <c r="B381" s="9" t="s">
        <v>286</v>
      </c>
      <c r="C381" s="3"/>
      <c r="D381" s="6">
        <v>160</v>
      </c>
      <c r="E381" s="6">
        <f>E380+C381-D381</f>
      </c>
      <c r="F381" s="2"/>
    </row>
    <row x14ac:dyDescent="0.25" r="382" customHeight="1" ht="17.25">
      <c r="A382" s="7">
        <v>45787</v>
      </c>
      <c r="B382" s="9" t="s">
        <v>382</v>
      </c>
      <c r="C382" s="6">
        <v>6</v>
      </c>
      <c r="D382" s="4"/>
      <c r="E382" s="6">
        <f>E381+C382-D382</f>
      </c>
      <c r="F382" s="2"/>
    </row>
    <row x14ac:dyDescent="0.25" r="383" customHeight="1" ht="17.25">
      <c r="A383" s="7">
        <v>45788</v>
      </c>
      <c r="B383" s="9" t="s">
        <v>291</v>
      </c>
      <c r="C383" s="3"/>
      <c r="D383" s="6">
        <v>100</v>
      </c>
      <c r="E383" s="6">
        <f>E382+C383-D383</f>
      </c>
      <c r="F383" s="2"/>
    </row>
    <row x14ac:dyDescent="0.25" r="384" customHeight="1" ht="17.25">
      <c r="A384" s="7">
        <v>45789</v>
      </c>
      <c r="B384" s="9" t="s">
        <v>291</v>
      </c>
      <c r="C384" s="3"/>
      <c r="D384" s="6">
        <v>150</v>
      </c>
      <c r="E384" s="6">
        <f>E383+C384-D384</f>
      </c>
      <c r="F384" s="2"/>
    </row>
    <row x14ac:dyDescent="0.25" r="385" customHeight="1" ht="17.25">
      <c r="A385" s="7">
        <v>45790</v>
      </c>
      <c r="B385" s="9" t="s">
        <v>286</v>
      </c>
      <c r="C385" s="3"/>
      <c r="D385" s="6">
        <v>40</v>
      </c>
      <c r="E385" s="6">
        <f>E384+C385-D385</f>
      </c>
      <c r="F385" s="2"/>
    </row>
    <row x14ac:dyDescent="0.25" r="386" customHeight="1" ht="17.25">
      <c r="A386" s="7">
        <v>45793</v>
      </c>
      <c r="B386" s="9" t="s">
        <v>291</v>
      </c>
      <c r="C386" s="3"/>
      <c r="D386" s="6">
        <v>150</v>
      </c>
      <c r="E386" s="6">
        <f>E385+C386-D386</f>
      </c>
      <c r="F386" s="2"/>
    </row>
    <row x14ac:dyDescent="0.25" r="387" customHeight="1" ht="17.25">
      <c r="A387" s="7">
        <v>45793</v>
      </c>
      <c r="B387" s="9" t="s">
        <v>228</v>
      </c>
      <c r="C387" s="3"/>
      <c r="D387" s="6">
        <v>40</v>
      </c>
      <c r="E387" s="6">
        <f>E386+C387-D387</f>
      </c>
      <c r="F387" s="2"/>
    </row>
    <row x14ac:dyDescent="0.25" r="388" customHeight="1" ht="17.25">
      <c r="A388" s="8">
        <v>45791</v>
      </c>
      <c r="B388" s="9" t="s">
        <v>282</v>
      </c>
      <c r="C388" s="6">
        <v>3</v>
      </c>
      <c r="D388" s="4"/>
      <c r="E388" s="6">
        <f>E387+C388-D388</f>
      </c>
      <c r="F388" s="2"/>
    </row>
    <row x14ac:dyDescent="0.25" r="389" customHeight="1" ht="17.25">
      <c r="A389" s="8">
        <v>45791</v>
      </c>
      <c r="B389" s="9" t="s">
        <v>449</v>
      </c>
      <c r="C389" s="6">
        <v>4</v>
      </c>
      <c r="D389" s="4"/>
      <c r="E389" s="6">
        <f>E388+C389-D389</f>
      </c>
      <c r="F389" s="2"/>
    </row>
    <row x14ac:dyDescent="0.25" r="390" customHeight="1" ht="17.25">
      <c r="A390" s="8">
        <v>45792</v>
      </c>
      <c r="B390" s="9" t="s">
        <v>35</v>
      </c>
      <c r="C390" s="3"/>
      <c r="D390" s="6">
        <v>70</v>
      </c>
      <c r="E390" s="6">
        <f>E389+C390-D390</f>
      </c>
      <c r="F390" s="2"/>
    </row>
    <row x14ac:dyDescent="0.25" r="391" customHeight="1" ht="17.25">
      <c r="A391" s="8">
        <v>45792</v>
      </c>
      <c r="B391" s="9" t="s">
        <v>228</v>
      </c>
      <c r="C391" s="3"/>
      <c r="D391" s="6">
        <v>50</v>
      </c>
      <c r="E391" s="6">
        <f>E390+C391-D391</f>
      </c>
      <c r="F391" s="2"/>
    </row>
    <row x14ac:dyDescent="0.25" r="392" customHeight="1" ht="17.25">
      <c r="A392" s="7">
        <v>45792</v>
      </c>
      <c r="B392" s="9" t="s">
        <v>119</v>
      </c>
      <c r="C392" s="6">
        <v>1</v>
      </c>
      <c r="D392" s="4"/>
      <c r="E392" s="6">
        <f>E391+C392-D392</f>
      </c>
      <c r="F392" s="2"/>
    </row>
    <row x14ac:dyDescent="0.25" r="393" customHeight="1" ht="17.25">
      <c r="A393" s="8">
        <v>45793</v>
      </c>
      <c r="B393" s="9" t="s">
        <v>262</v>
      </c>
      <c r="C393" s="3"/>
      <c r="D393" s="6">
        <v>20</v>
      </c>
      <c r="E393" s="6">
        <f>E392+C393-D393</f>
      </c>
      <c r="F393" s="2"/>
    </row>
    <row x14ac:dyDescent="0.25" r="394" customHeight="1" ht="17.25">
      <c r="A394" s="8">
        <v>45793</v>
      </c>
      <c r="B394" s="9" t="s">
        <v>426</v>
      </c>
      <c r="C394" s="3"/>
      <c r="D394" s="6">
        <v>15</v>
      </c>
      <c r="E394" s="6">
        <f>E393+C394-D394</f>
      </c>
      <c r="F394" s="2"/>
    </row>
    <row x14ac:dyDescent="0.25" r="395" customHeight="1" ht="17.25">
      <c r="A395" s="7">
        <v>45794</v>
      </c>
      <c r="B395" s="9" t="s">
        <v>286</v>
      </c>
      <c r="C395" s="3"/>
      <c r="D395" s="6">
        <v>30</v>
      </c>
      <c r="E395" s="6">
        <f>E394+C395-D395</f>
      </c>
      <c r="F395" s="2"/>
    </row>
    <row x14ac:dyDescent="0.25" r="396" customHeight="1" ht="17.25">
      <c r="A396" s="7">
        <v>45794</v>
      </c>
      <c r="B396" s="9" t="s">
        <v>286</v>
      </c>
      <c r="C396" s="3"/>
      <c r="D396" s="6">
        <v>50</v>
      </c>
      <c r="E396" s="6">
        <f>E395+C396-D396</f>
      </c>
      <c r="F396" s="2"/>
    </row>
    <row x14ac:dyDescent="0.25" r="397" customHeight="1" ht="17.25">
      <c r="A397" s="7">
        <v>45794</v>
      </c>
      <c r="B397" s="9" t="s">
        <v>286</v>
      </c>
      <c r="C397" s="3"/>
      <c r="D397" s="6">
        <v>110</v>
      </c>
      <c r="E397" s="6">
        <f>E396+C397-D397</f>
      </c>
      <c r="F397" s="2"/>
    </row>
    <row x14ac:dyDescent="0.25" r="398" customHeight="1" ht="17.25">
      <c r="A398" s="8">
        <v>45794</v>
      </c>
      <c r="B398" s="9" t="s">
        <v>35</v>
      </c>
      <c r="C398" s="3"/>
      <c r="D398" s="6">
        <v>98</v>
      </c>
      <c r="E398" s="6">
        <f>E397+C398-D398</f>
      </c>
      <c r="F398" s="2"/>
    </row>
    <row x14ac:dyDescent="0.25" r="399" customHeight="1" ht="17.25">
      <c r="A399" s="7">
        <v>45796</v>
      </c>
      <c r="B399" s="9" t="s">
        <v>286</v>
      </c>
      <c r="C399" s="3"/>
      <c r="D399" s="6">
        <v>110</v>
      </c>
      <c r="E399" s="6">
        <f>E398+C399-D399</f>
      </c>
      <c r="F399" s="2"/>
    </row>
    <row x14ac:dyDescent="0.25" r="400" customHeight="1" ht="17.25">
      <c r="A400" s="7">
        <v>45797</v>
      </c>
      <c r="B400" s="9" t="s">
        <v>286</v>
      </c>
      <c r="C400" s="3"/>
      <c r="D400" s="6">
        <v>120</v>
      </c>
      <c r="E400" s="6">
        <f>E399+C400-D400</f>
      </c>
      <c r="F400" s="2"/>
    </row>
    <row x14ac:dyDescent="0.25" r="401" customHeight="1" ht="17.25">
      <c r="A401" s="7">
        <v>45797</v>
      </c>
      <c r="B401" s="9" t="s">
        <v>286</v>
      </c>
      <c r="C401" s="3"/>
      <c r="D401" s="6">
        <v>150</v>
      </c>
      <c r="E401" s="6">
        <f>E400+C401-D401</f>
      </c>
      <c r="F401" s="2"/>
    </row>
    <row x14ac:dyDescent="0.25" r="402" customHeight="1" ht="17.25">
      <c r="A402" s="8">
        <v>45797</v>
      </c>
      <c r="B402" s="9" t="s">
        <v>42</v>
      </c>
      <c r="C402" s="3"/>
      <c r="D402" s="6">
        <v>60</v>
      </c>
      <c r="E402" s="6">
        <f>E401+C402-D402</f>
      </c>
      <c r="F402" s="2"/>
    </row>
    <row x14ac:dyDescent="0.25" r="403" customHeight="1" ht="17.25">
      <c r="A403" s="8">
        <v>45797</v>
      </c>
      <c r="B403" s="9" t="s">
        <v>35</v>
      </c>
      <c r="C403" s="3"/>
      <c r="D403" s="6">
        <v>60</v>
      </c>
      <c r="E403" s="6">
        <f>E402+C403-D403</f>
      </c>
      <c r="F403" s="2"/>
    </row>
    <row x14ac:dyDescent="0.25" r="404" customHeight="1" ht="17.25">
      <c r="A404" s="7">
        <v>45797</v>
      </c>
      <c r="B404" s="9" t="s">
        <v>382</v>
      </c>
      <c r="C404" s="6">
        <v>20</v>
      </c>
      <c r="D404" s="4"/>
      <c r="E404" s="6">
        <f>E403+C404-D404</f>
      </c>
      <c r="F404" s="2"/>
    </row>
    <row x14ac:dyDescent="0.25" r="405" customHeight="1" ht="17.25">
      <c r="A405" s="7">
        <v>45798</v>
      </c>
      <c r="B405" s="9" t="s">
        <v>286</v>
      </c>
      <c r="C405" s="3"/>
      <c r="D405" s="6">
        <v>72</v>
      </c>
      <c r="E405" s="6">
        <f>E404+C405-D405</f>
      </c>
      <c r="F405" s="2"/>
    </row>
    <row x14ac:dyDescent="0.25" r="406" customHeight="1" ht="17.25">
      <c r="A406" s="7">
        <v>45798</v>
      </c>
      <c r="B406" s="9" t="s">
        <v>286</v>
      </c>
      <c r="C406" s="3"/>
      <c r="D406" s="6">
        <v>50</v>
      </c>
      <c r="E406" s="6">
        <f>E405+C406-D406</f>
      </c>
      <c r="F406" s="2"/>
    </row>
    <row x14ac:dyDescent="0.25" r="407" customHeight="1" ht="17.25">
      <c r="A407" s="7">
        <v>45799</v>
      </c>
      <c r="B407" s="9" t="s">
        <v>283</v>
      </c>
      <c r="C407" s="3"/>
      <c r="D407" s="6">
        <v>100</v>
      </c>
      <c r="E407" s="6">
        <f>E406+C407-D407</f>
      </c>
      <c r="F407" s="2"/>
    </row>
    <row x14ac:dyDescent="0.25" r="408" customHeight="1" ht="17.25">
      <c r="A408" s="8">
        <v>45800</v>
      </c>
      <c r="B408" s="9" t="s">
        <v>35</v>
      </c>
      <c r="C408" s="3"/>
      <c r="D408" s="6">
        <v>24</v>
      </c>
      <c r="E408" s="6">
        <f>E407+C408-D408</f>
      </c>
      <c r="F408" s="2"/>
    </row>
    <row x14ac:dyDescent="0.25" r="409" customHeight="1" ht="17.25">
      <c r="A409" s="7">
        <v>45800</v>
      </c>
      <c r="B409" s="9" t="s">
        <v>286</v>
      </c>
      <c r="C409" s="3"/>
      <c r="D409" s="6">
        <v>8</v>
      </c>
      <c r="E409" s="6">
        <f>E408+C409-D409</f>
      </c>
      <c r="F409" s="2"/>
    </row>
    <row x14ac:dyDescent="0.25" r="410" customHeight="1" ht="17.25">
      <c r="A410" s="7">
        <v>45801</v>
      </c>
      <c r="B410" s="9" t="s">
        <v>389</v>
      </c>
      <c r="C410" s="3"/>
      <c r="D410" s="6">
        <v>80</v>
      </c>
      <c r="E410" s="6">
        <f>E409+C410-D410</f>
      </c>
      <c r="F410" s="2"/>
    </row>
    <row x14ac:dyDescent="0.25" r="411" customHeight="1" ht="17.25">
      <c r="A411" s="7">
        <v>45801</v>
      </c>
      <c r="B411" s="9" t="s">
        <v>2</v>
      </c>
      <c r="C411" s="3"/>
      <c r="D411" s="6">
        <v>20</v>
      </c>
      <c r="E411" s="6">
        <f>E410+C411-D411</f>
      </c>
      <c r="F411" s="2"/>
    </row>
    <row x14ac:dyDescent="0.25" r="412" customHeight="1" ht="17.25">
      <c r="A412" s="7">
        <v>45803</v>
      </c>
      <c r="B412" s="9" t="s">
        <v>228</v>
      </c>
      <c r="C412" s="3"/>
      <c r="D412" s="6">
        <v>50</v>
      </c>
      <c r="E412" s="6">
        <f>E411+C412-D412</f>
      </c>
      <c r="F412" s="2"/>
    </row>
    <row x14ac:dyDescent="0.25" r="413" customHeight="1" ht="17.25">
      <c r="A413" s="7">
        <v>45803</v>
      </c>
      <c r="B413" s="9" t="s">
        <v>228</v>
      </c>
      <c r="C413" s="3"/>
      <c r="D413" s="6">
        <v>50</v>
      </c>
      <c r="E413" s="6">
        <f>E412+C413-D413</f>
      </c>
      <c r="F413" s="2"/>
    </row>
    <row x14ac:dyDescent="0.25" r="414" customHeight="1" ht="17.25">
      <c r="A414" s="8">
        <v>45803</v>
      </c>
      <c r="B414" s="9" t="s">
        <v>232</v>
      </c>
      <c r="C414" s="3"/>
      <c r="D414" s="6">
        <v>30</v>
      </c>
      <c r="E414" s="6">
        <f>E413+C414-D414</f>
      </c>
      <c r="F414" s="2"/>
    </row>
    <row x14ac:dyDescent="0.25" r="415" customHeight="1" ht="17.25">
      <c r="A415" s="7">
        <v>45804</v>
      </c>
      <c r="B415" s="9" t="s">
        <v>232</v>
      </c>
      <c r="C415" s="3"/>
      <c r="D415" s="6">
        <v>20</v>
      </c>
      <c r="E415" s="6">
        <f>E414+C415-D415</f>
      </c>
      <c r="F415" s="2"/>
    </row>
    <row x14ac:dyDescent="0.25" r="416" customHeight="1" ht="17.25">
      <c r="A416" s="7">
        <v>45804</v>
      </c>
      <c r="B416" s="9" t="s">
        <v>228</v>
      </c>
      <c r="C416" s="3"/>
      <c r="D416" s="6">
        <v>167</v>
      </c>
      <c r="E416" s="6">
        <f>E415+C416-D416</f>
      </c>
      <c r="F416" s="2"/>
    </row>
    <row x14ac:dyDescent="0.25" r="417" customHeight="1" ht="17.25">
      <c r="A417" s="7">
        <v>45805</v>
      </c>
      <c r="B417" s="9" t="s">
        <v>141</v>
      </c>
      <c r="C417" s="3"/>
      <c r="D417" s="6">
        <v>10</v>
      </c>
      <c r="E417" s="6">
        <f>E416+C417-D417</f>
      </c>
      <c r="F417" s="2"/>
    </row>
    <row x14ac:dyDescent="0.25" r="418" customHeight="1" ht="17.25">
      <c r="A418" s="7">
        <v>45805</v>
      </c>
      <c r="B418" s="9" t="s">
        <v>384</v>
      </c>
      <c r="C418" s="6">
        <v>20</v>
      </c>
      <c r="D418" s="4"/>
      <c r="E418" s="6">
        <f>E417+C418-D418</f>
      </c>
      <c r="F418" s="2"/>
    </row>
    <row x14ac:dyDescent="0.25" r="419" customHeight="1" ht="17.25">
      <c r="A419" s="7">
        <v>45806</v>
      </c>
      <c r="B419" s="9" t="s">
        <v>35</v>
      </c>
      <c r="C419" s="3"/>
      <c r="D419" s="6">
        <v>40</v>
      </c>
      <c r="E419" s="6">
        <f>E418+C419-D419</f>
      </c>
      <c r="F419" s="2"/>
    </row>
    <row x14ac:dyDescent="0.25" r="420" customHeight="1" ht="17.25">
      <c r="A420" s="7">
        <v>45807</v>
      </c>
      <c r="B420" s="9" t="s">
        <v>89</v>
      </c>
      <c r="C420" s="3"/>
      <c r="D420" s="6">
        <v>40</v>
      </c>
      <c r="E420" s="6">
        <f>E419+C420-D420</f>
      </c>
      <c r="F420" s="2"/>
    </row>
    <row x14ac:dyDescent="0.25" r="421" customHeight="1" ht="17.25">
      <c r="A421" s="7">
        <v>45807</v>
      </c>
      <c r="B421" s="9" t="s">
        <v>228</v>
      </c>
      <c r="C421" s="3"/>
      <c r="D421" s="6">
        <v>133</v>
      </c>
      <c r="E421" s="6">
        <f>E420+C421-D421</f>
      </c>
      <c r="F421" s="2"/>
    </row>
    <row x14ac:dyDescent="0.25" r="422" customHeight="1" ht="17.25">
      <c r="A422" s="7">
        <v>45807</v>
      </c>
      <c r="B422" s="9" t="s">
        <v>189</v>
      </c>
      <c r="C422" s="3"/>
      <c r="D422" s="6">
        <v>40</v>
      </c>
      <c r="E422" s="6">
        <f>E421+C422-D422</f>
      </c>
      <c r="F422" s="2"/>
    </row>
    <row x14ac:dyDescent="0.25" r="423" customHeight="1" ht="17.25">
      <c r="A423" s="8">
        <v>45807</v>
      </c>
      <c r="B423" s="9" t="s">
        <v>2</v>
      </c>
      <c r="C423" s="3"/>
      <c r="D423" s="6">
        <v>40</v>
      </c>
      <c r="E423" s="6">
        <f>E422+C423-D423</f>
      </c>
      <c r="F423" s="2"/>
    </row>
    <row x14ac:dyDescent="0.25" r="424" customHeight="1" ht="17.25">
      <c r="A424" s="7">
        <v>45807</v>
      </c>
      <c r="B424" s="9" t="s">
        <v>384</v>
      </c>
      <c r="C424" s="6">
        <v>82</v>
      </c>
      <c r="D424" s="4"/>
      <c r="E424" s="6">
        <f>E423+C424-D424</f>
      </c>
      <c r="F424" s="2"/>
    </row>
    <row x14ac:dyDescent="0.25" r="425" customHeight="1" ht="17.25">
      <c r="A425" s="7">
        <v>45808</v>
      </c>
      <c r="B425" s="9" t="s">
        <v>89</v>
      </c>
      <c r="C425" s="3"/>
      <c r="D425" s="6">
        <v>40</v>
      </c>
      <c r="E425" s="6">
        <f>E424+C425-D425</f>
      </c>
      <c r="F425" s="2"/>
    </row>
    <row x14ac:dyDescent="0.25" r="426" customHeight="1" ht="17.25">
      <c r="A426" s="7">
        <v>45808</v>
      </c>
      <c r="B426" s="9" t="s">
        <v>189</v>
      </c>
      <c r="C426" s="3"/>
      <c r="D426" s="6">
        <v>20</v>
      </c>
      <c r="E426" s="6">
        <f>E425+C426-D426</f>
      </c>
      <c r="F426" s="2"/>
    </row>
    <row x14ac:dyDescent="0.25" r="427" customHeight="1" ht="17.25">
      <c r="A427" s="8">
        <v>45808</v>
      </c>
      <c r="B427" s="9" t="s">
        <v>282</v>
      </c>
      <c r="C427" s="6">
        <v>3</v>
      </c>
      <c r="D427" s="4"/>
      <c r="E427" s="6">
        <f>E426+C427-D427</f>
      </c>
      <c r="F427" s="2"/>
    </row>
    <row x14ac:dyDescent="0.25" r="428" customHeight="1" ht="17.25">
      <c r="A428" s="8">
        <v>45808</v>
      </c>
      <c r="B428" s="9" t="s">
        <v>272</v>
      </c>
      <c r="C428" s="6">
        <v>14</v>
      </c>
      <c r="D428" s="4"/>
      <c r="E428" s="6">
        <f>E427+C428-D428</f>
      </c>
      <c r="F428" s="2"/>
    </row>
    <row x14ac:dyDescent="0.25" r="429" customHeight="1" ht="17.25">
      <c r="A429" s="7">
        <v>45810</v>
      </c>
      <c r="B429" s="9" t="s">
        <v>389</v>
      </c>
      <c r="C429" s="3"/>
      <c r="D429" s="6">
        <v>40</v>
      </c>
      <c r="E429" s="6">
        <f>E428+C429-D429</f>
      </c>
      <c r="F429" s="2"/>
    </row>
    <row x14ac:dyDescent="0.25" r="430" customHeight="1" ht="17.25">
      <c r="A430" s="7">
        <v>45810</v>
      </c>
      <c r="B430" s="9" t="s">
        <v>289</v>
      </c>
      <c r="C430" s="6">
        <v>71</v>
      </c>
      <c r="D430" s="4"/>
      <c r="E430" s="6">
        <f>E429+C430-D430</f>
      </c>
      <c r="F430" s="2"/>
    </row>
    <row x14ac:dyDescent="0.25" r="431" customHeight="1" ht="17.25">
      <c r="A431" s="7">
        <v>45810</v>
      </c>
      <c r="B431" s="9" t="s">
        <v>275</v>
      </c>
      <c r="C431" s="6">
        <v>15</v>
      </c>
      <c r="D431" s="4"/>
      <c r="E431" s="6">
        <f>E430+C431-D431</f>
      </c>
      <c r="F431" s="2"/>
    </row>
    <row x14ac:dyDescent="0.25" r="432" customHeight="1" ht="17.25">
      <c r="A432" s="8">
        <v>45810</v>
      </c>
      <c r="B432" s="9" t="s">
        <v>384</v>
      </c>
      <c r="C432" s="6">
        <v>30</v>
      </c>
      <c r="D432" s="4"/>
      <c r="E432" s="6">
        <f>E431+C432-D432</f>
      </c>
      <c r="F432" s="2"/>
    </row>
    <row x14ac:dyDescent="0.25" r="433" customHeight="1" ht="17.25">
      <c r="A433" s="7">
        <v>45811</v>
      </c>
      <c r="B433" s="9" t="s">
        <v>2</v>
      </c>
      <c r="C433" s="3"/>
      <c r="D433" s="6">
        <v>15</v>
      </c>
      <c r="E433" s="6">
        <f>E432+C433-D433</f>
      </c>
      <c r="F433" s="2"/>
    </row>
    <row x14ac:dyDescent="0.25" r="434" customHeight="1" ht="17.25">
      <c r="A434" s="8">
        <v>45811</v>
      </c>
      <c r="B434" s="9" t="s">
        <v>100</v>
      </c>
      <c r="C434" s="3"/>
      <c r="D434" s="6">
        <v>30</v>
      </c>
      <c r="E434" s="6">
        <f>E433+C434-D434</f>
      </c>
      <c r="F434" s="2"/>
    </row>
    <row x14ac:dyDescent="0.25" r="435" customHeight="1" ht="17.25">
      <c r="A435" s="8">
        <v>45811</v>
      </c>
      <c r="B435" s="9" t="s">
        <v>289</v>
      </c>
      <c r="C435" s="6">
        <v>4</v>
      </c>
      <c r="D435" s="4"/>
      <c r="E435" s="6">
        <f>E434+C435-D435</f>
      </c>
      <c r="F435" s="2"/>
    </row>
    <row x14ac:dyDescent="0.25" r="436" customHeight="1" ht="17.25">
      <c r="A436" s="7">
        <v>45811</v>
      </c>
      <c r="B436" s="9" t="s">
        <v>234</v>
      </c>
      <c r="C436" s="6">
        <v>15</v>
      </c>
      <c r="D436" s="4"/>
      <c r="E436" s="6">
        <f>E435+C436-D436</f>
      </c>
      <c r="F436" s="2"/>
    </row>
    <row x14ac:dyDescent="0.25" r="437" customHeight="1" ht="17.25">
      <c r="A437" s="8">
        <v>45812</v>
      </c>
      <c r="B437" s="9" t="s">
        <v>100</v>
      </c>
      <c r="C437" s="3"/>
      <c r="D437" s="6">
        <v>70</v>
      </c>
      <c r="E437" s="6">
        <f>E436+C437-D437</f>
      </c>
      <c r="F437" s="2"/>
    </row>
    <row x14ac:dyDescent="0.25" r="438" customHeight="1" ht="17.25">
      <c r="A438" s="7">
        <v>45812</v>
      </c>
      <c r="B438" s="9" t="s">
        <v>389</v>
      </c>
      <c r="C438" s="3"/>
      <c r="D438" s="6">
        <v>160</v>
      </c>
      <c r="E438" s="6">
        <f>E437+C438-D438</f>
      </c>
      <c r="F438" s="2"/>
    </row>
    <row x14ac:dyDescent="0.25" r="439" customHeight="1" ht="17.25">
      <c r="A439" s="7">
        <v>45812</v>
      </c>
      <c r="B439" s="9" t="s">
        <v>11</v>
      </c>
      <c r="C439" s="6">
        <f>67+6+7</f>
      </c>
      <c r="D439" s="4"/>
      <c r="E439" s="6">
        <f>E438+C439-D439</f>
      </c>
      <c r="F439" s="2"/>
    </row>
    <row x14ac:dyDescent="0.25" r="440" customHeight="1" ht="17.25">
      <c r="A440" s="7">
        <v>45813</v>
      </c>
      <c r="B440" s="9" t="s">
        <v>3</v>
      </c>
      <c r="C440" s="3"/>
      <c r="D440" s="6">
        <v>30</v>
      </c>
      <c r="E440" s="6">
        <f>E439+C440-D440</f>
      </c>
      <c r="F440" s="2"/>
    </row>
    <row x14ac:dyDescent="0.25" r="441" customHeight="1" ht="17.25">
      <c r="A441" s="7">
        <v>45813</v>
      </c>
      <c r="B441" s="9" t="s">
        <v>234</v>
      </c>
      <c r="C441" s="6">
        <v>167</v>
      </c>
      <c r="D441" s="4"/>
      <c r="E441" s="6">
        <f>E440+C441-D441</f>
      </c>
      <c r="F441" s="2"/>
    </row>
    <row x14ac:dyDescent="0.25" r="442" customHeight="1" ht="17.25">
      <c r="A442" s="7">
        <v>45813</v>
      </c>
      <c r="B442" s="9" t="s">
        <v>289</v>
      </c>
      <c r="C442" s="6">
        <v>25</v>
      </c>
      <c r="D442" s="4"/>
      <c r="E442" s="6">
        <f>E441+C442-D442</f>
      </c>
      <c r="F442" s="2"/>
    </row>
    <row x14ac:dyDescent="0.25" r="443" customHeight="1" ht="17.25">
      <c r="A443" s="7">
        <v>45817</v>
      </c>
      <c r="B443" s="9" t="s">
        <v>89</v>
      </c>
      <c r="C443" s="3"/>
      <c r="D443" s="6">
        <v>25</v>
      </c>
      <c r="E443" s="6">
        <f>E442+C443-D443</f>
      </c>
      <c r="F443" s="2"/>
    </row>
    <row x14ac:dyDescent="0.25" r="444" customHeight="1" ht="17.25">
      <c r="A444" s="7">
        <v>45817</v>
      </c>
      <c r="B444" s="9" t="s">
        <v>272</v>
      </c>
      <c r="C444" s="6">
        <v>18</v>
      </c>
      <c r="D444" s="4"/>
      <c r="E444" s="6">
        <f>E443+C444-D444</f>
      </c>
      <c r="F444" s="2"/>
    </row>
    <row x14ac:dyDescent="0.25" r="445" customHeight="1" ht="17.25">
      <c r="A445" s="7">
        <v>45817</v>
      </c>
      <c r="B445" s="9" t="s">
        <v>414</v>
      </c>
      <c r="C445" s="6">
        <v>2</v>
      </c>
      <c r="D445" s="4"/>
      <c r="E445" s="6">
        <f>E444+C445-D445</f>
      </c>
      <c r="F445" s="2"/>
    </row>
    <row x14ac:dyDescent="0.25" r="446" customHeight="1" ht="17.25">
      <c r="A446" s="7">
        <v>45817</v>
      </c>
      <c r="B446" s="9" t="s">
        <v>444</v>
      </c>
      <c r="C446" s="6">
        <v>21</v>
      </c>
      <c r="D446" s="4"/>
      <c r="E446" s="6">
        <f>E445+C446-D446</f>
      </c>
      <c r="F446" s="2"/>
    </row>
    <row x14ac:dyDescent="0.25" r="447" customHeight="1" ht="17.25">
      <c r="A447" s="7">
        <v>45817</v>
      </c>
      <c r="B447" s="9" t="s">
        <v>234</v>
      </c>
      <c r="C447" s="6">
        <v>18</v>
      </c>
      <c r="D447" s="4"/>
      <c r="E447" s="6">
        <f>E446+C447-D447</f>
      </c>
      <c r="F447" s="2"/>
    </row>
    <row x14ac:dyDescent="0.25" r="448" customHeight="1" ht="17.25">
      <c r="A448" s="7">
        <v>45818</v>
      </c>
      <c r="B448" s="9" t="s">
        <v>389</v>
      </c>
      <c r="C448" s="3"/>
      <c r="D448" s="6">
        <v>100</v>
      </c>
      <c r="E448" s="6">
        <f>E447+C448-D448</f>
      </c>
      <c r="F448" s="2"/>
    </row>
    <row x14ac:dyDescent="0.25" r="449" customHeight="1" ht="17.25">
      <c r="A449" s="7">
        <v>45818</v>
      </c>
      <c r="B449" s="9" t="s">
        <v>333</v>
      </c>
      <c r="C449" s="3"/>
      <c r="D449" s="6">
        <v>72</v>
      </c>
      <c r="E449" s="6">
        <f>E448+C449-D449</f>
      </c>
      <c r="F449" s="2"/>
    </row>
    <row x14ac:dyDescent="0.25" r="450" customHeight="1" ht="17.25">
      <c r="A450" s="7">
        <v>45818</v>
      </c>
      <c r="B450" s="9" t="s">
        <v>385</v>
      </c>
      <c r="C450" s="6">
        <v>15</v>
      </c>
      <c r="D450" s="4"/>
      <c r="E450" s="6">
        <f>E449+C450-D450</f>
      </c>
      <c r="F450" s="2"/>
    </row>
    <row x14ac:dyDescent="0.25" r="451" customHeight="1" ht="17.25">
      <c r="A451" s="7">
        <v>45818</v>
      </c>
      <c r="B451" s="9" t="s">
        <v>388</v>
      </c>
      <c r="C451" s="6">
        <v>6</v>
      </c>
      <c r="D451" s="4"/>
      <c r="E451" s="6">
        <f>E450+C451-D451</f>
      </c>
      <c r="F451" s="2"/>
    </row>
    <row x14ac:dyDescent="0.25" r="452" customHeight="1" ht="17.25">
      <c r="A452" s="7">
        <v>45819</v>
      </c>
      <c r="B452" s="9" t="s">
        <v>333</v>
      </c>
      <c r="C452" s="6">
        <v>72</v>
      </c>
      <c r="D452" s="4"/>
      <c r="E452" s="6">
        <f>E451+C452-D452</f>
      </c>
      <c r="F452" s="2"/>
    </row>
    <row x14ac:dyDescent="0.25" r="453" customHeight="1" ht="17.25">
      <c r="A453" s="7">
        <v>45819</v>
      </c>
      <c r="B453" s="9" t="s">
        <v>228</v>
      </c>
      <c r="C453" s="3"/>
      <c r="D453" s="6">
        <v>72</v>
      </c>
      <c r="E453" s="6">
        <f>E452+C453-D453</f>
      </c>
      <c r="F453" s="2"/>
    </row>
    <row x14ac:dyDescent="0.25" r="454" customHeight="1" ht="17.25">
      <c r="A454" s="7">
        <v>45820</v>
      </c>
      <c r="B454" s="9" t="s">
        <v>89</v>
      </c>
      <c r="C454" s="3"/>
      <c r="D454" s="6">
        <v>80</v>
      </c>
      <c r="E454" s="6">
        <f>E453+C454-D454</f>
      </c>
      <c r="F454" s="2"/>
    </row>
    <row x14ac:dyDescent="0.25" r="455" customHeight="1" ht="17.25">
      <c r="A455" s="7">
        <v>45820</v>
      </c>
      <c r="B455" s="9" t="s">
        <v>11</v>
      </c>
      <c r="C455" s="6">
        <v>24</v>
      </c>
      <c r="D455" s="4"/>
      <c r="E455" s="6">
        <f>E454+C455-D455</f>
      </c>
      <c r="F455" s="2"/>
    </row>
    <row x14ac:dyDescent="0.25" r="456" customHeight="1" ht="17.25">
      <c r="A456" s="7">
        <v>45821</v>
      </c>
      <c r="B456" s="9" t="s">
        <v>228</v>
      </c>
      <c r="C456" s="3"/>
      <c r="D456" s="6">
        <v>41</v>
      </c>
      <c r="E456" s="6">
        <f>E455+C456-D456</f>
      </c>
      <c r="F456" s="2"/>
    </row>
    <row x14ac:dyDescent="0.25" r="457" customHeight="1" ht="17.25">
      <c r="A457" s="7">
        <v>45821</v>
      </c>
      <c r="B457" s="9" t="s">
        <v>35</v>
      </c>
      <c r="C457" s="3"/>
      <c r="D457" s="6">
        <v>30</v>
      </c>
      <c r="E457" s="6">
        <f>E456+C457-D457</f>
      </c>
      <c r="F457" s="2"/>
    </row>
    <row x14ac:dyDescent="0.25" r="458" customHeight="1" ht="17.25">
      <c r="A458" s="7">
        <v>45821</v>
      </c>
      <c r="B458" s="9" t="s">
        <v>35</v>
      </c>
      <c r="C458" s="3"/>
      <c r="D458" s="6">
        <v>20</v>
      </c>
      <c r="E458" s="6">
        <f>E457+C458-D458</f>
      </c>
      <c r="F458" s="2"/>
    </row>
    <row x14ac:dyDescent="0.25" r="459" customHeight="1" ht="17.25">
      <c r="A459" s="8">
        <v>45821</v>
      </c>
      <c r="B459" s="9" t="s">
        <v>342</v>
      </c>
      <c r="C459" s="3"/>
      <c r="D459" s="6">
        <v>2</v>
      </c>
      <c r="E459" s="6">
        <f>E458+C459-D459</f>
      </c>
      <c r="F459" s="2"/>
    </row>
    <row x14ac:dyDescent="0.25" r="460" customHeight="1" ht="17.25">
      <c r="A460" s="7">
        <v>45821</v>
      </c>
      <c r="B460" s="9" t="s">
        <v>450</v>
      </c>
      <c r="C460" s="3"/>
      <c r="D460" s="6">
        <v>450</v>
      </c>
      <c r="E460" s="6">
        <f>E459+C460-D460</f>
      </c>
      <c r="F460" s="2"/>
    </row>
    <row x14ac:dyDescent="0.25" r="461" customHeight="1" ht="17.25">
      <c r="A461" s="7">
        <v>45821</v>
      </c>
      <c r="B461" s="9" t="s">
        <v>286</v>
      </c>
      <c r="C461" s="6">
        <v>50</v>
      </c>
      <c r="D461" s="4"/>
      <c r="E461" s="6">
        <f>E460+C461-D461</f>
      </c>
      <c r="F461" s="2"/>
    </row>
    <row x14ac:dyDescent="0.25" r="462" customHeight="1" ht="17.25">
      <c r="A462" s="7">
        <v>45821</v>
      </c>
      <c r="B462" s="9" t="s">
        <v>382</v>
      </c>
      <c r="C462" s="6">
        <v>39</v>
      </c>
      <c r="D462" s="4"/>
      <c r="E462" s="6">
        <f>E461+C462-D462</f>
      </c>
      <c r="F462" s="2"/>
    </row>
    <row x14ac:dyDescent="0.25" r="463" customHeight="1" ht="17.25">
      <c r="A463" s="7">
        <v>45822</v>
      </c>
      <c r="B463" s="9" t="s">
        <v>2</v>
      </c>
      <c r="C463" s="3"/>
      <c r="D463" s="6">
        <v>30</v>
      </c>
      <c r="E463" s="6">
        <f>E462+C463-D463</f>
      </c>
      <c r="F463" s="2"/>
    </row>
    <row x14ac:dyDescent="0.25" r="464" customHeight="1" ht="17.25">
      <c r="A464" s="7">
        <v>45822</v>
      </c>
      <c r="B464" s="9" t="s">
        <v>35</v>
      </c>
      <c r="C464" s="3"/>
      <c r="D464" s="6">
        <v>150</v>
      </c>
      <c r="E464" s="6">
        <f>E463+C464-D464</f>
      </c>
      <c r="F464" s="2"/>
    </row>
    <row x14ac:dyDescent="0.25" r="465" customHeight="1" ht="17.25">
      <c r="A465" s="7">
        <v>45822</v>
      </c>
      <c r="B465" s="9" t="s">
        <v>451</v>
      </c>
      <c r="C465" s="6">
        <v>145</v>
      </c>
      <c r="D465" s="4"/>
      <c r="E465" s="6">
        <f>E464+C465-D465</f>
      </c>
      <c r="F465" s="2"/>
    </row>
    <row x14ac:dyDescent="0.25" r="466" customHeight="1" ht="17.25">
      <c r="A466" s="7">
        <v>45822</v>
      </c>
      <c r="B466" s="9" t="s">
        <v>284</v>
      </c>
      <c r="C466" s="3"/>
      <c r="D466" s="6">
        <v>165</v>
      </c>
      <c r="E466" s="6">
        <f>E465+C466-D466</f>
      </c>
      <c r="F466" s="2"/>
    </row>
    <row x14ac:dyDescent="0.25" r="467" customHeight="1" ht="17.25">
      <c r="A467" s="7">
        <v>45823</v>
      </c>
      <c r="B467" s="9" t="s">
        <v>389</v>
      </c>
      <c r="C467" s="3"/>
      <c r="D467" s="6">
        <v>40</v>
      </c>
      <c r="E467" s="6">
        <f>E466+C467-D467</f>
      </c>
      <c r="F467" s="2"/>
    </row>
    <row x14ac:dyDescent="0.25" r="468" customHeight="1" ht="17.25">
      <c r="A468" s="7">
        <v>45823</v>
      </c>
      <c r="B468" s="9" t="s">
        <v>451</v>
      </c>
      <c r="C468" s="6">
        <v>305</v>
      </c>
      <c r="D468" s="4"/>
      <c r="E468" s="6">
        <f>E467+C468-D468</f>
      </c>
      <c r="F468" s="2"/>
    </row>
    <row x14ac:dyDescent="0.25" r="469" customHeight="1" ht="17.25">
      <c r="A469" s="7">
        <v>45823</v>
      </c>
      <c r="B469" s="9" t="s">
        <v>284</v>
      </c>
      <c r="C469" s="3"/>
      <c r="D469" s="6">
        <v>305</v>
      </c>
      <c r="E469" s="6">
        <f>E468+C469-D469</f>
      </c>
      <c r="F469" s="2"/>
    </row>
    <row x14ac:dyDescent="0.25" r="470" customHeight="1" ht="17.25">
      <c r="A470" s="7">
        <v>45823</v>
      </c>
      <c r="B470" s="9" t="s">
        <v>450</v>
      </c>
      <c r="C470" s="3"/>
      <c r="D470" s="6">
        <v>400</v>
      </c>
      <c r="E470" s="6">
        <f>E469+C470-D470</f>
      </c>
      <c r="F470" s="2"/>
    </row>
    <row x14ac:dyDescent="0.25" r="471" customHeight="1" ht="17.25">
      <c r="A471" s="7">
        <v>45824</v>
      </c>
      <c r="B471" s="9" t="s">
        <v>411</v>
      </c>
      <c r="C471" s="3"/>
      <c r="D471" s="6">
        <v>8</v>
      </c>
      <c r="E471" s="6">
        <f>E470+C471-D471</f>
      </c>
      <c r="F471" s="2"/>
    </row>
    <row x14ac:dyDescent="0.25" r="472" customHeight="1" ht="17.25">
      <c r="A472" s="7">
        <v>45824</v>
      </c>
      <c r="B472" s="9" t="s">
        <v>2</v>
      </c>
      <c r="C472" s="3"/>
      <c r="D472" s="6">
        <v>70</v>
      </c>
      <c r="E472" s="6">
        <f>E471+C472-D472</f>
      </c>
      <c r="F472" s="2"/>
    </row>
    <row x14ac:dyDescent="0.25" r="473" customHeight="1" ht="17.25">
      <c r="A473" s="7">
        <v>45824</v>
      </c>
      <c r="B473" s="9" t="s">
        <v>451</v>
      </c>
      <c r="C473" s="6">
        <v>160</v>
      </c>
      <c r="D473" s="4"/>
      <c r="E473" s="6">
        <f>E472+C473-D473</f>
      </c>
      <c r="F473" s="2"/>
    </row>
    <row x14ac:dyDescent="0.25" r="474" customHeight="1" ht="17.25">
      <c r="A474" s="7">
        <v>45824</v>
      </c>
      <c r="B474" s="9" t="s">
        <v>389</v>
      </c>
      <c r="C474" s="3"/>
      <c r="D474" s="6">
        <v>160</v>
      </c>
      <c r="E474" s="6">
        <f>E473+C474-D474</f>
      </c>
      <c r="F474" s="2"/>
    </row>
    <row x14ac:dyDescent="0.25" r="475" customHeight="1" ht="17.25">
      <c r="A475" s="7">
        <v>45824</v>
      </c>
      <c r="B475" s="9" t="s">
        <v>450</v>
      </c>
      <c r="C475" s="3"/>
      <c r="D475" s="6">
        <v>120</v>
      </c>
      <c r="E475" s="6">
        <f>E474+C475-D475</f>
      </c>
      <c r="F475" s="2"/>
    </row>
    <row x14ac:dyDescent="0.25" r="476" customHeight="1" ht="17.25">
      <c r="A476" s="7">
        <v>45824</v>
      </c>
      <c r="B476" s="9" t="s">
        <v>228</v>
      </c>
      <c r="C476" s="3"/>
      <c r="D476" s="6">
        <v>30</v>
      </c>
      <c r="E476" s="6">
        <f>E475+C476-D476</f>
      </c>
      <c r="F476" s="2"/>
    </row>
    <row x14ac:dyDescent="0.25" r="477" customHeight="1" ht="17.25">
      <c r="A477" s="7">
        <v>45824</v>
      </c>
      <c r="B477" s="9" t="s">
        <v>272</v>
      </c>
      <c r="C477" s="6">
        <v>26</v>
      </c>
      <c r="D477" s="4"/>
      <c r="E477" s="6">
        <f>E476+C477-D477</f>
      </c>
      <c r="F477" s="2"/>
    </row>
    <row x14ac:dyDescent="0.25" r="478" customHeight="1" ht="17.25">
      <c r="A478" s="7">
        <v>45824</v>
      </c>
      <c r="B478" s="9" t="s">
        <v>289</v>
      </c>
      <c r="C478" s="6">
        <v>57</v>
      </c>
      <c r="D478" s="4"/>
      <c r="E478" s="6">
        <f>E477+C478-D478</f>
      </c>
      <c r="F478" s="2"/>
    </row>
    <row x14ac:dyDescent="0.25" r="479" customHeight="1" ht="17.25">
      <c r="A479" s="7">
        <v>45825</v>
      </c>
      <c r="B479" s="9" t="s">
        <v>100</v>
      </c>
      <c r="C479" s="3"/>
      <c r="D479" s="6">
        <v>70</v>
      </c>
      <c r="E479" s="6">
        <f>E478+C479-D479</f>
      </c>
      <c r="F479" s="2"/>
    </row>
    <row x14ac:dyDescent="0.25" r="480" customHeight="1" ht="17.25">
      <c r="A480" s="7">
        <v>45825</v>
      </c>
      <c r="B480" s="9" t="s">
        <v>450</v>
      </c>
      <c r="C480" s="3"/>
      <c r="D480" s="6">
        <v>200</v>
      </c>
      <c r="E480" s="6">
        <f>E479+C480-D480</f>
      </c>
      <c r="F480" s="2"/>
    </row>
    <row x14ac:dyDescent="0.25" r="481" customHeight="1" ht="17.25">
      <c r="A481" s="7">
        <v>45825</v>
      </c>
      <c r="B481" s="9" t="s">
        <v>451</v>
      </c>
      <c r="C481" s="6">
        <v>360</v>
      </c>
      <c r="D481" s="4"/>
      <c r="E481" s="6">
        <f>E480+C481-D481</f>
      </c>
      <c r="F481" s="2"/>
    </row>
    <row x14ac:dyDescent="0.25" r="482" customHeight="1" ht="17.25">
      <c r="A482" s="7">
        <v>45825</v>
      </c>
      <c r="B482" s="9" t="s">
        <v>284</v>
      </c>
      <c r="C482" s="3"/>
      <c r="D482" s="6">
        <v>230</v>
      </c>
      <c r="E482" s="6">
        <f>E481+C482-D482</f>
      </c>
      <c r="F482" s="2"/>
    </row>
    <row x14ac:dyDescent="0.25" r="483" customHeight="1" ht="17.25">
      <c r="A483" s="7">
        <v>45825</v>
      </c>
      <c r="B483" s="9" t="s">
        <v>284</v>
      </c>
      <c r="C483" s="3"/>
      <c r="D483" s="6">
        <v>130</v>
      </c>
      <c r="E483" s="6">
        <f>E482+C483-D483</f>
      </c>
      <c r="F483" s="2"/>
    </row>
    <row x14ac:dyDescent="0.25" r="484" customHeight="1" ht="17.25">
      <c r="A484" s="7">
        <v>45825</v>
      </c>
      <c r="B484" s="9" t="s">
        <v>228</v>
      </c>
      <c r="C484" s="3"/>
      <c r="D484" s="6">
        <v>33</v>
      </c>
      <c r="E484" s="6">
        <f>E483+C484-D484</f>
      </c>
      <c r="F484" s="2"/>
    </row>
    <row x14ac:dyDescent="0.25" r="485" customHeight="1" ht="17.25">
      <c r="A485" s="7">
        <v>45826</v>
      </c>
      <c r="B485" s="9" t="s">
        <v>3</v>
      </c>
      <c r="C485" s="3"/>
      <c r="D485" s="6">
        <v>70</v>
      </c>
      <c r="E485" s="6">
        <f>E484+C485-D485</f>
      </c>
      <c r="F485" s="2"/>
    </row>
    <row x14ac:dyDescent="0.25" r="486" customHeight="1" ht="17.25">
      <c r="A486" s="7">
        <v>45827</v>
      </c>
      <c r="B486" s="9" t="s">
        <v>228</v>
      </c>
      <c r="C486" s="3"/>
      <c r="D486" s="6">
        <v>165</v>
      </c>
      <c r="E486" s="6">
        <f>E485+C486-D486</f>
      </c>
      <c r="F486" s="2"/>
    </row>
    <row x14ac:dyDescent="0.25" r="487" customHeight="1" ht="17.25">
      <c r="A487" s="8">
        <v>45827</v>
      </c>
      <c r="B487" s="9" t="s">
        <v>384</v>
      </c>
      <c r="C487" s="6">
        <v>50</v>
      </c>
      <c r="D487" s="4"/>
      <c r="E487" s="6">
        <f>E486+C487-D487</f>
      </c>
      <c r="F487" s="2"/>
    </row>
    <row x14ac:dyDescent="0.25" r="488" customHeight="1" ht="17.25">
      <c r="A488" s="8">
        <v>45827</v>
      </c>
      <c r="B488" s="9" t="s">
        <v>272</v>
      </c>
      <c r="C488" s="6">
        <v>23</v>
      </c>
      <c r="D488" s="4"/>
      <c r="E488" s="6">
        <f>E487+C488-D488</f>
      </c>
      <c r="F488" s="2"/>
    </row>
    <row x14ac:dyDescent="0.25" r="489" customHeight="1" ht="17.25">
      <c r="A489" s="7">
        <v>45828</v>
      </c>
      <c r="B489" s="9" t="s">
        <v>451</v>
      </c>
      <c r="C489" s="6">
        <v>160</v>
      </c>
      <c r="D489" s="4"/>
      <c r="E489" s="6">
        <f>E488+C489-D489</f>
      </c>
      <c r="F489" s="2"/>
    </row>
    <row x14ac:dyDescent="0.25" r="490" customHeight="1" ht="17.25">
      <c r="A490" s="7">
        <v>45828</v>
      </c>
      <c r="B490" s="9" t="s">
        <v>228</v>
      </c>
      <c r="C490" s="3"/>
      <c r="D490" s="6">
        <v>160</v>
      </c>
      <c r="E490" s="6">
        <f>E489+C490-D490</f>
      </c>
      <c r="F490" s="2"/>
    </row>
    <row x14ac:dyDescent="0.25" r="491" customHeight="1" ht="17.25">
      <c r="A491" s="7">
        <v>45828</v>
      </c>
      <c r="B491" s="9" t="s">
        <v>450</v>
      </c>
      <c r="C491" s="3"/>
      <c r="D491" s="6">
        <v>120</v>
      </c>
      <c r="E491" s="6">
        <f>E490+C491-D491</f>
      </c>
      <c r="F491" s="2"/>
    </row>
    <row x14ac:dyDescent="0.25" r="492" customHeight="1" ht="17.25">
      <c r="A492" s="7">
        <v>45828</v>
      </c>
      <c r="B492" s="9" t="s">
        <v>172</v>
      </c>
      <c r="C492" s="6">
        <v>5</v>
      </c>
      <c r="D492" s="4"/>
      <c r="E492" s="6">
        <f>E491+C492-D492</f>
      </c>
      <c r="F492" s="2"/>
    </row>
    <row x14ac:dyDescent="0.25" r="493" customHeight="1" ht="17.25">
      <c r="A493" s="7">
        <v>45828</v>
      </c>
      <c r="B493" s="9" t="s">
        <v>289</v>
      </c>
      <c r="C493" s="6">
        <v>16</v>
      </c>
      <c r="D493" s="4"/>
      <c r="E493" s="6">
        <f>E492+C493-D493</f>
      </c>
      <c r="F493" s="2"/>
    </row>
    <row x14ac:dyDescent="0.25" r="494" customHeight="1" ht="17.25">
      <c r="A494" s="8">
        <v>45829</v>
      </c>
      <c r="B494" s="9" t="s">
        <v>297</v>
      </c>
      <c r="C494" s="3"/>
      <c r="D494" s="6">
        <v>40</v>
      </c>
      <c r="E494" s="6">
        <f>E493+C494-D494</f>
      </c>
      <c r="F494" s="2"/>
    </row>
    <row x14ac:dyDescent="0.25" r="495" customHeight="1" ht="17.25">
      <c r="A495" s="8">
        <v>45831</v>
      </c>
      <c r="B495" s="9" t="s">
        <v>89</v>
      </c>
      <c r="C495" s="3"/>
      <c r="D495" s="6">
        <v>30</v>
      </c>
      <c r="E495" s="6">
        <f>E494+C495-D495</f>
      </c>
      <c r="F495" s="2"/>
    </row>
    <row x14ac:dyDescent="0.25" r="496" customHeight="1" ht="17.25">
      <c r="A496" s="8">
        <v>45831</v>
      </c>
      <c r="B496" s="9" t="s">
        <v>89</v>
      </c>
      <c r="C496" s="3"/>
      <c r="D496" s="6">
        <v>20</v>
      </c>
      <c r="E496" s="6">
        <f>E495+C496-D496</f>
      </c>
      <c r="F496" s="2"/>
    </row>
    <row x14ac:dyDescent="0.25" r="497" customHeight="1" ht="17.25">
      <c r="A497" s="7">
        <v>45832</v>
      </c>
      <c r="B497" s="9" t="s">
        <v>3</v>
      </c>
      <c r="C497" s="3"/>
      <c r="D497" s="6">
        <v>80</v>
      </c>
      <c r="E497" s="6">
        <f>E496+C497-D497</f>
      </c>
      <c r="F497" s="2"/>
    </row>
    <row x14ac:dyDescent="0.25" r="498" customHeight="1" ht="17.25">
      <c r="A498" s="7">
        <v>45832</v>
      </c>
      <c r="B498" s="9" t="s">
        <v>451</v>
      </c>
      <c r="C498" s="6">
        <v>160</v>
      </c>
      <c r="D498" s="4"/>
      <c r="E498" s="6">
        <f>E497+C498-D498</f>
      </c>
      <c r="F498" s="2"/>
    </row>
    <row x14ac:dyDescent="0.25" r="499" customHeight="1" ht="17.25">
      <c r="A499" s="7">
        <v>45832</v>
      </c>
      <c r="B499" s="9" t="s">
        <v>228</v>
      </c>
      <c r="C499" s="3"/>
      <c r="D499" s="6">
        <v>160</v>
      </c>
      <c r="E499" s="6">
        <f>E498+C499-D499</f>
      </c>
      <c r="F499" s="2"/>
    </row>
    <row x14ac:dyDescent="0.25" r="500" customHeight="1" ht="17.25">
      <c r="A500" s="8">
        <v>45832</v>
      </c>
      <c r="B500" s="9" t="s">
        <v>89</v>
      </c>
      <c r="C500" s="3"/>
      <c r="D500" s="6">
        <v>45</v>
      </c>
      <c r="E500" s="6">
        <f>E499+C500-D500</f>
      </c>
      <c r="F500" s="2"/>
    </row>
    <row x14ac:dyDescent="0.25" r="501" customHeight="1" ht="17.25">
      <c r="A501" s="7">
        <v>45833</v>
      </c>
      <c r="B501" s="9" t="s">
        <v>450</v>
      </c>
      <c r="C501" s="3"/>
      <c r="D501" s="6">
        <v>370</v>
      </c>
      <c r="E501" s="6">
        <f>E500+C501-D501</f>
      </c>
      <c r="F501" s="2"/>
    </row>
    <row x14ac:dyDescent="0.25" r="502" customHeight="1" ht="17.25">
      <c r="A502" s="8">
        <v>45833</v>
      </c>
      <c r="B502" s="9" t="s">
        <v>272</v>
      </c>
      <c r="C502" s="6">
        <v>5</v>
      </c>
      <c r="D502" s="4"/>
      <c r="E502" s="6">
        <f>E501+C502-D502</f>
      </c>
      <c r="F502" s="2"/>
    </row>
    <row x14ac:dyDescent="0.25" r="503" customHeight="1" ht="17.25">
      <c r="A503" s="8">
        <v>45833</v>
      </c>
      <c r="B503" s="9" t="s">
        <v>35</v>
      </c>
      <c r="C503" s="6">
        <v>181</v>
      </c>
      <c r="D503" s="4"/>
      <c r="E503" s="6">
        <f>E502+C503-D503</f>
      </c>
      <c r="F503" s="2"/>
    </row>
    <row x14ac:dyDescent="0.25" r="504" customHeight="1" ht="17.25">
      <c r="A504" s="7">
        <v>45833</v>
      </c>
      <c r="B504" s="9" t="s">
        <v>286</v>
      </c>
      <c r="C504" s="6">
        <v>10</v>
      </c>
      <c r="D504" s="4"/>
      <c r="E504" s="6">
        <f>E503+C504-D504</f>
      </c>
      <c r="F504" s="2"/>
    </row>
    <row x14ac:dyDescent="0.25" r="505" customHeight="1" ht="17.25">
      <c r="A505" s="7">
        <v>45834</v>
      </c>
      <c r="B505" s="9" t="s">
        <v>89</v>
      </c>
      <c r="C505" s="3"/>
      <c r="D505" s="6">
        <v>195</v>
      </c>
      <c r="E505" s="6">
        <f>E504+C505-D505</f>
      </c>
      <c r="F505" s="2"/>
    </row>
    <row x14ac:dyDescent="0.25" r="506" customHeight="1" ht="17.25">
      <c r="A506" s="8">
        <v>45834</v>
      </c>
      <c r="B506" s="9" t="s">
        <v>286</v>
      </c>
      <c r="C506" s="6">
        <v>32</v>
      </c>
      <c r="D506" s="4"/>
      <c r="E506" s="6">
        <f>E505+C506-D506</f>
      </c>
      <c r="F506" s="2"/>
    </row>
    <row x14ac:dyDescent="0.25" r="507" customHeight="1" ht="17.25">
      <c r="A507" s="8">
        <v>45836</v>
      </c>
      <c r="B507" s="9" t="s">
        <v>316</v>
      </c>
      <c r="C507" s="3"/>
      <c r="D507" s="6">
        <v>100</v>
      </c>
      <c r="E507" s="6">
        <f>E506+C507-D507</f>
      </c>
      <c r="F507" s="2"/>
    </row>
    <row x14ac:dyDescent="0.25" r="508" customHeight="1" ht="17.25">
      <c r="A508" s="7">
        <v>45838</v>
      </c>
      <c r="B508" s="9" t="s">
        <v>316</v>
      </c>
      <c r="C508" s="3"/>
      <c r="D508" s="6">
        <v>30</v>
      </c>
      <c r="E508" s="6">
        <f>E507+C508-D508</f>
      </c>
      <c r="F508" s="2"/>
    </row>
    <row x14ac:dyDescent="0.25" r="509" customHeight="1" ht="17.25">
      <c r="A509" s="7">
        <v>45838</v>
      </c>
      <c r="B509" s="9" t="s">
        <v>172</v>
      </c>
      <c r="C509" s="6">
        <v>5</v>
      </c>
      <c r="D509" s="4"/>
      <c r="E509" s="6">
        <f>E508+C509-D509</f>
      </c>
      <c r="F509" s="2"/>
    </row>
    <row x14ac:dyDescent="0.25" r="510" customHeight="1" ht="17.25">
      <c r="A510" s="7">
        <v>45838</v>
      </c>
      <c r="B510" s="9" t="s">
        <v>451</v>
      </c>
      <c r="C510" s="6">
        <v>370</v>
      </c>
      <c r="D510" s="4"/>
      <c r="E510" s="6">
        <f>E509+C510-D510</f>
      </c>
      <c r="F510" s="2"/>
    </row>
    <row x14ac:dyDescent="0.25" r="511" customHeight="1" ht="17.25">
      <c r="A511" s="7">
        <v>45838</v>
      </c>
      <c r="B511" s="9" t="s">
        <v>384</v>
      </c>
      <c r="C511" s="6">
        <v>30</v>
      </c>
      <c r="D511" s="4"/>
      <c r="E511" s="6">
        <f>E510+C511-D511</f>
      </c>
      <c r="F511" s="2"/>
    </row>
    <row x14ac:dyDescent="0.25" r="512" customHeight="1" ht="17.25">
      <c r="A512" s="7">
        <v>45839</v>
      </c>
      <c r="B512" s="9" t="s">
        <v>316</v>
      </c>
      <c r="C512" s="3"/>
      <c r="D512" s="6">
        <v>370</v>
      </c>
      <c r="E512" s="6">
        <f>E511+C512-D512</f>
      </c>
      <c r="F512" s="2"/>
    </row>
    <row x14ac:dyDescent="0.25" r="513" customHeight="1" ht="17.25">
      <c r="A513" s="7">
        <v>45839</v>
      </c>
      <c r="B513" s="9" t="s">
        <v>444</v>
      </c>
      <c r="C513" s="3"/>
      <c r="D513" s="6">
        <v>100</v>
      </c>
      <c r="E513" s="6">
        <f>E512+C513-D513</f>
      </c>
      <c r="F513" s="2"/>
    </row>
    <row x14ac:dyDescent="0.25" r="514" customHeight="1" ht="17.25">
      <c r="A514" s="8">
        <v>45839</v>
      </c>
      <c r="B514" s="9" t="s">
        <v>341</v>
      </c>
      <c r="C514" s="3"/>
      <c r="D514" s="6">
        <v>14</v>
      </c>
      <c r="E514" s="6">
        <f>E513+C514-D514</f>
      </c>
      <c r="F514" s="2"/>
    </row>
    <row x14ac:dyDescent="0.25" r="515" customHeight="1" ht="17.25">
      <c r="A515" s="8">
        <v>45839</v>
      </c>
      <c r="B515" s="9" t="s">
        <v>35</v>
      </c>
      <c r="C515" s="6">
        <v>29</v>
      </c>
      <c r="D515" s="4"/>
      <c r="E515" s="6">
        <f>E514+C515-D515</f>
      </c>
      <c r="F515" s="2"/>
    </row>
    <row x14ac:dyDescent="0.25" r="516" customHeight="1" ht="17.25">
      <c r="A516" s="8">
        <v>45839</v>
      </c>
      <c r="B516" s="9" t="s">
        <v>286</v>
      </c>
      <c r="C516" s="6">
        <v>93</v>
      </c>
      <c r="D516" s="4"/>
      <c r="E516" s="6">
        <f>E515+C516-D516</f>
      </c>
      <c r="F516" s="2"/>
    </row>
    <row x14ac:dyDescent="0.25" r="517" customHeight="1" ht="17.25">
      <c r="A517" s="8">
        <v>45840</v>
      </c>
      <c r="B517" s="9" t="s">
        <v>46</v>
      </c>
      <c r="C517" s="3"/>
      <c r="D517" s="6">
        <v>72</v>
      </c>
      <c r="E517" s="6">
        <f>E516+C517-D517</f>
      </c>
      <c r="F517" s="2"/>
    </row>
    <row x14ac:dyDescent="0.25" r="518" customHeight="1" ht="17.25">
      <c r="A518" s="8">
        <v>45840</v>
      </c>
      <c r="B518" s="9" t="s">
        <v>414</v>
      </c>
      <c r="C518" s="6">
        <v>17</v>
      </c>
      <c r="D518" s="4"/>
      <c r="E518" s="6">
        <f>E517+C518-D518</f>
      </c>
      <c r="F518" s="2"/>
    </row>
    <row x14ac:dyDescent="0.25" r="519" customHeight="1" ht="17.25">
      <c r="A519" s="7">
        <v>45840</v>
      </c>
      <c r="B519" s="9" t="s">
        <v>89</v>
      </c>
      <c r="C519" s="6">
        <v>64</v>
      </c>
      <c r="D519" s="4"/>
      <c r="E519" s="6">
        <f>E518+C519-D519</f>
      </c>
      <c r="F519" s="2"/>
    </row>
    <row x14ac:dyDescent="0.25" r="520" customHeight="1" ht="17.25">
      <c r="A520" s="7">
        <v>45841</v>
      </c>
      <c r="B520" s="9" t="s">
        <v>450</v>
      </c>
      <c r="C520" s="3"/>
      <c r="D520" s="6">
        <v>150</v>
      </c>
      <c r="E520" s="6">
        <f>E519+C520-D520</f>
      </c>
      <c r="F520" s="2"/>
    </row>
    <row x14ac:dyDescent="0.25" r="521" customHeight="1" ht="17.25">
      <c r="A521" s="7">
        <v>45841</v>
      </c>
      <c r="B521" s="9" t="s">
        <v>450</v>
      </c>
      <c r="C521" s="3"/>
      <c r="D521" s="6">
        <v>160</v>
      </c>
      <c r="E521" s="6">
        <f>E520+C521-D521</f>
      </c>
      <c r="F521" s="2"/>
    </row>
    <row x14ac:dyDescent="0.25" r="522" customHeight="1" ht="17.25">
      <c r="A522" s="7">
        <v>45841</v>
      </c>
      <c r="B522" s="9" t="s">
        <v>284</v>
      </c>
      <c r="C522" s="3"/>
      <c r="D522" s="6">
        <v>60</v>
      </c>
      <c r="E522" s="6">
        <f>E521+C522-D522</f>
      </c>
      <c r="F522" s="2"/>
    </row>
    <row x14ac:dyDescent="0.25" r="523" customHeight="1" ht="17.25">
      <c r="A523" s="7">
        <v>45841</v>
      </c>
      <c r="B523" s="9" t="s">
        <v>257</v>
      </c>
      <c r="C523" s="6">
        <v>4</v>
      </c>
      <c r="D523" s="4"/>
      <c r="E523" s="6">
        <f>E522+C523-D523</f>
      </c>
      <c r="F523" s="2"/>
    </row>
    <row x14ac:dyDescent="0.25" r="524" customHeight="1" ht="17.25">
      <c r="A524" s="8">
        <v>45842</v>
      </c>
      <c r="B524" s="9" t="s">
        <v>333</v>
      </c>
      <c r="C524" s="3"/>
      <c r="D524" s="6">
        <v>5</v>
      </c>
      <c r="E524" s="6">
        <f>E523+C524-D524</f>
      </c>
      <c r="F524" s="2"/>
    </row>
    <row x14ac:dyDescent="0.25" r="525" customHeight="1" ht="17.25">
      <c r="A525" s="7">
        <v>45842</v>
      </c>
      <c r="B525" s="9" t="s">
        <v>451</v>
      </c>
      <c r="C525" s="6">
        <v>151</v>
      </c>
      <c r="D525" s="4"/>
      <c r="E525" s="6">
        <f>E524+C525-D525</f>
      </c>
      <c r="F525" s="2"/>
    </row>
    <row x14ac:dyDescent="0.25" r="526" customHeight="1" ht="17.25">
      <c r="A526" s="7">
        <v>45842</v>
      </c>
      <c r="B526" s="9" t="s">
        <v>286</v>
      </c>
      <c r="C526" s="6">
        <v>48</v>
      </c>
      <c r="D526" s="4"/>
      <c r="E526" s="6">
        <f>E525+C526-D526</f>
      </c>
      <c r="F526" s="2"/>
    </row>
    <row x14ac:dyDescent="0.25" r="527" customHeight="1" ht="17.25">
      <c r="A527" s="8">
        <v>45842</v>
      </c>
      <c r="B527" s="9" t="s">
        <v>89</v>
      </c>
      <c r="C527" s="6">
        <v>216</v>
      </c>
      <c r="D527" s="4"/>
      <c r="E527" s="6">
        <f>E526+C527-D527</f>
      </c>
      <c r="F527" s="2"/>
    </row>
    <row x14ac:dyDescent="0.25" r="528" customHeight="1" ht="17.25">
      <c r="A528" s="7">
        <v>45843</v>
      </c>
      <c r="B528" s="9" t="s">
        <v>284</v>
      </c>
      <c r="C528" s="3"/>
      <c r="D528" s="6">
        <v>300</v>
      </c>
      <c r="E528" s="6">
        <f>E527+C528-D528</f>
      </c>
      <c r="F528" s="2"/>
    </row>
    <row x14ac:dyDescent="0.25" r="529" customHeight="1" ht="17.25">
      <c r="A529" s="8">
        <v>45845</v>
      </c>
      <c r="B529" s="9" t="s">
        <v>298</v>
      </c>
      <c r="C529" s="3"/>
      <c r="D529" s="6">
        <v>220</v>
      </c>
      <c r="E529" s="6">
        <f>E528+C529-D529</f>
      </c>
      <c r="F529" s="2"/>
    </row>
    <row x14ac:dyDescent="0.25" r="530" customHeight="1" ht="17.25">
      <c r="A530" s="8">
        <v>45845</v>
      </c>
      <c r="B530" s="9" t="s">
        <v>343</v>
      </c>
      <c r="C530" s="3"/>
      <c r="D530" s="6">
        <v>8</v>
      </c>
      <c r="E530" s="6">
        <f>E529+C530-D530</f>
      </c>
      <c r="F530" s="2"/>
    </row>
    <row x14ac:dyDescent="0.25" r="531" customHeight="1" ht="17.25">
      <c r="A531" s="8">
        <v>45845</v>
      </c>
      <c r="B531" s="9" t="s">
        <v>284</v>
      </c>
      <c r="C531" s="3"/>
      <c r="D531" s="6">
        <v>140</v>
      </c>
      <c r="E531" s="6">
        <f>E530+C531-D531</f>
      </c>
      <c r="F531" s="2"/>
    </row>
    <row x14ac:dyDescent="0.25" r="532" customHeight="1" ht="17.25">
      <c r="A532" s="7">
        <v>45845</v>
      </c>
      <c r="B532" s="9" t="s">
        <v>451</v>
      </c>
      <c r="C532" s="6">
        <v>159</v>
      </c>
      <c r="D532" s="4"/>
      <c r="E532" s="6">
        <f>E531+C532-D532</f>
      </c>
      <c r="F532" s="2"/>
    </row>
    <row x14ac:dyDescent="0.25" r="533" customHeight="1" ht="17.25">
      <c r="A533" s="7">
        <v>45846</v>
      </c>
      <c r="B533" s="9" t="s">
        <v>389</v>
      </c>
      <c r="C533" s="3"/>
      <c r="D533" s="6">
        <v>159</v>
      </c>
      <c r="E533" s="6">
        <f>E532+C533-D533</f>
      </c>
      <c r="F533" s="2"/>
    </row>
    <row x14ac:dyDescent="0.25" r="534" customHeight="1" ht="17.25">
      <c r="A534" s="7">
        <v>45846</v>
      </c>
      <c r="B534" s="9" t="s">
        <v>234</v>
      </c>
      <c r="C534" s="3"/>
      <c r="D534" s="6">
        <v>100</v>
      </c>
      <c r="E534" s="6">
        <f>E533+C534-D534</f>
      </c>
      <c r="F534" s="2"/>
    </row>
    <row x14ac:dyDescent="0.25" r="535" customHeight="1" ht="17.25">
      <c r="A535" s="7">
        <v>45846</v>
      </c>
      <c r="B535" s="9" t="s">
        <v>286</v>
      </c>
      <c r="C535" s="6">
        <v>67</v>
      </c>
      <c r="D535" s="4"/>
      <c r="E535" s="6">
        <f>E534+C535-D535</f>
      </c>
      <c r="F535" s="2"/>
    </row>
    <row x14ac:dyDescent="0.25" r="536" customHeight="1" ht="17.25">
      <c r="A536" s="7">
        <v>45847</v>
      </c>
      <c r="B536" s="9" t="s">
        <v>297</v>
      </c>
      <c r="C536" s="3"/>
      <c r="D536" s="6">
        <v>25</v>
      </c>
      <c r="E536" s="6">
        <f>E535+C536-D536</f>
      </c>
      <c r="F536" s="2"/>
    </row>
    <row x14ac:dyDescent="0.25" r="537" customHeight="1" ht="17.25">
      <c r="A537" s="7">
        <v>45847</v>
      </c>
      <c r="B537" s="9" t="s">
        <v>234</v>
      </c>
      <c r="C537" s="3"/>
      <c r="D537" s="6">
        <v>100</v>
      </c>
      <c r="E537" s="6">
        <f>E536+C537-D537</f>
      </c>
      <c r="F537" s="2"/>
    </row>
    <row x14ac:dyDescent="0.25" r="538" customHeight="1" ht="17.25">
      <c r="A538" s="7">
        <v>45847</v>
      </c>
      <c r="B538" s="9" t="s">
        <v>35</v>
      </c>
      <c r="C538" s="6">
        <v>11</v>
      </c>
      <c r="D538" s="4"/>
      <c r="E538" s="6">
        <f>E537+C538-D538</f>
      </c>
      <c r="F538" s="2"/>
    </row>
    <row x14ac:dyDescent="0.25" r="539" customHeight="1" ht="17.25">
      <c r="A539" s="7">
        <v>45847</v>
      </c>
      <c r="B539" s="9" t="s">
        <v>411</v>
      </c>
      <c r="C539" s="6">
        <v>5</v>
      </c>
      <c r="D539" s="4"/>
      <c r="E539" s="6">
        <f>E538+C539-D539</f>
      </c>
      <c r="F539" s="2"/>
    </row>
    <row x14ac:dyDescent="0.25" r="540" customHeight="1" ht="17.25">
      <c r="A540" s="7">
        <v>45847</v>
      </c>
      <c r="B540" s="9" t="s">
        <v>275</v>
      </c>
      <c r="C540" s="6">
        <v>19</v>
      </c>
      <c r="D540" s="4"/>
      <c r="E540" s="6">
        <f>E539+C540-D540</f>
      </c>
      <c r="F540" s="2"/>
    </row>
    <row x14ac:dyDescent="0.25" r="541" customHeight="1" ht="17.25">
      <c r="A541" s="7">
        <v>45847</v>
      </c>
      <c r="B541" s="9" t="s">
        <v>389</v>
      </c>
      <c r="C541" s="3"/>
      <c r="D541" s="6">
        <v>41</v>
      </c>
      <c r="E541" s="6">
        <f>E540+C541-D541</f>
      </c>
      <c r="F541" s="2"/>
    </row>
    <row x14ac:dyDescent="0.25" r="542" customHeight="1" ht="17.25">
      <c r="A542" s="8">
        <v>45847</v>
      </c>
      <c r="B542" s="9" t="s">
        <v>299</v>
      </c>
      <c r="C542" s="3"/>
      <c r="D542" s="6">
        <v>20</v>
      </c>
      <c r="E542" s="6">
        <f>E541+C542-D542</f>
      </c>
      <c r="F542" s="2"/>
    </row>
    <row x14ac:dyDescent="0.25" r="543" customHeight="1" ht="17.25">
      <c r="A543" s="8">
        <v>45848</v>
      </c>
      <c r="B543" s="9" t="s">
        <v>286</v>
      </c>
      <c r="C543" s="6">
        <v>100</v>
      </c>
      <c r="D543" s="4"/>
      <c r="E543" s="6">
        <f>E542+C543-D543</f>
      </c>
      <c r="F543" s="2"/>
    </row>
    <row x14ac:dyDescent="0.25" r="544" customHeight="1" ht="17.25">
      <c r="A544" s="7">
        <v>45848</v>
      </c>
      <c r="B544" s="9" t="s">
        <v>189</v>
      </c>
      <c r="C544" s="6">
        <v>65</v>
      </c>
      <c r="D544" s="4"/>
      <c r="E544" s="6">
        <f>E543+C544-D544</f>
      </c>
      <c r="F544" s="2"/>
    </row>
    <row x14ac:dyDescent="0.25" r="545" customHeight="1" ht="17.25">
      <c r="A545" s="7">
        <v>45849</v>
      </c>
      <c r="B545" s="9" t="s">
        <v>299</v>
      </c>
      <c r="C545" s="3"/>
      <c r="D545" s="6">
        <v>40</v>
      </c>
      <c r="E545" s="6">
        <f>E544+C545-D545</f>
      </c>
      <c r="F545" s="2"/>
    </row>
    <row x14ac:dyDescent="0.25" r="546" customHeight="1" ht="17.25">
      <c r="A546" s="8">
        <v>45850</v>
      </c>
      <c r="B546" s="9" t="s">
        <v>2</v>
      </c>
      <c r="C546" s="3"/>
      <c r="D546" s="6">
        <v>50</v>
      </c>
      <c r="E546" s="6">
        <f>E545+C546-D546</f>
      </c>
      <c r="F546" s="2"/>
    </row>
    <row x14ac:dyDescent="0.25" r="547" customHeight="1" ht="17.25">
      <c r="A547" s="8">
        <v>45850</v>
      </c>
      <c r="B547" s="9" t="s">
        <v>238</v>
      </c>
      <c r="C547" s="6">
        <f>23+18</f>
      </c>
      <c r="D547" s="4"/>
      <c r="E547" s="6">
        <f>E546+C547-D547</f>
      </c>
      <c r="F547" s="2"/>
    </row>
    <row x14ac:dyDescent="0.25" r="548" customHeight="1" ht="17.25">
      <c r="A548" s="7">
        <v>45850</v>
      </c>
      <c r="B548" s="9" t="s">
        <v>411</v>
      </c>
      <c r="C548" s="6">
        <v>10</v>
      </c>
      <c r="D548" s="4"/>
      <c r="E548" s="6">
        <f>E547+C548-D548</f>
      </c>
      <c r="F548" s="2"/>
    </row>
    <row x14ac:dyDescent="0.25" r="549" customHeight="1" ht="17.25">
      <c r="A549" s="7">
        <v>45852</v>
      </c>
      <c r="B549" s="9" t="s">
        <v>172</v>
      </c>
      <c r="C549" s="3"/>
      <c r="D549" s="6">
        <v>5</v>
      </c>
      <c r="E549" s="6">
        <f>E548+C549-D549</f>
      </c>
      <c r="F549" s="2"/>
    </row>
    <row x14ac:dyDescent="0.25" r="550" customHeight="1" ht="17.25">
      <c r="A550" s="7">
        <v>45852</v>
      </c>
      <c r="B550" s="9" t="s">
        <v>299</v>
      </c>
      <c r="C550" s="3"/>
      <c r="D550" s="6">
        <v>20</v>
      </c>
      <c r="E550" s="6">
        <f>E549+C550-D550</f>
      </c>
      <c r="F550" s="2"/>
    </row>
    <row x14ac:dyDescent="0.25" r="551" customHeight="1" ht="17.25">
      <c r="A551" s="7">
        <v>45852</v>
      </c>
      <c r="B551" s="9" t="s">
        <v>286</v>
      </c>
      <c r="C551" s="6">
        <v>108</v>
      </c>
      <c r="D551" s="4"/>
      <c r="E551" s="6">
        <f>E550+C551-D551</f>
      </c>
      <c r="F551" s="2"/>
    </row>
    <row x14ac:dyDescent="0.25" r="552" customHeight="1" ht="17.25">
      <c r="A552" s="8">
        <v>45853</v>
      </c>
      <c r="B552" s="9" t="s">
        <v>47</v>
      </c>
      <c r="C552" s="3"/>
      <c r="D552" s="6">
        <v>54</v>
      </c>
      <c r="E552" s="6">
        <f>E551+C552-D552</f>
      </c>
      <c r="F552" s="2"/>
    </row>
    <row x14ac:dyDescent="0.25" r="553" customHeight="1" ht="17.25">
      <c r="A553" s="7">
        <v>45853</v>
      </c>
      <c r="B553" s="9" t="s">
        <v>46</v>
      </c>
      <c r="C553" s="3"/>
      <c r="D553" s="6">
        <v>100</v>
      </c>
      <c r="E553" s="6">
        <f>E552+C553-D553</f>
      </c>
      <c r="F553" s="2"/>
    </row>
    <row x14ac:dyDescent="0.25" r="554" customHeight="1" ht="17.25">
      <c r="A554" s="7">
        <v>45853</v>
      </c>
      <c r="B554" s="9" t="s">
        <v>35</v>
      </c>
      <c r="C554" s="6">
        <v>136</v>
      </c>
      <c r="D554" s="4"/>
      <c r="E554" s="6">
        <f>E553+C554-D554</f>
      </c>
      <c r="F554" s="2"/>
    </row>
    <row x14ac:dyDescent="0.25" r="555" customHeight="1" ht="17.25">
      <c r="A555" s="7">
        <v>45853</v>
      </c>
      <c r="B555" s="9" t="s">
        <v>444</v>
      </c>
      <c r="C555" s="6">
        <v>29</v>
      </c>
      <c r="D555" s="4"/>
      <c r="E555" s="6">
        <f>E554+C555-D555</f>
      </c>
      <c r="F555" s="2"/>
    </row>
    <row x14ac:dyDescent="0.25" r="556" customHeight="1" ht="17.25">
      <c r="A556" s="8">
        <v>45853</v>
      </c>
      <c r="B556" s="9" t="s">
        <v>301</v>
      </c>
      <c r="C556" s="3"/>
      <c r="D556" s="6">
        <v>10</v>
      </c>
      <c r="E556" s="6">
        <f>E555+C556-D556</f>
      </c>
      <c r="F556" s="2"/>
    </row>
    <row x14ac:dyDescent="0.25" r="557" customHeight="1" ht="17.25">
      <c r="A557" s="8">
        <v>45854</v>
      </c>
      <c r="B557" s="9" t="s">
        <v>35</v>
      </c>
      <c r="C557" s="6">
        <v>30</v>
      </c>
      <c r="D557" s="4"/>
      <c r="E557" s="6">
        <f>E556+C557-D557</f>
      </c>
      <c r="F557" s="2"/>
    </row>
    <row x14ac:dyDescent="0.25" r="558" customHeight="1" ht="17.25">
      <c r="A558" s="7">
        <v>45854</v>
      </c>
      <c r="B558" s="9" t="s">
        <v>189</v>
      </c>
      <c r="C558" s="6">
        <v>56</v>
      </c>
      <c r="D558" s="4"/>
      <c r="E558" s="6">
        <f>E557+C558-D558</f>
      </c>
      <c r="F558" s="2"/>
    </row>
    <row x14ac:dyDescent="0.25" r="559" customHeight="1" ht="17.25">
      <c r="A559" s="7">
        <v>45854</v>
      </c>
      <c r="B559" s="9" t="s">
        <v>452</v>
      </c>
      <c r="C559" s="6">
        <v>121</v>
      </c>
      <c r="D559" s="4"/>
      <c r="E559" s="6">
        <f>E558+C559-D559</f>
      </c>
      <c r="F559" s="2"/>
    </row>
    <row x14ac:dyDescent="0.25" r="560" customHeight="1" ht="17.25">
      <c r="A560" s="7">
        <v>45854</v>
      </c>
      <c r="B560" s="9" t="s">
        <v>411</v>
      </c>
      <c r="C560" s="6">
        <v>5</v>
      </c>
      <c r="D560" s="4"/>
      <c r="E560" s="6">
        <f>E559+C560-D560</f>
      </c>
      <c r="F560" s="2"/>
    </row>
    <row x14ac:dyDescent="0.25" r="561" customHeight="1" ht="17.25">
      <c r="A561" s="34">
        <v>45854</v>
      </c>
      <c r="B561" s="36" t="s">
        <v>189</v>
      </c>
      <c r="C561" s="32"/>
      <c r="D561" s="32"/>
      <c r="E561" s="33">
        <f>E560+C561-D561</f>
      </c>
      <c r="F561" s="31" t="s">
        <v>443</v>
      </c>
    </row>
    <row x14ac:dyDescent="0.25" r="562" customHeight="1" ht="17.25">
      <c r="A562" s="7">
        <v>45854</v>
      </c>
      <c r="B562" s="9" t="s">
        <v>189</v>
      </c>
      <c r="C562" s="6">
        <v>5</v>
      </c>
      <c r="D562" s="4"/>
      <c r="E562" s="6">
        <f>E561+C562-D562</f>
      </c>
      <c r="F562" s="2"/>
    </row>
    <row x14ac:dyDescent="0.25" r="563" customHeight="1" ht="17.25">
      <c r="A563" s="7">
        <v>45854</v>
      </c>
      <c r="B563" s="9" t="s">
        <v>376</v>
      </c>
      <c r="C563" s="6">
        <v>27</v>
      </c>
      <c r="D563" s="4"/>
      <c r="E563" s="6">
        <f>E562+C563-D563</f>
      </c>
      <c r="F563" s="2"/>
    </row>
    <row x14ac:dyDescent="0.25" r="564" customHeight="1" ht="17.25">
      <c r="A564" s="8">
        <v>45855</v>
      </c>
      <c r="B564" s="9" t="s">
        <v>233</v>
      </c>
      <c r="C564" s="3"/>
      <c r="D564" s="6">
        <v>59</v>
      </c>
      <c r="E564" s="6">
        <f>E563+C564-D564</f>
      </c>
      <c r="F564" s="2"/>
    </row>
    <row x14ac:dyDescent="0.25" r="565" customHeight="1" ht="17.25">
      <c r="A565" s="7">
        <v>45855</v>
      </c>
      <c r="B565" s="9" t="s">
        <v>47</v>
      </c>
      <c r="C565" s="3"/>
      <c r="D565" s="6">
        <v>76</v>
      </c>
      <c r="E565" s="6">
        <f>E564+C565-D565</f>
      </c>
      <c r="F565" s="2"/>
    </row>
    <row x14ac:dyDescent="0.25" r="566" customHeight="1" ht="17.25">
      <c r="A566" s="7">
        <v>45855</v>
      </c>
      <c r="B566" s="9" t="s">
        <v>382</v>
      </c>
      <c r="C566" s="6">
        <v>40</v>
      </c>
      <c r="D566" s="4"/>
      <c r="E566" s="6">
        <f>E565+C566-D566</f>
      </c>
      <c r="F566" s="2"/>
    </row>
    <row x14ac:dyDescent="0.25" r="567" customHeight="1" ht="17.25">
      <c r="A567" s="34">
        <v>45855</v>
      </c>
      <c r="B567" s="36" t="s">
        <v>299</v>
      </c>
      <c r="C567" s="32"/>
      <c r="D567" s="33">
        <v>22</v>
      </c>
      <c r="E567" s="33">
        <f>E566+C567-D567</f>
      </c>
      <c r="F567" s="31" t="s">
        <v>203</v>
      </c>
    </row>
    <row x14ac:dyDescent="0.25" r="568" customHeight="1" ht="17.25">
      <c r="A568" s="7">
        <v>45856</v>
      </c>
      <c r="B568" s="9" t="s">
        <v>233</v>
      </c>
      <c r="C568" s="3"/>
      <c r="D568" s="6">
        <v>1</v>
      </c>
      <c r="E568" s="6">
        <f>E567+C568-D568</f>
      </c>
      <c r="F568" s="2"/>
    </row>
    <row x14ac:dyDescent="0.25" r="569" customHeight="1" ht="17.25">
      <c r="A569" s="7">
        <v>45856</v>
      </c>
      <c r="B569" s="9" t="s">
        <v>25</v>
      </c>
      <c r="C569" s="3"/>
      <c r="D569" s="6">
        <v>40</v>
      </c>
      <c r="E569" s="6">
        <f>E568+C569-D569</f>
      </c>
      <c r="F569" s="2"/>
    </row>
    <row x14ac:dyDescent="0.25" r="570" customHeight="1" ht="17.25">
      <c r="A570" s="7">
        <v>45857</v>
      </c>
      <c r="B570" s="9" t="s">
        <v>289</v>
      </c>
      <c r="C570" s="3"/>
      <c r="D570" s="6">
        <v>24</v>
      </c>
      <c r="E570" s="6">
        <f>E569+C570-D570</f>
      </c>
      <c r="F570" s="2"/>
    </row>
    <row x14ac:dyDescent="0.25" r="571" customHeight="1" ht="17.25">
      <c r="A571" s="8">
        <v>45857</v>
      </c>
      <c r="B571" s="9" t="s">
        <v>303</v>
      </c>
      <c r="C571" s="3"/>
      <c r="D571" s="6">
        <v>40</v>
      </c>
      <c r="E571" s="6">
        <f>E570+C571-D571</f>
      </c>
      <c r="F571" s="2"/>
    </row>
    <row x14ac:dyDescent="0.25" r="572" customHeight="1" ht="17.25">
      <c r="A572" s="8">
        <v>45857</v>
      </c>
      <c r="B572" s="9" t="s">
        <v>46</v>
      </c>
      <c r="C572" s="3"/>
      <c r="D572" s="6">
        <v>150</v>
      </c>
      <c r="E572" s="6">
        <f>E571+C572-D572</f>
      </c>
      <c r="F572" s="2"/>
    </row>
    <row x14ac:dyDescent="0.25" r="573" customHeight="1" ht="17.25">
      <c r="A573" s="8">
        <v>45857</v>
      </c>
      <c r="B573" s="9" t="s">
        <v>299</v>
      </c>
      <c r="C573" s="3"/>
      <c r="D573" s="6">
        <v>6</v>
      </c>
      <c r="E573" s="6">
        <f>E572+C573-D573</f>
      </c>
      <c r="F573" s="2"/>
    </row>
    <row x14ac:dyDescent="0.25" r="574" customHeight="1" ht="17.25">
      <c r="A574" s="8">
        <v>45859</v>
      </c>
      <c r="B574" s="9" t="s">
        <v>311</v>
      </c>
      <c r="C574" s="3"/>
      <c r="D574" s="6">
        <v>60</v>
      </c>
      <c r="E574" s="6">
        <f>E573+C574-D574</f>
      </c>
      <c r="F574" s="2"/>
    </row>
    <row x14ac:dyDescent="0.25" r="575" customHeight="1" ht="17.25">
      <c r="A575" s="7">
        <v>45859</v>
      </c>
      <c r="B575" s="9" t="s">
        <v>286</v>
      </c>
      <c r="C575" s="6">
        <v>117</v>
      </c>
      <c r="D575" s="4"/>
      <c r="E575" s="6">
        <f>E574+C575-D575</f>
      </c>
      <c r="F575" s="2"/>
    </row>
    <row x14ac:dyDescent="0.25" r="576" customHeight="1" ht="17.25">
      <c r="A576" s="34">
        <v>45859</v>
      </c>
      <c r="B576" s="36" t="s">
        <v>179</v>
      </c>
      <c r="C576" s="33">
        <v>8</v>
      </c>
      <c r="D576" s="32"/>
      <c r="E576" s="33">
        <f>E575+C576-D576</f>
      </c>
      <c r="F576" s="31" t="s">
        <v>453</v>
      </c>
    </row>
    <row x14ac:dyDescent="0.25" r="577" customHeight="1" ht="17.25">
      <c r="A577" s="7">
        <v>45860</v>
      </c>
      <c r="B577" s="9" t="s">
        <v>389</v>
      </c>
      <c r="C577" s="3"/>
      <c r="D577" s="6">
        <v>130</v>
      </c>
      <c r="E577" s="6">
        <f>E576+C577-D577</f>
      </c>
      <c r="F577" s="2"/>
    </row>
    <row x14ac:dyDescent="0.25" r="578" customHeight="1" ht="17.25">
      <c r="A578" s="7">
        <v>45860</v>
      </c>
      <c r="B578" s="9" t="s">
        <v>311</v>
      </c>
      <c r="C578" s="3"/>
      <c r="D578" s="6">
        <v>50</v>
      </c>
      <c r="E578" s="6">
        <f>E577+C578-D578</f>
      </c>
      <c r="F578" s="2"/>
    </row>
    <row x14ac:dyDescent="0.25" r="579" customHeight="1" ht="17.25">
      <c r="A579" s="8">
        <v>45860</v>
      </c>
      <c r="B579" s="9" t="s">
        <v>42</v>
      </c>
      <c r="C579" s="6">
        <v>36</v>
      </c>
      <c r="D579" s="4"/>
      <c r="E579" s="6">
        <f>E578+C579-D579</f>
      </c>
      <c r="F579" s="2"/>
    </row>
    <row x14ac:dyDescent="0.25" r="580" customHeight="1" ht="17.25">
      <c r="A580" s="7">
        <v>45860</v>
      </c>
      <c r="B580" s="9" t="s">
        <v>411</v>
      </c>
      <c r="C580" s="6">
        <v>10</v>
      </c>
      <c r="D580" s="4"/>
      <c r="E580" s="6">
        <f>E579+C580-D580</f>
      </c>
      <c r="F580" s="2"/>
    </row>
    <row x14ac:dyDescent="0.25" r="581" customHeight="1" ht="17.25">
      <c r="A581" s="8">
        <v>45860</v>
      </c>
      <c r="B581" s="9" t="s">
        <v>89</v>
      </c>
      <c r="C581" s="6">
        <v>64</v>
      </c>
      <c r="D581" s="4"/>
      <c r="E581" s="6">
        <f>E580+C581-D581</f>
      </c>
      <c r="F581" s="2"/>
    </row>
    <row x14ac:dyDescent="0.25" r="582" customHeight="1" ht="17.25">
      <c r="A582" s="8">
        <v>45861</v>
      </c>
      <c r="B582" s="9" t="s">
        <v>284</v>
      </c>
      <c r="C582" s="3"/>
      <c r="D582" s="6">
        <v>120</v>
      </c>
      <c r="E582" s="6">
        <f>E581+C582-D582</f>
      </c>
      <c r="F582" s="2"/>
    </row>
    <row x14ac:dyDescent="0.25" r="583" customHeight="1" ht="17.25">
      <c r="A583" s="7">
        <v>45861</v>
      </c>
      <c r="B583" s="9" t="s">
        <v>389</v>
      </c>
      <c r="C583" s="3"/>
      <c r="D583" s="6">
        <v>70</v>
      </c>
      <c r="E583" s="6">
        <f>E582+C583-D583</f>
      </c>
      <c r="F583" s="2"/>
    </row>
    <row x14ac:dyDescent="0.25" r="584" customHeight="1" ht="17.25">
      <c r="A584" s="7">
        <v>45861</v>
      </c>
      <c r="B584" s="9" t="s">
        <v>297</v>
      </c>
      <c r="C584" s="3"/>
      <c r="D584" s="6">
        <v>40</v>
      </c>
      <c r="E584" s="6">
        <f>E583+C584-D584</f>
      </c>
      <c r="F584" s="2"/>
    </row>
    <row x14ac:dyDescent="0.25" r="585" customHeight="1" ht="17.25">
      <c r="A585" s="8">
        <v>45861</v>
      </c>
      <c r="B585" s="9" t="s">
        <v>304</v>
      </c>
      <c r="C585" s="3"/>
      <c r="D585" s="6">
        <v>10</v>
      </c>
      <c r="E585" s="6">
        <f>E584+C585-D585</f>
      </c>
      <c r="F585" s="2"/>
    </row>
    <row x14ac:dyDescent="0.25" r="586" customHeight="1" ht="17.25">
      <c r="A586" s="8">
        <v>45861</v>
      </c>
      <c r="B586" s="9" t="s">
        <v>342</v>
      </c>
      <c r="C586" s="6">
        <v>1</v>
      </c>
      <c r="D586" s="4"/>
      <c r="E586" s="6">
        <f>E585+C586-D586</f>
      </c>
      <c r="F586" s="2"/>
    </row>
    <row x14ac:dyDescent="0.25" r="587" customHeight="1" ht="17.25">
      <c r="A587" s="7">
        <v>45862</v>
      </c>
      <c r="B587" s="9" t="s">
        <v>304</v>
      </c>
      <c r="C587" s="3"/>
      <c r="D587" s="6">
        <v>20</v>
      </c>
      <c r="E587" s="6">
        <f>E586+C587-D587</f>
      </c>
      <c r="F587" s="2"/>
    </row>
    <row x14ac:dyDescent="0.25" r="588" customHeight="1" ht="17.25">
      <c r="A588" s="8">
        <v>45862</v>
      </c>
      <c r="B588" s="9" t="s">
        <v>232</v>
      </c>
      <c r="C588" s="3"/>
      <c r="D588" s="6">
        <v>30</v>
      </c>
      <c r="E588" s="6">
        <f>E587+C588-D588</f>
      </c>
      <c r="F588" s="2"/>
    </row>
    <row x14ac:dyDescent="0.25" r="589" customHeight="1" ht="17.25">
      <c r="A589" s="7">
        <v>45862</v>
      </c>
      <c r="B589" s="9" t="s">
        <v>316</v>
      </c>
      <c r="C589" s="3"/>
      <c r="D589" s="6">
        <v>50</v>
      </c>
      <c r="E589" s="6">
        <f>E588+C589-D589</f>
      </c>
      <c r="F589" s="2"/>
    </row>
    <row x14ac:dyDescent="0.25" r="590" customHeight="1" ht="17.25">
      <c r="A590" s="7">
        <v>45862</v>
      </c>
      <c r="B590" s="9" t="s">
        <v>286</v>
      </c>
      <c r="C590" s="6">
        <v>127</v>
      </c>
      <c r="D590" s="4"/>
      <c r="E590" s="6">
        <f>E589+C590-D590</f>
      </c>
      <c r="F590" s="2"/>
    </row>
    <row x14ac:dyDescent="0.25" r="591" customHeight="1" ht="17.25">
      <c r="A591" s="7">
        <v>45862</v>
      </c>
      <c r="B591" s="9" t="s">
        <v>284</v>
      </c>
      <c r="C591" s="3"/>
      <c r="D591" s="6">
        <v>170</v>
      </c>
      <c r="E591" s="6">
        <f>E590+C591-D591</f>
      </c>
      <c r="F591" s="2"/>
    </row>
    <row x14ac:dyDescent="0.25" r="592" customHeight="1" ht="17.25">
      <c r="A592" s="7">
        <v>45863</v>
      </c>
      <c r="B592" s="9" t="s">
        <v>233</v>
      </c>
      <c r="C592" s="3"/>
      <c r="D592" s="6">
        <v>15</v>
      </c>
      <c r="E592" s="6">
        <f>E591+C592-D592</f>
      </c>
      <c r="F592" s="2"/>
    </row>
    <row x14ac:dyDescent="0.25" r="593" customHeight="1" ht="17.25">
      <c r="A593" s="7">
        <v>45863</v>
      </c>
      <c r="B593" s="9" t="s">
        <v>35</v>
      </c>
      <c r="C593" s="6">
        <v>20</v>
      </c>
      <c r="D593" s="4"/>
      <c r="E593" s="6">
        <f>E592+C593-D593</f>
      </c>
      <c r="F593" s="2"/>
    </row>
    <row x14ac:dyDescent="0.25" r="594" customHeight="1" ht="17.25">
      <c r="A594" s="7">
        <v>45863</v>
      </c>
      <c r="B594" s="9" t="s">
        <v>35</v>
      </c>
      <c r="C594" s="6">
        <v>99</v>
      </c>
      <c r="D594" s="4"/>
      <c r="E594" s="6">
        <f>E593+C594-D594</f>
      </c>
      <c r="F594" s="2"/>
    </row>
    <row x14ac:dyDescent="0.25" r="595" customHeight="1" ht="17.25">
      <c r="A595" s="7">
        <v>45864</v>
      </c>
      <c r="B595" s="9" t="s">
        <v>241</v>
      </c>
      <c r="C595" s="3"/>
      <c r="D595" s="6">
        <v>40</v>
      </c>
      <c r="E595" s="6">
        <f>E594+C595-D595</f>
      </c>
      <c r="F595" s="2"/>
    </row>
    <row x14ac:dyDescent="0.25" r="596" customHeight="1" ht="17.25">
      <c r="A596" s="7">
        <v>45864</v>
      </c>
      <c r="B596" s="9" t="s">
        <v>241</v>
      </c>
      <c r="C596" s="3"/>
      <c r="D596" s="6">
        <v>10</v>
      </c>
      <c r="E596" s="6">
        <f>E595+C596-D596</f>
      </c>
      <c r="F596" s="2"/>
    </row>
    <row x14ac:dyDescent="0.25" r="597" customHeight="1" ht="17.25">
      <c r="A597" s="7">
        <v>45864</v>
      </c>
      <c r="B597" s="9" t="s">
        <v>389</v>
      </c>
      <c r="C597" s="3"/>
      <c r="D597" s="6">
        <v>40</v>
      </c>
      <c r="E597" s="6">
        <f>E596+C597-D597</f>
      </c>
      <c r="F597" s="2"/>
    </row>
    <row x14ac:dyDescent="0.25" r="598" customHeight="1" ht="17.25">
      <c r="A598" s="7">
        <v>45864</v>
      </c>
      <c r="B598" s="9" t="s">
        <v>311</v>
      </c>
      <c r="C598" s="3"/>
      <c r="D598" s="6">
        <v>50</v>
      </c>
      <c r="E598" s="6">
        <f>E597+C598-D598</f>
      </c>
      <c r="F598" s="2"/>
    </row>
    <row x14ac:dyDescent="0.25" r="599" customHeight="1" ht="17.25">
      <c r="A599" s="8">
        <v>45864</v>
      </c>
      <c r="B599" s="9" t="s">
        <v>233</v>
      </c>
      <c r="C599" s="3"/>
      <c r="D599" s="6">
        <v>25</v>
      </c>
      <c r="E599" s="6">
        <f>E598+C599-D599</f>
      </c>
      <c r="F599" s="2"/>
    </row>
    <row x14ac:dyDescent="0.25" r="600" customHeight="1" ht="17.25">
      <c r="A600" s="8"/>
      <c r="B600" s="9"/>
      <c r="C600" s="3"/>
      <c r="D600" s="4"/>
      <c r="E600" s="6">
        <f>E599+C600-D600</f>
      </c>
      <c r="F600" s="2"/>
    </row>
    <row x14ac:dyDescent="0.25" r="601" customHeight="1" ht="17.25">
      <c r="A601" s="7">
        <v>45864</v>
      </c>
      <c r="B601" s="9" t="s">
        <v>47</v>
      </c>
      <c r="C601" s="3"/>
      <c r="D601" s="6">
        <v>50</v>
      </c>
      <c r="E601" s="6">
        <f>E600+C601-D601</f>
      </c>
      <c r="F601" s="2"/>
    </row>
    <row x14ac:dyDescent="0.25" r="602" customHeight="1" ht="17.25">
      <c r="A602" s="8">
        <v>45864</v>
      </c>
      <c r="B602" s="9" t="s">
        <v>257</v>
      </c>
      <c r="C602" s="6">
        <v>7</v>
      </c>
      <c r="D602" s="4"/>
      <c r="E602" s="6">
        <f>E601+C602-D602</f>
      </c>
      <c r="F602" s="2"/>
    </row>
    <row x14ac:dyDescent="0.25" r="603" customHeight="1" ht="17.25">
      <c r="A603" s="7">
        <v>45864</v>
      </c>
      <c r="B603" s="9" t="s">
        <v>286</v>
      </c>
      <c r="C603" s="6">
        <v>118</v>
      </c>
      <c r="D603" s="4"/>
      <c r="E603" s="6">
        <f>E602+C603-D603</f>
      </c>
      <c r="F603" s="2"/>
    </row>
    <row x14ac:dyDescent="0.25" r="604" customHeight="1" ht="17.25">
      <c r="A604" s="7">
        <v>45864</v>
      </c>
      <c r="B604" s="9" t="s">
        <v>444</v>
      </c>
      <c r="C604" s="6">
        <v>53</v>
      </c>
      <c r="D604" s="4"/>
      <c r="E604" s="6">
        <f>E603+C604-D604</f>
      </c>
      <c r="F604" s="2"/>
    </row>
    <row x14ac:dyDescent="0.25" r="605" customHeight="1" ht="17.25">
      <c r="A605" s="7">
        <v>45864</v>
      </c>
      <c r="B605" s="9" t="s">
        <v>384</v>
      </c>
      <c r="C605" s="6">
        <v>30</v>
      </c>
      <c r="D605" s="4"/>
      <c r="E605" s="6">
        <f>E604+C605-D605</f>
      </c>
      <c r="F605" s="2"/>
    </row>
    <row x14ac:dyDescent="0.25" r="606" customHeight="1" ht="17.25">
      <c r="A606" s="8">
        <v>45865</v>
      </c>
      <c r="B606" s="9" t="s">
        <v>232</v>
      </c>
      <c r="C606" s="3"/>
      <c r="D606" s="6">
        <v>110</v>
      </c>
      <c r="E606" s="6">
        <f>E605+C606-D606</f>
      </c>
      <c r="F606" s="2"/>
    </row>
    <row x14ac:dyDescent="0.25" r="607" customHeight="1" ht="17.25">
      <c r="A607" s="8">
        <v>45865</v>
      </c>
      <c r="B607" s="9" t="s">
        <v>232</v>
      </c>
      <c r="C607" s="3"/>
      <c r="D607" s="6">
        <v>60</v>
      </c>
      <c r="E607" s="6">
        <f>E606+C607-D607</f>
      </c>
      <c r="F607" s="2"/>
    </row>
    <row x14ac:dyDescent="0.25" r="608" customHeight="1" ht="17.25">
      <c r="A608" s="8">
        <v>45865</v>
      </c>
      <c r="B608" s="9" t="s">
        <v>264</v>
      </c>
      <c r="C608" s="3"/>
      <c r="D608" s="6">
        <v>4</v>
      </c>
      <c r="E608" s="6">
        <f>E607+C608-D608</f>
      </c>
      <c r="F608" s="2"/>
    </row>
    <row x14ac:dyDescent="0.25" r="609" customHeight="1" ht="17.25">
      <c r="A609" s="8">
        <v>45866</v>
      </c>
      <c r="B609" s="9" t="s">
        <v>389</v>
      </c>
      <c r="C609" s="3"/>
      <c r="D609" s="6">
        <v>25</v>
      </c>
      <c r="E609" s="6">
        <f>E608+C609-D609</f>
      </c>
      <c r="F609" s="2"/>
    </row>
    <row x14ac:dyDescent="0.25" r="610" customHeight="1" ht="17.25">
      <c r="A610" s="7">
        <v>45866</v>
      </c>
      <c r="B610" s="9" t="s">
        <v>241</v>
      </c>
      <c r="C610" s="3"/>
      <c r="D610" s="6">
        <v>30</v>
      </c>
      <c r="E610" s="6">
        <f>E609+C610-D610</f>
      </c>
      <c r="F610" s="2"/>
    </row>
    <row x14ac:dyDescent="0.25" r="611" customHeight="1" ht="17.25">
      <c r="A611" s="7">
        <v>45866</v>
      </c>
      <c r="B611" s="9" t="s">
        <v>311</v>
      </c>
      <c r="C611" s="3"/>
      <c r="D611" s="6">
        <v>40</v>
      </c>
      <c r="E611" s="6">
        <f>E610+C611-D611</f>
      </c>
      <c r="F611" s="2"/>
    </row>
    <row x14ac:dyDescent="0.25" r="612" customHeight="1" ht="17.25">
      <c r="A612" s="7">
        <v>45866</v>
      </c>
      <c r="B612" s="9" t="s">
        <v>283</v>
      </c>
      <c r="C612" s="6">
        <v>6</v>
      </c>
      <c r="D612" s="4"/>
      <c r="E612" s="6">
        <f>E611+C612-D612</f>
      </c>
      <c r="F612" s="2"/>
    </row>
    <row x14ac:dyDescent="0.25" r="613" customHeight="1" ht="17.25">
      <c r="A613" s="7">
        <v>45866</v>
      </c>
      <c r="B613" s="9" t="s">
        <v>89</v>
      </c>
      <c r="C613" s="6">
        <v>73</v>
      </c>
      <c r="D613" s="4"/>
      <c r="E613" s="44">
        <f>E612+C613-D613</f>
      </c>
      <c r="F613" s="2"/>
    </row>
    <row x14ac:dyDescent="0.25" r="614" customHeight="1" ht="17.25">
      <c r="A614" s="7">
        <v>45867</v>
      </c>
      <c r="B614" s="9" t="s">
        <v>315</v>
      </c>
      <c r="C614" s="3"/>
      <c r="D614" s="6">
        <v>14</v>
      </c>
      <c r="E614" s="6">
        <f>E613+C614-D614</f>
      </c>
      <c r="F614" s="2"/>
    </row>
    <row x14ac:dyDescent="0.25" r="615" customHeight="1" ht="17.25">
      <c r="A615" s="8">
        <v>45867</v>
      </c>
      <c r="B615" s="9" t="s">
        <v>47</v>
      </c>
      <c r="C615" s="3"/>
      <c r="D615" s="6">
        <v>30</v>
      </c>
      <c r="E615" s="6">
        <f>E614+C615-D615</f>
      </c>
      <c r="F615" s="2"/>
    </row>
    <row x14ac:dyDescent="0.25" r="616" customHeight="1" ht="17.25">
      <c r="A616" s="8">
        <v>45867</v>
      </c>
      <c r="B616" s="9" t="s">
        <v>3</v>
      </c>
      <c r="C616" s="3"/>
      <c r="D616" s="6">
        <v>25</v>
      </c>
      <c r="E616" s="6">
        <f>E615+C616-D616</f>
      </c>
      <c r="F616" s="2"/>
    </row>
    <row x14ac:dyDescent="0.25" r="617" customHeight="1" ht="17.25">
      <c r="A617" s="8">
        <v>45867</v>
      </c>
      <c r="B617" s="9" t="s">
        <v>3</v>
      </c>
      <c r="C617" s="3"/>
      <c r="D617" s="6">
        <v>25</v>
      </c>
      <c r="E617" s="6">
        <f>E616+C617-D617</f>
      </c>
      <c r="F617" s="2"/>
    </row>
    <row x14ac:dyDescent="0.25" r="618" customHeight="1" ht="17.25">
      <c r="A618" s="7">
        <v>45867</v>
      </c>
      <c r="B618" s="9" t="s">
        <v>444</v>
      </c>
      <c r="C618" s="6">
        <v>19</v>
      </c>
      <c r="D618" s="4"/>
      <c r="E618" s="6">
        <f>E617+C618-D618</f>
      </c>
      <c r="F618" s="2"/>
    </row>
    <row x14ac:dyDescent="0.25" r="619" customHeight="1" ht="17.25">
      <c r="A619" s="8">
        <v>45867</v>
      </c>
      <c r="B619" s="9" t="s">
        <v>35</v>
      </c>
      <c r="C619" s="6">
        <v>120</v>
      </c>
      <c r="D619" s="4"/>
      <c r="E619" s="6">
        <f>E618+C619-D619</f>
      </c>
      <c r="F619" s="2"/>
    </row>
    <row x14ac:dyDescent="0.25" r="620" customHeight="1" ht="17.25">
      <c r="A620" s="8">
        <v>45868</v>
      </c>
      <c r="B620" s="9" t="s">
        <v>243</v>
      </c>
      <c r="C620" s="3"/>
      <c r="D620" s="6">
        <v>10</v>
      </c>
      <c r="E620" s="6">
        <f>E619+C620-D620</f>
      </c>
      <c r="F620" s="2"/>
    </row>
    <row x14ac:dyDescent="0.25" r="621" customHeight="1" ht="17.25">
      <c r="A621" s="7">
        <v>45868</v>
      </c>
      <c r="B621" s="9" t="s">
        <v>316</v>
      </c>
      <c r="C621" s="3"/>
      <c r="D621" s="6">
        <v>57</v>
      </c>
      <c r="E621" s="6">
        <f>E620+C621-D621</f>
      </c>
      <c r="F621" s="2"/>
    </row>
    <row x14ac:dyDescent="0.25" r="622" customHeight="1" ht="17.25">
      <c r="A622" s="7">
        <v>45868</v>
      </c>
      <c r="B622" s="9" t="s">
        <v>100</v>
      </c>
      <c r="C622" s="3"/>
      <c r="D622" s="6">
        <v>114</v>
      </c>
      <c r="E622" s="6">
        <f>E621+C622-D622</f>
      </c>
      <c r="F622" s="2"/>
    </row>
    <row x14ac:dyDescent="0.25" r="623" customHeight="1" ht="17.25">
      <c r="A623" s="7">
        <v>45869</v>
      </c>
      <c r="B623" s="9" t="s">
        <v>389</v>
      </c>
      <c r="C623" s="3"/>
      <c r="D623" s="6">
        <v>50</v>
      </c>
      <c r="E623" s="6">
        <f>E622+C623-D623</f>
      </c>
      <c r="F623" s="2"/>
    </row>
    <row x14ac:dyDescent="0.25" r="624" customHeight="1" ht="17.25">
      <c r="A624" s="7">
        <v>45869</v>
      </c>
      <c r="B624" s="9" t="s">
        <v>345</v>
      </c>
      <c r="C624" s="3"/>
      <c r="D624" s="6">
        <v>40</v>
      </c>
      <c r="E624" s="6">
        <f>E623+C624-D624</f>
      </c>
      <c r="F624" s="2"/>
    </row>
    <row x14ac:dyDescent="0.25" r="625" customHeight="1" ht="17.25">
      <c r="A625" s="7">
        <v>45869</v>
      </c>
      <c r="B625" s="9" t="s">
        <v>233</v>
      </c>
      <c r="C625" s="3"/>
      <c r="D625" s="6">
        <v>86</v>
      </c>
      <c r="E625" s="6">
        <f>E624+C625-D625</f>
      </c>
      <c r="F625" s="2"/>
    </row>
    <row x14ac:dyDescent="0.25" r="626" customHeight="1" ht="17.25">
      <c r="A626" s="7">
        <v>45869</v>
      </c>
      <c r="B626" s="9" t="s">
        <v>376</v>
      </c>
      <c r="C626" s="6">
        <v>28</v>
      </c>
      <c r="D626" s="4"/>
      <c r="E626" s="6">
        <f>E625+C626-D626</f>
      </c>
      <c r="F626" s="2"/>
    </row>
    <row x14ac:dyDescent="0.25" r="627" customHeight="1" ht="17.25">
      <c r="A627" s="7">
        <v>45869</v>
      </c>
      <c r="B627" s="9" t="s">
        <v>35</v>
      </c>
      <c r="C627" s="6">
        <v>55</v>
      </c>
      <c r="D627" s="4"/>
      <c r="E627" s="44">
        <f>E626+C627-D627</f>
      </c>
      <c r="F627" s="2"/>
    </row>
    <row x14ac:dyDescent="0.25" r="628" customHeight="1" ht="17.25">
      <c r="A628" s="8">
        <v>45869</v>
      </c>
      <c r="B628" s="9" t="s">
        <v>63</v>
      </c>
      <c r="C628" s="6">
        <v>150</v>
      </c>
      <c r="D628" s="4"/>
      <c r="E628" s="44">
        <f>E627+C628-D628</f>
      </c>
      <c r="F628" s="2"/>
    </row>
    <row x14ac:dyDescent="0.25" r="629" customHeight="1" ht="17.25">
      <c r="A629" s="8">
        <v>45870</v>
      </c>
      <c r="B629" s="9" t="s">
        <v>47</v>
      </c>
      <c r="C629" s="3"/>
      <c r="D629" s="6">
        <v>40</v>
      </c>
      <c r="E629" s="6">
        <f>E628+C629-D629</f>
      </c>
      <c r="F629" s="2"/>
    </row>
    <row x14ac:dyDescent="0.25" r="630" customHeight="1" ht="17.25">
      <c r="A630" s="7">
        <v>45870</v>
      </c>
      <c r="B630" s="9" t="s">
        <v>286</v>
      </c>
      <c r="C630" s="6">
        <v>180</v>
      </c>
      <c r="D630" s="4"/>
      <c r="E630" s="6">
        <f>E629+C630-D630</f>
      </c>
      <c r="F630" s="2"/>
    </row>
    <row x14ac:dyDescent="0.25" r="631" customHeight="1" ht="17.25">
      <c r="A631" s="7">
        <v>45870</v>
      </c>
      <c r="B631" s="9" t="s">
        <v>316</v>
      </c>
      <c r="C631" s="3"/>
      <c r="D631" s="6">
        <v>150</v>
      </c>
      <c r="E631" s="6">
        <f>E630+C631-D631</f>
      </c>
      <c r="F631" s="2"/>
    </row>
    <row x14ac:dyDescent="0.25" r="632" customHeight="1" ht="17.25">
      <c r="A632" s="7">
        <v>45870</v>
      </c>
      <c r="B632" s="9" t="s">
        <v>100</v>
      </c>
      <c r="C632" s="3"/>
      <c r="D632" s="6">
        <v>36</v>
      </c>
      <c r="E632" s="6">
        <f>E631+C632-D632</f>
      </c>
      <c r="F632" s="2"/>
    </row>
    <row x14ac:dyDescent="0.25" r="633" customHeight="1" ht="17.25">
      <c r="A633" s="7">
        <v>45871</v>
      </c>
      <c r="B633" s="36" t="s">
        <v>450</v>
      </c>
      <c r="C633" s="3"/>
      <c r="D633" s="6">
        <v>162</v>
      </c>
      <c r="E633" s="6">
        <f>E632+C633-D633</f>
      </c>
      <c r="F633" s="2"/>
    </row>
    <row x14ac:dyDescent="0.25" r="634" customHeight="1" ht="17.25">
      <c r="A634" s="7">
        <v>45871</v>
      </c>
      <c r="B634" s="9" t="s">
        <v>311</v>
      </c>
      <c r="C634" s="3"/>
      <c r="D634" s="6">
        <v>50</v>
      </c>
      <c r="E634" s="6">
        <f>E633+C634-D634</f>
      </c>
      <c r="F634" s="2"/>
    </row>
    <row x14ac:dyDescent="0.25" r="635" customHeight="1" ht="17.25">
      <c r="A635" s="8">
        <v>45871</v>
      </c>
      <c r="B635" s="9" t="s">
        <v>47</v>
      </c>
      <c r="C635" s="3"/>
      <c r="D635" s="6">
        <v>50</v>
      </c>
      <c r="E635" s="6">
        <f>E634+C635-D635</f>
      </c>
      <c r="F635" s="2"/>
    </row>
    <row x14ac:dyDescent="0.25" r="636" customHeight="1" ht="17.25">
      <c r="A636" s="8">
        <v>45873</v>
      </c>
      <c r="B636" s="9" t="s">
        <v>63</v>
      </c>
      <c r="C636" s="6">
        <v>200</v>
      </c>
      <c r="D636" s="4"/>
      <c r="E636" s="6">
        <f>E635+C636-D636</f>
      </c>
      <c r="F636" s="2"/>
    </row>
    <row x14ac:dyDescent="0.25" r="637" customHeight="1" ht="17.25">
      <c r="A637" s="8">
        <v>45873</v>
      </c>
      <c r="B637" s="9" t="s">
        <v>298</v>
      </c>
      <c r="C637" s="26"/>
      <c r="D637" s="27">
        <v>220</v>
      </c>
      <c r="E637" s="6">
        <f>E636+C637-D637</f>
      </c>
      <c r="F637" s="2"/>
    </row>
    <row x14ac:dyDescent="0.25" r="638" customHeight="1" ht="17.25">
      <c r="A638" s="8">
        <v>45873</v>
      </c>
      <c r="B638" s="9" t="s">
        <v>389</v>
      </c>
      <c r="C638" s="26"/>
      <c r="D638" s="27">
        <v>50</v>
      </c>
      <c r="E638" s="6">
        <f>E637+C638-D638</f>
      </c>
      <c r="F638" s="2"/>
    </row>
    <row x14ac:dyDescent="0.25" r="639" customHeight="1" ht="17.25">
      <c r="A639" s="7">
        <v>45873</v>
      </c>
      <c r="B639" s="9" t="s">
        <v>275</v>
      </c>
      <c r="C639" s="6">
        <v>32</v>
      </c>
      <c r="D639" s="4"/>
      <c r="E639" s="6">
        <f>E638+C639-D639</f>
      </c>
      <c r="F639" s="2"/>
    </row>
    <row x14ac:dyDescent="0.25" r="640" customHeight="1" ht="17.25">
      <c r="A640" s="7">
        <v>45873</v>
      </c>
      <c r="B640" s="9" t="s">
        <v>384</v>
      </c>
      <c r="C640" s="6">
        <v>30</v>
      </c>
      <c r="D640" s="4"/>
      <c r="E640" s="6">
        <f>E639+C640-D640</f>
      </c>
      <c r="F640" s="2"/>
    </row>
    <row x14ac:dyDescent="0.25" r="641" customHeight="1" ht="17.25">
      <c r="A641" s="7">
        <v>45874</v>
      </c>
      <c r="B641" s="9" t="s">
        <v>63</v>
      </c>
      <c r="C641" s="6">
        <v>400</v>
      </c>
      <c r="D641" s="4"/>
      <c r="E641" s="6">
        <f>E640+C641-D641</f>
      </c>
      <c r="F641" s="2"/>
    </row>
    <row x14ac:dyDescent="0.25" r="642" customHeight="1" ht="17.25">
      <c r="A642" s="7">
        <v>45874</v>
      </c>
      <c r="B642" s="9" t="s">
        <v>389</v>
      </c>
      <c r="C642" s="3"/>
      <c r="D642" s="6">
        <v>50</v>
      </c>
      <c r="E642" s="6">
        <f>E641+C642-D642</f>
      </c>
      <c r="F642" s="2"/>
    </row>
    <row x14ac:dyDescent="0.25" r="643" customHeight="1" ht="17.25">
      <c r="A643" s="7">
        <v>45874</v>
      </c>
      <c r="B643" s="9" t="s">
        <v>316</v>
      </c>
      <c r="C643" s="3"/>
      <c r="D643" s="6">
        <v>193</v>
      </c>
      <c r="E643" s="6">
        <f>E642+C643-D643</f>
      </c>
      <c r="F643" s="2"/>
    </row>
    <row x14ac:dyDescent="0.25" r="644" customHeight="1" ht="17.25">
      <c r="A644" s="7">
        <v>45874</v>
      </c>
      <c r="B644" s="36" t="s">
        <v>450</v>
      </c>
      <c r="C644" s="3"/>
      <c r="D644" s="6">
        <v>110</v>
      </c>
      <c r="E644" s="6">
        <f>E643+C644-D644</f>
      </c>
      <c r="F644" s="2"/>
    </row>
    <row x14ac:dyDescent="0.25" r="645" customHeight="1" ht="17.25">
      <c r="A645" s="7">
        <v>45874</v>
      </c>
      <c r="B645" s="9" t="s">
        <v>287</v>
      </c>
      <c r="C645" s="6">
        <v>11</v>
      </c>
      <c r="D645" s="4"/>
      <c r="E645" s="6">
        <f>E644+C645-D645</f>
      </c>
      <c r="F645" s="2"/>
    </row>
    <row x14ac:dyDescent="0.25" r="646" customHeight="1" ht="17.25">
      <c r="A646" s="7">
        <v>45874</v>
      </c>
      <c r="B646" s="9" t="s">
        <v>238</v>
      </c>
      <c r="C646" s="6">
        <v>40</v>
      </c>
      <c r="D646" s="4"/>
      <c r="E646" s="6">
        <f>E645+C646-D646</f>
      </c>
      <c r="F646" s="2"/>
    </row>
    <row x14ac:dyDescent="0.25" r="647" customHeight="1" ht="17.25">
      <c r="A647" s="7">
        <v>45874</v>
      </c>
      <c r="B647" s="9" t="s">
        <v>238</v>
      </c>
      <c r="C647" s="6">
        <v>37</v>
      </c>
      <c r="D647" s="4"/>
      <c r="E647" s="6">
        <f>E646+C647-D647</f>
      </c>
      <c r="F647" s="2"/>
    </row>
    <row x14ac:dyDescent="0.25" r="648" customHeight="1" ht="17.25">
      <c r="A648" s="7">
        <v>45875</v>
      </c>
      <c r="B648" s="9" t="s">
        <v>311</v>
      </c>
      <c r="C648" s="3"/>
      <c r="D648" s="6">
        <v>100</v>
      </c>
      <c r="E648" s="6">
        <f>E647+C648-D648</f>
      </c>
      <c r="F648" s="2"/>
    </row>
    <row x14ac:dyDescent="0.25" r="649" customHeight="1" ht="17.25">
      <c r="A649" s="7">
        <v>45875</v>
      </c>
      <c r="B649" s="9" t="s">
        <v>389</v>
      </c>
      <c r="C649" s="3"/>
      <c r="D649" s="6">
        <v>100</v>
      </c>
      <c r="E649" s="6">
        <f>E648+C649-D649</f>
      </c>
      <c r="F649" s="2"/>
    </row>
    <row x14ac:dyDescent="0.25" r="650" customHeight="1" ht="17.25">
      <c r="A650" s="7">
        <v>45875</v>
      </c>
      <c r="B650" s="9" t="s">
        <v>26</v>
      </c>
      <c r="C650" s="3"/>
      <c r="D650" s="6">
        <v>50</v>
      </c>
      <c r="E650" s="6">
        <f>E649+C650-D650</f>
      </c>
      <c r="F650" s="2"/>
    </row>
    <row x14ac:dyDescent="0.25" r="651" customHeight="1" ht="17.25">
      <c r="A651" s="7">
        <v>45875</v>
      </c>
      <c r="B651" s="9" t="s">
        <v>238</v>
      </c>
      <c r="C651" s="6">
        <v>88</v>
      </c>
      <c r="D651" s="4"/>
      <c r="E651" s="6">
        <f>E650+C651-D651</f>
      </c>
      <c r="F651" s="2"/>
    </row>
    <row x14ac:dyDescent="0.25" r="652" customHeight="1" ht="17.25">
      <c r="A652" s="8">
        <v>45876</v>
      </c>
      <c r="B652" s="9" t="s">
        <v>307</v>
      </c>
      <c r="C652" s="3"/>
      <c r="D652" s="6">
        <v>24</v>
      </c>
      <c r="E652" s="6">
        <f>E651+C652-D652</f>
      </c>
      <c r="F652" s="2"/>
    </row>
    <row x14ac:dyDescent="0.25" r="653" customHeight="1" ht="17.25">
      <c r="A653" s="8">
        <v>45876</v>
      </c>
      <c r="B653" s="9" t="s">
        <v>308</v>
      </c>
      <c r="C653" s="3"/>
      <c r="D653" s="6">
        <v>40</v>
      </c>
      <c r="E653" s="6">
        <f>E652+C653-D653</f>
      </c>
      <c r="F653" s="2"/>
    </row>
    <row x14ac:dyDescent="0.25" r="654" customHeight="1" ht="17.25">
      <c r="A654" s="8">
        <v>45876</v>
      </c>
      <c r="B654" s="9" t="s">
        <v>308</v>
      </c>
      <c r="C654" s="3"/>
      <c r="D654" s="6">
        <v>8</v>
      </c>
      <c r="E654" s="6">
        <f>E653+C654-D654</f>
      </c>
      <c r="F654" s="2"/>
    </row>
    <row x14ac:dyDescent="0.25" r="655" customHeight="1" ht="17.25">
      <c r="A655" s="7">
        <v>45876</v>
      </c>
      <c r="B655" s="9" t="s">
        <v>3</v>
      </c>
      <c r="C655" s="3"/>
      <c r="D655" s="6">
        <v>64</v>
      </c>
      <c r="E655" s="6">
        <f>E654+C655-D655</f>
      </c>
      <c r="F655" s="2"/>
    </row>
    <row x14ac:dyDescent="0.25" r="656" customHeight="1" ht="17.25">
      <c r="A656" s="7">
        <v>45876</v>
      </c>
      <c r="B656" s="9" t="s">
        <v>46</v>
      </c>
      <c r="C656" s="3"/>
      <c r="D656" s="6">
        <v>50</v>
      </c>
      <c r="E656" s="6">
        <f>E655+C656-D656</f>
      </c>
      <c r="F656" s="2"/>
    </row>
    <row x14ac:dyDescent="0.25" r="657" customHeight="1" ht="17.25">
      <c r="A657" s="7">
        <v>45876</v>
      </c>
      <c r="B657" s="36" t="s">
        <v>451</v>
      </c>
      <c r="C657" s="6">
        <v>140</v>
      </c>
      <c r="D657" s="4"/>
      <c r="E657" s="6">
        <f>E656+C657-D657</f>
      </c>
      <c r="F657" s="2"/>
    </row>
    <row x14ac:dyDescent="0.25" r="658" customHeight="1" ht="17.25">
      <c r="A658" s="7">
        <v>45876</v>
      </c>
      <c r="B658" s="9" t="s">
        <v>275</v>
      </c>
      <c r="C658" s="6">
        <v>22</v>
      </c>
      <c r="D658" s="4"/>
      <c r="E658" s="6">
        <f>E657+C658-D658</f>
      </c>
      <c r="F658" s="2"/>
    </row>
    <row x14ac:dyDescent="0.25" r="659" customHeight="1" ht="17.25">
      <c r="A659" s="7">
        <v>45876</v>
      </c>
      <c r="B659" s="9" t="s">
        <v>286</v>
      </c>
      <c r="C659" s="6">
        <v>10</v>
      </c>
      <c r="D659" s="4"/>
      <c r="E659" s="6">
        <f>E658+C659-D659</f>
      </c>
      <c r="F659" s="2"/>
    </row>
    <row x14ac:dyDescent="0.25" r="660" customHeight="1" ht="17.25">
      <c r="A660" s="7">
        <v>45876</v>
      </c>
      <c r="B660" s="9" t="s">
        <v>238</v>
      </c>
      <c r="C660" s="6">
        <v>90</v>
      </c>
      <c r="D660" s="4"/>
      <c r="E660" s="6">
        <f>E659+C660-D660</f>
      </c>
      <c r="F660" s="2"/>
    </row>
    <row x14ac:dyDescent="0.25" r="661" customHeight="1" ht="17.25">
      <c r="A661" s="8">
        <v>45877</v>
      </c>
      <c r="B661" s="9" t="s">
        <v>3</v>
      </c>
      <c r="C661" s="3"/>
      <c r="D661" s="6">
        <v>36</v>
      </c>
      <c r="E661" s="6">
        <f>E660+C661-D661</f>
      </c>
      <c r="F661" s="2"/>
    </row>
    <row x14ac:dyDescent="0.25" r="662" customHeight="1" ht="17.25">
      <c r="A662" s="7">
        <v>45877</v>
      </c>
      <c r="B662" s="9" t="s">
        <v>307</v>
      </c>
      <c r="C662" s="3"/>
      <c r="D662" s="6">
        <v>61</v>
      </c>
      <c r="E662" s="6">
        <f>E661+C662-D662</f>
      </c>
      <c r="F662" s="2"/>
    </row>
    <row x14ac:dyDescent="0.25" r="663" customHeight="1" ht="17.25">
      <c r="A663" s="7">
        <v>45877</v>
      </c>
      <c r="B663" s="9" t="s">
        <v>35</v>
      </c>
      <c r="C663" s="6">
        <v>5</v>
      </c>
      <c r="D663" s="4"/>
      <c r="E663" s="6">
        <f>E662+C663-D663</f>
      </c>
      <c r="F663" s="2"/>
    </row>
    <row x14ac:dyDescent="0.25" r="664" customHeight="1" ht="17.25">
      <c r="A664" s="8">
        <v>45878</v>
      </c>
      <c r="B664" s="9" t="s">
        <v>26</v>
      </c>
      <c r="C664" s="3"/>
      <c r="D664" s="6">
        <v>50</v>
      </c>
      <c r="E664" s="6">
        <f>E663+C664-D664</f>
      </c>
      <c r="F664" s="2"/>
    </row>
    <row x14ac:dyDescent="0.25" r="665" customHeight="1" ht="17.25">
      <c r="A665" s="7">
        <v>45878</v>
      </c>
      <c r="B665" s="9" t="s">
        <v>316</v>
      </c>
      <c r="C665" s="3"/>
      <c r="D665" s="6">
        <v>50</v>
      </c>
      <c r="E665" s="6">
        <f>E664+C665-D665</f>
      </c>
      <c r="F665" s="2"/>
    </row>
    <row x14ac:dyDescent="0.25" r="666" customHeight="1" ht="17.25">
      <c r="A666" s="7">
        <v>45878</v>
      </c>
      <c r="B666" s="9" t="s">
        <v>411</v>
      </c>
      <c r="C666" s="6">
        <v>5</v>
      </c>
      <c r="D666" s="4"/>
      <c r="E666" s="6">
        <f>E665+C666-D666</f>
      </c>
      <c r="F666" s="2"/>
    </row>
    <row x14ac:dyDescent="0.25" r="667" customHeight="1" ht="17.25">
      <c r="A667" s="7">
        <v>45878</v>
      </c>
      <c r="B667" s="9" t="s">
        <v>238</v>
      </c>
      <c r="C667" s="6">
        <v>208</v>
      </c>
      <c r="D667" s="4"/>
      <c r="E667" s="6">
        <f>E666+C667-D667</f>
      </c>
      <c r="F667" s="2"/>
    </row>
    <row x14ac:dyDescent="0.25" r="668" customHeight="1" ht="17.25">
      <c r="A668" s="7">
        <v>45878</v>
      </c>
      <c r="B668" s="9" t="s">
        <v>241</v>
      </c>
      <c r="C668" s="6">
        <v>30</v>
      </c>
      <c r="D668" s="4"/>
      <c r="E668" s="6">
        <f>E667+C668-D668</f>
      </c>
      <c r="F668" s="2"/>
    </row>
    <row x14ac:dyDescent="0.25" r="669" customHeight="1" ht="17.25">
      <c r="A669" s="7">
        <v>45880</v>
      </c>
      <c r="B669" s="9" t="s">
        <v>233</v>
      </c>
      <c r="C669" s="3"/>
      <c r="D669" s="6">
        <v>60</v>
      </c>
      <c r="E669" s="6">
        <f>E668+C669-D669</f>
      </c>
      <c r="F669" s="2"/>
    </row>
    <row x14ac:dyDescent="0.25" r="670" customHeight="1" ht="17.25">
      <c r="A670" s="7">
        <v>45880</v>
      </c>
      <c r="B670" s="9" t="s">
        <v>286</v>
      </c>
      <c r="C670" s="6">
        <v>83</v>
      </c>
      <c r="D670" s="4"/>
      <c r="E670" s="6">
        <f>E669+C670-D670</f>
      </c>
      <c r="F670" s="2"/>
    </row>
    <row x14ac:dyDescent="0.25" r="671" customHeight="1" ht="17.25">
      <c r="A671" s="7">
        <v>45881</v>
      </c>
      <c r="B671" s="9" t="s">
        <v>391</v>
      </c>
      <c r="C671" s="3"/>
      <c r="D671" s="6">
        <v>60</v>
      </c>
      <c r="E671" s="6">
        <f>E670+C671-D671</f>
      </c>
      <c r="F671" s="2"/>
    </row>
    <row x14ac:dyDescent="0.25" r="672" customHeight="1" ht="17.25">
      <c r="A672" s="7">
        <v>45881</v>
      </c>
      <c r="B672" s="9" t="s">
        <v>208</v>
      </c>
      <c r="C672" s="6">
        <v>53</v>
      </c>
      <c r="D672" s="4"/>
      <c r="E672" s="6">
        <f>E671+C672-D672</f>
      </c>
      <c r="F672" s="2"/>
    </row>
    <row x14ac:dyDescent="0.25" r="673" customHeight="1" ht="17.25">
      <c r="A673" s="7">
        <v>45882</v>
      </c>
      <c r="B673" s="9" t="s">
        <v>307</v>
      </c>
      <c r="C673" s="3"/>
      <c r="D673" s="6">
        <v>30</v>
      </c>
      <c r="E673" s="6">
        <f>E672+C673-D673</f>
      </c>
      <c r="F673" s="2"/>
    </row>
    <row x14ac:dyDescent="0.25" r="674" customHeight="1" ht="17.25">
      <c r="A674" s="7">
        <v>45882</v>
      </c>
      <c r="B674" s="9" t="s">
        <v>451</v>
      </c>
      <c r="C674" s="6">
        <v>132</v>
      </c>
      <c r="D674" s="4"/>
      <c r="E674" s="6">
        <f>E673+C674-D674</f>
      </c>
      <c r="F674" s="2"/>
    </row>
    <row x14ac:dyDescent="0.25" r="675" customHeight="1" ht="17.25">
      <c r="A675" s="7">
        <v>45882</v>
      </c>
      <c r="B675" s="9" t="s">
        <v>389</v>
      </c>
      <c r="C675" s="3"/>
      <c r="D675" s="6">
        <v>45</v>
      </c>
      <c r="E675" s="6">
        <f>E674+C675-D675</f>
      </c>
      <c r="F675" s="2"/>
    </row>
    <row x14ac:dyDescent="0.25" r="676" customHeight="1" ht="17.25">
      <c r="A676" s="7">
        <v>45882</v>
      </c>
      <c r="B676" s="9" t="s">
        <v>316</v>
      </c>
      <c r="C676" s="3"/>
      <c r="D676" s="6">
        <v>120</v>
      </c>
      <c r="E676" s="6">
        <f>E675+C676-D676</f>
      </c>
      <c r="F676" s="2"/>
    </row>
    <row x14ac:dyDescent="0.25" r="677" customHeight="1" ht="17.25">
      <c r="A677" s="7">
        <v>45882</v>
      </c>
      <c r="B677" s="9" t="s">
        <v>333</v>
      </c>
      <c r="C677" s="6">
        <v>20</v>
      </c>
      <c r="D677" s="4"/>
      <c r="E677" s="44">
        <f>E676+C677-D677</f>
      </c>
      <c r="F677" s="2"/>
    </row>
    <row x14ac:dyDescent="0.25" r="678" customHeight="1" ht="17.25">
      <c r="A678" s="7">
        <v>45883</v>
      </c>
      <c r="B678" s="9" t="s">
        <v>63</v>
      </c>
      <c r="C678" s="6">
        <v>250</v>
      </c>
      <c r="D678" s="4"/>
      <c r="E678" s="6">
        <f>E677+C678-D678</f>
      </c>
      <c r="F678" s="2"/>
    </row>
    <row x14ac:dyDescent="0.25" r="679" customHeight="1" ht="17.25">
      <c r="A679" s="7">
        <v>45883</v>
      </c>
      <c r="B679" s="9" t="s">
        <v>46</v>
      </c>
      <c r="C679" s="3"/>
      <c r="D679" s="6">
        <v>150</v>
      </c>
      <c r="E679" s="6">
        <f>E678+C679-D679</f>
      </c>
      <c r="F679" s="2"/>
    </row>
    <row x14ac:dyDescent="0.25" r="680" customHeight="1" ht="17.25">
      <c r="A680" s="7">
        <v>45883</v>
      </c>
      <c r="B680" s="9" t="s">
        <v>316</v>
      </c>
      <c r="C680" s="3"/>
      <c r="D680" s="6">
        <v>150</v>
      </c>
      <c r="E680" s="6">
        <f>E679+C680-D680</f>
      </c>
      <c r="F680" s="2"/>
    </row>
    <row x14ac:dyDescent="0.25" r="681" customHeight="1" ht="17.25">
      <c r="A681" s="7">
        <v>45883</v>
      </c>
      <c r="B681" s="9" t="s">
        <v>444</v>
      </c>
      <c r="C681" s="6">
        <v>14</v>
      </c>
      <c r="D681" s="4"/>
      <c r="E681" s="6">
        <f>E680+C681-D681</f>
      </c>
      <c r="F681" s="2"/>
    </row>
    <row x14ac:dyDescent="0.25" r="682" customHeight="1" ht="17.25">
      <c r="A682" s="7">
        <v>45883</v>
      </c>
      <c r="B682" s="9" t="s">
        <v>389</v>
      </c>
      <c r="C682" s="3"/>
      <c r="D682" s="6">
        <v>25</v>
      </c>
      <c r="E682" s="6">
        <f>E681+C682-D682</f>
      </c>
      <c r="F682" s="2"/>
    </row>
    <row x14ac:dyDescent="0.25" r="683" customHeight="1" ht="17.25">
      <c r="A683" s="7">
        <v>45884</v>
      </c>
      <c r="B683" s="9" t="s">
        <v>389</v>
      </c>
      <c r="C683" s="3"/>
      <c r="D683" s="6">
        <v>202</v>
      </c>
      <c r="E683" s="6">
        <f>E682+C683-D683</f>
      </c>
      <c r="F683" s="2"/>
    </row>
    <row x14ac:dyDescent="0.25" r="684" customHeight="1" ht="17.25">
      <c r="A684" s="8">
        <v>45884</v>
      </c>
      <c r="B684" s="9" t="s">
        <v>35</v>
      </c>
      <c r="C684" s="6">
        <v>30</v>
      </c>
      <c r="D684" s="4"/>
      <c r="E684" s="6">
        <f>E683+C684-D684</f>
      </c>
      <c r="F684" s="2"/>
    </row>
    <row x14ac:dyDescent="0.25" r="685" customHeight="1" ht="17.25">
      <c r="A685" s="7">
        <v>45884</v>
      </c>
      <c r="B685" s="9" t="s">
        <v>241</v>
      </c>
      <c r="C685" s="6">
        <v>50</v>
      </c>
      <c r="D685" s="4"/>
      <c r="E685" s="6">
        <f>E684+C685-D685</f>
      </c>
      <c r="F685" s="2"/>
    </row>
    <row x14ac:dyDescent="0.25" r="686" customHeight="1" ht="17.25">
      <c r="A686" s="7">
        <v>45884</v>
      </c>
      <c r="B686" s="9" t="s">
        <v>241</v>
      </c>
      <c r="C686" s="6">
        <v>37</v>
      </c>
      <c r="D686" s="4"/>
      <c r="E686" s="6">
        <f>E685+C686-D686</f>
      </c>
      <c r="F686" s="2"/>
    </row>
    <row x14ac:dyDescent="0.25" r="687" customHeight="1" ht="17.25">
      <c r="A687" s="7">
        <v>45885</v>
      </c>
      <c r="B687" s="9" t="s">
        <v>233</v>
      </c>
      <c r="C687" s="3"/>
      <c r="D687" s="6">
        <v>50</v>
      </c>
      <c r="E687" s="6">
        <f>E686+C687-D687</f>
      </c>
      <c r="F687" s="2"/>
    </row>
    <row x14ac:dyDescent="0.25" r="688" customHeight="1" ht="17.25">
      <c r="A688" s="7">
        <v>45885</v>
      </c>
      <c r="B688" s="9" t="s">
        <v>389</v>
      </c>
      <c r="C688" s="3"/>
      <c r="D688" s="6">
        <v>128</v>
      </c>
      <c r="E688" s="6">
        <f>E687+C688-D688</f>
      </c>
      <c r="F688" s="2"/>
    </row>
    <row x14ac:dyDescent="0.25" r="689" customHeight="1" ht="17.25">
      <c r="A689" s="7">
        <v>45885</v>
      </c>
      <c r="B689" s="9" t="s">
        <v>3</v>
      </c>
      <c r="C689" s="3"/>
      <c r="D689" s="6">
        <v>50</v>
      </c>
      <c r="E689" s="6">
        <f>E688+C689-D689</f>
      </c>
      <c r="F689" s="2"/>
    </row>
    <row x14ac:dyDescent="0.25" r="690" customHeight="1" ht="17.25">
      <c r="A690" s="7">
        <v>45885</v>
      </c>
      <c r="B690" s="9" t="s">
        <v>311</v>
      </c>
      <c r="C690" s="3"/>
      <c r="D690" s="6">
        <v>14</v>
      </c>
      <c r="E690" s="6">
        <f>E689+C690-D690</f>
      </c>
      <c r="F690" s="2"/>
    </row>
    <row x14ac:dyDescent="0.25" r="691" customHeight="1" ht="17.25">
      <c r="A691" s="7">
        <v>45885</v>
      </c>
      <c r="B691" s="9" t="s">
        <v>333</v>
      </c>
      <c r="C691" s="6">
        <v>5</v>
      </c>
      <c r="D691" s="4"/>
      <c r="E691" s="6">
        <f>E690+C691-D691</f>
      </c>
      <c r="F691" s="2"/>
    </row>
    <row x14ac:dyDescent="0.25" r="692" customHeight="1" ht="17.25">
      <c r="A692" s="7">
        <v>45885</v>
      </c>
      <c r="B692" s="9" t="s">
        <v>47</v>
      </c>
      <c r="C692" s="6">
        <v>122</v>
      </c>
      <c r="D692" s="4"/>
      <c r="E692" s="6">
        <f>E691+C692-D692</f>
      </c>
      <c r="F692" s="2"/>
    </row>
    <row x14ac:dyDescent="0.25" r="693" customHeight="1" ht="17.25">
      <c r="A693" s="7">
        <v>45885</v>
      </c>
      <c r="B693" s="9" t="s">
        <v>299</v>
      </c>
      <c r="C693" s="6">
        <v>19</v>
      </c>
      <c r="D693" s="4"/>
      <c r="E693" s="6">
        <f>E692+C693-D693</f>
      </c>
      <c r="F693" s="2"/>
    </row>
    <row x14ac:dyDescent="0.25" r="694" customHeight="1" ht="17.25">
      <c r="A694" s="7">
        <v>45887</v>
      </c>
      <c r="B694" s="9" t="s">
        <v>243</v>
      </c>
      <c r="C694" s="3"/>
      <c r="D694" s="6">
        <v>136</v>
      </c>
      <c r="E694" s="6">
        <f>E693+C694-D694</f>
      </c>
      <c r="F694" s="2"/>
    </row>
    <row x14ac:dyDescent="0.25" r="695" customHeight="1" ht="17.25">
      <c r="A695" s="7">
        <v>45887</v>
      </c>
      <c r="B695" s="9" t="s">
        <v>316</v>
      </c>
      <c r="C695" s="3"/>
      <c r="D695" s="6">
        <v>55</v>
      </c>
      <c r="E695" s="6">
        <f>E694+C695-D695</f>
      </c>
      <c r="F695" s="2"/>
    </row>
    <row x14ac:dyDescent="0.25" r="696" customHeight="1" ht="17.25">
      <c r="A696" s="7">
        <v>45888</v>
      </c>
      <c r="B696" s="9" t="s">
        <v>303</v>
      </c>
      <c r="C696" s="6">
        <v>40</v>
      </c>
      <c r="D696" s="4"/>
      <c r="E696" s="6">
        <f>E695+C696-D696</f>
      </c>
      <c r="F696" s="2"/>
    </row>
    <row x14ac:dyDescent="0.25" r="697" customHeight="1" ht="17.25">
      <c r="A697" s="7">
        <v>45888</v>
      </c>
      <c r="B697" s="9" t="s">
        <v>299</v>
      </c>
      <c r="C697" s="6">
        <v>7</v>
      </c>
      <c r="D697" s="4"/>
      <c r="E697" s="6">
        <f>E696+C697-D697</f>
      </c>
      <c r="F697" s="2"/>
    </row>
    <row x14ac:dyDescent="0.25" r="698" customHeight="1" ht="17.25">
      <c r="A698" s="7">
        <v>45888</v>
      </c>
      <c r="B698" s="9" t="s">
        <v>342</v>
      </c>
      <c r="C698" s="6">
        <v>1</v>
      </c>
      <c r="D698" s="4"/>
      <c r="E698" s="6">
        <f>E697+C698-D698</f>
      </c>
      <c r="F698" s="2"/>
    </row>
    <row x14ac:dyDescent="0.25" r="699" customHeight="1" ht="17.25">
      <c r="A699" s="7">
        <v>45888</v>
      </c>
      <c r="B699" s="2" t="s">
        <v>316</v>
      </c>
      <c r="C699" s="3"/>
      <c r="D699" s="6">
        <v>58</v>
      </c>
      <c r="E699" s="6">
        <f>E698+C699-D699</f>
      </c>
      <c r="F699" s="2"/>
    </row>
    <row x14ac:dyDescent="0.25" r="700" customHeight="1" ht="17.25">
      <c r="A700" s="7">
        <v>45888</v>
      </c>
      <c r="B700" s="9" t="s">
        <v>414</v>
      </c>
      <c r="C700" s="6">
        <v>21</v>
      </c>
      <c r="D700" s="4"/>
      <c r="E700" s="6">
        <f>E699+C700-D700</f>
      </c>
      <c r="F700" s="2"/>
    </row>
    <row x14ac:dyDescent="0.25" r="701" customHeight="1" ht="17.25">
      <c r="A701" s="7">
        <v>45889</v>
      </c>
      <c r="B701" s="9" t="s">
        <v>286</v>
      </c>
      <c r="C701" s="6">
        <v>52</v>
      </c>
      <c r="D701" s="4"/>
      <c r="E701" s="6">
        <f>E700+C701-D701</f>
      </c>
      <c r="F701" s="2"/>
    </row>
    <row x14ac:dyDescent="0.25" r="702" customHeight="1" ht="17.25">
      <c r="A702" s="7">
        <v>45889</v>
      </c>
      <c r="B702" s="9" t="s">
        <v>272</v>
      </c>
      <c r="C702" s="6">
        <v>2</v>
      </c>
      <c r="D702" s="4"/>
      <c r="E702" s="6">
        <f>E701+C702-D702</f>
      </c>
      <c r="F702" s="2"/>
    </row>
    <row x14ac:dyDescent="0.25" r="703" customHeight="1" ht="17.25">
      <c r="A703" s="7">
        <v>45889</v>
      </c>
      <c r="B703" s="9" t="s">
        <v>316</v>
      </c>
      <c r="C703" s="3"/>
      <c r="D703" s="6">
        <v>50</v>
      </c>
      <c r="E703" s="6">
        <f>E702+C703-D703</f>
      </c>
      <c r="F703" s="2"/>
    </row>
    <row x14ac:dyDescent="0.25" r="704" customHeight="1" ht="17.25">
      <c r="A704" s="7">
        <v>45890</v>
      </c>
      <c r="B704" s="9" t="s">
        <v>346</v>
      </c>
      <c r="C704" s="3"/>
      <c r="D704" s="6">
        <v>12</v>
      </c>
      <c r="E704" s="6">
        <f>E703+C704-D704</f>
      </c>
      <c r="F704" s="2"/>
    </row>
    <row x14ac:dyDescent="0.25" r="705" customHeight="1" ht="17.25">
      <c r="A705" s="7">
        <v>45890</v>
      </c>
      <c r="B705" s="9" t="s">
        <v>316</v>
      </c>
      <c r="C705" s="3"/>
      <c r="D705" s="6">
        <v>50</v>
      </c>
      <c r="E705" s="6">
        <f>E704+C705-D705</f>
      </c>
      <c r="F705" s="2"/>
    </row>
    <row x14ac:dyDescent="0.25" r="706" customHeight="1" ht="17.25">
      <c r="A706" s="7">
        <v>45890</v>
      </c>
      <c r="B706" s="9" t="s">
        <v>47</v>
      </c>
      <c r="C706" s="6">
        <v>112</v>
      </c>
      <c r="D706" s="4"/>
      <c r="E706" s="6">
        <f>E705+C706-D706</f>
      </c>
      <c r="F706" s="2"/>
    </row>
    <row x14ac:dyDescent="0.25" r="707" customHeight="1" ht="17.25">
      <c r="A707" s="8">
        <v>45890</v>
      </c>
      <c r="B707" s="9" t="s">
        <v>448</v>
      </c>
      <c r="C707" s="6">
        <v>9</v>
      </c>
      <c r="D707" s="4"/>
      <c r="E707" s="6">
        <f>E706+C707-D707</f>
      </c>
      <c r="F707" s="2"/>
    </row>
    <row x14ac:dyDescent="0.25" r="708" customHeight="1" ht="17.25">
      <c r="A708" s="7">
        <v>45859</v>
      </c>
      <c r="B708" s="9" t="s">
        <v>208</v>
      </c>
      <c r="C708" s="6">
        <v>67</v>
      </c>
      <c r="D708" s="4"/>
      <c r="E708" s="6">
        <f>E707+C708-D708</f>
      </c>
      <c r="F708" s="2"/>
    </row>
    <row x14ac:dyDescent="0.25" r="709" customHeight="1" ht="17.25">
      <c r="A709" s="7">
        <v>45890</v>
      </c>
      <c r="B709" s="9" t="s">
        <v>299</v>
      </c>
      <c r="C709" s="6">
        <v>42</v>
      </c>
      <c r="D709" s="4"/>
      <c r="E709" s="6">
        <f>E708+C709-D709</f>
      </c>
      <c r="F709" s="2"/>
    </row>
    <row x14ac:dyDescent="0.25" r="710" customHeight="1" ht="17.25">
      <c r="A710" s="7">
        <v>45891</v>
      </c>
      <c r="B710" s="9" t="s">
        <v>316</v>
      </c>
      <c r="C710" s="3"/>
      <c r="D710" s="6">
        <v>112</v>
      </c>
      <c r="E710" s="6">
        <f>E709+C710-D710</f>
      </c>
      <c r="F710" s="2"/>
    </row>
    <row x14ac:dyDescent="0.25" r="711" customHeight="1" ht="17.25">
      <c r="A711" s="8">
        <v>45891</v>
      </c>
      <c r="B711" s="9" t="s">
        <v>283</v>
      </c>
      <c r="C711" s="6">
        <v>2</v>
      </c>
      <c r="D711" s="4"/>
      <c r="E711" s="6">
        <f>E710+C711-D711</f>
      </c>
      <c r="F711" s="2"/>
    </row>
    <row x14ac:dyDescent="0.25" r="712" customHeight="1" ht="17.25">
      <c r="A712" s="7">
        <v>45891</v>
      </c>
      <c r="B712" s="9" t="s">
        <v>42</v>
      </c>
      <c r="C712" s="6">
        <v>130</v>
      </c>
      <c r="D712" s="4"/>
      <c r="E712" s="6">
        <f>E711+C712-D712</f>
      </c>
      <c r="F712" s="2"/>
    </row>
    <row x14ac:dyDescent="0.25" r="713" customHeight="1" ht="17.25">
      <c r="A713" s="8">
        <v>45891</v>
      </c>
      <c r="B713" s="9" t="s">
        <v>42</v>
      </c>
      <c r="C713" s="6">
        <v>12</v>
      </c>
      <c r="D713" s="4"/>
      <c r="E713" s="6">
        <f>E712+C713-D713</f>
      </c>
      <c r="F713" s="2"/>
    </row>
    <row x14ac:dyDescent="0.25" r="714" customHeight="1" ht="17.25">
      <c r="A714" s="7">
        <v>45891</v>
      </c>
      <c r="B714" s="9" t="s">
        <v>299</v>
      </c>
      <c r="C714" s="6">
        <v>8</v>
      </c>
      <c r="D714" s="4"/>
      <c r="E714" s="6">
        <f>E713+C714-D714</f>
      </c>
      <c r="F714" s="2"/>
    </row>
    <row x14ac:dyDescent="0.25" r="715" customHeight="1" ht="17.25">
      <c r="A715" s="7">
        <v>45891</v>
      </c>
      <c r="B715" s="9" t="s">
        <v>342</v>
      </c>
      <c r="C715" s="6">
        <v>1</v>
      </c>
      <c r="D715" s="4"/>
      <c r="E715" s="6">
        <f>E714+C715-D715</f>
      </c>
      <c r="F715" s="2"/>
    </row>
    <row x14ac:dyDescent="0.25" r="716" customHeight="1" ht="17.25">
      <c r="A716" s="7">
        <v>45891</v>
      </c>
      <c r="B716" s="9" t="s">
        <v>89</v>
      </c>
      <c r="C716" s="6">
        <v>20</v>
      </c>
      <c r="D716" s="4"/>
      <c r="E716" s="6">
        <f>E715+C716-D716</f>
      </c>
      <c r="F716" s="2"/>
    </row>
    <row x14ac:dyDescent="0.25" r="717" customHeight="1" ht="17.25">
      <c r="A717" s="7">
        <v>45892</v>
      </c>
      <c r="B717" s="9" t="s">
        <v>444</v>
      </c>
      <c r="C717" s="3"/>
      <c r="D717" s="6">
        <v>40</v>
      </c>
      <c r="E717" s="6">
        <f>E716+C717-D717</f>
      </c>
      <c r="F717" s="2"/>
    </row>
    <row x14ac:dyDescent="0.25" r="718" customHeight="1" ht="17.25">
      <c r="A718" s="7">
        <v>45892</v>
      </c>
      <c r="B718" s="9" t="s">
        <v>316</v>
      </c>
      <c r="C718" s="3"/>
      <c r="D718" s="6">
        <v>100</v>
      </c>
      <c r="E718" s="6">
        <f>E717+C718-D718</f>
      </c>
      <c r="F718" s="2"/>
    </row>
    <row x14ac:dyDescent="0.25" r="719" customHeight="1" ht="17.25">
      <c r="A719" s="7">
        <v>45892</v>
      </c>
      <c r="B719" s="9" t="s">
        <v>389</v>
      </c>
      <c r="C719" s="3"/>
      <c r="D719" s="6">
        <v>200</v>
      </c>
      <c r="E719" s="6">
        <f>E718+C719-D719</f>
      </c>
      <c r="F719" s="2"/>
    </row>
    <row x14ac:dyDescent="0.25" r="720" customHeight="1" ht="17.25">
      <c r="A720" s="8">
        <v>45892</v>
      </c>
      <c r="B720" s="9" t="s">
        <v>42</v>
      </c>
      <c r="C720" s="6">
        <v>8</v>
      </c>
      <c r="D720" s="4"/>
      <c r="E720" s="6">
        <f>E719+C720-D720</f>
      </c>
      <c r="F720" s="2"/>
    </row>
    <row x14ac:dyDescent="0.25" r="721" customHeight="1" ht="17.25">
      <c r="A721" s="8">
        <v>45894</v>
      </c>
      <c r="B721" s="9" t="s">
        <v>265</v>
      </c>
      <c r="C721" s="3"/>
      <c r="D721" s="6">
        <v>8</v>
      </c>
      <c r="E721" s="6">
        <f>E720+C721-D721</f>
      </c>
      <c r="F721" s="2"/>
    </row>
    <row x14ac:dyDescent="0.25" r="722" customHeight="1" ht="17.25">
      <c r="A722" s="7">
        <v>45894</v>
      </c>
      <c r="B722" s="9" t="s">
        <v>331</v>
      </c>
      <c r="C722" s="3"/>
      <c r="D722" s="6">
        <v>4</v>
      </c>
      <c r="E722" s="6">
        <f>E721+C722-D722</f>
      </c>
      <c r="F722" s="2"/>
    </row>
    <row x14ac:dyDescent="0.25" r="723" customHeight="1" ht="17.25">
      <c r="A723" s="7">
        <v>45894</v>
      </c>
      <c r="B723" s="9" t="s">
        <v>385</v>
      </c>
      <c r="C723" s="6">
        <v>7</v>
      </c>
      <c r="D723" s="4"/>
      <c r="E723" s="6">
        <f>E722+C723-D723</f>
      </c>
      <c r="F723" s="2"/>
    </row>
    <row x14ac:dyDescent="0.25" r="724" customHeight="1" ht="17.25">
      <c r="A724" s="7">
        <v>45894</v>
      </c>
      <c r="B724" s="9" t="s">
        <v>452</v>
      </c>
      <c r="C724" s="6">
        <v>29</v>
      </c>
      <c r="D724" s="4"/>
      <c r="E724" s="44">
        <v>24</v>
      </c>
      <c r="F724" s="2"/>
    </row>
    <row x14ac:dyDescent="0.25" r="725" customHeight="1" ht="17.25">
      <c r="A725" s="8">
        <v>45895</v>
      </c>
      <c r="B725" s="9" t="s">
        <v>418</v>
      </c>
      <c r="C725" s="3"/>
      <c r="D725" s="6">
        <v>30</v>
      </c>
      <c r="E725" s="6">
        <f>E724+C725-D725</f>
      </c>
      <c r="F725" s="2"/>
    </row>
    <row x14ac:dyDescent="0.25" r="726" customHeight="1" ht="17.25">
      <c r="A726" s="7">
        <v>45895</v>
      </c>
      <c r="B726" s="9" t="s">
        <v>63</v>
      </c>
      <c r="C726" s="6">
        <v>100</v>
      </c>
      <c r="D726" s="4"/>
      <c r="E726" s="6">
        <f>E725+C726-D726</f>
      </c>
      <c r="F726" s="2"/>
    </row>
    <row x14ac:dyDescent="0.25" r="727" customHeight="1" ht="17.25">
      <c r="A727" s="8">
        <v>45895</v>
      </c>
      <c r="B727" s="9" t="s">
        <v>418</v>
      </c>
      <c r="C727" s="3"/>
      <c r="D727" s="6">
        <v>10</v>
      </c>
      <c r="E727" s="6">
        <f>E726+C727-D727</f>
      </c>
      <c r="F727" s="2"/>
    </row>
    <row x14ac:dyDescent="0.25" r="728" customHeight="1" ht="17.25">
      <c r="A728" s="8">
        <v>45895</v>
      </c>
      <c r="B728" s="9" t="s">
        <v>418</v>
      </c>
      <c r="C728" s="3"/>
      <c r="D728" s="6">
        <v>40</v>
      </c>
      <c r="E728" s="6">
        <f>E727+C728-D728</f>
      </c>
      <c r="F728" s="2"/>
    </row>
    <row x14ac:dyDescent="0.25" r="729" customHeight="1" ht="17.25">
      <c r="A729" s="7">
        <v>45895</v>
      </c>
      <c r="B729" s="9" t="s">
        <v>26</v>
      </c>
      <c r="C729" s="3"/>
      <c r="D729" s="6">
        <v>50</v>
      </c>
      <c r="E729" s="6">
        <f>E728+C729-D729</f>
      </c>
      <c r="F729" s="2"/>
    </row>
    <row x14ac:dyDescent="0.25" r="730" customHeight="1" ht="17.25">
      <c r="A730" s="8">
        <v>45895</v>
      </c>
      <c r="B730" s="9" t="s">
        <v>272</v>
      </c>
      <c r="C730" s="6">
        <v>19</v>
      </c>
      <c r="D730" s="4"/>
      <c r="E730" s="6">
        <f>E729+C730-D730</f>
      </c>
      <c r="F730" s="2"/>
    </row>
    <row x14ac:dyDescent="0.25" r="731" customHeight="1" ht="17.25">
      <c r="A731" s="7">
        <v>45896</v>
      </c>
      <c r="B731" s="9" t="s">
        <v>63</v>
      </c>
      <c r="C731" s="6">
        <v>100</v>
      </c>
      <c r="D731" s="4"/>
      <c r="E731" s="6">
        <f>E730+C731-D731</f>
      </c>
      <c r="F731" s="2"/>
    </row>
    <row x14ac:dyDescent="0.25" r="732" customHeight="1" ht="17.25">
      <c r="A732" s="7">
        <v>45896</v>
      </c>
      <c r="B732" s="9" t="s">
        <v>391</v>
      </c>
      <c r="C732" s="3"/>
      <c r="D732" s="6">
        <v>45</v>
      </c>
      <c r="E732" s="6">
        <f>E731+C732-D732</f>
      </c>
      <c r="F732" s="2"/>
    </row>
    <row x14ac:dyDescent="0.25" r="733" customHeight="1" ht="17.25">
      <c r="A733" s="7">
        <v>45896</v>
      </c>
      <c r="B733" s="9" t="s">
        <v>391</v>
      </c>
      <c r="C733" s="3"/>
      <c r="D733" s="6">
        <v>55</v>
      </c>
      <c r="E733" s="6">
        <f>E732+C733-D733</f>
      </c>
      <c r="F733" s="2"/>
    </row>
    <row x14ac:dyDescent="0.25" r="734" customHeight="1" ht="17.25">
      <c r="A734" s="7">
        <v>45896</v>
      </c>
      <c r="B734" s="9" t="s">
        <v>316</v>
      </c>
      <c r="C734" s="3"/>
      <c r="D734" s="6">
        <v>10</v>
      </c>
      <c r="E734" s="6">
        <f>E733+C734-D734</f>
      </c>
      <c r="F734" s="2"/>
    </row>
    <row x14ac:dyDescent="0.25" r="735" customHeight="1" ht="17.25">
      <c r="A735" s="7">
        <v>45897</v>
      </c>
      <c r="B735" s="9" t="s">
        <v>89</v>
      </c>
      <c r="C735" s="6">
        <v>25</v>
      </c>
      <c r="D735" s="4"/>
      <c r="E735" s="6">
        <f>E734+C735-D735</f>
      </c>
      <c r="F735" s="2"/>
    </row>
    <row x14ac:dyDescent="0.25" r="736" customHeight="1" ht="17.25">
      <c r="A736" s="7">
        <v>45897</v>
      </c>
      <c r="B736" s="9" t="s">
        <v>376</v>
      </c>
      <c r="C736" s="6">
        <v>61</v>
      </c>
      <c r="D736" s="4"/>
      <c r="E736" s="6">
        <f>E735+C736-D736</f>
      </c>
      <c r="F736" s="2"/>
    </row>
    <row x14ac:dyDescent="0.25" r="737" customHeight="1" ht="17.25">
      <c r="A737" s="7">
        <v>45898</v>
      </c>
      <c r="B737" s="9" t="s">
        <v>63</v>
      </c>
      <c r="C737" s="6">
        <v>190</v>
      </c>
      <c r="D737" s="4"/>
      <c r="E737" s="6">
        <f>E736+C737-D737</f>
      </c>
      <c r="F737" s="2"/>
    </row>
    <row x14ac:dyDescent="0.25" r="738" customHeight="1" ht="17.25">
      <c r="A738" s="7">
        <v>45898</v>
      </c>
      <c r="B738" s="9" t="s">
        <v>316</v>
      </c>
      <c r="C738" s="3"/>
      <c r="D738" s="6">
        <v>40</v>
      </c>
      <c r="E738" s="6">
        <f>E737+C738-D738</f>
      </c>
      <c r="F738" s="2"/>
    </row>
    <row x14ac:dyDescent="0.25" r="739" customHeight="1" ht="17.25">
      <c r="A739" s="7">
        <v>45898</v>
      </c>
      <c r="B739" s="9" t="s">
        <v>26</v>
      </c>
      <c r="C739" s="3"/>
      <c r="D739" s="6">
        <v>100</v>
      </c>
      <c r="E739" s="6">
        <f>E738+C739-D739</f>
      </c>
      <c r="F739" s="2"/>
    </row>
    <row x14ac:dyDescent="0.25" r="740" customHeight="1" ht="17.25">
      <c r="A740" s="8">
        <v>45898</v>
      </c>
      <c r="B740" s="9" t="s">
        <v>299</v>
      </c>
      <c r="C740" s="6">
        <v>4</v>
      </c>
      <c r="D740" s="4"/>
      <c r="E740" s="6">
        <f>E739+C740-D740</f>
      </c>
      <c r="F740" s="2"/>
    </row>
    <row x14ac:dyDescent="0.25" r="741" customHeight="1" ht="17.25">
      <c r="A741" s="8">
        <v>45898</v>
      </c>
      <c r="B741" s="9" t="s">
        <v>228</v>
      </c>
      <c r="C741" s="6">
        <v>77</v>
      </c>
      <c r="D741" s="4"/>
      <c r="E741" s="6">
        <f>E740+C741-D741</f>
      </c>
      <c r="F741" s="2"/>
    </row>
    <row x14ac:dyDescent="0.25" r="742" customHeight="1" ht="17.25">
      <c r="A742" s="8">
        <v>45899</v>
      </c>
      <c r="B742" s="9" t="s">
        <v>297</v>
      </c>
      <c r="C742" s="3"/>
      <c r="D742" s="6">
        <v>60</v>
      </c>
      <c r="E742" s="6">
        <f>E741+C742-D742</f>
      </c>
      <c r="F742" s="2"/>
    </row>
    <row x14ac:dyDescent="0.25" r="743" customHeight="1" ht="17.25">
      <c r="A743" s="8">
        <v>45899</v>
      </c>
      <c r="B743" s="9" t="s">
        <v>264</v>
      </c>
      <c r="C743" s="3"/>
      <c r="D743" s="6">
        <v>32</v>
      </c>
      <c r="E743" s="6">
        <f>E742+C743-D743</f>
      </c>
      <c r="F743" s="2"/>
    </row>
    <row x14ac:dyDescent="0.25" r="744" customHeight="1" ht="17.25">
      <c r="A744" s="7">
        <v>45899</v>
      </c>
      <c r="B744" s="9" t="s">
        <v>46</v>
      </c>
      <c r="C744" s="3"/>
      <c r="D744" s="6">
        <v>200</v>
      </c>
      <c r="E744" s="6">
        <v>0</v>
      </c>
      <c r="F744" s="2"/>
    </row>
    <row x14ac:dyDescent="0.25" r="745" customHeight="1" ht="17.25">
      <c r="A745" s="8">
        <v>45902</v>
      </c>
      <c r="B745" s="9" t="s">
        <v>63</v>
      </c>
      <c r="C745" s="6">
        <v>100</v>
      </c>
      <c r="D745" s="4"/>
      <c r="E745" s="6">
        <f>E744+C745-D745</f>
      </c>
      <c r="F745" s="2"/>
    </row>
    <row x14ac:dyDescent="0.25" r="746" customHeight="1" ht="17.25">
      <c r="A746" s="7">
        <v>45902</v>
      </c>
      <c r="B746" s="9" t="s">
        <v>311</v>
      </c>
      <c r="C746" s="3"/>
      <c r="D746" s="6">
        <v>18</v>
      </c>
      <c r="E746" s="6">
        <f>E745+C746-D746</f>
      </c>
      <c r="F746" s="2"/>
    </row>
    <row x14ac:dyDescent="0.25" r="747" customHeight="1" ht="17.25">
      <c r="A747" s="7">
        <v>45902</v>
      </c>
      <c r="B747" s="9" t="s">
        <v>283</v>
      </c>
      <c r="C747" s="6">
        <v>49</v>
      </c>
      <c r="D747" s="4"/>
      <c r="E747" s="6">
        <f>E746+C747-D747</f>
      </c>
      <c r="F747" s="2"/>
    </row>
    <row x14ac:dyDescent="0.25" r="748" customHeight="1" ht="17.25">
      <c r="A748" s="7">
        <v>45903</v>
      </c>
      <c r="B748" s="9" t="s">
        <v>311</v>
      </c>
      <c r="C748" s="3"/>
      <c r="D748" s="6">
        <v>100</v>
      </c>
      <c r="E748" s="6">
        <f>E747+C748-D748</f>
      </c>
      <c r="F748" s="2"/>
    </row>
    <row x14ac:dyDescent="0.25" r="749" customHeight="1" ht="17.25">
      <c r="A749" s="7">
        <v>45903</v>
      </c>
      <c r="B749" s="9" t="s">
        <v>283</v>
      </c>
      <c r="C749" s="6">
        <v>42</v>
      </c>
      <c r="D749" s="4"/>
      <c r="E749" s="6">
        <f>E748+C749-D749</f>
      </c>
      <c r="F749" s="2"/>
    </row>
    <row x14ac:dyDescent="0.25" r="750" customHeight="1" ht="17.25">
      <c r="A750" s="7">
        <v>45903</v>
      </c>
      <c r="B750" s="9" t="s">
        <v>283</v>
      </c>
      <c r="C750" s="6">
        <v>13</v>
      </c>
      <c r="D750" s="4"/>
      <c r="E750" s="6">
        <f>E749+C750-D750</f>
      </c>
      <c r="F750" s="2"/>
    </row>
    <row x14ac:dyDescent="0.25" r="751" customHeight="1" ht="17.25">
      <c r="A751" s="7">
        <v>45903</v>
      </c>
      <c r="B751" s="9" t="s">
        <v>284</v>
      </c>
      <c r="C751" s="6">
        <v>263</v>
      </c>
      <c r="D751" s="4"/>
      <c r="E751" s="6">
        <f>E750+C751-D751</f>
      </c>
      <c r="F751" s="2"/>
    </row>
    <row x14ac:dyDescent="0.25" r="752" customHeight="1" ht="17.25">
      <c r="A752" s="7">
        <v>45903</v>
      </c>
      <c r="B752" s="9" t="s">
        <v>299</v>
      </c>
      <c r="C752" s="6">
        <v>6</v>
      </c>
      <c r="D752" s="4"/>
      <c r="E752" s="44">
        <f>E751+C752-D752</f>
      </c>
      <c r="F752" s="2"/>
    </row>
    <row x14ac:dyDescent="0.25" r="753" customHeight="1" ht="17.25">
      <c r="A753" s="7">
        <v>45904</v>
      </c>
      <c r="B753" s="9" t="s">
        <v>316</v>
      </c>
      <c r="C753" s="3"/>
      <c r="D753" s="45">
        <v>160</v>
      </c>
      <c r="E753" s="6">
        <f>E752+C753-D753</f>
      </c>
      <c r="F753" s="2"/>
    </row>
    <row x14ac:dyDescent="0.25" r="754" customHeight="1" ht="17.25">
      <c r="A754" s="7">
        <v>45904</v>
      </c>
      <c r="B754" s="9" t="s">
        <v>454</v>
      </c>
      <c r="C754" s="3"/>
      <c r="D754" s="6">
        <v>1</v>
      </c>
      <c r="E754" s="6">
        <f>E753+C754-D754</f>
      </c>
      <c r="F754" s="2"/>
    </row>
    <row x14ac:dyDescent="0.25" r="755" customHeight="1" ht="17.25">
      <c r="A755" s="7">
        <v>45904</v>
      </c>
      <c r="B755" s="9" t="s">
        <v>283</v>
      </c>
      <c r="C755" s="6">
        <v>13</v>
      </c>
      <c r="D755" s="4"/>
      <c r="E755" s="6">
        <f>E754+C755-D755</f>
      </c>
      <c r="F755" s="2"/>
    </row>
    <row x14ac:dyDescent="0.25" r="756" customHeight="1" ht="17.25">
      <c r="A756" s="7">
        <v>45904</v>
      </c>
      <c r="B756" s="9" t="s">
        <v>283</v>
      </c>
      <c r="C756" s="6">
        <v>30</v>
      </c>
      <c r="D756" s="4"/>
      <c r="E756" s="6">
        <f>E755+C756-D756</f>
      </c>
      <c r="F756" s="2"/>
    </row>
    <row x14ac:dyDescent="0.25" r="757" customHeight="1" ht="17.25">
      <c r="A757" s="7">
        <v>45904</v>
      </c>
      <c r="B757" s="9" t="s">
        <v>89</v>
      </c>
      <c r="C757" s="6">
        <v>6</v>
      </c>
      <c r="D757" s="4"/>
      <c r="E757" s="6">
        <f>E756+C757-D757</f>
      </c>
      <c r="F757" s="2"/>
    </row>
    <row x14ac:dyDescent="0.25" r="758" customHeight="1" ht="17.25">
      <c r="A758" s="7">
        <v>45904</v>
      </c>
      <c r="B758" s="9" t="s">
        <v>228</v>
      </c>
      <c r="C758" s="6">
        <v>57</v>
      </c>
      <c r="D758" s="4"/>
      <c r="E758" s="6">
        <f>E757+C758-D758</f>
      </c>
      <c r="F758" s="2"/>
    </row>
    <row x14ac:dyDescent="0.25" r="759" customHeight="1" ht="17.25">
      <c r="A759" s="8">
        <v>45904</v>
      </c>
      <c r="B759" s="9" t="s">
        <v>182</v>
      </c>
      <c r="C759" s="6">
        <v>33</v>
      </c>
      <c r="D759" s="4"/>
      <c r="E759" s="6">
        <f>E758+C759-D759</f>
      </c>
      <c r="F759" s="2"/>
    </row>
    <row x14ac:dyDescent="0.25" r="760" customHeight="1" ht="17.25">
      <c r="A760" s="7">
        <v>45905</v>
      </c>
      <c r="B760" s="9" t="s">
        <v>316</v>
      </c>
      <c r="C760" s="3"/>
      <c r="D760" s="6">
        <v>120</v>
      </c>
      <c r="E760" s="6">
        <f>E759+C760-D760</f>
      </c>
      <c r="F760" s="2"/>
    </row>
    <row x14ac:dyDescent="0.25" r="761" customHeight="1" ht="17.25">
      <c r="A761" s="7">
        <v>45906</v>
      </c>
      <c r="B761" s="9" t="s">
        <v>311</v>
      </c>
      <c r="C761" s="3"/>
      <c r="D761" s="6">
        <v>125</v>
      </c>
      <c r="E761" s="6">
        <f>E760+C761-D761</f>
      </c>
      <c r="F761" s="2"/>
    </row>
    <row x14ac:dyDescent="0.25" r="762" customHeight="1" ht="17.25">
      <c r="A762" s="7">
        <v>45906</v>
      </c>
      <c r="B762" s="9" t="s">
        <v>284</v>
      </c>
      <c r="C762" s="6">
        <v>114</v>
      </c>
      <c r="D762" s="4"/>
      <c r="E762" s="6">
        <f>E761+C762-D762</f>
      </c>
      <c r="F762" s="2"/>
    </row>
    <row x14ac:dyDescent="0.25" r="763" customHeight="1" ht="17.25">
      <c r="A763" s="8">
        <v>45906</v>
      </c>
      <c r="B763" s="9" t="s">
        <v>283</v>
      </c>
      <c r="C763" s="6">
        <v>32</v>
      </c>
      <c r="D763" s="4"/>
      <c r="E763" s="6">
        <f>E762+C763-D763</f>
      </c>
      <c r="F763" s="2"/>
    </row>
    <row x14ac:dyDescent="0.25" r="764" customHeight="1" ht="17.25">
      <c r="A764" s="7">
        <v>45907</v>
      </c>
      <c r="B764" s="9" t="s">
        <v>316</v>
      </c>
      <c r="C764" s="3"/>
      <c r="D764" s="6">
        <v>100</v>
      </c>
      <c r="E764" s="6">
        <f>E763+C764-D764</f>
      </c>
      <c r="F764" s="2"/>
    </row>
    <row x14ac:dyDescent="0.25" r="765" customHeight="1" ht="17.25">
      <c r="A765" s="7">
        <v>45908</v>
      </c>
      <c r="B765" s="9" t="s">
        <v>311</v>
      </c>
      <c r="C765" s="3"/>
      <c r="D765" s="6">
        <v>57</v>
      </c>
      <c r="E765" s="6">
        <f>E764+C765-D765</f>
      </c>
      <c r="F765" s="2"/>
    </row>
    <row x14ac:dyDescent="0.25" r="766" customHeight="1" ht="17.25">
      <c r="A766" s="8">
        <v>45908</v>
      </c>
      <c r="B766" s="9" t="s">
        <v>283</v>
      </c>
      <c r="C766" s="6">
        <v>16</v>
      </c>
      <c r="D766" s="4"/>
      <c r="E766" s="6">
        <f>E765+C766-D766</f>
      </c>
      <c r="F766" s="2"/>
    </row>
    <row x14ac:dyDescent="0.25" r="767" customHeight="1" ht="17.25">
      <c r="A767" s="7">
        <v>45909</v>
      </c>
      <c r="B767" s="9" t="s">
        <v>271</v>
      </c>
      <c r="C767" s="6">
        <v>20</v>
      </c>
      <c r="D767" s="4"/>
      <c r="E767" s="6">
        <f>E766+C767-D767</f>
      </c>
      <c r="F767" s="2"/>
    </row>
    <row x14ac:dyDescent="0.25" r="768" customHeight="1" ht="17.25">
      <c r="A768" s="7">
        <v>45909</v>
      </c>
      <c r="B768" s="9" t="s">
        <v>376</v>
      </c>
      <c r="C768" s="6">
        <v>40</v>
      </c>
      <c r="D768" s="4"/>
      <c r="E768" s="6">
        <f>E767+C768-D768</f>
      </c>
      <c r="F768" s="2"/>
    </row>
    <row x14ac:dyDescent="0.25" r="769" customHeight="1" ht="17.25">
      <c r="A769" s="7">
        <v>45909</v>
      </c>
      <c r="B769" s="9" t="s">
        <v>316</v>
      </c>
      <c r="C769" s="3"/>
      <c r="D769" s="6">
        <v>160</v>
      </c>
      <c r="E769" s="6">
        <f>E768+C769-D769</f>
      </c>
      <c r="F769" s="2"/>
    </row>
    <row x14ac:dyDescent="0.25" r="770" customHeight="1" ht="17.25">
      <c r="A770" s="8">
        <v>45910</v>
      </c>
      <c r="B770" s="9" t="s">
        <v>309</v>
      </c>
      <c r="C770" s="3"/>
      <c r="D770" s="6">
        <v>6</v>
      </c>
      <c r="E770" s="6">
        <f>E769+C770-D770</f>
      </c>
      <c r="F770" s="2"/>
    </row>
    <row x14ac:dyDescent="0.25" r="771" customHeight="1" ht="17.25">
      <c r="A771" s="8">
        <v>45910</v>
      </c>
      <c r="B771" s="9" t="s">
        <v>332</v>
      </c>
      <c r="C771" s="3"/>
      <c r="D771" s="6">
        <v>30</v>
      </c>
      <c r="E771" s="6">
        <f>E770+C771-D771</f>
      </c>
      <c r="F771" s="2"/>
    </row>
    <row x14ac:dyDescent="0.25" r="772" customHeight="1" ht="17.25">
      <c r="A772" s="8">
        <v>45910</v>
      </c>
      <c r="B772" s="9" t="s">
        <v>310</v>
      </c>
      <c r="C772" s="3"/>
      <c r="D772" s="6">
        <v>20</v>
      </c>
      <c r="E772" s="6">
        <v>0</v>
      </c>
      <c r="F772" s="2"/>
    </row>
    <row x14ac:dyDescent="0.25" r="773" customHeight="1" ht="17.25">
      <c r="A773" s="7">
        <v>45911</v>
      </c>
      <c r="B773" s="2" t="s">
        <v>389</v>
      </c>
      <c r="C773" s="6">
        <v>74</v>
      </c>
      <c r="D773" s="4"/>
      <c r="E773" s="6">
        <f>E772+C773-D773</f>
      </c>
      <c r="F773" s="2"/>
    </row>
    <row x14ac:dyDescent="0.25" r="774" customHeight="1" ht="17.25">
      <c r="A774" s="8">
        <v>45911</v>
      </c>
      <c r="B774" s="9" t="s">
        <v>284</v>
      </c>
      <c r="C774" s="6">
        <v>11</v>
      </c>
      <c r="D774" s="4"/>
      <c r="E774" s="6">
        <f>E773+C774-D774</f>
      </c>
      <c r="F774" s="2"/>
    </row>
    <row x14ac:dyDescent="0.25" r="775" customHeight="1" ht="17.25">
      <c r="A775" s="7">
        <v>45911</v>
      </c>
      <c r="B775" s="9" t="s">
        <v>310</v>
      </c>
      <c r="C775" s="3"/>
      <c r="D775" s="6">
        <v>20</v>
      </c>
      <c r="E775" s="6">
        <f>E774+C775-D775</f>
      </c>
      <c r="F775" s="2"/>
    </row>
    <row x14ac:dyDescent="0.25" r="776" customHeight="1" ht="17.25">
      <c r="A776" s="7">
        <v>45911</v>
      </c>
      <c r="B776" s="9" t="s">
        <v>346</v>
      </c>
      <c r="C776" s="3"/>
      <c r="D776" s="6">
        <v>15</v>
      </c>
      <c r="E776" s="6">
        <f>E775+C776-D776</f>
      </c>
      <c r="F776" s="2"/>
    </row>
    <row x14ac:dyDescent="0.25" r="777" customHeight="1" ht="17.25">
      <c r="A777" s="8">
        <v>45912</v>
      </c>
      <c r="B777" s="9" t="s">
        <v>233</v>
      </c>
      <c r="C777" s="3"/>
      <c r="D777" s="6">
        <v>25</v>
      </c>
      <c r="E777" s="6">
        <f>E776+C777-D777</f>
      </c>
      <c r="F777" s="2"/>
    </row>
    <row x14ac:dyDescent="0.25" r="778" customHeight="1" ht="17.25">
      <c r="A778" s="8">
        <v>45912</v>
      </c>
      <c r="B778" s="9" t="s">
        <v>427</v>
      </c>
      <c r="C778" s="3"/>
      <c r="D778" s="6">
        <v>60</v>
      </c>
      <c r="E778" s="6">
        <f>E777+C778-D778</f>
      </c>
      <c r="F778" s="2"/>
    </row>
    <row x14ac:dyDescent="0.25" r="779" customHeight="1" ht="17.25">
      <c r="A779" s="8">
        <v>45912</v>
      </c>
      <c r="B779" s="9" t="s">
        <v>89</v>
      </c>
      <c r="C779" s="6">
        <v>7</v>
      </c>
      <c r="D779" s="4"/>
      <c r="E779" s="6">
        <f>E778+C779-D779</f>
      </c>
      <c r="F779" s="2"/>
    </row>
    <row x14ac:dyDescent="0.25" r="780" customHeight="1" ht="17.25">
      <c r="A780" s="7">
        <v>45913</v>
      </c>
      <c r="B780" s="9" t="s">
        <v>289</v>
      </c>
      <c r="C780" s="3"/>
      <c r="D780" s="6">
        <v>14</v>
      </c>
      <c r="E780" s="6">
        <f>E779+C780-D780</f>
      </c>
      <c r="F780" s="2"/>
    </row>
    <row x14ac:dyDescent="0.25" r="781" customHeight="1" ht="17.25">
      <c r="A781" s="1"/>
      <c r="B781" s="9" t="s">
        <v>455</v>
      </c>
      <c r="C781" s="3"/>
      <c r="D781" s="4"/>
      <c r="E781" s="6">
        <v>6</v>
      </c>
      <c r="F781" s="2"/>
    </row>
    <row x14ac:dyDescent="0.25" r="782" customHeight="1" ht="17.25">
      <c r="A782" s="7">
        <v>45915</v>
      </c>
      <c r="B782" s="9" t="s">
        <v>182</v>
      </c>
      <c r="C782" s="6">
        <v>76</v>
      </c>
      <c r="D782" s="4"/>
      <c r="E782" s="6">
        <f>E781+C782-D782</f>
      </c>
      <c r="F782" s="2"/>
    </row>
    <row x14ac:dyDescent="0.25" r="783" customHeight="1" ht="17.25">
      <c r="A783" s="7">
        <v>45915</v>
      </c>
      <c r="B783" s="9" t="s">
        <v>297</v>
      </c>
      <c r="C783" s="3"/>
      <c r="D783" s="6">
        <v>40</v>
      </c>
      <c r="E783" s="6">
        <f>E782+C783-D783</f>
      </c>
      <c r="F783" s="2"/>
    </row>
    <row x14ac:dyDescent="0.25" r="784" customHeight="1" ht="17.25">
      <c r="A784" s="8">
        <v>45915</v>
      </c>
      <c r="B784" s="9" t="s">
        <v>365</v>
      </c>
      <c r="C784" s="6">
        <v>2</v>
      </c>
      <c r="D784" s="4"/>
      <c r="E784" s="6">
        <f>E783+C784-D784</f>
      </c>
      <c r="F784" s="2"/>
    </row>
    <row x14ac:dyDescent="0.25" r="785" customHeight="1" ht="17.25">
      <c r="A785" s="8">
        <v>45916</v>
      </c>
      <c r="B785" s="9" t="s">
        <v>228</v>
      </c>
      <c r="C785" s="6">
        <v>68</v>
      </c>
      <c r="D785" s="4"/>
      <c r="E785" s="6">
        <f>E784+C785-D785</f>
      </c>
      <c r="F785" s="2"/>
    </row>
    <row x14ac:dyDescent="0.25" r="786" customHeight="1" ht="17.25">
      <c r="A786" s="7">
        <v>45916</v>
      </c>
      <c r="B786" s="9" t="s">
        <v>208</v>
      </c>
      <c r="C786" s="6">
        <v>100</v>
      </c>
      <c r="D786" s="4"/>
      <c r="E786" s="6">
        <f>E785+C786-D786</f>
      </c>
      <c r="F786" s="2"/>
    </row>
    <row x14ac:dyDescent="0.25" r="787" customHeight="1" ht="17.25">
      <c r="A787" s="7">
        <v>45916</v>
      </c>
      <c r="B787" s="9" t="s">
        <v>233</v>
      </c>
      <c r="C787" s="3"/>
      <c r="D787" s="6">
        <v>29</v>
      </c>
      <c r="E787" s="6">
        <f>E786+C787-D787</f>
      </c>
      <c r="F787" s="2"/>
    </row>
    <row x14ac:dyDescent="0.25" r="788" customHeight="1" ht="17.25">
      <c r="A788" s="7">
        <v>45917</v>
      </c>
      <c r="B788" s="9" t="s">
        <v>63</v>
      </c>
      <c r="C788" s="6">
        <v>40</v>
      </c>
      <c r="D788" s="4"/>
      <c r="E788" s="6">
        <f>E787+C788-D788</f>
      </c>
      <c r="F788" s="2"/>
    </row>
    <row x14ac:dyDescent="0.25" r="789" customHeight="1" ht="17.25">
      <c r="A789" s="7">
        <v>45917</v>
      </c>
      <c r="B789" s="9" t="s">
        <v>316</v>
      </c>
      <c r="C789" s="3"/>
      <c r="D789" s="6">
        <v>100</v>
      </c>
      <c r="E789" s="6">
        <f>E788+C789-D789</f>
      </c>
      <c r="F789" s="2"/>
    </row>
    <row x14ac:dyDescent="0.25" r="790" customHeight="1" ht="17.25">
      <c r="A790" s="7">
        <v>45917</v>
      </c>
      <c r="B790" s="9" t="s">
        <v>141</v>
      </c>
      <c r="C790" s="6">
        <v>1</v>
      </c>
      <c r="D790" s="4"/>
      <c r="E790" s="6">
        <f>E789+C790-D790</f>
      </c>
      <c r="F790" s="2"/>
    </row>
    <row x14ac:dyDescent="0.25" r="791" customHeight="1" ht="17.25">
      <c r="A791" s="7">
        <v>45917</v>
      </c>
      <c r="B791" s="9" t="s">
        <v>35</v>
      </c>
      <c r="C791" s="6">
        <v>34</v>
      </c>
      <c r="D791" s="4"/>
      <c r="E791" s="6">
        <f>E790+C791-D791</f>
      </c>
      <c r="F791" s="2"/>
    </row>
    <row x14ac:dyDescent="0.25" r="792" customHeight="1" ht="17.25">
      <c r="A792" s="7">
        <v>45918</v>
      </c>
      <c r="B792" s="9" t="s">
        <v>63</v>
      </c>
      <c r="C792" s="6">
        <v>100</v>
      </c>
      <c r="D792" s="4"/>
      <c r="E792" s="6">
        <f>E791+C792-D792</f>
      </c>
      <c r="F792" s="2"/>
    </row>
    <row x14ac:dyDescent="0.25" r="793" customHeight="1" ht="17.25">
      <c r="A793" s="7">
        <v>45918</v>
      </c>
      <c r="B793" s="9" t="s">
        <v>311</v>
      </c>
      <c r="C793" s="3"/>
      <c r="D793" s="6">
        <v>70</v>
      </c>
      <c r="E793" s="6">
        <f>E792+C793-D793</f>
      </c>
      <c r="F793" s="2"/>
    </row>
    <row x14ac:dyDescent="0.25" r="794" customHeight="1" ht="17.25">
      <c r="A794" s="7">
        <v>45918</v>
      </c>
      <c r="B794" s="9" t="s">
        <v>289</v>
      </c>
      <c r="C794" s="3"/>
      <c r="D794" s="6">
        <v>100</v>
      </c>
      <c r="E794" s="6">
        <f>E793+C794-D794</f>
      </c>
      <c r="F794" s="2"/>
    </row>
    <row x14ac:dyDescent="0.25" r="795" customHeight="1" ht="17.25">
      <c r="A795" s="7">
        <v>45918</v>
      </c>
      <c r="B795" s="9" t="s">
        <v>333</v>
      </c>
      <c r="C795" s="3"/>
      <c r="D795" s="6">
        <v>16</v>
      </c>
      <c r="E795" s="6">
        <f>E794+C795-D795</f>
      </c>
      <c r="F795" s="2"/>
    </row>
    <row x14ac:dyDescent="0.25" r="796" customHeight="1" ht="17.25">
      <c r="A796" s="8">
        <v>45918</v>
      </c>
      <c r="B796" s="9" t="s">
        <v>411</v>
      </c>
      <c r="C796" s="6">
        <v>5</v>
      </c>
      <c r="D796" s="4"/>
      <c r="E796" s="6">
        <f>E795+C796-D796</f>
      </c>
      <c r="F796" s="2"/>
    </row>
    <row x14ac:dyDescent="0.25" r="797" customHeight="1" ht="17.25">
      <c r="A797" s="7">
        <v>45918</v>
      </c>
      <c r="B797" s="9" t="s">
        <v>389</v>
      </c>
      <c r="C797" s="6">
        <v>98</v>
      </c>
      <c r="D797" s="4"/>
      <c r="E797" s="44">
        <f>E796+C797-D797</f>
      </c>
      <c r="F797" s="2"/>
    </row>
    <row x14ac:dyDescent="0.25" r="798" customHeight="1" ht="17.25">
      <c r="A798" s="7">
        <v>45919</v>
      </c>
      <c r="B798" s="9" t="s">
        <v>311</v>
      </c>
      <c r="C798" s="3"/>
      <c r="D798" s="6">
        <v>101</v>
      </c>
      <c r="E798" s="6">
        <f>E797+C798-D798</f>
      </c>
      <c r="F798" s="2"/>
    </row>
    <row x14ac:dyDescent="0.25" r="799" customHeight="1" ht="17.25">
      <c r="A799" s="7">
        <v>45919</v>
      </c>
      <c r="B799" s="9" t="s">
        <v>389</v>
      </c>
      <c r="C799" s="6">
        <v>104</v>
      </c>
      <c r="D799" s="4"/>
      <c r="E799" s="6">
        <f>E798+C799-D799</f>
      </c>
      <c r="F799" s="2"/>
    </row>
    <row x14ac:dyDescent="0.25" r="800" customHeight="1" ht="17.25">
      <c r="A800" s="7">
        <v>45919</v>
      </c>
      <c r="B800" s="9" t="s">
        <v>389</v>
      </c>
      <c r="C800" s="6">
        <v>41</v>
      </c>
      <c r="D800" s="4"/>
      <c r="E800" s="6">
        <f>E799+C800-D800</f>
      </c>
      <c r="F800" s="2"/>
    </row>
    <row x14ac:dyDescent="0.25" r="801" customHeight="1" ht="17.25">
      <c r="A801" s="7">
        <v>45919</v>
      </c>
      <c r="B801" s="9" t="s">
        <v>376</v>
      </c>
      <c r="C801" s="6">
        <v>6</v>
      </c>
      <c r="D801" s="4"/>
      <c r="E801" s="6">
        <f>E800+C801-D801</f>
      </c>
      <c r="F801" s="2"/>
    </row>
    <row x14ac:dyDescent="0.25" r="802" customHeight="1" ht="17.25">
      <c r="A802" s="7">
        <v>45920</v>
      </c>
      <c r="B802" s="9" t="s">
        <v>311</v>
      </c>
      <c r="C802" s="3"/>
      <c r="D802" s="6">
        <v>160</v>
      </c>
      <c r="E802" s="6">
        <f>E801+C802-D802</f>
      </c>
      <c r="F802" s="2"/>
    </row>
    <row x14ac:dyDescent="0.25" r="803" customHeight="1" ht="17.25">
      <c r="A803" s="7">
        <v>45922</v>
      </c>
      <c r="B803" s="9" t="s">
        <v>310</v>
      </c>
      <c r="C803" s="3"/>
      <c r="D803" s="6">
        <v>20</v>
      </c>
      <c r="E803" s="6">
        <f>E802+C803-D803</f>
      </c>
      <c r="F803" s="2"/>
    </row>
    <row x14ac:dyDescent="0.25" r="804" customHeight="1" ht="17.25">
      <c r="A804" s="7">
        <v>45922</v>
      </c>
      <c r="B804" s="9" t="s">
        <v>389</v>
      </c>
      <c r="C804" s="6">
        <v>96</v>
      </c>
      <c r="D804" s="4"/>
      <c r="E804" s="6">
        <f>E803+C804-D804</f>
      </c>
      <c r="F804" s="2"/>
    </row>
    <row x14ac:dyDescent="0.25" r="805" customHeight="1" ht="17.25">
      <c r="A805" s="7">
        <v>45922</v>
      </c>
      <c r="B805" s="9" t="s">
        <v>266</v>
      </c>
      <c r="C805" s="3"/>
      <c r="D805" s="6">
        <v>10</v>
      </c>
      <c r="E805" s="6">
        <f>E804+C805-D805</f>
      </c>
      <c r="F805" s="2"/>
    </row>
    <row x14ac:dyDescent="0.25" r="806" customHeight="1" ht="17.25">
      <c r="A806" s="7">
        <v>45923</v>
      </c>
      <c r="B806" s="9" t="s">
        <v>284</v>
      </c>
      <c r="C806" s="6">
        <v>246</v>
      </c>
      <c r="D806" s="4"/>
      <c r="E806" s="6">
        <f>E805+C806-D806</f>
      </c>
      <c r="F806" s="2"/>
    </row>
    <row x14ac:dyDescent="0.25" r="807" customHeight="1" ht="17.25">
      <c r="A807" s="7">
        <v>45922</v>
      </c>
      <c r="B807" s="9" t="s">
        <v>35</v>
      </c>
      <c r="C807" s="6">
        <v>22</v>
      </c>
      <c r="D807" s="4"/>
      <c r="E807" s="6">
        <f>E806+C807-D807</f>
      </c>
      <c r="F807" s="2"/>
    </row>
    <row x14ac:dyDescent="0.25" r="808" customHeight="1" ht="17.25">
      <c r="A808" s="7">
        <v>45923</v>
      </c>
      <c r="B808" s="9" t="s">
        <v>343</v>
      </c>
      <c r="C808" s="6">
        <v>17</v>
      </c>
      <c r="D808" s="4"/>
      <c r="E808" s="6">
        <f>E807+C808-D808</f>
      </c>
      <c r="F808" s="2"/>
    </row>
    <row x14ac:dyDescent="0.25" r="809" customHeight="1" ht="17.25">
      <c r="A809" s="7">
        <v>45923</v>
      </c>
      <c r="B809" s="9" t="s">
        <v>389</v>
      </c>
      <c r="C809" s="6">
        <v>96</v>
      </c>
      <c r="D809" s="4"/>
      <c r="E809" s="44">
        <f>E808+C809-D809</f>
      </c>
      <c r="F809" s="2"/>
    </row>
    <row x14ac:dyDescent="0.25" r="810" customHeight="1" ht="17.25">
      <c r="A810" s="8">
        <v>45924</v>
      </c>
      <c r="B810" s="9" t="s">
        <v>42</v>
      </c>
      <c r="C810" s="6">
        <v>7</v>
      </c>
      <c r="D810" s="4"/>
      <c r="E810" s="6">
        <f>E809+C810-D810</f>
      </c>
      <c r="F810" s="2"/>
    </row>
    <row x14ac:dyDescent="0.25" r="811" customHeight="1" ht="17.25">
      <c r="A811" s="8">
        <v>45925</v>
      </c>
      <c r="B811" s="9" t="s">
        <v>46</v>
      </c>
      <c r="C811" s="3"/>
      <c r="D811" s="6">
        <v>100</v>
      </c>
      <c r="E811" s="6">
        <f>E810+C811-D811</f>
      </c>
      <c r="F811" s="2"/>
    </row>
    <row x14ac:dyDescent="0.25" r="812" customHeight="1" ht="17.25">
      <c r="A812" s="8">
        <v>45925</v>
      </c>
      <c r="B812" s="9" t="s">
        <v>311</v>
      </c>
      <c r="C812" s="3"/>
      <c r="D812" s="6">
        <v>20</v>
      </c>
      <c r="E812" s="6">
        <f>E811+C812-D812</f>
      </c>
      <c r="F812" s="2"/>
    </row>
    <row x14ac:dyDescent="0.25" r="813" customHeight="1" ht="17.25">
      <c r="A813" s="8">
        <v>45925</v>
      </c>
      <c r="B813" s="9" t="s">
        <v>233</v>
      </c>
      <c r="C813" s="3"/>
      <c r="D813" s="6">
        <v>40</v>
      </c>
      <c r="E813" s="6">
        <f>E812+C813-D813</f>
      </c>
      <c r="F813" s="2"/>
    </row>
    <row x14ac:dyDescent="0.25" r="814" customHeight="1" ht="17.25">
      <c r="A814" s="7">
        <v>45926</v>
      </c>
      <c r="B814" s="9" t="s">
        <v>333</v>
      </c>
      <c r="C814" s="3"/>
      <c r="D814" s="6">
        <v>34</v>
      </c>
      <c r="E814" s="6">
        <f>E813+C814-D814</f>
      </c>
      <c r="F814" s="2"/>
    </row>
    <row x14ac:dyDescent="0.25" r="815" customHeight="1" ht="17.25">
      <c r="A815" s="7">
        <v>45927</v>
      </c>
      <c r="B815" s="9" t="s">
        <v>345</v>
      </c>
      <c r="C815" s="6">
        <v>40</v>
      </c>
      <c r="D815" s="4"/>
      <c r="E815" s="6">
        <f>E814+C815-D815</f>
      </c>
      <c r="F815" s="2"/>
    </row>
    <row x14ac:dyDescent="0.25" r="816" customHeight="1" ht="17.25">
      <c r="A816" s="7">
        <v>45927</v>
      </c>
      <c r="B816" s="9" t="s">
        <v>343</v>
      </c>
      <c r="C816" s="6">
        <v>21</v>
      </c>
      <c r="D816" s="4"/>
      <c r="E816" s="6">
        <f>E815+C816-D816</f>
      </c>
      <c r="F816" s="2"/>
    </row>
    <row x14ac:dyDescent="0.25" r="817" customHeight="1" ht="17.25">
      <c r="A817" s="7">
        <v>45929</v>
      </c>
      <c r="B817" s="9" t="s">
        <v>316</v>
      </c>
      <c r="C817" s="3"/>
      <c r="D817" s="6">
        <v>60</v>
      </c>
      <c r="E817" s="6">
        <f>E816+C817-D817</f>
      </c>
      <c r="F817" s="2"/>
    </row>
    <row x14ac:dyDescent="0.25" r="818" customHeight="1" ht="17.25">
      <c r="A818" s="7">
        <v>45929</v>
      </c>
      <c r="B818" s="9" t="s">
        <v>316</v>
      </c>
      <c r="C818" s="3"/>
      <c r="D818" s="6">
        <v>140</v>
      </c>
      <c r="E818" s="6">
        <f>E817+C818-D818</f>
      </c>
      <c r="F818" s="2"/>
    </row>
    <row x14ac:dyDescent="0.25" r="819" customHeight="1" ht="17.25">
      <c r="A819" s="7">
        <v>45929</v>
      </c>
      <c r="B819" s="9" t="s">
        <v>208</v>
      </c>
      <c r="C819" s="3"/>
      <c r="D819" s="6">
        <v>20</v>
      </c>
      <c r="E819" s="6">
        <f>E818+C819-D819</f>
      </c>
      <c r="F819" s="2"/>
    </row>
    <row x14ac:dyDescent="0.25" r="820" customHeight="1" ht="17.25">
      <c r="A820" s="7">
        <v>45930</v>
      </c>
      <c r="B820" s="9" t="s">
        <v>385</v>
      </c>
      <c r="C820" s="3"/>
      <c r="D820" s="6">
        <v>50</v>
      </c>
      <c r="E820" s="6">
        <f>E819+C820-D820</f>
      </c>
      <c r="F820" s="2"/>
    </row>
    <row x14ac:dyDescent="0.25" r="821" customHeight="1" ht="17.25">
      <c r="A821" s="7">
        <v>45930</v>
      </c>
      <c r="B821" s="9" t="s">
        <v>311</v>
      </c>
      <c r="C821" s="3"/>
      <c r="D821" s="6">
        <v>166</v>
      </c>
      <c r="E821" s="6">
        <f>E820+C821-D821</f>
      </c>
      <c r="F821" s="2"/>
    </row>
    <row x14ac:dyDescent="0.25" r="822" customHeight="1" ht="17.25">
      <c r="A822" s="7">
        <v>45930</v>
      </c>
      <c r="B822" s="9" t="s">
        <v>444</v>
      </c>
      <c r="C822" s="6">
        <v>35</v>
      </c>
      <c r="D822" s="4"/>
      <c r="E822" s="6">
        <f>E821+C822-D822</f>
      </c>
      <c r="F822" s="2"/>
    </row>
    <row x14ac:dyDescent="0.25" r="823" customHeight="1" ht="17.25">
      <c r="A823" s="7">
        <v>45930</v>
      </c>
      <c r="B823" s="9" t="s">
        <v>100</v>
      </c>
      <c r="C823" s="6">
        <v>24</v>
      </c>
      <c r="D823" s="4"/>
      <c r="E823" s="6">
        <f>E822+C823-D823</f>
      </c>
      <c r="F823" s="2"/>
    </row>
    <row x14ac:dyDescent="0.25" r="824" customHeight="1" ht="17.25">
      <c r="A824" s="7">
        <v>45930</v>
      </c>
      <c r="B824" s="9" t="s">
        <v>376</v>
      </c>
      <c r="C824" s="6">
        <v>8</v>
      </c>
      <c r="D824" s="4"/>
      <c r="E824" s="6">
        <f>E823+C824-D824</f>
      </c>
      <c r="F824" s="2"/>
    </row>
    <row x14ac:dyDescent="0.25" r="825" customHeight="1" ht="17.25">
      <c r="A825" s="7">
        <v>45930</v>
      </c>
      <c r="B825" s="9" t="s">
        <v>228</v>
      </c>
      <c r="C825" s="6">
        <v>80</v>
      </c>
      <c r="D825" s="4"/>
      <c r="E825" s="44">
        <f>E824+C825-D825</f>
      </c>
      <c r="F825" s="2"/>
    </row>
    <row x14ac:dyDescent="0.25" r="826" customHeight="1" ht="17.25">
      <c r="A826" s="7">
        <v>45931</v>
      </c>
      <c r="B826" s="9" t="s">
        <v>228</v>
      </c>
      <c r="C826" s="6">
        <v>61</v>
      </c>
      <c r="D826" s="4"/>
      <c r="E826" s="6">
        <f>E825+C826-D826</f>
      </c>
      <c r="F826" s="2"/>
    </row>
    <row x14ac:dyDescent="0.25" r="827" customHeight="1" ht="17.25">
      <c r="A827" s="7">
        <v>45932</v>
      </c>
      <c r="B827" s="9" t="s">
        <v>316</v>
      </c>
      <c r="C827" s="3"/>
      <c r="D827" s="6">
        <v>150</v>
      </c>
      <c r="E827" s="6">
        <f>E826+C827-D827</f>
      </c>
      <c r="F827" s="2"/>
    </row>
    <row x14ac:dyDescent="0.25" r="828" customHeight="1" ht="17.25">
      <c r="A828" s="7">
        <v>45932</v>
      </c>
      <c r="B828" s="9" t="s">
        <v>456</v>
      </c>
      <c r="C828" s="3"/>
      <c r="D828" s="6">
        <v>8</v>
      </c>
      <c r="E828" s="6">
        <f>E827+C828-D828</f>
      </c>
      <c r="F828" s="2"/>
    </row>
    <row x14ac:dyDescent="0.25" r="829" customHeight="1" ht="17.25">
      <c r="A829" s="8">
        <v>45932</v>
      </c>
      <c r="B829" s="9" t="s">
        <v>264</v>
      </c>
      <c r="C829" s="6">
        <v>23</v>
      </c>
      <c r="D829" s="4"/>
      <c r="E829" s="6">
        <f>E828+C829-D829</f>
      </c>
      <c r="F829" s="2"/>
    </row>
    <row x14ac:dyDescent="0.25" r="830" customHeight="1" ht="17.25">
      <c r="A830" s="8">
        <v>45932</v>
      </c>
      <c r="B830" s="9" t="s">
        <v>184</v>
      </c>
      <c r="C830" s="6">
        <v>30</v>
      </c>
      <c r="D830" s="4"/>
      <c r="E830" s="6">
        <f>E829+C830-D830</f>
      </c>
      <c r="F830" s="2"/>
    </row>
    <row x14ac:dyDescent="0.25" r="831" customHeight="1" ht="17.25">
      <c r="A831" s="7">
        <v>45932</v>
      </c>
      <c r="B831" s="9" t="s">
        <v>3</v>
      </c>
      <c r="C831" s="6">
        <v>36</v>
      </c>
      <c r="D831" s="4"/>
      <c r="E831" s="6">
        <f>E830+C831-D831</f>
      </c>
      <c r="F831" s="2"/>
    </row>
    <row x14ac:dyDescent="0.25" r="832" customHeight="1" ht="17.25">
      <c r="A832" s="7">
        <v>45932</v>
      </c>
      <c r="B832" s="9" t="s">
        <v>426</v>
      </c>
      <c r="C832" s="6">
        <v>15</v>
      </c>
      <c r="D832" s="4"/>
      <c r="E832" s="6">
        <f>E831+C832-D832</f>
      </c>
      <c r="F832" s="2"/>
    </row>
    <row x14ac:dyDescent="0.25" r="833" customHeight="1" ht="17.25">
      <c r="A833" s="7">
        <v>45932</v>
      </c>
      <c r="B833" s="9" t="s">
        <v>396</v>
      </c>
      <c r="C833" s="6">
        <v>153</v>
      </c>
      <c r="D833" s="4"/>
      <c r="E833" s="6">
        <f>E832+C833-D833</f>
      </c>
      <c r="F833" s="2"/>
    </row>
    <row x14ac:dyDescent="0.25" r="834" customHeight="1" ht="17.25">
      <c r="A834" s="7">
        <v>45932</v>
      </c>
      <c r="B834" s="9" t="s">
        <v>100</v>
      </c>
      <c r="C834" s="6">
        <v>43</v>
      </c>
      <c r="D834" s="4"/>
      <c r="E834" s="6">
        <f>E833+C834-D834</f>
      </c>
      <c r="F834" s="2"/>
    </row>
    <row x14ac:dyDescent="0.25" r="835" customHeight="1" ht="17.25">
      <c r="A835" s="7">
        <v>45932</v>
      </c>
      <c r="B835" s="9" t="s">
        <v>291</v>
      </c>
      <c r="C835" s="6">
        <v>67</v>
      </c>
      <c r="D835" s="4"/>
      <c r="E835" s="6">
        <f>E834+C835-D835</f>
      </c>
      <c r="F835" s="2"/>
    </row>
    <row x14ac:dyDescent="0.25" r="836" customHeight="1" ht="17.25">
      <c r="A836" s="7">
        <v>45933</v>
      </c>
      <c r="B836" s="9" t="s">
        <v>46</v>
      </c>
      <c r="C836" s="3"/>
      <c r="D836" s="6">
        <v>70</v>
      </c>
      <c r="E836" s="6">
        <f>E835+C836-D836</f>
      </c>
      <c r="F836" s="2"/>
    </row>
    <row x14ac:dyDescent="0.25" r="837" customHeight="1" ht="17.25">
      <c r="A837" s="7">
        <v>45933</v>
      </c>
      <c r="B837" s="9" t="s">
        <v>316</v>
      </c>
      <c r="C837" s="3"/>
      <c r="D837" s="6">
        <v>50</v>
      </c>
      <c r="E837" s="6">
        <f>E836+C837-D837</f>
      </c>
      <c r="F837" s="2"/>
    </row>
    <row x14ac:dyDescent="0.25" r="838" customHeight="1" ht="17.25">
      <c r="A838" s="7">
        <v>45934</v>
      </c>
      <c r="B838" s="9" t="s">
        <v>46</v>
      </c>
      <c r="C838" s="3"/>
      <c r="D838" s="6">
        <v>80</v>
      </c>
      <c r="E838" s="6">
        <f>E837+C838-D838</f>
      </c>
      <c r="F838" s="2"/>
    </row>
    <row x14ac:dyDescent="0.25" r="839" customHeight="1" ht="17.25">
      <c r="A839" s="8">
        <v>45934</v>
      </c>
      <c r="B839" s="9" t="s">
        <v>184</v>
      </c>
      <c r="C839" s="6">
        <v>29</v>
      </c>
      <c r="D839" s="4"/>
      <c r="E839" s="6">
        <f>E838+C839-D839</f>
      </c>
      <c r="F839" s="2"/>
    </row>
    <row x14ac:dyDescent="0.25" r="840" customHeight="1" ht="17.25">
      <c r="A840" s="7">
        <v>45936</v>
      </c>
      <c r="B840" s="9" t="s">
        <v>307</v>
      </c>
      <c r="C840" s="6">
        <v>44</v>
      </c>
      <c r="D840" s="4"/>
      <c r="E840" s="6">
        <f>E839+C840-D840</f>
      </c>
      <c r="F840" s="2"/>
    </row>
    <row x14ac:dyDescent="0.25" r="841" customHeight="1" ht="17.25">
      <c r="A841" s="7">
        <v>45936</v>
      </c>
      <c r="B841" s="9" t="s">
        <v>457</v>
      </c>
      <c r="C841" s="6">
        <v>71</v>
      </c>
      <c r="D841" s="4"/>
      <c r="E841" s="6">
        <f>E840+C841-D841</f>
      </c>
      <c r="F841" s="2"/>
    </row>
    <row x14ac:dyDescent="0.25" r="842" customHeight="1" ht="17.25">
      <c r="A842" s="7">
        <v>45936</v>
      </c>
      <c r="B842" s="9" t="s">
        <v>389</v>
      </c>
      <c r="C842" s="6">
        <v>98</v>
      </c>
      <c r="D842" s="4"/>
      <c r="E842" s="6">
        <f>E841+C842-D842</f>
      </c>
      <c r="F842" s="2"/>
    </row>
    <row x14ac:dyDescent="0.25" r="843" customHeight="1" ht="17.25">
      <c r="A843" s="7">
        <v>45936</v>
      </c>
      <c r="B843" s="9" t="s">
        <v>289</v>
      </c>
      <c r="C843" s="3"/>
      <c r="D843" s="6">
        <v>100</v>
      </c>
      <c r="E843" s="6">
        <f>E842+C843-D843</f>
      </c>
      <c r="F843" s="2"/>
    </row>
    <row x14ac:dyDescent="0.25" r="844" customHeight="1" ht="17.25">
      <c r="A844" s="7">
        <v>45936</v>
      </c>
      <c r="B844" s="9" t="s">
        <v>316</v>
      </c>
      <c r="C844" s="3"/>
      <c r="D844" s="6">
        <v>163</v>
      </c>
      <c r="E844" s="6">
        <f>E843+C844-D844</f>
      </c>
      <c r="F844" s="2"/>
    </row>
    <row x14ac:dyDescent="0.25" r="845" customHeight="1" ht="17.25">
      <c r="A845" s="7">
        <v>45937</v>
      </c>
      <c r="B845" s="9" t="s">
        <v>315</v>
      </c>
      <c r="C845" s="3"/>
      <c r="D845" s="6">
        <v>15</v>
      </c>
      <c r="E845" s="6">
        <f>E844+C845-D845</f>
      </c>
      <c r="F845" s="2"/>
    </row>
    <row x14ac:dyDescent="0.25" r="846" customHeight="1" ht="17.25">
      <c r="A846" s="7">
        <v>45937</v>
      </c>
      <c r="B846" s="9" t="s">
        <v>312</v>
      </c>
      <c r="C846" s="3"/>
      <c r="D846" s="6">
        <v>5</v>
      </c>
      <c r="E846" s="6">
        <f>E845+C846-D846</f>
      </c>
      <c r="F846" s="2"/>
    </row>
    <row x14ac:dyDescent="0.25" r="847" customHeight="1" ht="17.25">
      <c r="A847" s="7">
        <v>45937</v>
      </c>
      <c r="B847" s="9" t="s">
        <v>189</v>
      </c>
      <c r="C847" s="6">
        <v>43</v>
      </c>
      <c r="D847" s="4"/>
      <c r="E847" s="6">
        <f>E846+C847-D847</f>
      </c>
      <c r="F847" s="2"/>
    </row>
    <row x14ac:dyDescent="0.25" r="848" customHeight="1" ht="17.25">
      <c r="A848" s="7">
        <v>45937</v>
      </c>
      <c r="B848" s="9" t="s">
        <v>389</v>
      </c>
      <c r="C848" s="6">
        <v>106</v>
      </c>
      <c r="D848" s="4"/>
      <c r="E848" s="6">
        <f>E847+C848-D848</f>
      </c>
      <c r="F848" s="2"/>
    </row>
    <row x14ac:dyDescent="0.25" r="849" customHeight="1" ht="17.25">
      <c r="A849" s="7">
        <v>45938</v>
      </c>
      <c r="B849" s="9" t="s">
        <v>233</v>
      </c>
      <c r="C849" s="3"/>
      <c r="D849" s="6">
        <v>15</v>
      </c>
      <c r="E849" s="6">
        <f>E848+C849-D849</f>
      </c>
      <c r="F849" s="2"/>
    </row>
    <row x14ac:dyDescent="0.25" r="850" customHeight="1" ht="17.25">
      <c r="A850" s="7">
        <v>45938</v>
      </c>
      <c r="B850" s="9" t="s">
        <v>458</v>
      </c>
      <c r="C850" s="3"/>
      <c r="D850" s="6">
        <v>4</v>
      </c>
      <c r="E850" s="6">
        <f>E849+C850-D850</f>
      </c>
      <c r="F850" s="2"/>
    </row>
    <row x14ac:dyDescent="0.25" r="851" customHeight="1" ht="17.25">
      <c r="A851" s="8">
        <v>45938</v>
      </c>
      <c r="B851" s="9" t="s">
        <v>313</v>
      </c>
      <c r="C851" s="3"/>
      <c r="D851" s="6">
        <v>14</v>
      </c>
      <c r="E851" s="6">
        <f>E850+C851-D851</f>
      </c>
      <c r="F851" s="2"/>
    </row>
    <row x14ac:dyDescent="0.25" r="852" customHeight="1" ht="17.25">
      <c r="A852" s="7">
        <v>45938</v>
      </c>
      <c r="B852" s="9" t="s">
        <v>316</v>
      </c>
      <c r="C852" s="3"/>
      <c r="D852" s="6">
        <v>200</v>
      </c>
      <c r="E852" s="6">
        <f>E851+C852-D852</f>
      </c>
      <c r="F852" s="2"/>
    </row>
    <row x14ac:dyDescent="0.25" r="853" customHeight="1" ht="17.25">
      <c r="A853" s="7">
        <v>45938</v>
      </c>
      <c r="B853" s="9" t="s">
        <v>389</v>
      </c>
      <c r="C853" s="6">
        <v>181</v>
      </c>
      <c r="D853" s="4"/>
      <c r="E853" s="6">
        <f>E852+C853-D853</f>
      </c>
      <c r="F853" s="2"/>
    </row>
    <row x14ac:dyDescent="0.25" r="854" customHeight="1" ht="17.25">
      <c r="A854" s="7">
        <v>45938</v>
      </c>
      <c r="B854" s="9" t="s">
        <v>284</v>
      </c>
      <c r="C854" s="6">
        <v>266</v>
      </c>
      <c r="D854" s="4"/>
      <c r="E854" s="6">
        <f>E853+C854-D854</f>
      </c>
      <c r="F854" s="2"/>
    </row>
    <row x14ac:dyDescent="0.25" r="855" customHeight="1" ht="17.25">
      <c r="A855" s="7">
        <v>45939</v>
      </c>
      <c r="B855" s="9" t="s">
        <v>243</v>
      </c>
      <c r="C855" s="3"/>
      <c r="D855" s="6">
        <v>110</v>
      </c>
      <c r="E855" s="6">
        <f>E854+C855-D855</f>
      </c>
      <c r="F855" s="2"/>
    </row>
    <row x14ac:dyDescent="0.25" r="856" customHeight="1" ht="17.25">
      <c r="A856" s="7">
        <v>45939</v>
      </c>
      <c r="B856" s="9" t="s">
        <v>182</v>
      </c>
      <c r="C856" s="6">
        <v>57</v>
      </c>
      <c r="D856" s="4"/>
      <c r="E856" s="6">
        <f>E855+C856-D856</f>
      </c>
      <c r="F856" s="2"/>
    </row>
    <row x14ac:dyDescent="0.25" r="857" customHeight="1" ht="17.25">
      <c r="A857" s="7">
        <v>45939</v>
      </c>
      <c r="B857" s="9" t="s">
        <v>389</v>
      </c>
      <c r="C857" s="6">
        <v>104</v>
      </c>
      <c r="D857" s="4"/>
      <c r="E857" s="6">
        <f>E856+C857-D857</f>
      </c>
      <c r="F857" s="2"/>
    </row>
    <row x14ac:dyDescent="0.25" r="858" customHeight="1" ht="17.25">
      <c r="A858" s="7">
        <v>45940</v>
      </c>
      <c r="B858" s="9" t="s">
        <v>243</v>
      </c>
      <c r="C858" s="3"/>
      <c r="D858" s="6">
        <v>200</v>
      </c>
      <c r="E858" s="6">
        <f>E857+C858-D858</f>
      </c>
      <c r="F858" s="2"/>
    </row>
    <row x14ac:dyDescent="0.25" r="859" customHeight="1" ht="17.25">
      <c r="A859" s="7">
        <v>45940</v>
      </c>
      <c r="B859" s="9" t="s">
        <v>243</v>
      </c>
      <c r="C859" s="3"/>
      <c r="D859" s="6">
        <v>162</v>
      </c>
      <c r="E859" s="6">
        <f>E858+C859-D859</f>
      </c>
      <c r="F859" s="2"/>
    </row>
    <row x14ac:dyDescent="0.25" r="860" customHeight="1" ht="17.25">
      <c r="A860" s="7">
        <v>45940</v>
      </c>
      <c r="B860" s="9" t="s">
        <v>184</v>
      </c>
      <c r="C860" s="6">
        <v>131</v>
      </c>
      <c r="D860" s="4"/>
      <c r="E860" s="6">
        <f>E859+C860-D860</f>
      </c>
      <c r="F860" s="2"/>
    </row>
    <row x14ac:dyDescent="0.25" r="861" customHeight="1" ht="17.25">
      <c r="A861" s="7">
        <v>45940</v>
      </c>
      <c r="B861" s="9" t="s">
        <v>389</v>
      </c>
      <c r="C861" s="6">
        <v>149</v>
      </c>
      <c r="D861" s="4"/>
      <c r="E861" s="6">
        <f>E860+C861-D861</f>
      </c>
      <c r="F861" s="2"/>
    </row>
    <row x14ac:dyDescent="0.25" r="862" customHeight="1" ht="17.25">
      <c r="A862" s="7">
        <v>45941</v>
      </c>
      <c r="B862" s="9" t="s">
        <v>316</v>
      </c>
      <c r="C862" s="3"/>
      <c r="D862" s="6">
        <v>200</v>
      </c>
      <c r="E862" s="6">
        <f>E861+C862-D862</f>
      </c>
      <c r="F862" s="2"/>
    </row>
    <row x14ac:dyDescent="0.25" r="863" customHeight="1" ht="17.25">
      <c r="A863" s="7">
        <v>45943</v>
      </c>
      <c r="B863" s="9" t="s">
        <v>304</v>
      </c>
      <c r="C863" s="3"/>
      <c r="D863" s="6">
        <v>50</v>
      </c>
      <c r="E863" s="6">
        <f>E862+C863-D863</f>
      </c>
      <c r="F863" s="2"/>
    </row>
    <row x14ac:dyDescent="0.25" r="864" customHeight="1" ht="17.25">
      <c r="A864" s="7">
        <v>45943</v>
      </c>
      <c r="B864" s="9" t="s">
        <v>46</v>
      </c>
      <c r="C864" s="3"/>
      <c r="D864" s="6">
        <v>150</v>
      </c>
      <c r="E864" s="6">
        <f>E863+C864-D864</f>
      </c>
      <c r="F864" s="2"/>
    </row>
    <row x14ac:dyDescent="0.25" r="865" customHeight="1" ht="17.25">
      <c r="A865" s="7">
        <v>45943</v>
      </c>
      <c r="B865" s="9" t="s">
        <v>304</v>
      </c>
      <c r="C865" s="3"/>
      <c r="D865" s="6">
        <v>50</v>
      </c>
      <c r="E865" s="6">
        <f>E864+C865-D865</f>
      </c>
      <c r="F865" s="2"/>
    </row>
    <row x14ac:dyDescent="0.25" r="866" customHeight="1" ht="17.25">
      <c r="A866" s="8">
        <v>45943</v>
      </c>
      <c r="B866" s="9" t="s">
        <v>7</v>
      </c>
      <c r="C866" s="6">
        <v>42</v>
      </c>
      <c r="D866" s="4"/>
      <c r="E866" s="6">
        <f>E865+C866-D866</f>
      </c>
      <c r="F866" s="2"/>
    </row>
    <row x14ac:dyDescent="0.25" r="867" customHeight="1" ht="17.25">
      <c r="A867" s="7">
        <v>45943</v>
      </c>
      <c r="B867" s="9" t="s">
        <v>291</v>
      </c>
      <c r="C867" s="6">
        <v>60</v>
      </c>
      <c r="D867" s="4"/>
      <c r="E867" s="6">
        <f>E866+C867-D867</f>
      </c>
      <c r="F867" s="2"/>
    </row>
    <row x14ac:dyDescent="0.25" r="868" customHeight="1" ht="17.25">
      <c r="A868" s="8">
        <v>45943</v>
      </c>
      <c r="B868" s="9" t="s">
        <v>298</v>
      </c>
      <c r="C868" s="6">
        <v>50</v>
      </c>
      <c r="D868" s="4"/>
      <c r="E868" s="6">
        <f>E867+C868-D868</f>
      </c>
      <c r="F868" s="2"/>
    </row>
    <row x14ac:dyDescent="0.25" r="869" customHeight="1" ht="17.25">
      <c r="A869" s="7">
        <v>45944</v>
      </c>
      <c r="B869" s="9" t="s">
        <v>316</v>
      </c>
      <c r="C869" s="3"/>
      <c r="D869" s="6">
        <v>150</v>
      </c>
      <c r="E869" s="6">
        <f>E868+C869-D869</f>
      </c>
      <c r="F869" s="2"/>
    </row>
    <row x14ac:dyDescent="0.25" r="870" customHeight="1" ht="17.25">
      <c r="A870" s="7">
        <v>45944</v>
      </c>
      <c r="B870" s="9" t="s">
        <v>459</v>
      </c>
      <c r="C870" s="6">
        <v>8</v>
      </c>
      <c r="D870" s="4"/>
      <c r="E870" s="6">
        <f>E869+C870-D870</f>
      </c>
      <c r="F870" s="2"/>
    </row>
    <row x14ac:dyDescent="0.25" r="871" customHeight="1" ht="17.25">
      <c r="A871" s="8">
        <v>45944</v>
      </c>
      <c r="B871" s="9" t="s">
        <v>283</v>
      </c>
      <c r="C871" s="6">
        <v>21</v>
      </c>
      <c r="D871" s="4"/>
      <c r="E871" s="6">
        <f>E870+C871-D871</f>
      </c>
      <c r="F871" s="2"/>
    </row>
    <row x14ac:dyDescent="0.25" r="872" customHeight="1" ht="17.25">
      <c r="A872" s="8">
        <v>45945</v>
      </c>
      <c r="B872" s="9" t="s">
        <v>63</v>
      </c>
      <c r="C872" s="6">
        <v>105</v>
      </c>
      <c r="D872" s="4"/>
      <c r="E872" s="6">
        <f>E871+C872-D872</f>
      </c>
      <c r="F872" s="2"/>
    </row>
    <row x14ac:dyDescent="0.25" r="873" customHeight="1" ht="17.25">
      <c r="A873" s="7">
        <v>45945</v>
      </c>
      <c r="B873" s="9" t="s">
        <v>233</v>
      </c>
      <c r="C873" s="3"/>
      <c r="D873" s="6">
        <v>135</v>
      </c>
      <c r="E873" s="6">
        <f>E872+C873-D873</f>
      </c>
      <c r="F873" s="2"/>
    </row>
    <row x14ac:dyDescent="0.25" r="874" customHeight="1" ht="17.25">
      <c r="A874" s="7">
        <v>45945</v>
      </c>
      <c r="B874" s="9" t="s">
        <v>283</v>
      </c>
      <c r="C874" s="6">
        <v>30</v>
      </c>
      <c r="D874" s="4"/>
      <c r="E874" s="6">
        <f>E873+C874-D874</f>
      </c>
      <c r="F874" s="2"/>
    </row>
    <row x14ac:dyDescent="0.25" r="875" customHeight="1" ht="17.25">
      <c r="A875" s="7">
        <v>45945</v>
      </c>
      <c r="B875" s="9" t="s">
        <v>7</v>
      </c>
      <c r="C875" s="6">
        <v>75</v>
      </c>
      <c r="D875" s="4"/>
      <c r="E875" s="6">
        <f>E874+C875-D875</f>
      </c>
      <c r="F875" s="2"/>
    </row>
    <row x14ac:dyDescent="0.25" r="876" customHeight="1" ht="17.25">
      <c r="A876" s="7">
        <v>45946</v>
      </c>
      <c r="B876" s="9" t="s">
        <v>63</v>
      </c>
      <c r="C876" s="6">
        <v>72</v>
      </c>
      <c r="D876" s="4"/>
      <c r="E876" s="6">
        <f>E875+C876-D876</f>
      </c>
      <c r="F876" s="2"/>
    </row>
    <row x14ac:dyDescent="0.25" r="877" customHeight="1" ht="17.25">
      <c r="A877" s="7">
        <v>45946</v>
      </c>
      <c r="B877" s="9" t="s">
        <v>420</v>
      </c>
      <c r="C877" s="3"/>
      <c r="D877" s="6">
        <v>72</v>
      </c>
      <c r="E877" s="6">
        <f>E876+C877-D877</f>
      </c>
      <c r="F877" s="2"/>
    </row>
    <row x14ac:dyDescent="0.25" r="878" customHeight="1" ht="17.25">
      <c r="A878" s="8">
        <v>45946</v>
      </c>
      <c r="B878" s="9" t="s">
        <v>141</v>
      </c>
      <c r="C878" s="6">
        <v>6</v>
      </c>
      <c r="D878" s="4"/>
      <c r="E878" s="6">
        <f>E877+C878-D878</f>
      </c>
      <c r="F878" s="2"/>
    </row>
    <row x14ac:dyDescent="0.25" r="879" customHeight="1" ht="17.25">
      <c r="A879" s="7">
        <v>45946</v>
      </c>
      <c r="B879" s="9" t="s">
        <v>100</v>
      </c>
      <c r="C879" s="6">
        <v>45</v>
      </c>
      <c r="D879" s="4"/>
      <c r="E879" s="6">
        <f>E878+C879-D879</f>
      </c>
      <c r="F879" s="2"/>
    </row>
    <row x14ac:dyDescent="0.25" r="880" customHeight="1" ht="17.25">
      <c r="A880" s="7">
        <v>45946</v>
      </c>
      <c r="B880" s="9" t="s">
        <v>389</v>
      </c>
      <c r="C880" s="6">
        <v>102</v>
      </c>
      <c r="D880" s="4"/>
      <c r="E880" s="6">
        <f>E879+C880-D880</f>
      </c>
      <c r="F880" s="2"/>
    </row>
    <row x14ac:dyDescent="0.25" r="881" customHeight="1" ht="17.25">
      <c r="A881" s="7">
        <v>45946</v>
      </c>
      <c r="B881" s="9" t="s">
        <v>184</v>
      </c>
      <c r="C881" s="6">
        <v>76</v>
      </c>
      <c r="D881" s="4"/>
      <c r="E881" s="6">
        <f>E880+C881-D881</f>
      </c>
      <c r="F881" s="2"/>
    </row>
    <row x14ac:dyDescent="0.25" r="882" customHeight="1" ht="17.25">
      <c r="A882" s="7">
        <v>45947</v>
      </c>
      <c r="B882" s="9" t="s">
        <v>7</v>
      </c>
      <c r="C882" s="6">
        <v>14</v>
      </c>
      <c r="D882" s="4"/>
      <c r="E882" s="6">
        <f>E881+C882-D882</f>
      </c>
      <c r="F882" s="2"/>
    </row>
    <row x14ac:dyDescent="0.25" r="883" customHeight="1" ht="17.25">
      <c r="A883" s="7">
        <v>45947</v>
      </c>
      <c r="B883" s="9" t="s">
        <v>284</v>
      </c>
      <c r="C883" s="6">
        <v>144</v>
      </c>
      <c r="D883" s="4"/>
      <c r="E883" s="6">
        <f>E882+C883-D883</f>
      </c>
      <c r="F883" s="2"/>
    </row>
    <row x14ac:dyDescent="0.25" r="884" customHeight="1" ht="17.25">
      <c r="A884" s="7">
        <v>45947</v>
      </c>
      <c r="B884" s="9" t="s">
        <v>389</v>
      </c>
      <c r="C884" s="6">
        <v>104</v>
      </c>
      <c r="D884" s="4"/>
      <c r="E884" s="6">
        <f>E883+C884-D884</f>
      </c>
      <c r="F884" s="2"/>
    </row>
    <row x14ac:dyDescent="0.25" r="885" customHeight="1" ht="17.25">
      <c r="A885" s="7">
        <v>45948</v>
      </c>
      <c r="B885" s="9" t="s">
        <v>297</v>
      </c>
      <c r="C885" s="3"/>
      <c r="D885" s="6">
        <v>28</v>
      </c>
      <c r="E885" s="6">
        <f>E884+C885-D885</f>
      </c>
      <c r="F885" s="2"/>
    </row>
    <row x14ac:dyDescent="0.25" r="886" customHeight="1" ht="17.25">
      <c r="A886" s="7">
        <v>45948</v>
      </c>
      <c r="B886" s="9" t="s">
        <v>46</v>
      </c>
      <c r="C886" s="3"/>
      <c r="D886" s="6">
        <v>150</v>
      </c>
      <c r="E886" s="6">
        <f>E885+C886-D886</f>
      </c>
      <c r="F886" s="2"/>
    </row>
    <row x14ac:dyDescent="0.25" r="887" customHeight="1" ht="17.25">
      <c r="A887" s="8">
        <v>45948</v>
      </c>
      <c r="B887" s="9" t="s">
        <v>184</v>
      </c>
      <c r="C887" s="6">
        <v>103</v>
      </c>
      <c r="D887" s="4"/>
      <c r="E887" s="6">
        <f>E886+C887-D887</f>
      </c>
      <c r="F887" s="2"/>
    </row>
    <row x14ac:dyDescent="0.25" r="888" customHeight="1" ht="17.25">
      <c r="A888" s="8">
        <v>45948</v>
      </c>
      <c r="B888" s="9" t="s">
        <v>2</v>
      </c>
      <c r="C888" s="6">
        <v>9</v>
      </c>
      <c r="D888" s="4"/>
      <c r="E888" s="6">
        <f>E887+C888-D888</f>
      </c>
      <c r="F888" s="2"/>
    </row>
    <row x14ac:dyDescent="0.25" r="889" customHeight="1" ht="17.25">
      <c r="A889" s="7">
        <v>45950</v>
      </c>
      <c r="B889" s="9" t="s">
        <v>316</v>
      </c>
      <c r="C889" s="3"/>
      <c r="D889" s="6">
        <v>50</v>
      </c>
      <c r="E889" s="6">
        <f>E888+C889-D889</f>
      </c>
      <c r="F889" s="2"/>
    </row>
    <row x14ac:dyDescent="0.25" r="890" customHeight="1" ht="17.25">
      <c r="A890" s="7">
        <v>45950</v>
      </c>
      <c r="B890" s="9" t="s">
        <v>304</v>
      </c>
      <c r="C890" s="3"/>
      <c r="D890" s="6">
        <v>110</v>
      </c>
      <c r="E890" s="6">
        <f>E889+C890-D890</f>
      </c>
      <c r="F890" s="2"/>
    </row>
    <row x14ac:dyDescent="0.25" r="891" customHeight="1" ht="17.25">
      <c r="A891" s="7">
        <v>45950</v>
      </c>
      <c r="B891" s="9" t="s">
        <v>304</v>
      </c>
      <c r="C891" s="3"/>
      <c r="D891" s="6">
        <v>90</v>
      </c>
      <c r="E891" s="6">
        <f>E890+C891-D891</f>
      </c>
      <c r="F891" s="2"/>
    </row>
    <row x14ac:dyDescent="0.25" r="892" customHeight="1" ht="17.25">
      <c r="A892" s="7">
        <v>45950</v>
      </c>
      <c r="B892" s="9" t="s">
        <v>3</v>
      </c>
      <c r="C892" s="6">
        <v>48</v>
      </c>
      <c r="D892" s="4"/>
      <c r="E892" s="6">
        <f>E891+C892-D892</f>
      </c>
      <c r="F892" s="2"/>
    </row>
    <row x14ac:dyDescent="0.25" r="893" customHeight="1" ht="17.25">
      <c r="A893" s="7">
        <v>45950</v>
      </c>
      <c r="B893" s="9" t="s">
        <v>208</v>
      </c>
      <c r="C893" s="6">
        <v>90</v>
      </c>
      <c r="D893" s="4"/>
      <c r="E893" s="6">
        <f>E892+C893-D893</f>
      </c>
      <c r="F893" s="2"/>
    </row>
    <row x14ac:dyDescent="0.25" r="894" customHeight="1" ht="17.25">
      <c r="A894" s="7">
        <v>45951</v>
      </c>
      <c r="B894" s="9" t="s">
        <v>46</v>
      </c>
      <c r="C894" s="3"/>
      <c r="D894" s="6">
        <v>100</v>
      </c>
      <c r="E894" s="6">
        <f>E893+C894-D894</f>
      </c>
      <c r="F894" s="2"/>
    </row>
    <row x14ac:dyDescent="0.25" r="895" customHeight="1" ht="17.25">
      <c r="A895" s="7">
        <v>45951</v>
      </c>
      <c r="B895" s="9" t="s">
        <v>316</v>
      </c>
      <c r="C895" s="3"/>
      <c r="D895" s="6">
        <v>50</v>
      </c>
      <c r="E895" s="6">
        <f>E894+C895-D895</f>
      </c>
      <c r="F895" s="2"/>
    </row>
    <row x14ac:dyDescent="0.25" r="896" customHeight="1" ht="17.25">
      <c r="A896" s="7">
        <v>45951</v>
      </c>
      <c r="B896" s="9" t="s">
        <v>315</v>
      </c>
      <c r="C896" s="3"/>
      <c r="D896" s="6">
        <v>46</v>
      </c>
      <c r="E896" s="6">
        <f>E895+C896-D896</f>
      </c>
      <c r="F896" s="2"/>
    </row>
    <row x14ac:dyDescent="0.25" r="897" customHeight="1" ht="17.25">
      <c r="A897" s="7">
        <v>45951</v>
      </c>
      <c r="B897" s="9" t="s">
        <v>3</v>
      </c>
      <c r="C897" s="6">
        <v>20</v>
      </c>
      <c r="D897" s="4"/>
      <c r="E897" s="6">
        <f>E896+C897-D897</f>
      </c>
      <c r="F897" s="2"/>
    </row>
    <row x14ac:dyDescent="0.25" r="898" customHeight="1" ht="17.25">
      <c r="A898" s="7">
        <v>45952</v>
      </c>
      <c r="B898" s="9" t="s">
        <v>233</v>
      </c>
      <c r="C898" s="3"/>
      <c r="D898" s="6">
        <v>150</v>
      </c>
      <c r="E898" s="6">
        <f>E897+C898-D898</f>
      </c>
      <c r="F898" s="2"/>
    </row>
    <row x14ac:dyDescent="0.25" r="899" customHeight="1" ht="17.25">
      <c r="A899" s="7">
        <v>45952</v>
      </c>
      <c r="B899" s="9" t="s">
        <v>313</v>
      </c>
      <c r="C899" s="3"/>
      <c r="D899" s="6">
        <v>14</v>
      </c>
      <c r="E899" s="6">
        <f>E898+C899-D899</f>
      </c>
      <c r="F899" s="2"/>
    </row>
    <row x14ac:dyDescent="0.25" r="900" customHeight="1" ht="17.25">
      <c r="A900" s="7">
        <v>45952</v>
      </c>
      <c r="B900" s="9" t="s">
        <v>141</v>
      </c>
      <c r="C900" s="6">
        <v>2</v>
      </c>
      <c r="D900" s="4"/>
      <c r="E900" s="6">
        <f>E899+C900-D900</f>
      </c>
      <c r="F900" s="2"/>
    </row>
    <row x14ac:dyDescent="0.25" r="901" customHeight="1" ht="17.25">
      <c r="A901" s="7">
        <v>45952</v>
      </c>
      <c r="B901" s="9" t="s">
        <v>389</v>
      </c>
      <c r="C901" s="6">
        <v>101</v>
      </c>
      <c r="D901" s="4"/>
      <c r="E901" s="6">
        <f>E900+C901-D901</f>
      </c>
      <c r="F901" s="2"/>
    </row>
    <row x14ac:dyDescent="0.25" r="902" customHeight="1" ht="17.25">
      <c r="A902" s="7">
        <v>45952</v>
      </c>
      <c r="B902" s="9" t="s">
        <v>3</v>
      </c>
      <c r="C902" s="6">
        <v>34</v>
      </c>
      <c r="D902" s="4"/>
      <c r="E902" s="6">
        <f>E901+C902-D902</f>
      </c>
      <c r="F902" s="2"/>
    </row>
    <row x14ac:dyDescent="0.25" r="903" customHeight="1" ht="17.25">
      <c r="A903" s="7">
        <v>45953</v>
      </c>
      <c r="B903" s="9" t="s">
        <v>311</v>
      </c>
      <c r="C903" s="3"/>
      <c r="D903" s="6">
        <v>125</v>
      </c>
      <c r="E903" s="6">
        <f>E902+C903-D903</f>
      </c>
      <c r="F903" s="2"/>
    </row>
    <row x14ac:dyDescent="0.25" r="904" customHeight="1" ht="17.25">
      <c r="A904" s="7">
        <v>45953</v>
      </c>
      <c r="B904" s="9" t="s">
        <v>208</v>
      </c>
      <c r="C904" s="6">
        <v>27</v>
      </c>
      <c r="D904" s="4"/>
      <c r="E904" s="6">
        <f>E903+C904-D904</f>
      </c>
      <c r="F904" s="2"/>
    </row>
    <row x14ac:dyDescent="0.25" r="905" customHeight="1" ht="17.25">
      <c r="A905" s="7">
        <v>45953</v>
      </c>
      <c r="B905" s="9" t="s">
        <v>291</v>
      </c>
      <c r="C905" s="6">
        <v>30</v>
      </c>
      <c r="D905" s="4"/>
      <c r="E905" s="6">
        <f>E904+C905-D905</f>
      </c>
      <c r="F905" s="2"/>
    </row>
    <row x14ac:dyDescent="0.25" r="906" customHeight="1" ht="17.25">
      <c r="A906" s="7">
        <v>45953</v>
      </c>
      <c r="B906" s="9" t="s">
        <v>316</v>
      </c>
      <c r="C906" s="3"/>
      <c r="D906" s="6">
        <v>130</v>
      </c>
      <c r="E906" s="6">
        <f>E905+C906-D906</f>
      </c>
      <c r="F906" s="2"/>
    </row>
    <row x14ac:dyDescent="0.25" r="907" customHeight="1" ht="17.25">
      <c r="A907" s="7">
        <v>45954</v>
      </c>
      <c r="B907" s="9" t="s">
        <v>63</v>
      </c>
      <c r="C907" s="6">
        <v>185</v>
      </c>
      <c r="D907" s="4"/>
      <c r="E907" s="6">
        <f>E906+C907-D907</f>
      </c>
      <c r="F907" s="2"/>
    </row>
    <row x14ac:dyDescent="0.25" r="908" customHeight="1" ht="17.25">
      <c r="A908" s="7">
        <v>45954</v>
      </c>
      <c r="B908" s="9" t="s">
        <v>389</v>
      </c>
      <c r="C908" s="6">
        <v>170</v>
      </c>
      <c r="D908" s="4"/>
      <c r="E908" s="6">
        <f>E907+C908-D908</f>
      </c>
      <c r="F908" s="2"/>
    </row>
    <row x14ac:dyDescent="0.25" r="909" customHeight="1" ht="17.25">
      <c r="A909" s="7">
        <v>45954</v>
      </c>
      <c r="B909" s="9" t="s">
        <v>46</v>
      </c>
      <c r="C909" s="3"/>
      <c r="D909" s="6">
        <v>232</v>
      </c>
      <c r="E909" s="6">
        <f>E908+C909-D909</f>
      </c>
      <c r="F909" s="2"/>
    </row>
    <row x14ac:dyDescent="0.25" r="910" customHeight="1" ht="17.25">
      <c r="A910" s="8">
        <v>45954</v>
      </c>
      <c r="B910" s="9" t="s">
        <v>174</v>
      </c>
      <c r="C910" s="3"/>
      <c r="D910" s="6">
        <v>16</v>
      </c>
      <c r="E910" s="6">
        <f>E909+C910-D910</f>
      </c>
      <c r="F910" s="2"/>
    </row>
    <row x14ac:dyDescent="0.25" r="911" customHeight="1" ht="17.25">
      <c r="A911" s="7">
        <v>45954</v>
      </c>
      <c r="B911" s="9" t="s">
        <v>3</v>
      </c>
      <c r="C911" s="6">
        <v>102</v>
      </c>
      <c r="D911" s="4"/>
      <c r="E911" s="6">
        <f>E910+C911-D911</f>
      </c>
      <c r="F911" s="2"/>
    </row>
    <row x14ac:dyDescent="0.25" r="912" customHeight="1" ht="17.25">
      <c r="A912" s="7">
        <v>45955</v>
      </c>
      <c r="B912" s="9" t="s">
        <v>316</v>
      </c>
      <c r="C912" s="3"/>
      <c r="D912" s="6">
        <v>150</v>
      </c>
      <c r="E912" s="6">
        <f>E911+C912-D912</f>
      </c>
      <c r="F912" s="2"/>
    </row>
    <row x14ac:dyDescent="0.25" r="913" customHeight="1" ht="17.25">
      <c r="A913" s="7">
        <v>45955</v>
      </c>
      <c r="B913" s="9" t="s">
        <v>243</v>
      </c>
      <c r="C913" s="3"/>
      <c r="D913" s="6">
        <v>20</v>
      </c>
      <c r="E913" s="6">
        <f>E912+C913-D913</f>
      </c>
      <c r="F913" s="2"/>
    </row>
    <row x14ac:dyDescent="0.25" r="914" customHeight="1" ht="17.25">
      <c r="A914" s="7">
        <v>45957</v>
      </c>
      <c r="B914" s="9" t="s">
        <v>316</v>
      </c>
      <c r="C914" s="3"/>
      <c r="D914" s="6">
        <v>50</v>
      </c>
      <c r="E914" s="6">
        <f>E913+C914-D914</f>
      </c>
      <c r="F914" s="2"/>
    </row>
    <row x14ac:dyDescent="0.25" r="915" customHeight="1" ht="17.25">
      <c r="A915" s="7">
        <v>45957</v>
      </c>
      <c r="B915" s="9" t="s">
        <v>41</v>
      </c>
      <c r="C915" s="6">
        <v>2</v>
      </c>
      <c r="D915" s="4"/>
      <c r="E915" s="6">
        <f>E914+C915-D915</f>
      </c>
      <c r="F915" s="2"/>
    </row>
    <row x14ac:dyDescent="0.25" r="916" customHeight="1" ht="17.25">
      <c r="A916" s="8">
        <v>45958</v>
      </c>
      <c r="B916" s="9" t="s">
        <v>317</v>
      </c>
      <c r="C916" s="6">
        <v>5</v>
      </c>
      <c r="D916" s="4"/>
      <c r="E916" s="6">
        <f>E915+C916-D916</f>
      </c>
      <c r="F916" s="2"/>
    </row>
    <row x14ac:dyDescent="0.25" r="917" customHeight="1" ht="17.25">
      <c r="A917" s="8">
        <v>45958</v>
      </c>
      <c r="B917" s="9" t="s">
        <v>184</v>
      </c>
      <c r="C917" s="6">
        <v>128</v>
      </c>
      <c r="D917" s="4"/>
      <c r="E917" s="6">
        <f>E916+C917-D917</f>
      </c>
      <c r="F917" s="2"/>
    </row>
    <row x14ac:dyDescent="0.25" r="918" customHeight="1" ht="17.25">
      <c r="A918" s="8">
        <v>45958</v>
      </c>
      <c r="B918" s="9" t="s">
        <v>3</v>
      </c>
      <c r="C918" s="6">
        <v>12</v>
      </c>
      <c r="D918" s="4"/>
      <c r="E918" s="6">
        <f>E917+C918-D918</f>
      </c>
      <c r="F918" s="2"/>
    </row>
    <row x14ac:dyDescent="0.25" r="919" customHeight="1" ht="17.25">
      <c r="A919" s="7">
        <v>45959</v>
      </c>
      <c r="B919" s="9" t="s">
        <v>243</v>
      </c>
      <c r="C919" s="3"/>
      <c r="D919" s="6">
        <v>108</v>
      </c>
      <c r="E919" s="6">
        <f>E918+C919-D919</f>
      </c>
      <c r="F919" s="2"/>
    </row>
    <row x14ac:dyDescent="0.25" r="920" customHeight="1" ht="17.25">
      <c r="A920" s="7">
        <v>45959</v>
      </c>
      <c r="B920" s="9" t="s">
        <v>46</v>
      </c>
      <c r="C920" s="3"/>
      <c r="D920" s="6">
        <v>100</v>
      </c>
      <c r="E920" s="6">
        <f>E919+C920-D920</f>
      </c>
      <c r="F920" s="2"/>
    </row>
    <row x14ac:dyDescent="0.25" r="921" customHeight="1" ht="17.25">
      <c r="A921" s="8">
        <v>45959</v>
      </c>
      <c r="B921" s="9" t="s">
        <v>184</v>
      </c>
      <c r="C921" s="6">
        <v>8</v>
      </c>
      <c r="D921" s="4"/>
      <c r="E921" s="6">
        <f>E920+C921-D921</f>
      </c>
      <c r="F921" s="2"/>
    </row>
    <row x14ac:dyDescent="0.25" r="922" customHeight="1" ht="17.25">
      <c r="A922" s="7">
        <v>45959</v>
      </c>
      <c r="B922" s="9" t="s">
        <v>63</v>
      </c>
      <c r="C922" s="6">
        <v>131</v>
      </c>
      <c r="D922" s="4"/>
      <c r="E922" s="6">
        <f>E921+C922-D922</f>
      </c>
      <c r="F922" s="2"/>
    </row>
    <row x14ac:dyDescent="0.25" r="923" customHeight="1" ht="17.25">
      <c r="A923" s="7">
        <v>45959</v>
      </c>
      <c r="B923" s="9" t="s">
        <v>389</v>
      </c>
      <c r="C923" s="6">
        <v>90</v>
      </c>
      <c r="D923" s="4"/>
      <c r="E923" s="6">
        <f>E922+C923-D923</f>
      </c>
      <c r="F923" s="2"/>
    </row>
    <row x14ac:dyDescent="0.25" r="924" customHeight="1" ht="17.25">
      <c r="A924" s="7">
        <v>45960</v>
      </c>
      <c r="B924" s="9" t="s">
        <v>63</v>
      </c>
      <c r="C924" s="6">
        <v>500</v>
      </c>
      <c r="D924" s="4"/>
      <c r="E924" s="6">
        <f>E923+C924-D924</f>
      </c>
      <c r="F924" s="2"/>
    </row>
    <row x14ac:dyDescent="0.25" r="925" customHeight="1" ht="17.25">
      <c r="A925" s="7">
        <v>45960</v>
      </c>
      <c r="B925" s="9" t="s">
        <v>316</v>
      </c>
      <c r="C925" s="3"/>
      <c r="D925" s="6">
        <v>140</v>
      </c>
      <c r="E925" s="6">
        <f>E924+C925-D925</f>
      </c>
      <c r="F925" s="2"/>
    </row>
    <row x14ac:dyDescent="0.25" r="926" customHeight="1" ht="17.25">
      <c r="A926" s="8">
        <v>45960</v>
      </c>
      <c r="B926" s="9" t="s">
        <v>347</v>
      </c>
      <c r="C926" s="3"/>
      <c r="D926" s="6">
        <v>17</v>
      </c>
      <c r="E926" s="6">
        <f>E925+C926-D926</f>
      </c>
      <c r="F926" s="2"/>
    </row>
    <row x14ac:dyDescent="0.25" r="927" customHeight="1" ht="17.25">
      <c r="A927" s="7">
        <v>45960</v>
      </c>
      <c r="B927" s="9" t="s">
        <v>26</v>
      </c>
      <c r="C927" s="3"/>
      <c r="D927" s="6">
        <v>300</v>
      </c>
      <c r="E927" s="6">
        <f>E926+C927-D927</f>
      </c>
      <c r="F927" s="2"/>
    </row>
    <row x14ac:dyDescent="0.25" r="928" customHeight="1" ht="17.25">
      <c r="A928" s="7">
        <v>45960</v>
      </c>
      <c r="B928" s="9" t="s">
        <v>318</v>
      </c>
      <c r="C928" s="3"/>
      <c r="D928" s="6">
        <v>8</v>
      </c>
      <c r="E928" s="6">
        <f>E927+C928-D928</f>
      </c>
      <c r="F928" s="2"/>
    </row>
    <row x14ac:dyDescent="0.25" r="929" customHeight="1" ht="17.25">
      <c r="A929" s="7">
        <v>45960</v>
      </c>
      <c r="B929" s="9" t="s">
        <v>3</v>
      </c>
      <c r="C929" s="6">
        <v>22</v>
      </c>
      <c r="D929" s="4"/>
      <c r="E929" s="6">
        <f>E928+C929-D929</f>
      </c>
      <c r="F929" s="2"/>
    </row>
    <row x14ac:dyDescent="0.25" r="930" customHeight="1" ht="17.25">
      <c r="A930" s="8">
        <v>45960</v>
      </c>
      <c r="B930" s="9" t="s">
        <v>291</v>
      </c>
      <c r="C930" s="6">
        <v>39</v>
      </c>
      <c r="D930" s="4"/>
      <c r="E930" s="6">
        <f>E929+C930-D930</f>
      </c>
      <c r="F930" s="2"/>
    </row>
    <row x14ac:dyDescent="0.25" r="931" customHeight="1" ht="17.25">
      <c r="A931" s="8">
        <v>45960</v>
      </c>
      <c r="B931" s="9" t="s">
        <v>141</v>
      </c>
      <c r="C931" s="6">
        <v>5</v>
      </c>
      <c r="D931" s="4"/>
      <c r="E931" s="6">
        <f>E930+C931-D931</f>
      </c>
      <c r="F931" s="2"/>
    </row>
    <row x14ac:dyDescent="0.25" r="932" customHeight="1" ht="17.25">
      <c r="A932" s="8">
        <v>45961</v>
      </c>
      <c r="B932" s="9" t="s">
        <v>179</v>
      </c>
      <c r="C932" s="3"/>
      <c r="D932" s="6">
        <v>50</v>
      </c>
      <c r="E932" s="6">
        <f>E931+C932-D932</f>
      </c>
      <c r="F932" s="2"/>
    </row>
    <row x14ac:dyDescent="0.25" r="933" customHeight="1" ht="17.25">
      <c r="A933" s="7">
        <v>45961</v>
      </c>
      <c r="B933" s="9" t="s">
        <v>243</v>
      </c>
      <c r="C933" s="3"/>
      <c r="D933" s="6">
        <v>40</v>
      </c>
      <c r="E933" s="6">
        <f>E932+C933-D933</f>
      </c>
      <c r="F933" s="2"/>
    </row>
    <row x14ac:dyDescent="0.25" r="934" customHeight="1" ht="17.25">
      <c r="A934" s="7">
        <v>45961</v>
      </c>
      <c r="B934" s="9" t="s">
        <v>313</v>
      </c>
      <c r="C934" s="3"/>
      <c r="D934" s="6">
        <v>136</v>
      </c>
      <c r="E934" s="6">
        <f>E933+C934-D934</f>
      </c>
      <c r="F934" s="2"/>
    </row>
    <row x14ac:dyDescent="0.25" r="935" customHeight="1" ht="17.25">
      <c r="A935" s="7">
        <v>45961</v>
      </c>
      <c r="B935" s="9" t="s">
        <v>334</v>
      </c>
      <c r="C935" s="6">
        <v>4</v>
      </c>
      <c r="D935" s="4"/>
      <c r="E935" s="6">
        <f>E934+C935-D935</f>
      </c>
      <c r="F935" s="2"/>
    </row>
    <row x14ac:dyDescent="0.25" r="936" customHeight="1" ht="17.25">
      <c r="A936" s="7">
        <v>45961</v>
      </c>
      <c r="B936" s="9" t="s">
        <v>3</v>
      </c>
      <c r="C936" s="6">
        <v>27</v>
      </c>
      <c r="D936" s="4"/>
      <c r="E936" s="6">
        <f>E935+C936-D936</f>
      </c>
      <c r="F936" s="2"/>
    </row>
    <row x14ac:dyDescent="0.25" r="937" customHeight="1" ht="17.25">
      <c r="A937" s="7">
        <v>45961</v>
      </c>
      <c r="B937" s="9" t="s">
        <v>184</v>
      </c>
      <c r="C937" s="6">
        <v>91</v>
      </c>
      <c r="D937" s="4"/>
      <c r="E937" s="6">
        <f>E936+C937-D937</f>
      </c>
      <c r="F937" s="2"/>
    </row>
    <row x14ac:dyDescent="0.25" r="938" customHeight="1" ht="17.25">
      <c r="A938" s="7">
        <v>45962</v>
      </c>
      <c r="B938" s="9" t="s">
        <v>243</v>
      </c>
      <c r="C938" s="3"/>
      <c r="D938" s="6">
        <v>142</v>
      </c>
      <c r="E938" s="6">
        <f>E937+C938-D938</f>
      </c>
      <c r="F938" s="2"/>
    </row>
    <row x14ac:dyDescent="0.25" r="939" customHeight="1" ht="17.25">
      <c r="A939" s="8">
        <v>45964</v>
      </c>
      <c r="B939" s="9" t="s">
        <v>423</v>
      </c>
      <c r="C939" s="3"/>
      <c r="D939" s="6">
        <v>8</v>
      </c>
      <c r="E939" s="6">
        <f>E938+C939-D939</f>
      </c>
      <c r="F939" s="2"/>
    </row>
    <row x14ac:dyDescent="0.25" r="940" customHeight="1" ht="17.25">
      <c r="A940" s="7">
        <v>45964</v>
      </c>
      <c r="B940" s="9" t="s">
        <v>243</v>
      </c>
      <c r="C940" s="3"/>
      <c r="D940" s="6">
        <v>40</v>
      </c>
      <c r="E940" s="6">
        <f>E939+C940-D940</f>
      </c>
      <c r="F940" s="2"/>
    </row>
    <row x14ac:dyDescent="0.25" r="941" customHeight="1" ht="17.25">
      <c r="A941" s="7">
        <v>45964</v>
      </c>
      <c r="B941" s="9" t="s">
        <v>320</v>
      </c>
      <c r="C941" s="3"/>
      <c r="D941" s="6">
        <v>13</v>
      </c>
      <c r="E941" s="6">
        <f>E940+C941-D941</f>
      </c>
      <c r="F941" s="2"/>
    </row>
    <row x14ac:dyDescent="0.25" r="942" customHeight="1" ht="17.25">
      <c r="A942" s="7">
        <v>45964</v>
      </c>
      <c r="B942" s="9" t="s">
        <v>444</v>
      </c>
      <c r="C942" s="6">
        <v>5</v>
      </c>
      <c r="D942" s="4"/>
      <c r="E942" s="6">
        <f>E941+C942-D942</f>
      </c>
      <c r="F942" s="2"/>
    </row>
    <row x14ac:dyDescent="0.25" r="943" customHeight="1" ht="17.25">
      <c r="A943" s="8">
        <v>45965</v>
      </c>
      <c r="B943" s="9" t="s">
        <v>320</v>
      </c>
      <c r="C943" s="3"/>
      <c r="D943" s="6">
        <v>8</v>
      </c>
      <c r="E943" s="6">
        <f>E942+C943-D943</f>
      </c>
      <c r="F943" s="2"/>
    </row>
    <row x14ac:dyDescent="0.25" r="944" customHeight="1" ht="17.25">
      <c r="A944" s="8">
        <v>45965</v>
      </c>
      <c r="B944" s="9" t="s">
        <v>424</v>
      </c>
      <c r="C944" s="3"/>
      <c r="D944" s="6">
        <v>40</v>
      </c>
      <c r="E944" s="6">
        <f>E943+C944-D944</f>
      </c>
      <c r="F944" s="2"/>
    </row>
    <row x14ac:dyDescent="0.25" r="945" customHeight="1" ht="17.25">
      <c r="A945" s="7">
        <v>45965</v>
      </c>
      <c r="B945" s="9" t="s">
        <v>184</v>
      </c>
      <c r="C945" s="6">
        <v>63</v>
      </c>
      <c r="D945" s="4"/>
      <c r="E945" s="6">
        <f>E944+C945-D945</f>
      </c>
      <c r="F945" s="2"/>
    </row>
    <row x14ac:dyDescent="0.25" r="946" customHeight="1" ht="17.25">
      <c r="A946" s="7">
        <v>45965</v>
      </c>
      <c r="B946" s="9" t="s">
        <v>389</v>
      </c>
      <c r="C946" s="6">
        <v>106</v>
      </c>
      <c r="D946" s="4"/>
      <c r="E946" s="6">
        <f>E945+C946-D946</f>
      </c>
      <c r="F946" s="2"/>
    </row>
    <row x14ac:dyDescent="0.25" r="947" customHeight="1" ht="17.25">
      <c r="A947" s="7">
        <v>45965</v>
      </c>
      <c r="B947" s="9" t="s">
        <v>3</v>
      </c>
      <c r="C947" s="6">
        <v>41</v>
      </c>
      <c r="D947" s="4"/>
      <c r="E947" s="6">
        <f>E946+C947-D947</f>
      </c>
      <c r="F947" s="2"/>
    </row>
    <row x14ac:dyDescent="0.25" r="948" customHeight="1" ht="17.25">
      <c r="A948" s="7">
        <v>45966</v>
      </c>
      <c r="B948" s="9" t="s">
        <v>316</v>
      </c>
      <c r="C948" s="3"/>
      <c r="D948" s="6">
        <v>30</v>
      </c>
      <c r="E948" s="6">
        <f>E947+C948-D948</f>
      </c>
      <c r="F948" s="2"/>
    </row>
    <row x14ac:dyDescent="0.25" r="949" customHeight="1" ht="17.25">
      <c r="A949" s="7">
        <v>45966</v>
      </c>
      <c r="B949" s="9" t="s">
        <v>424</v>
      </c>
      <c r="C949" s="3"/>
      <c r="D949" s="6">
        <v>10</v>
      </c>
      <c r="E949" s="6">
        <f>E948+C949-D949</f>
      </c>
      <c r="F949" s="2"/>
    </row>
    <row x14ac:dyDescent="0.25" r="950" customHeight="1" ht="17.25">
      <c r="A950" s="7">
        <v>45966</v>
      </c>
      <c r="B950" s="9" t="s">
        <v>318</v>
      </c>
      <c r="C950" s="3"/>
      <c r="D950" s="6">
        <v>32</v>
      </c>
      <c r="E950" s="6">
        <f>E949+C950-D950</f>
      </c>
      <c r="F950" s="2"/>
    </row>
    <row x14ac:dyDescent="0.25" r="951" customHeight="1" ht="17.25">
      <c r="A951" s="8">
        <v>45966</v>
      </c>
      <c r="B951" s="9" t="s">
        <v>347</v>
      </c>
      <c r="C951" s="6">
        <v>8</v>
      </c>
      <c r="D951" s="4"/>
      <c r="E951" s="6">
        <f>E950+C951-D951</f>
      </c>
      <c r="F951" s="2"/>
    </row>
    <row x14ac:dyDescent="0.25" r="952" customHeight="1" ht="17.25">
      <c r="A952" s="8">
        <v>45966</v>
      </c>
      <c r="B952" s="9" t="s">
        <v>184</v>
      </c>
      <c r="C952" s="6">
        <v>47</v>
      </c>
      <c r="D952" s="4"/>
      <c r="E952" s="6">
        <f>E951+C952-D952</f>
      </c>
      <c r="F952" s="2"/>
    </row>
    <row x14ac:dyDescent="0.25" r="953" customHeight="1" ht="17.25">
      <c r="A953" s="8">
        <v>45966</v>
      </c>
      <c r="B953" s="9" t="s">
        <v>3</v>
      </c>
      <c r="C953" s="6">
        <v>29</v>
      </c>
      <c r="D953" s="4"/>
      <c r="E953" s="6">
        <f>E952+C953-D953</f>
      </c>
      <c r="F953" s="2"/>
    </row>
    <row x14ac:dyDescent="0.25" r="954" customHeight="1" ht="17.25">
      <c r="A954" s="7">
        <v>45967</v>
      </c>
      <c r="B954" s="9" t="s">
        <v>46</v>
      </c>
      <c r="C954" s="3"/>
      <c r="D954" s="6">
        <v>150</v>
      </c>
      <c r="E954" s="6">
        <f>E953+C954-D954</f>
      </c>
      <c r="F954" s="2"/>
    </row>
    <row x14ac:dyDescent="0.25" r="955" customHeight="1" ht="17.25">
      <c r="A955" s="7">
        <v>45967</v>
      </c>
      <c r="B955" s="9" t="s">
        <v>283</v>
      </c>
      <c r="C955" s="6">
        <v>10</v>
      </c>
      <c r="D955" s="4"/>
      <c r="E955" s="6">
        <f>E954+C955-D955</f>
      </c>
      <c r="F955" s="2"/>
    </row>
    <row x14ac:dyDescent="0.25" r="956" customHeight="1" ht="17.25">
      <c r="A956" s="7">
        <v>45968</v>
      </c>
      <c r="B956" s="9" t="s">
        <v>63</v>
      </c>
      <c r="C956" s="6">
        <v>150</v>
      </c>
      <c r="D956" s="4"/>
      <c r="E956" s="6">
        <f>E955+C956-D956</f>
      </c>
      <c r="F956" s="2"/>
    </row>
    <row x14ac:dyDescent="0.25" r="957" customHeight="1" ht="17.25">
      <c r="A957" s="8">
        <v>45968</v>
      </c>
      <c r="B957" s="9" t="s">
        <v>26</v>
      </c>
      <c r="C957" s="3"/>
      <c r="D957" s="6">
        <v>50</v>
      </c>
      <c r="E957" s="6">
        <f>E956+C957-D957</f>
      </c>
      <c r="F957" s="2"/>
    </row>
    <row x14ac:dyDescent="0.25" r="958" customHeight="1" ht="17.25">
      <c r="A958" s="7">
        <v>45968</v>
      </c>
      <c r="B958" s="9" t="s">
        <v>316</v>
      </c>
      <c r="C958" s="3"/>
      <c r="D958" s="6">
        <v>50</v>
      </c>
      <c r="E958" s="6">
        <f>E957+C958-D958</f>
      </c>
      <c r="F958" s="2"/>
    </row>
    <row x14ac:dyDescent="0.25" r="959" customHeight="1" ht="17.25">
      <c r="A959" s="7">
        <v>45968</v>
      </c>
      <c r="B959" s="9" t="s">
        <v>52</v>
      </c>
      <c r="C959" s="6">
        <v>18</v>
      </c>
      <c r="D959" s="4"/>
      <c r="E959" s="6">
        <f>E958+C959-D959</f>
      </c>
      <c r="F959" s="2"/>
    </row>
    <row x14ac:dyDescent="0.25" r="960" customHeight="1" ht="17.25">
      <c r="A960" s="7">
        <v>45968</v>
      </c>
      <c r="B960" s="9" t="s">
        <v>3</v>
      </c>
      <c r="C960" s="6">
        <v>13</v>
      </c>
      <c r="D960" s="4"/>
      <c r="E960" s="6">
        <f>E959+C960-D960</f>
      </c>
      <c r="F960" s="2"/>
    </row>
    <row x14ac:dyDescent="0.25" r="961" customHeight="1" ht="17.25">
      <c r="A961" s="7">
        <v>45968</v>
      </c>
      <c r="B961" s="9" t="s">
        <v>100</v>
      </c>
      <c r="C961" s="6">
        <v>27</v>
      </c>
      <c r="D961" s="4"/>
      <c r="E961" s="6">
        <f>E960+C961-D961</f>
      </c>
      <c r="F961" s="2"/>
    </row>
    <row x14ac:dyDescent="0.25" r="962" customHeight="1" ht="17.25">
      <c r="A962" s="7">
        <v>45969</v>
      </c>
      <c r="B962" s="9" t="s">
        <v>297</v>
      </c>
      <c r="C962" s="3"/>
      <c r="D962" s="6">
        <v>40</v>
      </c>
      <c r="E962" s="6">
        <f>E961+C962-D962</f>
      </c>
      <c r="F962" s="2"/>
    </row>
    <row x14ac:dyDescent="0.25" r="963" customHeight="1" ht="17.25">
      <c r="A963" s="7">
        <v>45969</v>
      </c>
      <c r="B963" s="9" t="s">
        <v>460</v>
      </c>
      <c r="C963" s="3"/>
      <c r="D963" s="6">
        <v>10</v>
      </c>
      <c r="E963" s="6">
        <f>E962+C963-D963</f>
      </c>
      <c r="F963" s="2"/>
    </row>
    <row x14ac:dyDescent="0.25" r="964" customHeight="1" ht="17.25">
      <c r="A964" s="7">
        <v>45969</v>
      </c>
      <c r="B964" s="9" t="s">
        <v>26</v>
      </c>
      <c r="C964" s="3"/>
      <c r="D964" s="6">
        <v>50</v>
      </c>
      <c r="E964" s="6">
        <f>E963+C964-D964</f>
      </c>
      <c r="F964" s="2"/>
    </row>
    <row x14ac:dyDescent="0.25" r="965" customHeight="1" ht="17.25">
      <c r="A965" s="7">
        <v>45969</v>
      </c>
      <c r="B965" s="9" t="s">
        <v>63</v>
      </c>
      <c r="C965" s="6">
        <v>50</v>
      </c>
      <c r="D965" s="4"/>
      <c r="E965" s="6">
        <f>E964+C965-D965</f>
      </c>
      <c r="F965" s="2"/>
    </row>
    <row x14ac:dyDescent="0.25" r="966" customHeight="1" ht="17.25">
      <c r="A966" s="7">
        <v>45969</v>
      </c>
      <c r="B966" s="9" t="s">
        <v>184</v>
      </c>
      <c r="C966" s="6">
        <v>81</v>
      </c>
      <c r="D966" s="4"/>
      <c r="E966" s="6">
        <f>E965+C966-D966</f>
      </c>
      <c r="F966" s="2"/>
    </row>
    <row x14ac:dyDescent="0.25" r="967" customHeight="1" ht="17.25">
      <c r="A967" s="7">
        <v>45971</v>
      </c>
      <c r="B967" s="9" t="s">
        <v>316</v>
      </c>
      <c r="C967" s="3"/>
      <c r="D967" s="6">
        <v>50</v>
      </c>
      <c r="E967" s="6">
        <f>E966+C967-D967</f>
      </c>
      <c r="F967" s="2"/>
    </row>
    <row x14ac:dyDescent="0.25" r="968" customHeight="1" ht="17.25">
      <c r="A968" s="7">
        <v>45971</v>
      </c>
      <c r="B968" s="9" t="s">
        <v>316</v>
      </c>
      <c r="C968" s="3"/>
      <c r="D968" s="6">
        <v>15</v>
      </c>
      <c r="E968" s="6">
        <f>E967+C968-D968</f>
      </c>
      <c r="F968" s="2"/>
    </row>
    <row x14ac:dyDescent="0.25" r="969" customHeight="1" ht="17.25">
      <c r="A969" s="7">
        <v>45971</v>
      </c>
      <c r="B969" s="9" t="s">
        <v>318</v>
      </c>
      <c r="C969" s="3"/>
      <c r="D969" s="6">
        <v>20</v>
      </c>
      <c r="E969" s="6">
        <f>E968+C969-D969</f>
      </c>
      <c r="F969" s="2"/>
    </row>
    <row x14ac:dyDescent="0.25" r="970" customHeight="1" ht="17.25">
      <c r="A970" s="7">
        <v>45971</v>
      </c>
      <c r="B970" s="9" t="s">
        <v>26</v>
      </c>
      <c r="C970" s="3"/>
      <c r="D970" s="6">
        <v>100</v>
      </c>
      <c r="E970" s="6">
        <v>0</v>
      </c>
      <c r="F970" s="2"/>
    </row>
    <row x14ac:dyDescent="0.25" r="971" customHeight="1" ht="17.25">
      <c r="A971" s="7">
        <v>45972</v>
      </c>
      <c r="B971" s="9" t="s">
        <v>63</v>
      </c>
      <c r="C971" s="6">
        <v>23</v>
      </c>
      <c r="D971" s="4"/>
      <c r="E971" s="4"/>
      <c r="F971" s="2"/>
    </row>
    <row x14ac:dyDescent="0.25" r="972" customHeight="1" ht="17.25">
      <c r="A972" s="7">
        <v>45972</v>
      </c>
      <c r="B972" s="9" t="s">
        <v>316</v>
      </c>
      <c r="C972" s="3"/>
      <c r="D972" s="6">
        <v>57</v>
      </c>
      <c r="E972" s="4"/>
      <c r="F972" s="2"/>
    </row>
    <row x14ac:dyDescent="0.25" r="973" customHeight="1" ht="17.25">
      <c r="A973" s="7">
        <v>45973</v>
      </c>
      <c r="B973" s="9" t="s">
        <v>63</v>
      </c>
      <c r="C973" s="6">
        <v>128</v>
      </c>
      <c r="D973" s="4"/>
      <c r="E973" s="4"/>
      <c r="F973" s="2"/>
    </row>
    <row x14ac:dyDescent="0.25" r="974" customHeight="1" ht="17.25">
      <c r="A974" s="8">
        <v>45973</v>
      </c>
      <c r="B974" s="9" t="s">
        <v>234</v>
      </c>
      <c r="C974" s="6">
        <v>79</v>
      </c>
      <c r="D974" s="4"/>
      <c r="E974" s="4"/>
      <c r="F974" s="2"/>
    </row>
    <row x14ac:dyDescent="0.25" r="975" customHeight="1" ht="17.25">
      <c r="A975" s="8">
        <v>45973</v>
      </c>
      <c r="B975" s="9" t="s">
        <v>42</v>
      </c>
      <c r="C975" s="3"/>
      <c r="D975" s="6">
        <v>60</v>
      </c>
      <c r="E975" s="4"/>
      <c r="F975" s="2"/>
    </row>
    <row x14ac:dyDescent="0.25" r="976" customHeight="1" ht="17.25">
      <c r="A976" s="7">
        <v>45973</v>
      </c>
      <c r="B976" s="9" t="s">
        <v>313</v>
      </c>
      <c r="C976" s="3"/>
      <c r="D976" s="6">
        <v>68</v>
      </c>
      <c r="E976" s="6">
        <v>79</v>
      </c>
      <c r="F976" s="2"/>
    </row>
    <row x14ac:dyDescent="0.25" r="977" customHeight="1" ht="17.25">
      <c r="A977" s="7">
        <v>45974</v>
      </c>
      <c r="B977" s="9" t="s">
        <v>29</v>
      </c>
      <c r="C977" s="6">
        <v>5</v>
      </c>
      <c r="D977" s="4"/>
      <c r="E977" s="6">
        <f>E976+C977-D977</f>
      </c>
      <c r="F977" s="2"/>
    </row>
    <row x14ac:dyDescent="0.25" r="978" customHeight="1" ht="17.25">
      <c r="A978" s="8">
        <v>45974</v>
      </c>
      <c r="B978" s="9" t="s">
        <v>228</v>
      </c>
      <c r="C978" s="6">
        <v>77</v>
      </c>
      <c r="D978" s="4"/>
      <c r="E978" s="6">
        <f>E977+C978-D978</f>
      </c>
      <c r="F978" s="2"/>
    </row>
    <row x14ac:dyDescent="0.25" r="979" customHeight="1" ht="17.25">
      <c r="A979" s="7">
        <v>45974</v>
      </c>
      <c r="B979" s="9" t="s">
        <v>316</v>
      </c>
      <c r="C979" s="3"/>
      <c r="D979" s="6">
        <v>50</v>
      </c>
      <c r="E979" s="6">
        <f>E978+C979-D979</f>
      </c>
      <c r="F979" s="2"/>
    </row>
    <row x14ac:dyDescent="0.25" r="980" customHeight="1" ht="17.25">
      <c r="A980" s="7">
        <v>45974</v>
      </c>
      <c r="B980" s="9" t="s">
        <v>428</v>
      </c>
      <c r="C980" s="3"/>
      <c r="D980" s="6">
        <v>6</v>
      </c>
      <c r="E980" s="6">
        <f>E979+C980-D980</f>
      </c>
      <c r="F980" s="2"/>
    </row>
    <row x14ac:dyDescent="0.25" r="981" customHeight="1" ht="17.25">
      <c r="A981" s="7">
        <v>45974</v>
      </c>
      <c r="B981" s="9" t="s">
        <v>318</v>
      </c>
      <c r="C981" s="3"/>
      <c r="D981" s="6">
        <v>28</v>
      </c>
      <c r="E981" s="6">
        <f>E980+C981-D981</f>
      </c>
      <c r="F981" s="2"/>
    </row>
    <row x14ac:dyDescent="0.25" r="982" customHeight="1" ht="17.25">
      <c r="A982" s="8">
        <v>45975</v>
      </c>
      <c r="B982" s="9" t="s">
        <v>141</v>
      </c>
      <c r="C982" s="6">
        <v>7</v>
      </c>
      <c r="D982" s="4"/>
      <c r="E982" s="6">
        <f>E981+C982-D982</f>
      </c>
      <c r="F982" s="2"/>
    </row>
    <row x14ac:dyDescent="0.25" r="983" customHeight="1" ht="17.25">
      <c r="A983" s="7">
        <v>45975</v>
      </c>
      <c r="B983" s="9" t="s">
        <v>100</v>
      </c>
      <c r="C983" s="6">
        <v>24</v>
      </c>
      <c r="D983" s="4"/>
      <c r="E983" s="6">
        <f>E982+C983-D983</f>
      </c>
      <c r="F983" s="2"/>
    </row>
    <row x14ac:dyDescent="0.25" r="984" customHeight="1" ht="17.25">
      <c r="A984" s="7">
        <v>45975</v>
      </c>
      <c r="B984" s="9" t="s">
        <v>316</v>
      </c>
      <c r="C984" s="3"/>
      <c r="D984" s="6">
        <v>85</v>
      </c>
      <c r="E984" s="6">
        <f>E983+C984-D984</f>
      </c>
      <c r="F984" s="2"/>
    </row>
    <row x14ac:dyDescent="0.25" r="985" customHeight="1" ht="17.25">
      <c r="A985" s="7">
        <v>45976</v>
      </c>
      <c r="B985" s="9" t="s">
        <v>2</v>
      </c>
      <c r="C985" s="3"/>
      <c r="D985" s="6">
        <v>30</v>
      </c>
      <c r="E985" s="6">
        <v>0</v>
      </c>
      <c r="F985" s="2"/>
    </row>
    <row x14ac:dyDescent="0.25" r="986" customHeight="1" ht="17.25">
      <c r="A986" s="8">
        <v>45978</v>
      </c>
      <c r="B986" s="9" t="s">
        <v>461</v>
      </c>
      <c r="C986" s="3"/>
      <c r="D986" s="6">
        <v>5</v>
      </c>
      <c r="E986" s="6">
        <f>E985+C986-D986</f>
      </c>
      <c r="F986" s="2"/>
    </row>
    <row x14ac:dyDescent="0.25" r="987" customHeight="1" ht="17.25">
      <c r="A987" s="8">
        <v>45978</v>
      </c>
      <c r="B987" s="9" t="s">
        <v>320</v>
      </c>
      <c r="C987" s="6">
        <v>21</v>
      </c>
      <c r="D987" s="4"/>
      <c r="E987" s="6">
        <f>E986+C987-D987</f>
      </c>
      <c r="F987" s="2"/>
    </row>
    <row x14ac:dyDescent="0.25" r="988" customHeight="1" ht="17.25">
      <c r="A988" s="8">
        <v>45979</v>
      </c>
      <c r="B988" s="9" t="s">
        <v>182</v>
      </c>
      <c r="C988" s="6">
        <v>110</v>
      </c>
      <c r="D988" s="4"/>
      <c r="E988" s="6">
        <f>E987+C988-D988</f>
      </c>
      <c r="F988" s="2"/>
    </row>
    <row x14ac:dyDescent="0.25" r="989" customHeight="1" ht="17.25">
      <c r="A989" s="8">
        <v>45979</v>
      </c>
      <c r="B989" s="9" t="s">
        <v>321</v>
      </c>
      <c r="C989" s="6">
        <v>16</v>
      </c>
      <c r="D989" s="4"/>
      <c r="E989" s="6">
        <f>E988+C989-D989</f>
      </c>
      <c r="F989" s="2"/>
    </row>
    <row x14ac:dyDescent="0.25" r="990" customHeight="1" ht="17.25">
      <c r="A990" s="7">
        <v>45980</v>
      </c>
      <c r="B990" s="9" t="s">
        <v>316</v>
      </c>
      <c r="C990" s="3"/>
      <c r="D990" s="6">
        <v>130</v>
      </c>
      <c r="E990" s="6">
        <f>E989+C990-D990</f>
      </c>
      <c r="F990" s="2"/>
    </row>
    <row x14ac:dyDescent="0.25" r="991" customHeight="1" ht="17.25">
      <c r="A991" s="8">
        <v>45980</v>
      </c>
      <c r="B991" s="9" t="s">
        <v>42</v>
      </c>
      <c r="C991" s="3"/>
      <c r="D991" s="6">
        <v>20</v>
      </c>
      <c r="E991" s="6">
        <f>E990+C991-D991</f>
      </c>
      <c r="F991" s="2"/>
    </row>
    <row x14ac:dyDescent="0.25" r="992" customHeight="1" ht="17.25">
      <c r="A992" s="8">
        <v>45980</v>
      </c>
      <c r="B992" s="9" t="s">
        <v>42</v>
      </c>
      <c r="C992" s="3"/>
      <c r="D992" s="6">
        <v>20</v>
      </c>
      <c r="E992" s="6">
        <f>E991+C992-D992</f>
      </c>
      <c r="F992" s="2"/>
    </row>
    <row x14ac:dyDescent="0.25" r="993" customHeight="1" ht="17.25">
      <c r="A993" s="8">
        <v>45980</v>
      </c>
      <c r="B993" s="9" t="s">
        <v>313</v>
      </c>
      <c r="C993" s="3"/>
      <c r="D993" s="6">
        <v>34</v>
      </c>
      <c r="E993" s="6">
        <f>E992+C993-D993</f>
      </c>
      <c r="F993" s="2"/>
    </row>
    <row x14ac:dyDescent="0.25" r="994" customHeight="1" ht="17.25">
      <c r="A994" s="7">
        <v>45980</v>
      </c>
      <c r="B994" s="9" t="s">
        <v>284</v>
      </c>
      <c r="C994" s="6">
        <v>264</v>
      </c>
      <c r="D994" s="4"/>
      <c r="E994" s="6">
        <f>E993+C994-D994</f>
      </c>
      <c r="F994" s="2"/>
    </row>
    <row x14ac:dyDescent="0.25" r="995" customHeight="1" ht="17.25">
      <c r="A995" s="8">
        <v>45980</v>
      </c>
      <c r="B995" s="9" t="s">
        <v>385</v>
      </c>
      <c r="C995" s="6">
        <v>50</v>
      </c>
      <c r="D995" s="4"/>
      <c r="E995" s="6">
        <f>E994+C995-D995</f>
      </c>
      <c r="F995" s="2"/>
    </row>
    <row x14ac:dyDescent="0.25" r="996" customHeight="1" ht="17.25">
      <c r="A996" s="7">
        <v>45981</v>
      </c>
      <c r="B996" s="9" t="s">
        <v>389</v>
      </c>
      <c r="C996" s="3"/>
      <c r="D996" s="6">
        <v>165</v>
      </c>
      <c r="E996" s="6">
        <f>E995+C996-D996</f>
      </c>
      <c r="F996" s="2"/>
    </row>
    <row x14ac:dyDescent="0.25" r="997" customHeight="1" ht="17.25">
      <c r="A997" s="7">
        <v>45981</v>
      </c>
      <c r="B997" s="9" t="s">
        <v>291</v>
      </c>
      <c r="C997" s="6">
        <v>76</v>
      </c>
      <c r="D997" s="4"/>
      <c r="E997" s="6">
        <f>E996+C997-D997</f>
      </c>
      <c r="F997" s="2"/>
    </row>
    <row x14ac:dyDescent="0.25" r="998" customHeight="1" ht="17.25">
      <c r="A998" s="7">
        <v>45982</v>
      </c>
      <c r="B998" s="9" t="s">
        <v>316</v>
      </c>
      <c r="C998" s="3"/>
      <c r="D998" s="6">
        <v>105</v>
      </c>
      <c r="E998" s="6">
        <f>E997+C998-D998</f>
      </c>
      <c r="F998" s="2"/>
    </row>
    <row x14ac:dyDescent="0.25" r="999" customHeight="1" ht="17.25">
      <c r="A999" s="8">
        <v>45983</v>
      </c>
      <c r="B999" s="9" t="s">
        <v>462</v>
      </c>
      <c r="C999" s="3"/>
      <c r="D999" s="6">
        <v>4</v>
      </c>
      <c r="E999" s="6">
        <f>E998+C999-D999</f>
      </c>
      <c r="F999" s="2"/>
    </row>
    <row x14ac:dyDescent="0.25" r="1000" customHeight="1" ht="17.25">
      <c r="A1000" s="8">
        <v>45985</v>
      </c>
      <c r="B1000" s="9" t="s">
        <v>286</v>
      </c>
      <c r="C1000" s="3"/>
      <c r="D1000" s="6">
        <v>202</v>
      </c>
      <c r="E1000" s="6">
        <f>E999+C1000-D1000</f>
      </c>
      <c r="F1000" s="2"/>
    </row>
    <row x14ac:dyDescent="0.25" r="1001" customHeight="1" ht="17.25">
      <c r="A1001" s="8">
        <v>45985</v>
      </c>
      <c r="B1001" s="9" t="s">
        <v>29</v>
      </c>
      <c r="C1001" s="6">
        <v>16</v>
      </c>
      <c r="D1001" s="4"/>
      <c r="E1001" s="6">
        <f>E1000+C1001-D1001</f>
      </c>
      <c r="F1001" s="2"/>
    </row>
    <row x14ac:dyDescent="0.25" r="1002" customHeight="1" ht="17.25">
      <c r="A1002" s="7">
        <v>45985</v>
      </c>
      <c r="B1002" s="9" t="s">
        <v>182</v>
      </c>
      <c r="C1002" s="6">
        <v>92</v>
      </c>
      <c r="D1002" s="4"/>
      <c r="E1002" s="6">
        <f>E1001+C1002-D1002</f>
      </c>
      <c r="F1002" s="2"/>
    </row>
    <row x14ac:dyDescent="0.25" r="1003" customHeight="1" ht="17.25">
      <c r="A1003" s="8">
        <v>45985</v>
      </c>
      <c r="B1003" s="9" t="s">
        <v>228</v>
      </c>
      <c r="C1003" s="6">
        <v>85</v>
      </c>
      <c r="D1003" s="4"/>
      <c r="E1003" s="6">
        <f>E1002+C1003-D1003</f>
      </c>
      <c r="F1003" s="2"/>
    </row>
    <row x14ac:dyDescent="0.25" r="1004" customHeight="1" ht="17.25">
      <c r="A1004" s="7">
        <v>45986</v>
      </c>
      <c r="B1004" s="9" t="s">
        <v>63</v>
      </c>
      <c r="C1004" s="6">
        <v>150</v>
      </c>
      <c r="D1004" s="4"/>
      <c r="E1004" s="6">
        <f>E1003+C1004-D1004</f>
      </c>
      <c r="F1004" s="2"/>
    </row>
    <row x14ac:dyDescent="0.25" r="1005" customHeight="1" ht="17.25">
      <c r="A1005" s="7">
        <v>45986</v>
      </c>
      <c r="B1005" s="9" t="s">
        <v>316</v>
      </c>
      <c r="C1005" s="3"/>
      <c r="D1005" s="6">
        <v>50</v>
      </c>
      <c r="E1005" s="6">
        <f>E1004+C1005-D1005</f>
      </c>
      <c r="F1005" s="2"/>
    </row>
    <row x14ac:dyDescent="0.25" r="1006" customHeight="1" ht="17.25">
      <c r="A1006" s="7">
        <v>45986</v>
      </c>
      <c r="B1006" s="9" t="s">
        <v>3</v>
      </c>
      <c r="C1006" s="6">
        <v>20</v>
      </c>
      <c r="D1006" s="4"/>
      <c r="E1006" s="6">
        <f>E1005+C1006-D1006</f>
      </c>
      <c r="F1006" s="2"/>
    </row>
    <row x14ac:dyDescent="0.25" r="1007" customHeight="1" ht="17.25">
      <c r="A1007" s="7">
        <v>45986</v>
      </c>
      <c r="B1007" s="9" t="s">
        <v>391</v>
      </c>
      <c r="C1007" s="6">
        <v>12</v>
      </c>
      <c r="D1007" s="4"/>
      <c r="E1007" s="6">
        <f>E1006+C1007-D1007</f>
      </c>
      <c r="F1007" s="2"/>
    </row>
    <row x14ac:dyDescent="0.25" r="1008" customHeight="1" ht="17.25">
      <c r="A1008" s="7">
        <v>45987</v>
      </c>
      <c r="B1008" s="9" t="s">
        <v>316</v>
      </c>
      <c r="C1008" s="3"/>
      <c r="D1008" s="6">
        <v>100</v>
      </c>
      <c r="E1008" s="6">
        <f>E1007+C1008-D1008</f>
      </c>
      <c r="F1008" s="2"/>
    </row>
    <row x14ac:dyDescent="0.25" r="1009" customHeight="1" ht="17.25">
      <c r="A1009" s="8">
        <v>45987</v>
      </c>
      <c r="B1009" s="9" t="s">
        <v>63</v>
      </c>
      <c r="C1009" s="3"/>
      <c r="D1009" s="4"/>
      <c r="E1009" s="6">
        <f>E1008+C1009-D1009</f>
      </c>
      <c r="F1009" s="2"/>
    </row>
    <row x14ac:dyDescent="0.25" r="1010" customHeight="1" ht="17.25">
      <c r="A1010" s="8">
        <v>45987</v>
      </c>
      <c r="B1010" s="9" t="s">
        <v>53</v>
      </c>
      <c r="C1010" s="3"/>
      <c r="D1010" s="6">
        <v>150</v>
      </c>
      <c r="E1010" s="6">
        <f>E1009+C1010-D1010</f>
      </c>
      <c r="F1010" s="2"/>
    </row>
    <row x14ac:dyDescent="0.25" r="1011" customHeight="1" ht="17.25">
      <c r="A1011" s="7">
        <v>45987</v>
      </c>
      <c r="B1011" s="9" t="s">
        <v>208</v>
      </c>
      <c r="C1011" s="6">
        <v>2</v>
      </c>
      <c r="D1011" s="4"/>
      <c r="E1011" s="6">
        <f>E1010+C1011-D1011</f>
      </c>
      <c r="F1011" s="2"/>
    </row>
    <row x14ac:dyDescent="0.25" r="1012" customHeight="1" ht="17.25">
      <c r="A1012" s="7">
        <v>45987</v>
      </c>
      <c r="B1012" s="9" t="s">
        <v>347</v>
      </c>
      <c r="C1012" s="6">
        <v>10</v>
      </c>
      <c r="D1012" s="4"/>
      <c r="E1012" s="6">
        <f>E1011+C1012-D1012</f>
      </c>
      <c r="F1012" s="2"/>
    </row>
    <row x14ac:dyDescent="0.25" r="1013" customHeight="1" ht="17.25">
      <c r="A1013" s="7">
        <v>45987</v>
      </c>
      <c r="B1013" s="9" t="s">
        <v>228</v>
      </c>
      <c r="C1013" s="6">
        <v>81</v>
      </c>
      <c r="D1013" s="4"/>
      <c r="E1013" s="6">
        <f>E1012+C1013-D1013</f>
      </c>
      <c r="F1013" s="2"/>
    </row>
    <row x14ac:dyDescent="0.25" r="1014" customHeight="1" ht="17.25">
      <c r="A1014" s="7">
        <v>45988</v>
      </c>
      <c r="B1014" s="9" t="s">
        <v>283</v>
      </c>
      <c r="C1014" s="6">
        <v>51</v>
      </c>
      <c r="D1014" s="4"/>
      <c r="E1014" s="6">
        <f>E1013+C1014-D1014</f>
      </c>
      <c r="F1014" s="2"/>
    </row>
    <row x14ac:dyDescent="0.25" r="1015" customHeight="1" ht="17.25">
      <c r="A1015" s="7">
        <v>45988</v>
      </c>
      <c r="B1015" s="9" t="s">
        <v>315</v>
      </c>
      <c r="C1015" s="6">
        <v>15</v>
      </c>
      <c r="D1015" s="4"/>
      <c r="E1015" s="6">
        <f>E1014+C1015-D1015</f>
      </c>
      <c r="F1015" s="2"/>
    </row>
    <row x14ac:dyDescent="0.25" r="1016" customHeight="1" ht="17.25">
      <c r="A1016" s="8">
        <v>45988</v>
      </c>
      <c r="B1016" s="9" t="s">
        <v>3</v>
      </c>
      <c r="C1016" s="6">
        <v>16</v>
      </c>
      <c r="D1016" s="4"/>
      <c r="E1016" s="6">
        <f>E1015+C1016-D1016</f>
      </c>
      <c r="F1016" s="2"/>
    </row>
    <row x14ac:dyDescent="0.25" r="1017" customHeight="1" ht="17.25">
      <c r="A1017" s="8">
        <v>45989</v>
      </c>
      <c r="B1017" s="9" t="s">
        <v>233</v>
      </c>
      <c r="C1017" s="3"/>
      <c r="D1017" s="6">
        <v>100</v>
      </c>
      <c r="E1017" s="6">
        <f>E1016+C1017-D1017</f>
      </c>
      <c r="F1017" s="2"/>
    </row>
    <row x14ac:dyDescent="0.25" r="1018" customHeight="1" ht="17.25">
      <c r="A1018" s="8">
        <v>45989</v>
      </c>
      <c r="B1018" s="9" t="s">
        <v>316</v>
      </c>
      <c r="C1018" s="3"/>
      <c r="D1018" s="6">
        <v>40</v>
      </c>
      <c r="E1018" s="6">
        <f>E1017+C1018-D1018</f>
      </c>
      <c r="F1018" s="2"/>
    </row>
    <row x14ac:dyDescent="0.25" r="1019" customHeight="1" ht="17.25">
      <c r="A1019" s="7">
        <v>45989</v>
      </c>
      <c r="B1019" s="9" t="s">
        <v>289</v>
      </c>
      <c r="C1019" s="3"/>
      <c r="D1019" s="6">
        <v>40</v>
      </c>
      <c r="E1019" s="6">
        <f>E1018+C1019-D1019</f>
      </c>
      <c r="F1019" s="2"/>
    </row>
    <row x14ac:dyDescent="0.25" r="1020" customHeight="1" ht="17.25">
      <c r="A1020" s="7">
        <v>45989</v>
      </c>
      <c r="B1020" s="9" t="s">
        <v>403</v>
      </c>
      <c r="C1020" s="3"/>
      <c r="D1020" s="6">
        <v>30</v>
      </c>
      <c r="E1020" s="6">
        <f>E1019+C1020-D1020</f>
      </c>
      <c r="F1020" s="2"/>
    </row>
    <row x14ac:dyDescent="0.25" r="1021" customHeight="1" ht="17.25">
      <c r="A1021" s="7">
        <v>45989</v>
      </c>
      <c r="B1021" s="9" t="s">
        <v>63</v>
      </c>
      <c r="C1021" s="6">
        <v>230</v>
      </c>
      <c r="D1021" s="4"/>
      <c r="E1021" s="6">
        <f>E1020+C1021-D1021</f>
      </c>
      <c r="F1021" s="2"/>
    </row>
    <row x14ac:dyDescent="0.25" r="1022" customHeight="1" ht="17.25">
      <c r="A1022" s="7">
        <v>45989</v>
      </c>
      <c r="B1022" s="9" t="s">
        <v>461</v>
      </c>
      <c r="C1022" s="6">
        <v>5</v>
      </c>
      <c r="D1022" s="4"/>
      <c r="E1022" s="6">
        <f>E1021+C1022-D1022</f>
      </c>
      <c r="F1022" s="2"/>
    </row>
    <row x14ac:dyDescent="0.25" r="1023" customHeight="1" ht="17.25">
      <c r="A1023" s="8">
        <v>45990</v>
      </c>
      <c r="B1023" s="9" t="s">
        <v>53</v>
      </c>
      <c r="C1023" s="3"/>
      <c r="D1023" s="6">
        <v>100</v>
      </c>
      <c r="E1023" s="6">
        <f>E1022+C1023-D1023</f>
      </c>
      <c r="F1023" s="2"/>
    </row>
    <row x14ac:dyDescent="0.25" r="1024" customHeight="1" ht="17.25">
      <c r="A1024" s="7">
        <v>45990</v>
      </c>
      <c r="B1024" s="9" t="s">
        <v>463</v>
      </c>
      <c r="C1024" s="6">
        <v>67</v>
      </c>
      <c r="D1024" s="4"/>
      <c r="E1024" s="6">
        <f>E1023+C1024-D1024</f>
      </c>
      <c r="F1024" s="2"/>
    </row>
    <row x14ac:dyDescent="0.25" r="1025" customHeight="1" ht="17.25">
      <c r="A1025" s="7">
        <v>45990</v>
      </c>
      <c r="B1025" s="9" t="s">
        <v>63</v>
      </c>
      <c r="C1025" s="6">
        <v>100</v>
      </c>
      <c r="D1025" s="4"/>
      <c r="E1025" s="6">
        <f>E1024+C1025-D1025</f>
      </c>
      <c r="F1025" s="2"/>
    </row>
    <row x14ac:dyDescent="0.25" r="1026" customHeight="1" ht="17.25">
      <c r="A1026" s="7">
        <v>45990</v>
      </c>
      <c r="B1026" s="9" t="s">
        <v>289</v>
      </c>
      <c r="C1026" s="3"/>
      <c r="D1026" s="6">
        <v>59</v>
      </c>
      <c r="E1026" s="6">
        <f>E1025+C1026-D1026</f>
      </c>
      <c r="F1026" s="2"/>
    </row>
    <row x14ac:dyDescent="0.25" r="1027" customHeight="1" ht="17.25">
      <c r="A1027" s="7">
        <v>45991</v>
      </c>
      <c r="B1027" s="9" t="s">
        <v>316</v>
      </c>
      <c r="C1027" s="3"/>
      <c r="D1027" s="6">
        <v>50</v>
      </c>
      <c r="E1027" s="6">
        <f>E1026+C1027-D1027</f>
      </c>
      <c r="F1027" s="2"/>
    </row>
    <row x14ac:dyDescent="0.25" r="1028" customHeight="1" ht="17.25">
      <c r="A1028" s="8">
        <v>45992</v>
      </c>
      <c r="B1028" s="9" t="s">
        <v>63</v>
      </c>
      <c r="C1028" s="6">
        <v>200</v>
      </c>
      <c r="D1028" s="4"/>
      <c r="E1028" s="6">
        <f>E1027+C1028-D1028</f>
      </c>
      <c r="F1028" s="2"/>
    </row>
    <row x14ac:dyDescent="0.25" r="1029" customHeight="1" ht="17.25">
      <c r="A1029" s="8">
        <v>45992</v>
      </c>
      <c r="B1029" s="9" t="s">
        <v>185</v>
      </c>
      <c r="C1029" s="3"/>
      <c r="D1029" s="6">
        <v>150</v>
      </c>
      <c r="E1029" s="4"/>
      <c r="F1029" s="2"/>
    </row>
    <row x14ac:dyDescent="0.25" r="1030" customHeight="1" ht="17.25">
      <c r="A1030" s="8">
        <v>45992</v>
      </c>
      <c r="B1030" s="9" t="s">
        <v>53</v>
      </c>
      <c r="C1030" s="3"/>
      <c r="D1030" s="6">
        <v>50</v>
      </c>
      <c r="E1030" s="6">
        <f>E1029+C1030-D1030</f>
      </c>
      <c r="F1030" s="2"/>
    </row>
    <row x14ac:dyDescent="0.25" r="1031" customHeight="1" ht="17.25">
      <c r="A1031" s="8">
        <v>45992</v>
      </c>
      <c r="B1031" s="9" t="s">
        <v>284</v>
      </c>
      <c r="C1031" s="6">
        <v>79</v>
      </c>
      <c r="D1031" s="4"/>
      <c r="E1031" s="4"/>
      <c r="F1031" s="2"/>
    </row>
    <row x14ac:dyDescent="0.25" r="1032" customHeight="1" ht="17.25">
      <c r="A1032" s="7">
        <v>45992</v>
      </c>
      <c r="B1032" s="9" t="s">
        <v>233</v>
      </c>
      <c r="C1032" s="3"/>
      <c r="D1032" s="6">
        <v>45</v>
      </c>
      <c r="E1032" s="6">
        <f>E1030+C1032-D1032</f>
      </c>
      <c r="F1032" s="2"/>
    </row>
    <row x14ac:dyDescent="0.25" r="1033" customHeight="1" ht="17.25">
      <c r="A1033" s="7">
        <v>45992</v>
      </c>
      <c r="B1033" s="9" t="s">
        <v>228</v>
      </c>
      <c r="C1033" s="6">
        <v>20</v>
      </c>
      <c r="D1033" s="4"/>
      <c r="E1033" s="6">
        <f>E1032+C1033-D1033</f>
      </c>
      <c r="F1033" s="2"/>
    </row>
    <row x14ac:dyDescent="0.25" r="1034" customHeight="1" ht="17.25">
      <c r="A1034" s="7">
        <v>45993</v>
      </c>
      <c r="B1034" s="9" t="s">
        <v>460</v>
      </c>
      <c r="C1034" s="3"/>
      <c r="D1034" s="6">
        <v>6</v>
      </c>
      <c r="E1034" s="6">
        <f>E1033+C1034-D1034</f>
      </c>
      <c r="F1034" s="2"/>
    </row>
    <row x14ac:dyDescent="0.25" r="1035" customHeight="1" ht="17.25">
      <c r="A1035" s="7">
        <v>45993</v>
      </c>
      <c r="B1035" s="9" t="s">
        <v>42</v>
      </c>
      <c r="C1035" s="3"/>
      <c r="D1035" s="6">
        <v>50</v>
      </c>
      <c r="E1035" s="6">
        <f>E1034+C1035-D1035</f>
      </c>
      <c r="F1035" s="2"/>
    </row>
    <row x14ac:dyDescent="0.25" r="1036" customHeight="1" ht="17.25">
      <c r="A1036" s="7">
        <v>45993</v>
      </c>
      <c r="B1036" s="9" t="s">
        <v>53</v>
      </c>
      <c r="C1036" s="3"/>
      <c r="D1036" s="6">
        <v>90</v>
      </c>
      <c r="E1036" s="6">
        <f>E1035+C1036-D1036</f>
      </c>
      <c r="F1036" s="2"/>
    </row>
    <row x14ac:dyDescent="0.25" r="1037" customHeight="1" ht="17.25">
      <c r="A1037" s="7">
        <v>45993</v>
      </c>
      <c r="B1037" s="9" t="s">
        <v>46</v>
      </c>
      <c r="C1037" s="3"/>
      <c r="D1037" s="6">
        <v>200</v>
      </c>
      <c r="E1037" s="6">
        <f>E1036+C1037-D1037</f>
      </c>
      <c r="F1037" s="2"/>
    </row>
    <row x14ac:dyDescent="0.25" r="1038" customHeight="1" ht="17.25">
      <c r="A1038" s="7">
        <v>45993</v>
      </c>
      <c r="B1038" s="9" t="s">
        <v>315</v>
      </c>
      <c r="C1038" s="6">
        <v>14</v>
      </c>
      <c r="D1038" s="4"/>
      <c r="E1038" s="6">
        <f>E1037+C1038-D1038</f>
      </c>
      <c r="F1038" s="2"/>
    </row>
    <row x14ac:dyDescent="0.25" r="1039" customHeight="1" ht="17.25">
      <c r="A1039" s="7">
        <v>45994</v>
      </c>
      <c r="B1039" s="9" t="s">
        <v>63</v>
      </c>
      <c r="C1039" s="6">
        <v>101</v>
      </c>
      <c r="D1039" s="4"/>
      <c r="E1039" s="6">
        <f>E1038+C1039-D1039</f>
      </c>
      <c r="F1039" s="2"/>
    </row>
    <row x14ac:dyDescent="0.25" r="1040" customHeight="1" ht="17.25">
      <c r="A1040" s="8">
        <v>45994</v>
      </c>
      <c r="B1040" s="9" t="s">
        <v>313</v>
      </c>
      <c r="C1040" s="3"/>
      <c r="D1040" s="6">
        <v>25</v>
      </c>
      <c r="E1040" s="6">
        <f>E1039+C1040-D1040</f>
      </c>
      <c r="F1040" s="2"/>
    </row>
    <row x14ac:dyDescent="0.25" r="1041" customHeight="1" ht="17.25">
      <c r="A1041" s="7">
        <v>45994</v>
      </c>
      <c r="B1041" s="9" t="s">
        <v>460</v>
      </c>
      <c r="C1041" s="3"/>
      <c r="D1041" s="6">
        <v>10</v>
      </c>
      <c r="E1041" s="6">
        <f>E1040+C1041-D1041</f>
      </c>
      <c r="F1041" s="2"/>
    </row>
    <row x14ac:dyDescent="0.25" r="1042" customHeight="1" ht="17.25">
      <c r="A1042" s="8">
        <v>45994</v>
      </c>
      <c r="B1042" s="9" t="s">
        <v>2</v>
      </c>
      <c r="C1042" s="3"/>
      <c r="D1042" s="6">
        <v>24</v>
      </c>
      <c r="E1042" s="6">
        <f>E1041+C1042-D1042</f>
      </c>
      <c r="F1042" s="2"/>
    </row>
    <row x14ac:dyDescent="0.25" r="1043" customHeight="1" ht="17.25">
      <c r="A1043" s="7">
        <v>45994</v>
      </c>
      <c r="B1043" s="9" t="s">
        <v>402</v>
      </c>
      <c r="C1043" s="3"/>
      <c r="D1043" s="6">
        <v>10</v>
      </c>
      <c r="E1043" s="6">
        <f>E1042+C1043-D1043</f>
      </c>
      <c r="F1043" s="2"/>
    </row>
    <row x14ac:dyDescent="0.25" r="1044" customHeight="1" ht="17.25">
      <c r="A1044" s="7">
        <v>45994</v>
      </c>
      <c r="B1044" s="9" t="s">
        <v>3</v>
      </c>
      <c r="C1044" s="6">
        <v>7</v>
      </c>
      <c r="D1044" s="4"/>
      <c r="E1044" s="6">
        <f>E1043+C1044-D1044</f>
      </c>
      <c r="F1044" s="2"/>
    </row>
    <row x14ac:dyDescent="0.25" r="1045" customHeight="1" ht="17.25">
      <c r="A1045" s="7">
        <v>45994</v>
      </c>
      <c r="B1045" s="9" t="s">
        <v>141</v>
      </c>
      <c r="C1045" s="6">
        <v>4</v>
      </c>
      <c r="D1045" s="4"/>
      <c r="E1045" s="6">
        <f>E1044+C1045-D1045</f>
      </c>
      <c r="F1045" s="2"/>
    </row>
    <row x14ac:dyDescent="0.25" r="1046" customHeight="1" ht="17.25">
      <c r="A1046" s="7">
        <v>45995</v>
      </c>
      <c r="B1046" s="9" t="s">
        <v>284</v>
      </c>
      <c r="C1046" s="6">
        <v>415</v>
      </c>
      <c r="D1046" s="4"/>
      <c r="E1046" s="6">
        <v>415</v>
      </c>
      <c r="F1046" s="2"/>
    </row>
    <row x14ac:dyDescent="0.25" r="1047" customHeight="1" ht="17.25">
      <c r="A1047" s="7">
        <v>45995</v>
      </c>
      <c r="B1047" s="9" t="s">
        <v>316</v>
      </c>
      <c r="C1047" s="3"/>
      <c r="D1047" s="6">
        <v>50</v>
      </c>
      <c r="E1047" s="6">
        <f>E1046+C1047-D1047</f>
      </c>
      <c r="F1047" s="2"/>
    </row>
    <row x14ac:dyDescent="0.25" r="1048" customHeight="1" ht="17.25">
      <c r="A1048" s="7">
        <v>45995</v>
      </c>
      <c r="B1048" s="9" t="s">
        <v>402</v>
      </c>
      <c r="C1048" s="3"/>
      <c r="D1048" s="6">
        <v>40</v>
      </c>
      <c r="E1048" s="6">
        <f>E1047+C1048-D1048</f>
      </c>
      <c r="F1048" s="2"/>
    </row>
    <row x14ac:dyDescent="0.25" r="1049" customHeight="1" ht="17.25">
      <c r="A1049" s="7">
        <v>45995</v>
      </c>
      <c r="B1049" s="9" t="s">
        <v>310</v>
      </c>
      <c r="C1049" s="6">
        <v>20</v>
      </c>
      <c r="D1049" s="4"/>
      <c r="E1049" s="6">
        <f>E1048+C1049-D1049</f>
      </c>
      <c r="F1049" s="2"/>
    </row>
    <row x14ac:dyDescent="0.25" r="1050" customHeight="1" ht="17.25">
      <c r="A1050" s="7">
        <v>45996</v>
      </c>
      <c r="B1050" s="9" t="s">
        <v>316</v>
      </c>
      <c r="C1050" s="3"/>
      <c r="D1050" s="6">
        <v>150</v>
      </c>
      <c r="E1050" s="6">
        <f>E1049+C1050-D1050</f>
      </c>
      <c r="F1050" s="2"/>
    </row>
    <row x14ac:dyDescent="0.25" r="1051" customHeight="1" ht="17.25">
      <c r="A1051" s="7">
        <v>45996</v>
      </c>
      <c r="B1051" s="9" t="s">
        <v>297</v>
      </c>
      <c r="C1051" s="6">
        <v>25</v>
      </c>
      <c r="D1051" s="4"/>
      <c r="E1051" s="6">
        <f>E1050+C1051-D1051</f>
      </c>
      <c r="F1051" s="2"/>
    </row>
    <row x14ac:dyDescent="0.25" r="1052" customHeight="1" ht="17.25">
      <c r="A1052" s="7">
        <v>45996</v>
      </c>
      <c r="B1052" s="9" t="s">
        <v>228</v>
      </c>
      <c r="C1052" s="6">
        <v>28</v>
      </c>
      <c r="D1052" s="4"/>
      <c r="E1052" s="6">
        <f>E1051+C1052-D1052</f>
      </c>
      <c r="F1052" s="2"/>
    </row>
    <row x14ac:dyDescent="0.25" r="1053" customHeight="1" ht="17.25">
      <c r="A1053" s="7">
        <v>45996</v>
      </c>
      <c r="B1053" s="9" t="s">
        <v>228</v>
      </c>
      <c r="C1053" s="6">
        <v>40</v>
      </c>
      <c r="D1053" s="4"/>
      <c r="E1053" s="6">
        <f>E1052+C1053-D1053</f>
      </c>
      <c r="F1053" s="2"/>
    </row>
    <row x14ac:dyDescent="0.25" r="1054" customHeight="1" ht="17.25">
      <c r="A1054" s="7">
        <v>45999</v>
      </c>
      <c r="B1054" s="9" t="s">
        <v>56</v>
      </c>
      <c r="C1054" s="3"/>
      <c r="D1054" s="6">
        <v>20</v>
      </c>
      <c r="E1054" s="6">
        <f>E1053+C1054-D1054</f>
      </c>
      <c r="F1054" s="2"/>
    </row>
    <row x14ac:dyDescent="0.25" r="1055" customHeight="1" ht="17.25">
      <c r="A1055" s="7">
        <v>46000</v>
      </c>
      <c r="B1055" s="9" t="s">
        <v>228</v>
      </c>
      <c r="C1055" s="6">
        <v>28</v>
      </c>
      <c r="D1055" s="4"/>
      <c r="E1055" s="6">
        <f>E1054+C1055-D1055</f>
      </c>
      <c r="F1055" s="2"/>
    </row>
    <row x14ac:dyDescent="0.25" r="1056" customHeight="1" ht="17.25">
      <c r="A1056" s="7">
        <v>46000</v>
      </c>
      <c r="B1056" s="9" t="s">
        <v>391</v>
      </c>
      <c r="C1056" s="6">
        <v>25</v>
      </c>
      <c r="D1056" s="4"/>
      <c r="E1056" s="6">
        <f>E1055+C1056-D1056</f>
      </c>
      <c r="F1056" s="2"/>
    </row>
    <row x14ac:dyDescent="0.25" r="1057" customHeight="1" ht="17.25">
      <c r="A1057" s="7">
        <v>46000</v>
      </c>
      <c r="B1057" s="9" t="s">
        <v>313</v>
      </c>
      <c r="C1057" s="3"/>
      <c r="D1057" s="6">
        <v>14</v>
      </c>
      <c r="E1057" s="6">
        <f>E1056+C1057-D1057</f>
      </c>
      <c r="F1057" s="2"/>
    </row>
    <row x14ac:dyDescent="0.25" r="1058" customHeight="1" ht="17.25">
      <c r="A1058" s="7">
        <v>46001</v>
      </c>
      <c r="B1058" s="9" t="s">
        <v>316</v>
      </c>
      <c r="C1058" s="3"/>
      <c r="D1058" s="6">
        <v>50</v>
      </c>
      <c r="E1058" s="6">
        <f>E1057+C1058-D1058</f>
      </c>
      <c r="F1058" s="2"/>
    </row>
    <row x14ac:dyDescent="0.25" r="1059" customHeight="1" ht="17.25">
      <c r="A1059" s="7">
        <v>46001</v>
      </c>
      <c r="B1059" s="9" t="s">
        <v>321</v>
      </c>
      <c r="C1059" s="6">
        <v>29</v>
      </c>
      <c r="D1059" s="4"/>
      <c r="E1059" s="6">
        <f>E1058+C1059-D1059</f>
      </c>
      <c r="F1059" s="2"/>
    </row>
    <row x14ac:dyDescent="0.25" r="1060" customHeight="1" ht="17.25">
      <c r="A1060" s="7">
        <v>46002</v>
      </c>
      <c r="B1060" s="9" t="s">
        <v>289</v>
      </c>
      <c r="C1060" s="3"/>
      <c r="D1060" s="6">
        <v>50</v>
      </c>
      <c r="E1060" s="6">
        <f>E1059+C1060-D1060</f>
      </c>
      <c r="F1060" s="2"/>
    </row>
    <row x14ac:dyDescent="0.25" r="1061" customHeight="1" ht="17.25">
      <c r="A1061" s="8">
        <v>46002</v>
      </c>
      <c r="B1061" s="9" t="s">
        <v>316</v>
      </c>
      <c r="C1061" s="3"/>
      <c r="D1061" s="6">
        <v>50</v>
      </c>
      <c r="E1061" s="6">
        <f>E1060+C1061-D1061</f>
      </c>
      <c r="F1061" s="2"/>
    </row>
    <row x14ac:dyDescent="0.25" r="1062" customHeight="1" ht="17.25">
      <c r="A1062" s="8">
        <v>46002</v>
      </c>
      <c r="B1062" s="9" t="s">
        <v>42</v>
      </c>
      <c r="C1062" s="3"/>
      <c r="D1062" s="6">
        <v>125</v>
      </c>
      <c r="E1062" s="6">
        <f>E1061+C1062-D1062</f>
      </c>
      <c r="F1062" s="2"/>
    </row>
    <row x14ac:dyDescent="0.25" r="1063" customHeight="1" ht="17.25">
      <c r="A1063" s="7">
        <v>46003</v>
      </c>
      <c r="B1063" s="9" t="s">
        <v>53</v>
      </c>
      <c r="C1063" s="3"/>
      <c r="D1063" s="6">
        <v>100</v>
      </c>
      <c r="E1063" s="6">
        <f>E1062+C1063-D1063</f>
      </c>
      <c r="F1063" s="2"/>
    </row>
    <row x14ac:dyDescent="0.25" r="1064" customHeight="1" ht="17.25">
      <c r="A1064" s="7">
        <v>46003</v>
      </c>
      <c r="B1064" s="9" t="s">
        <v>63</v>
      </c>
      <c r="C1064" s="6">
        <v>100</v>
      </c>
      <c r="D1064" s="4"/>
      <c r="E1064" s="6">
        <f>E1063+C1064-D1064</f>
      </c>
      <c r="F1064" s="2"/>
    </row>
    <row x14ac:dyDescent="0.25" r="1065" customHeight="1" ht="17.25">
      <c r="A1065" s="7">
        <v>46003</v>
      </c>
      <c r="B1065" s="9" t="s">
        <v>335</v>
      </c>
      <c r="C1065" s="3"/>
      <c r="D1065" s="6">
        <v>30</v>
      </c>
      <c r="E1065" s="6">
        <f>E1064+C1065-D1065</f>
      </c>
      <c r="F1065" s="2"/>
    </row>
    <row x14ac:dyDescent="0.25" r="1066" customHeight="1" ht="17.25">
      <c r="A1066" s="7">
        <v>46003</v>
      </c>
      <c r="B1066" s="9" t="s">
        <v>316</v>
      </c>
      <c r="C1066" s="3"/>
      <c r="D1066" s="6">
        <v>50</v>
      </c>
      <c r="E1066" s="6">
        <f>E1065+C1066-D1066</f>
      </c>
      <c r="F1066" s="2"/>
    </row>
    <row x14ac:dyDescent="0.25" r="1067" customHeight="1" ht="17.25">
      <c r="A1067" s="7">
        <v>46003</v>
      </c>
      <c r="B1067" s="9" t="s">
        <v>402</v>
      </c>
      <c r="C1067" s="3"/>
      <c r="D1067" s="6">
        <v>25</v>
      </c>
      <c r="E1067" s="6">
        <f>E1066+C1067-D1067</f>
      </c>
      <c r="F1067" s="2"/>
    </row>
    <row x14ac:dyDescent="0.25" r="1068" customHeight="1" ht="17.25">
      <c r="A1068" s="7">
        <v>46003</v>
      </c>
      <c r="B1068" s="9" t="s">
        <v>46</v>
      </c>
      <c r="C1068" s="3"/>
      <c r="D1068" s="6">
        <v>50</v>
      </c>
      <c r="E1068" s="6">
        <f>E1067+C1068-D1068</f>
      </c>
      <c r="F1068" s="2"/>
    </row>
    <row x14ac:dyDescent="0.25" r="1069" customHeight="1" ht="17.25">
      <c r="A1069" s="7">
        <v>46004</v>
      </c>
      <c r="B1069" s="9" t="s">
        <v>297</v>
      </c>
      <c r="C1069" s="6">
        <v>28</v>
      </c>
      <c r="D1069" s="4"/>
      <c r="E1069" s="6">
        <f>E1068+C1069-D1069</f>
      </c>
      <c r="F1069" s="2"/>
    </row>
    <row x14ac:dyDescent="0.25" r="1070" customHeight="1" ht="17.25">
      <c r="A1070" s="7">
        <v>46006</v>
      </c>
      <c r="B1070" s="9" t="s">
        <v>311</v>
      </c>
      <c r="C1070" s="6">
        <v>35</v>
      </c>
      <c r="D1070" s="4"/>
      <c r="E1070" s="6">
        <f>E1069+C1070-D1070</f>
      </c>
      <c r="F1070" s="2"/>
    </row>
    <row x14ac:dyDescent="0.25" r="1071" customHeight="1" ht="17.25">
      <c r="A1071" s="7">
        <v>46006</v>
      </c>
      <c r="B1071" s="9" t="s">
        <v>2</v>
      </c>
      <c r="C1071" s="3"/>
      <c r="D1071" s="6">
        <v>30</v>
      </c>
      <c r="E1071" s="6">
        <f>E1070+C1071-D1071</f>
      </c>
      <c r="F1071" s="2"/>
    </row>
    <row x14ac:dyDescent="0.25" r="1072" customHeight="1" ht="17.25">
      <c r="A1072" s="8">
        <v>46007</v>
      </c>
      <c r="B1072" s="9" t="s">
        <v>460</v>
      </c>
      <c r="C1072" s="3"/>
      <c r="D1072" s="6">
        <v>33</v>
      </c>
      <c r="E1072" s="4"/>
      <c r="F1072" s="2"/>
    </row>
    <row x14ac:dyDescent="0.25" r="1073" customHeight="1" ht="17.25">
      <c r="A1073" s="7">
        <v>46007</v>
      </c>
      <c r="B1073" s="9" t="s">
        <v>2</v>
      </c>
      <c r="C1073" s="3"/>
      <c r="D1073" s="6">
        <v>35</v>
      </c>
      <c r="E1073" s="4"/>
      <c r="F1073" s="2"/>
    </row>
    <row x14ac:dyDescent="0.25" r="1074" customHeight="1" ht="17.25">
      <c r="A1074" s="8">
        <v>46007</v>
      </c>
      <c r="B1074" s="9" t="s">
        <v>284</v>
      </c>
      <c r="C1074" s="6">
        <v>12</v>
      </c>
      <c r="D1074" s="4"/>
      <c r="E1074" s="4"/>
      <c r="F1074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2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0.71928571428571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425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6">
        <v>263</v>
      </c>
    </row>
    <row x14ac:dyDescent="0.25" r="4" customHeight="1" ht="17.25">
      <c r="A4" s="7">
        <v>45660</v>
      </c>
      <c r="B4" s="2" t="s">
        <v>11</v>
      </c>
      <c r="C4" s="33">
        <v>5</v>
      </c>
      <c r="D4" s="4"/>
      <c r="E4" s="6">
        <f>E3+C4-D4</f>
      </c>
    </row>
    <row x14ac:dyDescent="0.25" r="5" customHeight="1" ht="17.25">
      <c r="A5" s="8">
        <v>45660</v>
      </c>
      <c r="B5" s="9" t="s">
        <v>410</v>
      </c>
      <c r="C5" s="6">
        <v>1</v>
      </c>
      <c r="D5" s="4"/>
      <c r="E5" s="6">
        <f>E4+C5-D5</f>
      </c>
    </row>
    <row x14ac:dyDescent="0.25" r="6" customHeight="1" ht="17.25">
      <c r="A6" s="7">
        <v>45663</v>
      </c>
      <c r="B6" s="2" t="s">
        <v>189</v>
      </c>
      <c r="C6" s="6">
        <v>62</v>
      </c>
      <c r="D6" s="4"/>
      <c r="E6" s="6">
        <f>E5+C6-D6</f>
      </c>
    </row>
    <row x14ac:dyDescent="0.25" r="7" customHeight="1" ht="17.25">
      <c r="A7" s="7">
        <v>45665</v>
      </c>
      <c r="B7" s="2" t="s">
        <v>189</v>
      </c>
      <c r="C7" s="6">
        <v>18</v>
      </c>
      <c r="D7" s="4"/>
      <c r="E7" s="6">
        <f>E6+C7-D7</f>
      </c>
    </row>
    <row x14ac:dyDescent="0.25" r="8" customHeight="1" ht="17.25">
      <c r="A8" s="7">
        <v>45670</v>
      </c>
      <c r="B8" s="9" t="s">
        <v>189</v>
      </c>
      <c r="C8" s="6">
        <v>43</v>
      </c>
      <c r="D8" s="4"/>
      <c r="E8" s="6">
        <f>E7+C8-D8</f>
      </c>
    </row>
    <row x14ac:dyDescent="0.25" r="9" customHeight="1" ht="17.25">
      <c r="A9" s="8">
        <v>45670</v>
      </c>
      <c r="B9" s="9" t="s">
        <v>410</v>
      </c>
      <c r="C9" s="6">
        <v>2</v>
      </c>
      <c r="D9" s="4"/>
      <c r="E9" s="6">
        <f>E8+C9-D9</f>
      </c>
    </row>
    <row x14ac:dyDescent="0.25" r="10" customHeight="1" ht="17.25">
      <c r="A10" s="8">
        <v>45675</v>
      </c>
      <c r="B10" s="9" t="s">
        <v>240</v>
      </c>
      <c r="C10" s="6">
        <v>5</v>
      </c>
      <c r="D10" s="4"/>
      <c r="E10" s="6">
        <f>E9+C10-D10</f>
      </c>
    </row>
    <row x14ac:dyDescent="0.25" r="11" customHeight="1" ht="17.25">
      <c r="A11" s="8">
        <v>45675</v>
      </c>
      <c r="B11" s="9" t="s">
        <v>413</v>
      </c>
      <c r="C11" s="6">
        <v>7</v>
      </c>
      <c r="D11" s="4"/>
      <c r="E11" s="6">
        <f>E10+C11-D11</f>
      </c>
    </row>
    <row x14ac:dyDescent="0.25" r="12" customHeight="1" ht="17.25">
      <c r="A12" s="8">
        <v>45677</v>
      </c>
      <c r="B12" s="9" t="s">
        <v>378</v>
      </c>
      <c r="C12" s="6">
        <v>16</v>
      </c>
      <c r="D12" s="4"/>
      <c r="E12" s="6">
        <f>E11+C12-D12</f>
      </c>
    </row>
    <row x14ac:dyDescent="0.25" r="13" customHeight="1" ht="17.25">
      <c r="A13" s="8">
        <v>45678</v>
      </c>
      <c r="B13" s="9" t="s">
        <v>11</v>
      </c>
      <c r="C13" s="6">
        <v>5</v>
      </c>
      <c r="D13" s="4"/>
      <c r="E13" s="6">
        <f>E12+C13-D13</f>
      </c>
    </row>
    <row x14ac:dyDescent="0.25" r="14" customHeight="1" ht="17.25">
      <c r="A14" s="7">
        <v>45679</v>
      </c>
      <c r="B14" s="9" t="s">
        <v>29</v>
      </c>
      <c r="C14" s="4"/>
      <c r="D14" s="6">
        <v>50</v>
      </c>
      <c r="E14" s="6">
        <f>E13+C14-D14</f>
      </c>
    </row>
    <row x14ac:dyDescent="0.25" r="15" customHeight="1" ht="17.25">
      <c r="A15" s="7">
        <v>45679</v>
      </c>
      <c r="B15" s="9" t="s">
        <v>414</v>
      </c>
      <c r="C15" s="6">
        <v>2</v>
      </c>
      <c r="D15" s="4"/>
      <c r="E15" s="6">
        <f>E14+C15-D15</f>
      </c>
    </row>
    <row x14ac:dyDescent="0.25" r="16" customHeight="1" ht="17.25">
      <c r="A16" s="7">
        <v>45680</v>
      </c>
      <c r="B16" s="9" t="s">
        <v>326</v>
      </c>
      <c r="C16" s="6">
        <v>6</v>
      </c>
      <c r="D16" s="4"/>
      <c r="E16" s="6">
        <f>E15+C16-D16</f>
      </c>
    </row>
    <row x14ac:dyDescent="0.25" r="17" customHeight="1" ht="17.25">
      <c r="A17" s="7">
        <v>45681</v>
      </c>
      <c r="B17" s="9" t="s">
        <v>131</v>
      </c>
      <c r="C17" s="6">
        <v>2</v>
      </c>
      <c r="D17" s="4"/>
      <c r="E17" s="6">
        <f>E16+C17-D17</f>
      </c>
    </row>
    <row x14ac:dyDescent="0.25" r="18" customHeight="1" ht="17.25">
      <c r="A18" s="7">
        <v>45681</v>
      </c>
      <c r="B18" s="9" t="s">
        <v>189</v>
      </c>
      <c r="C18" s="6">
        <v>26</v>
      </c>
      <c r="D18" s="4"/>
      <c r="E18" s="6">
        <f>E17+C18-D18</f>
      </c>
    </row>
    <row x14ac:dyDescent="0.25" r="19" customHeight="1" ht="17.25">
      <c r="A19" s="8">
        <v>45682</v>
      </c>
      <c r="B19" s="9" t="s">
        <v>414</v>
      </c>
      <c r="C19" s="6">
        <v>3</v>
      </c>
      <c r="D19" s="4"/>
      <c r="E19" s="6">
        <f>E18+C19-D19</f>
      </c>
    </row>
    <row x14ac:dyDescent="0.25" r="20" customHeight="1" ht="17.25">
      <c r="A20" s="7">
        <v>45682</v>
      </c>
      <c r="B20" s="9" t="s">
        <v>189</v>
      </c>
      <c r="C20" s="6">
        <v>30</v>
      </c>
      <c r="D20" s="4"/>
      <c r="E20" s="6">
        <f>E19+C20-D20</f>
      </c>
    </row>
    <row x14ac:dyDescent="0.25" r="21" customHeight="1" ht="17.25">
      <c r="A21" s="8">
        <v>45685</v>
      </c>
      <c r="B21" s="9" t="s">
        <v>259</v>
      </c>
      <c r="C21" s="6">
        <v>19</v>
      </c>
      <c r="D21" s="4"/>
      <c r="E21" s="6">
        <f>E20+C21-D21</f>
      </c>
    </row>
    <row x14ac:dyDescent="0.25" r="22" customHeight="1" ht="17.25">
      <c r="A22" s="8">
        <v>45687</v>
      </c>
      <c r="B22" s="9" t="s">
        <v>11</v>
      </c>
      <c r="C22" s="6">
        <v>6</v>
      </c>
      <c r="D22" s="4"/>
      <c r="E22" s="6">
        <f>E21+C22-D22</f>
      </c>
    </row>
    <row x14ac:dyDescent="0.25" r="23" customHeight="1" ht="17.25">
      <c r="A23" s="7">
        <v>45688</v>
      </c>
      <c r="B23" s="9" t="s">
        <v>127</v>
      </c>
      <c r="C23" s="6">
        <v>4</v>
      </c>
      <c r="D23" s="4"/>
      <c r="E23" s="6">
        <f>E22+C23-D23</f>
      </c>
    </row>
    <row x14ac:dyDescent="0.25" r="24" customHeight="1" ht="17.25">
      <c r="A24" s="7">
        <v>45688</v>
      </c>
      <c r="B24" s="9" t="s">
        <v>189</v>
      </c>
      <c r="C24" s="33">
        <v>16</v>
      </c>
      <c r="D24" s="4"/>
      <c r="E24" s="6">
        <f>E23+C24-D24</f>
      </c>
    </row>
    <row x14ac:dyDescent="0.25" r="25" customHeight="1" ht="17.25">
      <c r="A25" s="8">
        <v>45691</v>
      </c>
      <c r="B25" s="9" t="s">
        <v>273</v>
      </c>
      <c r="C25" s="6">
        <v>8</v>
      </c>
      <c r="D25" s="4"/>
      <c r="E25" s="6">
        <f>E24+C25-D25</f>
      </c>
    </row>
    <row x14ac:dyDescent="0.25" r="26" customHeight="1" ht="17.25">
      <c r="A26" s="7">
        <v>45692</v>
      </c>
      <c r="B26" s="9" t="s">
        <v>378</v>
      </c>
      <c r="C26" s="6">
        <v>68</v>
      </c>
      <c r="D26" s="4"/>
      <c r="E26" s="6">
        <f>E25+C26-D26</f>
      </c>
    </row>
    <row x14ac:dyDescent="0.25" r="27" customHeight="1" ht="17.25">
      <c r="A27" s="8">
        <v>45693</v>
      </c>
      <c r="B27" s="9" t="s">
        <v>378</v>
      </c>
      <c r="C27" s="6">
        <v>6</v>
      </c>
      <c r="D27" s="4"/>
      <c r="E27" s="6">
        <f>E26+C27-D27</f>
      </c>
    </row>
    <row x14ac:dyDescent="0.25" r="28" customHeight="1" ht="17.25">
      <c r="A28" s="8">
        <v>45694</v>
      </c>
      <c r="B28" s="9" t="s">
        <v>35</v>
      </c>
      <c r="C28" s="6">
        <v>1</v>
      </c>
      <c r="D28" s="4"/>
      <c r="E28" s="6">
        <f>E27+C28-D28</f>
      </c>
    </row>
    <row x14ac:dyDescent="0.25" r="29" customHeight="1" ht="17.25">
      <c r="A29" s="7">
        <v>45695</v>
      </c>
      <c r="B29" s="9" t="s">
        <v>3</v>
      </c>
      <c r="C29" s="4"/>
      <c r="D29" s="6">
        <v>10</v>
      </c>
      <c r="E29" s="6">
        <f>E28+C29-D29</f>
      </c>
    </row>
    <row x14ac:dyDescent="0.25" r="30" customHeight="1" ht="17.25">
      <c r="A30" s="8">
        <v>45695</v>
      </c>
      <c r="B30" s="9" t="s">
        <v>11</v>
      </c>
      <c r="C30" s="6">
        <v>8</v>
      </c>
      <c r="D30" s="4"/>
      <c r="E30" s="6">
        <f>E29+C30-D30</f>
      </c>
    </row>
    <row x14ac:dyDescent="0.25" r="31" customHeight="1" ht="17.25">
      <c r="A31" s="8">
        <v>45698</v>
      </c>
      <c r="B31" s="9" t="s">
        <v>11</v>
      </c>
      <c r="C31" s="6">
        <v>1</v>
      </c>
      <c r="D31" s="4"/>
      <c r="E31" s="6">
        <f>E30+C31-D31</f>
      </c>
    </row>
    <row x14ac:dyDescent="0.25" r="32" customHeight="1" ht="17.25">
      <c r="A32" s="8">
        <v>45698</v>
      </c>
      <c r="B32" s="9" t="s">
        <v>35</v>
      </c>
      <c r="C32" s="6">
        <v>4</v>
      </c>
      <c r="D32" s="4"/>
      <c r="E32" s="6">
        <f>E31+C32-D32</f>
      </c>
    </row>
    <row x14ac:dyDescent="0.25" r="33" customHeight="1" ht="17.25">
      <c r="A33" s="8">
        <v>45699</v>
      </c>
      <c r="B33" s="9" t="s">
        <v>189</v>
      </c>
      <c r="C33" s="6">
        <v>21</v>
      </c>
      <c r="D33" s="4"/>
      <c r="E33" s="6">
        <f>E32+C33-D33</f>
      </c>
    </row>
    <row x14ac:dyDescent="0.25" r="34" customHeight="1" ht="17.25">
      <c r="A34" s="8">
        <v>45700</v>
      </c>
      <c r="B34" s="9" t="s">
        <v>35</v>
      </c>
      <c r="C34" s="6">
        <v>1</v>
      </c>
      <c r="D34" s="4"/>
      <c r="E34" s="6">
        <f>E33+C34-D34</f>
      </c>
    </row>
    <row x14ac:dyDescent="0.25" r="35" customHeight="1" ht="17.25">
      <c r="A35" s="7">
        <v>45701</v>
      </c>
      <c r="B35" s="9" t="s">
        <v>378</v>
      </c>
      <c r="C35" s="6">
        <v>28</v>
      </c>
      <c r="D35" s="4"/>
      <c r="E35" s="6">
        <f>E34+C35-D35</f>
      </c>
    </row>
    <row x14ac:dyDescent="0.25" r="36" customHeight="1" ht="17.25">
      <c r="A36" s="8">
        <v>45701</v>
      </c>
      <c r="B36" s="9" t="s">
        <v>11</v>
      </c>
      <c r="C36" s="33">
        <v>3</v>
      </c>
      <c r="D36" s="4"/>
      <c r="E36" s="6">
        <f>E35+C36-D36</f>
      </c>
    </row>
    <row x14ac:dyDescent="0.25" r="37" customHeight="1" ht="17.25">
      <c r="A37" s="7">
        <v>45703</v>
      </c>
      <c r="B37" s="9" t="s">
        <v>414</v>
      </c>
      <c r="C37" s="6">
        <v>1</v>
      </c>
      <c r="D37" s="4"/>
      <c r="E37" s="6">
        <f>E36+C37-D37</f>
      </c>
    </row>
    <row x14ac:dyDescent="0.25" r="38" customHeight="1" ht="17.25">
      <c r="A38" s="7">
        <v>45705</v>
      </c>
      <c r="B38" s="9" t="s">
        <v>189</v>
      </c>
      <c r="C38" s="6">
        <v>15</v>
      </c>
      <c r="D38" s="4"/>
      <c r="E38" s="6">
        <f>E37+C38-D38</f>
      </c>
    </row>
    <row x14ac:dyDescent="0.25" r="39" customHeight="1" ht="17.25">
      <c r="A39" s="7">
        <v>45706</v>
      </c>
      <c r="B39" s="9" t="s">
        <v>31</v>
      </c>
      <c r="C39" s="6">
        <v>2</v>
      </c>
      <c r="D39" s="4"/>
      <c r="E39" s="6">
        <f>E38+C39-D39</f>
      </c>
    </row>
    <row x14ac:dyDescent="0.25" r="40" customHeight="1" ht="17.25">
      <c r="A40" s="8">
        <v>45709</v>
      </c>
      <c r="B40" s="9" t="s">
        <v>35</v>
      </c>
      <c r="C40" s="6">
        <v>1</v>
      </c>
      <c r="D40" s="4"/>
      <c r="E40" s="6">
        <f>E39+C40-D40</f>
      </c>
    </row>
    <row x14ac:dyDescent="0.25" r="41" customHeight="1" ht="17.25">
      <c r="A41" s="8">
        <v>45710</v>
      </c>
      <c r="B41" s="9" t="s">
        <v>11</v>
      </c>
      <c r="C41" s="6">
        <v>1</v>
      </c>
      <c r="D41" s="4"/>
      <c r="E41" s="6">
        <f>E40+C41-D41</f>
      </c>
    </row>
    <row x14ac:dyDescent="0.25" r="42" customHeight="1" ht="17.25">
      <c r="A42" s="7">
        <v>45712</v>
      </c>
      <c r="B42" s="9" t="s">
        <v>35</v>
      </c>
      <c r="C42" s="6">
        <v>1</v>
      </c>
      <c r="D42" s="4"/>
      <c r="E42" s="6">
        <f>E41+C42-D42</f>
      </c>
    </row>
    <row x14ac:dyDescent="0.25" r="43" customHeight="1" ht="17.25">
      <c r="A43" s="8">
        <v>45712</v>
      </c>
      <c r="B43" s="9" t="s">
        <v>257</v>
      </c>
      <c r="C43" s="6">
        <v>10</v>
      </c>
      <c r="D43" s="4"/>
      <c r="E43" s="6">
        <f>E42+C43-D43</f>
      </c>
    </row>
    <row x14ac:dyDescent="0.25" r="44" customHeight="1" ht="17.25">
      <c r="A44" s="7">
        <v>45715</v>
      </c>
      <c r="B44" s="9" t="s">
        <v>240</v>
      </c>
      <c r="C44" s="6">
        <v>1</v>
      </c>
      <c r="D44" s="4"/>
      <c r="E44" s="6">
        <f>E43+C44-D44</f>
      </c>
    </row>
    <row x14ac:dyDescent="0.25" r="45" customHeight="1" ht="17.25">
      <c r="A45" s="8">
        <v>45717</v>
      </c>
      <c r="B45" s="9" t="s">
        <v>189</v>
      </c>
      <c r="C45" s="6">
        <v>7</v>
      </c>
      <c r="D45" s="4"/>
      <c r="E45" s="6">
        <f>E44+C45-D45</f>
      </c>
    </row>
    <row x14ac:dyDescent="0.25" r="46" customHeight="1" ht="17.25">
      <c r="A46" s="8">
        <v>45719</v>
      </c>
      <c r="B46" s="9" t="s">
        <v>35</v>
      </c>
      <c r="C46" s="6">
        <v>3</v>
      </c>
      <c r="D46" s="4"/>
      <c r="E46" s="6">
        <f>E45+C46-D46</f>
      </c>
    </row>
    <row x14ac:dyDescent="0.25" r="47" customHeight="1" ht="17.25">
      <c r="A47" s="7">
        <v>45720</v>
      </c>
      <c r="B47" s="9" t="s">
        <v>3</v>
      </c>
      <c r="C47" s="4"/>
      <c r="D47" s="6">
        <v>5</v>
      </c>
      <c r="E47" s="6">
        <f>E46+C47-D47</f>
      </c>
    </row>
    <row x14ac:dyDescent="0.25" r="48" customHeight="1" ht="17.25">
      <c r="A48" s="7">
        <v>45721</v>
      </c>
      <c r="B48" s="9" t="s">
        <v>3</v>
      </c>
      <c r="C48" s="4"/>
      <c r="D48" s="6">
        <v>5</v>
      </c>
      <c r="E48" s="6">
        <f>E47+C48-D48</f>
      </c>
    </row>
    <row x14ac:dyDescent="0.25" r="49" customHeight="1" ht="17.25">
      <c r="A49" s="7">
        <v>45721</v>
      </c>
      <c r="B49" s="9" t="s">
        <v>39</v>
      </c>
      <c r="C49" s="6">
        <v>3</v>
      </c>
      <c r="D49" s="4"/>
      <c r="E49" s="6">
        <f>E48+C49-D49</f>
      </c>
    </row>
    <row x14ac:dyDescent="0.25" r="50" customHeight="1" ht="17.25">
      <c r="A50" s="8">
        <v>45722</v>
      </c>
      <c r="B50" s="9" t="s">
        <v>35</v>
      </c>
      <c r="C50" s="6">
        <v>4</v>
      </c>
      <c r="D50" s="4"/>
      <c r="E50" s="6">
        <f>E49+C50-D50</f>
      </c>
    </row>
    <row x14ac:dyDescent="0.25" r="51" customHeight="1" ht="17.25">
      <c r="A51" s="8">
        <v>45723</v>
      </c>
      <c r="B51" s="9" t="s">
        <v>35</v>
      </c>
      <c r="C51" s="6">
        <v>2</v>
      </c>
      <c r="D51" s="4"/>
      <c r="E51" s="6">
        <f>E50+C51-D51</f>
      </c>
    </row>
    <row x14ac:dyDescent="0.25" r="52" customHeight="1" ht="17.25">
      <c r="A52" s="8">
        <v>45724</v>
      </c>
      <c r="B52" s="9" t="s">
        <v>189</v>
      </c>
      <c r="C52" s="6">
        <v>16</v>
      </c>
      <c r="D52" s="4"/>
      <c r="E52" s="6">
        <f>E51+C52-D52</f>
      </c>
    </row>
    <row x14ac:dyDescent="0.25" r="53" customHeight="1" ht="17.25">
      <c r="A53" s="7">
        <v>45726</v>
      </c>
      <c r="B53" s="9" t="s">
        <v>35</v>
      </c>
      <c r="C53" s="6">
        <v>1</v>
      </c>
      <c r="D53" s="4"/>
      <c r="E53" s="6">
        <f>E52+C53-D53</f>
      </c>
    </row>
    <row x14ac:dyDescent="0.25" r="54" customHeight="1" ht="17.25">
      <c r="A54" s="7">
        <v>45727</v>
      </c>
      <c r="B54" s="9" t="s">
        <v>382</v>
      </c>
      <c r="C54" s="6">
        <v>1</v>
      </c>
      <c r="D54" s="4"/>
      <c r="E54" s="6">
        <f>E53+C54-D54</f>
      </c>
    </row>
    <row x14ac:dyDescent="0.25" r="55" customHeight="1" ht="17.25">
      <c r="A55" s="8">
        <v>45727</v>
      </c>
      <c r="B55" s="9" t="s">
        <v>189</v>
      </c>
      <c r="C55" s="33">
        <v>6</v>
      </c>
      <c r="D55" s="4"/>
      <c r="E55" s="6">
        <f>E54+C55-D55</f>
      </c>
    </row>
    <row x14ac:dyDescent="0.25" r="56" customHeight="1" ht="17.25">
      <c r="A56" s="8">
        <v>45727</v>
      </c>
      <c r="B56" s="9" t="s">
        <v>35</v>
      </c>
      <c r="C56" s="6">
        <v>2</v>
      </c>
      <c r="D56" s="4"/>
      <c r="E56" s="6">
        <f>E55+C56-D56</f>
      </c>
    </row>
    <row x14ac:dyDescent="0.25" r="57" customHeight="1" ht="17.25">
      <c r="A57" s="8">
        <v>45728</v>
      </c>
      <c r="B57" s="9" t="s">
        <v>35</v>
      </c>
      <c r="C57" s="6">
        <v>1</v>
      </c>
      <c r="D57" s="4"/>
      <c r="E57" s="6">
        <f>E56+C57-D57</f>
      </c>
    </row>
    <row x14ac:dyDescent="0.25" r="58" customHeight="1" ht="17.25">
      <c r="A58" s="7">
        <v>45729</v>
      </c>
      <c r="B58" s="9" t="s">
        <v>189</v>
      </c>
      <c r="C58" s="6">
        <v>13</v>
      </c>
      <c r="D58" s="4"/>
      <c r="E58" s="6">
        <f>E57+C58-D58</f>
      </c>
    </row>
    <row x14ac:dyDescent="0.25" r="59" customHeight="1" ht="17.25">
      <c r="A59" s="7">
        <v>45730</v>
      </c>
      <c r="B59" s="9" t="s">
        <v>276</v>
      </c>
      <c r="C59" s="4"/>
      <c r="D59" s="6">
        <v>20</v>
      </c>
      <c r="E59" s="6">
        <f>E58+C59-D59</f>
      </c>
    </row>
    <row x14ac:dyDescent="0.25" r="60" customHeight="1" ht="17.25">
      <c r="A60" s="7">
        <v>45731</v>
      </c>
      <c r="B60" s="9" t="s">
        <v>189</v>
      </c>
      <c r="C60" s="6">
        <v>24</v>
      </c>
      <c r="D60" s="4"/>
      <c r="E60" s="6">
        <f>E59+C60-D60</f>
      </c>
    </row>
    <row x14ac:dyDescent="0.25" r="61" customHeight="1" ht="17.25">
      <c r="A61" s="8">
        <v>45733</v>
      </c>
      <c r="B61" s="9" t="s">
        <v>234</v>
      </c>
      <c r="C61" s="4"/>
      <c r="D61" s="6">
        <v>17</v>
      </c>
      <c r="E61" s="6">
        <f>E60+C61-D61</f>
      </c>
    </row>
    <row x14ac:dyDescent="0.25" r="62" customHeight="1" ht="17.25">
      <c r="A62" s="8">
        <v>45735</v>
      </c>
      <c r="B62" s="9" t="s">
        <v>35</v>
      </c>
      <c r="C62" s="6">
        <v>4</v>
      </c>
      <c r="D62" s="4"/>
      <c r="E62" s="6">
        <f>E61+C62-D62</f>
      </c>
    </row>
    <row x14ac:dyDescent="0.25" r="63" customHeight="1" ht="17.25">
      <c r="A63" s="7">
        <v>45737</v>
      </c>
      <c r="B63" s="9" t="s">
        <v>189</v>
      </c>
      <c r="C63" s="6">
        <v>24</v>
      </c>
      <c r="D63" s="4"/>
      <c r="E63" s="6">
        <f>E62+C63-D63</f>
      </c>
    </row>
    <row x14ac:dyDescent="0.25" r="64" customHeight="1" ht="17.25">
      <c r="A64" s="8">
        <v>45737</v>
      </c>
      <c r="B64" s="9" t="s">
        <v>189</v>
      </c>
      <c r="C64" s="6">
        <v>5</v>
      </c>
      <c r="D64" s="4"/>
      <c r="E64" s="6">
        <f>E63+C64-D64</f>
      </c>
    </row>
    <row x14ac:dyDescent="0.25" r="65" customHeight="1" ht="17.25">
      <c r="A65" s="8">
        <v>45737</v>
      </c>
      <c r="B65" s="9" t="s">
        <v>414</v>
      </c>
      <c r="C65" s="6">
        <v>3</v>
      </c>
      <c r="D65" s="4"/>
      <c r="E65" s="6">
        <f>E64+C65-D65</f>
      </c>
    </row>
    <row x14ac:dyDescent="0.25" r="66" customHeight="1" ht="17.25">
      <c r="A66" s="8">
        <v>45738</v>
      </c>
      <c r="B66" s="9" t="s">
        <v>189</v>
      </c>
      <c r="C66" s="6">
        <v>8</v>
      </c>
      <c r="D66" s="4"/>
      <c r="E66" s="6">
        <f>E65+C66-D66</f>
      </c>
    </row>
    <row x14ac:dyDescent="0.25" r="67" customHeight="1" ht="17.25">
      <c r="A67" s="8">
        <v>45738</v>
      </c>
      <c r="B67" s="9" t="s">
        <v>35</v>
      </c>
      <c r="C67" s="6">
        <v>1</v>
      </c>
      <c r="D67" s="4"/>
      <c r="E67" s="6">
        <f>E66+C67-D67</f>
      </c>
    </row>
    <row x14ac:dyDescent="0.25" r="68" customHeight="1" ht="17.25">
      <c r="A68" s="8">
        <v>45755</v>
      </c>
      <c r="B68" s="9" t="s">
        <v>232</v>
      </c>
      <c r="C68" s="4"/>
      <c r="D68" s="6">
        <v>50</v>
      </c>
      <c r="E68" s="6">
        <f>E67+C68-D68</f>
      </c>
    </row>
    <row x14ac:dyDescent="0.25" r="69" customHeight="1" ht="17.25">
      <c r="A69" s="7">
        <v>45764</v>
      </c>
      <c r="B69" s="9" t="s">
        <v>259</v>
      </c>
      <c r="C69" s="6">
        <v>19</v>
      </c>
      <c r="D69" s="4"/>
      <c r="E69" s="6">
        <f>E68+C69-D69</f>
      </c>
    </row>
    <row x14ac:dyDescent="0.25" r="70" customHeight="1" ht="17.25">
      <c r="A70" s="7">
        <v>45771</v>
      </c>
      <c r="B70" s="9" t="s">
        <v>284</v>
      </c>
      <c r="C70" s="4"/>
      <c r="D70" s="6">
        <v>20</v>
      </c>
      <c r="E70" s="6">
        <f>E69+C70-D70</f>
      </c>
    </row>
    <row x14ac:dyDescent="0.25" r="71" customHeight="1" ht="17.25">
      <c r="A71" s="8">
        <v>45773</v>
      </c>
      <c r="B71" s="9" t="s">
        <v>287</v>
      </c>
      <c r="C71" s="4"/>
      <c r="D71" s="6">
        <v>6</v>
      </c>
      <c r="E71" s="6">
        <f>E70+C71-D71</f>
      </c>
    </row>
    <row x14ac:dyDescent="0.25" r="72" customHeight="1" ht="17.25">
      <c r="A72" s="8">
        <v>45779</v>
      </c>
      <c r="B72" s="9" t="s">
        <v>241</v>
      </c>
      <c r="C72" s="4"/>
      <c r="D72" s="33">
        <v>12</v>
      </c>
      <c r="E72" s="6">
        <f>E71+C72-D72</f>
      </c>
    </row>
    <row x14ac:dyDescent="0.25" r="73" customHeight="1" ht="17.25">
      <c r="A73" s="7">
        <v>45783</v>
      </c>
      <c r="B73" s="9" t="s">
        <v>241</v>
      </c>
      <c r="C73" s="4"/>
      <c r="D73" s="6">
        <v>24</v>
      </c>
      <c r="E73" s="6">
        <f>E72+C73-D73</f>
      </c>
    </row>
    <row x14ac:dyDescent="0.25" r="74" customHeight="1" ht="17.25">
      <c r="A74" s="8">
        <v>45793</v>
      </c>
      <c r="B74" s="9" t="s">
        <v>426</v>
      </c>
      <c r="C74" s="4"/>
      <c r="D74" s="6">
        <v>5</v>
      </c>
      <c r="E74" s="6">
        <f>E73+C74-D74</f>
      </c>
    </row>
    <row x14ac:dyDescent="0.25" r="75" customHeight="1" ht="17.25">
      <c r="A75" s="7">
        <v>45795</v>
      </c>
      <c r="B75" s="9" t="s">
        <v>41</v>
      </c>
      <c r="C75" s="4"/>
      <c r="D75" s="4"/>
      <c r="E75" s="6">
        <f>E74+C75-D75</f>
      </c>
    </row>
    <row x14ac:dyDescent="0.25" r="76" customHeight="1" ht="17.25">
      <c r="A76" s="8">
        <v>45797</v>
      </c>
      <c r="B76" s="9" t="s">
        <v>42</v>
      </c>
      <c r="C76" s="4"/>
      <c r="D76" s="6">
        <v>15</v>
      </c>
      <c r="E76" s="6">
        <f>E75+C76-D76</f>
      </c>
    </row>
    <row x14ac:dyDescent="0.25" r="77" customHeight="1" ht="17.25">
      <c r="A77" s="8">
        <v>45807</v>
      </c>
      <c r="B77" s="9" t="s">
        <v>89</v>
      </c>
      <c r="C77" s="4"/>
      <c r="D77" s="6">
        <v>12</v>
      </c>
      <c r="E77" s="6">
        <f>E76+C77-D77</f>
      </c>
    </row>
    <row x14ac:dyDescent="0.25" r="78" customHeight="1" ht="17.25">
      <c r="A78" s="8">
        <v>45812</v>
      </c>
      <c r="B78" s="9" t="s">
        <v>284</v>
      </c>
      <c r="C78" s="4"/>
      <c r="D78" s="6">
        <v>15</v>
      </c>
      <c r="E78" s="6">
        <f>E77+C78-D78</f>
      </c>
    </row>
    <row x14ac:dyDescent="0.25" r="79" customHeight="1" ht="17.25">
      <c r="A79" s="7">
        <v>45813</v>
      </c>
      <c r="B79" s="9" t="s">
        <v>284</v>
      </c>
      <c r="C79" s="4"/>
      <c r="D79" s="6">
        <v>10</v>
      </c>
      <c r="E79" s="6">
        <f>E78+C79-D79</f>
      </c>
    </row>
    <row x14ac:dyDescent="0.25" r="80" customHeight="1" ht="17.25">
      <c r="A80" s="7">
        <v>45815</v>
      </c>
      <c r="B80" s="9" t="s">
        <v>284</v>
      </c>
      <c r="C80" s="4"/>
      <c r="D80" s="6">
        <v>15</v>
      </c>
      <c r="E80" s="6">
        <f>E79+C80-D80</f>
      </c>
    </row>
    <row x14ac:dyDescent="0.25" r="81" customHeight="1" ht="17.25">
      <c r="A81" s="7">
        <v>45817</v>
      </c>
      <c r="B81" s="9" t="s">
        <v>89</v>
      </c>
      <c r="C81" s="4"/>
      <c r="D81" s="6">
        <v>6</v>
      </c>
      <c r="E81" s="6">
        <f>E80+C81-D81</f>
      </c>
    </row>
    <row x14ac:dyDescent="0.25" r="82" customHeight="1" ht="17.25">
      <c r="A82" s="7">
        <v>45817</v>
      </c>
      <c r="B82" s="9" t="s">
        <v>414</v>
      </c>
      <c r="C82" s="6">
        <v>1</v>
      </c>
      <c r="D82" s="4"/>
      <c r="E82" s="6">
        <f>E81+C82-D82</f>
      </c>
    </row>
    <row x14ac:dyDescent="0.25" r="83" customHeight="1" ht="17.25">
      <c r="A83" s="7">
        <v>45817</v>
      </c>
      <c r="B83" s="9" t="s">
        <v>234</v>
      </c>
      <c r="C83" s="6">
        <v>17</v>
      </c>
      <c r="D83" s="4"/>
      <c r="E83" s="6">
        <f>E82+C83-D83</f>
      </c>
    </row>
    <row x14ac:dyDescent="0.25" r="84" customHeight="1" ht="17.25">
      <c r="A84" s="7">
        <v>45818</v>
      </c>
      <c r="B84" s="9" t="s">
        <v>11</v>
      </c>
      <c r="C84" s="6">
        <v>1</v>
      </c>
      <c r="D84" s="4"/>
      <c r="E84" s="6">
        <f>E83+C84-D84</f>
      </c>
    </row>
    <row x14ac:dyDescent="0.25" r="85" customHeight="1" ht="17.25">
      <c r="A85" s="7">
        <v>45818</v>
      </c>
      <c r="B85" s="9" t="s">
        <v>189</v>
      </c>
      <c r="C85" s="6">
        <v>4</v>
      </c>
      <c r="D85" s="4"/>
      <c r="E85" s="6">
        <f>E84+C85-D85</f>
      </c>
    </row>
    <row x14ac:dyDescent="0.25" r="86" customHeight="1" ht="17.25">
      <c r="A86" s="7">
        <v>45820</v>
      </c>
      <c r="B86" s="9" t="s">
        <v>89</v>
      </c>
      <c r="C86" s="4"/>
      <c r="D86" s="6">
        <v>15</v>
      </c>
      <c r="E86" s="6">
        <f>E85+C86-D86</f>
      </c>
    </row>
    <row x14ac:dyDescent="0.25" r="87" customHeight="1" ht="17.25">
      <c r="A87" s="7">
        <v>45828</v>
      </c>
      <c r="B87" s="9" t="s">
        <v>228</v>
      </c>
      <c r="C87" s="4"/>
      <c r="D87" s="6">
        <v>50</v>
      </c>
      <c r="E87" s="6">
        <f>E86+C87-D87</f>
      </c>
    </row>
    <row x14ac:dyDescent="0.25" r="88" customHeight="1" ht="17.25">
      <c r="A88" s="7">
        <v>45831</v>
      </c>
      <c r="B88" s="9" t="s">
        <v>29</v>
      </c>
      <c r="C88" s="6">
        <v>59</v>
      </c>
      <c r="D88" s="4"/>
      <c r="E88" s="6">
        <f>E87+C88-D88</f>
      </c>
    </row>
    <row x14ac:dyDescent="0.25" r="89" customHeight="1" ht="17.25">
      <c r="A89" s="8">
        <v>45840</v>
      </c>
      <c r="B89" s="9" t="s">
        <v>414</v>
      </c>
      <c r="C89" s="6">
        <v>1</v>
      </c>
      <c r="D89" s="4"/>
      <c r="E89" s="6">
        <f>E88+C89-D89</f>
      </c>
    </row>
    <row x14ac:dyDescent="0.25" r="90" customHeight="1" ht="17.25">
      <c r="A90" s="7">
        <v>45841</v>
      </c>
      <c r="B90" s="9" t="s">
        <v>284</v>
      </c>
      <c r="C90" s="4"/>
      <c r="D90" s="6">
        <v>20</v>
      </c>
      <c r="E90" s="6">
        <f>E89+C90-D90</f>
      </c>
    </row>
    <row x14ac:dyDescent="0.25" r="91" customHeight="1" ht="17.25">
      <c r="A91" s="7">
        <v>45846</v>
      </c>
      <c r="B91" s="9" t="s">
        <v>234</v>
      </c>
      <c r="C91" s="4"/>
      <c r="D91" s="6">
        <v>20</v>
      </c>
      <c r="E91" s="6">
        <f>E90+C91-D91</f>
      </c>
    </row>
    <row x14ac:dyDescent="0.25" r="92" customHeight="1" ht="17.25">
      <c r="A92" s="8">
        <v>45847</v>
      </c>
      <c r="B92" s="9" t="s">
        <v>299</v>
      </c>
      <c r="C92" s="4"/>
      <c r="D92" s="6">
        <v>48</v>
      </c>
      <c r="E92" s="6">
        <f>E91+C92-D92</f>
      </c>
    </row>
    <row x14ac:dyDescent="0.25" r="93" customHeight="1" ht="17.25">
      <c r="A93" s="8">
        <v>45853</v>
      </c>
      <c r="B93" s="9" t="s">
        <v>47</v>
      </c>
      <c r="C93" s="4"/>
      <c r="D93" s="6">
        <v>21</v>
      </c>
      <c r="E93" s="6">
        <f>E92+C93-D93</f>
      </c>
    </row>
    <row x14ac:dyDescent="0.25" r="94" customHeight="1" ht="17.25">
      <c r="A94" s="7">
        <v>45856</v>
      </c>
      <c r="B94" s="9" t="s">
        <v>41</v>
      </c>
      <c r="C94" s="6">
        <v>11</v>
      </c>
      <c r="D94" s="4"/>
      <c r="E94" s="6">
        <f>E93+C94-D94</f>
      </c>
    </row>
    <row x14ac:dyDescent="0.25" r="95" customHeight="1" ht="17.25">
      <c r="A95" s="7">
        <v>45862</v>
      </c>
      <c r="B95" s="9" t="s">
        <v>304</v>
      </c>
      <c r="C95" s="4"/>
      <c r="D95" s="6">
        <v>30</v>
      </c>
      <c r="E95" s="6">
        <f>E94+C95-D95</f>
      </c>
    </row>
    <row x14ac:dyDescent="0.25" r="96" customHeight="1" ht="17.25">
      <c r="A96" s="7">
        <v>45864</v>
      </c>
      <c r="B96" s="9" t="s">
        <v>47</v>
      </c>
      <c r="C96" s="4"/>
      <c r="D96" s="6">
        <v>30</v>
      </c>
      <c r="E96" s="6">
        <f>E95+C96-D96</f>
      </c>
    </row>
    <row x14ac:dyDescent="0.25" r="97" customHeight="1" ht="17.25">
      <c r="A97" s="8">
        <v>45865</v>
      </c>
      <c r="B97" s="9" t="s">
        <v>264</v>
      </c>
      <c r="C97" s="4"/>
      <c r="D97" s="6">
        <v>4</v>
      </c>
      <c r="E97" s="6">
        <f>E96+C97-D97</f>
      </c>
    </row>
    <row x14ac:dyDescent="0.25" r="98" customHeight="1" ht="17.25">
      <c r="A98" s="8">
        <v>45867</v>
      </c>
      <c r="B98" s="9" t="s">
        <v>47</v>
      </c>
      <c r="C98" s="6">
        <v>5</v>
      </c>
      <c r="D98" s="4"/>
      <c r="E98" s="6">
        <f>E97+C98-D98</f>
      </c>
    </row>
    <row x14ac:dyDescent="0.25" r="99" customHeight="1" ht="17.25">
      <c r="A99" s="7">
        <v>45870</v>
      </c>
      <c r="B99" s="9" t="s">
        <v>35</v>
      </c>
      <c r="C99" s="6">
        <v>2</v>
      </c>
      <c r="D99" s="4"/>
      <c r="E99" s="6">
        <f>E98+C99-D99</f>
      </c>
    </row>
    <row x14ac:dyDescent="0.25" r="100" customHeight="1" ht="17.25">
      <c r="A100" s="7">
        <v>45871</v>
      </c>
      <c r="B100" s="9" t="s">
        <v>47</v>
      </c>
      <c r="C100" s="4"/>
      <c r="D100" s="6">
        <v>60</v>
      </c>
      <c r="E100" s="6">
        <f>E99+C100-D100</f>
      </c>
    </row>
    <row x14ac:dyDescent="0.25" r="101" customHeight="1" ht="17.25">
      <c r="A101" s="7">
        <v>45873</v>
      </c>
      <c r="B101" s="9" t="s">
        <v>41</v>
      </c>
      <c r="C101" s="6">
        <v>1</v>
      </c>
      <c r="D101" s="4"/>
      <c r="E101" s="6">
        <f>E100+C101-D101</f>
      </c>
    </row>
    <row x14ac:dyDescent="0.25" r="102" customHeight="1" ht="17.25">
      <c r="A102" s="7">
        <v>45874</v>
      </c>
      <c r="B102" s="9" t="s">
        <v>287</v>
      </c>
      <c r="C102" s="6">
        <v>4</v>
      </c>
      <c r="D102" s="4"/>
      <c r="E102" s="6">
        <f>E101+C102-D102</f>
      </c>
    </row>
    <row x14ac:dyDescent="0.25" r="103" customHeight="1" ht="17.25">
      <c r="A103" s="7">
        <v>45875</v>
      </c>
      <c r="B103" s="9" t="s">
        <v>189</v>
      </c>
      <c r="C103" s="4"/>
      <c r="D103" s="6">
        <v>24</v>
      </c>
      <c r="E103" s="6">
        <f>E102+C103-D103</f>
      </c>
    </row>
    <row x14ac:dyDescent="0.25" r="104" customHeight="1" ht="17.25">
      <c r="A104" s="7">
        <v>45876</v>
      </c>
      <c r="B104" s="9" t="s">
        <v>189</v>
      </c>
      <c r="C104" s="4"/>
      <c r="D104" s="6">
        <v>1</v>
      </c>
      <c r="E104" s="6">
        <f>E103+C104-D104</f>
      </c>
    </row>
    <row x14ac:dyDescent="0.25" r="105" customHeight="1" ht="17.25">
      <c r="A105" s="8">
        <v>45876</v>
      </c>
      <c r="B105" s="9" t="s">
        <v>308</v>
      </c>
      <c r="C105" s="4"/>
      <c r="D105" s="6">
        <v>15</v>
      </c>
      <c r="E105" s="6">
        <f>E104+C105-D105</f>
      </c>
    </row>
    <row x14ac:dyDescent="0.25" r="106" customHeight="1" ht="17.25">
      <c r="A106" s="8">
        <v>45877</v>
      </c>
      <c r="B106" s="9" t="s">
        <v>234</v>
      </c>
      <c r="C106" s="4"/>
      <c r="D106" s="6">
        <v>12</v>
      </c>
      <c r="E106" s="6">
        <f>E105+C106-D106</f>
      </c>
    </row>
    <row x14ac:dyDescent="0.25" r="107" customHeight="1" ht="17.25">
      <c r="A107" s="8">
        <v>45877</v>
      </c>
      <c r="B107" s="9" t="s">
        <v>308</v>
      </c>
      <c r="C107" s="4"/>
      <c r="D107" s="6">
        <v>15</v>
      </c>
      <c r="E107" s="6">
        <f>E106+C107-D107</f>
      </c>
    </row>
    <row x14ac:dyDescent="0.25" r="108" customHeight="1" ht="17.25">
      <c r="A108" s="8">
        <v>45881</v>
      </c>
      <c r="B108" s="9" t="s">
        <v>208</v>
      </c>
      <c r="C108" s="6">
        <v>3</v>
      </c>
      <c r="D108" s="4"/>
      <c r="E108" s="6">
        <f>E107+C108-D108</f>
      </c>
    </row>
    <row x14ac:dyDescent="0.25" r="109" customHeight="1" ht="17.25">
      <c r="A109" s="7">
        <v>45883</v>
      </c>
      <c r="B109" s="9" t="s">
        <v>299</v>
      </c>
      <c r="C109" s="6">
        <v>23</v>
      </c>
      <c r="D109" s="4"/>
      <c r="E109" s="6">
        <f>E108+C109-D109</f>
      </c>
    </row>
    <row x14ac:dyDescent="0.25" r="110" customHeight="1" ht="17.25">
      <c r="A110" s="7">
        <v>45884</v>
      </c>
      <c r="B110" s="9" t="s">
        <v>35</v>
      </c>
      <c r="C110" s="6">
        <v>13</v>
      </c>
      <c r="D110" s="4"/>
      <c r="E110" s="6">
        <f>E109+C110-D110</f>
      </c>
    </row>
    <row x14ac:dyDescent="0.25" r="111" customHeight="1" ht="17.25">
      <c r="A111" s="7">
        <v>45884</v>
      </c>
      <c r="B111" s="9" t="s">
        <v>241</v>
      </c>
      <c r="C111" s="6">
        <v>22</v>
      </c>
      <c r="D111" s="4"/>
      <c r="E111" s="6">
        <f>E110+C111-D111</f>
      </c>
    </row>
    <row x14ac:dyDescent="0.25" r="112" customHeight="1" ht="17.25">
      <c r="A112" s="7">
        <v>45885</v>
      </c>
      <c r="B112" s="9" t="s">
        <v>47</v>
      </c>
      <c r="C112" s="6">
        <v>70</v>
      </c>
      <c r="D112" s="4"/>
      <c r="E112" s="6">
        <f>E111+C112-D112</f>
      </c>
    </row>
    <row x14ac:dyDescent="0.25" r="113" customHeight="1" ht="17.25">
      <c r="A113" s="7">
        <v>45885</v>
      </c>
      <c r="B113" s="9" t="s">
        <v>299</v>
      </c>
      <c r="C113" s="6">
        <v>7</v>
      </c>
      <c r="D113" s="4"/>
      <c r="E113" s="6">
        <f>E112+C113-D113</f>
      </c>
    </row>
    <row x14ac:dyDescent="0.25" r="114" customHeight="1" ht="17.25">
      <c r="A114" s="8">
        <v>45885</v>
      </c>
      <c r="B114" s="9" t="s">
        <v>29</v>
      </c>
      <c r="C114" s="6">
        <v>10</v>
      </c>
      <c r="D114" s="4"/>
      <c r="E114" s="6">
        <f>E113+C114-D114</f>
      </c>
    </row>
    <row x14ac:dyDescent="0.25" r="115" customHeight="1" ht="17.25">
      <c r="A115" s="8">
        <v>45888</v>
      </c>
      <c r="B115" s="9" t="s">
        <v>346</v>
      </c>
      <c r="C115" s="4"/>
      <c r="D115" s="6">
        <v>10</v>
      </c>
      <c r="E115" s="6">
        <f>E114+C115-D115</f>
      </c>
    </row>
    <row x14ac:dyDescent="0.25" r="116" customHeight="1" ht="17.25">
      <c r="A116" s="7">
        <v>45888</v>
      </c>
      <c r="B116" s="9" t="s">
        <v>299</v>
      </c>
      <c r="C116" s="6">
        <v>4</v>
      </c>
      <c r="D116" s="4"/>
      <c r="E116" s="6">
        <f>E115+C116-D116</f>
      </c>
    </row>
    <row x14ac:dyDescent="0.25" r="117" customHeight="1" ht="17.25">
      <c r="A117" s="7">
        <v>45888</v>
      </c>
      <c r="B117" s="9" t="s">
        <v>414</v>
      </c>
      <c r="C117" s="6">
        <v>5</v>
      </c>
      <c r="D117" s="4"/>
      <c r="E117" s="6">
        <f>E116+C117-D117</f>
      </c>
    </row>
    <row x14ac:dyDescent="0.25" r="118" customHeight="1" ht="17.25">
      <c r="A118" s="7">
        <v>45890</v>
      </c>
      <c r="B118" s="9" t="s">
        <v>346</v>
      </c>
      <c r="C118" s="6">
        <v>10</v>
      </c>
      <c r="D118" s="4"/>
      <c r="E118" s="6">
        <f>E117+C118-D118</f>
      </c>
    </row>
    <row x14ac:dyDescent="0.25" r="119" customHeight="1" ht="17.25">
      <c r="A119" s="7">
        <v>45890</v>
      </c>
      <c r="B119" s="9" t="s">
        <v>299</v>
      </c>
      <c r="C119" s="6">
        <v>2</v>
      </c>
      <c r="D119" s="4"/>
      <c r="E119" s="6">
        <f>E118+C119-D119</f>
      </c>
    </row>
    <row x14ac:dyDescent="0.25" r="120" customHeight="1" ht="17.25">
      <c r="A120" s="8">
        <v>45891</v>
      </c>
      <c r="B120" s="9" t="s">
        <v>42</v>
      </c>
      <c r="C120" s="6">
        <v>5</v>
      </c>
      <c r="D120" s="4"/>
      <c r="E120" s="6">
        <f>E119+C120-D120</f>
      </c>
    </row>
    <row x14ac:dyDescent="0.25" r="121" customHeight="1" ht="17.25">
      <c r="A121" s="7">
        <v>45891</v>
      </c>
      <c r="B121" s="9" t="s">
        <v>299</v>
      </c>
      <c r="C121" s="6">
        <v>12</v>
      </c>
      <c r="D121" s="4"/>
      <c r="E121" s="6">
        <f>E120+C121-D121</f>
      </c>
    </row>
    <row x14ac:dyDescent="0.25" r="122" customHeight="1" ht="17.25">
      <c r="A122" s="7">
        <v>45891</v>
      </c>
      <c r="B122" s="9" t="s">
        <v>89</v>
      </c>
      <c r="C122" s="6">
        <v>11</v>
      </c>
      <c r="D122" s="4"/>
      <c r="E122" s="6">
        <f>E121+C122-D122</f>
      </c>
    </row>
    <row x14ac:dyDescent="0.25" r="123" customHeight="1" ht="17.25">
      <c r="A123" s="7">
        <v>45894</v>
      </c>
      <c r="B123" s="9" t="s">
        <v>47</v>
      </c>
      <c r="C123" s="6">
        <v>26</v>
      </c>
      <c r="D123" s="4"/>
      <c r="E123" s="6">
        <f>E122+C123-D123</f>
      </c>
    </row>
    <row x14ac:dyDescent="0.25" r="124" customHeight="1" ht="17.25">
      <c r="A124" s="7">
        <v>45895</v>
      </c>
      <c r="B124" s="9" t="s">
        <v>271</v>
      </c>
      <c r="C124" s="6">
        <v>2</v>
      </c>
      <c r="D124" s="4"/>
      <c r="E124" s="6">
        <f>E123+C124-D124</f>
      </c>
    </row>
    <row x14ac:dyDescent="0.25" r="125" customHeight="1" ht="17.25">
      <c r="A125" s="7">
        <v>45897</v>
      </c>
      <c r="B125" s="9" t="s">
        <v>47</v>
      </c>
      <c r="C125" s="6">
        <v>7</v>
      </c>
      <c r="D125" s="4"/>
      <c r="E125" s="6">
        <f>E124+C125-D125</f>
      </c>
    </row>
    <row x14ac:dyDescent="0.25" r="126" customHeight="1" ht="17.25">
      <c r="A126" s="8">
        <v>45899</v>
      </c>
      <c r="B126" s="9" t="s">
        <v>264</v>
      </c>
      <c r="C126" s="4"/>
      <c r="D126" s="6">
        <v>3</v>
      </c>
      <c r="E126" s="6">
        <f>E125+C126-D126</f>
      </c>
    </row>
    <row x14ac:dyDescent="0.25" r="127" customHeight="1" ht="17.25">
      <c r="A127" s="7">
        <v>45904</v>
      </c>
      <c r="B127" s="9" t="s">
        <v>89</v>
      </c>
      <c r="C127" s="6">
        <v>6</v>
      </c>
      <c r="D127" s="4"/>
      <c r="E127" s="6">
        <f>E126+C127-D127</f>
      </c>
    </row>
    <row x14ac:dyDescent="0.25" r="128" customHeight="1" ht="17.25">
      <c r="A128" s="7">
        <v>45904</v>
      </c>
      <c r="B128" s="9" t="s">
        <v>228</v>
      </c>
      <c r="C128" s="6">
        <v>4</v>
      </c>
      <c r="D128" s="4"/>
      <c r="E128" s="6">
        <f>E127+C128-D128</f>
      </c>
    </row>
    <row x14ac:dyDescent="0.25" r="129" customHeight="1" ht="17.25">
      <c r="A129" s="7">
        <v>45906</v>
      </c>
      <c r="B129" s="9" t="s">
        <v>172</v>
      </c>
      <c r="C129" s="6">
        <v>1</v>
      </c>
      <c r="D129" s="4"/>
      <c r="E129" s="6">
        <f>E128+C129-D129</f>
      </c>
    </row>
    <row x14ac:dyDescent="0.25" r="130" customHeight="1" ht="17.25">
      <c r="A130" s="7">
        <v>45908</v>
      </c>
      <c r="B130" s="9" t="s">
        <v>284</v>
      </c>
      <c r="C130" s="6">
        <v>7</v>
      </c>
      <c r="D130" s="4"/>
      <c r="E130" s="6">
        <f>E129+C130-D130</f>
      </c>
    </row>
    <row x14ac:dyDescent="0.25" r="131" customHeight="1" ht="17.25">
      <c r="A131" s="8">
        <v>45912</v>
      </c>
      <c r="B131" s="9" t="s">
        <v>427</v>
      </c>
      <c r="C131" s="4"/>
      <c r="D131" s="6">
        <v>6</v>
      </c>
      <c r="E131" s="6">
        <f>E130+C131-D131</f>
      </c>
    </row>
    <row x14ac:dyDescent="0.25" r="132" customHeight="1" ht="17.25">
      <c r="A132" s="7">
        <v>45912</v>
      </c>
      <c r="B132" s="9" t="s">
        <v>89</v>
      </c>
      <c r="C132" s="6">
        <v>9</v>
      </c>
      <c r="D132" s="4"/>
      <c r="E132" s="6">
        <f>E131+C132-D132</f>
      </c>
    </row>
    <row x14ac:dyDescent="0.25" r="133" customHeight="1" ht="17.25">
      <c r="A133" s="7">
        <v>45913</v>
      </c>
      <c r="B133" s="9" t="s">
        <v>304</v>
      </c>
      <c r="C133" s="6">
        <v>30</v>
      </c>
      <c r="D133" s="4"/>
      <c r="E133" s="6">
        <f>E132+C133-D133</f>
      </c>
    </row>
    <row x14ac:dyDescent="0.25" r="134" customHeight="1" ht="17.25">
      <c r="A134" s="8">
        <v>45916</v>
      </c>
      <c r="B134" s="9" t="s">
        <v>228</v>
      </c>
      <c r="C134" s="6">
        <v>2</v>
      </c>
      <c r="D134" s="4"/>
      <c r="E134" s="6">
        <f>E133+C134-D134</f>
      </c>
    </row>
    <row x14ac:dyDescent="0.25" r="135" customHeight="1" ht="17.25">
      <c r="A135" s="7">
        <v>45922</v>
      </c>
      <c r="B135" s="9" t="s">
        <v>35</v>
      </c>
      <c r="C135" s="6">
        <v>3</v>
      </c>
      <c r="D135" s="4"/>
      <c r="E135" s="6">
        <f>E134+C135-D135</f>
      </c>
    </row>
    <row x14ac:dyDescent="0.25" r="136" customHeight="1" ht="17.25">
      <c r="A136" s="8">
        <v>45924</v>
      </c>
      <c r="B136" s="9" t="s">
        <v>284</v>
      </c>
      <c r="C136" s="6">
        <v>8</v>
      </c>
      <c r="D136" s="4"/>
      <c r="E136" s="6">
        <f>E135+C136-D136</f>
      </c>
    </row>
    <row x14ac:dyDescent="0.25" r="137" customHeight="1" ht="17.25">
      <c r="A137" s="8">
        <v>45924</v>
      </c>
      <c r="B137" s="9" t="s">
        <v>42</v>
      </c>
      <c r="C137" s="6">
        <v>5</v>
      </c>
      <c r="D137" s="4"/>
      <c r="E137" s="6">
        <f>E136+C137-D137</f>
      </c>
    </row>
    <row x14ac:dyDescent="0.25" r="138" customHeight="1" ht="17.25">
      <c r="A138" s="7">
        <v>45930</v>
      </c>
      <c r="B138" s="9" t="s">
        <v>47</v>
      </c>
      <c r="C138" s="6">
        <v>10</v>
      </c>
      <c r="D138" s="4"/>
      <c r="E138" s="6">
        <f>E137+C138-D138</f>
      </c>
    </row>
    <row x14ac:dyDescent="0.25" r="139" customHeight="1" ht="17.25">
      <c r="A139" s="8">
        <v>45932</v>
      </c>
      <c r="B139" s="9" t="s">
        <v>264</v>
      </c>
      <c r="C139" s="6">
        <v>4</v>
      </c>
      <c r="D139" s="4"/>
      <c r="E139" s="6">
        <f>E138+C139-D139</f>
      </c>
    </row>
    <row x14ac:dyDescent="0.25" r="140" customHeight="1" ht="17.25">
      <c r="A140" s="8">
        <v>45932</v>
      </c>
      <c r="B140" s="9" t="s">
        <v>184</v>
      </c>
      <c r="C140" s="6">
        <v>12</v>
      </c>
      <c r="D140" s="4"/>
      <c r="E140" s="6">
        <f>E139+C140-D140</f>
      </c>
    </row>
    <row x14ac:dyDescent="0.25" r="141" customHeight="1" ht="17.25">
      <c r="A141" s="7">
        <v>45932</v>
      </c>
      <c r="B141" s="9" t="s">
        <v>426</v>
      </c>
      <c r="C141" s="6">
        <v>5</v>
      </c>
      <c r="D141" s="4"/>
      <c r="E141" s="6">
        <f>E140+C141-D141</f>
      </c>
    </row>
    <row x14ac:dyDescent="0.25" r="142" customHeight="1" ht="17.25">
      <c r="A142" s="7">
        <v>45937</v>
      </c>
      <c r="B142" s="9" t="s">
        <v>312</v>
      </c>
      <c r="C142" s="4"/>
      <c r="D142" s="6">
        <v>1</v>
      </c>
      <c r="E142" s="6">
        <f>E141+C142-D142</f>
      </c>
    </row>
    <row x14ac:dyDescent="0.25" r="143" customHeight="1" ht="17.25">
      <c r="A143" s="8">
        <v>45941</v>
      </c>
      <c r="B143" s="9" t="s">
        <v>287</v>
      </c>
      <c r="C143" s="6">
        <v>2</v>
      </c>
      <c r="D143" s="4"/>
      <c r="E143" s="6">
        <f>E142+C143-D143</f>
      </c>
    </row>
    <row x14ac:dyDescent="0.25" r="144" customHeight="1" ht="17.25">
      <c r="A144" s="8">
        <v>45941</v>
      </c>
      <c r="B144" s="9" t="s">
        <v>184</v>
      </c>
      <c r="C144" s="6">
        <v>8</v>
      </c>
      <c r="D144" s="4"/>
      <c r="E144" s="6">
        <f>E143+C144-D144</f>
      </c>
    </row>
    <row x14ac:dyDescent="0.25" r="145" customHeight="1" ht="17.25">
      <c r="A145" s="8">
        <v>45943</v>
      </c>
      <c r="B145" s="9" t="s">
        <v>41</v>
      </c>
      <c r="C145" s="6">
        <v>2</v>
      </c>
      <c r="D145" s="4"/>
      <c r="E145" s="6">
        <f>E144+C145-D145</f>
      </c>
    </row>
    <row x14ac:dyDescent="0.25" r="146" customHeight="1" ht="17.25">
      <c r="A146" s="7">
        <v>45953</v>
      </c>
      <c r="B146" s="9" t="s">
        <v>398</v>
      </c>
      <c r="C146" s="4"/>
      <c r="D146" s="6">
        <v>10</v>
      </c>
      <c r="E146" s="6">
        <f>E145+C146-D146</f>
      </c>
    </row>
    <row x14ac:dyDescent="0.25" r="147" customHeight="1" ht="17.25">
      <c r="A147" s="7">
        <v>45953</v>
      </c>
      <c r="B147" s="9" t="s">
        <v>47</v>
      </c>
      <c r="C147" s="6">
        <v>5</v>
      </c>
      <c r="D147" s="4"/>
      <c r="E147" s="6">
        <f>E146+C147-D147</f>
      </c>
    </row>
    <row x14ac:dyDescent="0.25" r="148" customHeight="1" ht="17.25">
      <c r="A148" s="8">
        <v>45958</v>
      </c>
      <c r="B148" s="9" t="s">
        <v>317</v>
      </c>
      <c r="C148" s="6">
        <v>1</v>
      </c>
      <c r="D148" s="4"/>
      <c r="E148" s="6">
        <f>E147+C148-D148</f>
      </c>
    </row>
    <row x14ac:dyDescent="0.25" r="149" customHeight="1" ht="17.25">
      <c r="A149" s="8">
        <v>45958</v>
      </c>
      <c r="B149" s="9" t="s">
        <v>3</v>
      </c>
      <c r="C149" s="6">
        <v>2</v>
      </c>
      <c r="D149" s="4"/>
      <c r="E149" s="6">
        <f>E148+C149-D149</f>
      </c>
    </row>
    <row x14ac:dyDescent="0.25" r="150" customHeight="1" ht="17.25">
      <c r="A150" s="7">
        <v>45961</v>
      </c>
      <c r="B150" s="9" t="s">
        <v>319</v>
      </c>
      <c r="C150" s="4"/>
      <c r="D150" s="6">
        <v>30</v>
      </c>
      <c r="E150" s="6">
        <f>E149+C150-D150</f>
      </c>
    </row>
    <row x14ac:dyDescent="0.25" r="151" customHeight="1" ht="17.25">
      <c r="A151" s="8">
        <v>45962</v>
      </c>
      <c r="B151" s="9" t="s">
        <v>3</v>
      </c>
      <c r="C151" s="6">
        <v>1</v>
      </c>
      <c r="D151" s="4"/>
      <c r="E151" s="6">
        <f>E150+C151-D151</f>
      </c>
    </row>
    <row x14ac:dyDescent="0.25" r="152" customHeight="1" ht="17.25">
      <c r="A152" s="7">
        <v>45964</v>
      </c>
      <c r="B152" s="9" t="s">
        <v>319</v>
      </c>
      <c r="C152" s="4"/>
      <c r="D152" s="6">
        <v>10</v>
      </c>
      <c r="E152" s="6">
        <f>E151+C152-D152</f>
      </c>
    </row>
    <row x14ac:dyDescent="0.25" r="153" customHeight="1" ht="17.25">
      <c r="A153" s="8">
        <v>45964</v>
      </c>
      <c r="B153" s="9" t="s">
        <v>320</v>
      </c>
      <c r="C153" s="4"/>
      <c r="D153" s="6">
        <v>5</v>
      </c>
      <c r="E153" s="6">
        <f>E152+C153-D153</f>
      </c>
    </row>
    <row x14ac:dyDescent="0.25" r="154" customHeight="1" ht="17.25">
      <c r="A154" s="7">
        <v>45966</v>
      </c>
      <c r="B154" s="9" t="s">
        <v>318</v>
      </c>
      <c r="C154" s="4"/>
      <c r="D154" s="6">
        <v>12</v>
      </c>
      <c r="E154" s="6">
        <f>E153+C154-D154</f>
      </c>
    </row>
    <row x14ac:dyDescent="0.25" r="155" customHeight="1" ht="17.25">
      <c r="A155" s="8">
        <v>45966</v>
      </c>
      <c r="B155" s="9" t="s">
        <v>184</v>
      </c>
      <c r="C155" s="6">
        <v>7</v>
      </c>
      <c r="D155" s="4"/>
      <c r="E155" s="6">
        <f>E154+C155-D155</f>
      </c>
    </row>
    <row x14ac:dyDescent="0.25" r="156" customHeight="1" ht="17.25">
      <c r="A156" s="8">
        <v>45966</v>
      </c>
      <c r="B156" s="9" t="s">
        <v>3</v>
      </c>
      <c r="C156" s="6">
        <v>1</v>
      </c>
      <c r="D156" s="4"/>
      <c r="E156" s="6">
        <f>E155+C156-D156</f>
      </c>
    </row>
    <row x14ac:dyDescent="0.25" r="157" customHeight="1" ht="17.25">
      <c r="A157" s="8">
        <v>45968</v>
      </c>
      <c r="B157" s="9" t="s">
        <v>26</v>
      </c>
      <c r="C157" s="4"/>
      <c r="D157" s="6">
        <v>50</v>
      </c>
      <c r="E157" s="6">
        <f>E156+C157-D157</f>
      </c>
    </row>
    <row x14ac:dyDescent="0.25" r="158" customHeight="1" ht="17.25">
      <c r="A158" s="7">
        <v>45968</v>
      </c>
      <c r="B158" s="9" t="s">
        <v>52</v>
      </c>
      <c r="C158" s="6">
        <v>5</v>
      </c>
      <c r="D158" s="4"/>
      <c r="E158" s="6">
        <f>E157+C158-D158</f>
      </c>
    </row>
    <row x14ac:dyDescent="0.25" r="159" customHeight="1" ht="17.25">
      <c r="A159" s="7">
        <v>45968</v>
      </c>
      <c r="B159" s="9" t="s">
        <v>3</v>
      </c>
      <c r="C159" s="6">
        <v>2</v>
      </c>
      <c r="D159" s="4"/>
      <c r="E159" s="6">
        <f>E158+C159-D159</f>
      </c>
    </row>
    <row x14ac:dyDescent="0.25" r="160" customHeight="1" ht="17.25">
      <c r="A160" s="8">
        <v>45968</v>
      </c>
      <c r="B160" s="9" t="s">
        <v>26</v>
      </c>
      <c r="C160" s="4"/>
      <c r="D160" s="6">
        <v>50</v>
      </c>
      <c r="E160" s="6">
        <f>E159+C160-D160</f>
      </c>
    </row>
    <row x14ac:dyDescent="0.25" r="161" customHeight="1" ht="17.25">
      <c r="A161" s="8">
        <v>45973</v>
      </c>
      <c r="B161" s="9" t="s">
        <v>234</v>
      </c>
      <c r="C161" s="6">
        <v>12</v>
      </c>
      <c r="D161" s="4"/>
      <c r="E161" s="6">
        <f>E160+C161-D161</f>
      </c>
    </row>
    <row x14ac:dyDescent="0.25" r="162" customHeight="1" ht="17.25">
      <c r="A162" s="7">
        <v>45973</v>
      </c>
      <c r="B162" s="9" t="s">
        <v>42</v>
      </c>
      <c r="C162" s="4"/>
      <c r="D162" s="6">
        <v>5</v>
      </c>
      <c r="E162" s="6">
        <f>E161+C162-D162</f>
      </c>
    </row>
    <row x14ac:dyDescent="0.25" r="163" customHeight="1" ht="17.25">
      <c r="A163" s="8">
        <v>45974</v>
      </c>
      <c r="B163" s="9" t="s">
        <v>29</v>
      </c>
      <c r="C163" s="6">
        <v>7</v>
      </c>
      <c r="D163" s="4"/>
      <c r="E163" s="6">
        <f>E162+C163-D163</f>
      </c>
    </row>
    <row x14ac:dyDescent="0.25" r="164" customHeight="1" ht="17.25">
      <c r="A164" s="8">
        <v>45974</v>
      </c>
      <c r="B164" s="9" t="s">
        <v>228</v>
      </c>
      <c r="C164" s="6">
        <v>2</v>
      </c>
      <c r="D164" s="4"/>
      <c r="E164" s="6">
        <f>E163+C164-D164</f>
      </c>
    </row>
    <row x14ac:dyDescent="0.25" r="165" customHeight="1" ht="17.25">
      <c r="A165" s="7">
        <v>45974</v>
      </c>
      <c r="B165" s="9" t="s">
        <v>428</v>
      </c>
      <c r="C165" s="4"/>
      <c r="D165" s="6">
        <v>7</v>
      </c>
      <c r="E165" s="6">
        <f>E164+C165-D165</f>
      </c>
    </row>
    <row x14ac:dyDescent="0.25" r="166" customHeight="1" ht="17.25">
      <c r="A166" s="7">
        <v>45978</v>
      </c>
      <c r="B166" s="9" t="s">
        <v>320</v>
      </c>
      <c r="C166" s="6">
        <v>5</v>
      </c>
      <c r="D166" s="4"/>
      <c r="E166" s="6">
        <f>E165+C166-D166</f>
      </c>
    </row>
    <row x14ac:dyDescent="0.25" r="167" customHeight="1" ht="17.25">
      <c r="A167" s="8">
        <v>45979</v>
      </c>
      <c r="B167" s="9" t="s">
        <v>54</v>
      </c>
      <c r="C167" s="4"/>
      <c r="D167" s="6">
        <v>3</v>
      </c>
      <c r="E167" s="6">
        <f>E166+C167-D167</f>
      </c>
    </row>
    <row x14ac:dyDescent="0.25" r="168" customHeight="1" ht="17.25">
      <c r="A168" s="8">
        <v>45980</v>
      </c>
      <c r="B168" s="9" t="s">
        <v>42</v>
      </c>
      <c r="C168" s="4"/>
      <c r="D168" s="6">
        <v>5</v>
      </c>
      <c r="E168" s="6">
        <f>E167+C168-D168</f>
      </c>
    </row>
    <row x14ac:dyDescent="0.25" r="169" customHeight="1" ht="17.25">
      <c r="A169" s="8">
        <v>45981</v>
      </c>
      <c r="B169" s="9" t="s">
        <v>141</v>
      </c>
      <c r="C169" s="6">
        <v>7</v>
      </c>
      <c r="D169" s="4"/>
      <c r="E169" s="6">
        <f>E168+C169-D169</f>
      </c>
    </row>
    <row x14ac:dyDescent="0.25" r="170" customHeight="1" ht="17.25">
      <c r="A170" s="8">
        <v>45985</v>
      </c>
      <c r="B170" s="9" t="s">
        <v>228</v>
      </c>
      <c r="C170" s="6">
        <v>2</v>
      </c>
      <c r="D170" s="4"/>
      <c r="E170" s="6">
        <f>E169+C170-D170</f>
      </c>
    </row>
    <row x14ac:dyDescent="0.25" r="171" customHeight="1" ht="17.25">
      <c r="A171" s="7">
        <v>45986</v>
      </c>
      <c r="B171" s="9" t="s">
        <v>3</v>
      </c>
      <c r="C171" s="6">
        <v>5</v>
      </c>
      <c r="D171" s="4"/>
      <c r="E171" s="6">
        <f>E170+C171-D171</f>
      </c>
    </row>
    <row x14ac:dyDescent="0.25" r="172" customHeight="1" ht="17.25">
      <c r="A172" s="8">
        <v>45987</v>
      </c>
      <c r="B172" s="9" t="s">
        <v>53</v>
      </c>
      <c r="C172" s="4"/>
      <c r="D172" s="6">
        <v>50</v>
      </c>
      <c r="E172" s="6">
        <f>E171+C172-D172</f>
      </c>
    </row>
    <row x14ac:dyDescent="0.25" r="173" customHeight="1" ht="17.25">
      <c r="A173" s="8">
        <v>45987</v>
      </c>
      <c r="B173" s="9" t="s">
        <v>347</v>
      </c>
      <c r="C173" s="6">
        <v>5</v>
      </c>
      <c r="D173" s="4"/>
      <c r="E173" s="6">
        <f>E172+C173-D173</f>
      </c>
    </row>
    <row x14ac:dyDescent="0.25" r="174" customHeight="1" ht="17.25">
      <c r="A174" s="7">
        <v>45987</v>
      </c>
      <c r="B174" s="9" t="s">
        <v>228</v>
      </c>
      <c r="C174" s="6">
        <v>4</v>
      </c>
      <c r="D174" s="4"/>
      <c r="E174" s="6">
        <f>E173+C174-D174</f>
      </c>
    </row>
    <row x14ac:dyDescent="0.25" r="175" customHeight="1" ht="17.25">
      <c r="A175" s="8">
        <v>45988</v>
      </c>
      <c r="B175" s="9" t="s">
        <v>3</v>
      </c>
      <c r="C175" s="6">
        <v>3</v>
      </c>
      <c r="D175" s="4"/>
      <c r="E175" s="6">
        <f>E174+C175-D175</f>
      </c>
    </row>
    <row x14ac:dyDescent="0.25" r="176" customHeight="1" ht="17.25">
      <c r="A176" s="8">
        <v>45990</v>
      </c>
      <c r="B176" s="9" t="s">
        <v>53</v>
      </c>
      <c r="C176" s="4"/>
      <c r="D176" s="6">
        <v>20</v>
      </c>
      <c r="E176" s="6">
        <f>E175+C176-D176</f>
      </c>
    </row>
    <row x14ac:dyDescent="0.25" r="177" customHeight="1" ht="17.25">
      <c r="A177" s="7">
        <v>45990</v>
      </c>
      <c r="B177" s="9" t="s">
        <v>228</v>
      </c>
      <c r="C177" s="6">
        <v>2</v>
      </c>
      <c r="D177" s="4"/>
      <c r="E177" s="6">
        <f>E176+C177-D177</f>
      </c>
    </row>
    <row x14ac:dyDescent="0.25" r="178" customHeight="1" ht="17.25">
      <c r="A178" s="8">
        <v>45992</v>
      </c>
      <c r="B178" s="9" t="s">
        <v>53</v>
      </c>
      <c r="C178" s="4"/>
      <c r="D178" s="6">
        <v>12</v>
      </c>
      <c r="E178" s="6">
        <f>E177+C178-D178</f>
      </c>
    </row>
    <row x14ac:dyDescent="0.25" r="179" customHeight="1" ht="17.25">
      <c r="A179" s="7">
        <v>45992</v>
      </c>
      <c r="B179" s="9" t="s">
        <v>228</v>
      </c>
      <c r="C179" s="6">
        <v>4</v>
      </c>
      <c r="D179" s="4"/>
      <c r="E179" s="6">
        <f>E178+C179-D179</f>
      </c>
    </row>
    <row x14ac:dyDescent="0.25" r="180" customHeight="1" ht="17.25">
      <c r="A180" s="7">
        <v>45993</v>
      </c>
      <c r="B180" s="9" t="s">
        <v>42</v>
      </c>
      <c r="C180" s="4"/>
      <c r="D180" s="6">
        <v>12</v>
      </c>
      <c r="E180" s="6">
        <f>E179+C180-D180</f>
      </c>
    </row>
    <row x14ac:dyDescent="0.25" r="181" customHeight="1" ht="17.25">
      <c r="A181" s="7">
        <v>45993</v>
      </c>
      <c r="B181" s="9" t="s">
        <v>53</v>
      </c>
      <c r="C181" s="4"/>
      <c r="D181" s="6">
        <v>18</v>
      </c>
      <c r="E181" s="6">
        <f>E180+C181-D181</f>
      </c>
    </row>
    <row x14ac:dyDescent="0.25" r="182" customHeight="1" ht="17.25">
      <c r="A182" s="7">
        <v>45993</v>
      </c>
      <c r="B182" s="9" t="s">
        <v>26</v>
      </c>
      <c r="C182" s="6">
        <v>48</v>
      </c>
      <c r="D182" s="4"/>
      <c r="E182" s="6">
        <f>E181+C182-D182</f>
      </c>
    </row>
    <row x14ac:dyDescent="0.25" r="183" customHeight="1" ht="17.25">
      <c r="A183" s="7">
        <v>45994</v>
      </c>
      <c r="B183" s="9" t="s">
        <v>3</v>
      </c>
      <c r="C183" s="6">
        <v>1</v>
      </c>
      <c r="D183" s="4"/>
      <c r="E183" s="6">
        <f>E182+C183-D183</f>
      </c>
    </row>
    <row x14ac:dyDescent="0.25" r="184" customHeight="1" ht="17.25">
      <c r="A184" s="7">
        <v>45996</v>
      </c>
      <c r="B184" s="9" t="s">
        <v>228</v>
      </c>
      <c r="C184" s="6">
        <v>1</v>
      </c>
      <c r="D184" s="4"/>
      <c r="E184" s="6">
        <f>E183+C184-D184</f>
      </c>
    </row>
    <row x14ac:dyDescent="0.25" r="185" customHeight="1" ht="17.25">
      <c r="A185" s="7">
        <v>46003</v>
      </c>
      <c r="B185" s="9" t="s">
        <v>53</v>
      </c>
      <c r="C185" s="4"/>
      <c r="D185" s="6">
        <v>25</v>
      </c>
      <c r="E185" s="6">
        <f>E184+C185-D185</f>
      </c>
    </row>
    <row x14ac:dyDescent="0.25" r="186" customHeight="1" ht="17.25">
      <c r="A186" s="7">
        <v>46003</v>
      </c>
      <c r="B186" s="9" t="s">
        <v>335</v>
      </c>
      <c r="C186" s="4"/>
      <c r="D186" s="6">
        <v>10</v>
      </c>
      <c r="E186" s="6">
        <f>E185+C186-D186</f>
      </c>
    </row>
    <row x14ac:dyDescent="0.25" r="187" customHeight="1" ht="17.25">
      <c r="A187" s="7">
        <v>46007</v>
      </c>
      <c r="B187" s="9" t="s">
        <v>26</v>
      </c>
      <c r="C187" s="6">
        <v>46</v>
      </c>
      <c r="D187" s="4"/>
      <c r="E187" s="6">
        <f>E186+C187-D187</f>
      </c>
    </row>
    <row x14ac:dyDescent="0.25" r="188" customHeight="1" ht="17.25">
      <c r="A188" s="1"/>
      <c r="B188" s="2"/>
      <c r="C188" s="4"/>
      <c r="D188" s="4"/>
      <c r="E188" s="6">
        <f>E187+C188-D188</f>
      </c>
    </row>
    <row x14ac:dyDescent="0.25" r="189" customHeight="1" ht="17.25">
      <c r="A189" s="1"/>
      <c r="B189" s="2"/>
      <c r="C189" s="4"/>
      <c r="D189" s="4"/>
      <c r="E189" s="6">
        <f>E188+C189-D189</f>
      </c>
    </row>
    <row x14ac:dyDescent="0.25" r="190" customHeight="1" ht="17.25">
      <c r="A190" s="1"/>
      <c r="B190" s="2"/>
      <c r="C190" s="4"/>
      <c r="D190" s="4"/>
      <c r="E190" s="6">
        <f>E189+C190-D190</f>
      </c>
    </row>
    <row x14ac:dyDescent="0.25" r="191" customHeight="1" ht="17.25">
      <c r="A191" s="1"/>
      <c r="B191" s="2"/>
      <c r="C191" s="4"/>
      <c r="D191" s="4"/>
      <c r="E191" s="6">
        <f>E190+C191-D191</f>
      </c>
    </row>
    <row x14ac:dyDescent="0.25" r="192" customHeight="1" ht="17.25">
      <c r="A192" s="1"/>
      <c r="B192" s="2"/>
      <c r="C192" s="4"/>
      <c r="D192" s="4"/>
      <c r="E192" s="6">
        <f>E191+C192-D192</f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9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4.57642857142857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408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6">
        <v>379</v>
      </c>
    </row>
    <row x14ac:dyDescent="0.25" r="4" customHeight="1" ht="17.25">
      <c r="A4" s="7">
        <v>45659</v>
      </c>
      <c r="B4" s="2" t="s">
        <v>409</v>
      </c>
      <c r="C4" s="6">
        <v>7</v>
      </c>
      <c r="D4" s="4"/>
      <c r="E4" s="6">
        <f>E3+C4-D4</f>
      </c>
    </row>
    <row x14ac:dyDescent="0.25" r="5" customHeight="1" ht="17.25">
      <c r="A5" s="7">
        <v>45659</v>
      </c>
      <c r="B5" s="2" t="s">
        <v>269</v>
      </c>
      <c r="C5" s="6">
        <v>6</v>
      </c>
      <c r="D5" s="4"/>
      <c r="E5" s="6">
        <f>E4+C5-D5</f>
      </c>
    </row>
    <row x14ac:dyDescent="0.25" r="6" customHeight="1" ht="17.25">
      <c r="A6" s="8">
        <v>45660</v>
      </c>
      <c r="B6" s="9" t="s">
        <v>375</v>
      </c>
      <c r="C6" s="6">
        <v>3</v>
      </c>
      <c r="D6" s="4"/>
      <c r="E6" s="6">
        <f>E5+C6-D6</f>
      </c>
    </row>
    <row x14ac:dyDescent="0.25" r="7" customHeight="1" ht="17.25">
      <c r="A7" s="8">
        <v>45660</v>
      </c>
      <c r="B7" s="9" t="s">
        <v>410</v>
      </c>
      <c r="C7" s="6">
        <v>3</v>
      </c>
      <c r="D7" s="4"/>
      <c r="E7" s="6">
        <f>E6+C7-D7</f>
      </c>
    </row>
    <row x14ac:dyDescent="0.25" r="8" customHeight="1" ht="17.25">
      <c r="A8" s="7">
        <v>45663</v>
      </c>
      <c r="B8" s="2" t="s">
        <v>189</v>
      </c>
      <c r="C8" s="6">
        <v>5</v>
      </c>
      <c r="D8" s="4"/>
      <c r="E8" s="6">
        <f>E7+C8-D8</f>
      </c>
    </row>
    <row x14ac:dyDescent="0.25" r="9" customHeight="1" ht="17.25">
      <c r="A9" s="8">
        <v>45664</v>
      </c>
      <c r="B9" s="9" t="s">
        <v>376</v>
      </c>
      <c r="C9" s="6">
        <v>11</v>
      </c>
      <c r="D9" s="4"/>
      <c r="E9" s="6">
        <f>E8+C9-D9</f>
      </c>
    </row>
    <row x14ac:dyDescent="0.25" r="10" customHeight="1" ht="17.25">
      <c r="A10" s="7">
        <v>45664</v>
      </c>
      <c r="B10" s="9" t="s">
        <v>375</v>
      </c>
      <c r="C10" s="6">
        <v>3</v>
      </c>
      <c r="D10" s="4"/>
      <c r="E10" s="6">
        <f>E9+C10-D10</f>
      </c>
    </row>
    <row x14ac:dyDescent="0.25" r="11" customHeight="1" ht="17.25">
      <c r="A11" s="7">
        <v>45665</v>
      </c>
      <c r="B11" s="9" t="s">
        <v>189</v>
      </c>
      <c r="C11" s="6">
        <v>3</v>
      </c>
      <c r="D11" s="4"/>
      <c r="E11" s="6">
        <f>E10+C11-D11</f>
      </c>
    </row>
    <row x14ac:dyDescent="0.25" r="12" customHeight="1" ht="17.25">
      <c r="A12" s="7">
        <v>45666</v>
      </c>
      <c r="B12" s="9" t="s">
        <v>376</v>
      </c>
      <c r="C12" s="6">
        <v>2</v>
      </c>
      <c r="D12" s="4"/>
      <c r="E12" s="6">
        <f>E11+C12-D12</f>
      </c>
    </row>
    <row x14ac:dyDescent="0.25" r="13" customHeight="1" ht="17.25">
      <c r="A13" s="7">
        <v>45668</v>
      </c>
      <c r="B13" s="9" t="s">
        <v>411</v>
      </c>
      <c r="C13" s="3"/>
      <c r="D13" s="6">
        <v>4</v>
      </c>
      <c r="E13" s="6">
        <f>E12+C13-D13</f>
      </c>
    </row>
    <row x14ac:dyDescent="0.25" r="14" customHeight="1" ht="17.25">
      <c r="A14" s="7">
        <v>45668</v>
      </c>
      <c r="B14" s="9" t="s">
        <v>256</v>
      </c>
      <c r="C14" s="6">
        <v>34</v>
      </c>
      <c r="D14" s="4"/>
      <c r="E14" s="6">
        <f>E13+C14-D14</f>
      </c>
    </row>
    <row x14ac:dyDescent="0.25" r="15" customHeight="1" ht="17.25">
      <c r="A15" s="7">
        <v>45668</v>
      </c>
      <c r="B15" s="9" t="s">
        <v>375</v>
      </c>
      <c r="C15" s="6">
        <v>4</v>
      </c>
      <c r="D15" s="4"/>
      <c r="E15" s="6">
        <f>E14+C15-D15</f>
      </c>
    </row>
    <row x14ac:dyDescent="0.25" r="16" customHeight="1" ht="17.25">
      <c r="A16" s="8">
        <v>45670</v>
      </c>
      <c r="B16" s="9" t="s">
        <v>189</v>
      </c>
      <c r="C16" s="6">
        <v>8</v>
      </c>
      <c r="D16" s="4"/>
      <c r="E16" s="6">
        <f>E15+C16-D16</f>
      </c>
    </row>
    <row x14ac:dyDescent="0.25" r="17" customHeight="1" ht="17.25">
      <c r="A17" s="8">
        <v>45670</v>
      </c>
      <c r="B17" s="9" t="s">
        <v>410</v>
      </c>
      <c r="C17" s="6">
        <v>7</v>
      </c>
      <c r="D17" s="4"/>
      <c r="E17" s="6">
        <f>E16+C17-D17</f>
      </c>
    </row>
    <row x14ac:dyDescent="0.25" r="18" customHeight="1" ht="17.25">
      <c r="A18" s="8">
        <v>45671</v>
      </c>
      <c r="B18" s="9" t="s">
        <v>375</v>
      </c>
      <c r="C18" s="6">
        <v>7</v>
      </c>
      <c r="D18" s="4"/>
      <c r="E18" s="6">
        <f>E17+C18-D18</f>
      </c>
    </row>
    <row x14ac:dyDescent="0.25" r="19" customHeight="1" ht="17.25">
      <c r="A19" s="7">
        <v>45672</v>
      </c>
      <c r="B19" s="9" t="s">
        <v>271</v>
      </c>
      <c r="C19" s="6">
        <v>11</v>
      </c>
      <c r="D19" s="4"/>
      <c r="E19" s="6">
        <f>E18+C19-D19</f>
      </c>
    </row>
    <row x14ac:dyDescent="0.25" r="20" customHeight="1" ht="17.25">
      <c r="A20" s="8">
        <v>45672</v>
      </c>
      <c r="B20" s="9" t="s">
        <v>412</v>
      </c>
      <c r="C20" s="6">
        <v>6</v>
      </c>
      <c r="D20" s="4"/>
      <c r="E20" s="6">
        <f>E19+C20-D20</f>
      </c>
    </row>
    <row x14ac:dyDescent="0.25" r="21" customHeight="1" ht="17.25">
      <c r="A21" s="8">
        <v>45673</v>
      </c>
      <c r="B21" s="9" t="s">
        <v>2</v>
      </c>
      <c r="C21" s="3"/>
      <c r="D21" s="6">
        <v>10</v>
      </c>
      <c r="E21" s="6">
        <f>E20+C21-D21</f>
      </c>
    </row>
    <row x14ac:dyDescent="0.25" r="22" customHeight="1" ht="17.25">
      <c r="A22" s="8">
        <v>45675</v>
      </c>
      <c r="B22" s="9" t="s">
        <v>272</v>
      </c>
      <c r="C22" s="3"/>
      <c r="D22" s="6">
        <v>13</v>
      </c>
      <c r="E22" s="6">
        <f>E21+C22-D22</f>
      </c>
    </row>
    <row x14ac:dyDescent="0.25" r="23" customHeight="1" ht="17.25">
      <c r="A23" s="8">
        <v>45675</v>
      </c>
      <c r="B23" s="9" t="s">
        <v>413</v>
      </c>
      <c r="C23" s="6">
        <v>23</v>
      </c>
      <c r="D23" s="4"/>
      <c r="E23" s="6">
        <f>E22+C23-D23</f>
      </c>
    </row>
    <row x14ac:dyDescent="0.25" r="24" customHeight="1" ht="17.25">
      <c r="A24" s="8">
        <v>45677</v>
      </c>
      <c r="B24" s="9" t="s">
        <v>378</v>
      </c>
      <c r="C24" s="6">
        <v>4</v>
      </c>
      <c r="D24" s="4"/>
      <c r="E24" s="6">
        <f>E23+C24-D24</f>
      </c>
    </row>
    <row x14ac:dyDescent="0.25" r="25" customHeight="1" ht="17.25">
      <c r="A25" s="8">
        <v>45677</v>
      </c>
      <c r="B25" s="9" t="s">
        <v>131</v>
      </c>
      <c r="C25" s="6">
        <v>4</v>
      </c>
      <c r="D25" s="4"/>
      <c r="E25" s="6">
        <f>E24+C25-D25</f>
      </c>
    </row>
    <row x14ac:dyDescent="0.25" r="26" customHeight="1" ht="17.25">
      <c r="A26" s="8">
        <v>45678</v>
      </c>
      <c r="B26" s="9" t="s">
        <v>11</v>
      </c>
      <c r="C26" s="6">
        <v>6</v>
      </c>
      <c r="D26" s="4"/>
      <c r="E26" s="6">
        <f>E25+C26-D26</f>
      </c>
    </row>
    <row x14ac:dyDescent="0.25" r="27" customHeight="1" ht="17.25">
      <c r="A27" s="8">
        <v>45679</v>
      </c>
      <c r="B27" s="9" t="s">
        <v>375</v>
      </c>
      <c r="C27" s="6">
        <v>9</v>
      </c>
      <c r="D27" s="4"/>
      <c r="E27" s="6">
        <f>E26+C27-D27</f>
      </c>
    </row>
    <row x14ac:dyDescent="0.25" r="28" customHeight="1" ht="17.25">
      <c r="A28" s="8">
        <v>45679</v>
      </c>
      <c r="B28" s="9" t="s">
        <v>376</v>
      </c>
      <c r="C28" s="6">
        <v>7</v>
      </c>
      <c r="D28" s="4"/>
      <c r="E28" s="6">
        <f>E27+C28-D28</f>
      </c>
    </row>
    <row x14ac:dyDescent="0.25" r="29" customHeight="1" ht="17.25">
      <c r="A29" s="7">
        <v>45681</v>
      </c>
      <c r="B29" s="9" t="s">
        <v>131</v>
      </c>
      <c r="C29" s="6">
        <v>23</v>
      </c>
      <c r="D29" s="4"/>
      <c r="E29" s="6">
        <f>E28+C29-D29</f>
      </c>
    </row>
    <row x14ac:dyDescent="0.25" r="30" customHeight="1" ht="17.25">
      <c r="A30" s="7">
        <v>45681</v>
      </c>
      <c r="B30" s="9" t="s">
        <v>189</v>
      </c>
      <c r="C30" s="6">
        <v>5</v>
      </c>
      <c r="D30" s="4"/>
      <c r="E30" s="6">
        <f>E29+C30-D30</f>
      </c>
    </row>
    <row x14ac:dyDescent="0.25" r="31" customHeight="1" ht="17.25">
      <c r="A31" s="8">
        <v>45682</v>
      </c>
      <c r="B31" s="9" t="s">
        <v>414</v>
      </c>
      <c r="C31" s="6">
        <v>2</v>
      </c>
      <c r="D31" s="4"/>
      <c r="E31" s="6">
        <f>E30+C31-D31</f>
      </c>
    </row>
    <row x14ac:dyDescent="0.25" r="32" customHeight="1" ht="17.25">
      <c r="A32" s="8">
        <v>45682</v>
      </c>
      <c r="B32" s="9" t="s">
        <v>123</v>
      </c>
      <c r="C32" s="6">
        <v>10</v>
      </c>
      <c r="D32" s="4"/>
      <c r="E32" s="6">
        <f>E31+C32-D32</f>
      </c>
    </row>
    <row x14ac:dyDescent="0.25" r="33" customHeight="1" ht="17.25">
      <c r="A33" s="8">
        <v>45682</v>
      </c>
      <c r="B33" s="9" t="s">
        <v>189</v>
      </c>
      <c r="C33" s="6">
        <v>5</v>
      </c>
      <c r="D33" s="4"/>
      <c r="E33" s="6">
        <f>E32+C33-D33</f>
      </c>
    </row>
    <row x14ac:dyDescent="0.25" r="34" customHeight="1" ht="17.25">
      <c r="A34" s="8">
        <v>45685</v>
      </c>
      <c r="B34" s="9" t="s">
        <v>413</v>
      </c>
      <c r="C34" s="6">
        <v>2</v>
      </c>
      <c r="D34" s="4"/>
      <c r="E34" s="6">
        <f>E33+C34-D34</f>
      </c>
    </row>
    <row x14ac:dyDescent="0.25" r="35" customHeight="1" ht="17.25">
      <c r="A35" s="8">
        <v>45687</v>
      </c>
      <c r="B35" s="9" t="s">
        <v>11</v>
      </c>
      <c r="C35" s="6">
        <v>10</v>
      </c>
      <c r="D35" s="4"/>
      <c r="E35" s="6">
        <f>E34+C35-D35</f>
      </c>
    </row>
    <row x14ac:dyDescent="0.25" r="36" customHeight="1" ht="17.25">
      <c r="A36" s="7">
        <v>45687</v>
      </c>
      <c r="B36" s="9" t="s">
        <v>269</v>
      </c>
      <c r="C36" s="3"/>
      <c r="D36" s="6">
        <v>22</v>
      </c>
      <c r="E36" s="6">
        <f>E35+C36-D36</f>
      </c>
    </row>
    <row x14ac:dyDescent="0.25" r="37" customHeight="1" ht="17.25">
      <c r="A37" s="7">
        <v>45688</v>
      </c>
      <c r="B37" s="9" t="s">
        <v>39</v>
      </c>
      <c r="C37" s="6">
        <v>9</v>
      </c>
      <c r="D37" s="4"/>
      <c r="E37" s="6">
        <f>E36+C37-D37</f>
      </c>
    </row>
    <row x14ac:dyDescent="0.25" r="38" customHeight="1" ht="17.25">
      <c r="A38" s="8">
        <v>45688</v>
      </c>
      <c r="B38" s="9" t="s">
        <v>131</v>
      </c>
      <c r="C38" s="6">
        <v>4</v>
      </c>
      <c r="D38" s="4"/>
      <c r="E38" s="6">
        <f>E37+C38-D38</f>
      </c>
    </row>
    <row x14ac:dyDescent="0.25" r="39" customHeight="1" ht="17.25">
      <c r="A39" s="8">
        <v>45688</v>
      </c>
      <c r="B39" s="9" t="s">
        <v>127</v>
      </c>
      <c r="C39" s="6">
        <v>6</v>
      </c>
      <c r="D39" s="4"/>
      <c r="E39" s="6">
        <f>E38+C39-D39</f>
      </c>
    </row>
    <row x14ac:dyDescent="0.25" r="40" customHeight="1" ht="17.25">
      <c r="A40" s="7">
        <v>45688</v>
      </c>
      <c r="B40" s="9" t="s">
        <v>31</v>
      </c>
      <c r="C40" s="6">
        <v>4</v>
      </c>
      <c r="D40" s="4"/>
      <c r="E40" s="6">
        <f>E39+C40-D40</f>
      </c>
    </row>
    <row x14ac:dyDescent="0.25" r="41" customHeight="1" ht="17.25">
      <c r="A41" s="7">
        <v>45689</v>
      </c>
      <c r="B41" s="9" t="s">
        <v>375</v>
      </c>
      <c r="C41" s="6">
        <v>4</v>
      </c>
      <c r="D41" s="4"/>
      <c r="E41" s="6">
        <f>E40+C41-D41</f>
      </c>
    </row>
    <row x14ac:dyDescent="0.25" r="42" customHeight="1" ht="17.25">
      <c r="A42" s="7">
        <v>45692</v>
      </c>
      <c r="B42" s="9" t="s">
        <v>131</v>
      </c>
      <c r="C42" s="6">
        <v>19</v>
      </c>
      <c r="D42" s="4"/>
      <c r="E42" s="6">
        <f>E41+C42-D42</f>
      </c>
    </row>
    <row x14ac:dyDescent="0.25" r="43" customHeight="1" ht="17.25">
      <c r="A43" s="8">
        <v>45692</v>
      </c>
      <c r="B43" s="9" t="s">
        <v>378</v>
      </c>
      <c r="C43" s="6">
        <v>1</v>
      </c>
      <c r="D43" s="4"/>
      <c r="E43" s="6">
        <f>E42+C43-D43</f>
      </c>
    </row>
    <row x14ac:dyDescent="0.25" r="44" customHeight="1" ht="17.25">
      <c r="A44" s="8">
        <v>45693</v>
      </c>
      <c r="B44" s="9" t="s">
        <v>378</v>
      </c>
      <c r="C44" s="6">
        <v>1</v>
      </c>
      <c r="D44" s="4"/>
      <c r="E44" s="6">
        <f>E43+C44-D44</f>
      </c>
    </row>
    <row x14ac:dyDescent="0.25" r="45" customHeight="1" ht="17.25">
      <c r="A45" s="8">
        <v>45693</v>
      </c>
      <c r="B45" s="9" t="s">
        <v>376</v>
      </c>
      <c r="C45" s="6">
        <v>3</v>
      </c>
      <c r="D45" s="4"/>
      <c r="E45" s="6">
        <f>E44+C45-D45</f>
      </c>
    </row>
    <row x14ac:dyDescent="0.25" r="46" customHeight="1" ht="17.25">
      <c r="A46" s="8">
        <v>45694</v>
      </c>
      <c r="B46" s="9" t="s">
        <v>35</v>
      </c>
      <c r="C46" s="6">
        <v>16</v>
      </c>
      <c r="D46" s="4"/>
      <c r="E46" s="6">
        <f>E45+C46-D46</f>
      </c>
    </row>
    <row x14ac:dyDescent="0.25" r="47" customHeight="1" ht="17.25">
      <c r="A47" s="8">
        <v>45695</v>
      </c>
      <c r="B47" s="9" t="s">
        <v>11</v>
      </c>
      <c r="C47" s="6">
        <v>5</v>
      </c>
      <c r="D47" s="4"/>
      <c r="E47" s="6">
        <f>E46+C47-D47</f>
      </c>
    </row>
    <row x14ac:dyDescent="0.25" r="48" customHeight="1" ht="17.25">
      <c r="A48" s="8">
        <v>45697</v>
      </c>
      <c r="B48" s="9" t="s">
        <v>29</v>
      </c>
      <c r="C48" s="3"/>
      <c r="D48" s="6">
        <v>30</v>
      </c>
      <c r="E48" s="6">
        <f>E47+C48-D48</f>
      </c>
    </row>
    <row x14ac:dyDescent="0.25" r="49" customHeight="1" ht="17.25">
      <c r="A49" s="8">
        <v>45698</v>
      </c>
      <c r="B49" s="9" t="s">
        <v>11</v>
      </c>
      <c r="C49" s="6">
        <v>1</v>
      </c>
      <c r="D49" s="4"/>
      <c r="E49" s="6">
        <f>E48+C49-D49</f>
      </c>
    </row>
    <row x14ac:dyDescent="0.25" r="50" customHeight="1" ht="17.25">
      <c r="A50" s="8">
        <v>45698</v>
      </c>
      <c r="B50" s="9" t="s">
        <v>35</v>
      </c>
      <c r="C50" s="6">
        <v>16</v>
      </c>
      <c r="D50" s="4"/>
      <c r="E50" s="6">
        <f>E49+C50-D50</f>
      </c>
    </row>
    <row x14ac:dyDescent="0.25" r="51" customHeight="1" ht="17.25">
      <c r="A51" s="7">
        <v>45699</v>
      </c>
      <c r="B51" s="9" t="s">
        <v>29</v>
      </c>
      <c r="C51" s="3"/>
      <c r="D51" s="6">
        <v>170</v>
      </c>
      <c r="E51" s="6">
        <f>E50+C51-D51</f>
      </c>
    </row>
    <row x14ac:dyDescent="0.25" r="52" customHeight="1" ht="17.25">
      <c r="A52" s="8">
        <v>45699</v>
      </c>
      <c r="B52" s="9" t="s">
        <v>131</v>
      </c>
      <c r="C52" s="6">
        <v>2</v>
      </c>
      <c r="D52" s="4"/>
      <c r="E52" s="6">
        <f>E51+C52-D52</f>
      </c>
    </row>
    <row x14ac:dyDescent="0.25" r="53" customHeight="1" ht="17.25">
      <c r="A53" s="8">
        <v>45700</v>
      </c>
      <c r="B53" s="9" t="s">
        <v>35</v>
      </c>
      <c r="C53" s="6">
        <v>2</v>
      </c>
      <c r="D53" s="4"/>
      <c r="E53" s="6">
        <f>E52+C53-D53</f>
      </c>
    </row>
    <row x14ac:dyDescent="0.25" r="54" customHeight="1" ht="17.25">
      <c r="A54" s="8">
        <v>45700</v>
      </c>
      <c r="B54" s="9" t="s">
        <v>35</v>
      </c>
      <c r="C54" s="6">
        <v>2</v>
      </c>
      <c r="D54" s="4"/>
      <c r="E54" s="6">
        <f>E53+C54-D54</f>
      </c>
    </row>
    <row x14ac:dyDescent="0.25" r="55" customHeight="1" ht="17.25">
      <c r="A55" s="8">
        <v>45700</v>
      </c>
      <c r="B55" s="9" t="s">
        <v>406</v>
      </c>
      <c r="C55" s="6">
        <v>18</v>
      </c>
      <c r="D55" s="4"/>
      <c r="E55" s="6">
        <f>E54+C55-D55</f>
      </c>
    </row>
    <row x14ac:dyDescent="0.25" r="56" customHeight="1" ht="17.25">
      <c r="A56" s="8">
        <v>45700</v>
      </c>
      <c r="B56" s="9" t="s">
        <v>376</v>
      </c>
      <c r="C56" s="6">
        <v>2</v>
      </c>
      <c r="D56" s="4"/>
      <c r="E56" s="6">
        <f>E55+C56-D56</f>
      </c>
    </row>
    <row x14ac:dyDescent="0.25" r="57" customHeight="1" ht="17.25">
      <c r="A57" s="8">
        <v>45700</v>
      </c>
      <c r="B57" s="9" t="s">
        <v>412</v>
      </c>
      <c r="C57" s="6">
        <v>4</v>
      </c>
      <c r="D57" s="4"/>
      <c r="E57" s="6">
        <f>E56+C57-D57</f>
      </c>
    </row>
    <row x14ac:dyDescent="0.25" r="58" customHeight="1" ht="17.25">
      <c r="A58" s="7">
        <v>45701</v>
      </c>
      <c r="B58" s="9" t="s">
        <v>189</v>
      </c>
      <c r="C58" s="6">
        <v>6</v>
      </c>
      <c r="D58" s="4"/>
      <c r="E58" s="6">
        <f>E57+C58-D58</f>
      </c>
    </row>
    <row x14ac:dyDescent="0.25" r="59" customHeight="1" ht="17.25">
      <c r="A59" s="8">
        <v>45702</v>
      </c>
      <c r="B59" s="9" t="s">
        <v>39</v>
      </c>
      <c r="C59" s="6">
        <v>1</v>
      </c>
      <c r="D59" s="4"/>
      <c r="E59" s="6">
        <f>E58+C59-D59</f>
      </c>
    </row>
    <row x14ac:dyDescent="0.25" r="60" customHeight="1" ht="17.25">
      <c r="A60" s="7">
        <v>45703</v>
      </c>
      <c r="B60" s="9" t="s">
        <v>376</v>
      </c>
      <c r="C60" s="6">
        <v>4</v>
      </c>
      <c r="D60" s="4"/>
      <c r="E60" s="6">
        <f>E59+C60-D60</f>
      </c>
    </row>
    <row x14ac:dyDescent="0.25" r="61" customHeight="1" ht="17.25">
      <c r="A61" s="7">
        <v>45703</v>
      </c>
      <c r="B61" s="9" t="s">
        <v>35</v>
      </c>
      <c r="C61" s="6">
        <v>1</v>
      </c>
      <c r="D61" s="4"/>
      <c r="E61" s="6">
        <f>E60+C61-D61</f>
      </c>
    </row>
    <row x14ac:dyDescent="0.25" r="62" customHeight="1" ht="17.25">
      <c r="A62" s="8">
        <v>45703</v>
      </c>
      <c r="B62" s="9" t="s">
        <v>414</v>
      </c>
      <c r="C62" s="6">
        <v>1</v>
      </c>
      <c r="D62" s="4"/>
      <c r="E62" s="6">
        <f>E61+C62-D62</f>
      </c>
    </row>
    <row x14ac:dyDescent="0.25" r="63" customHeight="1" ht="17.25">
      <c r="A63" s="7">
        <v>45703</v>
      </c>
      <c r="B63" s="9" t="s">
        <v>382</v>
      </c>
      <c r="C63" s="6">
        <v>33</v>
      </c>
      <c r="D63" s="4"/>
      <c r="E63" s="6">
        <f>E62+C63-D63</f>
      </c>
    </row>
    <row x14ac:dyDescent="0.25" r="64" customHeight="1" ht="17.25">
      <c r="A64" s="7">
        <v>45705</v>
      </c>
      <c r="B64" s="9" t="s">
        <v>189</v>
      </c>
      <c r="C64" s="6">
        <v>3</v>
      </c>
      <c r="D64" s="4"/>
      <c r="E64" s="6">
        <f>E63+C64-D64</f>
      </c>
    </row>
    <row x14ac:dyDescent="0.25" r="65" customHeight="1" ht="17.25">
      <c r="A65" s="8">
        <v>45705</v>
      </c>
      <c r="B65" s="9" t="s">
        <v>131</v>
      </c>
      <c r="C65" s="6">
        <v>1</v>
      </c>
      <c r="D65" s="4"/>
      <c r="E65" s="6">
        <f>E64+C65-D65</f>
      </c>
    </row>
    <row x14ac:dyDescent="0.25" r="66" customHeight="1" ht="17.25">
      <c r="A66" s="7">
        <v>45706</v>
      </c>
      <c r="B66" s="9" t="s">
        <v>31</v>
      </c>
      <c r="C66" s="6">
        <v>1</v>
      </c>
      <c r="D66" s="4"/>
      <c r="E66" s="6">
        <f>E65+C66-D66</f>
      </c>
    </row>
    <row x14ac:dyDescent="0.25" r="67" customHeight="1" ht="17.25">
      <c r="A67" s="7">
        <v>45706</v>
      </c>
      <c r="B67" s="9" t="s">
        <v>35</v>
      </c>
      <c r="C67" s="6">
        <v>10</v>
      </c>
      <c r="D67" s="4"/>
      <c r="E67" s="6">
        <f>E66+C67-D67</f>
      </c>
    </row>
    <row x14ac:dyDescent="0.25" r="68" customHeight="1" ht="17.25">
      <c r="A68" s="8">
        <v>45706</v>
      </c>
      <c r="B68" s="9" t="s">
        <v>375</v>
      </c>
      <c r="C68" s="6">
        <v>2</v>
      </c>
      <c r="D68" s="4"/>
      <c r="E68" s="6">
        <f>E67+C68-D68</f>
      </c>
    </row>
    <row x14ac:dyDescent="0.25" r="69" customHeight="1" ht="17.25">
      <c r="A69" s="8">
        <v>45707</v>
      </c>
      <c r="B69" s="9" t="s">
        <v>227</v>
      </c>
      <c r="C69" s="3"/>
      <c r="D69" s="6">
        <v>3</v>
      </c>
      <c r="E69" s="6">
        <f>E68+C69-D69</f>
      </c>
    </row>
    <row x14ac:dyDescent="0.25" r="70" customHeight="1" ht="17.25">
      <c r="A70" s="8">
        <v>45709</v>
      </c>
      <c r="B70" s="9" t="s">
        <v>35</v>
      </c>
      <c r="C70" s="6">
        <v>5</v>
      </c>
      <c r="D70" s="4"/>
      <c r="E70" s="6">
        <f>E69+C70-D70</f>
      </c>
    </row>
    <row x14ac:dyDescent="0.25" r="71" customHeight="1" ht="17.25">
      <c r="A71" s="8">
        <v>45709</v>
      </c>
      <c r="B71" s="9" t="s">
        <v>2</v>
      </c>
      <c r="C71" s="6">
        <v>7</v>
      </c>
      <c r="D71" s="4"/>
      <c r="E71" s="6">
        <f>E70+C71-D71</f>
      </c>
    </row>
    <row x14ac:dyDescent="0.25" r="72" customHeight="1" ht="17.25">
      <c r="A72" s="8">
        <v>45710</v>
      </c>
      <c r="B72" s="9" t="s">
        <v>11</v>
      </c>
      <c r="C72" s="6">
        <v>2</v>
      </c>
      <c r="D72" s="4"/>
      <c r="E72" s="6">
        <f>E71+C72-D72</f>
      </c>
    </row>
    <row x14ac:dyDescent="0.25" r="73" customHeight="1" ht="17.25">
      <c r="A73" s="7">
        <v>45712</v>
      </c>
      <c r="B73" s="9" t="s">
        <v>258</v>
      </c>
      <c r="C73" s="6">
        <v>6</v>
      </c>
      <c r="D73" s="4"/>
      <c r="E73" s="6">
        <f>E72+C73-D73</f>
      </c>
    </row>
    <row x14ac:dyDescent="0.25" r="74" customHeight="1" ht="17.25">
      <c r="A74" s="8">
        <v>45712</v>
      </c>
      <c r="B74" s="9" t="s">
        <v>274</v>
      </c>
      <c r="C74" s="6">
        <v>5</v>
      </c>
      <c r="D74" s="4"/>
      <c r="E74" s="6">
        <f>E73+C74-D74</f>
      </c>
    </row>
    <row x14ac:dyDescent="0.25" r="75" customHeight="1" ht="17.25">
      <c r="A75" s="8">
        <v>45713</v>
      </c>
      <c r="B75" s="9" t="s">
        <v>131</v>
      </c>
      <c r="C75" s="6">
        <v>5</v>
      </c>
      <c r="D75" s="4"/>
      <c r="E75" s="6">
        <f>E74+C75-D75</f>
      </c>
    </row>
    <row x14ac:dyDescent="0.25" r="76" customHeight="1" ht="17.25">
      <c r="A76" s="7">
        <v>45713</v>
      </c>
      <c r="B76" s="9" t="s">
        <v>172</v>
      </c>
      <c r="C76" s="6">
        <v>16</v>
      </c>
      <c r="D76" s="4"/>
      <c r="E76" s="6">
        <f>E75+C76-D76</f>
      </c>
    </row>
    <row x14ac:dyDescent="0.25" r="77" customHeight="1" ht="17.25">
      <c r="A77" s="8">
        <v>45714</v>
      </c>
      <c r="B77" s="9" t="s">
        <v>39</v>
      </c>
      <c r="C77" s="6">
        <v>24</v>
      </c>
      <c r="D77" s="4"/>
      <c r="E77" s="6">
        <f>E76+C77-D77</f>
      </c>
    </row>
    <row x14ac:dyDescent="0.25" r="78" customHeight="1" ht="17.25">
      <c r="A78" s="7">
        <v>45716</v>
      </c>
      <c r="B78" s="9" t="s">
        <v>179</v>
      </c>
      <c r="C78" s="3"/>
      <c r="D78" s="6">
        <v>20</v>
      </c>
      <c r="E78" s="6">
        <f>E77+C78-D78</f>
      </c>
    </row>
    <row x14ac:dyDescent="0.25" r="79" customHeight="1" ht="17.25">
      <c r="A79" s="8">
        <v>45717</v>
      </c>
      <c r="B79" s="9" t="s">
        <v>189</v>
      </c>
      <c r="C79" s="6">
        <v>2</v>
      </c>
      <c r="D79" s="4"/>
      <c r="E79" s="6">
        <f>E78+C79-D79</f>
      </c>
    </row>
    <row x14ac:dyDescent="0.25" r="80" customHeight="1" ht="17.25">
      <c r="A80" s="7">
        <v>45719</v>
      </c>
      <c r="B80" s="9" t="s">
        <v>35</v>
      </c>
      <c r="C80" s="6">
        <v>28</v>
      </c>
      <c r="D80" s="4"/>
      <c r="E80" s="6">
        <f>E79+C80-D80</f>
      </c>
    </row>
    <row x14ac:dyDescent="0.25" r="81" customHeight="1" ht="17.25">
      <c r="A81" s="8">
        <v>45720</v>
      </c>
      <c r="B81" s="9" t="s">
        <v>387</v>
      </c>
      <c r="C81" s="3"/>
      <c r="D81" s="6">
        <v>15</v>
      </c>
      <c r="E81" s="6">
        <f>E80+C81-D81</f>
      </c>
    </row>
    <row x14ac:dyDescent="0.25" r="82" customHeight="1" ht="17.25">
      <c r="A82" s="7">
        <v>45721</v>
      </c>
      <c r="B82" s="9" t="s">
        <v>39</v>
      </c>
      <c r="C82" s="6">
        <v>34</v>
      </c>
      <c r="D82" s="4"/>
      <c r="E82" s="6">
        <f>E81+C82-D82</f>
      </c>
    </row>
    <row x14ac:dyDescent="0.25" r="83" customHeight="1" ht="17.25">
      <c r="A83" s="8">
        <v>45721</v>
      </c>
      <c r="B83" s="9" t="s">
        <v>35</v>
      </c>
      <c r="C83" s="6">
        <v>16</v>
      </c>
      <c r="D83" s="4"/>
      <c r="E83" s="6">
        <f>E82+C83-D83</f>
      </c>
    </row>
    <row x14ac:dyDescent="0.25" r="84" customHeight="1" ht="17.25">
      <c r="A84" s="7">
        <v>45721</v>
      </c>
      <c r="B84" s="9" t="s">
        <v>375</v>
      </c>
      <c r="C84" s="6">
        <v>1</v>
      </c>
      <c r="D84" s="4"/>
      <c r="E84" s="6">
        <f>E83+C84-D84</f>
      </c>
    </row>
    <row x14ac:dyDescent="0.25" r="85" customHeight="1" ht="17.25">
      <c r="A85" s="7">
        <v>45721</v>
      </c>
      <c r="B85" s="9" t="s">
        <v>387</v>
      </c>
      <c r="C85" s="3"/>
      <c r="D85" s="6">
        <v>10</v>
      </c>
      <c r="E85" s="6">
        <f>E84+C85-D85</f>
      </c>
    </row>
    <row x14ac:dyDescent="0.25" r="86" customHeight="1" ht="17.25">
      <c r="A86" s="8">
        <v>45722</v>
      </c>
      <c r="B86" s="9" t="s">
        <v>35</v>
      </c>
      <c r="C86" s="6">
        <v>19</v>
      </c>
      <c r="D86" s="4"/>
      <c r="E86" s="6">
        <f>E85+C86-D86</f>
      </c>
    </row>
    <row x14ac:dyDescent="0.25" r="87" customHeight="1" ht="17.25">
      <c r="A87" s="7">
        <v>45723</v>
      </c>
      <c r="B87" s="9" t="s">
        <v>35</v>
      </c>
      <c r="C87" s="6">
        <v>11</v>
      </c>
      <c r="D87" s="4"/>
      <c r="E87" s="6">
        <f>E86+C87-D87</f>
      </c>
    </row>
    <row x14ac:dyDescent="0.25" r="88" customHeight="1" ht="17.25">
      <c r="A88" s="8">
        <v>45724</v>
      </c>
      <c r="B88" s="9" t="s">
        <v>189</v>
      </c>
      <c r="C88" s="6">
        <v>6</v>
      </c>
      <c r="D88" s="4"/>
      <c r="E88" s="6">
        <f>E87+C88-D88</f>
      </c>
    </row>
    <row x14ac:dyDescent="0.25" r="89" customHeight="1" ht="17.25">
      <c r="A89" s="7">
        <v>45726</v>
      </c>
      <c r="B89" s="9" t="s">
        <v>31</v>
      </c>
      <c r="C89" s="3"/>
      <c r="D89" s="6">
        <v>3</v>
      </c>
      <c r="E89" s="6">
        <f>E88+C89-D89</f>
      </c>
    </row>
    <row x14ac:dyDescent="0.25" r="90" customHeight="1" ht="17.25">
      <c r="A90" s="7">
        <v>45726</v>
      </c>
      <c r="B90" s="9" t="s">
        <v>35</v>
      </c>
      <c r="C90" s="6">
        <v>12</v>
      </c>
      <c r="D90" s="4"/>
      <c r="E90" s="6">
        <f>E89+C90-D90</f>
      </c>
    </row>
    <row x14ac:dyDescent="0.25" r="91" customHeight="1" ht="17.25">
      <c r="A91" s="7">
        <v>45726</v>
      </c>
      <c r="B91" s="9" t="s">
        <v>415</v>
      </c>
      <c r="C91" s="6">
        <v>13</v>
      </c>
      <c r="D91" s="4"/>
      <c r="E91" s="6">
        <f>E90+C91-D91</f>
      </c>
    </row>
    <row x14ac:dyDescent="0.25" r="92" customHeight="1" ht="17.25">
      <c r="A92" s="7">
        <v>45727</v>
      </c>
      <c r="B92" s="9" t="s">
        <v>382</v>
      </c>
      <c r="C92" s="6">
        <v>78</v>
      </c>
      <c r="D92" s="4"/>
      <c r="E92" s="6">
        <f>E91+C92-D92</f>
      </c>
    </row>
    <row x14ac:dyDescent="0.25" r="93" customHeight="1" ht="17.25">
      <c r="A93" s="8">
        <v>45727</v>
      </c>
      <c r="B93" s="9" t="s">
        <v>39</v>
      </c>
      <c r="C93" s="6">
        <v>8</v>
      </c>
      <c r="D93" s="4"/>
      <c r="E93" s="6">
        <f>E92+C93-D93</f>
      </c>
    </row>
    <row x14ac:dyDescent="0.25" r="94" customHeight="1" ht="17.25">
      <c r="A94" s="8">
        <v>45727</v>
      </c>
      <c r="B94" s="9" t="s">
        <v>39</v>
      </c>
      <c r="C94" s="6">
        <v>8</v>
      </c>
      <c r="D94" s="4"/>
      <c r="E94" s="6">
        <f>E93+C94-D94</f>
      </c>
    </row>
    <row x14ac:dyDescent="0.25" r="95" customHeight="1" ht="17.25">
      <c r="A95" s="7">
        <v>45727</v>
      </c>
      <c r="B95" s="9" t="s">
        <v>189</v>
      </c>
      <c r="C95" s="6">
        <v>2</v>
      </c>
      <c r="D95" s="4"/>
      <c r="E95" s="6">
        <f>E94+C95-D95</f>
      </c>
    </row>
    <row x14ac:dyDescent="0.25" r="96" customHeight="1" ht="17.25">
      <c r="A96" s="8">
        <v>45727</v>
      </c>
      <c r="B96" s="9" t="s">
        <v>35</v>
      </c>
      <c r="C96" s="6">
        <v>4</v>
      </c>
      <c r="D96" s="4"/>
      <c r="E96" s="6">
        <f>E95+C96-D96</f>
      </c>
    </row>
    <row x14ac:dyDescent="0.25" r="97" customHeight="1" ht="17.25">
      <c r="A97" s="7">
        <v>45728</v>
      </c>
      <c r="B97" s="9" t="s">
        <v>3</v>
      </c>
      <c r="C97" s="3"/>
      <c r="D97" s="6">
        <v>10</v>
      </c>
      <c r="E97" s="6">
        <f>E96+C97-D97</f>
      </c>
    </row>
    <row x14ac:dyDescent="0.25" r="98" customHeight="1" ht="17.25">
      <c r="A98" s="8">
        <v>45728</v>
      </c>
      <c r="B98" s="9" t="s">
        <v>35</v>
      </c>
      <c r="C98" s="6">
        <v>2</v>
      </c>
      <c r="D98" s="4"/>
      <c r="E98" s="6">
        <f>E97+C98-D98</f>
      </c>
    </row>
    <row x14ac:dyDescent="0.25" r="99" customHeight="1" ht="17.25">
      <c r="A99" s="8">
        <v>45729</v>
      </c>
      <c r="B99" s="9" t="s">
        <v>141</v>
      </c>
      <c r="C99" s="3"/>
      <c r="D99" s="6">
        <v>4</v>
      </c>
      <c r="E99" s="6">
        <f>E98+C99-D99</f>
      </c>
    </row>
    <row x14ac:dyDescent="0.25" r="100" customHeight="1" ht="17.25">
      <c r="A100" s="8">
        <v>45729</v>
      </c>
      <c r="B100" s="9" t="s">
        <v>189</v>
      </c>
      <c r="C100" s="6">
        <v>6</v>
      </c>
      <c r="D100" s="4"/>
      <c r="E100" s="6">
        <f>E99+C100-D100</f>
      </c>
    </row>
    <row x14ac:dyDescent="0.25" r="101" customHeight="1" ht="17.25">
      <c r="A101" s="8">
        <v>45730</v>
      </c>
      <c r="B101" s="9" t="s">
        <v>35</v>
      </c>
      <c r="C101" s="6">
        <v>4</v>
      </c>
      <c r="D101" s="4"/>
      <c r="E101" s="6">
        <f>E100+C101-D101</f>
      </c>
    </row>
    <row x14ac:dyDescent="0.25" r="102" customHeight="1" ht="17.25">
      <c r="A102" s="7">
        <v>45731</v>
      </c>
      <c r="B102" s="9" t="s">
        <v>189</v>
      </c>
      <c r="C102" s="6">
        <v>1</v>
      </c>
      <c r="D102" s="4"/>
      <c r="E102" s="6">
        <f>E101+C102-D102</f>
      </c>
    </row>
    <row x14ac:dyDescent="0.25" r="103" customHeight="1" ht="17.25">
      <c r="A103" s="8">
        <v>45733</v>
      </c>
      <c r="B103" s="9" t="s">
        <v>382</v>
      </c>
      <c r="C103" s="6">
        <v>20</v>
      </c>
      <c r="D103" s="4"/>
      <c r="E103" s="6">
        <f>E102+C103-D103</f>
      </c>
    </row>
    <row x14ac:dyDescent="0.25" r="104" customHeight="1" ht="17.25">
      <c r="A104" s="8">
        <v>45733</v>
      </c>
      <c r="B104" s="9" t="s">
        <v>384</v>
      </c>
      <c r="C104" s="6">
        <v>4</v>
      </c>
      <c r="D104" s="4"/>
      <c r="E104" s="6">
        <f>E103+C104-D104</f>
      </c>
    </row>
    <row x14ac:dyDescent="0.25" r="105" customHeight="1" ht="17.25">
      <c r="A105" s="8">
        <v>45733</v>
      </c>
      <c r="B105" s="9" t="s">
        <v>39</v>
      </c>
      <c r="C105" s="6">
        <v>5</v>
      </c>
      <c r="D105" s="4"/>
      <c r="E105" s="6">
        <f>E104+C105-D105</f>
      </c>
    </row>
    <row x14ac:dyDescent="0.25" r="106" customHeight="1" ht="17.25">
      <c r="A106" s="8">
        <v>45735</v>
      </c>
      <c r="B106" s="9" t="s">
        <v>35</v>
      </c>
      <c r="C106" s="6">
        <v>8</v>
      </c>
      <c r="D106" s="4"/>
      <c r="E106" s="6">
        <f>E105+C106-D106</f>
      </c>
    </row>
    <row x14ac:dyDescent="0.25" r="107" customHeight="1" ht="17.25">
      <c r="A107" s="7">
        <v>45735</v>
      </c>
      <c r="B107" s="9" t="s">
        <v>172</v>
      </c>
      <c r="C107" s="6">
        <v>9</v>
      </c>
      <c r="D107" s="4"/>
      <c r="E107" s="6">
        <f>E106+C107-D107</f>
      </c>
    </row>
    <row x14ac:dyDescent="0.25" r="108" customHeight="1" ht="17.25">
      <c r="A108" s="8">
        <v>45737</v>
      </c>
      <c r="B108" s="9" t="s">
        <v>189</v>
      </c>
      <c r="C108" s="6">
        <v>4</v>
      </c>
      <c r="D108" s="4"/>
      <c r="E108" s="6">
        <f>E107+C108-D108</f>
      </c>
    </row>
    <row x14ac:dyDescent="0.25" r="109" customHeight="1" ht="17.25">
      <c r="A109" s="8">
        <v>45737</v>
      </c>
      <c r="B109" s="9" t="s">
        <v>189</v>
      </c>
      <c r="C109" s="6">
        <v>1</v>
      </c>
      <c r="D109" s="4"/>
      <c r="E109" s="6">
        <f>E108+C109-D109</f>
      </c>
    </row>
    <row x14ac:dyDescent="0.25" r="110" customHeight="1" ht="17.25">
      <c r="A110" s="8">
        <v>45737</v>
      </c>
      <c r="B110" s="9" t="s">
        <v>414</v>
      </c>
      <c r="C110" s="6">
        <v>1</v>
      </c>
      <c r="D110" s="4"/>
      <c r="E110" s="6">
        <f>E109+C110-D110</f>
      </c>
    </row>
    <row x14ac:dyDescent="0.25" r="111" customHeight="1" ht="17.25">
      <c r="A111" s="8">
        <v>45737</v>
      </c>
      <c r="B111" s="9" t="s">
        <v>272</v>
      </c>
      <c r="C111" s="6">
        <v>3</v>
      </c>
      <c r="D111" s="4"/>
      <c r="E111" s="6">
        <f>E110+C111-D111</f>
      </c>
    </row>
    <row x14ac:dyDescent="0.25" r="112" customHeight="1" ht="17.25">
      <c r="A112" s="8">
        <v>45737</v>
      </c>
      <c r="B112" s="9" t="s">
        <v>258</v>
      </c>
      <c r="C112" s="6">
        <v>1</v>
      </c>
      <c r="D112" s="4"/>
      <c r="E112" s="6">
        <f>E111+C112-D112</f>
      </c>
    </row>
    <row x14ac:dyDescent="0.25" r="113" customHeight="1" ht="17.25">
      <c r="A113" s="7">
        <v>45738</v>
      </c>
      <c r="B113" s="9" t="s">
        <v>382</v>
      </c>
      <c r="C113" s="6">
        <v>40</v>
      </c>
      <c r="D113" s="4"/>
      <c r="E113" s="6">
        <f>E112+C113-D113</f>
      </c>
    </row>
    <row x14ac:dyDescent="0.25" r="114" customHeight="1" ht="17.25">
      <c r="A114" s="8">
        <v>45738</v>
      </c>
      <c r="B114" s="9" t="s">
        <v>382</v>
      </c>
      <c r="C114" s="6">
        <v>1</v>
      </c>
      <c r="D114" s="4"/>
      <c r="E114" s="6">
        <f>E113+C114-D114</f>
      </c>
    </row>
    <row x14ac:dyDescent="0.25" r="115" customHeight="1" ht="17.25">
      <c r="A115" s="8">
        <v>45738</v>
      </c>
      <c r="B115" s="9" t="s">
        <v>189</v>
      </c>
      <c r="C115" s="6">
        <v>1</v>
      </c>
      <c r="D115" s="4"/>
      <c r="E115" s="6">
        <f>E114+C115-D115</f>
      </c>
    </row>
    <row x14ac:dyDescent="0.25" r="116" customHeight="1" ht="17.25">
      <c r="A116" s="8">
        <v>45738</v>
      </c>
      <c r="B116" s="9" t="s">
        <v>39</v>
      </c>
      <c r="C116" s="6">
        <v>7</v>
      </c>
      <c r="D116" s="4"/>
      <c r="E116" s="6">
        <f>E115+C116-D116</f>
      </c>
    </row>
    <row x14ac:dyDescent="0.25" r="117" customHeight="1" ht="17.25">
      <c r="A117" s="8">
        <v>45740</v>
      </c>
      <c r="B117" s="9" t="s">
        <v>172</v>
      </c>
      <c r="C117" s="6">
        <v>1</v>
      </c>
      <c r="D117" s="4"/>
      <c r="E117" s="6">
        <f>E116+C117-D117</f>
      </c>
    </row>
    <row x14ac:dyDescent="0.25" r="118" customHeight="1" ht="17.25">
      <c r="A118" s="8">
        <v>45740</v>
      </c>
      <c r="B118" s="9" t="s">
        <v>39</v>
      </c>
      <c r="C118" s="6">
        <v>5</v>
      </c>
      <c r="D118" s="4"/>
      <c r="E118" s="6">
        <f>E117+C118-D118</f>
      </c>
    </row>
    <row x14ac:dyDescent="0.25" r="119" customHeight="1" ht="17.25">
      <c r="A119" s="7">
        <v>45741</v>
      </c>
      <c r="B119" s="9" t="s">
        <v>272</v>
      </c>
      <c r="C119" s="6">
        <v>6</v>
      </c>
      <c r="D119" s="4"/>
      <c r="E119" s="6">
        <f>E118+C119-D119</f>
      </c>
    </row>
    <row x14ac:dyDescent="0.25" r="120" customHeight="1" ht="17.25">
      <c r="A120" s="8">
        <v>45755</v>
      </c>
      <c r="B120" s="9" t="s">
        <v>232</v>
      </c>
      <c r="C120" s="3"/>
      <c r="D120" s="6">
        <v>4</v>
      </c>
      <c r="E120" s="6">
        <f>E119+C120-D120</f>
      </c>
    </row>
    <row x14ac:dyDescent="0.25" r="121" customHeight="1" ht="17.25">
      <c r="A121" s="7">
        <v>45756</v>
      </c>
      <c r="B121" s="9" t="s">
        <v>141</v>
      </c>
      <c r="C121" s="3"/>
      <c r="D121" s="6">
        <v>6</v>
      </c>
      <c r="E121" s="6">
        <f>E120+C121-D121</f>
      </c>
    </row>
    <row x14ac:dyDescent="0.25" r="122" customHeight="1" ht="17.25">
      <c r="A122" s="8">
        <v>45757</v>
      </c>
      <c r="B122" s="9" t="s">
        <v>275</v>
      </c>
      <c r="C122" s="6">
        <v>1</v>
      </c>
      <c r="D122" s="4"/>
      <c r="E122" s="6">
        <f>E121+C122-D122</f>
      </c>
    </row>
    <row x14ac:dyDescent="0.25" r="123" customHeight="1" ht="17.25">
      <c r="A123" s="8">
        <v>45761</v>
      </c>
      <c r="B123" s="9" t="s">
        <v>39</v>
      </c>
      <c r="C123" s="6">
        <v>11</v>
      </c>
      <c r="D123" s="4"/>
      <c r="E123" s="6">
        <f>E122+C123-D123</f>
      </c>
    </row>
    <row x14ac:dyDescent="0.25" r="124" customHeight="1" ht="17.25">
      <c r="A124" s="7">
        <v>45762</v>
      </c>
      <c r="B124" s="9" t="s">
        <v>228</v>
      </c>
      <c r="C124" s="3"/>
      <c r="D124" s="6">
        <v>40</v>
      </c>
      <c r="E124" s="6">
        <f>E123+C124-D124</f>
      </c>
    </row>
    <row x14ac:dyDescent="0.25" r="125" customHeight="1" ht="17.25">
      <c r="A125" s="8">
        <v>45762</v>
      </c>
      <c r="B125" s="9" t="s">
        <v>189</v>
      </c>
      <c r="C125" s="3"/>
      <c r="D125" s="6">
        <v>20</v>
      </c>
      <c r="E125" s="6">
        <f>E124+C125-D125</f>
      </c>
    </row>
    <row x14ac:dyDescent="0.25" r="126" customHeight="1" ht="17.25">
      <c r="A126" s="7">
        <v>45762</v>
      </c>
      <c r="B126" s="9" t="s">
        <v>283</v>
      </c>
      <c r="C126" s="6">
        <v>5</v>
      </c>
      <c r="D126" s="4"/>
      <c r="E126" s="6">
        <f>E125+C126-D126</f>
      </c>
    </row>
    <row x14ac:dyDescent="0.25" r="127" customHeight="1" ht="17.25">
      <c r="A127" s="8">
        <v>45763</v>
      </c>
      <c r="B127" s="9" t="s">
        <v>416</v>
      </c>
      <c r="C127" s="3"/>
      <c r="D127" s="6">
        <v>12</v>
      </c>
      <c r="E127" s="6">
        <f>E126+C127-D127</f>
      </c>
    </row>
    <row x14ac:dyDescent="0.25" r="128" customHeight="1" ht="17.25">
      <c r="A128" s="7">
        <v>45763</v>
      </c>
      <c r="B128" s="9" t="s">
        <v>417</v>
      </c>
      <c r="C128" s="6">
        <v>15</v>
      </c>
      <c r="D128" s="4"/>
      <c r="E128" s="6">
        <f>E127+C128-D128</f>
      </c>
    </row>
    <row x14ac:dyDescent="0.25" r="129" customHeight="1" ht="17.25">
      <c r="A129" s="7">
        <v>45764</v>
      </c>
      <c r="B129" s="9" t="s">
        <v>2</v>
      </c>
      <c r="C129" s="3"/>
      <c r="D129" s="6">
        <v>20</v>
      </c>
      <c r="E129" s="6">
        <f>E128+C129-D129</f>
      </c>
    </row>
    <row x14ac:dyDescent="0.25" r="130" customHeight="1" ht="17.25">
      <c r="A130" s="7">
        <v>45766</v>
      </c>
      <c r="B130" s="9" t="s">
        <v>384</v>
      </c>
      <c r="C130" s="6">
        <v>21</v>
      </c>
      <c r="D130" s="4"/>
      <c r="E130" s="6">
        <f>E129+C130-D130</f>
      </c>
    </row>
    <row x14ac:dyDescent="0.25" r="131" customHeight="1" ht="17.25">
      <c r="A131" s="8">
        <v>45769</v>
      </c>
      <c r="B131" s="9" t="s">
        <v>39</v>
      </c>
      <c r="C131" s="6">
        <v>7</v>
      </c>
      <c r="D131" s="4"/>
      <c r="E131" s="6">
        <f>E130+C131-D131</f>
      </c>
    </row>
    <row x14ac:dyDescent="0.25" r="132" customHeight="1" ht="17.25">
      <c r="A132" s="8">
        <v>45769</v>
      </c>
      <c r="B132" s="9" t="s">
        <v>286</v>
      </c>
      <c r="C132" s="3"/>
      <c r="D132" s="6">
        <v>14</v>
      </c>
      <c r="E132" s="6">
        <f>E131+C132-D132</f>
      </c>
    </row>
    <row x14ac:dyDescent="0.25" r="133" customHeight="1" ht="17.25">
      <c r="A133" s="8">
        <v>45769</v>
      </c>
      <c r="B133" s="9" t="s">
        <v>228</v>
      </c>
      <c r="C133" s="3"/>
      <c r="D133" s="6">
        <v>16</v>
      </c>
      <c r="E133" s="6">
        <f>E132+C133-D133</f>
      </c>
    </row>
    <row x14ac:dyDescent="0.25" r="134" customHeight="1" ht="17.25">
      <c r="A134" s="8">
        <v>45769</v>
      </c>
      <c r="B134" s="9" t="s">
        <v>275</v>
      </c>
      <c r="C134" s="6">
        <v>1</v>
      </c>
      <c r="D134" s="4"/>
      <c r="E134" s="6">
        <f>E133+C134-D134</f>
      </c>
    </row>
    <row x14ac:dyDescent="0.25" r="135" customHeight="1" ht="17.25">
      <c r="A135" s="8">
        <v>45771</v>
      </c>
      <c r="B135" s="9" t="s">
        <v>411</v>
      </c>
      <c r="C135" s="3"/>
      <c r="D135" s="6">
        <v>8</v>
      </c>
      <c r="E135" s="6">
        <f>E134+C135-D135</f>
      </c>
    </row>
    <row x14ac:dyDescent="0.25" r="136" customHeight="1" ht="17.25">
      <c r="A136" s="7">
        <v>45771</v>
      </c>
      <c r="B136" s="9" t="s">
        <v>283</v>
      </c>
      <c r="C136" s="6">
        <v>18</v>
      </c>
      <c r="D136" s="4"/>
      <c r="E136" s="6">
        <f>E135+C136-D136</f>
      </c>
    </row>
    <row x14ac:dyDescent="0.25" r="137" customHeight="1" ht="17.25">
      <c r="A137" s="8">
        <v>45772</v>
      </c>
      <c r="B137" s="9" t="s">
        <v>228</v>
      </c>
      <c r="C137" s="3"/>
      <c r="D137" s="6">
        <v>10</v>
      </c>
      <c r="E137" s="6">
        <f>E136+C137-D137</f>
      </c>
    </row>
    <row x14ac:dyDescent="0.25" r="138" customHeight="1" ht="17.25">
      <c r="A138" s="8">
        <v>45773</v>
      </c>
      <c r="B138" s="9" t="s">
        <v>228</v>
      </c>
      <c r="C138" s="3"/>
      <c r="D138" s="6">
        <v>15</v>
      </c>
      <c r="E138" s="6">
        <f>E137+C138-D138</f>
      </c>
    </row>
    <row x14ac:dyDescent="0.25" r="139" customHeight="1" ht="17.25">
      <c r="A139" s="8">
        <v>45775</v>
      </c>
      <c r="B139" s="9" t="s">
        <v>228</v>
      </c>
      <c r="C139" s="3"/>
      <c r="D139" s="6">
        <v>7</v>
      </c>
      <c r="E139" s="6">
        <f>E138+C139-D139</f>
      </c>
    </row>
    <row x14ac:dyDescent="0.25" r="140" customHeight="1" ht="17.25">
      <c r="A140" s="8">
        <v>45775</v>
      </c>
      <c r="B140" s="9" t="s">
        <v>283</v>
      </c>
      <c r="C140" s="6">
        <v>7</v>
      </c>
      <c r="D140" s="4"/>
      <c r="E140" s="6">
        <f>E139+C140-D140</f>
      </c>
    </row>
    <row x14ac:dyDescent="0.25" r="141" customHeight="1" ht="17.25">
      <c r="A141" s="8">
        <v>45775</v>
      </c>
      <c r="B141" s="9" t="s">
        <v>384</v>
      </c>
      <c r="C141" s="6">
        <v>10</v>
      </c>
      <c r="D141" s="4"/>
      <c r="E141" s="6">
        <f>E140+C141-D141</f>
      </c>
    </row>
    <row x14ac:dyDescent="0.25" r="142" customHeight="1" ht="17.25">
      <c r="A142" s="7">
        <v>45775</v>
      </c>
      <c r="B142" s="9" t="s">
        <v>382</v>
      </c>
      <c r="C142" s="6">
        <v>16</v>
      </c>
      <c r="D142" s="4"/>
      <c r="E142" s="6">
        <f>E141+C142-D142</f>
      </c>
    </row>
    <row x14ac:dyDescent="0.25" r="143" customHeight="1" ht="17.25">
      <c r="A143" s="8">
        <v>45777</v>
      </c>
      <c r="B143" s="9" t="s">
        <v>286</v>
      </c>
      <c r="C143" s="3"/>
      <c r="D143" s="6">
        <v>14</v>
      </c>
      <c r="E143" s="6">
        <f>E142+C143-D143</f>
      </c>
    </row>
    <row x14ac:dyDescent="0.25" r="144" customHeight="1" ht="17.25">
      <c r="A144" s="8">
        <v>45777</v>
      </c>
      <c r="B144" s="9" t="s">
        <v>275</v>
      </c>
      <c r="C144" s="6">
        <v>2</v>
      </c>
      <c r="D144" s="4"/>
      <c r="E144" s="6">
        <f>E143+C144-D144</f>
      </c>
    </row>
    <row x14ac:dyDescent="0.25" r="145" customHeight="1" ht="17.25">
      <c r="A145" s="8">
        <v>45777</v>
      </c>
      <c r="B145" s="9" t="s">
        <v>382</v>
      </c>
      <c r="C145" s="6">
        <v>6</v>
      </c>
      <c r="D145" s="4"/>
      <c r="E145" s="6">
        <f>E144+C145-D145</f>
      </c>
    </row>
    <row x14ac:dyDescent="0.25" r="146" customHeight="1" ht="17.25">
      <c r="A146" s="7">
        <v>45779</v>
      </c>
      <c r="B146" s="9" t="s">
        <v>286</v>
      </c>
      <c r="C146" s="3"/>
      <c r="D146" s="6">
        <v>14</v>
      </c>
      <c r="E146" s="6">
        <f>E145+C146-D146</f>
      </c>
    </row>
    <row x14ac:dyDescent="0.25" r="147" customHeight="1" ht="17.25">
      <c r="A147" s="8">
        <v>45779</v>
      </c>
      <c r="B147" s="9" t="s">
        <v>272</v>
      </c>
      <c r="C147" s="6">
        <v>2</v>
      </c>
      <c r="D147" s="4"/>
      <c r="E147" s="6">
        <f>E146+C147-D147</f>
      </c>
    </row>
    <row x14ac:dyDescent="0.25" r="148" customHeight="1" ht="17.25">
      <c r="A148" s="7">
        <v>45779</v>
      </c>
      <c r="B148" s="9" t="s">
        <v>382</v>
      </c>
      <c r="C148" s="6">
        <v>17</v>
      </c>
      <c r="D148" s="4"/>
      <c r="E148" s="6">
        <f>E147+C148-D148</f>
      </c>
    </row>
    <row x14ac:dyDescent="0.25" r="149" customHeight="1" ht="17.25">
      <c r="A149" s="8">
        <v>45782</v>
      </c>
      <c r="B149" s="9" t="s">
        <v>389</v>
      </c>
      <c r="C149" s="3"/>
      <c r="D149" s="6">
        <v>15</v>
      </c>
      <c r="E149" s="6">
        <f>E148+C149-D149</f>
      </c>
    </row>
    <row x14ac:dyDescent="0.25" r="150" customHeight="1" ht="17.25">
      <c r="A150" s="8">
        <v>45782</v>
      </c>
      <c r="B150" s="9" t="s">
        <v>341</v>
      </c>
      <c r="C150" s="3"/>
      <c r="D150" s="6">
        <v>32</v>
      </c>
      <c r="E150" s="6">
        <f>E149+C150-D150</f>
      </c>
    </row>
    <row x14ac:dyDescent="0.25" r="151" customHeight="1" ht="17.25">
      <c r="A151" s="7">
        <v>45783</v>
      </c>
      <c r="B151" s="9" t="s">
        <v>232</v>
      </c>
      <c r="C151" s="3"/>
      <c r="D151" s="6">
        <v>20</v>
      </c>
      <c r="E151" s="6">
        <f>E150+C151-D151</f>
      </c>
    </row>
    <row x14ac:dyDescent="0.25" r="152" customHeight="1" ht="17.25">
      <c r="A152" s="8">
        <v>45783</v>
      </c>
      <c r="B152" s="9" t="s">
        <v>141</v>
      </c>
      <c r="C152" s="3"/>
      <c r="D152" s="6">
        <v>4</v>
      </c>
      <c r="E152" s="6">
        <f>E151+C152-D152</f>
      </c>
    </row>
    <row x14ac:dyDescent="0.25" r="153" customHeight="1" ht="17.25">
      <c r="A153" s="7">
        <v>45783</v>
      </c>
      <c r="B153" s="9" t="s">
        <v>389</v>
      </c>
      <c r="C153" s="3"/>
      <c r="D153" s="6">
        <v>15</v>
      </c>
      <c r="E153" s="6">
        <f>E152+C153-D153</f>
      </c>
    </row>
    <row x14ac:dyDescent="0.25" r="154" customHeight="1" ht="17.25">
      <c r="A154" s="7">
        <v>45784</v>
      </c>
      <c r="B154" s="9" t="s">
        <v>397</v>
      </c>
      <c r="C154" s="3"/>
      <c r="D154" s="6">
        <v>20</v>
      </c>
      <c r="E154" s="6">
        <f>E153+C154-D154</f>
      </c>
    </row>
    <row x14ac:dyDescent="0.25" r="155" customHeight="1" ht="17.25">
      <c r="A155" s="8">
        <v>45784</v>
      </c>
      <c r="B155" s="9" t="s">
        <v>262</v>
      </c>
      <c r="C155" s="3"/>
      <c r="D155" s="6">
        <v>4</v>
      </c>
      <c r="E155" s="6">
        <f>E154+C155-D155</f>
      </c>
    </row>
    <row x14ac:dyDescent="0.25" r="156" customHeight="1" ht="17.25">
      <c r="A156" s="8">
        <v>45785</v>
      </c>
      <c r="B156" s="9" t="s">
        <v>286</v>
      </c>
      <c r="C156" s="3"/>
      <c r="D156" s="6">
        <v>20</v>
      </c>
      <c r="E156" s="6">
        <f>E155+C156-D156</f>
      </c>
    </row>
    <row x14ac:dyDescent="0.25" r="157" customHeight="1" ht="17.25">
      <c r="A157" s="7">
        <v>45785</v>
      </c>
      <c r="B157" s="9" t="s">
        <v>35</v>
      </c>
      <c r="C157" s="3"/>
      <c r="D157" s="6">
        <v>20</v>
      </c>
      <c r="E157" s="6">
        <f>E156+C157-D157</f>
      </c>
    </row>
    <row x14ac:dyDescent="0.25" r="158" customHeight="1" ht="17.25">
      <c r="A158" s="7">
        <v>45785</v>
      </c>
      <c r="B158" s="9" t="s">
        <v>415</v>
      </c>
      <c r="C158" s="6">
        <v>2</v>
      </c>
      <c r="D158" s="4"/>
      <c r="E158" s="6">
        <f>E157+C158-D158</f>
      </c>
    </row>
    <row x14ac:dyDescent="0.25" r="159" customHeight="1" ht="17.25">
      <c r="A159" s="7">
        <v>45787</v>
      </c>
      <c r="B159" s="9" t="s">
        <v>382</v>
      </c>
      <c r="C159" s="6">
        <v>19</v>
      </c>
      <c r="D159" s="4"/>
      <c r="E159" s="6">
        <f>E158+C159-D159</f>
      </c>
    </row>
    <row x14ac:dyDescent="0.25" r="160" customHeight="1" ht="17.25">
      <c r="A160" s="7">
        <v>45790</v>
      </c>
      <c r="B160" s="9" t="s">
        <v>29</v>
      </c>
      <c r="C160" s="6">
        <v>65</v>
      </c>
      <c r="D160" s="4"/>
      <c r="E160" s="6">
        <f>E159+C160-D160</f>
      </c>
    </row>
    <row x14ac:dyDescent="0.25" r="161" customHeight="1" ht="17.25">
      <c r="A161" s="8">
        <v>45790</v>
      </c>
      <c r="B161" s="9" t="s">
        <v>272</v>
      </c>
      <c r="C161" s="6">
        <v>2</v>
      </c>
      <c r="D161" s="4"/>
      <c r="E161" s="6">
        <f>E160+C161-D161</f>
      </c>
    </row>
    <row x14ac:dyDescent="0.25" r="162" customHeight="1" ht="17.25">
      <c r="A162" s="7">
        <v>45791</v>
      </c>
      <c r="B162" s="9" t="s">
        <v>286</v>
      </c>
      <c r="C162" s="3"/>
      <c r="D162" s="6">
        <v>20</v>
      </c>
      <c r="E162" s="6">
        <f>E161+C162-D162</f>
      </c>
    </row>
    <row x14ac:dyDescent="0.25" r="163" customHeight="1" ht="17.25">
      <c r="A163" s="8">
        <v>45792</v>
      </c>
      <c r="B163" s="9" t="s">
        <v>35</v>
      </c>
      <c r="C163" s="3"/>
      <c r="D163" s="6">
        <v>10</v>
      </c>
      <c r="E163" s="6">
        <f>E162+C163-D163</f>
      </c>
    </row>
    <row x14ac:dyDescent="0.25" r="164" customHeight="1" ht="17.25">
      <c r="A164" s="8">
        <v>45793</v>
      </c>
      <c r="B164" s="9" t="s">
        <v>262</v>
      </c>
      <c r="C164" s="3"/>
      <c r="D164" s="6">
        <v>16</v>
      </c>
      <c r="E164" s="6">
        <f>E163+C164-D164</f>
      </c>
    </row>
    <row x14ac:dyDescent="0.25" r="165" customHeight="1" ht="17.25">
      <c r="A165" s="7">
        <v>45793</v>
      </c>
      <c r="B165" s="9" t="s">
        <v>286</v>
      </c>
      <c r="C165" s="3"/>
      <c r="D165" s="6">
        <v>9</v>
      </c>
      <c r="E165" s="6">
        <f>E164+C165-D165</f>
      </c>
    </row>
    <row x14ac:dyDescent="0.25" r="166" customHeight="1" ht="17.25">
      <c r="A166" s="7">
        <v>45794</v>
      </c>
      <c r="B166" s="9" t="s">
        <v>179</v>
      </c>
      <c r="C166" s="3"/>
      <c r="D166" s="6">
        <v>30</v>
      </c>
      <c r="E166" s="6">
        <f>E165+C166-D166</f>
      </c>
    </row>
    <row x14ac:dyDescent="0.25" r="167" customHeight="1" ht="17.25">
      <c r="A167" s="8">
        <v>45794</v>
      </c>
      <c r="B167" s="9" t="s">
        <v>35</v>
      </c>
      <c r="C167" s="3"/>
      <c r="D167" s="6">
        <v>7</v>
      </c>
      <c r="E167" s="6">
        <f>E166+C167-D167</f>
      </c>
    </row>
    <row x14ac:dyDescent="0.25" r="168" customHeight="1" ht="17.25">
      <c r="A168" s="7">
        <v>45798</v>
      </c>
      <c r="B168" s="9" t="s">
        <v>382</v>
      </c>
      <c r="C168" s="6">
        <v>14</v>
      </c>
      <c r="D168" s="4"/>
      <c r="E168" s="6">
        <f>E167+C168-D168</f>
      </c>
    </row>
    <row x14ac:dyDescent="0.25" r="169" customHeight="1" ht="17.25">
      <c r="A169" s="7">
        <v>45800</v>
      </c>
      <c r="B169" s="9" t="s">
        <v>35</v>
      </c>
      <c r="C169" s="3"/>
      <c r="D169" s="6">
        <v>8</v>
      </c>
      <c r="E169" s="6">
        <f>E168+C169-D169</f>
      </c>
    </row>
    <row x14ac:dyDescent="0.25" r="170" customHeight="1" ht="17.25">
      <c r="A170" s="7">
        <v>45801</v>
      </c>
      <c r="B170" s="9" t="s">
        <v>286</v>
      </c>
      <c r="C170" s="3"/>
      <c r="D170" s="6">
        <v>15</v>
      </c>
      <c r="E170" s="6">
        <f>E169+C170-D170</f>
      </c>
    </row>
    <row x14ac:dyDescent="0.25" r="171" customHeight="1" ht="17.25">
      <c r="A171" s="7">
        <v>45801</v>
      </c>
      <c r="B171" s="9" t="s">
        <v>389</v>
      </c>
      <c r="C171" s="3"/>
      <c r="D171" s="6">
        <v>70</v>
      </c>
      <c r="E171" s="6">
        <f>E170+C171-D171</f>
      </c>
    </row>
    <row x14ac:dyDescent="0.25" r="172" customHeight="1" ht="17.25">
      <c r="A172" s="7">
        <v>45801</v>
      </c>
      <c r="B172" s="9" t="s">
        <v>2</v>
      </c>
      <c r="C172" s="3"/>
      <c r="D172" s="6">
        <v>20</v>
      </c>
      <c r="E172" s="6">
        <f>E171+C172-D172</f>
      </c>
    </row>
    <row x14ac:dyDescent="0.25" r="173" customHeight="1" ht="17.25">
      <c r="A173" s="8">
        <v>45803</v>
      </c>
      <c r="B173" s="9" t="s">
        <v>232</v>
      </c>
      <c r="C173" s="3"/>
      <c r="D173" s="6">
        <v>20</v>
      </c>
      <c r="E173" s="6">
        <f>E172+C173-D173</f>
      </c>
    </row>
    <row x14ac:dyDescent="0.25" r="174" customHeight="1" ht="17.25">
      <c r="A174" s="8">
        <v>45807</v>
      </c>
      <c r="B174" s="9" t="s">
        <v>2</v>
      </c>
      <c r="C174" s="3"/>
      <c r="D174" s="6">
        <v>15</v>
      </c>
      <c r="E174" s="6">
        <f>E173+C174-D174</f>
      </c>
    </row>
    <row x14ac:dyDescent="0.25" r="175" customHeight="1" ht="17.25">
      <c r="A175" s="7">
        <v>45807</v>
      </c>
      <c r="B175" s="9" t="s">
        <v>384</v>
      </c>
      <c r="C175" s="6">
        <v>15</v>
      </c>
      <c r="D175" s="4"/>
      <c r="E175" s="6">
        <f>E174+C175-D175</f>
      </c>
    </row>
    <row x14ac:dyDescent="0.25" r="176" customHeight="1" ht="17.25">
      <c r="A176" s="7">
        <v>45810</v>
      </c>
      <c r="B176" s="9" t="s">
        <v>289</v>
      </c>
      <c r="C176" s="6">
        <v>17</v>
      </c>
      <c r="D176" s="4"/>
      <c r="E176" s="6">
        <f>E175+C176-D176</f>
      </c>
    </row>
    <row x14ac:dyDescent="0.25" r="177" customHeight="1" ht="17.25">
      <c r="A177" s="8">
        <v>45811</v>
      </c>
      <c r="B177" s="9" t="s">
        <v>100</v>
      </c>
      <c r="C177" s="3"/>
      <c r="D177" s="6">
        <v>10</v>
      </c>
      <c r="E177" s="6">
        <f>E176+C177-D177</f>
      </c>
    </row>
    <row x14ac:dyDescent="0.25" r="178" customHeight="1" ht="17.25">
      <c r="A178" s="7">
        <v>45813</v>
      </c>
      <c r="B178" s="9" t="s">
        <v>397</v>
      </c>
      <c r="C178" s="6">
        <v>1</v>
      </c>
      <c r="D178" s="4"/>
      <c r="E178" s="6">
        <f>E177+C178-D178</f>
      </c>
    </row>
    <row x14ac:dyDescent="0.25" r="179" customHeight="1" ht="17.25">
      <c r="A179" s="7">
        <v>45813</v>
      </c>
      <c r="B179" s="9" t="s">
        <v>286</v>
      </c>
      <c r="C179" s="6">
        <v>10</v>
      </c>
      <c r="D179" s="4"/>
      <c r="E179" s="6">
        <f>E178+C179-D179</f>
      </c>
    </row>
    <row x14ac:dyDescent="0.25" r="180" customHeight="1" ht="17.25">
      <c r="A180" s="7">
        <v>45821</v>
      </c>
      <c r="B180" s="9" t="s">
        <v>382</v>
      </c>
      <c r="C180" s="6">
        <v>4</v>
      </c>
      <c r="D180" s="4"/>
      <c r="E180" s="6">
        <f>E179+C180-D180</f>
      </c>
    </row>
    <row x14ac:dyDescent="0.25" r="181" customHeight="1" ht="17.25">
      <c r="A181" s="7">
        <v>45821</v>
      </c>
      <c r="B181" s="9" t="s">
        <v>329</v>
      </c>
      <c r="C181" s="6">
        <v>2</v>
      </c>
      <c r="D181" s="4"/>
      <c r="E181" s="6">
        <f>E180+C181-D181</f>
      </c>
    </row>
    <row x14ac:dyDescent="0.25" r="182" customHeight="1" ht="17.25">
      <c r="A182" s="7">
        <v>45822</v>
      </c>
      <c r="B182" s="9" t="s">
        <v>2</v>
      </c>
      <c r="C182" s="3"/>
      <c r="D182" s="6">
        <v>20</v>
      </c>
      <c r="E182" s="6">
        <f>E181+C182-D182</f>
      </c>
    </row>
    <row x14ac:dyDescent="0.25" r="183" customHeight="1" ht="17.25">
      <c r="A183" s="7">
        <v>45824</v>
      </c>
      <c r="B183" s="9" t="s">
        <v>411</v>
      </c>
      <c r="C183" s="3"/>
      <c r="D183" s="6">
        <v>15</v>
      </c>
      <c r="E183" s="6">
        <f>E182+C183-D183</f>
      </c>
    </row>
    <row x14ac:dyDescent="0.25" r="184" customHeight="1" ht="17.25">
      <c r="A184" s="7">
        <v>45828</v>
      </c>
      <c r="B184" s="9" t="s">
        <v>289</v>
      </c>
      <c r="C184" s="6">
        <v>2</v>
      </c>
      <c r="D184" s="4"/>
      <c r="E184" s="6">
        <f>E183+C184-D184</f>
      </c>
    </row>
    <row x14ac:dyDescent="0.25" r="185" customHeight="1" ht="17.25">
      <c r="A185" s="8">
        <v>45831</v>
      </c>
      <c r="B185" s="9" t="s">
        <v>29</v>
      </c>
      <c r="C185" s="6">
        <v>91</v>
      </c>
      <c r="D185" s="4"/>
      <c r="E185" s="6">
        <f>E184+C185-D185</f>
      </c>
    </row>
    <row x14ac:dyDescent="0.25" r="186" customHeight="1" ht="17.25">
      <c r="A186" s="7">
        <v>45832</v>
      </c>
      <c r="B186" s="9" t="s">
        <v>329</v>
      </c>
      <c r="C186" s="6">
        <v>10</v>
      </c>
      <c r="D186" s="4"/>
      <c r="E186" s="6">
        <f>E185+C186-D186</f>
      </c>
    </row>
    <row x14ac:dyDescent="0.25" r="187" customHeight="1" ht="17.25">
      <c r="A187" s="7">
        <v>45834</v>
      </c>
      <c r="B187" s="9" t="s">
        <v>286</v>
      </c>
      <c r="C187" s="6">
        <v>4</v>
      </c>
      <c r="D187" s="4"/>
      <c r="E187" s="6">
        <f>E186+C187-D187</f>
      </c>
    </row>
    <row x14ac:dyDescent="0.25" r="188" customHeight="1" ht="17.25">
      <c r="A188" s="8">
        <v>45836</v>
      </c>
      <c r="B188" s="9" t="s">
        <v>316</v>
      </c>
      <c r="C188" s="3"/>
      <c r="D188" s="6">
        <v>50</v>
      </c>
      <c r="E188" s="6">
        <f>E187+C188-D188</f>
      </c>
    </row>
    <row x14ac:dyDescent="0.25" r="189" customHeight="1" ht="17.25">
      <c r="A189" s="7">
        <v>45838</v>
      </c>
      <c r="B189" s="9" t="s">
        <v>172</v>
      </c>
      <c r="C189" s="6">
        <v>2</v>
      </c>
      <c r="D189" s="4"/>
      <c r="E189" s="6">
        <f>E188+C189-D189</f>
      </c>
    </row>
    <row x14ac:dyDescent="0.25" r="190" customHeight="1" ht="17.25">
      <c r="A190" s="7">
        <v>45839</v>
      </c>
      <c r="B190" s="9" t="s">
        <v>35</v>
      </c>
      <c r="C190" s="6">
        <v>3</v>
      </c>
      <c r="D190" s="4"/>
      <c r="E190" s="6">
        <f>E189+C190-D190</f>
      </c>
    </row>
    <row x14ac:dyDescent="0.25" r="191" customHeight="1" ht="17.25">
      <c r="A191" s="8">
        <v>45839</v>
      </c>
      <c r="B191" s="9" t="s">
        <v>286</v>
      </c>
      <c r="C191" s="6">
        <v>6</v>
      </c>
      <c r="D191" s="4"/>
      <c r="E191" s="6">
        <f>E190+C191-D191</f>
      </c>
    </row>
    <row x14ac:dyDescent="0.25" r="192" customHeight="1" ht="17.25">
      <c r="A192" s="8">
        <v>45840</v>
      </c>
      <c r="B192" s="9" t="s">
        <v>46</v>
      </c>
      <c r="C192" s="3"/>
      <c r="D192" s="6">
        <v>15</v>
      </c>
      <c r="E192" s="6">
        <f>E191+C192-D192</f>
      </c>
    </row>
    <row x14ac:dyDescent="0.25" r="193" customHeight="1" ht="17.25">
      <c r="A193" s="8">
        <v>45840</v>
      </c>
      <c r="B193" s="9" t="s">
        <v>414</v>
      </c>
      <c r="C193" s="6">
        <v>2</v>
      </c>
      <c r="D193" s="4"/>
      <c r="E193" s="6">
        <f>E192+C193-D193</f>
      </c>
    </row>
    <row x14ac:dyDescent="0.25" r="194" customHeight="1" ht="17.25">
      <c r="A194" s="8">
        <v>45842</v>
      </c>
      <c r="B194" s="9" t="s">
        <v>333</v>
      </c>
      <c r="C194" s="3"/>
      <c r="D194" s="6">
        <v>5</v>
      </c>
      <c r="E194" s="6">
        <f>E193+C194-D194</f>
      </c>
    </row>
    <row x14ac:dyDescent="0.25" r="195" customHeight="1" ht="17.25">
      <c r="A195" s="7">
        <v>45842</v>
      </c>
      <c r="B195" s="9" t="s">
        <v>286</v>
      </c>
      <c r="C195" s="6">
        <v>5</v>
      </c>
      <c r="D195" s="4"/>
      <c r="E195" s="6">
        <f>E194+C195-D195</f>
      </c>
    </row>
    <row x14ac:dyDescent="0.25" r="196" customHeight="1" ht="17.25">
      <c r="A196" s="8">
        <v>45843</v>
      </c>
      <c r="B196" s="9" t="s">
        <v>46</v>
      </c>
      <c r="C196" s="3"/>
      <c r="D196" s="6">
        <v>18</v>
      </c>
      <c r="E196" s="6">
        <f>E195+C196-D196</f>
      </c>
    </row>
    <row x14ac:dyDescent="0.25" r="197" customHeight="1" ht="17.25">
      <c r="A197" s="7">
        <v>45845</v>
      </c>
      <c r="B197" s="9" t="s">
        <v>389</v>
      </c>
      <c r="C197" s="3"/>
      <c r="D197" s="6">
        <v>25</v>
      </c>
      <c r="E197" s="6">
        <f>E196+C197-D197</f>
      </c>
    </row>
    <row x14ac:dyDescent="0.25" r="198" customHeight="1" ht="17.25">
      <c r="A198" s="8">
        <v>45846</v>
      </c>
      <c r="B198" s="9" t="s">
        <v>286</v>
      </c>
      <c r="C198" s="6">
        <v>11</v>
      </c>
      <c r="D198" s="4"/>
      <c r="E198" s="6">
        <f>E197+C198-D198</f>
      </c>
    </row>
    <row x14ac:dyDescent="0.25" r="199" customHeight="1" ht="17.25">
      <c r="A199" s="7">
        <v>45847</v>
      </c>
      <c r="B199" s="9" t="s">
        <v>25</v>
      </c>
      <c r="C199" s="3"/>
      <c r="D199" s="6">
        <v>49</v>
      </c>
      <c r="E199" s="6">
        <f>E198+C199-D199</f>
      </c>
    </row>
    <row x14ac:dyDescent="0.25" r="200" customHeight="1" ht="17.25">
      <c r="A200" s="8">
        <v>45847</v>
      </c>
      <c r="B200" s="9" t="s">
        <v>35</v>
      </c>
      <c r="C200" s="6">
        <v>10</v>
      </c>
      <c r="D200" s="4"/>
      <c r="E200" s="6">
        <f>E199+C200-D200</f>
      </c>
    </row>
    <row x14ac:dyDescent="0.25" r="201" customHeight="1" ht="17.25">
      <c r="A201" s="7">
        <v>45847</v>
      </c>
      <c r="B201" s="9" t="s">
        <v>411</v>
      </c>
      <c r="C201" s="6">
        <v>27</v>
      </c>
      <c r="D201" s="4"/>
      <c r="E201" s="6">
        <f>E200+C201-D201</f>
      </c>
    </row>
    <row x14ac:dyDescent="0.25" r="202" customHeight="1" ht="17.25">
      <c r="A202" s="8">
        <v>45850</v>
      </c>
      <c r="B202" s="9" t="s">
        <v>238</v>
      </c>
      <c r="C202" s="6">
        <v>5</v>
      </c>
      <c r="D202" s="4"/>
      <c r="E202" s="6">
        <f>E201+C202-D202</f>
      </c>
    </row>
    <row x14ac:dyDescent="0.25" r="203" customHeight="1" ht="17.25">
      <c r="A203" s="7">
        <v>45852</v>
      </c>
      <c r="B203" s="9" t="s">
        <v>172</v>
      </c>
      <c r="C203" s="3"/>
      <c r="D203" s="6">
        <v>8</v>
      </c>
      <c r="E203" s="6">
        <f>E202+C203-D203</f>
      </c>
    </row>
    <row x14ac:dyDescent="0.25" r="204" customHeight="1" ht="17.25">
      <c r="A204" s="7">
        <v>45852</v>
      </c>
      <c r="B204" s="9" t="s">
        <v>286</v>
      </c>
      <c r="C204" s="6">
        <v>14</v>
      </c>
      <c r="D204" s="4"/>
      <c r="E204" s="6">
        <f>E203+C204-D204</f>
      </c>
    </row>
    <row x14ac:dyDescent="0.25" r="205" customHeight="1" ht="17.25">
      <c r="A205" s="7">
        <v>45854</v>
      </c>
      <c r="B205" s="9" t="s">
        <v>189</v>
      </c>
      <c r="C205" s="6">
        <v>11</v>
      </c>
      <c r="D205" s="4"/>
      <c r="E205" s="6">
        <f>E204+C205-D205</f>
      </c>
    </row>
    <row x14ac:dyDescent="0.25" r="206" customHeight="1" ht="17.25">
      <c r="A206" s="7">
        <v>45854</v>
      </c>
      <c r="B206" s="9" t="s">
        <v>376</v>
      </c>
      <c r="C206" s="6">
        <v>7</v>
      </c>
      <c r="D206" s="4"/>
      <c r="E206" s="6">
        <f>E205+C206-D206</f>
      </c>
    </row>
    <row x14ac:dyDescent="0.25" r="207" customHeight="1" ht="17.25">
      <c r="A207" s="8">
        <v>45855</v>
      </c>
      <c r="B207" s="9" t="s">
        <v>233</v>
      </c>
      <c r="C207" s="3"/>
      <c r="D207" s="6">
        <v>14</v>
      </c>
      <c r="E207" s="6">
        <f>E206+C207-D207</f>
      </c>
    </row>
    <row x14ac:dyDescent="0.25" r="208" customHeight="1" ht="17.25">
      <c r="A208" s="7">
        <v>45856</v>
      </c>
      <c r="B208" s="9" t="s">
        <v>25</v>
      </c>
      <c r="C208" s="3"/>
      <c r="D208" s="6">
        <v>30</v>
      </c>
      <c r="E208" s="6">
        <f>E207+C208-D208</f>
      </c>
    </row>
    <row x14ac:dyDescent="0.25" r="209" customHeight="1" ht="17.25">
      <c r="A209" s="8">
        <v>45857</v>
      </c>
      <c r="B209" s="9" t="s">
        <v>289</v>
      </c>
      <c r="C209" s="3"/>
      <c r="D209" s="6">
        <v>24</v>
      </c>
      <c r="E209" s="6">
        <f>E208+C209-D209</f>
      </c>
    </row>
    <row x14ac:dyDescent="0.25" r="210" customHeight="1" ht="17.25">
      <c r="A210" s="8">
        <v>45857</v>
      </c>
      <c r="B210" s="9" t="s">
        <v>46</v>
      </c>
      <c r="C210" s="3"/>
      <c r="D210" s="6">
        <v>50</v>
      </c>
      <c r="E210" s="6">
        <f>E209+C210-D210</f>
      </c>
    </row>
    <row x14ac:dyDescent="0.25" r="211" customHeight="1" ht="17.25">
      <c r="A211" s="8">
        <v>45859</v>
      </c>
      <c r="B211" s="9" t="s">
        <v>311</v>
      </c>
      <c r="C211" s="3"/>
      <c r="D211" s="6">
        <v>16</v>
      </c>
      <c r="E211" s="6">
        <f>E210+C211-D211</f>
      </c>
    </row>
    <row x14ac:dyDescent="0.25" r="212" customHeight="1" ht="17.25">
      <c r="A212" s="8">
        <v>45859</v>
      </c>
      <c r="B212" s="9" t="s">
        <v>286</v>
      </c>
      <c r="C212" s="6">
        <v>12</v>
      </c>
      <c r="D212" s="4"/>
      <c r="E212" s="6">
        <f>E211+C212-D212</f>
      </c>
    </row>
    <row x14ac:dyDescent="0.25" r="213" customHeight="1" ht="17.25">
      <c r="A213" s="7">
        <v>45859</v>
      </c>
      <c r="B213" s="9" t="s">
        <v>179</v>
      </c>
      <c r="C213" s="6">
        <v>19</v>
      </c>
      <c r="D213" s="4"/>
      <c r="E213" s="6">
        <f>E212+C213-D213</f>
      </c>
    </row>
    <row x14ac:dyDescent="0.25" r="214" customHeight="1" ht="17.25">
      <c r="A214" s="8">
        <v>45860</v>
      </c>
      <c r="B214" s="9" t="s">
        <v>311</v>
      </c>
      <c r="C214" s="3"/>
      <c r="D214" s="6">
        <v>9</v>
      </c>
      <c r="E214" s="6">
        <f>E213+C214-D214</f>
      </c>
    </row>
    <row x14ac:dyDescent="0.25" r="215" customHeight="1" ht="17.25">
      <c r="A215" s="8">
        <v>45860</v>
      </c>
      <c r="B215" s="9" t="s">
        <v>89</v>
      </c>
      <c r="C215" s="6">
        <v>2</v>
      </c>
      <c r="D215" s="4"/>
      <c r="E215" s="6">
        <f>E214+C215-D215</f>
      </c>
    </row>
    <row x14ac:dyDescent="0.25" r="216" customHeight="1" ht="17.25">
      <c r="A216" s="7">
        <v>45862</v>
      </c>
      <c r="B216" s="9" t="s">
        <v>333</v>
      </c>
      <c r="C216" s="3"/>
      <c r="D216" s="6">
        <v>2</v>
      </c>
      <c r="E216" s="6">
        <f>E215+C216-D216</f>
      </c>
    </row>
    <row x14ac:dyDescent="0.25" r="217" customHeight="1" ht="17.25">
      <c r="A217" s="7">
        <v>45862</v>
      </c>
      <c r="B217" s="9" t="s">
        <v>286</v>
      </c>
      <c r="C217" s="6">
        <v>6</v>
      </c>
      <c r="D217" s="4"/>
      <c r="E217" s="6">
        <f>E216+C217-D217</f>
      </c>
    </row>
    <row x14ac:dyDescent="0.25" r="218" customHeight="1" ht="17.25">
      <c r="A218" s="7">
        <v>45863</v>
      </c>
      <c r="B218" s="9" t="s">
        <v>100</v>
      </c>
      <c r="C218" s="3"/>
      <c r="D218" s="6">
        <v>20</v>
      </c>
      <c r="E218" s="6">
        <f>E217+C218-D218</f>
      </c>
    </row>
    <row x14ac:dyDescent="0.25" r="219" customHeight="1" ht="17.25">
      <c r="A219" s="8">
        <v>45863</v>
      </c>
      <c r="B219" s="9" t="s">
        <v>233</v>
      </c>
      <c r="C219" s="3"/>
      <c r="D219" s="6">
        <v>10</v>
      </c>
      <c r="E219" s="6">
        <f>E218+C219-D219</f>
      </c>
    </row>
    <row x14ac:dyDescent="0.25" r="220" customHeight="1" ht="17.25">
      <c r="A220" s="7">
        <v>45864</v>
      </c>
      <c r="B220" s="9" t="s">
        <v>311</v>
      </c>
      <c r="C220" s="3"/>
      <c r="D220" s="6">
        <v>20</v>
      </c>
      <c r="E220" s="6">
        <f>E219+C220-D220</f>
      </c>
    </row>
    <row x14ac:dyDescent="0.25" r="221" customHeight="1" ht="17.25">
      <c r="A221" s="8">
        <v>45864</v>
      </c>
      <c r="B221" s="9" t="s">
        <v>233</v>
      </c>
      <c r="C221" s="3"/>
      <c r="D221" s="6">
        <v>35</v>
      </c>
      <c r="E221" s="6">
        <f>E220+C221-D221</f>
      </c>
    </row>
    <row x14ac:dyDescent="0.25" r="222" customHeight="1" ht="17.25">
      <c r="A222" s="7">
        <v>45864</v>
      </c>
      <c r="B222" s="9" t="s">
        <v>286</v>
      </c>
      <c r="C222" s="6">
        <v>11</v>
      </c>
      <c r="D222" s="4"/>
      <c r="E222" s="6">
        <f>E221+C222-D222</f>
      </c>
    </row>
    <row x14ac:dyDescent="0.25" r="223" customHeight="1" ht="17.25">
      <c r="A223" s="7">
        <v>45866</v>
      </c>
      <c r="B223" s="9" t="s">
        <v>89</v>
      </c>
      <c r="C223" s="6">
        <v>5</v>
      </c>
      <c r="D223" s="4"/>
      <c r="E223" s="6">
        <f>E222+C223-D223</f>
      </c>
    </row>
    <row x14ac:dyDescent="0.25" r="224" customHeight="1" ht="17.25">
      <c r="A224" s="7">
        <v>45866</v>
      </c>
      <c r="B224" s="9" t="s">
        <v>341</v>
      </c>
      <c r="C224" s="6">
        <v>23</v>
      </c>
      <c r="D224" s="4"/>
      <c r="E224" s="6">
        <f>E223+C224-D224</f>
      </c>
    </row>
    <row x14ac:dyDescent="0.25" r="225" customHeight="1" ht="17.25">
      <c r="A225" s="8">
        <v>45867</v>
      </c>
      <c r="B225" s="9" t="s">
        <v>315</v>
      </c>
      <c r="C225" s="3"/>
      <c r="D225" s="6">
        <v>8</v>
      </c>
      <c r="E225" s="6">
        <f>E224+C225-D225</f>
      </c>
    </row>
    <row x14ac:dyDescent="0.25" r="226" customHeight="1" ht="17.25">
      <c r="A226" s="7">
        <v>45867</v>
      </c>
      <c r="B226" s="9" t="s">
        <v>316</v>
      </c>
      <c r="C226" s="3"/>
      <c r="D226" s="6">
        <v>12</v>
      </c>
      <c r="E226" s="6">
        <f>E225+C226-D226</f>
      </c>
    </row>
    <row x14ac:dyDescent="0.25" r="227" customHeight="1" ht="17.25">
      <c r="A227" s="8">
        <v>45867</v>
      </c>
      <c r="B227" s="9" t="s">
        <v>35</v>
      </c>
      <c r="C227" s="6">
        <v>37</v>
      </c>
      <c r="D227" s="4"/>
      <c r="E227" s="6">
        <f>E226+C227-D227</f>
      </c>
    </row>
    <row x14ac:dyDescent="0.25" r="228" customHeight="1" ht="17.25">
      <c r="A228" s="7">
        <v>45868</v>
      </c>
      <c r="B228" s="9" t="s">
        <v>243</v>
      </c>
      <c r="C228" s="3"/>
      <c r="D228" s="6">
        <v>37</v>
      </c>
      <c r="E228" s="6">
        <f>E227+C228-D228</f>
      </c>
    </row>
    <row x14ac:dyDescent="0.25" r="229" customHeight="1" ht="17.25">
      <c r="A229" s="8">
        <v>45869</v>
      </c>
      <c r="B229" s="9" t="s">
        <v>311</v>
      </c>
      <c r="C229" s="3"/>
      <c r="D229" s="6">
        <v>20</v>
      </c>
      <c r="E229" s="6">
        <f>E228+C229-D229</f>
      </c>
    </row>
    <row x14ac:dyDescent="0.25" r="230" customHeight="1" ht="17.25">
      <c r="A230" s="7">
        <v>45869</v>
      </c>
      <c r="B230" s="9" t="s">
        <v>233</v>
      </c>
      <c r="C230" s="3"/>
      <c r="D230" s="6">
        <v>20</v>
      </c>
      <c r="E230" s="6">
        <f>E229+C230-D230</f>
      </c>
    </row>
    <row x14ac:dyDescent="0.25" r="231" customHeight="1" ht="17.25">
      <c r="A231" s="8">
        <v>45870</v>
      </c>
      <c r="B231" s="9" t="s">
        <v>47</v>
      </c>
      <c r="C231" s="3"/>
      <c r="D231" s="6">
        <v>10</v>
      </c>
      <c r="E231" s="6">
        <f>E230+C231-D231</f>
      </c>
    </row>
    <row x14ac:dyDescent="0.25" r="232" customHeight="1" ht="17.25">
      <c r="A232" s="7">
        <v>45870</v>
      </c>
      <c r="B232" s="9" t="s">
        <v>35</v>
      </c>
      <c r="C232" s="6">
        <v>7</v>
      </c>
      <c r="D232" s="4"/>
      <c r="E232" s="6">
        <f>E231+C232-D232</f>
      </c>
    </row>
    <row x14ac:dyDescent="0.25" r="233" customHeight="1" ht="17.25">
      <c r="A233" s="7">
        <v>45870</v>
      </c>
      <c r="B233" s="9" t="s">
        <v>233</v>
      </c>
      <c r="C233" s="3"/>
      <c r="D233" s="6">
        <v>30</v>
      </c>
      <c r="E233" s="6">
        <f>E232+C233-D233</f>
      </c>
    </row>
    <row x14ac:dyDescent="0.25" r="234" customHeight="1" ht="17.25">
      <c r="A234" s="7">
        <v>45873</v>
      </c>
      <c r="B234" s="9" t="s">
        <v>275</v>
      </c>
      <c r="C234" s="6">
        <v>1</v>
      </c>
      <c r="D234" s="4"/>
      <c r="E234" s="6">
        <f>E233+C234-D234</f>
      </c>
    </row>
    <row x14ac:dyDescent="0.25" r="235" customHeight="1" ht="17.25">
      <c r="A235" s="7">
        <v>45874</v>
      </c>
      <c r="B235" s="9" t="s">
        <v>100</v>
      </c>
      <c r="C235" s="3"/>
      <c r="D235" s="6">
        <v>25</v>
      </c>
      <c r="E235" s="6">
        <f>E234+C235-D235</f>
      </c>
    </row>
    <row x14ac:dyDescent="0.25" r="236" customHeight="1" ht="17.25">
      <c r="A236" s="7">
        <v>45875</v>
      </c>
      <c r="B236" s="9" t="s">
        <v>26</v>
      </c>
      <c r="C236" s="3"/>
      <c r="D236" s="6">
        <v>40</v>
      </c>
      <c r="E236" s="6">
        <f>E235+C236-D236</f>
      </c>
    </row>
    <row x14ac:dyDescent="0.25" r="237" customHeight="1" ht="17.25">
      <c r="A237" s="8">
        <v>45876</v>
      </c>
      <c r="B237" s="9" t="s">
        <v>307</v>
      </c>
      <c r="C237" s="3"/>
      <c r="D237" s="6">
        <v>13</v>
      </c>
      <c r="E237" s="6">
        <f>E236+C237-D237</f>
      </c>
    </row>
    <row x14ac:dyDescent="0.25" r="238" customHeight="1" ht="17.25">
      <c r="A238" s="7">
        <v>45876</v>
      </c>
      <c r="B238" s="9" t="s">
        <v>46</v>
      </c>
      <c r="C238" s="3"/>
      <c r="D238" s="6">
        <v>10</v>
      </c>
      <c r="E238" s="6">
        <f>E237+C238-D238</f>
      </c>
    </row>
    <row x14ac:dyDescent="0.25" r="239" customHeight="1" ht="17.25">
      <c r="A239" s="8">
        <v>45876</v>
      </c>
      <c r="B239" s="9" t="s">
        <v>286</v>
      </c>
      <c r="C239" s="6">
        <v>17</v>
      </c>
      <c r="D239" s="4"/>
      <c r="E239" s="6">
        <f>E238+C239-D239</f>
      </c>
    </row>
    <row x14ac:dyDescent="0.25" r="240" customHeight="1" ht="17.25">
      <c r="A240" s="8">
        <v>45877</v>
      </c>
      <c r="B240" s="9" t="s">
        <v>316</v>
      </c>
      <c r="C240" s="3"/>
      <c r="D240" s="6">
        <v>12</v>
      </c>
      <c r="E240" s="6">
        <f>E239+C240-D240</f>
      </c>
    </row>
    <row x14ac:dyDescent="0.25" r="241" customHeight="1" ht="17.25">
      <c r="A241" s="8">
        <v>45878</v>
      </c>
      <c r="B241" s="9" t="s">
        <v>26</v>
      </c>
      <c r="C241" s="3"/>
      <c r="D241" s="6">
        <v>10</v>
      </c>
      <c r="E241" s="6">
        <f>E240+C241-D241</f>
      </c>
    </row>
    <row x14ac:dyDescent="0.25" r="242" customHeight="1" ht="17.25">
      <c r="A242" s="7">
        <v>45878</v>
      </c>
      <c r="B242" s="9" t="s">
        <v>316</v>
      </c>
      <c r="C242" s="3"/>
      <c r="D242" s="6">
        <v>75</v>
      </c>
      <c r="E242" s="6">
        <f>E241+C242-D242</f>
      </c>
    </row>
    <row x14ac:dyDescent="0.25" r="243" customHeight="1" ht="17.25">
      <c r="A243" s="7">
        <v>45880</v>
      </c>
      <c r="B243" s="9" t="s">
        <v>316</v>
      </c>
      <c r="C243" s="3"/>
      <c r="D243" s="6">
        <v>13</v>
      </c>
      <c r="E243" s="6">
        <f>E242+C243-D243</f>
      </c>
    </row>
    <row x14ac:dyDescent="0.25" r="244" customHeight="1" ht="17.25">
      <c r="A244" s="7">
        <v>45880</v>
      </c>
      <c r="B244" s="9" t="s">
        <v>182</v>
      </c>
      <c r="C244" s="6">
        <v>3</v>
      </c>
      <c r="D244" s="4"/>
      <c r="E244" s="6">
        <f>E243+C244-D244</f>
      </c>
    </row>
    <row x14ac:dyDescent="0.25" r="245" customHeight="1" ht="17.25">
      <c r="A245" s="8">
        <v>45880</v>
      </c>
      <c r="B245" s="9" t="s">
        <v>286</v>
      </c>
      <c r="C245" s="6">
        <v>6</v>
      </c>
      <c r="D245" s="4"/>
      <c r="E245" s="6">
        <f>E244+C245-D245</f>
      </c>
    </row>
    <row x14ac:dyDescent="0.25" r="246" customHeight="1" ht="17.25">
      <c r="A246" s="8">
        <v>45881</v>
      </c>
      <c r="B246" s="9" t="s">
        <v>208</v>
      </c>
      <c r="C246" s="6">
        <v>10</v>
      </c>
      <c r="D246" s="4"/>
      <c r="E246" s="6">
        <f>E245+C246-D246</f>
      </c>
    </row>
    <row x14ac:dyDescent="0.25" r="247" customHeight="1" ht="17.25">
      <c r="A247" s="7">
        <v>45883</v>
      </c>
      <c r="B247" s="9" t="s">
        <v>46</v>
      </c>
      <c r="C247" s="3"/>
      <c r="D247" s="6">
        <v>40</v>
      </c>
      <c r="E247" s="6">
        <f>E246+C247-D247</f>
      </c>
    </row>
    <row x14ac:dyDescent="0.25" r="248" customHeight="1" ht="17.25">
      <c r="A248" s="7">
        <v>45883</v>
      </c>
      <c r="B248" s="9" t="s">
        <v>389</v>
      </c>
      <c r="C248" s="3"/>
      <c r="D248" s="6">
        <v>25</v>
      </c>
      <c r="E248" s="6">
        <f>E247+C248-D248</f>
      </c>
    </row>
    <row x14ac:dyDescent="0.25" r="249" customHeight="1" ht="17.25">
      <c r="A249" s="7">
        <v>45883</v>
      </c>
      <c r="B249" s="9" t="s">
        <v>382</v>
      </c>
      <c r="C249" s="6">
        <v>2</v>
      </c>
      <c r="D249" s="4"/>
      <c r="E249" s="6">
        <f>E248+C249-D249</f>
      </c>
    </row>
    <row x14ac:dyDescent="0.25" r="250" customHeight="1" ht="17.25">
      <c r="A250" s="7">
        <v>45885</v>
      </c>
      <c r="B250" s="9" t="s">
        <v>311</v>
      </c>
      <c r="C250" s="3"/>
      <c r="D250" s="6">
        <v>30</v>
      </c>
      <c r="E250" s="6">
        <f>E249+C250-D250</f>
      </c>
    </row>
    <row x14ac:dyDescent="0.25" r="251" customHeight="1" ht="17.25">
      <c r="A251" s="7">
        <v>45885</v>
      </c>
      <c r="B251" s="9" t="s">
        <v>333</v>
      </c>
      <c r="C251" s="6">
        <v>5</v>
      </c>
      <c r="D251" s="4"/>
      <c r="E251" s="6">
        <f>E250+C251-D251</f>
      </c>
    </row>
    <row x14ac:dyDescent="0.25" r="252" customHeight="1" ht="17.25">
      <c r="A252" s="8">
        <v>45885</v>
      </c>
      <c r="B252" s="9" t="s">
        <v>29</v>
      </c>
      <c r="C252" s="6">
        <v>23</v>
      </c>
      <c r="D252" s="4"/>
      <c r="E252" s="6">
        <f>E251+C252-D252</f>
      </c>
    </row>
    <row x14ac:dyDescent="0.25" r="253" customHeight="1" ht="17.25">
      <c r="A253" s="7">
        <v>45888</v>
      </c>
      <c r="B253" s="9" t="s">
        <v>315</v>
      </c>
      <c r="C253" s="3"/>
      <c r="D253" s="6">
        <v>10</v>
      </c>
      <c r="E253" s="6">
        <f>E252+C253-D253</f>
      </c>
    </row>
    <row x14ac:dyDescent="0.25" r="254" customHeight="1" ht="17.25">
      <c r="A254" s="7">
        <v>45888</v>
      </c>
      <c r="B254" s="9" t="s">
        <v>414</v>
      </c>
      <c r="C254" s="6">
        <v>4</v>
      </c>
      <c r="D254" s="4"/>
      <c r="E254" s="6">
        <f>E253+C254-D254</f>
      </c>
    </row>
    <row x14ac:dyDescent="0.25" r="255" customHeight="1" ht="17.25">
      <c r="A255" s="7">
        <v>45889</v>
      </c>
      <c r="B255" s="9" t="s">
        <v>286</v>
      </c>
      <c r="C255" s="6">
        <v>4</v>
      </c>
      <c r="D255" s="4"/>
      <c r="E255" s="6">
        <f>E254+C255-D255</f>
      </c>
    </row>
    <row x14ac:dyDescent="0.25" r="256" customHeight="1" ht="17.25">
      <c r="A256" s="7">
        <v>45889</v>
      </c>
      <c r="B256" s="9" t="s">
        <v>316</v>
      </c>
      <c r="C256" s="3"/>
      <c r="D256" s="6">
        <v>8</v>
      </c>
      <c r="E256" s="6">
        <f>E255+C256-D256</f>
      </c>
    </row>
    <row x14ac:dyDescent="0.25" r="257" customHeight="1" ht="17.25">
      <c r="A257" s="7">
        <v>45890</v>
      </c>
      <c r="B257" s="9" t="s">
        <v>346</v>
      </c>
      <c r="C257" s="3"/>
      <c r="D257" s="6">
        <v>10</v>
      </c>
      <c r="E257" s="6">
        <f>E256+C257-D257</f>
      </c>
    </row>
    <row x14ac:dyDescent="0.25" r="258" customHeight="1" ht="17.25">
      <c r="A258" s="7">
        <v>45890</v>
      </c>
      <c r="B258" s="9" t="s">
        <v>316</v>
      </c>
      <c r="C258" s="3"/>
      <c r="D258" s="6">
        <v>27</v>
      </c>
      <c r="E258" s="6">
        <f>E257+C258-D258</f>
      </c>
    </row>
    <row x14ac:dyDescent="0.25" r="259" customHeight="1" ht="17.25">
      <c r="A259" s="7">
        <v>45890</v>
      </c>
      <c r="B259" s="9" t="s">
        <v>208</v>
      </c>
      <c r="C259" s="6">
        <v>4</v>
      </c>
      <c r="D259" s="4"/>
      <c r="E259" s="6">
        <f>E258+C259-D259</f>
      </c>
    </row>
    <row x14ac:dyDescent="0.25" r="260" customHeight="1" ht="17.25">
      <c r="A260" s="8">
        <v>45891</v>
      </c>
      <c r="B260" s="9" t="s">
        <v>42</v>
      </c>
      <c r="C260" s="6">
        <v>3</v>
      </c>
      <c r="D260" s="4"/>
      <c r="E260" s="6">
        <f>E259+C260-D260</f>
      </c>
    </row>
    <row x14ac:dyDescent="0.25" r="261" customHeight="1" ht="17.25">
      <c r="A261" s="7">
        <v>45891</v>
      </c>
      <c r="B261" s="9" t="s">
        <v>179</v>
      </c>
      <c r="C261" s="6">
        <v>10</v>
      </c>
      <c r="D261" s="4"/>
      <c r="E261" s="6">
        <f>E260+C261-D261</f>
      </c>
    </row>
    <row x14ac:dyDescent="0.25" r="262" customHeight="1" ht="17.25">
      <c r="A262" s="7">
        <v>45892</v>
      </c>
      <c r="B262" s="9" t="s">
        <v>26</v>
      </c>
      <c r="C262" s="3"/>
      <c r="D262" s="6">
        <v>25</v>
      </c>
      <c r="E262" s="6">
        <f>E261+C262-D262</f>
      </c>
    </row>
    <row x14ac:dyDescent="0.25" r="263" customHeight="1" ht="17.25">
      <c r="A263" s="8">
        <v>45894</v>
      </c>
      <c r="B263" s="9" t="s">
        <v>265</v>
      </c>
      <c r="C263" s="3"/>
      <c r="D263" s="6">
        <v>8</v>
      </c>
      <c r="E263" s="6">
        <f>E262+C263-D263</f>
      </c>
    </row>
    <row x14ac:dyDescent="0.25" r="264" customHeight="1" ht="17.25">
      <c r="A264" s="7">
        <v>45894</v>
      </c>
      <c r="B264" s="9" t="s">
        <v>283</v>
      </c>
      <c r="C264" s="6">
        <v>14</v>
      </c>
      <c r="D264" s="4"/>
      <c r="E264" s="6">
        <f>E263+C264-D264</f>
      </c>
    </row>
    <row x14ac:dyDescent="0.25" r="265" customHeight="1" ht="17.25">
      <c r="A265" s="8">
        <v>45895</v>
      </c>
      <c r="B265" s="9" t="s">
        <v>418</v>
      </c>
      <c r="C265" s="3"/>
      <c r="D265" s="6">
        <v>2</v>
      </c>
      <c r="E265" s="6">
        <f>E264+C265-D265</f>
      </c>
    </row>
    <row x14ac:dyDescent="0.25" r="266" customHeight="1" ht="17.25">
      <c r="A266" s="7">
        <v>45895</v>
      </c>
      <c r="B266" s="9" t="s">
        <v>275</v>
      </c>
      <c r="C266" s="6">
        <v>1</v>
      </c>
      <c r="D266" s="4"/>
      <c r="E266" s="6">
        <f>E265+C266-D266</f>
      </c>
    </row>
    <row x14ac:dyDescent="0.25" r="267" customHeight="1" ht="17.25">
      <c r="A267" s="7">
        <v>45895</v>
      </c>
      <c r="B267" s="9" t="s">
        <v>271</v>
      </c>
      <c r="C267" s="6">
        <v>3</v>
      </c>
      <c r="D267" s="4"/>
      <c r="E267" s="6">
        <f>E266+C267-D267</f>
      </c>
    </row>
    <row x14ac:dyDescent="0.25" r="268" customHeight="1" ht="17.25">
      <c r="A268" s="7">
        <v>45897</v>
      </c>
      <c r="B268" s="9" t="s">
        <v>172</v>
      </c>
      <c r="C268" s="6">
        <v>1</v>
      </c>
      <c r="D268" s="4"/>
      <c r="E268" s="6">
        <f>E267+C268-D268</f>
      </c>
    </row>
    <row x14ac:dyDescent="0.25" r="269" customHeight="1" ht="17.25">
      <c r="A269" s="8">
        <v>45897</v>
      </c>
      <c r="B269" s="9" t="s">
        <v>376</v>
      </c>
      <c r="C269" s="6">
        <v>2</v>
      </c>
      <c r="D269" s="4"/>
      <c r="E269" s="6">
        <f>E268+C269-D269</f>
      </c>
    </row>
    <row x14ac:dyDescent="0.25" r="270" customHeight="1" ht="17.25">
      <c r="A270" s="7">
        <v>45898</v>
      </c>
      <c r="B270" s="9" t="s">
        <v>26</v>
      </c>
      <c r="C270" s="3"/>
      <c r="D270" s="6">
        <v>23</v>
      </c>
      <c r="E270" s="6">
        <f>E269+C270-D270</f>
      </c>
    </row>
    <row x14ac:dyDescent="0.25" r="271" customHeight="1" ht="17.25">
      <c r="A271" s="8">
        <v>45899</v>
      </c>
      <c r="B271" s="9" t="s">
        <v>297</v>
      </c>
      <c r="C271" s="3"/>
      <c r="D271" s="6">
        <v>20</v>
      </c>
      <c r="E271" s="6">
        <f>E270+C271-D271</f>
      </c>
    </row>
    <row x14ac:dyDescent="0.25" r="272" customHeight="1" ht="17.25">
      <c r="A272" s="7">
        <v>45899</v>
      </c>
      <c r="B272" s="9" t="s">
        <v>333</v>
      </c>
      <c r="C272" s="6">
        <v>2</v>
      </c>
      <c r="D272" s="4"/>
      <c r="E272" s="6">
        <f>E271+C272-D272</f>
      </c>
    </row>
    <row x14ac:dyDescent="0.25" r="273" customHeight="1" ht="17.25">
      <c r="A273" s="7">
        <v>45902</v>
      </c>
      <c r="B273" s="9" t="s">
        <v>56</v>
      </c>
      <c r="C273" s="3"/>
      <c r="D273" s="6">
        <v>11</v>
      </c>
      <c r="E273" s="6">
        <f>E272+C273-D273</f>
      </c>
    </row>
    <row x14ac:dyDescent="0.25" r="274" customHeight="1" ht="17.25">
      <c r="A274" s="7">
        <v>45904</v>
      </c>
      <c r="B274" s="9" t="s">
        <v>283</v>
      </c>
      <c r="C274" s="6">
        <v>9</v>
      </c>
      <c r="D274" s="4"/>
      <c r="E274" s="6">
        <f>E273+C274-D274</f>
      </c>
    </row>
    <row x14ac:dyDescent="0.25" r="275" customHeight="1" ht="17.25">
      <c r="A275" s="7">
        <v>45904</v>
      </c>
      <c r="B275" s="9" t="s">
        <v>228</v>
      </c>
      <c r="C275" s="6">
        <v>10</v>
      </c>
      <c r="D275" s="4"/>
      <c r="E275" s="6">
        <f>E274+C275-D275</f>
      </c>
    </row>
    <row x14ac:dyDescent="0.25" r="276" customHeight="1" ht="17.25">
      <c r="A276" s="7">
        <v>45904</v>
      </c>
      <c r="B276" s="9" t="s">
        <v>182</v>
      </c>
      <c r="C276" s="6">
        <v>1</v>
      </c>
      <c r="D276" s="4"/>
      <c r="E276" s="6">
        <f>E275+C276-D276</f>
      </c>
    </row>
    <row x14ac:dyDescent="0.25" r="277" customHeight="1" ht="17.25">
      <c r="A277" s="7">
        <v>45906</v>
      </c>
      <c r="B277" s="9" t="s">
        <v>389</v>
      </c>
      <c r="C277" s="6">
        <v>23</v>
      </c>
      <c r="D277" s="4"/>
      <c r="E277" s="6">
        <f>E276+C277-D277</f>
      </c>
    </row>
    <row x14ac:dyDescent="0.25" r="278" customHeight="1" ht="17.25">
      <c r="A278" s="7">
        <v>45906</v>
      </c>
      <c r="B278" s="9" t="s">
        <v>283</v>
      </c>
      <c r="C278" s="6">
        <v>3</v>
      </c>
      <c r="D278" s="4"/>
      <c r="E278" s="6">
        <f>E277+C278-D278</f>
      </c>
    </row>
    <row x14ac:dyDescent="0.25" r="279" customHeight="1" ht="17.25">
      <c r="A279" s="8">
        <v>45909</v>
      </c>
      <c r="B279" s="9" t="s">
        <v>297</v>
      </c>
      <c r="C279" s="3"/>
      <c r="D279" s="6">
        <v>35</v>
      </c>
      <c r="E279" s="6">
        <f>E278+C279-D279</f>
      </c>
    </row>
    <row x14ac:dyDescent="0.25" r="280" customHeight="1" ht="17.25">
      <c r="A280" s="7">
        <v>45909</v>
      </c>
      <c r="B280" s="9" t="s">
        <v>271</v>
      </c>
      <c r="C280" s="6">
        <v>4</v>
      </c>
      <c r="D280" s="4"/>
      <c r="E280" s="6">
        <f>E279+C280-D280</f>
      </c>
    </row>
    <row x14ac:dyDescent="0.25" r="281" customHeight="1" ht="17.25">
      <c r="A281" s="7">
        <v>45909</v>
      </c>
      <c r="B281" s="9" t="s">
        <v>376</v>
      </c>
      <c r="C281" s="6">
        <v>6</v>
      </c>
      <c r="D281" s="4"/>
      <c r="E281" s="6">
        <f>E280+C281-D281</f>
      </c>
    </row>
    <row x14ac:dyDescent="0.25" r="282" customHeight="1" ht="17.25">
      <c r="A282" s="7">
        <v>45910</v>
      </c>
      <c r="B282" s="9" t="s">
        <v>316</v>
      </c>
      <c r="C282" s="3"/>
      <c r="D282" s="6">
        <v>25</v>
      </c>
      <c r="E282" s="4"/>
    </row>
    <row x14ac:dyDescent="0.25" r="283" customHeight="1" ht="17.25">
      <c r="A283" s="1"/>
      <c r="B283" s="2" t="s">
        <v>419</v>
      </c>
      <c r="C283" s="3"/>
      <c r="D283" s="4"/>
      <c r="E283" s="4"/>
    </row>
    <row x14ac:dyDescent="0.25" r="284" customHeight="1" ht="17.25">
      <c r="A284" s="7">
        <v>45913</v>
      </c>
      <c r="B284" s="9" t="s">
        <v>289</v>
      </c>
      <c r="C284" s="6">
        <v>1</v>
      </c>
      <c r="D284" s="4"/>
      <c r="E284" s="6">
        <v>1</v>
      </c>
    </row>
    <row x14ac:dyDescent="0.25" r="285" customHeight="1" ht="17.25">
      <c r="A285" s="7">
        <v>45915</v>
      </c>
      <c r="B285" s="9" t="s">
        <v>376</v>
      </c>
      <c r="C285" s="6">
        <v>9</v>
      </c>
      <c r="D285" s="4"/>
      <c r="E285" s="6">
        <v>10</v>
      </c>
    </row>
    <row x14ac:dyDescent="0.25" r="286" customHeight="1" ht="17.25">
      <c r="A286" s="7">
        <v>45916</v>
      </c>
      <c r="B286" s="9" t="s">
        <v>63</v>
      </c>
      <c r="C286" s="6">
        <v>49</v>
      </c>
      <c r="D286" s="4"/>
      <c r="E286" s="6">
        <v>59</v>
      </c>
    </row>
    <row x14ac:dyDescent="0.25" r="287" customHeight="1" ht="17.25">
      <c r="A287" s="7">
        <v>45916</v>
      </c>
      <c r="B287" s="9" t="s">
        <v>391</v>
      </c>
      <c r="C287" s="3"/>
      <c r="D287" s="6">
        <v>30</v>
      </c>
      <c r="E287" s="6">
        <f>E286+C287-D287</f>
      </c>
    </row>
    <row x14ac:dyDescent="0.25" r="288" customHeight="1" ht="17.25">
      <c r="A288" s="8">
        <v>45916</v>
      </c>
      <c r="B288" s="9" t="s">
        <v>228</v>
      </c>
      <c r="C288" s="6">
        <v>10</v>
      </c>
      <c r="D288" s="4"/>
      <c r="E288" s="6">
        <f>E287+C288-D288</f>
      </c>
    </row>
    <row x14ac:dyDescent="0.25" r="289" customHeight="1" ht="17.25">
      <c r="A289" s="7">
        <v>45916</v>
      </c>
      <c r="B289" s="9" t="s">
        <v>208</v>
      </c>
      <c r="C289" s="6">
        <v>9</v>
      </c>
      <c r="D289" s="4"/>
      <c r="E289" s="6">
        <f>E288+C289-D289</f>
      </c>
    </row>
    <row x14ac:dyDescent="0.25" r="290" customHeight="1" ht="17.25">
      <c r="A290" s="7">
        <v>45917</v>
      </c>
      <c r="B290" s="9" t="s">
        <v>233</v>
      </c>
      <c r="C290" s="3"/>
      <c r="D290" s="6">
        <v>10</v>
      </c>
      <c r="E290" s="6">
        <f>E289+C290-D290</f>
      </c>
    </row>
    <row x14ac:dyDescent="0.25" r="291" customHeight="1" ht="17.25">
      <c r="A291" s="7">
        <v>45917</v>
      </c>
      <c r="B291" s="9" t="s">
        <v>316</v>
      </c>
      <c r="C291" s="3"/>
      <c r="D291" s="6">
        <v>15</v>
      </c>
      <c r="E291" s="6">
        <f>E290+C291-D291</f>
      </c>
    </row>
    <row x14ac:dyDescent="0.25" r="292" customHeight="1" ht="17.25">
      <c r="A292" s="7">
        <v>45918</v>
      </c>
      <c r="B292" s="9" t="s">
        <v>311</v>
      </c>
      <c r="C292" s="3"/>
      <c r="D292" s="6">
        <v>4</v>
      </c>
      <c r="E292" s="6">
        <f>E291+C292-D292</f>
      </c>
    </row>
    <row x14ac:dyDescent="0.25" r="293" customHeight="1" ht="17.25">
      <c r="A293" s="7">
        <v>45919</v>
      </c>
      <c r="B293" s="9" t="s">
        <v>311</v>
      </c>
      <c r="C293" s="3"/>
      <c r="D293" s="6">
        <v>10</v>
      </c>
      <c r="E293" s="6">
        <f>E292+C293-D293</f>
      </c>
    </row>
    <row x14ac:dyDescent="0.25" r="294" customHeight="1" ht="17.25">
      <c r="A294" s="7">
        <v>45922</v>
      </c>
      <c r="B294" s="9" t="s">
        <v>311</v>
      </c>
      <c r="C294" s="3"/>
      <c r="D294" s="6">
        <v>11</v>
      </c>
      <c r="E294" s="6">
        <f>E293+C294-D294</f>
      </c>
    </row>
    <row x14ac:dyDescent="0.25" r="295" customHeight="1" ht="17.25">
      <c r="A295" s="7">
        <v>45922</v>
      </c>
      <c r="B295" s="9" t="s">
        <v>35</v>
      </c>
      <c r="C295" s="6">
        <v>6</v>
      </c>
      <c r="D295" s="4"/>
      <c r="E295" s="6">
        <f>E294+C295-D295</f>
      </c>
    </row>
    <row x14ac:dyDescent="0.25" r="296" customHeight="1" ht="17.25">
      <c r="A296" s="7">
        <v>45923</v>
      </c>
      <c r="B296" s="9" t="s">
        <v>389</v>
      </c>
      <c r="C296" s="6">
        <v>19</v>
      </c>
      <c r="D296" s="4"/>
      <c r="E296" s="6">
        <f>E295+C296-D296</f>
      </c>
    </row>
    <row x14ac:dyDescent="0.25" r="297" customHeight="1" ht="17.25">
      <c r="A297" s="8">
        <v>45924</v>
      </c>
      <c r="B297" s="9" t="s">
        <v>42</v>
      </c>
      <c r="C297" s="6">
        <v>3</v>
      </c>
      <c r="D297" s="4"/>
      <c r="E297" s="6">
        <f>E296+C297-D297</f>
      </c>
    </row>
    <row x14ac:dyDescent="0.25" r="298" customHeight="1" ht="17.25">
      <c r="A298" s="8">
        <v>45925</v>
      </c>
      <c r="B298" s="9" t="s">
        <v>233</v>
      </c>
      <c r="C298" s="3"/>
      <c r="D298" s="6">
        <v>25</v>
      </c>
      <c r="E298" s="6">
        <f>E297+C298-D298</f>
      </c>
    </row>
    <row x14ac:dyDescent="0.25" r="299" customHeight="1" ht="17.25">
      <c r="A299" s="7">
        <v>45926</v>
      </c>
      <c r="B299" s="9" t="s">
        <v>2</v>
      </c>
      <c r="C299" s="6">
        <v>17</v>
      </c>
      <c r="D299" s="4"/>
      <c r="E299" s="6">
        <f>E298+C299-D299</f>
      </c>
    </row>
    <row x14ac:dyDescent="0.25" r="300" customHeight="1" ht="17.25">
      <c r="A300" s="7">
        <v>45927</v>
      </c>
      <c r="B300" s="9" t="s">
        <v>418</v>
      </c>
      <c r="C300" s="6">
        <v>2</v>
      </c>
      <c r="D300" s="4"/>
      <c r="E300" s="6">
        <f>E299+C300-D300</f>
      </c>
    </row>
    <row x14ac:dyDescent="0.25" r="301" customHeight="1" ht="17.25">
      <c r="A301" s="7">
        <v>45929</v>
      </c>
      <c r="B301" s="9" t="s">
        <v>63</v>
      </c>
      <c r="C301" s="6">
        <v>30</v>
      </c>
      <c r="D301" s="4"/>
      <c r="E301" s="6">
        <f>E300+C301-D301</f>
      </c>
    </row>
    <row x14ac:dyDescent="0.25" r="302" customHeight="1" ht="17.25">
      <c r="A302" s="7">
        <v>45930</v>
      </c>
      <c r="B302" s="9" t="s">
        <v>233</v>
      </c>
      <c r="C302" s="3"/>
      <c r="D302" s="6">
        <v>35</v>
      </c>
      <c r="E302" s="6">
        <f>E301+C302-D302</f>
      </c>
    </row>
    <row x14ac:dyDescent="0.25" r="303" customHeight="1" ht="17.25">
      <c r="A303" s="7">
        <v>45930</v>
      </c>
      <c r="B303" s="9" t="s">
        <v>376</v>
      </c>
      <c r="C303" s="6">
        <v>1</v>
      </c>
      <c r="D303" s="4"/>
      <c r="E303" s="6">
        <f>E302+C303-D303</f>
      </c>
    </row>
    <row x14ac:dyDescent="0.25" r="304" customHeight="1" ht="17.25">
      <c r="A304" s="7">
        <v>45930</v>
      </c>
      <c r="B304" s="9" t="s">
        <v>63</v>
      </c>
      <c r="C304" s="6">
        <v>21</v>
      </c>
      <c r="D304" s="4"/>
      <c r="E304" s="6">
        <f>E303+C304-D304</f>
      </c>
    </row>
    <row x14ac:dyDescent="0.25" r="305" customHeight="1" ht="17.25">
      <c r="A305" s="7">
        <v>45931</v>
      </c>
      <c r="B305" s="9" t="s">
        <v>376</v>
      </c>
      <c r="C305" s="6">
        <v>2</v>
      </c>
      <c r="D305" s="4"/>
      <c r="E305" s="6">
        <f>E304+C305-D305</f>
      </c>
    </row>
    <row x14ac:dyDescent="0.25" r="306" customHeight="1" ht="17.25">
      <c r="A306" s="8">
        <v>45932</v>
      </c>
      <c r="B306" s="9" t="s">
        <v>184</v>
      </c>
      <c r="C306" s="6">
        <v>18</v>
      </c>
      <c r="D306" s="4"/>
      <c r="E306" s="6">
        <f>E305+C306-D306</f>
      </c>
    </row>
    <row x14ac:dyDescent="0.25" r="307" customHeight="1" ht="17.25">
      <c r="A307" s="7">
        <v>45933</v>
      </c>
      <c r="B307" s="9" t="s">
        <v>63</v>
      </c>
      <c r="C307" s="6">
        <v>50</v>
      </c>
      <c r="D307" s="4"/>
      <c r="E307" s="6">
        <f>E306+C307-D307</f>
      </c>
    </row>
    <row x14ac:dyDescent="0.25" r="308" customHeight="1" ht="17.25">
      <c r="A308" s="7">
        <v>45933</v>
      </c>
      <c r="B308" s="9" t="s">
        <v>46</v>
      </c>
      <c r="C308" s="3"/>
      <c r="D308" s="6">
        <v>70</v>
      </c>
      <c r="E308" s="6">
        <f>E307+C308-D308</f>
      </c>
    </row>
    <row x14ac:dyDescent="0.25" r="309" customHeight="1" ht="17.25">
      <c r="A309" s="7">
        <v>45933</v>
      </c>
      <c r="B309" s="9" t="s">
        <v>316</v>
      </c>
      <c r="C309" s="3"/>
      <c r="D309" s="6">
        <v>25</v>
      </c>
      <c r="E309" s="6">
        <f>E308+C309-D309</f>
      </c>
    </row>
    <row x14ac:dyDescent="0.25" r="310" customHeight="1" ht="17.25">
      <c r="A310" s="7">
        <v>45934</v>
      </c>
      <c r="B310" s="9" t="s">
        <v>46</v>
      </c>
      <c r="C310" s="3"/>
      <c r="D310" s="6">
        <v>61</v>
      </c>
      <c r="E310" s="6">
        <f>E309+C310-D310</f>
      </c>
    </row>
    <row x14ac:dyDescent="0.25" r="311" customHeight="1" ht="17.25">
      <c r="A311" s="7">
        <v>45937</v>
      </c>
      <c r="B311" s="9" t="s">
        <v>315</v>
      </c>
      <c r="C311" s="3"/>
      <c r="D311" s="6">
        <v>5</v>
      </c>
      <c r="E311" s="6">
        <f>E310+C311-D311</f>
      </c>
    </row>
    <row x14ac:dyDescent="0.25" r="312" customHeight="1" ht="17.25">
      <c r="A312" s="7">
        <v>45937</v>
      </c>
      <c r="B312" s="9" t="s">
        <v>63</v>
      </c>
      <c r="C312" s="6">
        <v>30</v>
      </c>
      <c r="D312" s="4"/>
      <c r="E312" s="6">
        <f>E311+C312-D312</f>
      </c>
    </row>
    <row x14ac:dyDescent="0.25" r="313" customHeight="1" ht="17.25">
      <c r="A313" s="8">
        <v>45938</v>
      </c>
      <c r="B313" s="9" t="s">
        <v>313</v>
      </c>
      <c r="C313" s="3"/>
      <c r="D313" s="6">
        <v>5</v>
      </c>
      <c r="E313" s="6">
        <f>E312+C313-D313</f>
      </c>
    </row>
    <row x14ac:dyDescent="0.25" r="314" customHeight="1" ht="17.25">
      <c r="A314" s="7">
        <v>45938</v>
      </c>
      <c r="B314" s="9" t="s">
        <v>316</v>
      </c>
      <c r="C314" s="3"/>
      <c r="D314" s="6">
        <v>21</v>
      </c>
      <c r="E314" s="6">
        <f>E313+C314-D314</f>
      </c>
    </row>
    <row x14ac:dyDescent="0.25" r="315" customHeight="1" ht="17.25">
      <c r="A315" s="7">
        <v>45939</v>
      </c>
      <c r="B315" s="9" t="s">
        <v>63</v>
      </c>
      <c r="C315" s="6">
        <v>50</v>
      </c>
      <c r="D315" s="4"/>
      <c r="E315" s="6">
        <f>E314+C315-D315</f>
      </c>
    </row>
    <row x14ac:dyDescent="0.25" r="316" customHeight="1" ht="17.25">
      <c r="A316" s="7">
        <v>45939</v>
      </c>
      <c r="B316" s="9" t="s">
        <v>316</v>
      </c>
      <c r="C316" s="3"/>
      <c r="D316" s="6">
        <v>20</v>
      </c>
      <c r="E316" s="6">
        <f>E315+C316-D316</f>
      </c>
    </row>
    <row x14ac:dyDescent="0.25" r="317" customHeight="1" ht="17.25">
      <c r="A317" s="7">
        <v>45939</v>
      </c>
      <c r="B317" s="9" t="s">
        <v>233</v>
      </c>
      <c r="C317" s="3"/>
      <c r="D317" s="6">
        <v>30</v>
      </c>
      <c r="E317" s="6">
        <f>E316+C317-D317</f>
      </c>
    </row>
    <row x14ac:dyDescent="0.25" r="318" customHeight="1" ht="17.25">
      <c r="A318" s="8">
        <v>45939</v>
      </c>
      <c r="B318" s="9" t="s">
        <v>182</v>
      </c>
      <c r="C318" s="6">
        <v>1</v>
      </c>
      <c r="D318" s="4"/>
      <c r="E318" s="4"/>
    </row>
    <row x14ac:dyDescent="0.25" r="319" customHeight="1" ht="17.25">
      <c r="A319" s="7">
        <v>45941</v>
      </c>
      <c r="B319" s="9" t="s">
        <v>316</v>
      </c>
      <c r="C319" s="3"/>
      <c r="D319" s="6">
        <v>5</v>
      </c>
      <c r="E319" s="4"/>
    </row>
    <row x14ac:dyDescent="0.25" r="320" customHeight="1" ht="17.25">
      <c r="A320" s="8">
        <v>45941</v>
      </c>
      <c r="B320" s="9" t="s">
        <v>184</v>
      </c>
      <c r="C320" s="6">
        <v>4</v>
      </c>
      <c r="D320" s="4"/>
      <c r="E320" s="4"/>
    </row>
    <row x14ac:dyDescent="0.25" r="321" customHeight="1" ht="17.25">
      <c r="A321" s="7">
        <v>45943</v>
      </c>
      <c r="B321" s="9" t="s">
        <v>63</v>
      </c>
      <c r="C321" s="6">
        <v>60</v>
      </c>
      <c r="D321" s="4"/>
      <c r="E321" s="6">
        <v>60</v>
      </c>
    </row>
    <row x14ac:dyDescent="0.25" r="322" customHeight="1" ht="17.25">
      <c r="A322" s="7">
        <v>45943</v>
      </c>
      <c r="B322" s="9" t="s">
        <v>316</v>
      </c>
      <c r="C322" s="3"/>
      <c r="D322" s="6">
        <v>50</v>
      </c>
      <c r="E322" s="6">
        <f>E321+C322-D322</f>
      </c>
    </row>
    <row x14ac:dyDescent="0.25" r="323" customHeight="1" ht="17.25">
      <c r="A323" s="8">
        <v>45944</v>
      </c>
      <c r="B323" s="9" t="s">
        <v>283</v>
      </c>
      <c r="C323" s="6">
        <v>8</v>
      </c>
      <c r="D323" s="4"/>
      <c r="E323" s="6">
        <f>E322+C323-D323</f>
      </c>
    </row>
    <row x14ac:dyDescent="0.25" r="324" customHeight="1" ht="17.25">
      <c r="A324" s="7">
        <v>45946</v>
      </c>
      <c r="B324" s="9" t="s">
        <v>420</v>
      </c>
      <c r="C324" s="3"/>
      <c r="D324" s="6">
        <v>10</v>
      </c>
      <c r="E324" s="6">
        <f>E323+C324-D324</f>
      </c>
    </row>
    <row x14ac:dyDescent="0.25" r="325" customHeight="1" ht="17.25">
      <c r="A325" s="8">
        <v>45946</v>
      </c>
      <c r="B325" s="9" t="s">
        <v>141</v>
      </c>
      <c r="C325" s="6">
        <v>4</v>
      </c>
      <c r="D325" s="4"/>
      <c r="E325" s="6">
        <f>E324+C325-D325</f>
      </c>
    </row>
    <row x14ac:dyDescent="0.25" r="326" customHeight="1" ht="17.25">
      <c r="A326" s="7">
        <v>45947</v>
      </c>
      <c r="B326" s="9" t="s">
        <v>63</v>
      </c>
      <c r="C326" s="6">
        <v>20</v>
      </c>
      <c r="D326" s="4"/>
      <c r="E326" s="6">
        <f>E325+C326-D326</f>
      </c>
    </row>
    <row x14ac:dyDescent="0.25" r="327" customHeight="1" ht="17.25">
      <c r="A327" s="8">
        <v>45947</v>
      </c>
      <c r="B327" s="9" t="s">
        <v>7</v>
      </c>
      <c r="C327" s="6">
        <v>18</v>
      </c>
      <c r="D327" s="4"/>
      <c r="E327" s="6">
        <f>E326+C327-D327</f>
      </c>
    </row>
    <row x14ac:dyDescent="0.25" r="328" customHeight="1" ht="17.25">
      <c r="A328" s="8">
        <v>45947</v>
      </c>
      <c r="B328" s="9" t="s">
        <v>389</v>
      </c>
      <c r="C328" s="6">
        <v>33</v>
      </c>
      <c r="D328" s="4"/>
      <c r="E328" s="6">
        <f>E327+C328-D328</f>
      </c>
    </row>
    <row x14ac:dyDescent="0.25" r="329" customHeight="1" ht="17.25">
      <c r="A329" s="7">
        <v>45948</v>
      </c>
      <c r="B329" s="9" t="s">
        <v>46</v>
      </c>
      <c r="C329" s="3"/>
      <c r="D329" s="6">
        <v>20</v>
      </c>
      <c r="E329" s="6">
        <f>E328+C329-D329</f>
      </c>
    </row>
    <row x14ac:dyDescent="0.25" r="330" customHeight="1" ht="17.25">
      <c r="A330" s="8">
        <v>45948</v>
      </c>
      <c r="B330" s="9" t="s">
        <v>2</v>
      </c>
      <c r="C330" s="6">
        <v>1</v>
      </c>
      <c r="D330" s="4"/>
      <c r="E330" s="6">
        <f>E329+C330-D330</f>
      </c>
    </row>
    <row x14ac:dyDescent="0.25" r="331" customHeight="1" ht="17.25">
      <c r="A331" s="7">
        <v>45950</v>
      </c>
      <c r="B331" s="9" t="s">
        <v>7</v>
      </c>
      <c r="C331" s="6">
        <v>18</v>
      </c>
      <c r="D331" s="4"/>
      <c r="E331" s="6">
        <f>E330+C331-D331</f>
      </c>
    </row>
    <row x14ac:dyDescent="0.25" r="332" customHeight="1" ht="17.25">
      <c r="A332" s="7">
        <v>45951</v>
      </c>
      <c r="B332" s="9" t="s">
        <v>316</v>
      </c>
      <c r="C332" s="3"/>
      <c r="D332" s="6">
        <v>30</v>
      </c>
      <c r="E332" s="6">
        <f>E331+C332-D332</f>
      </c>
    </row>
    <row x14ac:dyDescent="0.25" r="333" customHeight="1" ht="17.25">
      <c r="A333" s="7">
        <v>45951</v>
      </c>
      <c r="B333" s="9" t="s">
        <v>7</v>
      </c>
      <c r="C333" s="6">
        <v>1</v>
      </c>
      <c r="D333" s="4"/>
      <c r="E333" s="6">
        <f>E332+C333-D333</f>
      </c>
    </row>
    <row x14ac:dyDescent="0.25" r="334" customHeight="1" ht="17.25">
      <c r="A334" s="7">
        <v>45951</v>
      </c>
      <c r="B334" s="9" t="s">
        <v>3</v>
      </c>
      <c r="C334" s="6">
        <v>3</v>
      </c>
      <c r="D334" s="4"/>
      <c r="E334" s="6">
        <f>E333+C334-D334</f>
      </c>
    </row>
    <row x14ac:dyDescent="0.25" r="335" customHeight="1" ht="17.25">
      <c r="A335" s="7">
        <v>45952</v>
      </c>
      <c r="B335" s="9" t="s">
        <v>233</v>
      </c>
      <c r="C335" s="3"/>
      <c r="D335" s="6">
        <v>50</v>
      </c>
      <c r="E335" s="6">
        <f>E334+C335-D335</f>
      </c>
    </row>
    <row x14ac:dyDescent="0.25" r="336" customHeight="1" ht="17.25">
      <c r="A336" s="7">
        <v>45952</v>
      </c>
      <c r="B336" s="9" t="s">
        <v>313</v>
      </c>
      <c r="C336" s="3"/>
      <c r="D336" s="6">
        <v>5</v>
      </c>
      <c r="E336" s="6">
        <f>E335+C336-D336</f>
      </c>
    </row>
    <row x14ac:dyDescent="0.25" r="337" customHeight="1" ht="17.25">
      <c r="A337" s="7">
        <v>45953</v>
      </c>
      <c r="B337" s="9" t="s">
        <v>63</v>
      </c>
      <c r="C337" s="6">
        <v>40</v>
      </c>
      <c r="D337" s="4"/>
      <c r="E337" s="6">
        <f>E336+C337-D337</f>
      </c>
    </row>
    <row x14ac:dyDescent="0.25" r="338" customHeight="1" ht="17.25">
      <c r="A338" s="7">
        <v>45953</v>
      </c>
      <c r="B338" s="9" t="s">
        <v>316</v>
      </c>
      <c r="C338" s="3"/>
      <c r="D338" s="6">
        <v>15</v>
      </c>
      <c r="E338" s="4"/>
    </row>
    <row x14ac:dyDescent="0.25" r="339" customHeight="1" ht="17.25">
      <c r="A339" s="7">
        <v>45953</v>
      </c>
      <c r="B339" s="9" t="s">
        <v>233</v>
      </c>
      <c r="C339" s="3"/>
      <c r="D339" s="6">
        <v>25</v>
      </c>
      <c r="E339" s="6">
        <v>1</v>
      </c>
    </row>
    <row x14ac:dyDescent="0.25" r="340" customHeight="1" ht="17.25">
      <c r="A340" s="7">
        <v>45953</v>
      </c>
      <c r="B340" s="9" t="s">
        <v>47</v>
      </c>
      <c r="C340" s="6">
        <v>2</v>
      </c>
      <c r="D340" s="4"/>
      <c r="E340" s="6">
        <v>3</v>
      </c>
    </row>
    <row x14ac:dyDescent="0.25" r="341" customHeight="1" ht="17.25">
      <c r="A341" s="7">
        <v>45954</v>
      </c>
      <c r="B341" s="9" t="s">
        <v>389</v>
      </c>
      <c r="C341" s="6">
        <v>7</v>
      </c>
      <c r="D341" s="4"/>
      <c r="E341" s="6">
        <v>10</v>
      </c>
    </row>
    <row x14ac:dyDescent="0.25" r="342" customHeight="1" ht="17.25">
      <c r="A342" s="7">
        <v>45954</v>
      </c>
      <c r="B342" s="2" t="s">
        <v>421</v>
      </c>
      <c r="C342" s="3"/>
      <c r="D342" s="6">
        <v>6</v>
      </c>
      <c r="E342" s="4"/>
    </row>
    <row x14ac:dyDescent="0.25" r="343" customHeight="1" ht="17.25">
      <c r="A343" s="7">
        <v>45954</v>
      </c>
      <c r="B343" s="2" t="s">
        <v>243</v>
      </c>
      <c r="C343" s="3"/>
      <c r="D343" s="6">
        <v>3</v>
      </c>
      <c r="E343" s="6">
        <v>1</v>
      </c>
    </row>
    <row x14ac:dyDescent="0.25" r="344" customHeight="1" ht="17.25">
      <c r="A344" s="1"/>
      <c r="B344" s="2" t="s">
        <v>422</v>
      </c>
      <c r="C344" s="3"/>
      <c r="D344" s="4"/>
      <c r="E344" s="4"/>
    </row>
    <row x14ac:dyDescent="0.25" r="345" customHeight="1" ht="17.25">
      <c r="A345" s="7">
        <v>45955</v>
      </c>
      <c r="B345" s="2" t="s">
        <v>63</v>
      </c>
      <c r="C345" s="6">
        <v>70</v>
      </c>
      <c r="D345" s="4"/>
      <c r="E345" s="4"/>
    </row>
    <row x14ac:dyDescent="0.25" r="346" customHeight="1" ht="17.25">
      <c r="A346" s="7">
        <v>45955</v>
      </c>
      <c r="B346" s="2" t="s">
        <v>243</v>
      </c>
      <c r="C346" s="3"/>
      <c r="D346" s="6">
        <v>20</v>
      </c>
      <c r="E346" s="4"/>
    </row>
    <row x14ac:dyDescent="0.25" r="347" customHeight="1" ht="17.25">
      <c r="A347" s="7">
        <v>45956</v>
      </c>
      <c r="B347" s="2" t="s">
        <v>315</v>
      </c>
      <c r="C347" s="3"/>
      <c r="D347" s="6">
        <v>50</v>
      </c>
      <c r="E347" s="4"/>
    </row>
    <row x14ac:dyDescent="0.25" r="348" customHeight="1" ht="17.25">
      <c r="A348" s="7">
        <v>45957</v>
      </c>
      <c r="B348" s="2" t="s">
        <v>63</v>
      </c>
      <c r="C348" s="6">
        <v>80</v>
      </c>
      <c r="D348" s="4"/>
      <c r="E348" s="4"/>
    </row>
    <row x14ac:dyDescent="0.25" r="349" customHeight="1" ht="17.25">
      <c r="A349" s="7">
        <v>45957</v>
      </c>
      <c r="B349" s="2" t="s">
        <v>243</v>
      </c>
      <c r="C349" s="3"/>
      <c r="D349" s="6">
        <v>77</v>
      </c>
      <c r="E349" s="6">
        <v>3</v>
      </c>
    </row>
    <row x14ac:dyDescent="0.25" r="350" customHeight="1" ht="17.25">
      <c r="A350" s="7">
        <v>45957</v>
      </c>
      <c r="B350" s="2" t="s">
        <v>141</v>
      </c>
      <c r="C350" s="6">
        <v>3</v>
      </c>
      <c r="D350" s="4"/>
      <c r="E350" s="6">
        <f>E349+C350-D350</f>
      </c>
    </row>
    <row x14ac:dyDescent="0.25" r="351" customHeight="1" ht="17.25">
      <c r="A351" s="7">
        <v>45958</v>
      </c>
      <c r="B351" s="2" t="s">
        <v>7</v>
      </c>
      <c r="C351" s="6">
        <v>22</v>
      </c>
      <c r="D351" s="4"/>
      <c r="E351" s="6">
        <f>E350+C351-D351</f>
      </c>
    </row>
    <row x14ac:dyDescent="0.25" r="352" customHeight="1" ht="17.25">
      <c r="A352" s="8">
        <v>45958</v>
      </c>
      <c r="B352" s="9" t="s">
        <v>3</v>
      </c>
      <c r="C352" s="6">
        <v>3</v>
      </c>
      <c r="D352" s="4"/>
      <c r="E352" s="6">
        <f>E351+C352-D352</f>
      </c>
    </row>
    <row x14ac:dyDescent="0.25" r="353" customHeight="1" ht="17.25">
      <c r="A353" s="8">
        <v>45959</v>
      </c>
      <c r="B353" s="9" t="s">
        <v>389</v>
      </c>
      <c r="C353" s="6">
        <v>8</v>
      </c>
      <c r="D353" s="4"/>
      <c r="E353" s="6">
        <f>E352+C353-D353</f>
      </c>
    </row>
    <row x14ac:dyDescent="0.25" r="354" customHeight="1" ht="17.25">
      <c r="A354" s="8">
        <v>45962</v>
      </c>
      <c r="B354" s="9" t="s">
        <v>3</v>
      </c>
      <c r="C354" s="6">
        <v>2</v>
      </c>
      <c r="D354" s="4"/>
      <c r="E354" s="6">
        <f>E353+C354-D354</f>
      </c>
    </row>
    <row x14ac:dyDescent="0.25" r="355" customHeight="1" ht="17.25">
      <c r="A355" s="8">
        <v>45964</v>
      </c>
      <c r="B355" s="9" t="s">
        <v>423</v>
      </c>
      <c r="C355" s="3"/>
      <c r="D355" s="6">
        <v>4</v>
      </c>
      <c r="E355" s="6">
        <f>E354+C355-D355</f>
      </c>
    </row>
    <row x14ac:dyDescent="0.25" r="356" customHeight="1" ht="17.25">
      <c r="A356" s="8">
        <v>45965</v>
      </c>
      <c r="B356" s="9" t="s">
        <v>424</v>
      </c>
      <c r="C356" s="3"/>
      <c r="D356" s="6">
        <v>28</v>
      </c>
      <c r="E356" s="6">
        <f>E355+C356-D356</f>
      </c>
    </row>
    <row x14ac:dyDescent="0.25" r="357" customHeight="1" ht="17.25">
      <c r="A357" s="7">
        <v>45966</v>
      </c>
      <c r="B357" s="9" t="s">
        <v>424</v>
      </c>
      <c r="C357" s="3"/>
      <c r="D357" s="6">
        <v>9</v>
      </c>
      <c r="E357" s="6">
        <f>E356+C357-D357</f>
      </c>
    </row>
    <row x14ac:dyDescent="0.25" r="358" customHeight="1" ht="17.25">
      <c r="A358" s="8">
        <v>45966</v>
      </c>
      <c r="B358" s="9" t="s">
        <v>184</v>
      </c>
      <c r="C358" s="6">
        <v>8</v>
      </c>
      <c r="D358" s="4"/>
      <c r="E358" s="6">
        <f>E357+C358-D358</f>
      </c>
    </row>
    <row x14ac:dyDescent="0.25" r="359" customHeight="1" ht="17.25">
      <c r="A359" s="8">
        <v>45966</v>
      </c>
      <c r="B359" s="9" t="s">
        <v>3</v>
      </c>
      <c r="C359" s="6">
        <v>1</v>
      </c>
      <c r="D359" s="4"/>
      <c r="E359" s="6">
        <f>E358+C359-D359</f>
      </c>
    </row>
    <row x14ac:dyDescent="0.25" r="360" customHeight="1" ht="17.25">
      <c r="A360" s="8">
        <v>45967</v>
      </c>
      <c r="B360" s="9" t="s">
        <v>46</v>
      </c>
      <c r="C360" s="3"/>
      <c r="D360" s="6">
        <v>9</v>
      </c>
      <c r="E360" s="6">
        <f>E359+C360-D360</f>
      </c>
    </row>
    <row x14ac:dyDescent="0.25" r="361" customHeight="1" ht="17.25">
      <c r="A361" s="8">
        <v>45967</v>
      </c>
      <c r="B361" s="9" t="s">
        <v>283</v>
      </c>
      <c r="C361" s="6">
        <v>5</v>
      </c>
      <c r="D361" s="4"/>
      <c r="E361" s="6">
        <f>E360+C361-D361</f>
      </c>
    </row>
    <row x14ac:dyDescent="0.25" r="362" customHeight="1" ht="17.25">
      <c r="A362" s="7">
        <v>45968</v>
      </c>
      <c r="B362" s="9" t="s">
        <v>316</v>
      </c>
      <c r="C362" s="3"/>
      <c r="D362" s="6">
        <v>5</v>
      </c>
      <c r="E362" s="6">
        <f>E361+C362-D362</f>
      </c>
    </row>
    <row x14ac:dyDescent="0.25" r="363" customHeight="1" ht="17.25">
      <c r="A363" s="7">
        <v>45968</v>
      </c>
      <c r="B363" s="9" t="s">
        <v>63</v>
      </c>
      <c r="C363" s="6">
        <v>31</v>
      </c>
      <c r="D363" s="4"/>
      <c r="E363" s="6">
        <f>E362+C363-D363</f>
      </c>
    </row>
    <row x14ac:dyDescent="0.25" r="364" customHeight="1" ht="17.25">
      <c r="A364" s="7">
        <v>45968</v>
      </c>
      <c r="B364" s="9" t="s">
        <v>52</v>
      </c>
      <c r="C364" s="6">
        <v>13</v>
      </c>
      <c r="D364" s="4"/>
      <c r="E364" s="6">
        <f>E363+C364-D364</f>
      </c>
    </row>
    <row x14ac:dyDescent="0.25" r="365" customHeight="1" ht="17.25">
      <c r="A365" s="7">
        <v>45968</v>
      </c>
      <c r="B365" s="9" t="s">
        <v>100</v>
      </c>
      <c r="C365" s="6">
        <v>12</v>
      </c>
      <c r="D365" s="4"/>
      <c r="E365" s="6">
        <f>E364+C365-D365</f>
      </c>
    </row>
    <row x14ac:dyDescent="0.25" r="366" customHeight="1" ht="17.25">
      <c r="A366" s="7">
        <v>45971</v>
      </c>
      <c r="B366" s="9" t="s">
        <v>424</v>
      </c>
      <c r="C366" s="3"/>
      <c r="D366" s="6">
        <v>3</v>
      </c>
      <c r="E366" s="6">
        <f>E365+C366-D366</f>
      </c>
    </row>
    <row x14ac:dyDescent="0.25" r="367" customHeight="1" ht="17.25">
      <c r="A367" s="7">
        <v>45971</v>
      </c>
      <c r="B367" s="9" t="s">
        <v>316</v>
      </c>
      <c r="C367" s="3"/>
      <c r="D367" s="6">
        <v>39</v>
      </c>
      <c r="E367" s="6">
        <f>E366+C367-D367</f>
      </c>
    </row>
    <row x14ac:dyDescent="0.25" r="368" customHeight="1" ht="17.25">
      <c r="A368" s="7">
        <v>45971</v>
      </c>
      <c r="B368" s="9" t="s">
        <v>316</v>
      </c>
      <c r="C368" s="3"/>
      <c r="D368" s="6">
        <v>15</v>
      </c>
      <c r="E368" s="6">
        <v>0</v>
      </c>
    </row>
    <row x14ac:dyDescent="0.25" r="369" customHeight="1" ht="17.25">
      <c r="A369" s="7">
        <v>45972</v>
      </c>
      <c r="B369" s="9" t="s">
        <v>63</v>
      </c>
      <c r="C369" s="6">
        <v>20</v>
      </c>
      <c r="D369" s="4"/>
      <c r="E369" s="4"/>
    </row>
    <row x14ac:dyDescent="0.25" r="370" customHeight="1" ht="17.25">
      <c r="A370" s="7">
        <v>45973</v>
      </c>
      <c r="B370" s="9" t="s">
        <v>313</v>
      </c>
      <c r="C370" s="3"/>
      <c r="D370" s="6">
        <v>20</v>
      </c>
      <c r="E370" s="4"/>
    </row>
    <row x14ac:dyDescent="0.25" r="371" customHeight="1" ht="17.25">
      <c r="A371" s="8">
        <v>45974</v>
      </c>
      <c r="B371" s="9" t="s">
        <v>29</v>
      </c>
      <c r="C371" s="6">
        <v>5</v>
      </c>
      <c r="D371" s="4"/>
      <c r="E371" s="6">
        <v>5</v>
      </c>
    </row>
    <row x14ac:dyDescent="0.25" r="372" customHeight="1" ht="17.25">
      <c r="A372" s="8">
        <v>45974</v>
      </c>
      <c r="B372" s="9" t="s">
        <v>228</v>
      </c>
      <c r="C372" s="6">
        <v>4</v>
      </c>
      <c r="D372" s="4"/>
      <c r="E372" s="6">
        <f>E371+C372-D372</f>
      </c>
    </row>
    <row x14ac:dyDescent="0.25" r="373" customHeight="1" ht="17.25">
      <c r="A373" s="7">
        <v>45975</v>
      </c>
      <c r="B373" s="9" t="s">
        <v>391</v>
      </c>
      <c r="C373" s="6">
        <v>13</v>
      </c>
      <c r="D373" s="4"/>
      <c r="E373" s="6">
        <f>E372+C373-D373</f>
      </c>
    </row>
    <row x14ac:dyDescent="0.25" r="374" customHeight="1" ht="17.25">
      <c r="A374" s="7">
        <v>45975</v>
      </c>
      <c r="B374" s="9" t="s">
        <v>100</v>
      </c>
      <c r="C374" s="6">
        <v>16</v>
      </c>
      <c r="D374" s="4"/>
      <c r="E374" s="6">
        <f>E373+C374-D374</f>
      </c>
    </row>
    <row x14ac:dyDescent="0.25" r="375" customHeight="1" ht="17.25">
      <c r="A375" s="7">
        <v>45978</v>
      </c>
      <c r="B375" s="9" t="s">
        <v>315</v>
      </c>
      <c r="C375" s="6">
        <v>44</v>
      </c>
      <c r="D375" s="4"/>
      <c r="E375" s="6">
        <f>E374+C375-D375</f>
      </c>
    </row>
    <row x14ac:dyDescent="0.25" r="376" customHeight="1" ht="17.25">
      <c r="A376" s="8">
        <v>45979</v>
      </c>
      <c r="B376" s="9" t="s">
        <v>182</v>
      </c>
      <c r="C376" s="6">
        <v>12</v>
      </c>
      <c r="D376" s="4"/>
      <c r="E376" s="6">
        <f>E375+C376-D376</f>
      </c>
    </row>
    <row x14ac:dyDescent="0.25" r="377" customHeight="1" ht="17.25">
      <c r="A377" s="8">
        <v>45979</v>
      </c>
      <c r="B377" s="9" t="s">
        <v>321</v>
      </c>
      <c r="C377" s="6">
        <v>9</v>
      </c>
      <c r="D377" s="4"/>
      <c r="E377" s="6">
        <f>E376+C377-D377</f>
      </c>
    </row>
    <row x14ac:dyDescent="0.25" r="378" customHeight="1" ht="17.25">
      <c r="A378" s="8">
        <v>45980</v>
      </c>
      <c r="B378" s="9" t="s">
        <v>313</v>
      </c>
      <c r="C378" s="3"/>
      <c r="D378" s="6">
        <v>12</v>
      </c>
      <c r="E378" s="6">
        <f>E377+C378-D378</f>
      </c>
    </row>
    <row x14ac:dyDescent="0.25" r="379" customHeight="1" ht="17.25">
      <c r="A379" s="8">
        <v>45985</v>
      </c>
      <c r="B379" s="9" t="s">
        <v>286</v>
      </c>
      <c r="C379" s="3"/>
      <c r="D379" s="6">
        <v>12</v>
      </c>
      <c r="E379" s="6">
        <f>E378+C379-D379</f>
      </c>
    </row>
    <row x14ac:dyDescent="0.25" r="380" customHeight="1" ht="17.25">
      <c r="A380" s="8">
        <v>45985</v>
      </c>
      <c r="B380" s="9" t="s">
        <v>265</v>
      </c>
      <c r="C380" s="6">
        <v>8</v>
      </c>
      <c r="D380" s="4"/>
      <c r="E380" s="6">
        <f>E379+C380-D380</f>
      </c>
    </row>
    <row x14ac:dyDescent="0.25" r="381" customHeight="1" ht="17.25">
      <c r="A381" s="8">
        <v>45985</v>
      </c>
      <c r="B381" s="9" t="s">
        <v>228</v>
      </c>
      <c r="C381" s="6">
        <v>5</v>
      </c>
      <c r="D381" s="4"/>
      <c r="E381" s="6">
        <f>E380+C381-D381</f>
      </c>
    </row>
    <row x14ac:dyDescent="0.25" r="382" customHeight="1" ht="17.25">
      <c r="A382" s="7">
        <v>45987</v>
      </c>
      <c r="B382" s="9" t="s">
        <v>228</v>
      </c>
      <c r="C382" s="6">
        <v>12</v>
      </c>
      <c r="D382" s="4"/>
      <c r="E382" s="6">
        <f>E381+C382-D382</f>
      </c>
    </row>
    <row x14ac:dyDescent="0.25" r="383" customHeight="1" ht="17.25">
      <c r="A383" s="7">
        <v>45988</v>
      </c>
      <c r="B383" s="9" t="s">
        <v>315</v>
      </c>
      <c r="C383" s="6">
        <v>8</v>
      </c>
      <c r="D383" s="4"/>
      <c r="E383" s="6">
        <f>E382+C383-D383</f>
      </c>
    </row>
    <row x14ac:dyDescent="0.25" r="384" customHeight="1" ht="17.25">
      <c r="A384" s="7">
        <v>45990</v>
      </c>
      <c r="B384" s="9" t="s">
        <v>228</v>
      </c>
      <c r="C384" s="6">
        <v>4</v>
      </c>
      <c r="D384" s="4"/>
      <c r="E384" s="6">
        <f>E383+C384-D384</f>
      </c>
    </row>
    <row x14ac:dyDescent="0.25" r="385" customHeight="1" ht="17.25">
      <c r="A385" s="8">
        <v>45992</v>
      </c>
      <c r="B385" s="9" t="s">
        <v>185</v>
      </c>
      <c r="C385" s="3"/>
      <c r="D385" s="6">
        <v>20</v>
      </c>
      <c r="E385" s="6">
        <f>E384+C385-D385</f>
      </c>
    </row>
    <row x14ac:dyDescent="0.25" r="386" customHeight="1" ht="17.25">
      <c r="A386" s="7">
        <v>45992</v>
      </c>
      <c r="B386" s="9" t="s">
        <v>228</v>
      </c>
      <c r="C386" s="6">
        <v>9</v>
      </c>
      <c r="D386" s="4"/>
      <c r="E386" s="6">
        <f>E385+C386-D386</f>
      </c>
    </row>
    <row x14ac:dyDescent="0.25" r="387" customHeight="1" ht="17.25">
      <c r="A387" s="7">
        <v>45993</v>
      </c>
      <c r="B387" s="9" t="s">
        <v>315</v>
      </c>
      <c r="C387" s="6">
        <v>10</v>
      </c>
      <c r="D387" s="4"/>
      <c r="E387" s="6">
        <f>E386+C387-D387</f>
      </c>
    </row>
    <row x14ac:dyDescent="0.25" r="388" customHeight="1" ht="17.25">
      <c r="A388" s="7">
        <v>45994</v>
      </c>
      <c r="B388" s="9" t="s">
        <v>3</v>
      </c>
      <c r="C388" s="6">
        <v>1</v>
      </c>
      <c r="D388" s="4"/>
      <c r="E388" s="6">
        <f>E387+C388-D388</f>
      </c>
    </row>
    <row x14ac:dyDescent="0.25" r="389" customHeight="1" ht="17.25">
      <c r="A389" s="7">
        <v>45994</v>
      </c>
      <c r="B389" s="9" t="s">
        <v>391</v>
      </c>
      <c r="C389" s="6">
        <v>10</v>
      </c>
      <c r="D389" s="4"/>
      <c r="E389" s="6">
        <f>E388+C389-D389</f>
      </c>
    </row>
    <row x14ac:dyDescent="0.25" r="390" customHeight="1" ht="17.25">
      <c r="A390" s="8">
        <v>45995</v>
      </c>
      <c r="B390" s="9" t="s">
        <v>313</v>
      </c>
      <c r="C390" s="3"/>
      <c r="D390" s="6">
        <v>16</v>
      </c>
      <c r="E390" s="6">
        <f>E389+C390-D390</f>
      </c>
    </row>
    <row x14ac:dyDescent="0.25" r="391" customHeight="1" ht="17.25">
      <c r="A391" s="7">
        <v>45996</v>
      </c>
      <c r="B391" s="9" t="s">
        <v>228</v>
      </c>
      <c r="C391" s="6">
        <v>5</v>
      </c>
      <c r="D391" s="4"/>
      <c r="E391" s="6">
        <f>E390+C391-D391</f>
      </c>
    </row>
    <row x14ac:dyDescent="0.25" r="392" customHeight="1" ht="17.25">
      <c r="A392" s="7">
        <v>45999</v>
      </c>
      <c r="B392" s="9" t="s">
        <v>56</v>
      </c>
      <c r="C392" s="3"/>
      <c r="D392" s="6">
        <v>5</v>
      </c>
      <c r="E392" s="6">
        <f>E391+C392-D392</f>
      </c>
    </row>
    <row x14ac:dyDescent="0.25" r="393" customHeight="1" ht="17.25">
      <c r="A393" s="8">
        <v>46001</v>
      </c>
      <c r="B393" s="9" t="s">
        <v>321</v>
      </c>
      <c r="C393" s="6">
        <v>4</v>
      </c>
      <c r="D393" s="4"/>
      <c r="E393" s="6">
        <f>E392+C393-D393</f>
      </c>
    </row>
    <row x14ac:dyDescent="0.25" r="394" customHeight="1" ht="17.25">
      <c r="A394" s="7">
        <v>46004</v>
      </c>
      <c r="B394" s="9" t="s">
        <v>233</v>
      </c>
      <c r="C394" s="3"/>
      <c r="D394" s="6">
        <v>10</v>
      </c>
      <c r="E394" s="6">
        <f>E393+C394-D394</f>
      </c>
    </row>
    <row x14ac:dyDescent="0.25" r="395" customHeight="1" ht="17.25">
      <c r="A395" s="7">
        <v>46007</v>
      </c>
      <c r="B395" s="9" t="s">
        <v>26</v>
      </c>
      <c r="C395" s="6">
        <v>60</v>
      </c>
      <c r="D395" s="4"/>
      <c r="E395" s="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76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5.576428571428572" customWidth="1" bestFit="1"/>
    <col min="3" max="3" style="13" width="12.43357142857143" customWidth="1" bestFit="1"/>
    <col min="4" max="4" style="12" width="12.43357142857143" customWidth="1" bestFit="1"/>
    <col min="5" max="5" style="13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405</v>
      </c>
      <c r="B1" s="2"/>
      <c r="C1" s="4"/>
      <c r="D1" s="3"/>
      <c r="E1" s="4"/>
      <c r="F1" s="2"/>
    </row>
    <row x14ac:dyDescent="0.25" r="2" customHeight="1" ht="17.25">
      <c r="A2" s="1"/>
      <c r="B2" s="2"/>
      <c r="C2" s="4"/>
      <c r="D2" s="3"/>
      <c r="E2" s="4"/>
      <c r="F2" s="2"/>
    </row>
    <row x14ac:dyDescent="0.25" r="3" customHeight="1" ht="17.25">
      <c r="A3" s="7">
        <v>45658</v>
      </c>
      <c r="B3" s="2" t="s">
        <v>1</v>
      </c>
      <c r="C3" s="4"/>
      <c r="D3" s="3"/>
      <c r="E3" s="6">
        <v>3241</v>
      </c>
      <c r="F3" s="2"/>
    </row>
    <row x14ac:dyDescent="0.25" r="4" customHeight="1" ht="17.25">
      <c r="A4" s="7">
        <v>45659</v>
      </c>
      <c r="B4" s="2" t="s">
        <v>131</v>
      </c>
      <c r="C4" s="6">
        <v>11</v>
      </c>
      <c r="D4" s="3"/>
      <c r="E4" s="6">
        <f>E3+C4-D4</f>
      </c>
      <c r="F4" s="2"/>
    </row>
    <row x14ac:dyDescent="0.25" r="5" customHeight="1" ht="17.25">
      <c r="A5" s="8">
        <v>45661</v>
      </c>
      <c r="B5" s="9" t="s">
        <v>189</v>
      </c>
      <c r="C5" s="6">
        <v>71</v>
      </c>
      <c r="D5" s="3"/>
      <c r="E5" s="6">
        <f>E4+C5-D5</f>
      </c>
      <c r="F5" s="2"/>
    </row>
    <row x14ac:dyDescent="0.25" r="6" customHeight="1" ht="17.25">
      <c r="A6" s="7">
        <v>45661</v>
      </c>
      <c r="B6" s="2" t="s">
        <v>406</v>
      </c>
      <c r="C6" s="6">
        <v>3</v>
      </c>
      <c r="D6" s="3"/>
      <c r="E6" s="6">
        <f>E5+C6-D6</f>
      </c>
      <c r="F6" s="2"/>
    </row>
    <row x14ac:dyDescent="0.25" r="7" customHeight="1" ht="17.25">
      <c r="A7" s="8">
        <v>45663</v>
      </c>
      <c r="B7" s="9" t="s">
        <v>35</v>
      </c>
      <c r="C7" s="6">
        <v>50</v>
      </c>
      <c r="D7" s="3"/>
      <c r="E7" s="6">
        <f>E6+C7-D7</f>
      </c>
      <c r="F7" s="2"/>
    </row>
    <row x14ac:dyDescent="0.25" r="8" customHeight="1" ht="17.25">
      <c r="A8" s="8">
        <v>45663</v>
      </c>
      <c r="B8" s="9" t="s">
        <v>375</v>
      </c>
      <c r="C8" s="6">
        <v>2</v>
      </c>
      <c r="D8" s="3"/>
      <c r="E8" s="6">
        <f>E7+C8-D8</f>
      </c>
      <c r="F8" s="2"/>
    </row>
    <row x14ac:dyDescent="0.25" r="9" customHeight="1" ht="17.25">
      <c r="A9" s="8">
        <v>45664</v>
      </c>
      <c r="B9" s="9" t="s">
        <v>131</v>
      </c>
      <c r="C9" s="6">
        <v>4</v>
      </c>
      <c r="D9" s="3"/>
      <c r="E9" s="6">
        <f>E8+C9-D9</f>
      </c>
      <c r="F9" s="2"/>
    </row>
    <row x14ac:dyDescent="0.25" r="10" customHeight="1" ht="17.25">
      <c r="A10" s="8">
        <v>45664</v>
      </c>
      <c r="B10" s="9" t="s">
        <v>375</v>
      </c>
      <c r="C10" s="6">
        <v>9</v>
      </c>
      <c r="D10" s="3"/>
      <c r="E10" s="6">
        <f>E9+C10-D10</f>
      </c>
      <c r="F10" s="2"/>
    </row>
    <row x14ac:dyDescent="0.25" r="11" customHeight="1" ht="17.25">
      <c r="A11" s="7">
        <v>45665</v>
      </c>
      <c r="B11" s="9" t="s">
        <v>39</v>
      </c>
      <c r="C11" s="4"/>
      <c r="D11" s="6">
        <v>300</v>
      </c>
      <c r="E11" s="6">
        <f>E10+C11-D11</f>
      </c>
      <c r="F11" s="2"/>
    </row>
    <row x14ac:dyDescent="0.25" r="12" customHeight="1" ht="17.25">
      <c r="A12" s="8">
        <v>45666</v>
      </c>
      <c r="B12" s="9" t="s">
        <v>377</v>
      </c>
      <c r="C12" s="6">
        <v>300</v>
      </c>
      <c r="D12" s="3"/>
      <c r="E12" s="6">
        <f>E11+C12-D12</f>
      </c>
      <c r="F12" s="2"/>
    </row>
    <row x14ac:dyDescent="0.25" r="13" customHeight="1" ht="17.25">
      <c r="A13" s="8">
        <v>45670</v>
      </c>
      <c r="B13" s="9" t="s">
        <v>189</v>
      </c>
      <c r="C13" s="6">
        <v>96</v>
      </c>
      <c r="D13" s="3"/>
      <c r="E13" s="6">
        <f>E12+C13-D13</f>
      </c>
      <c r="F13" s="2"/>
    </row>
    <row x14ac:dyDescent="0.25" r="14" customHeight="1" ht="17.25">
      <c r="A14" s="8">
        <v>45672</v>
      </c>
      <c r="B14" s="9" t="s">
        <v>271</v>
      </c>
      <c r="C14" s="6">
        <v>15</v>
      </c>
      <c r="D14" s="3"/>
      <c r="E14" s="6">
        <f>E13+C14-D14</f>
      </c>
      <c r="F14" s="2"/>
    </row>
    <row x14ac:dyDescent="0.25" r="15" customHeight="1" ht="17.25">
      <c r="A15" s="7">
        <v>45672</v>
      </c>
      <c r="B15" s="9" t="s">
        <v>375</v>
      </c>
      <c r="C15" s="6">
        <v>7</v>
      </c>
      <c r="D15" s="3"/>
      <c r="E15" s="6">
        <f>E14+C15-D15</f>
      </c>
      <c r="F15" s="2"/>
    </row>
    <row x14ac:dyDescent="0.25" r="16" customHeight="1" ht="17.25">
      <c r="A16" s="7">
        <v>45674</v>
      </c>
      <c r="B16" s="9" t="s">
        <v>256</v>
      </c>
      <c r="C16" s="6">
        <v>703</v>
      </c>
      <c r="D16" s="3"/>
      <c r="E16" s="6">
        <f>E15+C16-D16</f>
      </c>
      <c r="F16" s="2"/>
    </row>
    <row x14ac:dyDescent="0.25" r="17" customHeight="1" ht="17.25">
      <c r="A17" s="7">
        <v>45674</v>
      </c>
      <c r="B17" s="2" t="s">
        <v>338</v>
      </c>
      <c r="C17" s="6">
        <v>2</v>
      </c>
      <c r="D17" s="3"/>
      <c r="E17" s="6">
        <f>E16+C17-D17</f>
      </c>
      <c r="F17" s="2"/>
    </row>
    <row x14ac:dyDescent="0.25" r="18" customHeight="1" ht="17.25">
      <c r="A18" s="8">
        <v>45674</v>
      </c>
      <c r="B18" s="9" t="s">
        <v>189</v>
      </c>
      <c r="C18" s="6">
        <v>60</v>
      </c>
      <c r="D18" s="3"/>
      <c r="E18" s="6">
        <f>E17+C18-D18</f>
      </c>
      <c r="F18" s="2"/>
    </row>
    <row x14ac:dyDescent="0.25" r="19" customHeight="1" ht="17.25">
      <c r="A19" s="8">
        <v>45675</v>
      </c>
      <c r="B19" s="9" t="s">
        <v>240</v>
      </c>
      <c r="C19" s="6">
        <v>10</v>
      </c>
      <c r="D19" s="3"/>
      <c r="E19" s="6">
        <f>E18+C19-D19</f>
      </c>
      <c r="F19" s="2"/>
    </row>
    <row x14ac:dyDescent="0.25" r="20" customHeight="1" ht="17.25">
      <c r="A20" s="7">
        <v>45677</v>
      </c>
      <c r="B20" s="9" t="s">
        <v>131</v>
      </c>
      <c r="C20" s="6">
        <v>5</v>
      </c>
      <c r="D20" s="3"/>
      <c r="E20" s="6">
        <f>E19+C20-D20</f>
      </c>
      <c r="F20" s="2"/>
    </row>
    <row x14ac:dyDescent="0.25" r="21" customHeight="1" ht="17.25">
      <c r="A21" s="34">
        <v>45677</v>
      </c>
      <c r="B21" s="36" t="s">
        <v>35</v>
      </c>
      <c r="C21" s="33">
        <v>1212</v>
      </c>
      <c r="D21" s="32"/>
      <c r="E21" s="33">
        <f>E20+C21-D21</f>
      </c>
      <c r="F21" s="31" t="s">
        <v>178</v>
      </c>
    </row>
    <row x14ac:dyDescent="0.25" r="22" customHeight="1" ht="17.25">
      <c r="A22" s="8">
        <v>45680</v>
      </c>
      <c r="B22" s="9" t="s">
        <v>35</v>
      </c>
      <c r="C22" s="6">
        <v>150</v>
      </c>
      <c r="D22" s="3"/>
      <c r="E22" s="6">
        <f>E21+C22-D22</f>
      </c>
      <c r="F22" s="2"/>
    </row>
    <row x14ac:dyDescent="0.25" r="23" customHeight="1" ht="17.25">
      <c r="A23" s="8">
        <v>45685</v>
      </c>
      <c r="B23" s="9" t="s">
        <v>259</v>
      </c>
      <c r="C23" s="6">
        <v>226</v>
      </c>
      <c r="D23" s="3"/>
      <c r="E23" s="6">
        <f>E22+C23-D23</f>
      </c>
      <c r="F23" s="2"/>
    </row>
    <row x14ac:dyDescent="0.25" r="24" customHeight="1" ht="17.25">
      <c r="A24" s="7">
        <v>45688</v>
      </c>
      <c r="B24" s="9" t="s">
        <v>39</v>
      </c>
      <c r="C24" s="6">
        <v>450</v>
      </c>
      <c r="D24" s="3"/>
      <c r="E24" s="6">
        <f>E23+C24-D24</f>
      </c>
      <c r="F24" s="2"/>
    </row>
    <row x14ac:dyDescent="0.25" r="25" customHeight="1" ht="17.25">
      <c r="A25" s="8">
        <v>45688</v>
      </c>
      <c r="B25" s="9" t="s">
        <v>375</v>
      </c>
      <c r="C25" s="6">
        <v>8</v>
      </c>
      <c r="D25" s="3"/>
      <c r="E25" s="6">
        <f>E24+C25-D25</f>
      </c>
      <c r="F25" s="2"/>
    </row>
    <row x14ac:dyDescent="0.25" r="26" customHeight="1" ht="17.25">
      <c r="A26" s="7">
        <v>45692</v>
      </c>
      <c r="B26" s="9" t="s">
        <v>131</v>
      </c>
      <c r="C26" s="6">
        <v>16</v>
      </c>
      <c r="D26" s="3"/>
      <c r="E26" s="6">
        <f>E25+C26-D26</f>
      </c>
      <c r="F26" s="2"/>
    </row>
    <row x14ac:dyDescent="0.25" r="27" customHeight="1" ht="17.25">
      <c r="A27" s="8">
        <v>45692</v>
      </c>
      <c r="B27" s="9" t="s">
        <v>378</v>
      </c>
      <c r="C27" s="6">
        <v>33</v>
      </c>
      <c r="D27" s="3"/>
      <c r="E27" s="6">
        <f>E26+C27-D27</f>
      </c>
      <c r="F27" s="2"/>
    </row>
    <row x14ac:dyDescent="0.25" r="28" customHeight="1" ht="17.25">
      <c r="A28" s="8">
        <v>45692</v>
      </c>
      <c r="B28" s="9" t="s">
        <v>378</v>
      </c>
      <c r="C28" s="6">
        <v>33</v>
      </c>
      <c r="D28" s="3"/>
      <c r="E28" s="6">
        <f>E27+C28-D28</f>
      </c>
      <c r="F28" s="2"/>
    </row>
    <row x14ac:dyDescent="0.25" r="29" customHeight="1" ht="17.25">
      <c r="A29" s="7">
        <v>45693</v>
      </c>
      <c r="B29" s="9" t="s">
        <v>35</v>
      </c>
      <c r="C29" s="6">
        <v>100</v>
      </c>
      <c r="D29" s="3"/>
      <c r="E29" s="6">
        <f>E28+C29-D29</f>
      </c>
      <c r="F29" s="2"/>
    </row>
    <row x14ac:dyDescent="0.25" r="30" customHeight="1" ht="17.25">
      <c r="A30" s="7">
        <v>45693</v>
      </c>
      <c r="B30" s="9" t="s">
        <v>269</v>
      </c>
      <c r="C30" s="6">
        <v>94</v>
      </c>
      <c r="D30" s="3"/>
      <c r="E30" s="6">
        <f>E29+C30-D30</f>
      </c>
      <c r="F30" s="2"/>
    </row>
    <row x14ac:dyDescent="0.25" r="31" customHeight="1" ht="17.25">
      <c r="A31" s="7">
        <v>45694</v>
      </c>
      <c r="B31" s="9" t="s">
        <v>189</v>
      </c>
      <c r="C31" s="6">
        <v>45</v>
      </c>
      <c r="D31" s="3"/>
      <c r="E31" s="6">
        <f>E30+C31-D31</f>
      </c>
      <c r="F31" s="2"/>
    </row>
    <row x14ac:dyDescent="0.25" r="32" customHeight="1" ht="17.25">
      <c r="A32" s="8">
        <v>45699</v>
      </c>
      <c r="B32" s="9" t="s">
        <v>131</v>
      </c>
      <c r="C32" s="6">
        <v>2</v>
      </c>
      <c r="D32" s="3"/>
      <c r="E32" s="6">
        <f>E31+C32-D32</f>
      </c>
      <c r="F32" s="2"/>
    </row>
    <row x14ac:dyDescent="0.25" r="33" customHeight="1" ht="17.25">
      <c r="A33" s="8">
        <v>45699</v>
      </c>
      <c r="B33" s="9" t="s">
        <v>189</v>
      </c>
      <c r="C33" s="6">
        <v>107</v>
      </c>
      <c r="D33" s="3"/>
      <c r="E33" s="6">
        <f>E32+C33-D33</f>
      </c>
      <c r="F33" s="2"/>
    </row>
    <row x14ac:dyDescent="0.25" r="34" customHeight="1" ht="17.25">
      <c r="A34" s="8">
        <v>45700</v>
      </c>
      <c r="B34" s="9" t="s">
        <v>189</v>
      </c>
      <c r="C34" s="6">
        <v>20</v>
      </c>
      <c r="D34" s="3"/>
      <c r="E34" s="6">
        <f>E33+C34-D34</f>
      </c>
      <c r="F34" s="2"/>
    </row>
    <row x14ac:dyDescent="0.25" r="35" customHeight="1" ht="17.25">
      <c r="A35" s="7">
        <v>45701</v>
      </c>
      <c r="B35" s="9" t="s">
        <v>378</v>
      </c>
      <c r="C35" s="6">
        <v>108</v>
      </c>
      <c r="D35" s="3"/>
      <c r="E35" s="6">
        <f>E34+C35-D35</f>
      </c>
      <c r="F35" s="2"/>
    </row>
    <row x14ac:dyDescent="0.25" r="36" customHeight="1" ht="17.25">
      <c r="A36" s="8">
        <v>45701</v>
      </c>
      <c r="B36" s="9" t="s">
        <v>338</v>
      </c>
      <c r="C36" s="6">
        <v>9</v>
      </c>
      <c r="D36" s="3"/>
      <c r="E36" s="6">
        <f>E35+C36-D36</f>
      </c>
      <c r="F36" s="2"/>
    </row>
    <row x14ac:dyDescent="0.25" r="37" customHeight="1" ht="17.25">
      <c r="A37" s="8">
        <v>45702</v>
      </c>
      <c r="B37" s="9" t="s">
        <v>39</v>
      </c>
      <c r="C37" s="6">
        <v>25</v>
      </c>
      <c r="D37" s="3"/>
      <c r="E37" s="6">
        <f>E36+C37-D37</f>
      </c>
      <c r="F37" s="2"/>
    </row>
    <row x14ac:dyDescent="0.25" r="38" customHeight="1" ht="17.25">
      <c r="A38" s="7">
        <v>45703</v>
      </c>
      <c r="B38" s="9" t="s">
        <v>35</v>
      </c>
      <c r="C38" s="6">
        <v>3</v>
      </c>
      <c r="D38" s="3"/>
      <c r="E38" s="6">
        <f>E37+C38-D38</f>
      </c>
      <c r="F38" s="2"/>
    </row>
    <row x14ac:dyDescent="0.25" r="39" customHeight="1" ht="17.25">
      <c r="A39" s="7">
        <v>45705</v>
      </c>
      <c r="B39" s="9" t="s">
        <v>189</v>
      </c>
      <c r="C39" s="6">
        <v>36</v>
      </c>
      <c r="D39" s="3"/>
      <c r="E39" s="6">
        <f>E38+C39-D39</f>
      </c>
      <c r="F39" s="2"/>
    </row>
    <row x14ac:dyDescent="0.25" r="40" customHeight="1" ht="17.25">
      <c r="A40" s="8">
        <v>45705</v>
      </c>
      <c r="B40" s="9" t="s">
        <v>131</v>
      </c>
      <c r="C40" s="6">
        <v>52</v>
      </c>
      <c r="D40" s="3"/>
      <c r="E40" s="6">
        <f>E39+C40-D40</f>
      </c>
      <c r="F40" s="2"/>
    </row>
    <row x14ac:dyDescent="0.25" r="41" customHeight="1" ht="17.25">
      <c r="A41" s="7">
        <v>45705</v>
      </c>
      <c r="B41" s="9" t="s">
        <v>128</v>
      </c>
      <c r="C41" s="6">
        <v>16</v>
      </c>
      <c r="D41" s="3"/>
      <c r="E41" s="6">
        <f>E40+C41-D41</f>
      </c>
      <c r="F41" s="2"/>
    </row>
    <row x14ac:dyDescent="0.25" r="42" customHeight="1" ht="17.25">
      <c r="A42" s="8">
        <v>45706</v>
      </c>
      <c r="B42" s="9" t="s">
        <v>189</v>
      </c>
      <c r="C42" s="6">
        <v>17</v>
      </c>
      <c r="D42" s="3"/>
      <c r="E42" s="6">
        <f>E41+C42-D42</f>
      </c>
      <c r="F42" s="2"/>
    </row>
    <row x14ac:dyDescent="0.25" r="43" customHeight="1" ht="17.25">
      <c r="A43" s="8">
        <v>45706</v>
      </c>
      <c r="B43" s="9" t="s">
        <v>375</v>
      </c>
      <c r="C43" s="6">
        <v>4</v>
      </c>
      <c r="D43" s="3"/>
      <c r="E43" s="6">
        <f>E42+C43-D43</f>
      </c>
      <c r="F43" s="2"/>
    </row>
    <row x14ac:dyDescent="0.25" r="44" customHeight="1" ht="17.25">
      <c r="A44" s="7">
        <v>45708</v>
      </c>
      <c r="B44" s="9" t="s">
        <v>338</v>
      </c>
      <c r="C44" s="6">
        <v>3</v>
      </c>
      <c r="D44" s="3"/>
      <c r="E44" s="6">
        <f>E43+C44-D44</f>
      </c>
      <c r="F44" s="2"/>
    </row>
    <row x14ac:dyDescent="0.25" r="45" customHeight="1" ht="17.25">
      <c r="A45" s="8">
        <v>45709</v>
      </c>
      <c r="B45" s="9" t="s">
        <v>39</v>
      </c>
      <c r="C45" s="6">
        <v>178</v>
      </c>
      <c r="D45" s="3"/>
      <c r="E45" s="6">
        <f>E44+C45-D45</f>
      </c>
      <c r="F45" s="2"/>
    </row>
    <row x14ac:dyDescent="0.25" r="46" customHeight="1" ht="17.25">
      <c r="A46" s="8">
        <v>45709</v>
      </c>
      <c r="B46" s="9" t="s">
        <v>131</v>
      </c>
      <c r="C46" s="6">
        <v>8</v>
      </c>
      <c r="D46" s="3"/>
      <c r="E46" s="6">
        <f>E45+C46-D46</f>
      </c>
      <c r="F46" s="2"/>
    </row>
    <row x14ac:dyDescent="0.25" r="47" customHeight="1" ht="17.25">
      <c r="A47" s="8">
        <v>45709</v>
      </c>
      <c r="B47" s="9" t="s">
        <v>189</v>
      </c>
      <c r="C47" s="6">
        <v>85</v>
      </c>
      <c r="D47" s="3"/>
      <c r="E47" s="6">
        <f>E46+C47-D47</f>
      </c>
      <c r="F47" s="2"/>
    </row>
    <row x14ac:dyDescent="0.25" r="48" customHeight="1" ht="17.25">
      <c r="A48" s="8">
        <v>45709</v>
      </c>
      <c r="B48" s="9" t="s">
        <v>35</v>
      </c>
      <c r="C48" s="6">
        <v>196</v>
      </c>
      <c r="D48" s="3"/>
      <c r="E48" s="6">
        <f>E47+C48-D48</f>
      </c>
      <c r="F48" s="2"/>
    </row>
    <row x14ac:dyDescent="0.25" r="49" customHeight="1" ht="17.25">
      <c r="A49" s="8">
        <v>45712</v>
      </c>
      <c r="B49" s="9" t="s">
        <v>189</v>
      </c>
      <c r="C49" s="6">
        <v>63</v>
      </c>
      <c r="D49" s="3"/>
      <c r="E49" s="6">
        <f>E48+C49-D49</f>
      </c>
      <c r="F49" s="2"/>
    </row>
    <row x14ac:dyDescent="0.25" r="50" customHeight="1" ht="17.25">
      <c r="A50" s="8">
        <v>45713</v>
      </c>
      <c r="B50" s="9" t="s">
        <v>131</v>
      </c>
      <c r="C50" s="6">
        <v>10</v>
      </c>
      <c r="D50" s="3"/>
      <c r="E50" s="6">
        <f>E49+C50-D50</f>
      </c>
      <c r="F50" s="2"/>
    </row>
    <row x14ac:dyDescent="0.25" r="51" customHeight="1" ht="17.25">
      <c r="A51" s="8">
        <v>45714</v>
      </c>
      <c r="B51" s="9" t="s">
        <v>39</v>
      </c>
      <c r="C51" s="6">
        <v>166</v>
      </c>
      <c r="D51" s="3"/>
      <c r="E51" s="6">
        <f>E50+C51-D51</f>
      </c>
      <c r="F51" s="2"/>
    </row>
    <row x14ac:dyDescent="0.25" r="52" customHeight="1" ht="17.25">
      <c r="A52" s="7">
        <v>45715</v>
      </c>
      <c r="B52" s="9" t="s">
        <v>240</v>
      </c>
      <c r="C52" s="6">
        <v>8</v>
      </c>
      <c r="D52" s="3"/>
      <c r="E52" s="6">
        <f>E51+C52-D52</f>
      </c>
      <c r="F52" s="2"/>
    </row>
    <row x14ac:dyDescent="0.25" r="53" customHeight="1" ht="17.25">
      <c r="A53" s="7">
        <v>45715</v>
      </c>
      <c r="B53" s="9" t="s">
        <v>384</v>
      </c>
      <c r="C53" s="6">
        <v>6</v>
      </c>
      <c r="D53" s="3"/>
      <c r="E53" s="6">
        <f>E52+C53-D53</f>
      </c>
      <c r="F53" s="2"/>
    </row>
    <row x14ac:dyDescent="0.25" r="54" customHeight="1" ht="17.25">
      <c r="A54" s="7">
        <v>45717</v>
      </c>
      <c r="B54" s="9" t="s">
        <v>189</v>
      </c>
      <c r="C54" s="6">
        <v>2</v>
      </c>
      <c r="D54" s="3"/>
      <c r="E54" s="6">
        <f>E53+C54-D54</f>
      </c>
      <c r="F54" s="2"/>
    </row>
    <row x14ac:dyDescent="0.25" r="55" customHeight="1" ht="17.25">
      <c r="A55" s="7">
        <v>45717</v>
      </c>
      <c r="B55" s="9" t="s">
        <v>131</v>
      </c>
      <c r="C55" s="6">
        <v>5</v>
      </c>
      <c r="D55" s="3"/>
      <c r="E55" s="6">
        <f>E54+C55-D55</f>
      </c>
      <c r="F55" s="2"/>
    </row>
    <row x14ac:dyDescent="0.25" r="56" customHeight="1" ht="17.25">
      <c r="A56" s="7">
        <v>45719</v>
      </c>
      <c r="B56" s="9" t="s">
        <v>189</v>
      </c>
      <c r="C56" s="6">
        <v>2</v>
      </c>
      <c r="D56" s="3"/>
      <c r="E56" s="6">
        <f>E55+C56-D56</f>
      </c>
      <c r="F56" s="2"/>
    </row>
    <row x14ac:dyDescent="0.25" r="57" customHeight="1" ht="17.25">
      <c r="A57" s="7">
        <v>45722</v>
      </c>
      <c r="B57" s="9" t="s">
        <v>375</v>
      </c>
      <c r="C57" s="4"/>
      <c r="D57" s="6">
        <v>33</v>
      </c>
      <c r="E57" s="6">
        <f>E56+C57-D57</f>
      </c>
      <c r="F57" s="2"/>
    </row>
    <row x14ac:dyDescent="0.25" r="58" customHeight="1" ht="17.25">
      <c r="A58" s="8">
        <v>45721</v>
      </c>
      <c r="B58" s="9" t="s">
        <v>39</v>
      </c>
      <c r="C58" s="6">
        <v>339</v>
      </c>
      <c r="D58" s="3"/>
      <c r="E58" s="6">
        <f>E57+C58-D58</f>
      </c>
      <c r="F58" s="2"/>
    </row>
    <row x14ac:dyDescent="0.25" r="59" customHeight="1" ht="17.25">
      <c r="A59" s="8">
        <v>45723</v>
      </c>
      <c r="B59" s="9" t="s">
        <v>189</v>
      </c>
      <c r="C59" s="6">
        <v>30</v>
      </c>
      <c r="D59" s="3"/>
      <c r="E59" s="6">
        <f>E58+C59-D59</f>
      </c>
      <c r="F59" s="2"/>
    </row>
    <row x14ac:dyDescent="0.25" r="60" customHeight="1" ht="17.25">
      <c r="A60" s="7">
        <v>45724</v>
      </c>
      <c r="B60" s="9" t="s">
        <v>189</v>
      </c>
      <c r="C60" s="6">
        <v>41</v>
      </c>
      <c r="D60" s="3"/>
      <c r="E60" s="6">
        <f>E59+C60-D60</f>
      </c>
      <c r="F60" s="2"/>
    </row>
    <row x14ac:dyDescent="0.25" r="61" customHeight="1" ht="17.25">
      <c r="A61" s="7">
        <v>45726</v>
      </c>
      <c r="B61" s="9" t="s">
        <v>35</v>
      </c>
      <c r="C61" s="6">
        <v>300</v>
      </c>
      <c r="D61" s="3"/>
      <c r="E61" s="6">
        <f>E60+C61-D61</f>
      </c>
      <c r="F61" s="2"/>
    </row>
    <row x14ac:dyDescent="0.25" r="62" customHeight="1" ht="17.25">
      <c r="A62" s="8">
        <v>45726</v>
      </c>
      <c r="B62" s="9" t="s">
        <v>189</v>
      </c>
      <c r="C62" s="6">
        <v>55</v>
      </c>
      <c r="D62" s="3"/>
      <c r="E62" s="6">
        <f>E61+C62-D62</f>
      </c>
      <c r="F62" s="2"/>
    </row>
    <row x14ac:dyDescent="0.25" r="63" customHeight="1" ht="17.25">
      <c r="A63" s="7">
        <v>45726</v>
      </c>
      <c r="B63" s="9" t="s">
        <v>384</v>
      </c>
      <c r="C63" s="6">
        <v>5</v>
      </c>
      <c r="D63" s="3"/>
      <c r="E63" s="6">
        <f>E62+C63-D63</f>
      </c>
      <c r="F63" s="2"/>
    </row>
    <row x14ac:dyDescent="0.25" r="64" customHeight="1" ht="17.25">
      <c r="A64" s="8">
        <v>45727</v>
      </c>
      <c r="B64" s="9" t="s">
        <v>39</v>
      </c>
      <c r="C64" s="6">
        <v>18</v>
      </c>
      <c r="D64" s="3"/>
      <c r="E64" s="6">
        <f>E63+C64-D64</f>
      </c>
      <c r="F64" s="2"/>
    </row>
    <row x14ac:dyDescent="0.25" r="65" customHeight="1" ht="17.25">
      <c r="A65" s="7">
        <v>45727</v>
      </c>
      <c r="B65" s="9" t="s">
        <v>189</v>
      </c>
      <c r="C65" s="6">
        <v>42</v>
      </c>
      <c r="D65" s="3"/>
      <c r="E65" s="6">
        <f>E64+C65-D65</f>
      </c>
      <c r="F65" s="2"/>
    </row>
    <row x14ac:dyDescent="0.25" r="66" customHeight="1" ht="17.25">
      <c r="A66" s="7">
        <v>45729</v>
      </c>
      <c r="B66" s="9" t="s">
        <v>338</v>
      </c>
      <c r="C66" s="6">
        <v>11</v>
      </c>
      <c r="D66" s="3"/>
      <c r="E66" s="6">
        <f>E65+C66-D66</f>
      </c>
      <c r="F66" s="2"/>
    </row>
    <row x14ac:dyDescent="0.25" r="67" customHeight="1" ht="17.25">
      <c r="A67" s="8">
        <v>45729</v>
      </c>
      <c r="B67" s="9" t="s">
        <v>189</v>
      </c>
      <c r="C67" s="6">
        <v>30</v>
      </c>
      <c r="D67" s="3"/>
      <c r="E67" s="6">
        <f>E66+C67-D67</f>
      </c>
      <c r="F67" s="2"/>
    </row>
    <row x14ac:dyDescent="0.25" r="68" customHeight="1" ht="17.25">
      <c r="A68" s="8">
        <v>45730</v>
      </c>
      <c r="B68" s="9" t="s">
        <v>35</v>
      </c>
      <c r="C68" s="6">
        <v>11</v>
      </c>
      <c r="D68" s="3"/>
      <c r="E68" s="6">
        <f>E67+C68-D68</f>
      </c>
      <c r="F68" s="2"/>
    </row>
    <row x14ac:dyDescent="0.25" r="69" customHeight="1" ht="17.25">
      <c r="A69" s="7">
        <v>45731</v>
      </c>
      <c r="B69" s="9" t="s">
        <v>189</v>
      </c>
      <c r="C69" s="6">
        <v>47</v>
      </c>
      <c r="D69" s="3"/>
      <c r="E69" s="6">
        <f>E68+C69-D69</f>
      </c>
      <c r="F69" s="2"/>
    </row>
    <row x14ac:dyDescent="0.25" r="70" customHeight="1" ht="17.25">
      <c r="A70" s="40">
        <v>45733</v>
      </c>
      <c r="B70" s="41" t="s">
        <v>384</v>
      </c>
      <c r="C70" s="42">
        <v>3</v>
      </c>
      <c r="D70" s="43"/>
      <c r="E70" s="42">
        <f>E69+C70-D70</f>
      </c>
      <c r="F70" s="41" t="s">
        <v>178</v>
      </c>
    </row>
    <row x14ac:dyDescent="0.25" r="71" customHeight="1" ht="17.25">
      <c r="A71" s="8">
        <v>45737</v>
      </c>
      <c r="B71" s="9" t="s">
        <v>189</v>
      </c>
      <c r="C71" s="6">
        <v>85</v>
      </c>
      <c r="D71" s="3"/>
      <c r="E71" s="6">
        <f>E70+C71-D71</f>
      </c>
      <c r="F71" s="2"/>
    </row>
    <row x14ac:dyDescent="0.25" r="72" customHeight="1" ht="17.25">
      <c r="A72" s="8">
        <v>45738</v>
      </c>
      <c r="B72" s="9" t="s">
        <v>384</v>
      </c>
      <c r="C72" s="6">
        <v>2</v>
      </c>
      <c r="D72" s="3"/>
      <c r="E72" s="6">
        <f>E71+C72-D72</f>
      </c>
      <c r="F72" s="2"/>
    </row>
    <row x14ac:dyDescent="0.25" r="73" customHeight="1" ht="17.25">
      <c r="A73" s="7">
        <v>45754</v>
      </c>
      <c r="B73" s="9" t="s">
        <v>232</v>
      </c>
      <c r="C73" s="4"/>
      <c r="D73" s="6">
        <v>1200</v>
      </c>
      <c r="E73" s="6">
        <f>E72+C73-D73</f>
      </c>
      <c r="F73" s="2"/>
    </row>
    <row x14ac:dyDescent="0.25" r="74" customHeight="1" ht="17.25">
      <c r="A74" s="8">
        <v>45755</v>
      </c>
      <c r="B74" s="9" t="s">
        <v>232</v>
      </c>
      <c r="C74" s="4"/>
      <c r="D74" s="6">
        <v>50</v>
      </c>
      <c r="E74" s="6">
        <f>E73+C74-D74</f>
      </c>
      <c r="F74" s="2"/>
    </row>
    <row x14ac:dyDescent="0.25" r="75" customHeight="1" ht="17.25">
      <c r="A75" s="8">
        <v>45757</v>
      </c>
      <c r="B75" s="9" t="s">
        <v>189</v>
      </c>
      <c r="C75" s="6">
        <v>77</v>
      </c>
      <c r="D75" s="3"/>
      <c r="E75" s="6">
        <f>E74+C75-D75</f>
      </c>
      <c r="F75" s="2"/>
    </row>
    <row x14ac:dyDescent="0.25" r="76" customHeight="1" ht="17.25">
      <c r="A76" s="7">
        <v>45758</v>
      </c>
      <c r="B76" s="9" t="s">
        <v>35</v>
      </c>
      <c r="C76" s="4"/>
      <c r="D76" s="6">
        <v>765</v>
      </c>
      <c r="E76" s="6">
        <f>E75+C76-D76</f>
      </c>
      <c r="F76" s="2"/>
    </row>
    <row x14ac:dyDescent="0.25" r="77" customHeight="1" ht="17.25">
      <c r="A77" s="8">
        <v>45761</v>
      </c>
      <c r="B77" s="9" t="s">
        <v>39</v>
      </c>
      <c r="C77" s="6">
        <v>350</v>
      </c>
      <c r="D77" s="3"/>
      <c r="E77" s="6">
        <f>E76+C77-D77</f>
      </c>
      <c r="F77" s="2"/>
    </row>
    <row x14ac:dyDescent="0.25" r="78" customHeight="1" ht="17.25">
      <c r="A78" s="7">
        <v>45764</v>
      </c>
      <c r="B78" s="9" t="s">
        <v>259</v>
      </c>
      <c r="C78" s="6">
        <v>181</v>
      </c>
      <c r="D78" s="3"/>
      <c r="E78" s="6">
        <f>E77+C78-D78</f>
      </c>
      <c r="F78" s="2"/>
    </row>
    <row x14ac:dyDescent="0.25" r="79" customHeight="1" ht="17.25">
      <c r="A79" s="8">
        <v>45769</v>
      </c>
      <c r="B79" s="9" t="s">
        <v>39</v>
      </c>
      <c r="C79" s="6">
        <v>250</v>
      </c>
      <c r="D79" s="3"/>
      <c r="E79" s="6">
        <f>E78+C79-D79</f>
      </c>
      <c r="F79" s="2"/>
    </row>
    <row x14ac:dyDescent="0.25" r="80" customHeight="1" ht="17.25">
      <c r="A80" s="7">
        <v>45769</v>
      </c>
      <c r="B80" s="9" t="s">
        <v>232</v>
      </c>
      <c r="C80" s="4"/>
      <c r="D80" s="6">
        <v>200</v>
      </c>
      <c r="E80" s="6">
        <f>E79+C80-D80</f>
      </c>
      <c r="F80" s="2"/>
    </row>
    <row x14ac:dyDescent="0.25" r="81" customHeight="1" ht="17.25">
      <c r="A81" s="8">
        <v>45779</v>
      </c>
      <c r="B81" s="9" t="s">
        <v>241</v>
      </c>
      <c r="C81" s="4"/>
      <c r="D81" s="6">
        <v>200</v>
      </c>
      <c r="E81" s="6">
        <f>E80+C81-D81</f>
      </c>
      <c r="F81" s="2"/>
    </row>
    <row x14ac:dyDescent="0.25" r="82" customHeight="1" ht="17.25">
      <c r="A82" s="7">
        <v>45783</v>
      </c>
      <c r="B82" s="9" t="s">
        <v>241</v>
      </c>
      <c r="C82" s="4"/>
      <c r="D82" s="6">
        <v>200</v>
      </c>
      <c r="E82" s="6">
        <f>E81+C82-D82</f>
      </c>
      <c r="F82" s="2"/>
    </row>
    <row x14ac:dyDescent="0.25" r="83" customHeight="1" ht="17.25">
      <c r="A83" s="7">
        <v>45785</v>
      </c>
      <c r="B83" s="9" t="s">
        <v>35</v>
      </c>
      <c r="C83" s="4"/>
      <c r="D83" s="6">
        <v>80</v>
      </c>
      <c r="E83" s="6">
        <f>E82+C83-D83</f>
      </c>
      <c r="F83" s="2"/>
    </row>
    <row x14ac:dyDescent="0.25" r="84" customHeight="1" ht="17.25">
      <c r="A84" s="8">
        <v>45794</v>
      </c>
      <c r="B84" s="9" t="s">
        <v>35</v>
      </c>
      <c r="C84" s="4"/>
      <c r="D84" s="6">
        <v>100</v>
      </c>
      <c r="E84" s="6">
        <f>E83+C84-D84</f>
      </c>
      <c r="F84" s="2"/>
    </row>
    <row x14ac:dyDescent="0.25" r="85" customHeight="1" ht="17.25">
      <c r="A85" s="8">
        <v>45797</v>
      </c>
      <c r="B85" s="9" t="s">
        <v>35</v>
      </c>
      <c r="C85" s="4"/>
      <c r="D85" s="6">
        <v>117</v>
      </c>
      <c r="E85" s="6">
        <f>E84+C85-D85</f>
      </c>
      <c r="F85" s="2"/>
    </row>
    <row x14ac:dyDescent="0.25" r="86" customHeight="1" ht="17.25">
      <c r="A86" s="7">
        <v>45798</v>
      </c>
      <c r="B86" s="9" t="s">
        <v>35</v>
      </c>
      <c r="C86" s="4"/>
      <c r="D86" s="6">
        <v>200</v>
      </c>
      <c r="E86" s="6">
        <f>E85+C86-D86</f>
      </c>
      <c r="F86" s="2"/>
    </row>
    <row x14ac:dyDescent="0.25" r="87" customHeight="1" ht="17.25">
      <c r="A87" s="7">
        <v>45800</v>
      </c>
      <c r="B87" s="9" t="s">
        <v>35</v>
      </c>
      <c r="C87" s="4"/>
      <c r="D87" s="6">
        <v>24</v>
      </c>
      <c r="E87" s="6">
        <f>E86+C87-D87</f>
      </c>
      <c r="F87" s="2"/>
    </row>
    <row x14ac:dyDescent="0.25" r="88" customHeight="1" ht="17.25">
      <c r="A88" s="7">
        <v>45800</v>
      </c>
      <c r="B88" s="9" t="s">
        <v>42</v>
      </c>
      <c r="C88" s="4"/>
      <c r="D88" s="6">
        <v>80</v>
      </c>
      <c r="E88" s="6">
        <f>E87+C88-D88</f>
      </c>
      <c r="F88" s="2"/>
    </row>
    <row x14ac:dyDescent="0.25" r="89" customHeight="1" ht="17.25">
      <c r="A89" s="7">
        <v>45801</v>
      </c>
      <c r="B89" s="9" t="s">
        <v>241</v>
      </c>
      <c r="C89" s="4"/>
      <c r="D89" s="6">
        <v>60</v>
      </c>
      <c r="E89" s="6">
        <f>E88+C89-D89</f>
      </c>
      <c r="F89" s="2"/>
    </row>
    <row x14ac:dyDescent="0.25" r="90" customHeight="1" ht="17.25">
      <c r="A90" s="7">
        <v>45801</v>
      </c>
      <c r="B90" s="9" t="s">
        <v>189</v>
      </c>
      <c r="C90" s="6">
        <v>10</v>
      </c>
      <c r="D90" s="3"/>
      <c r="E90" s="6">
        <f>E89+C90-D90</f>
      </c>
      <c r="F90" s="2"/>
    </row>
    <row x14ac:dyDescent="0.25" r="91" customHeight="1" ht="17.25">
      <c r="A91" s="8">
        <v>45803</v>
      </c>
      <c r="B91" s="9" t="s">
        <v>232</v>
      </c>
      <c r="C91" s="4"/>
      <c r="D91" s="6">
        <v>300</v>
      </c>
      <c r="E91" s="6">
        <f>E90+C91-D91</f>
      </c>
      <c r="F91" s="2"/>
    </row>
    <row x14ac:dyDescent="0.25" r="92" customHeight="1" ht="17.25">
      <c r="A92" s="7">
        <v>45806</v>
      </c>
      <c r="B92" s="9" t="s">
        <v>35</v>
      </c>
      <c r="C92" s="4"/>
      <c r="D92" s="6">
        <v>150</v>
      </c>
      <c r="E92" s="6">
        <f>E91+C92-D92</f>
      </c>
      <c r="F92" s="2"/>
    </row>
    <row x14ac:dyDescent="0.25" r="93" customHeight="1" ht="17.25">
      <c r="A93" s="34">
        <v>45811</v>
      </c>
      <c r="B93" s="36" t="s">
        <v>35</v>
      </c>
      <c r="C93" s="32"/>
      <c r="D93" s="33">
        <v>150</v>
      </c>
      <c r="E93" s="33">
        <f>E92+C93-D93</f>
      </c>
      <c r="F93" s="31" t="s">
        <v>203</v>
      </c>
    </row>
    <row x14ac:dyDescent="0.25" r="94" customHeight="1" ht="17.25">
      <c r="A94" s="7">
        <v>45812</v>
      </c>
      <c r="B94" s="9" t="s">
        <v>11</v>
      </c>
      <c r="C94" s="6">
        <v>14</v>
      </c>
      <c r="D94" s="3"/>
      <c r="E94" s="6">
        <f>E93+C94-D94</f>
      </c>
      <c r="F94" s="2"/>
    </row>
    <row x14ac:dyDescent="0.25" r="95" customHeight="1" ht="17.25">
      <c r="A95" s="7">
        <v>45818</v>
      </c>
      <c r="B95" s="9" t="s">
        <v>232</v>
      </c>
      <c r="C95" s="6">
        <v>54</v>
      </c>
      <c r="D95" s="6">
        <v>54</v>
      </c>
      <c r="E95" s="6">
        <f>E94+C95-D95</f>
      </c>
      <c r="F95" s="2"/>
    </row>
    <row x14ac:dyDescent="0.25" r="96" customHeight="1" ht="17.25">
      <c r="A96" s="7">
        <v>45818</v>
      </c>
      <c r="B96" s="9" t="s">
        <v>232</v>
      </c>
      <c r="C96" s="4"/>
      <c r="D96" s="6">
        <v>500</v>
      </c>
      <c r="E96" s="6">
        <f>E95+C96-D96</f>
      </c>
      <c r="F96" s="2"/>
    </row>
    <row x14ac:dyDescent="0.25" r="97" customHeight="1" ht="17.25">
      <c r="A97" s="7">
        <v>45820</v>
      </c>
      <c r="B97" s="9" t="s">
        <v>11</v>
      </c>
      <c r="C97" s="4"/>
      <c r="D97" s="6">
        <v>14</v>
      </c>
      <c r="E97" s="6">
        <f>E96+C97-D97</f>
      </c>
      <c r="F97" s="2"/>
    </row>
    <row x14ac:dyDescent="0.25" r="98" customHeight="1" ht="17.25">
      <c r="A98" s="8">
        <v>45821</v>
      </c>
      <c r="B98" s="9" t="s">
        <v>35</v>
      </c>
      <c r="C98" s="4"/>
      <c r="D98" s="6">
        <v>100</v>
      </c>
      <c r="E98" s="6">
        <f>E97+C98-D98</f>
      </c>
      <c r="F98" s="2"/>
    </row>
    <row x14ac:dyDescent="0.25" r="99" customHeight="1" ht="17.25">
      <c r="A99" s="7">
        <v>45822</v>
      </c>
      <c r="B99" s="9" t="s">
        <v>35</v>
      </c>
      <c r="C99" s="4"/>
      <c r="D99" s="6">
        <v>250</v>
      </c>
      <c r="E99" s="6">
        <f>E98+C99-D99</f>
      </c>
      <c r="F99" s="2"/>
    </row>
    <row x14ac:dyDescent="0.25" r="100" customHeight="1" ht="17.25">
      <c r="A100" s="8">
        <v>45833</v>
      </c>
      <c r="B100" s="9" t="s">
        <v>35</v>
      </c>
      <c r="C100" s="6">
        <v>322</v>
      </c>
      <c r="D100" s="3"/>
      <c r="E100" s="6">
        <f>E99+C100-D100</f>
      </c>
      <c r="F100" s="2"/>
    </row>
    <row x14ac:dyDescent="0.25" r="101" customHeight="1" ht="17.25">
      <c r="A101" s="8">
        <v>45839</v>
      </c>
      <c r="B101" s="9" t="s">
        <v>35</v>
      </c>
      <c r="C101" s="6">
        <v>22</v>
      </c>
      <c r="D101" s="3"/>
      <c r="E101" s="6">
        <f>E100+C101-D101</f>
      </c>
      <c r="F101" s="2"/>
    </row>
    <row x14ac:dyDescent="0.25" r="102" customHeight="1" ht="17.25">
      <c r="A102" s="8">
        <v>45847</v>
      </c>
      <c r="B102" s="9" t="s">
        <v>35</v>
      </c>
      <c r="C102" s="6">
        <v>11</v>
      </c>
      <c r="D102" s="3"/>
      <c r="E102" s="6">
        <f>E101+C102-D102</f>
      </c>
      <c r="F102" s="2"/>
    </row>
    <row x14ac:dyDescent="0.25" r="103" customHeight="1" ht="17.25">
      <c r="A103" s="7">
        <v>45850</v>
      </c>
      <c r="B103" s="9" t="s">
        <v>189</v>
      </c>
      <c r="C103" s="6">
        <v>15</v>
      </c>
      <c r="D103" s="3"/>
      <c r="E103" s="6">
        <f>E102+C103-D103</f>
      </c>
      <c r="F103" s="2"/>
    </row>
    <row x14ac:dyDescent="0.25" r="104" customHeight="1" ht="17.25">
      <c r="A104" s="8">
        <v>45853</v>
      </c>
      <c r="B104" s="9" t="s">
        <v>47</v>
      </c>
      <c r="C104" s="4"/>
      <c r="D104" s="6">
        <v>400</v>
      </c>
      <c r="E104" s="6">
        <f>E103+C104-D104</f>
      </c>
      <c r="F104" s="2"/>
    </row>
    <row x14ac:dyDescent="0.25" r="105" customHeight="1" ht="17.25">
      <c r="A105" s="8">
        <v>45854</v>
      </c>
      <c r="B105" s="9" t="s">
        <v>35</v>
      </c>
      <c r="C105" s="6">
        <v>250</v>
      </c>
      <c r="D105" s="3"/>
      <c r="E105" s="6">
        <f>E104+C105-D105</f>
      </c>
      <c r="F105" s="2"/>
    </row>
    <row x14ac:dyDescent="0.25" r="106" customHeight="1" ht="17.25">
      <c r="A106" s="7">
        <v>45854</v>
      </c>
      <c r="B106" s="9" t="s">
        <v>189</v>
      </c>
      <c r="C106" s="6">
        <v>8</v>
      </c>
      <c r="D106" s="3"/>
      <c r="E106" s="6">
        <f>E105+C106-D106</f>
      </c>
      <c r="F106" s="2"/>
    </row>
    <row x14ac:dyDescent="0.25" r="107" customHeight="1" ht="17.25">
      <c r="A107" s="7">
        <v>45860</v>
      </c>
      <c r="B107" s="9" t="s">
        <v>42</v>
      </c>
      <c r="C107" s="6">
        <v>7</v>
      </c>
      <c r="D107" s="3"/>
      <c r="E107" s="6">
        <f>E106+C107-D107</f>
      </c>
      <c r="F107" s="2"/>
    </row>
    <row x14ac:dyDescent="0.25" r="108" customHeight="1" ht="17.25">
      <c r="A108" s="8">
        <v>45862</v>
      </c>
      <c r="B108" s="9" t="s">
        <v>232</v>
      </c>
      <c r="C108" s="4"/>
      <c r="D108" s="6">
        <v>100</v>
      </c>
      <c r="E108" s="6">
        <f>E107+C108-D108</f>
      </c>
      <c r="F108" s="2"/>
    </row>
    <row x14ac:dyDescent="0.25" r="109" customHeight="1" ht="17.25">
      <c r="A109" s="7">
        <v>45863</v>
      </c>
      <c r="B109" s="9" t="s">
        <v>384</v>
      </c>
      <c r="C109" s="4"/>
      <c r="D109" s="6">
        <v>16</v>
      </c>
      <c r="E109" s="6">
        <f>E108+C109-D109</f>
      </c>
      <c r="F109" s="2"/>
    </row>
    <row x14ac:dyDescent="0.25" r="110" customHeight="1" ht="17.25">
      <c r="A110" s="7">
        <v>45864</v>
      </c>
      <c r="B110" s="9" t="s">
        <v>47</v>
      </c>
      <c r="C110" s="4"/>
      <c r="D110" s="6">
        <v>600</v>
      </c>
      <c r="E110" s="6">
        <f>E109+C110-D110</f>
      </c>
      <c r="F110" s="2"/>
    </row>
    <row x14ac:dyDescent="0.25" r="111" customHeight="1" ht="17.25">
      <c r="A111" s="8">
        <v>45865</v>
      </c>
      <c r="B111" s="9" t="s">
        <v>232</v>
      </c>
      <c r="C111" s="4"/>
      <c r="D111" s="6">
        <v>400</v>
      </c>
      <c r="E111" s="6">
        <f>E110+C111-D111</f>
      </c>
      <c r="F111" s="2"/>
    </row>
    <row x14ac:dyDescent="0.25" r="112" customHeight="1" ht="17.25">
      <c r="A112" s="7">
        <v>45867</v>
      </c>
      <c r="B112" s="9" t="s">
        <v>241</v>
      </c>
      <c r="C112" s="4"/>
      <c r="D112" s="6">
        <v>200</v>
      </c>
      <c r="E112" s="6">
        <f>E111+C112-D112</f>
      </c>
      <c r="F112" s="2"/>
    </row>
    <row x14ac:dyDescent="0.25" r="113" customHeight="1" ht="17.25">
      <c r="A113" s="8">
        <v>45867</v>
      </c>
      <c r="B113" s="9" t="s">
        <v>35</v>
      </c>
      <c r="C113" s="6">
        <v>114</v>
      </c>
      <c r="D113" s="3"/>
      <c r="E113" s="6">
        <f>E112+C113-D113</f>
      </c>
      <c r="F113" s="2"/>
    </row>
    <row x14ac:dyDescent="0.25" r="114" customHeight="1" ht="17.25">
      <c r="A114" s="7">
        <v>45869</v>
      </c>
      <c r="B114" s="9" t="s">
        <v>47</v>
      </c>
      <c r="C114" s="4"/>
      <c r="D114" s="6">
        <v>400</v>
      </c>
      <c r="E114" s="6">
        <f>E113+C114-D114</f>
      </c>
      <c r="F114" s="2"/>
    </row>
    <row x14ac:dyDescent="0.25" r="115" customHeight="1" ht="17.25">
      <c r="A115" s="7">
        <v>45869</v>
      </c>
      <c r="B115" s="9" t="s">
        <v>35</v>
      </c>
      <c r="C115" s="6">
        <v>200</v>
      </c>
      <c r="D115" s="3"/>
      <c r="E115" s="6">
        <f>E114+C115-D115</f>
      </c>
      <c r="F115" s="2"/>
    </row>
    <row x14ac:dyDescent="0.25" r="116" customHeight="1" ht="17.25">
      <c r="A116" s="7">
        <v>45870</v>
      </c>
      <c r="B116" s="9" t="s">
        <v>35</v>
      </c>
      <c r="C116" s="6">
        <v>252</v>
      </c>
      <c r="D116" s="3"/>
      <c r="E116" s="6">
        <f>E115+C116-D116</f>
      </c>
      <c r="F116" s="2"/>
    </row>
    <row x14ac:dyDescent="0.25" r="117" customHeight="1" ht="17.25">
      <c r="A117" s="8">
        <v>45871</v>
      </c>
      <c r="B117" s="9" t="s">
        <v>47</v>
      </c>
      <c r="C117" s="4"/>
      <c r="D117" s="6">
        <v>300</v>
      </c>
      <c r="E117" s="6">
        <f>E116+C117-D117</f>
      </c>
      <c r="F117" s="2"/>
    </row>
    <row x14ac:dyDescent="0.25" r="118" customHeight="1" ht="17.25">
      <c r="A118" s="7">
        <v>45875</v>
      </c>
      <c r="B118" s="9" t="s">
        <v>189</v>
      </c>
      <c r="C118" s="4"/>
      <c r="D118" s="6">
        <v>216</v>
      </c>
      <c r="E118" s="6">
        <f>E117+C118-D118</f>
      </c>
      <c r="F118" s="2"/>
    </row>
    <row x14ac:dyDescent="0.25" r="119" customHeight="1" ht="17.25">
      <c r="A119" s="8">
        <v>45876</v>
      </c>
      <c r="B119" s="9" t="s">
        <v>308</v>
      </c>
      <c r="C119" s="4"/>
      <c r="D119" s="6">
        <v>200</v>
      </c>
      <c r="E119" s="6">
        <f>E118+C119-D119</f>
      </c>
      <c r="F119" s="2"/>
    </row>
    <row x14ac:dyDescent="0.25" r="120" customHeight="1" ht="17.25">
      <c r="A120" s="7">
        <v>45877</v>
      </c>
      <c r="B120" s="9" t="s">
        <v>47</v>
      </c>
      <c r="C120" s="6">
        <v>950</v>
      </c>
      <c r="D120" s="3"/>
      <c r="E120" s="6">
        <f>E119+C120-D120</f>
      </c>
      <c r="F120" s="2"/>
    </row>
    <row x14ac:dyDescent="0.25" r="121" customHeight="1" ht="17.25">
      <c r="A121" s="7">
        <v>45884</v>
      </c>
      <c r="B121" s="9" t="s">
        <v>35</v>
      </c>
      <c r="C121" s="6">
        <v>263</v>
      </c>
      <c r="D121" s="3"/>
      <c r="E121" s="6">
        <f>E120+C121-D121</f>
      </c>
      <c r="F121" s="2"/>
    </row>
    <row x14ac:dyDescent="0.25" r="122" customHeight="1" ht="17.25">
      <c r="A122" s="7">
        <v>45884</v>
      </c>
      <c r="B122" s="9" t="s">
        <v>241</v>
      </c>
      <c r="C122" s="6">
        <v>150</v>
      </c>
      <c r="D122" s="3"/>
      <c r="E122" s="6">
        <f>E121+C122-D122</f>
      </c>
      <c r="F122" s="2"/>
    </row>
    <row x14ac:dyDescent="0.25" r="123" customHeight="1" ht="17.25">
      <c r="A123" s="7">
        <v>45884</v>
      </c>
      <c r="B123" s="9" t="s">
        <v>241</v>
      </c>
      <c r="C123" s="6">
        <v>289</v>
      </c>
      <c r="D123" s="3"/>
      <c r="E123" s="6">
        <f>E122+C123-D123</f>
      </c>
      <c r="F123" s="2"/>
    </row>
    <row x14ac:dyDescent="0.25" r="124" customHeight="1" ht="17.25">
      <c r="A124" s="8">
        <v>45891</v>
      </c>
      <c r="B124" s="9" t="s">
        <v>35</v>
      </c>
      <c r="C124" s="6">
        <v>45</v>
      </c>
      <c r="D124" s="3"/>
      <c r="E124" s="6">
        <f>E123+C124-D124</f>
      </c>
      <c r="F124" s="2"/>
    </row>
    <row x14ac:dyDescent="0.25" r="125" customHeight="1" ht="17.25">
      <c r="A125" s="8">
        <v>45892</v>
      </c>
      <c r="B125" s="9" t="s">
        <v>42</v>
      </c>
      <c r="C125" s="6">
        <v>46</v>
      </c>
      <c r="D125" s="3"/>
      <c r="E125" s="6">
        <f>E124+C125-D125</f>
      </c>
      <c r="F125" s="2"/>
    </row>
    <row x14ac:dyDescent="0.25" r="126" customHeight="1" ht="17.25">
      <c r="A126" s="7">
        <v>45895</v>
      </c>
      <c r="B126" s="9" t="s">
        <v>271</v>
      </c>
      <c r="C126" s="6">
        <v>3</v>
      </c>
      <c r="D126" s="3"/>
      <c r="E126" s="6">
        <f>E125+C126-D126</f>
      </c>
      <c r="F126" s="2"/>
    </row>
    <row x14ac:dyDescent="0.25" r="127" customHeight="1" ht="17.25">
      <c r="A127" s="8">
        <v>45897</v>
      </c>
      <c r="B127" s="9" t="s">
        <v>47</v>
      </c>
      <c r="C127" s="6">
        <v>106</v>
      </c>
      <c r="D127" s="3"/>
      <c r="E127" s="6">
        <f>E126+C127-D127</f>
      </c>
      <c r="F127" s="2"/>
    </row>
    <row x14ac:dyDescent="0.25" r="128" customHeight="1" ht="17.25">
      <c r="A128" s="7">
        <v>45901</v>
      </c>
      <c r="B128" s="9" t="s">
        <v>47</v>
      </c>
      <c r="C128" s="6">
        <v>250</v>
      </c>
      <c r="D128" s="3"/>
      <c r="E128" s="6">
        <f>E127+C128-D128</f>
      </c>
      <c r="F128" s="2"/>
    </row>
    <row x14ac:dyDescent="0.25" r="129" customHeight="1" ht="17.25">
      <c r="A129" s="8">
        <v>45902</v>
      </c>
      <c r="B129" s="9" t="s">
        <v>47</v>
      </c>
      <c r="C129" s="6">
        <v>100</v>
      </c>
      <c r="D129" s="3"/>
      <c r="E129" s="6">
        <f>E128+C129-D129</f>
      </c>
      <c r="F129" s="2"/>
    </row>
    <row x14ac:dyDescent="0.25" r="130" customHeight="1" ht="17.25">
      <c r="A130" s="7">
        <v>45903</v>
      </c>
      <c r="B130" s="9" t="s">
        <v>283</v>
      </c>
      <c r="C130" s="6">
        <v>60</v>
      </c>
      <c r="D130" s="3"/>
      <c r="E130" s="6">
        <f>E129+C130-D130</f>
      </c>
      <c r="F130" s="2"/>
    </row>
    <row x14ac:dyDescent="0.25" r="131" customHeight="1" ht="17.25">
      <c r="A131" s="8">
        <v>45909</v>
      </c>
      <c r="B131" s="9" t="s">
        <v>271</v>
      </c>
      <c r="C131" s="6">
        <v>5</v>
      </c>
      <c r="D131" s="3"/>
      <c r="E131" s="6">
        <f>E130+C131-D131</f>
      </c>
      <c r="F131" s="2"/>
    </row>
    <row x14ac:dyDescent="0.25" r="132" customHeight="1" ht="17.25">
      <c r="A132" s="7">
        <v>45910</v>
      </c>
      <c r="B132" s="9" t="s">
        <v>310</v>
      </c>
      <c r="C132" s="4"/>
      <c r="D132" s="6">
        <v>150</v>
      </c>
      <c r="E132" s="6">
        <f>E131+C132-D132</f>
      </c>
      <c r="F132" s="2"/>
    </row>
    <row x14ac:dyDescent="0.25" r="133" customHeight="1" ht="17.25">
      <c r="A133" s="7">
        <v>45922</v>
      </c>
      <c r="B133" s="9" t="s">
        <v>310</v>
      </c>
      <c r="C133" s="4"/>
      <c r="D133" s="6">
        <v>100</v>
      </c>
      <c r="E133" s="6">
        <f>E132+C133-D133</f>
      </c>
      <c r="F133" s="2"/>
    </row>
    <row x14ac:dyDescent="0.25" r="134" customHeight="1" ht="17.25">
      <c r="A134" s="7">
        <v>45922</v>
      </c>
      <c r="B134" s="9" t="s">
        <v>35</v>
      </c>
      <c r="C134" s="6">
        <v>72</v>
      </c>
      <c r="D134" s="3"/>
      <c r="E134" s="6">
        <f>E133+C134-D134</f>
      </c>
      <c r="F134" s="2"/>
    </row>
    <row x14ac:dyDescent="0.25" r="135" customHeight="1" ht="17.25">
      <c r="A135" s="7">
        <v>45923</v>
      </c>
      <c r="B135" s="9" t="s">
        <v>314</v>
      </c>
      <c r="C135" s="6">
        <v>17</v>
      </c>
      <c r="D135" s="3"/>
      <c r="E135" s="6">
        <f>E134+C135-D135</f>
      </c>
      <c r="F135" s="2"/>
    </row>
    <row x14ac:dyDescent="0.25" r="136" customHeight="1" ht="17.25">
      <c r="A136" s="8">
        <v>45924</v>
      </c>
      <c r="B136" s="9" t="s">
        <v>42</v>
      </c>
      <c r="C136" s="6">
        <v>20</v>
      </c>
      <c r="D136" s="3"/>
      <c r="E136" s="6">
        <f>E135+C136-D136</f>
      </c>
      <c r="F136" s="2"/>
    </row>
    <row x14ac:dyDescent="0.25" r="137" customHeight="1" ht="17.25">
      <c r="A137" s="7">
        <v>45927</v>
      </c>
      <c r="B137" s="9" t="s">
        <v>345</v>
      </c>
      <c r="C137" s="6">
        <v>4</v>
      </c>
      <c r="D137" s="3"/>
      <c r="E137" s="6">
        <f>E136+C137-D137</f>
      </c>
      <c r="F137" s="2"/>
    </row>
    <row x14ac:dyDescent="0.25" r="138" customHeight="1" ht="17.25">
      <c r="A138" s="8">
        <v>45932</v>
      </c>
      <c r="B138" s="9" t="s">
        <v>264</v>
      </c>
      <c r="C138" s="6">
        <v>3</v>
      </c>
      <c r="D138" s="3"/>
      <c r="E138" s="6">
        <f>E137+C138-D138</f>
      </c>
      <c r="F138" s="2"/>
    </row>
    <row x14ac:dyDescent="0.25" r="139" customHeight="1" ht="17.25">
      <c r="A139" s="7">
        <v>45932</v>
      </c>
      <c r="B139" s="9" t="s">
        <v>396</v>
      </c>
      <c r="C139" s="6">
        <v>50</v>
      </c>
      <c r="D139" s="3"/>
      <c r="E139" s="6">
        <f>E138+C139-D139</f>
      </c>
      <c r="F139" s="2"/>
    </row>
    <row x14ac:dyDescent="0.25" r="140" customHeight="1" ht="17.25">
      <c r="A140" s="7">
        <v>45939</v>
      </c>
      <c r="B140" s="9" t="s">
        <v>314</v>
      </c>
      <c r="C140" s="6">
        <v>5</v>
      </c>
      <c r="D140" s="3"/>
      <c r="E140" s="6">
        <f>E139+C140-D140</f>
      </c>
      <c r="F140" s="2"/>
    </row>
    <row x14ac:dyDescent="0.25" r="141" customHeight="1" ht="17.25">
      <c r="A141" s="7">
        <v>45940</v>
      </c>
      <c r="B141" s="9" t="s">
        <v>389</v>
      </c>
      <c r="C141" s="6">
        <v>2</v>
      </c>
      <c r="D141" s="3"/>
      <c r="E141" s="6">
        <f>E140+C141-D141</f>
      </c>
      <c r="F141" s="2"/>
    </row>
    <row x14ac:dyDescent="0.25" r="142" customHeight="1" ht="17.25">
      <c r="A142" s="8">
        <v>45943</v>
      </c>
      <c r="B142" s="9" t="s">
        <v>41</v>
      </c>
      <c r="C142" s="6">
        <v>1</v>
      </c>
      <c r="D142" s="3"/>
      <c r="E142" s="6">
        <f>E141+C142-D142</f>
      </c>
      <c r="F142" s="2"/>
    </row>
    <row x14ac:dyDescent="0.25" r="143" customHeight="1" ht="17.25">
      <c r="A143" s="8">
        <v>45943</v>
      </c>
      <c r="B143" s="9" t="s">
        <v>7</v>
      </c>
      <c r="C143" s="6">
        <v>50</v>
      </c>
      <c r="D143" s="3"/>
      <c r="E143" s="6">
        <f>E142+C143-D143</f>
      </c>
      <c r="F143" s="2"/>
    </row>
    <row x14ac:dyDescent="0.25" r="144" customHeight="1" ht="17.25">
      <c r="A144" s="8">
        <v>45943</v>
      </c>
      <c r="B144" s="9" t="s">
        <v>298</v>
      </c>
      <c r="C144" s="6">
        <v>2</v>
      </c>
      <c r="D144" s="3"/>
      <c r="E144" s="6">
        <f>E143+C144-D144</f>
      </c>
      <c r="F144" s="2"/>
    </row>
    <row x14ac:dyDescent="0.25" r="145" customHeight="1" ht="17.25">
      <c r="A145" s="7">
        <v>45946</v>
      </c>
      <c r="B145" s="9" t="s">
        <v>33</v>
      </c>
      <c r="C145" s="6">
        <v>500</v>
      </c>
      <c r="D145" s="3"/>
      <c r="E145" s="6">
        <f>E144+C145-D145</f>
      </c>
      <c r="F145" s="2"/>
    </row>
    <row x14ac:dyDescent="0.25" r="146" customHeight="1" ht="17.25">
      <c r="A146" s="7">
        <v>45946</v>
      </c>
      <c r="B146" s="9" t="s">
        <v>251</v>
      </c>
      <c r="C146" s="4"/>
      <c r="D146" s="6">
        <v>500</v>
      </c>
      <c r="E146" s="6">
        <f>E145+C146-D146</f>
      </c>
      <c r="F146" s="2"/>
    </row>
    <row x14ac:dyDescent="0.25" r="147" customHeight="1" ht="17.25">
      <c r="A147" s="8">
        <v>45947</v>
      </c>
      <c r="B147" s="9" t="s">
        <v>7</v>
      </c>
      <c r="C147" s="6">
        <v>337</v>
      </c>
      <c r="D147" s="3"/>
      <c r="E147" s="6">
        <f>E146+C147-D147</f>
      </c>
      <c r="F147" s="2"/>
    </row>
    <row x14ac:dyDescent="0.25" r="148" customHeight="1" ht="17.25">
      <c r="A148" s="8">
        <v>45948</v>
      </c>
      <c r="B148" s="9" t="s">
        <v>2</v>
      </c>
      <c r="C148" s="6">
        <v>23</v>
      </c>
      <c r="D148" s="3"/>
      <c r="E148" s="6">
        <f>E147+C148-D148</f>
      </c>
      <c r="F148" s="2"/>
    </row>
    <row x14ac:dyDescent="0.25" r="149" customHeight="1" ht="17.25">
      <c r="A149" s="7">
        <v>45950</v>
      </c>
      <c r="B149" s="9" t="s">
        <v>7</v>
      </c>
      <c r="C149" s="6">
        <v>107</v>
      </c>
      <c r="D149" s="3"/>
      <c r="E149" s="6">
        <f>E148+C149-D149</f>
      </c>
      <c r="F149" s="2"/>
    </row>
    <row x14ac:dyDescent="0.25" r="150" customHeight="1" ht="17.25">
      <c r="A150" s="7">
        <v>45951</v>
      </c>
      <c r="B150" s="9" t="s">
        <v>7</v>
      </c>
      <c r="C150" s="6">
        <v>74</v>
      </c>
      <c r="D150" s="3"/>
      <c r="E150" s="6">
        <f>E149+C150-D150</f>
      </c>
      <c r="F150" s="2"/>
    </row>
    <row x14ac:dyDescent="0.25" r="151" customHeight="1" ht="17.25">
      <c r="A151" s="7">
        <v>45951</v>
      </c>
      <c r="B151" s="9" t="s">
        <v>182</v>
      </c>
      <c r="C151" s="6">
        <v>20</v>
      </c>
      <c r="D151" s="3"/>
      <c r="E151" s="6">
        <f>E150+C151-D151</f>
      </c>
      <c r="F151" s="2"/>
    </row>
    <row x14ac:dyDescent="0.25" r="152" customHeight="1" ht="17.25">
      <c r="A152" s="7">
        <v>45952</v>
      </c>
      <c r="B152" s="9" t="s">
        <v>389</v>
      </c>
      <c r="C152" s="6">
        <v>2</v>
      </c>
      <c r="D152" s="3"/>
      <c r="E152" s="6">
        <f>E151+C152-D152</f>
      </c>
      <c r="F152" s="2"/>
    </row>
    <row x14ac:dyDescent="0.25" r="153" customHeight="1" ht="17.25">
      <c r="A153" s="7">
        <v>45953</v>
      </c>
      <c r="B153" s="9" t="s">
        <v>47</v>
      </c>
      <c r="C153" s="6">
        <v>150</v>
      </c>
      <c r="D153" s="3"/>
      <c r="E153" s="6">
        <f>E152+C153-D153</f>
      </c>
      <c r="F153" s="2"/>
    </row>
    <row x14ac:dyDescent="0.25" r="154" customHeight="1" ht="17.25">
      <c r="A154" s="8">
        <v>45958</v>
      </c>
      <c r="B154" s="9" t="s">
        <v>347</v>
      </c>
      <c r="C154" s="4"/>
      <c r="D154" s="6">
        <v>20</v>
      </c>
      <c r="E154" s="6">
        <f>E153+C154-D154</f>
      </c>
      <c r="F154" s="2"/>
    </row>
    <row x14ac:dyDescent="0.25" r="155" customHeight="1" ht="17.25">
      <c r="A155" s="8">
        <v>45967</v>
      </c>
      <c r="B155" s="9" t="s">
        <v>283</v>
      </c>
      <c r="C155" s="6">
        <v>69</v>
      </c>
      <c r="D155" s="3"/>
      <c r="E155" s="6">
        <f>E154+C155-D155</f>
      </c>
      <c r="F155" s="2"/>
    </row>
    <row x14ac:dyDescent="0.25" r="156" customHeight="1" ht="17.25">
      <c r="A156" s="7">
        <v>45968</v>
      </c>
      <c r="B156" s="9" t="s">
        <v>26</v>
      </c>
      <c r="C156" s="4"/>
      <c r="D156" s="6">
        <v>250</v>
      </c>
      <c r="E156" s="6">
        <f>E155+C156-D156</f>
      </c>
      <c r="F156" s="2"/>
    </row>
    <row x14ac:dyDescent="0.25" r="157" customHeight="1" ht="17.25">
      <c r="A157" s="8">
        <v>45973</v>
      </c>
      <c r="B157" s="9" t="s">
        <v>234</v>
      </c>
      <c r="C157" s="6">
        <v>6</v>
      </c>
      <c r="D157" s="3"/>
      <c r="E157" s="6">
        <f>E156+C157-D157</f>
      </c>
      <c r="F157" s="2"/>
    </row>
    <row x14ac:dyDescent="0.25" r="158" customHeight="1" ht="17.25">
      <c r="A158" s="8">
        <v>45973</v>
      </c>
      <c r="B158" s="9" t="s">
        <v>42</v>
      </c>
      <c r="C158" s="4"/>
      <c r="D158" s="6">
        <v>100</v>
      </c>
      <c r="E158" s="6">
        <f>E157+C158-D158</f>
      </c>
      <c r="F158" s="2"/>
    </row>
    <row x14ac:dyDescent="0.25" r="159" customHeight="1" ht="17.25">
      <c r="A159" s="7">
        <v>45973</v>
      </c>
      <c r="B159" s="9" t="s">
        <v>283</v>
      </c>
      <c r="C159" s="4"/>
      <c r="D159" s="6">
        <v>208</v>
      </c>
      <c r="E159" s="6">
        <f>E158+C159-D159</f>
      </c>
      <c r="F159" s="2"/>
    </row>
    <row x14ac:dyDescent="0.25" r="160" customHeight="1" ht="17.25">
      <c r="A160" s="8">
        <v>45974</v>
      </c>
      <c r="B160" s="9" t="s">
        <v>228</v>
      </c>
      <c r="C160" s="6">
        <v>1</v>
      </c>
      <c r="D160" s="3"/>
      <c r="E160" s="6">
        <f>E159+C160-D160</f>
      </c>
      <c r="F160" s="2"/>
    </row>
    <row x14ac:dyDescent="0.25" r="161" customHeight="1" ht="17.25">
      <c r="A161" s="7">
        <v>45974</v>
      </c>
      <c r="B161" s="9" t="s">
        <v>318</v>
      </c>
      <c r="C161" s="4"/>
      <c r="D161" s="6">
        <v>240</v>
      </c>
      <c r="E161" s="6">
        <f>E160+C161-D161</f>
      </c>
      <c r="F161" s="2"/>
    </row>
    <row x14ac:dyDescent="0.25" r="162" customHeight="1" ht="17.25">
      <c r="A162" s="8">
        <v>45975</v>
      </c>
      <c r="B162" s="9" t="s">
        <v>206</v>
      </c>
      <c r="C162" s="6">
        <v>5</v>
      </c>
      <c r="D162" s="3"/>
      <c r="E162" s="6">
        <f>E161+C162-D162</f>
      </c>
      <c r="F162" s="2"/>
    </row>
    <row x14ac:dyDescent="0.25" r="163" customHeight="1" ht="17.25">
      <c r="A163" s="7">
        <v>45975</v>
      </c>
      <c r="B163" s="9" t="s">
        <v>33</v>
      </c>
      <c r="C163" s="6">
        <v>1000</v>
      </c>
      <c r="D163" s="3"/>
      <c r="E163" s="6">
        <f>E162+C163-D163</f>
      </c>
      <c r="F163" s="2"/>
    </row>
    <row x14ac:dyDescent="0.25" r="164" customHeight="1" ht="17.25">
      <c r="A164" s="7">
        <v>45976</v>
      </c>
      <c r="B164" s="9" t="s">
        <v>232</v>
      </c>
      <c r="C164" s="4"/>
      <c r="D164" s="6">
        <v>1000</v>
      </c>
      <c r="E164" s="6">
        <f>E163+C164-D164</f>
      </c>
      <c r="F164" s="2"/>
    </row>
    <row x14ac:dyDescent="0.25" r="165" customHeight="1" ht="17.25">
      <c r="A165" s="7">
        <v>45985</v>
      </c>
      <c r="B165" s="9" t="s">
        <v>407</v>
      </c>
      <c r="C165" s="4"/>
      <c r="D165" s="6">
        <v>26</v>
      </c>
      <c r="E165" s="6">
        <f>E164+C165-D165</f>
      </c>
      <c r="F165" s="2"/>
    </row>
    <row x14ac:dyDescent="0.25" r="166" customHeight="1" ht="17.25">
      <c r="A166" s="7">
        <v>45987</v>
      </c>
      <c r="B166" s="9" t="s">
        <v>244</v>
      </c>
      <c r="C166" s="4"/>
      <c r="D166" s="6">
        <v>150</v>
      </c>
      <c r="E166" s="6">
        <f>E165+C166-D166</f>
      </c>
      <c r="F166" s="2"/>
    </row>
    <row x14ac:dyDescent="0.25" r="167" customHeight="1" ht="17.25">
      <c r="A167" s="8">
        <v>45988</v>
      </c>
      <c r="B167" s="9" t="s">
        <v>53</v>
      </c>
      <c r="C167" s="4"/>
      <c r="D167" s="6">
        <v>500</v>
      </c>
      <c r="E167" s="6">
        <f>E166+C167-D167</f>
      </c>
      <c r="F167" s="2"/>
    </row>
    <row x14ac:dyDescent="0.25" r="168" customHeight="1" ht="17.25">
      <c r="A168" s="8">
        <v>45988</v>
      </c>
      <c r="B168" s="9" t="s">
        <v>41</v>
      </c>
      <c r="C168" s="6">
        <v>104</v>
      </c>
      <c r="D168" s="3"/>
      <c r="E168" s="6">
        <f>E167+C168-D168</f>
      </c>
      <c r="F168" s="2"/>
    </row>
    <row x14ac:dyDescent="0.25" r="169" customHeight="1" ht="17.25">
      <c r="A169" s="8">
        <v>45990</v>
      </c>
      <c r="B169" s="9" t="s">
        <v>53</v>
      </c>
      <c r="C169" s="4"/>
      <c r="D169" s="6">
        <v>200</v>
      </c>
      <c r="E169" s="6">
        <f>E168+C169-D169</f>
      </c>
      <c r="F169" s="2"/>
    </row>
    <row x14ac:dyDescent="0.25" r="170" customHeight="1" ht="17.25">
      <c r="A170" s="7">
        <v>45994</v>
      </c>
      <c r="B170" s="9" t="s">
        <v>26</v>
      </c>
      <c r="C170" s="4"/>
      <c r="D170" s="6">
        <v>100</v>
      </c>
      <c r="E170" s="6">
        <f>E169+C170-D170</f>
      </c>
      <c r="F170" s="2"/>
    </row>
    <row x14ac:dyDescent="0.25" r="171" customHeight="1" ht="17.25">
      <c r="A171" s="7">
        <v>45996</v>
      </c>
      <c r="B171" s="9" t="s">
        <v>53</v>
      </c>
      <c r="C171" s="4"/>
      <c r="D171" s="6">
        <v>200</v>
      </c>
      <c r="E171" s="6">
        <f>E170+C171-D171</f>
      </c>
      <c r="F171" s="2"/>
    </row>
    <row x14ac:dyDescent="0.25" r="172" customHeight="1" ht="17.25">
      <c r="A172" s="7">
        <v>46000</v>
      </c>
      <c r="B172" s="9" t="s">
        <v>53</v>
      </c>
      <c r="C172" s="4"/>
      <c r="D172" s="6">
        <v>200</v>
      </c>
      <c r="E172" s="6">
        <f>E171+C172-D172</f>
      </c>
      <c r="F172" s="2"/>
    </row>
    <row x14ac:dyDescent="0.25" r="173" customHeight="1" ht="17.25">
      <c r="A173" s="8">
        <v>46001</v>
      </c>
      <c r="B173" s="9" t="s">
        <v>53</v>
      </c>
      <c r="C173" s="4"/>
      <c r="D173" s="6">
        <v>300</v>
      </c>
      <c r="E173" s="6">
        <f>E172+C173-D173</f>
      </c>
      <c r="F173" s="2"/>
    </row>
    <row x14ac:dyDescent="0.25" r="174" customHeight="1" ht="17.25">
      <c r="A174" s="7">
        <v>46006</v>
      </c>
      <c r="B174" s="9" t="s">
        <v>53</v>
      </c>
      <c r="C174" s="4"/>
      <c r="D174" s="6">
        <v>100</v>
      </c>
      <c r="E174" s="6">
        <f>E173+C174-D174</f>
      </c>
      <c r="F174" s="2"/>
    </row>
    <row x14ac:dyDescent="0.25" r="175" customHeight="1" ht="17.25">
      <c r="A175" s="8">
        <v>46007</v>
      </c>
      <c r="B175" s="9" t="s">
        <v>284</v>
      </c>
      <c r="C175" s="6">
        <v>5</v>
      </c>
      <c r="D175" s="3"/>
      <c r="E175" s="6">
        <f>E174+C175-D175</f>
      </c>
      <c r="F175" s="2"/>
    </row>
    <row x14ac:dyDescent="0.25" r="176" customHeight="1" ht="17.25">
      <c r="A176" s="7">
        <v>46007</v>
      </c>
      <c r="B176" s="9" t="s">
        <v>235</v>
      </c>
      <c r="C176" s="4"/>
      <c r="D176" s="6">
        <v>500</v>
      </c>
      <c r="E176" s="4"/>
      <c r="F176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7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2.005" customWidth="1" bestFit="1"/>
    <col min="3" max="3" style="13" width="10.005" customWidth="1" bestFit="1"/>
    <col min="4" max="4" style="13" width="9.147857142857141" customWidth="1" bestFit="1"/>
    <col min="5" max="5" style="12" width="12.576428571428572" customWidth="1" bestFit="1"/>
    <col min="6" max="6" style="11" width="12.43357142857143" customWidth="1" bestFit="1"/>
  </cols>
  <sheetData>
    <row x14ac:dyDescent="0.25" r="1" customHeight="1" ht="17.25">
      <c r="A1" s="1" t="s">
        <v>374</v>
      </c>
      <c r="B1" s="2"/>
      <c r="C1" s="4"/>
      <c r="D1" s="4"/>
      <c r="E1" s="3"/>
      <c r="F1" s="2"/>
    </row>
    <row x14ac:dyDescent="0.25" r="2" customHeight="1" ht="17.25">
      <c r="A2" s="1"/>
      <c r="B2" s="2"/>
      <c r="C2" s="4"/>
      <c r="D2" s="4"/>
      <c r="E2" s="3"/>
      <c r="F2" s="2"/>
    </row>
    <row x14ac:dyDescent="0.25" r="3" customHeight="1" ht="17.25">
      <c r="A3" s="7">
        <v>45658</v>
      </c>
      <c r="B3" s="2" t="s">
        <v>1</v>
      </c>
      <c r="C3" s="4"/>
      <c r="D3" s="4"/>
      <c r="E3" s="6">
        <v>6401</v>
      </c>
      <c r="F3" s="2"/>
    </row>
    <row x14ac:dyDescent="0.25" r="4" customHeight="1" ht="17.25">
      <c r="A4" s="7">
        <v>45659</v>
      </c>
      <c r="B4" s="2" t="s">
        <v>131</v>
      </c>
      <c r="C4" s="6">
        <v>105</v>
      </c>
      <c r="D4" s="4"/>
      <c r="E4" s="6">
        <f>E3+C4-D4</f>
      </c>
      <c r="F4" s="2"/>
    </row>
    <row x14ac:dyDescent="0.25" r="5" customHeight="1" ht="17.25">
      <c r="A5" s="7">
        <v>45660</v>
      </c>
      <c r="B5" s="2" t="s">
        <v>375</v>
      </c>
      <c r="C5" s="6">
        <v>149</v>
      </c>
      <c r="D5" s="4"/>
      <c r="E5" s="6">
        <f>E4+C5-D5</f>
      </c>
      <c r="F5" s="2"/>
    </row>
    <row x14ac:dyDescent="0.25" r="6" customHeight="1" ht="17.25">
      <c r="A6" s="8">
        <v>45661</v>
      </c>
      <c r="B6" s="9" t="s">
        <v>189</v>
      </c>
      <c r="C6" s="6">
        <v>851</v>
      </c>
      <c r="D6" s="4"/>
      <c r="E6" s="6">
        <f>E5+C6-D6</f>
      </c>
      <c r="F6" s="2"/>
    </row>
    <row x14ac:dyDescent="0.25" r="7" customHeight="1" ht="17.25">
      <c r="A7" s="7">
        <v>45661</v>
      </c>
      <c r="B7" s="2" t="s">
        <v>375</v>
      </c>
      <c r="C7" s="6">
        <v>186</v>
      </c>
      <c r="D7" s="4"/>
      <c r="E7" s="6">
        <f>E6+C7-D7</f>
      </c>
      <c r="F7" s="2"/>
    </row>
    <row x14ac:dyDescent="0.25" r="8" customHeight="1" ht="17.25">
      <c r="A8" s="7">
        <v>45663</v>
      </c>
      <c r="B8" s="2" t="s">
        <v>269</v>
      </c>
      <c r="C8" s="4"/>
      <c r="D8" s="6">
        <v>92</v>
      </c>
      <c r="E8" s="6">
        <f>E7+C8-D8</f>
      </c>
      <c r="F8" s="2"/>
    </row>
    <row x14ac:dyDescent="0.25" r="9" customHeight="1" ht="17.25">
      <c r="A9" s="8">
        <v>45663</v>
      </c>
      <c r="B9" s="9" t="s">
        <v>35</v>
      </c>
      <c r="C9" s="6">
        <v>26</v>
      </c>
      <c r="D9" s="4"/>
      <c r="E9" s="6">
        <f>E8+C9-D9</f>
      </c>
      <c r="F9" s="2"/>
    </row>
    <row x14ac:dyDescent="0.25" r="10" customHeight="1" ht="17.25">
      <c r="A10" s="8">
        <v>45663</v>
      </c>
      <c r="B10" s="9" t="s">
        <v>375</v>
      </c>
      <c r="C10" s="6">
        <v>47</v>
      </c>
      <c r="D10" s="4"/>
      <c r="E10" s="6">
        <f>E9+C10-D10</f>
      </c>
      <c r="F10" s="2"/>
    </row>
    <row x14ac:dyDescent="0.25" r="11" customHeight="1" ht="17.25">
      <c r="A11" s="8">
        <v>45664</v>
      </c>
      <c r="B11" s="9" t="s">
        <v>269</v>
      </c>
      <c r="C11" s="6">
        <v>7</v>
      </c>
      <c r="D11" s="4"/>
      <c r="E11" s="6">
        <f>E10+C11-D11</f>
      </c>
      <c r="F11" s="2"/>
    </row>
    <row x14ac:dyDescent="0.25" r="12" customHeight="1" ht="17.25">
      <c r="A12" s="8">
        <v>45664</v>
      </c>
      <c r="B12" s="9" t="s">
        <v>131</v>
      </c>
      <c r="C12" s="6">
        <v>47</v>
      </c>
      <c r="D12" s="4"/>
      <c r="E12" s="6">
        <f>E11+C12-D12</f>
      </c>
      <c r="F12" s="2"/>
    </row>
    <row x14ac:dyDescent="0.25" r="13" customHeight="1" ht="17.25">
      <c r="A13" s="8">
        <v>45664</v>
      </c>
      <c r="B13" s="9" t="s">
        <v>376</v>
      </c>
      <c r="C13" s="6">
        <v>2</v>
      </c>
      <c r="D13" s="4"/>
      <c r="E13" s="6">
        <f>E12+C13-D13</f>
      </c>
      <c r="F13" s="2"/>
    </row>
    <row x14ac:dyDescent="0.25" r="14" customHeight="1" ht="17.25">
      <c r="A14" s="8">
        <v>45664</v>
      </c>
      <c r="B14" s="9" t="s">
        <v>375</v>
      </c>
      <c r="C14" s="6">
        <v>347</v>
      </c>
      <c r="D14" s="4"/>
      <c r="E14" s="6">
        <f>E13+C14-D14</f>
      </c>
      <c r="F14" s="2"/>
    </row>
    <row x14ac:dyDescent="0.25" r="15" customHeight="1" ht="17.25">
      <c r="A15" s="7">
        <v>45665</v>
      </c>
      <c r="B15" s="9" t="s">
        <v>39</v>
      </c>
      <c r="C15" s="4"/>
      <c r="D15" s="6">
        <v>200</v>
      </c>
      <c r="E15" s="6">
        <f>E14+C15-D15</f>
      </c>
      <c r="F15" s="2"/>
    </row>
    <row x14ac:dyDescent="0.25" r="16" customHeight="1" ht="17.25">
      <c r="A16" s="7">
        <v>45665</v>
      </c>
      <c r="B16" s="9" t="s">
        <v>189</v>
      </c>
      <c r="C16" s="6">
        <v>220</v>
      </c>
      <c r="D16" s="4"/>
      <c r="E16" s="6">
        <f>E15+C16-D16</f>
      </c>
      <c r="F16" s="2"/>
    </row>
    <row x14ac:dyDescent="0.25" r="17" customHeight="1" ht="17.25">
      <c r="A17" s="8">
        <v>45666</v>
      </c>
      <c r="B17" s="9" t="s">
        <v>377</v>
      </c>
      <c r="C17" s="6">
        <v>292</v>
      </c>
      <c r="D17" s="4"/>
      <c r="E17" s="6">
        <f>E16+C17-D17</f>
      </c>
      <c r="F17" s="2"/>
    </row>
    <row x14ac:dyDescent="0.25" r="18" customHeight="1" ht="17.25">
      <c r="A18" s="7">
        <v>45666</v>
      </c>
      <c r="B18" s="9" t="s">
        <v>177</v>
      </c>
      <c r="C18" s="6">
        <v>11</v>
      </c>
      <c r="D18" s="4"/>
      <c r="E18" s="6">
        <f>E17+C18-D18</f>
      </c>
      <c r="F18" s="2"/>
    </row>
    <row x14ac:dyDescent="0.25" r="19" customHeight="1" ht="17.25">
      <c r="A19" s="7">
        <v>45666</v>
      </c>
      <c r="B19" s="9" t="s">
        <v>376</v>
      </c>
      <c r="C19" s="6">
        <v>18</v>
      </c>
      <c r="D19" s="4"/>
      <c r="E19" s="6">
        <f>E18+C19-D19</f>
      </c>
      <c r="F19" s="2"/>
    </row>
    <row x14ac:dyDescent="0.25" r="20" customHeight="1" ht="17.25">
      <c r="A20" s="8">
        <v>45670</v>
      </c>
      <c r="B20" s="9" t="s">
        <v>189</v>
      </c>
      <c r="C20" s="6">
        <v>291</v>
      </c>
      <c r="D20" s="4"/>
      <c r="E20" s="6">
        <f>E19+C20-D20</f>
      </c>
      <c r="F20" s="2"/>
    </row>
    <row x14ac:dyDescent="0.25" r="21" customHeight="1" ht="17.25">
      <c r="A21" s="8">
        <v>45672</v>
      </c>
      <c r="B21" s="9" t="s">
        <v>271</v>
      </c>
      <c r="C21" s="6">
        <v>180</v>
      </c>
      <c r="D21" s="4"/>
      <c r="E21" s="6">
        <f>E20+C21-D21</f>
      </c>
      <c r="F21" s="2"/>
    </row>
    <row x14ac:dyDescent="0.25" r="22" customHeight="1" ht="17.25">
      <c r="A22" s="7">
        <v>45672</v>
      </c>
      <c r="B22" s="9" t="s">
        <v>375</v>
      </c>
      <c r="C22" s="6">
        <v>165</v>
      </c>
      <c r="D22" s="4"/>
      <c r="E22" s="6">
        <f>E21+C22-D22</f>
      </c>
      <c r="F22" s="2"/>
    </row>
    <row x14ac:dyDescent="0.25" r="23" customHeight="1" ht="17.25">
      <c r="A23" s="7">
        <v>45674</v>
      </c>
      <c r="B23" s="9" t="s">
        <v>338</v>
      </c>
      <c r="C23" s="6">
        <v>3</v>
      </c>
      <c r="D23" s="4"/>
      <c r="E23" s="6">
        <f>E22+C23-D23</f>
      </c>
      <c r="F23" s="2"/>
    </row>
    <row x14ac:dyDescent="0.25" r="24" customHeight="1" ht="17.25">
      <c r="A24" s="8">
        <v>45674</v>
      </c>
      <c r="B24" s="9" t="s">
        <v>189</v>
      </c>
      <c r="C24" s="6">
        <v>390</v>
      </c>
      <c r="D24" s="4"/>
      <c r="E24" s="6">
        <f>E23+C24-D24</f>
      </c>
      <c r="F24" s="2"/>
    </row>
    <row x14ac:dyDescent="0.25" r="25" customHeight="1" ht="17.25">
      <c r="A25" s="8">
        <v>45675</v>
      </c>
      <c r="B25" s="9" t="s">
        <v>240</v>
      </c>
      <c r="C25" s="6">
        <v>10</v>
      </c>
      <c r="D25" s="4"/>
      <c r="E25" s="6">
        <f>E24+C25-D25</f>
      </c>
      <c r="F25" s="2"/>
    </row>
    <row x14ac:dyDescent="0.25" r="26" customHeight="1" ht="17.25">
      <c r="A26" s="7">
        <v>45675</v>
      </c>
      <c r="B26" s="9" t="s">
        <v>337</v>
      </c>
      <c r="C26" s="6">
        <v>235</v>
      </c>
      <c r="D26" s="4"/>
      <c r="E26" s="6">
        <f>E25+C26-D26</f>
      </c>
      <c r="F26" s="2"/>
    </row>
    <row x14ac:dyDescent="0.25" r="27" customHeight="1" ht="17.25">
      <c r="A27" s="8">
        <v>45677</v>
      </c>
      <c r="B27" s="9" t="s">
        <v>378</v>
      </c>
      <c r="C27" s="6">
        <v>149</v>
      </c>
      <c r="D27" s="4"/>
      <c r="E27" s="6">
        <f>E26+C27-D27</f>
      </c>
      <c r="F27" s="2"/>
    </row>
    <row x14ac:dyDescent="0.25" r="28" customHeight="1" ht="17.25">
      <c r="A28" s="39">
        <v>45677</v>
      </c>
      <c r="B28" s="36" t="s">
        <v>35</v>
      </c>
      <c r="C28" s="33">
        <v>114</v>
      </c>
      <c r="D28" s="32"/>
      <c r="E28" s="33">
        <f>E27+C28-D28</f>
      </c>
      <c r="F28" s="31" t="s">
        <v>379</v>
      </c>
    </row>
    <row x14ac:dyDescent="0.25" r="29" customHeight="1" ht="17.25">
      <c r="A29" s="7">
        <v>45677</v>
      </c>
      <c r="B29" s="9" t="s">
        <v>131</v>
      </c>
      <c r="C29" s="6">
        <v>48</v>
      </c>
      <c r="D29" s="4"/>
      <c r="E29" s="6">
        <f>E28+C29-D29</f>
      </c>
      <c r="F29" s="2"/>
    </row>
    <row x14ac:dyDescent="0.25" r="30" customHeight="1" ht="17.25">
      <c r="A30" s="7">
        <v>45679</v>
      </c>
      <c r="B30" s="9" t="s">
        <v>29</v>
      </c>
      <c r="C30" s="4"/>
      <c r="D30" s="6">
        <v>100</v>
      </c>
      <c r="E30" s="6">
        <f>E29+C30-D30</f>
      </c>
      <c r="F30" s="2"/>
    </row>
    <row x14ac:dyDescent="0.25" r="31" customHeight="1" ht="17.25">
      <c r="A31" s="8">
        <v>45679</v>
      </c>
      <c r="B31" s="9" t="s">
        <v>375</v>
      </c>
      <c r="C31" s="6">
        <v>25</v>
      </c>
      <c r="D31" s="4"/>
      <c r="E31" s="6">
        <f>E30+C31-D31</f>
      </c>
      <c r="F31" s="2"/>
    </row>
    <row x14ac:dyDescent="0.25" r="32" customHeight="1" ht="17.25">
      <c r="A32" s="8">
        <v>45680</v>
      </c>
      <c r="B32" s="9" t="s">
        <v>326</v>
      </c>
      <c r="C32" s="6">
        <v>50</v>
      </c>
      <c r="D32" s="4"/>
      <c r="E32" s="6">
        <f>E31+C32-D32</f>
      </c>
      <c r="F32" s="2"/>
    </row>
    <row x14ac:dyDescent="0.25" r="33" customHeight="1" ht="17.25">
      <c r="A33" s="8">
        <v>45680</v>
      </c>
      <c r="B33" s="9" t="s">
        <v>35</v>
      </c>
      <c r="C33" s="6">
        <v>55</v>
      </c>
      <c r="D33" s="4"/>
      <c r="E33" s="6">
        <f>E32+C33-D33</f>
      </c>
      <c r="F33" s="2"/>
    </row>
    <row x14ac:dyDescent="0.25" r="34" customHeight="1" ht="17.25">
      <c r="A34" s="8">
        <v>45682</v>
      </c>
      <c r="B34" s="9" t="s">
        <v>189</v>
      </c>
      <c r="C34" s="6">
        <v>175</v>
      </c>
      <c r="D34" s="4"/>
      <c r="E34" s="6">
        <f>E33+C34-D34</f>
      </c>
      <c r="F34" s="2"/>
    </row>
    <row x14ac:dyDescent="0.25" r="35" customHeight="1" ht="17.25">
      <c r="A35" s="8">
        <v>45685</v>
      </c>
      <c r="B35" s="9" t="s">
        <v>259</v>
      </c>
      <c r="C35" s="6">
        <v>150</v>
      </c>
      <c r="D35" s="4"/>
      <c r="E35" s="6">
        <f>E34+C35-D35</f>
      </c>
      <c r="F35" s="2"/>
    </row>
    <row x14ac:dyDescent="0.25" r="36" customHeight="1" ht="17.25">
      <c r="A36" s="8">
        <v>45687</v>
      </c>
      <c r="B36" s="9" t="s">
        <v>189</v>
      </c>
      <c r="C36" s="6">
        <v>147</v>
      </c>
      <c r="D36" s="4"/>
      <c r="E36" s="6">
        <f>E35+C36-D36</f>
      </c>
      <c r="F36" s="2"/>
    </row>
    <row x14ac:dyDescent="0.25" r="37" customHeight="1" ht="17.25">
      <c r="A37" s="7">
        <v>45688</v>
      </c>
      <c r="B37" s="9" t="s">
        <v>269</v>
      </c>
      <c r="C37" s="4"/>
      <c r="D37" s="6">
        <v>7</v>
      </c>
      <c r="E37" s="6">
        <f>E36+C37-D37</f>
      </c>
      <c r="F37" s="2"/>
    </row>
    <row x14ac:dyDescent="0.25" r="38" customHeight="1" ht="17.25">
      <c r="A38" s="8">
        <v>45688</v>
      </c>
      <c r="B38" s="9" t="s">
        <v>39</v>
      </c>
      <c r="C38" s="6">
        <v>400</v>
      </c>
      <c r="D38" s="4"/>
      <c r="E38" s="6">
        <f>E37+C38-D38</f>
      </c>
      <c r="F38" s="2"/>
    </row>
    <row x14ac:dyDescent="0.25" r="39" customHeight="1" ht="17.25">
      <c r="A39" s="7">
        <v>45688</v>
      </c>
      <c r="B39" s="9" t="s">
        <v>375</v>
      </c>
      <c r="C39" s="6">
        <v>425</v>
      </c>
      <c r="D39" s="4"/>
      <c r="E39" s="6">
        <f>E38+C39-D39</f>
      </c>
      <c r="F39" s="2"/>
    </row>
    <row x14ac:dyDescent="0.25" r="40" customHeight="1" ht="17.25">
      <c r="A40" s="8">
        <v>45689</v>
      </c>
      <c r="B40" s="9" t="s">
        <v>375</v>
      </c>
      <c r="C40" s="6">
        <v>750</v>
      </c>
      <c r="D40" s="4"/>
      <c r="E40" s="6">
        <f>E39+C40-D40</f>
      </c>
      <c r="F40" s="2"/>
    </row>
    <row x14ac:dyDescent="0.25" r="41" customHeight="1" ht="17.25">
      <c r="A41" s="8">
        <v>45691</v>
      </c>
      <c r="B41" s="9" t="s">
        <v>273</v>
      </c>
      <c r="C41" s="6">
        <v>50</v>
      </c>
      <c r="D41" s="4"/>
      <c r="E41" s="6">
        <f>E40+C41-D41</f>
      </c>
      <c r="F41" s="2"/>
    </row>
    <row x14ac:dyDescent="0.25" r="42" customHeight="1" ht="17.25">
      <c r="A42" s="7">
        <v>45692</v>
      </c>
      <c r="B42" s="9" t="s">
        <v>131</v>
      </c>
      <c r="C42" s="6">
        <v>283</v>
      </c>
      <c r="D42" s="4"/>
      <c r="E42" s="6">
        <f>E41+C42-D42</f>
      </c>
      <c r="F42" s="2"/>
    </row>
    <row x14ac:dyDescent="0.25" r="43" customHeight="1" ht="17.25">
      <c r="A43" s="8">
        <v>45692</v>
      </c>
      <c r="B43" s="9" t="s">
        <v>378</v>
      </c>
      <c r="C43" s="6">
        <v>631</v>
      </c>
      <c r="D43" s="4"/>
      <c r="E43" s="6">
        <f>E42+C43-D43</f>
      </c>
      <c r="F43" s="2"/>
    </row>
    <row x14ac:dyDescent="0.25" r="44" customHeight="1" ht="17.25">
      <c r="A44" s="8">
        <v>45692</v>
      </c>
      <c r="B44" s="9" t="s">
        <v>378</v>
      </c>
      <c r="C44" s="6">
        <v>137</v>
      </c>
      <c r="D44" s="4"/>
      <c r="E44" s="6">
        <f>E43+C44-D44</f>
      </c>
      <c r="F44" s="2"/>
    </row>
    <row x14ac:dyDescent="0.25" r="45" customHeight="1" ht="17.25">
      <c r="A45" s="7">
        <v>45694</v>
      </c>
      <c r="B45" s="9" t="s">
        <v>189</v>
      </c>
      <c r="C45" s="6">
        <v>430</v>
      </c>
      <c r="D45" s="4"/>
      <c r="E45" s="6">
        <f>E44+C45-D45</f>
      </c>
      <c r="F45" s="2"/>
    </row>
    <row x14ac:dyDescent="0.25" r="46" customHeight="1" ht="17.25">
      <c r="A46" s="8">
        <v>45694</v>
      </c>
      <c r="B46" s="9" t="s">
        <v>127</v>
      </c>
      <c r="C46" s="6">
        <v>4</v>
      </c>
      <c r="D46" s="4"/>
      <c r="E46" s="6">
        <f>E45+C46-D46</f>
      </c>
      <c r="F46" s="2"/>
    </row>
    <row x14ac:dyDescent="0.25" r="47" customHeight="1" ht="17.25">
      <c r="A47" s="39">
        <v>45695</v>
      </c>
      <c r="B47" s="36" t="s">
        <v>284</v>
      </c>
      <c r="C47" s="32"/>
      <c r="D47" s="33">
        <v>50</v>
      </c>
      <c r="E47" s="33">
        <f>E46+C47-D47</f>
      </c>
      <c r="F47" s="31" t="s">
        <v>380</v>
      </c>
    </row>
    <row x14ac:dyDescent="0.25" r="48" customHeight="1" ht="17.25">
      <c r="A48" s="8">
        <v>45695</v>
      </c>
      <c r="B48" s="9" t="s">
        <v>11</v>
      </c>
      <c r="C48" s="6">
        <v>47</v>
      </c>
      <c r="D48" s="4"/>
      <c r="E48" s="6">
        <f>E47+C48-D48</f>
      </c>
      <c r="F48" s="2"/>
    </row>
    <row x14ac:dyDescent="0.25" r="49" customHeight="1" ht="17.25">
      <c r="A49" s="8">
        <v>45697</v>
      </c>
      <c r="B49" s="9" t="s">
        <v>29</v>
      </c>
      <c r="C49" s="4"/>
      <c r="D49" s="6">
        <v>200</v>
      </c>
      <c r="E49" s="6">
        <f>E48+C49-D49</f>
      </c>
      <c r="F49" s="2"/>
    </row>
    <row x14ac:dyDescent="0.25" r="50" customHeight="1" ht="17.25">
      <c r="A50" s="7">
        <v>45698</v>
      </c>
      <c r="B50" s="9" t="s">
        <v>189</v>
      </c>
      <c r="C50" s="6">
        <v>150</v>
      </c>
      <c r="D50" s="4"/>
      <c r="E50" s="6">
        <f>E49+C50-D50</f>
      </c>
      <c r="F50" s="2"/>
    </row>
    <row x14ac:dyDescent="0.25" r="51" customHeight="1" ht="17.25">
      <c r="A51" s="7">
        <v>45699</v>
      </c>
      <c r="B51" s="9" t="s">
        <v>381</v>
      </c>
      <c r="C51" s="4"/>
      <c r="D51" s="6">
        <v>149</v>
      </c>
      <c r="E51" s="6">
        <f>E50+C51-D51</f>
      </c>
      <c r="F51" s="2"/>
    </row>
    <row x14ac:dyDescent="0.25" r="52" customHeight="1" ht="17.25">
      <c r="A52" s="8">
        <v>45699</v>
      </c>
      <c r="B52" s="9" t="s">
        <v>131</v>
      </c>
      <c r="C52" s="6">
        <v>44</v>
      </c>
      <c r="D52" s="4"/>
      <c r="E52" s="6">
        <f>E51+C52-D52</f>
      </c>
      <c r="F52" s="2"/>
    </row>
    <row x14ac:dyDescent="0.25" r="53" customHeight="1" ht="17.25">
      <c r="A53" s="8">
        <v>45699</v>
      </c>
      <c r="B53" s="9" t="s">
        <v>189</v>
      </c>
      <c r="C53" s="6">
        <v>540</v>
      </c>
      <c r="D53" s="4"/>
      <c r="E53" s="6">
        <f>E52+C53-D53</f>
      </c>
      <c r="F53" s="2"/>
    </row>
    <row x14ac:dyDescent="0.25" r="54" customHeight="1" ht="17.25">
      <c r="A54" s="8">
        <v>45700</v>
      </c>
      <c r="B54" s="9" t="s">
        <v>189</v>
      </c>
      <c r="C54" s="6">
        <v>540</v>
      </c>
      <c r="D54" s="4"/>
      <c r="E54" s="6">
        <f>E53+C54-D54</f>
      </c>
      <c r="F54" s="2"/>
    </row>
    <row x14ac:dyDescent="0.25" r="55" customHeight="1" ht="17.25">
      <c r="A55" s="7">
        <v>45701</v>
      </c>
      <c r="B55" s="9" t="s">
        <v>382</v>
      </c>
      <c r="C55" s="6">
        <v>400</v>
      </c>
      <c r="D55" s="4"/>
      <c r="E55" s="6">
        <f>E54+C55-D55</f>
      </c>
      <c r="F55" s="2"/>
    </row>
    <row x14ac:dyDescent="0.25" r="56" customHeight="1" ht="17.25">
      <c r="A56" s="7">
        <v>45701</v>
      </c>
      <c r="B56" s="9" t="s">
        <v>189</v>
      </c>
      <c r="C56" s="6">
        <v>515</v>
      </c>
      <c r="D56" s="4"/>
      <c r="E56" s="6">
        <f>E55+C56-D56</f>
      </c>
      <c r="F56" s="2"/>
    </row>
    <row x14ac:dyDescent="0.25" r="57" customHeight="1" ht="17.25">
      <c r="A57" s="8">
        <v>45701</v>
      </c>
      <c r="B57" s="9" t="s">
        <v>338</v>
      </c>
      <c r="C57" s="6">
        <v>11</v>
      </c>
      <c r="D57" s="4"/>
      <c r="E57" s="6">
        <f>E56+C57-D57</f>
      </c>
      <c r="F57" s="2"/>
    </row>
    <row x14ac:dyDescent="0.25" r="58" customHeight="1" ht="17.25">
      <c r="A58" s="8">
        <v>45702</v>
      </c>
      <c r="B58" s="9" t="s">
        <v>39</v>
      </c>
      <c r="C58" s="6">
        <v>20</v>
      </c>
      <c r="D58" s="4"/>
      <c r="E58" s="6">
        <f>E57+C58-D58</f>
      </c>
      <c r="F58" s="2"/>
    </row>
    <row x14ac:dyDescent="0.25" r="59" customHeight="1" ht="17.25">
      <c r="A59" s="39">
        <v>45702</v>
      </c>
      <c r="B59" s="36" t="s">
        <v>189</v>
      </c>
      <c r="C59" s="33">
        <v>202</v>
      </c>
      <c r="D59" s="32"/>
      <c r="E59" s="33">
        <f>E58+C59-D59</f>
      </c>
      <c r="F59" s="31" t="s">
        <v>383</v>
      </c>
    </row>
    <row x14ac:dyDescent="0.25" r="60" customHeight="1" ht="17.25">
      <c r="A60" s="7">
        <v>45703</v>
      </c>
      <c r="B60" s="9" t="s">
        <v>337</v>
      </c>
      <c r="C60" s="6">
        <v>15</v>
      </c>
      <c r="D60" s="4"/>
      <c r="E60" s="6">
        <f>E59+C60-D60</f>
      </c>
      <c r="F60" s="2"/>
    </row>
    <row x14ac:dyDescent="0.25" r="61" customHeight="1" ht="17.25">
      <c r="A61" s="7">
        <v>45703</v>
      </c>
      <c r="B61" s="9" t="s">
        <v>382</v>
      </c>
      <c r="C61" s="6">
        <v>92</v>
      </c>
      <c r="D61" s="4"/>
      <c r="E61" s="6">
        <f>E60+C61-D61</f>
      </c>
      <c r="F61" s="2"/>
    </row>
    <row x14ac:dyDescent="0.25" r="62" customHeight="1" ht="17.25">
      <c r="A62" s="7">
        <v>45703</v>
      </c>
      <c r="B62" s="9" t="s">
        <v>31</v>
      </c>
      <c r="C62" s="6">
        <v>361</v>
      </c>
      <c r="D62" s="4"/>
      <c r="E62" s="6">
        <f>E61+C62-D62</f>
      </c>
      <c r="F62" s="2"/>
    </row>
    <row x14ac:dyDescent="0.25" r="63" customHeight="1" ht="17.25">
      <c r="A63" s="8">
        <v>45705</v>
      </c>
      <c r="B63" s="9" t="s">
        <v>177</v>
      </c>
      <c r="C63" s="6">
        <v>31</v>
      </c>
      <c r="D63" s="4"/>
      <c r="E63" s="6">
        <f>E62+C63-D63</f>
      </c>
      <c r="F63" s="2"/>
    </row>
    <row x14ac:dyDescent="0.25" r="64" customHeight="1" ht="17.25">
      <c r="A64" s="7">
        <v>45705</v>
      </c>
      <c r="B64" s="9" t="s">
        <v>189</v>
      </c>
      <c r="C64" s="6">
        <v>297</v>
      </c>
      <c r="D64" s="4"/>
      <c r="E64" s="6">
        <f>E63+C64-D64</f>
      </c>
      <c r="F64" s="2"/>
    </row>
    <row x14ac:dyDescent="0.25" r="65" customHeight="1" ht="17.25">
      <c r="A65" s="8">
        <v>45705</v>
      </c>
      <c r="B65" s="9" t="s">
        <v>131</v>
      </c>
      <c r="C65" s="6">
        <v>392</v>
      </c>
      <c r="D65" s="4"/>
      <c r="E65" s="6">
        <f>E64+C65-D65</f>
      </c>
      <c r="F65" s="2"/>
    </row>
    <row x14ac:dyDescent="0.25" r="66" customHeight="1" ht="17.25">
      <c r="A66" s="7">
        <v>45705</v>
      </c>
      <c r="B66" s="9" t="s">
        <v>128</v>
      </c>
      <c r="C66" s="6">
        <v>180</v>
      </c>
      <c r="D66" s="4"/>
      <c r="E66" s="6">
        <f>E65+C66-D66</f>
      </c>
      <c r="F66" s="2"/>
    </row>
    <row x14ac:dyDescent="0.25" r="67" customHeight="1" ht="17.25">
      <c r="A67" s="8">
        <v>45706</v>
      </c>
      <c r="B67" s="9" t="s">
        <v>189</v>
      </c>
      <c r="C67" s="6">
        <v>382</v>
      </c>
      <c r="D67" s="4"/>
      <c r="E67" s="6">
        <f>E66+C67-D67</f>
      </c>
      <c r="F67" s="2"/>
    </row>
    <row x14ac:dyDescent="0.25" r="68" customHeight="1" ht="17.25">
      <c r="A68" s="8">
        <v>45706</v>
      </c>
      <c r="B68" s="9" t="s">
        <v>375</v>
      </c>
      <c r="C68" s="6">
        <v>245</v>
      </c>
      <c r="D68" s="4"/>
      <c r="E68" s="6">
        <f>E67+C68-D68</f>
      </c>
      <c r="F68" s="2"/>
    </row>
    <row x14ac:dyDescent="0.25" r="69" customHeight="1" ht="17.25">
      <c r="A69" s="7">
        <v>45708</v>
      </c>
      <c r="B69" s="9" t="s">
        <v>338</v>
      </c>
      <c r="C69" s="6">
        <v>12</v>
      </c>
      <c r="D69" s="4"/>
      <c r="E69" s="6">
        <f>E68+C69-D69</f>
      </c>
      <c r="F69" s="2"/>
    </row>
    <row x14ac:dyDescent="0.25" r="70" customHeight="1" ht="17.25">
      <c r="A70" s="7">
        <v>45708</v>
      </c>
      <c r="B70" s="9" t="s">
        <v>376</v>
      </c>
      <c r="C70" s="6">
        <v>46</v>
      </c>
      <c r="D70" s="4"/>
      <c r="E70" s="6">
        <f>E69+C70-D70</f>
      </c>
      <c r="F70" s="2"/>
    </row>
    <row x14ac:dyDescent="0.25" r="71" customHeight="1" ht="17.25">
      <c r="A71" s="7">
        <v>45708</v>
      </c>
      <c r="B71" s="9" t="s">
        <v>189</v>
      </c>
      <c r="C71" s="6">
        <v>47</v>
      </c>
      <c r="D71" s="4"/>
      <c r="E71" s="6">
        <f>E70+C71-D71</f>
      </c>
      <c r="F71" s="2"/>
    </row>
    <row x14ac:dyDescent="0.25" r="72" customHeight="1" ht="17.25">
      <c r="A72" s="8">
        <v>45709</v>
      </c>
      <c r="B72" s="9" t="s">
        <v>39</v>
      </c>
      <c r="C72" s="6">
        <v>72</v>
      </c>
      <c r="D72" s="4"/>
      <c r="E72" s="6">
        <f>E71+C72-D72</f>
      </c>
      <c r="F72" s="2"/>
    </row>
    <row x14ac:dyDescent="0.25" r="73" customHeight="1" ht="17.25">
      <c r="A73" s="8">
        <v>45709</v>
      </c>
      <c r="B73" s="9" t="s">
        <v>131</v>
      </c>
      <c r="C73" s="6">
        <v>52</v>
      </c>
      <c r="D73" s="4"/>
      <c r="E73" s="6">
        <f>E72+C73-D73</f>
      </c>
      <c r="F73" s="2"/>
    </row>
    <row x14ac:dyDescent="0.25" r="74" customHeight="1" ht="17.25">
      <c r="A74" s="8">
        <v>45709</v>
      </c>
      <c r="B74" s="9" t="s">
        <v>189</v>
      </c>
      <c r="C74" s="6">
        <v>630</v>
      </c>
      <c r="D74" s="4"/>
      <c r="E74" s="6">
        <f>E73+C74-D74</f>
      </c>
      <c r="F74" s="2"/>
    </row>
    <row x14ac:dyDescent="0.25" r="75" customHeight="1" ht="17.25">
      <c r="A75" s="8">
        <v>45709</v>
      </c>
      <c r="B75" s="9" t="s">
        <v>35</v>
      </c>
      <c r="C75" s="6">
        <v>44</v>
      </c>
      <c r="D75" s="4"/>
      <c r="E75" s="6">
        <f>E74+C75-D75</f>
      </c>
      <c r="F75" s="2"/>
    </row>
    <row x14ac:dyDescent="0.25" r="76" customHeight="1" ht="17.25">
      <c r="A76" s="7">
        <v>45712</v>
      </c>
      <c r="B76" s="9" t="s">
        <v>35</v>
      </c>
      <c r="C76" s="6">
        <v>2</v>
      </c>
      <c r="D76" s="4"/>
      <c r="E76" s="6">
        <f>E75+C76-D76</f>
      </c>
      <c r="F76" s="2"/>
    </row>
    <row x14ac:dyDescent="0.25" r="77" customHeight="1" ht="17.25">
      <c r="A77" s="8">
        <v>45712</v>
      </c>
      <c r="B77" s="9" t="s">
        <v>189</v>
      </c>
      <c r="C77" s="6">
        <v>580</v>
      </c>
      <c r="D77" s="4"/>
      <c r="E77" s="6">
        <f>E76+C77-D77</f>
      </c>
      <c r="F77" s="2"/>
    </row>
    <row x14ac:dyDescent="0.25" r="78" customHeight="1" ht="17.25">
      <c r="A78" s="8">
        <v>45712</v>
      </c>
      <c r="B78" s="9" t="s">
        <v>274</v>
      </c>
      <c r="C78" s="6">
        <v>10</v>
      </c>
      <c r="D78" s="4"/>
      <c r="E78" s="6">
        <f>E77+C78-D78</f>
      </c>
      <c r="F78" s="2"/>
    </row>
    <row x14ac:dyDescent="0.25" r="79" customHeight="1" ht="17.25">
      <c r="A79" s="7">
        <v>45713</v>
      </c>
      <c r="B79" s="9" t="s">
        <v>28</v>
      </c>
      <c r="C79" s="4"/>
      <c r="D79" s="6">
        <v>12</v>
      </c>
      <c r="E79" s="6">
        <f>E78+C79-D79</f>
      </c>
      <c r="F79" s="2"/>
    </row>
    <row x14ac:dyDescent="0.25" r="80" customHeight="1" ht="17.25">
      <c r="A80" s="8">
        <v>45713</v>
      </c>
      <c r="B80" s="9" t="s">
        <v>131</v>
      </c>
      <c r="C80" s="6">
        <v>43</v>
      </c>
      <c r="D80" s="4"/>
      <c r="E80" s="6">
        <f>E79+C80-D80</f>
      </c>
      <c r="F80" s="2"/>
    </row>
    <row x14ac:dyDescent="0.25" r="81" customHeight="1" ht="17.25">
      <c r="A81" s="8">
        <v>45714</v>
      </c>
      <c r="B81" s="9" t="s">
        <v>39</v>
      </c>
      <c r="C81" s="6">
        <v>56</v>
      </c>
      <c r="D81" s="4"/>
      <c r="E81" s="6">
        <f>E80+C81-D81</f>
      </c>
      <c r="F81" s="2"/>
    </row>
    <row x14ac:dyDescent="0.25" r="82" customHeight="1" ht="17.25">
      <c r="A82" s="7">
        <v>45715</v>
      </c>
      <c r="B82" s="9" t="s">
        <v>240</v>
      </c>
      <c r="C82" s="6">
        <v>15</v>
      </c>
      <c r="D82" s="4"/>
      <c r="E82" s="6">
        <f>E81+C82-D82</f>
      </c>
      <c r="F82" s="2"/>
    </row>
    <row x14ac:dyDescent="0.25" r="83" customHeight="1" ht="17.25">
      <c r="A83" s="7">
        <v>45715</v>
      </c>
      <c r="B83" s="9" t="s">
        <v>384</v>
      </c>
      <c r="C83" s="6">
        <v>869</v>
      </c>
      <c r="D83" s="4"/>
      <c r="E83" s="6">
        <f>E82+C83-D83</f>
      </c>
      <c r="F83" s="2"/>
    </row>
    <row x14ac:dyDescent="0.25" r="84" customHeight="1" ht="17.25">
      <c r="A84" s="8">
        <v>45717</v>
      </c>
      <c r="B84" s="9" t="s">
        <v>189</v>
      </c>
      <c r="C84" s="6">
        <v>235</v>
      </c>
      <c r="D84" s="4"/>
      <c r="E84" s="6">
        <f>E83+C84-D84</f>
      </c>
      <c r="F84" s="2"/>
    </row>
    <row x14ac:dyDescent="0.25" r="85" customHeight="1" ht="17.25">
      <c r="A85" s="7">
        <v>45717</v>
      </c>
      <c r="B85" s="9" t="s">
        <v>131</v>
      </c>
      <c r="C85" s="6">
        <v>47</v>
      </c>
      <c r="D85" s="4"/>
      <c r="E85" s="6">
        <f>E84+C85-D85</f>
      </c>
      <c r="F85" s="2"/>
    </row>
    <row x14ac:dyDescent="0.25" r="86" customHeight="1" ht="17.25">
      <c r="A86" s="7">
        <v>45719</v>
      </c>
      <c r="B86" s="9" t="s">
        <v>189</v>
      </c>
      <c r="C86" s="6">
        <v>295</v>
      </c>
      <c r="D86" s="4"/>
      <c r="E86" s="6">
        <f>E85+C86-D86</f>
      </c>
      <c r="F86" s="2"/>
    </row>
    <row x14ac:dyDescent="0.25" r="87" customHeight="1" ht="17.25">
      <c r="A87" s="8">
        <v>45721</v>
      </c>
      <c r="B87" s="9" t="s">
        <v>39</v>
      </c>
      <c r="C87" s="6">
        <v>135</v>
      </c>
      <c r="D87" s="4"/>
      <c r="E87" s="6">
        <f>E86+C87-D87</f>
      </c>
      <c r="F87" s="2"/>
    </row>
    <row x14ac:dyDescent="0.25" r="88" customHeight="1" ht="17.25">
      <c r="A88" s="7">
        <v>45721</v>
      </c>
      <c r="B88" s="9" t="s">
        <v>375</v>
      </c>
      <c r="C88" s="6">
        <v>141</v>
      </c>
      <c r="D88" s="4"/>
      <c r="E88" s="6">
        <f>E87+C88-D88</f>
      </c>
      <c r="F88" s="2"/>
    </row>
    <row x14ac:dyDescent="0.25" r="89" customHeight="1" ht="17.25">
      <c r="A89" s="8">
        <v>45723</v>
      </c>
      <c r="B89" s="9" t="s">
        <v>269</v>
      </c>
      <c r="C89" s="4"/>
      <c r="D89" s="6">
        <v>100</v>
      </c>
      <c r="E89" s="6">
        <f>E88+C89-D89</f>
      </c>
      <c r="F89" s="2"/>
    </row>
    <row x14ac:dyDescent="0.25" r="90" customHeight="1" ht="17.25">
      <c r="A90" s="8">
        <v>45723</v>
      </c>
      <c r="B90" s="9" t="s">
        <v>273</v>
      </c>
      <c r="C90" s="6">
        <v>14</v>
      </c>
      <c r="D90" s="4"/>
      <c r="E90" s="6">
        <f>E89+C90-D90</f>
      </c>
      <c r="F90" s="2"/>
    </row>
    <row x14ac:dyDescent="0.25" r="91" customHeight="1" ht="17.25">
      <c r="A91" s="8">
        <v>45723</v>
      </c>
      <c r="B91" s="9" t="s">
        <v>189</v>
      </c>
      <c r="C91" s="6">
        <v>446</v>
      </c>
      <c r="D91" s="4"/>
      <c r="E91" s="6">
        <f>E90+C91-D91</f>
      </c>
      <c r="F91" s="2"/>
    </row>
    <row x14ac:dyDescent="0.25" r="92" customHeight="1" ht="17.25">
      <c r="A92" s="7">
        <v>45724</v>
      </c>
      <c r="B92" s="9" t="s">
        <v>189</v>
      </c>
      <c r="C92" s="6">
        <v>486</v>
      </c>
      <c r="D92" s="4"/>
      <c r="E92" s="6">
        <f>E91+C92-D92</f>
      </c>
      <c r="F92" s="2"/>
    </row>
    <row x14ac:dyDescent="0.25" r="93" customHeight="1" ht="17.25">
      <c r="A93" s="8">
        <v>45726</v>
      </c>
      <c r="B93" s="9" t="s">
        <v>11</v>
      </c>
      <c r="C93" s="4"/>
      <c r="D93" s="6">
        <v>24</v>
      </c>
      <c r="E93" s="6">
        <f>E92+C93-D93</f>
      </c>
      <c r="F93" s="2"/>
    </row>
    <row x14ac:dyDescent="0.25" r="94" customHeight="1" ht="17.25">
      <c r="A94" s="7">
        <v>45726</v>
      </c>
      <c r="B94" s="9" t="s">
        <v>3</v>
      </c>
      <c r="C94" s="4"/>
      <c r="D94" s="6">
        <v>100</v>
      </c>
      <c r="E94" s="6">
        <f>E93+C94-D94</f>
      </c>
      <c r="F94" s="2"/>
    </row>
    <row x14ac:dyDescent="0.25" r="95" customHeight="1" ht="17.25">
      <c r="A95" s="7">
        <v>45726</v>
      </c>
      <c r="B95" s="9" t="s">
        <v>35</v>
      </c>
      <c r="C95" s="6">
        <v>80</v>
      </c>
      <c r="D95" s="4"/>
      <c r="E95" s="6">
        <f>E94+C95-D95</f>
      </c>
      <c r="F95" s="2"/>
    </row>
    <row x14ac:dyDescent="0.25" r="96" customHeight="1" ht="17.25">
      <c r="A96" s="8">
        <v>45726</v>
      </c>
      <c r="B96" s="9" t="s">
        <v>385</v>
      </c>
      <c r="C96" s="6">
        <v>12</v>
      </c>
      <c r="D96" s="4"/>
      <c r="E96" s="6">
        <f>E95+C96-D96</f>
      </c>
      <c r="F96" s="2"/>
    </row>
    <row x14ac:dyDescent="0.25" r="97" customHeight="1" ht="17.25">
      <c r="A97" s="8">
        <v>45726</v>
      </c>
      <c r="B97" s="9" t="s">
        <v>189</v>
      </c>
      <c r="C97" s="6">
        <v>554</v>
      </c>
      <c r="D97" s="4"/>
      <c r="E97" s="6">
        <f>E96+C97-D97</f>
      </c>
      <c r="F97" s="2"/>
    </row>
    <row x14ac:dyDescent="0.25" r="98" customHeight="1" ht="17.25">
      <c r="A98" s="7">
        <v>45726</v>
      </c>
      <c r="B98" s="9" t="s">
        <v>384</v>
      </c>
      <c r="C98" s="6">
        <v>237</v>
      </c>
      <c r="D98" s="4"/>
      <c r="E98" s="6">
        <f>E97+C98-D98</f>
      </c>
      <c r="F98" s="2"/>
    </row>
    <row x14ac:dyDescent="0.25" r="99" customHeight="1" ht="17.25">
      <c r="A99" s="8">
        <v>45727</v>
      </c>
      <c r="B99" s="9" t="s">
        <v>39</v>
      </c>
      <c r="C99" s="6">
        <v>60</v>
      </c>
      <c r="D99" s="4"/>
      <c r="E99" s="6">
        <f>E98+C99-D99</f>
      </c>
      <c r="F99" s="2"/>
    </row>
    <row x14ac:dyDescent="0.25" r="100" customHeight="1" ht="17.25">
      <c r="A100" s="7">
        <v>45727</v>
      </c>
      <c r="B100" s="9" t="s">
        <v>189</v>
      </c>
      <c r="C100" s="6">
        <v>172</v>
      </c>
      <c r="D100" s="4"/>
      <c r="E100" s="6">
        <f>E99+C100-D100</f>
      </c>
      <c r="F100" s="2"/>
    </row>
    <row x14ac:dyDescent="0.25" r="101" customHeight="1" ht="17.25">
      <c r="A101" s="7">
        <v>45729</v>
      </c>
      <c r="B101" s="9" t="s">
        <v>338</v>
      </c>
      <c r="C101" s="6">
        <v>12</v>
      </c>
      <c r="D101" s="4"/>
      <c r="E101" s="6">
        <f>E100+C101-D101</f>
      </c>
      <c r="F101" s="2"/>
    </row>
    <row x14ac:dyDescent="0.25" r="102" customHeight="1" ht="17.25">
      <c r="A102" s="8">
        <v>45729</v>
      </c>
      <c r="B102" s="9" t="s">
        <v>189</v>
      </c>
      <c r="C102" s="6">
        <v>427</v>
      </c>
      <c r="D102" s="4"/>
      <c r="E102" s="6">
        <f>E101+C102-D102</f>
      </c>
      <c r="F102" s="2"/>
    </row>
    <row x14ac:dyDescent="0.25" r="103" customHeight="1" ht="17.25">
      <c r="A103" s="7">
        <v>45730</v>
      </c>
      <c r="B103" s="9" t="s">
        <v>276</v>
      </c>
      <c r="C103" s="4"/>
      <c r="D103" s="6">
        <v>600</v>
      </c>
      <c r="E103" s="6">
        <f>E102+C103-D103</f>
      </c>
      <c r="F103" s="2"/>
    </row>
    <row x14ac:dyDescent="0.25" r="104" customHeight="1" ht="17.25">
      <c r="A104" s="8">
        <v>45730</v>
      </c>
      <c r="B104" s="9" t="s">
        <v>35</v>
      </c>
      <c r="C104" s="6">
        <v>5</v>
      </c>
      <c r="D104" s="4"/>
      <c r="E104" s="6">
        <f>E103+C104-D104</f>
      </c>
      <c r="F104" s="2"/>
    </row>
    <row x14ac:dyDescent="0.25" r="105" customHeight="1" ht="17.25">
      <c r="A105" s="7">
        <v>45731</v>
      </c>
      <c r="B105" s="9" t="s">
        <v>189</v>
      </c>
      <c r="C105" s="6">
        <v>240</v>
      </c>
      <c r="D105" s="4"/>
      <c r="E105" s="6">
        <f>E104+C105-D105</f>
      </c>
      <c r="F105" s="2"/>
    </row>
    <row x14ac:dyDescent="0.25" r="106" customHeight="1" ht="17.25">
      <c r="A106" s="8">
        <v>45733</v>
      </c>
      <c r="B106" s="9" t="s">
        <v>234</v>
      </c>
      <c r="C106" s="4"/>
      <c r="D106" s="6">
        <v>50</v>
      </c>
      <c r="E106" s="6">
        <f>E105+C106-D106</f>
      </c>
      <c r="F106" s="2"/>
    </row>
    <row x14ac:dyDescent="0.25" r="107" customHeight="1" ht="17.25">
      <c r="A107" s="8">
        <v>45733</v>
      </c>
      <c r="B107" s="9" t="s">
        <v>384</v>
      </c>
      <c r="C107" s="6">
        <v>485</v>
      </c>
      <c r="D107" s="4"/>
      <c r="E107" s="6">
        <f>E106+C107-D107</f>
      </c>
      <c r="F107" s="2"/>
    </row>
    <row x14ac:dyDescent="0.25" r="108" customHeight="1" ht="17.25">
      <c r="A108" s="8">
        <v>45733</v>
      </c>
      <c r="B108" s="9" t="s">
        <v>39</v>
      </c>
      <c r="C108" s="6">
        <v>47</v>
      </c>
      <c r="D108" s="4"/>
      <c r="E108" s="6">
        <f>E107+C108-D108</f>
      </c>
      <c r="F108" s="2"/>
    </row>
    <row x14ac:dyDescent="0.25" r="109" customHeight="1" ht="17.25">
      <c r="A109" s="8">
        <v>45733</v>
      </c>
      <c r="B109" s="9" t="s">
        <v>139</v>
      </c>
      <c r="C109" s="6">
        <v>481</v>
      </c>
      <c r="D109" s="4"/>
      <c r="E109" s="6">
        <f>E108+C109-D109</f>
      </c>
      <c r="F109" s="2"/>
    </row>
    <row x14ac:dyDescent="0.25" r="110" customHeight="1" ht="17.25">
      <c r="A110" s="7">
        <v>45734</v>
      </c>
      <c r="B110" s="9" t="s">
        <v>228</v>
      </c>
      <c r="C110" s="4"/>
      <c r="D110" s="6">
        <v>300</v>
      </c>
      <c r="E110" s="6">
        <f>E109+C110-D110</f>
      </c>
      <c r="F110" s="2"/>
    </row>
    <row x14ac:dyDescent="0.25" r="111" customHeight="1" ht="17.25">
      <c r="A111" s="7">
        <v>45734</v>
      </c>
      <c r="B111" s="9" t="s">
        <v>175</v>
      </c>
      <c r="C111" s="6">
        <v>80</v>
      </c>
      <c r="D111" s="4"/>
      <c r="E111" s="6">
        <f>E110+C111-D111</f>
      </c>
      <c r="F111" s="2"/>
    </row>
    <row x14ac:dyDescent="0.25" r="112" customHeight="1" ht="17.25">
      <c r="A112" s="8">
        <v>45735</v>
      </c>
      <c r="B112" s="9" t="s">
        <v>35</v>
      </c>
      <c r="C112" s="6">
        <v>19</v>
      </c>
      <c r="D112" s="4"/>
      <c r="E112" s="6">
        <f>E111+C112-D112</f>
      </c>
      <c r="F112" s="2"/>
    </row>
    <row x14ac:dyDescent="0.25" r="113" customHeight="1" ht="17.25">
      <c r="A113" s="8">
        <v>45736</v>
      </c>
      <c r="B113" s="9" t="s">
        <v>234</v>
      </c>
      <c r="C113" s="4"/>
      <c r="D113" s="6">
        <v>100</v>
      </c>
      <c r="E113" s="6">
        <f>E112+C113-D113</f>
      </c>
      <c r="F113" s="2"/>
    </row>
    <row x14ac:dyDescent="0.25" r="114" customHeight="1" ht="17.25">
      <c r="A114" s="8">
        <v>45737</v>
      </c>
      <c r="B114" s="9" t="s">
        <v>189</v>
      </c>
      <c r="C114" s="6">
        <v>1073</v>
      </c>
      <c r="D114" s="4"/>
      <c r="E114" s="6">
        <f>E113+C114-D114</f>
      </c>
      <c r="F114" s="2"/>
    </row>
    <row x14ac:dyDescent="0.25" r="115" customHeight="1" ht="17.25">
      <c r="A115" s="8">
        <v>45738</v>
      </c>
      <c r="B115" s="9" t="s">
        <v>189</v>
      </c>
      <c r="C115" s="6">
        <v>110</v>
      </c>
      <c r="D115" s="4"/>
      <c r="E115" s="6">
        <f>E114+C115-D115</f>
      </c>
      <c r="F115" s="2"/>
    </row>
    <row x14ac:dyDescent="0.25" r="116" customHeight="1" ht="17.25">
      <c r="A116" s="39">
        <v>45738</v>
      </c>
      <c r="B116" s="36" t="s">
        <v>384</v>
      </c>
      <c r="C116" s="33">
        <v>406</v>
      </c>
      <c r="D116" s="32"/>
      <c r="E116" s="33">
        <f>E115+C116-D116</f>
      </c>
      <c r="F116" s="31" t="s">
        <v>386</v>
      </c>
    </row>
    <row x14ac:dyDescent="0.25" r="117" customHeight="1" ht="17.25">
      <c r="A117" s="7">
        <v>45738</v>
      </c>
      <c r="B117" s="9" t="s">
        <v>35</v>
      </c>
      <c r="C117" s="6">
        <v>51</v>
      </c>
      <c r="D117" s="4"/>
      <c r="E117" s="6">
        <f>E116+C117-D117</f>
      </c>
      <c r="F117" s="2"/>
    </row>
    <row x14ac:dyDescent="0.25" r="118" customHeight="1" ht="17.25">
      <c r="A118" s="8">
        <v>45738</v>
      </c>
      <c r="B118" s="9" t="s">
        <v>39</v>
      </c>
      <c r="C118" s="6">
        <v>29</v>
      </c>
      <c r="D118" s="4"/>
      <c r="E118" s="6">
        <f>E117+C118-D118</f>
      </c>
      <c r="F118" s="2"/>
    </row>
    <row x14ac:dyDescent="0.25" r="119" customHeight="1" ht="17.25">
      <c r="A119" s="8">
        <v>45740</v>
      </c>
      <c r="B119" s="9" t="s">
        <v>376</v>
      </c>
      <c r="C119" s="6">
        <v>93</v>
      </c>
      <c r="D119" s="4"/>
      <c r="E119" s="6">
        <f>E118+C119-D119</f>
      </c>
      <c r="F119" s="2"/>
    </row>
    <row x14ac:dyDescent="0.25" r="120" customHeight="1" ht="17.25">
      <c r="A120" s="8">
        <v>45740</v>
      </c>
      <c r="B120" s="9" t="s">
        <v>39</v>
      </c>
      <c r="C120" s="6">
        <v>11</v>
      </c>
      <c r="D120" s="4"/>
      <c r="E120" s="6">
        <f>E119+C120-D120</f>
      </c>
      <c r="F120" s="2"/>
    </row>
    <row x14ac:dyDescent="0.25" r="121" customHeight="1" ht="17.25">
      <c r="A121" s="7">
        <v>45754</v>
      </c>
      <c r="B121" s="9" t="s">
        <v>232</v>
      </c>
      <c r="C121" s="4"/>
      <c r="D121" s="6">
        <v>100</v>
      </c>
      <c r="E121" s="6">
        <f>E120+C121-D121</f>
      </c>
      <c r="F121" s="2"/>
    </row>
    <row x14ac:dyDescent="0.25" r="122" customHeight="1" ht="17.25">
      <c r="A122" s="39">
        <v>45755</v>
      </c>
      <c r="B122" s="36" t="s">
        <v>262</v>
      </c>
      <c r="C122" s="32"/>
      <c r="D122" s="33">
        <v>48</v>
      </c>
      <c r="E122" s="33">
        <f>E121+C122-D122</f>
      </c>
      <c r="F122" s="31" t="s">
        <v>203</v>
      </c>
    </row>
    <row x14ac:dyDescent="0.25" r="123" customHeight="1" ht="17.25">
      <c r="A123" s="8">
        <v>45755</v>
      </c>
      <c r="B123" s="9" t="s">
        <v>232</v>
      </c>
      <c r="C123" s="4"/>
      <c r="D123" s="6">
        <v>220</v>
      </c>
      <c r="E123" s="6">
        <f>E122+C123-D123</f>
      </c>
      <c r="F123" s="2"/>
    </row>
    <row x14ac:dyDescent="0.25" r="124" customHeight="1" ht="17.25">
      <c r="A124" s="7">
        <v>45757</v>
      </c>
      <c r="B124" s="9" t="s">
        <v>189</v>
      </c>
      <c r="C124" s="6">
        <v>190</v>
      </c>
      <c r="D124" s="4"/>
      <c r="E124" s="6">
        <f>E123+C124-D124</f>
      </c>
      <c r="F124" s="2"/>
    </row>
    <row x14ac:dyDescent="0.25" r="125" customHeight="1" ht="17.25">
      <c r="A125" s="7">
        <v>45761</v>
      </c>
      <c r="B125" s="9" t="s">
        <v>387</v>
      </c>
      <c r="C125" s="4"/>
      <c r="D125" s="6">
        <v>1000</v>
      </c>
      <c r="E125" s="6">
        <f>E124+C125-D125</f>
      </c>
      <c r="F125" s="2"/>
    </row>
    <row x14ac:dyDescent="0.25" r="126" customHeight="1" ht="17.25">
      <c r="A126" s="8">
        <v>45761</v>
      </c>
      <c r="B126" s="9" t="s">
        <v>282</v>
      </c>
      <c r="C126" s="4"/>
      <c r="D126" s="6">
        <v>12</v>
      </c>
      <c r="E126" s="6">
        <f>E125+C126-D126</f>
      </c>
      <c r="F126" s="2"/>
    </row>
    <row x14ac:dyDescent="0.25" r="127" customHeight="1" ht="17.25">
      <c r="A127" s="8">
        <v>45761</v>
      </c>
      <c r="B127" s="9" t="s">
        <v>39</v>
      </c>
      <c r="C127" s="6">
        <v>150</v>
      </c>
      <c r="D127" s="4"/>
      <c r="E127" s="6">
        <f>E126+C127-D127</f>
      </c>
      <c r="F127" s="2"/>
    </row>
    <row x14ac:dyDescent="0.25" r="128" customHeight="1" ht="17.25">
      <c r="A128" s="7">
        <v>45762</v>
      </c>
      <c r="B128" s="9" t="s">
        <v>100</v>
      </c>
      <c r="C128" s="4"/>
      <c r="D128" s="6">
        <v>400</v>
      </c>
      <c r="E128" s="6">
        <f>E127+C128-D128</f>
      </c>
      <c r="F128" s="2"/>
    </row>
    <row x14ac:dyDescent="0.25" r="129" customHeight="1" ht="17.25">
      <c r="A129" s="8">
        <v>45762</v>
      </c>
      <c r="B129" s="9" t="s">
        <v>189</v>
      </c>
      <c r="C129" s="4"/>
      <c r="D129" s="6">
        <v>500</v>
      </c>
      <c r="E129" s="6">
        <f>E128+C129-D129</f>
      </c>
      <c r="F129" s="2"/>
    </row>
    <row x14ac:dyDescent="0.25" r="130" customHeight="1" ht="17.25">
      <c r="A130" s="8">
        <v>45763</v>
      </c>
      <c r="B130" s="9" t="s">
        <v>327</v>
      </c>
      <c r="C130" s="4"/>
      <c r="D130" s="6">
        <v>30</v>
      </c>
      <c r="E130" s="6">
        <f>E129+C130-D130</f>
      </c>
      <c r="F130" s="2"/>
    </row>
    <row x14ac:dyDescent="0.25" r="131" customHeight="1" ht="17.25">
      <c r="A131" s="8">
        <v>45763</v>
      </c>
      <c r="B131" s="9" t="s">
        <v>283</v>
      </c>
      <c r="C131" s="6">
        <v>150</v>
      </c>
      <c r="D131" s="4"/>
      <c r="E131" s="6">
        <f>E130+C131-D131</f>
      </c>
      <c r="F131" s="2"/>
    </row>
    <row x14ac:dyDescent="0.25" r="132" customHeight="1" ht="17.25">
      <c r="A132" s="7">
        <v>45764</v>
      </c>
      <c r="B132" s="9" t="s">
        <v>259</v>
      </c>
      <c r="C132" s="6">
        <v>116</v>
      </c>
      <c r="D132" s="4"/>
      <c r="E132" s="6">
        <f>E131+C132-D132</f>
      </c>
      <c r="F132" s="2"/>
    </row>
    <row x14ac:dyDescent="0.25" r="133" customHeight="1" ht="17.25">
      <c r="A133" s="8">
        <v>45766</v>
      </c>
      <c r="B133" s="9" t="s">
        <v>384</v>
      </c>
      <c r="C133" s="6">
        <v>3</v>
      </c>
      <c r="D133" s="4"/>
      <c r="E133" s="6">
        <f>E132+C133-D133</f>
      </c>
      <c r="F133" s="2"/>
    </row>
    <row x14ac:dyDescent="0.25" r="134" customHeight="1" ht="17.25">
      <c r="A134" s="8">
        <v>45768</v>
      </c>
      <c r="B134" s="9" t="s">
        <v>284</v>
      </c>
      <c r="C134" s="4"/>
      <c r="D134" s="6">
        <v>500</v>
      </c>
      <c r="E134" s="6">
        <f>E133+C134-D134</f>
      </c>
      <c r="F134" s="2"/>
    </row>
    <row x14ac:dyDescent="0.25" r="135" customHeight="1" ht="17.25">
      <c r="A135" s="8">
        <v>45769</v>
      </c>
      <c r="B135" s="9" t="s">
        <v>284</v>
      </c>
      <c r="C135" s="4"/>
      <c r="D135" s="6">
        <v>275</v>
      </c>
      <c r="E135" s="6">
        <f>E134+C135-D135</f>
      </c>
      <c r="F135" s="2"/>
    </row>
    <row x14ac:dyDescent="0.25" r="136" customHeight="1" ht="17.25">
      <c r="A136" s="7">
        <v>45769</v>
      </c>
      <c r="B136" s="9" t="s">
        <v>39</v>
      </c>
      <c r="C136" s="6">
        <v>80</v>
      </c>
      <c r="D136" s="4"/>
      <c r="E136" s="6">
        <f>E135+C136-D136</f>
      </c>
      <c r="F136" s="2"/>
    </row>
    <row x14ac:dyDescent="0.25" r="137" customHeight="1" ht="17.25">
      <c r="A137" s="7">
        <v>45769</v>
      </c>
      <c r="B137" s="9" t="s">
        <v>118</v>
      </c>
      <c r="C137" s="6">
        <v>20</v>
      </c>
      <c r="D137" s="4"/>
      <c r="E137" s="6">
        <f>E136+C137-D137</f>
      </c>
      <c r="F137" s="2"/>
    </row>
    <row x14ac:dyDescent="0.25" r="138" customHeight="1" ht="17.25">
      <c r="A138" s="7">
        <v>45769</v>
      </c>
      <c r="B138" s="9" t="s">
        <v>2</v>
      </c>
      <c r="C138" s="4"/>
      <c r="D138" s="6">
        <v>400</v>
      </c>
      <c r="E138" s="6">
        <f>E137+C138-D138</f>
      </c>
      <c r="F138" s="2"/>
    </row>
    <row x14ac:dyDescent="0.25" r="139" customHeight="1" ht="17.25">
      <c r="A139" s="8">
        <v>45769</v>
      </c>
      <c r="B139" s="9" t="s">
        <v>286</v>
      </c>
      <c r="C139" s="4"/>
      <c r="D139" s="6">
        <v>8</v>
      </c>
      <c r="E139" s="6">
        <f>E138+C139-D139</f>
      </c>
      <c r="F139" s="2"/>
    </row>
    <row x14ac:dyDescent="0.25" r="140" customHeight="1" ht="17.25">
      <c r="A140" s="8">
        <v>45773</v>
      </c>
      <c r="B140" s="9" t="s">
        <v>287</v>
      </c>
      <c r="C140" s="4"/>
      <c r="D140" s="6">
        <v>18</v>
      </c>
      <c r="E140" s="6">
        <f>E139+C140-D140</f>
      </c>
      <c r="F140" s="2"/>
    </row>
    <row x14ac:dyDescent="0.25" r="141" customHeight="1" ht="17.25">
      <c r="A141" s="7">
        <v>45776</v>
      </c>
      <c r="B141" s="9" t="s">
        <v>328</v>
      </c>
      <c r="C141" s="4"/>
      <c r="D141" s="6">
        <v>30</v>
      </c>
      <c r="E141" s="6">
        <f>E140+C141-D141</f>
      </c>
      <c r="F141" s="2"/>
    </row>
    <row x14ac:dyDescent="0.25" r="142" customHeight="1" ht="17.25">
      <c r="A142" s="8">
        <v>45777</v>
      </c>
      <c r="B142" s="9" t="s">
        <v>286</v>
      </c>
      <c r="C142" s="4"/>
      <c r="D142" s="6">
        <v>8</v>
      </c>
      <c r="E142" s="6">
        <f>E141+C142-D142</f>
      </c>
      <c r="F142" s="2"/>
    </row>
    <row x14ac:dyDescent="0.25" r="143" customHeight="1" ht="17.25">
      <c r="A143" s="8">
        <v>45779</v>
      </c>
      <c r="B143" s="9" t="s">
        <v>241</v>
      </c>
      <c r="C143" s="4"/>
      <c r="D143" s="6">
        <v>200</v>
      </c>
      <c r="E143" s="6">
        <f>E142+C143-D143</f>
      </c>
      <c r="F143" s="2"/>
    </row>
    <row x14ac:dyDescent="0.25" r="144" customHeight="1" ht="17.25">
      <c r="A144" s="8">
        <v>45779</v>
      </c>
      <c r="B144" s="9" t="s">
        <v>286</v>
      </c>
      <c r="C144" s="4"/>
      <c r="D144" s="6">
        <v>6</v>
      </c>
      <c r="E144" s="6">
        <f>E143+C144-D144</f>
      </c>
      <c r="F144" s="2"/>
    </row>
    <row x14ac:dyDescent="0.25" r="145" customHeight="1" ht="17.25">
      <c r="A145" s="8">
        <v>45780</v>
      </c>
      <c r="B145" s="9" t="s">
        <v>232</v>
      </c>
      <c r="C145" s="4"/>
      <c r="D145" s="6">
        <v>50</v>
      </c>
      <c r="E145" s="6">
        <f>E144+C145-D145</f>
      </c>
      <c r="F145" s="2"/>
    </row>
    <row x14ac:dyDescent="0.25" r="146" customHeight="1" ht="17.25">
      <c r="A146" s="7">
        <v>45782</v>
      </c>
      <c r="B146" s="9" t="s">
        <v>284</v>
      </c>
      <c r="C146" s="4"/>
      <c r="D146" s="6">
        <v>500</v>
      </c>
      <c r="E146" s="6">
        <f>E145+C146-D146</f>
      </c>
      <c r="F146" s="2"/>
    </row>
    <row x14ac:dyDescent="0.25" r="147" customHeight="1" ht="17.25">
      <c r="A147" s="7">
        <v>45782</v>
      </c>
      <c r="B147" s="9" t="s">
        <v>286</v>
      </c>
      <c r="C147" s="4"/>
      <c r="D147" s="6">
        <v>18</v>
      </c>
      <c r="E147" s="6">
        <f>E146+C147-D147</f>
      </c>
      <c r="F147" s="2"/>
    </row>
    <row x14ac:dyDescent="0.25" r="148" customHeight="1" ht="17.25">
      <c r="A148" s="7">
        <v>45782</v>
      </c>
      <c r="B148" s="9" t="s">
        <v>3</v>
      </c>
      <c r="C148" s="4"/>
      <c r="D148" s="6">
        <v>100</v>
      </c>
      <c r="E148" s="6">
        <f>E147+C148-D148</f>
      </c>
      <c r="F148" s="2"/>
    </row>
    <row x14ac:dyDescent="0.25" r="149" customHeight="1" ht="17.25">
      <c r="A149" s="8">
        <v>45782</v>
      </c>
      <c r="B149" s="9" t="s">
        <v>341</v>
      </c>
      <c r="C149" s="4"/>
      <c r="D149" s="6">
        <v>56</v>
      </c>
      <c r="E149" s="6">
        <f>E148+C149-D149</f>
      </c>
      <c r="F149" s="2"/>
    </row>
    <row x14ac:dyDescent="0.25" r="150" customHeight="1" ht="17.25">
      <c r="A150" s="7">
        <v>45783</v>
      </c>
      <c r="B150" s="9" t="s">
        <v>100</v>
      </c>
      <c r="C150" s="4"/>
      <c r="D150" s="6">
        <v>500</v>
      </c>
      <c r="E150" s="6">
        <f>E149+C150-D150</f>
      </c>
      <c r="F150" s="2"/>
    </row>
    <row x14ac:dyDescent="0.25" r="151" customHeight="1" ht="17.25">
      <c r="A151" s="7">
        <v>45783</v>
      </c>
      <c r="B151" s="9" t="s">
        <v>241</v>
      </c>
      <c r="C151" s="4"/>
      <c r="D151" s="6">
        <v>200</v>
      </c>
      <c r="E151" s="6">
        <f>E150+C151-D151</f>
      </c>
      <c r="F151" s="2"/>
    </row>
    <row x14ac:dyDescent="0.25" r="152" customHeight="1" ht="17.25">
      <c r="A152" s="8">
        <v>45784</v>
      </c>
      <c r="B152" s="9" t="s">
        <v>262</v>
      </c>
      <c r="C152" s="4"/>
      <c r="D152" s="6">
        <v>40</v>
      </c>
      <c r="E152" s="6">
        <f>E151+C152-D152</f>
      </c>
      <c r="F152" s="2"/>
    </row>
    <row x14ac:dyDescent="0.25" r="153" customHeight="1" ht="17.25">
      <c r="A153" s="7">
        <v>45785</v>
      </c>
      <c r="B153" s="9" t="s">
        <v>35</v>
      </c>
      <c r="C153" s="4"/>
      <c r="D153" s="6">
        <v>150</v>
      </c>
      <c r="E153" s="6">
        <f>E152+C153-D153</f>
      </c>
      <c r="F153" s="2"/>
    </row>
    <row x14ac:dyDescent="0.25" r="154" customHeight="1" ht="17.25">
      <c r="A154" s="8">
        <v>45786</v>
      </c>
      <c r="B154" s="9" t="s">
        <v>42</v>
      </c>
      <c r="C154" s="4"/>
      <c r="D154" s="6">
        <v>70</v>
      </c>
      <c r="E154" s="6">
        <f>E153+C154-D154</f>
      </c>
      <c r="F154" s="2"/>
    </row>
    <row x14ac:dyDescent="0.25" r="155" customHeight="1" ht="17.25">
      <c r="A155" s="7">
        <v>45786</v>
      </c>
      <c r="B155" s="9" t="s">
        <v>388</v>
      </c>
      <c r="C155" s="4"/>
      <c r="D155" s="6">
        <v>24</v>
      </c>
      <c r="E155" s="6">
        <f>E154+C155-D155</f>
      </c>
      <c r="F155" s="2"/>
    </row>
    <row x14ac:dyDescent="0.25" r="156" customHeight="1" ht="17.25">
      <c r="A156" s="7">
        <v>45791</v>
      </c>
      <c r="B156" s="9" t="s">
        <v>228</v>
      </c>
      <c r="C156" s="4"/>
      <c r="D156" s="6">
        <v>600</v>
      </c>
      <c r="E156" s="6">
        <f>E155+C156-D156</f>
      </c>
      <c r="F156" s="2"/>
    </row>
    <row x14ac:dyDescent="0.25" r="157" customHeight="1" ht="17.25">
      <c r="A157" s="8">
        <v>45791</v>
      </c>
      <c r="B157" s="9" t="s">
        <v>282</v>
      </c>
      <c r="C157" s="6">
        <v>8</v>
      </c>
      <c r="D157" s="4"/>
      <c r="E157" s="6">
        <f>E156+C157-D157</f>
      </c>
      <c r="F157" s="2"/>
    </row>
    <row x14ac:dyDescent="0.25" r="158" customHeight="1" ht="17.25">
      <c r="A158" s="8">
        <v>45792</v>
      </c>
      <c r="B158" s="9" t="s">
        <v>35</v>
      </c>
      <c r="C158" s="4"/>
      <c r="D158" s="6">
        <v>50</v>
      </c>
      <c r="E158" s="6">
        <f>E157+C158-D158</f>
      </c>
      <c r="F158" s="2"/>
    </row>
    <row x14ac:dyDescent="0.25" r="159" customHeight="1" ht="17.25">
      <c r="A159" s="8">
        <v>45793</v>
      </c>
      <c r="B159" s="9" t="s">
        <v>262</v>
      </c>
      <c r="C159" s="4"/>
      <c r="D159" s="6">
        <v>12</v>
      </c>
      <c r="E159" s="6">
        <f>E158+C159-D159</f>
      </c>
      <c r="F159" s="2"/>
    </row>
    <row x14ac:dyDescent="0.25" r="160" customHeight="1" ht="17.25">
      <c r="A160" s="8">
        <v>45794</v>
      </c>
      <c r="B160" s="9" t="s">
        <v>35</v>
      </c>
      <c r="C160" s="4"/>
      <c r="D160" s="6">
        <v>100</v>
      </c>
      <c r="E160" s="6">
        <f>E159+C160-D160</f>
      </c>
      <c r="F160" s="2"/>
    </row>
    <row x14ac:dyDescent="0.25" r="161" customHeight="1" ht="17.25">
      <c r="A161" s="7">
        <v>45797</v>
      </c>
      <c r="B161" s="9" t="s">
        <v>2</v>
      </c>
      <c r="C161" s="4"/>
      <c r="D161" s="6">
        <v>400</v>
      </c>
      <c r="E161" s="6">
        <f>E160+C161-D161</f>
      </c>
      <c r="F161" s="2"/>
    </row>
    <row x14ac:dyDescent="0.25" r="162" customHeight="1" ht="17.25">
      <c r="A162" s="8">
        <v>45797</v>
      </c>
      <c r="B162" s="9" t="s">
        <v>42</v>
      </c>
      <c r="C162" s="4"/>
      <c r="D162" s="6">
        <v>40</v>
      </c>
      <c r="E162" s="6">
        <f>E161+C162-D162</f>
      </c>
      <c r="F162" s="2"/>
    </row>
    <row x14ac:dyDescent="0.25" r="163" customHeight="1" ht="17.25">
      <c r="A163" s="8">
        <v>45797</v>
      </c>
      <c r="B163" s="9" t="s">
        <v>35</v>
      </c>
      <c r="C163" s="4"/>
      <c r="D163" s="6">
        <v>48</v>
      </c>
      <c r="E163" s="6">
        <f>E162+C163-D163</f>
      </c>
      <c r="F163" s="2"/>
    </row>
    <row x14ac:dyDescent="0.25" r="164" customHeight="1" ht="17.25">
      <c r="A164" s="8">
        <v>45798</v>
      </c>
      <c r="B164" s="9" t="s">
        <v>284</v>
      </c>
      <c r="C164" s="4"/>
      <c r="D164" s="6">
        <v>500</v>
      </c>
      <c r="E164" s="6">
        <f>E163+C164-D164</f>
      </c>
      <c r="F164" s="2"/>
    </row>
    <row x14ac:dyDescent="0.25" r="165" customHeight="1" ht="17.25">
      <c r="A165" s="7">
        <v>45798</v>
      </c>
      <c r="B165" s="9" t="s">
        <v>35</v>
      </c>
      <c r="C165" s="4"/>
      <c r="D165" s="6">
        <v>160</v>
      </c>
      <c r="E165" s="6">
        <f>E164+C165-D165</f>
      </c>
      <c r="F165" s="2"/>
    </row>
    <row x14ac:dyDescent="0.25" r="166" customHeight="1" ht="17.25">
      <c r="A166" s="7">
        <v>45800</v>
      </c>
      <c r="B166" s="9" t="s">
        <v>35</v>
      </c>
      <c r="C166" s="4"/>
      <c r="D166" s="6">
        <v>16</v>
      </c>
      <c r="E166" s="6">
        <f>E165+C166-D166</f>
      </c>
      <c r="F166" s="2"/>
    </row>
    <row x14ac:dyDescent="0.25" r="167" customHeight="1" ht="17.25">
      <c r="A167" s="7">
        <v>45800</v>
      </c>
      <c r="B167" s="9" t="s">
        <v>42</v>
      </c>
      <c r="C167" s="4"/>
      <c r="D167" s="6">
        <v>250</v>
      </c>
      <c r="E167" s="6">
        <f>E166+C167-D167</f>
      </c>
      <c r="F167" s="2"/>
    </row>
    <row x14ac:dyDescent="0.25" r="168" customHeight="1" ht="17.25">
      <c r="A168" s="7">
        <v>45800</v>
      </c>
      <c r="B168" s="9" t="s">
        <v>206</v>
      </c>
      <c r="C168" s="4"/>
      <c r="D168" s="6">
        <v>1600</v>
      </c>
      <c r="E168" s="6">
        <f>E167+C168-D168</f>
      </c>
      <c r="F168" s="2"/>
    </row>
    <row x14ac:dyDescent="0.25" r="169" customHeight="1" ht="17.25">
      <c r="A169" s="7">
        <v>45801</v>
      </c>
      <c r="B169" s="9" t="s">
        <v>241</v>
      </c>
      <c r="C169" s="4"/>
      <c r="D169" s="6">
        <v>60</v>
      </c>
      <c r="E169" s="6">
        <f>E168+C169-D169</f>
      </c>
      <c r="F169" s="2"/>
    </row>
    <row x14ac:dyDescent="0.25" r="170" customHeight="1" ht="17.25">
      <c r="A170" s="7">
        <v>45801</v>
      </c>
      <c r="B170" s="9" t="s">
        <v>189</v>
      </c>
      <c r="C170" s="6">
        <v>238</v>
      </c>
      <c r="D170" s="4"/>
      <c r="E170" s="6">
        <f>E169+C170-D170</f>
      </c>
      <c r="F170" s="2"/>
    </row>
    <row x14ac:dyDescent="0.25" r="171" customHeight="1" ht="17.25">
      <c r="A171" s="8">
        <v>45803</v>
      </c>
      <c r="B171" s="9" t="s">
        <v>232</v>
      </c>
      <c r="C171" s="4"/>
      <c r="D171" s="6">
        <v>500</v>
      </c>
      <c r="E171" s="6">
        <f>E170+C171-D171</f>
      </c>
      <c r="F171" s="2"/>
    </row>
    <row x14ac:dyDescent="0.25" r="172" customHeight="1" ht="17.25">
      <c r="A172" s="7">
        <v>45805</v>
      </c>
      <c r="B172" s="9" t="s">
        <v>141</v>
      </c>
      <c r="C172" s="4"/>
      <c r="D172" s="6">
        <v>80</v>
      </c>
      <c r="E172" s="6">
        <f>E171+C172-D172</f>
      </c>
      <c r="F172" s="2"/>
    </row>
    <row x14ac:dyDescent="0.25" r="173" customHeight="1" ht="17.25">
      <c r="A173" s="7">
        <v>45806</v>
      </c>
      <c r="B173" s="9" t="s">
        <v>35</v>
      </c>
      <c r="C173" s="4"/>
      <c r="D173" s="6">
        <v>100</v>
      </c>
      <c r="E173" s="6">
        <f>E172+C173-D173</f>
      </c>
      <c r="F173" s="2"/>
    </row>
    <row x14ac:dyDescent="0.25" r="174" customHeight="1" ht="17.25">
      <c r="A174" s="8">
        <v>45808</v>
      </c>
      <c r="B174" s="9" t="s">
        <v>282</v>
      </c>
      <c r="C174" s="6">
        <v>4</v>
      </c>
      <c r="D174" s="4"/>
      <c r="E174" s="6">
        <f>E173+C174-D174</f>
      </c>
      <c r="F174" s="2"/>
    </row>
    <row x14ac:dyDescent="0.25" r="175" customHeight="1" ht="17.25">
      <c r="A175" s="8">
        <v>45810</v>
      </c>
      <c r="B175" s="9" t="s">
        <v>42</v>
      </c>
      <c r="C175" s="4"/>
      <c r="D175" s="6">
        <v>100</v>
      </c>
      <c r="E175" s="6">
        <f>E174+C175-D175</f>
      </c>
      <c r="F175" s="2"/>
    </row>
    <row x14ac:dyDescent="0.25" r="176" customHeight="1" ht="17.25">
      <c r="A176" s="7">
        <v>45811</v>
      </c>
      <c r="B176" s="9" t="s">
        <v>389</v>
      </c>
      <c r="C176" s="4"/>
      <c r="D176" s="6">
        <v>300</v>
      </c>
      <c r="E176" s="6">
        <f>E175+C176-D176</f>
      </c>
      <c r="F176" s="2"/>
    </row>
    <row x14ac:dyDescent="0.25" r="177" customHeight="1" ht="17.25">
      <c r="A177" s="7">
        <v>45811</v>
      </c>
      <c r="B177" s="9" t="s">
        <v>206</v>
      </c>
      <c r="C177" s="4"/>
      <c r="D177" s="6">
        <v>1386</v>
      </c>
      <c r="E177" s="6">
        <f>E176+C177-D177</f>
      </c>
      <c r="F177" s="2"/>
    </row>
    <row x14ac:dyDescent="0.25" r="178" customHeight="1" ht="17.25">
      <c r="A178" s="8">
        <v>45811</v>
      </c>
      <c r="B178" s="9" t="s">
        <v>100</v>
      </c>
      <c r="C178" s="4"/>
      <c r="D178" s="6">
        <v>200</v>
      </c>
      <c r="E178" s="6">
        <f>E177+C178-D178</f>
      </c>
      <c r="F178" s="2"/>
    </row>
    <row x14ac:dyDescent="0.25" r="179" customHeight="1" ht="17.25">
      <c r="A179" s="7">
        <v>45811</v>
      </c>
      <c r="B179" s="9" t="s">
        <v>35</v>
      </c>
      <c r="C179" s="4"/>
      <c r="D179" s="6">
        <v>150</v>
      </c>
      <c r="E179" s="6">
        <f>E178+C179-D179</f>
      </c>
      <c r="F179" s="2"/>
    </row>
    <row x14ac:dyDescent="0.25" r="180" customHeight="1" ht="17.25">
      <c r="A180" s="7">
        <v>45812</v>
      </c>
      <c r="B180" s="9" t="s">
        <v>316</v>
      </c>
      <c r="C180" s="4"/>
      <c r="D180" s="6">
        <v>478</v>
      </c>
      <c r="E180" s="6">
        <f>E179+C180-D180</f>
      </c>
      <c r="F180" s="2"/>
    </row>
    <row x14ac:dyDescent="0.25" r="181" customHeight="1" ht="17.25">
      <c r="A181" s="34">
        <v>45812</v>
      </c>
      <c r="B181" s="36" t="s">
        <v>284</v>
      </c>
      <c r="C181" s="32"/>
      <c r="D181" s="33">
        <v>500</v>
      </c>
      <c r="E181" s="33">
        <f>E180+C181-D181</f>
      </c>
      <c r="F181" s="31" t="s">
        <v>203</v>
      </c>
    </row>
    <row x14ac:dyDescent="0.25" r="182" customHeight="1" ht="17.25">
      <c r="A182" s="8">
        <v>45812</v>
      </c>
      <c r="B182" s="9" t="s">
        <v>100</v>
      </c>
      <c r="C182" s="4"/>
      <c r="D182" s="6">
        <v>400</v>
      </c>
      <c r="E182" s="6">
        <f>E181+C182-D182</f>
      </c>
      <c r="F182" s="2"/>
    </row>
    <row x14ac:dyDescent="0.25" r="183" customHeight="1" ht="17.25">
      <c r="A183" s="7">
        <v>45812</v>
      </c>
      <c r="B183" s="9" t="s">
        <v>11</v>
      </c>
      <c r="C183" s="6">
        <v>153</v>
      </c>
      <c r="D183" s="4"/>
      <c r="E183" s="6">
        <f>E182+C183-D183</f>
      </c>
      <c r="F183" s="2"/>
    </row>
    <row x14ac:dyDescent="0.25" r="184" customHeight="1" ht="17.25">
      <c r="A184" s="7">
        <v>45813</v>
      </c>
      <c r="B184" s="9" t="s">
        <v>284</v>
      </c>
      <c r="C184" s="4"/>
      <c r="D184" s="6">
        <v>300</v>
      </c>
      <c r="E184" s="6">
        <f>E183+C184-D184</f>
      </c>
      <c r="F184" s="2"/>
    </row>
    <row x14ac:dyDescent="0.25" r="185" customHeight="1" ht="17.25">
      <c r="A185" s="7">
        <v>45813</v>
      </c>
      <c r="B185" s="9" t="s">
        <v>316</v>
      </c>
      <c r="C185" s="4"/>
      <c r="D185" s="6">
        <v>22</v>
      </c>
      <c r="E185" s="6">
        <f>E184+C185-D185</f>
      </c>
      <c r="F185" s="2"/>
    </row>
    <row x14ac:dyDescent="0.25" r="186" customHeight="1" ht="17.25">
      <c r="A186" s="7">
        <v>45815</v>
      </c>
      <c r="B186" s="9" t="s">
        <v>284</v>
      </c>
      <c r="C186" s="4"/>
      <c r="D186" s="6">
        <v>300</v>
      </c>
      <c r="E186" s="6">
        <f>E185+C186-D186</f>
      </c>
      <c r="F186" s="2"/>
    </row>
    <row x14ac:dyDescent="0.25" r="187" customHeight="1" ht="17.25">
      <c r="A187" s="7">
        <v>45815</v>
      </c>
      <c r="B187" s="9" t="s">
        <v>42</v>
      </c>
      <c r="C187" s="4"/>
      <c r="D187" s="6">
        <v>50</v>
      </c>
      <c r="E187" s="6">
        <f>E186+C187-D187</f>
      </c>
      <c r="F187" s="2"/>
    </row>
    <row x14ac:dyDescent="0.25" r="188" customHeight="1" ht="17.25">
      <c r="A188" s="8">
        <v>45817</v>
      </c>
      <c r="B188" s="9" t="s">
        <v>284</v>
      </c>
      <c r="C188" s="4"/>
      <c r="D188" s="6">
        <v>400</v>
      </c>
      <c r="E188" s="6">
        <f>E187+C188-D188</f>
      </c>
      <c r="F188" s="2"/>
    </row>
    <row x14ac:dyDescent="0.25" r="189" customHeight="1" ht="17.25">
      <c r="A189" s="7">
        <v>45817</v>
      </c>
      <c r="B189" s="9" t="s">
        <v>234</v>
      </c>
      <c r="C189" s="6">
        <v>142</v>
      </c>
      <c r="D189" s="4"/>
      <c r="E189" s="6">
        <f>E188+C189-D189</f>
      </c>
      <c r="F189" s="2"/>
    </row>
    <row x14ac:dyDescent="0.25" r="190" customHeight="1" ht="17.25">
      <c r="A190" s="34">
        <v>45818</v>
      </c>
      <c r="B190" s="36" t="s">
        <v>232</v>
      </c>
      <c r="C190" s="32"/>
      <c r="D190" s="32"/>
      <c r="E190" s="33">
        <f>E189+C190-D190</f>
      </c>
      <c r="F190" s="31" t="s">
        <v>390</v>
      </c>
    </row>
    <row x14ac:dyDescent="0.25" r="191" customHeight="1" ht="17.25">
      <c r="A191" s="7">
        <v>45818</v>
      </c>
      <c r="B191" s="9" t="s">
        <v>388</v>
      </c>
      <c r="C191" s="6">
        <v>23</v>
      </c>
      <c r="D191" s="4"/>
      <c r="E191" s="6">
        <f>E190+C191-D191</f>
      </c>
      <c r="F191" s="2"/>
    </row>
    <row x14ac:dyDescent="0.25" r="192" customHeight="1" ht="17.25">
      <c r="A192" s="7">
        <v>45820</v>
      </c>
      <c r="B192" s="9" t="s">
        <v>11</v>
      </c>
      <c r="C192" s="4"/>
      <c r="D192" s="6">
        <v>153</v>
      </c>
      <c r="E192" s="6">
        <f>E191+C192-D192</f>
      </c>
      <c r="F192" s="2"/>
    </row>
    <row x14ac:dyDescent="0.25" r="193" customHeight="1" ht="17.25">
      <c r="A193" s="8">
        <v>45821</v>
      </c>
      <c r="B193" s="9" t="s">
        <v>35</v>
      </c>
      <c r="C193" s="4"/>
      <c r="D193" s="6">
        <v>100</v>
      </c>
      <c r="E193" s="6">
        <f>E192+C193-D193</f>
      </c>
      <c r="F193" s="2"/>
    </row>
    <row x14ac:dyDescent="0.25" r="194" customHeight="1" ht="17.25">
      <c r="A194" s="8">
        <v>45821</v>
      </c>
      <c r="B194" s="9" t="s">
        <v>342</v>
      </c>
      <c r="C194" s="4"/>
      <c r="D194" s="6">
        <v>6</v>
      </c>
      <c r="E194" s="6">
        <f>E193+C194-D194</f>
      </c>
      <c r="F194" s="2"/>
    </row>
    <row x14ac:dyDescent="0.25" r="195" customHeight="1" ht="17.25">
      <c r="A195" s="8">
        <v>45821</v>
      </c>
      <c r="B195" s="9" t="s">
        <v>329</v>
      </c>
      <c r="C195" s="6">
        <v>58</v>
      </c>
      <c r="D195" s="4"/>
      <c r="E195" s="6">
        <f>E194+C195-D195</f>
      </c>
      <c r="F195" s="2"/>
    </row>
    <row x14ac:dyDescent="0.25" r="196" customHeight="1" ht="17.25">
      <c r="A196" s="7">
        <v>45822</v>
      </c>
      <c r="B196" s="9" t="s">
        <v>35</v>
      </c>
      <c r="C196" s="4"/>
      <c r="D196" s="6">
        <v>200</v>
      </c>
      <c r="E196" s="6">
        <f>E195+C196-D196</f>
      </c>
      <c r="F196" s="2"/>
    </row>
    <row x14ac:dyDescent="0.25" r="197" customHeight="1" ht="17.25">
      <c r="A197" s="7">
        <v>45823</v>
      </c>
      <c r="B197" s="9" t="s">
        <v>389</v>
      </c>
      <c r="C197" s="4"/>
      <c r="D197" s="6">
        <v>300</v>
      </c>
      <c r="E197" s="6">
        <f>E196+C197-D197</f>
      </c>
      <c r="F197" s="2"/>
    </row>
    <row x14ac:dyDescent="0.25" r="198" customHeight="1" ht="17.25">
      <c r="A198" s="7">
        <v>45826</v>
      </c>
      <c r="B198" s="9" t="s">
        <v>3</v>
      </c>
      <c r="C198" s="4"/>
      <c r="D198" s="6">
        <v>150</v>
      </c>
      <c r="E198" s="6">
        <f>E197+C198-D198</f>
      </c>
      <c r="F198" s="2"/>
    </row>
    <row x14ac:dyDescent="0.25" r="199" customHeight="1" ht="17.25">
      <c r="A199" s="7">
        <v>45828</v>
      </c>
      <c r="B199" s="9" t="s">
        <v>316</v>
      </c>
      <c r="C199" s="4"/>
      <c r="D199" s="6">
        <v>500</v>
      </c>
      <c r="E199" s="6">
        <f>E198+C199-D199</f>
      </c>
      <c r="F199" s="2"/>
    </row>
    <row x14ac:dyDescent="0.25" r="200" customHeight="1" ht="17.25">
      <c r="A200" s="7">
        <v>45829</v>
      </c>
      <c r="B200" s="9" t="s">
        <v>391</v>
      </c>
      <c r="C200" s="4"/>
      <c r="D200" s="6">
        <v>300</v>
      </c>
      <c r="E200" s="6">
        <f>E199+C200-D200</f>
      </c>
      <c r="F200" s="2"/>
    </row>
    <row x14ac:dyDescent="0.25" r="201" customHeight="1" ht="17.25">
      <c r="A201" s="7">
        <v>45832</v>
      </c>
      <c r="B201" s="9" t="s">
        <v>316</v>
      </c>
      <c r="C201" s="4"/>
      <c r="D201" s="6">
        <v>500</v>
      </c>
      <c r="E201" s="6">
        <f>E200+C201-D201</f>
      </c>
      <c r="F201" s="2"/>
    </row>
    <row x14ac:dyDescent="0.25" r="202" customHeight="1" ht="17.25">
      <c r="A202" s="8">
        <v>45833</v>
      </c>
      <c r="B202" s="9" t="s">
        <v>35</v>
      </c>
      <c r="C202" s="6">
        <v>311</v>
      </c>
      <c r="D202" s="4"/>
      <c r="E202" s="6">
        <f>E201+C202-D202</f>
      </c>
      <c r="F202" s="2"/>
    </row>
    <row x14ac:dyDescent="0.25" r="203" customHeight="1" ht="17.25">
      <c r="A203" s="7">
        <v>45834</v>
      </c>
      <c r="B203" s="9" t="s">
        <v>286</v>
      </c>
      <c r="C203" s="6">
        <v>36</v>
      </c>
      <c r="D203" s="4"/>
      <c r="E203" s="6">
        <f>E202+C203-D203</f>
      </c>
      <c r="F203" s="2"/>
    </row>
    <row x14ac:dyDescent="0.25" r="204" customHeight="1" ht="17.25">
      <c r="A204" s="8">
        <v>45839</v>
      </c>
      <c r="B204" s="9" t="s">
        <v>341</v>
      </c>
      <c r="C204" s="4"/>
      <c r="D204" s="6">
        <v>50</v>
      </c>
      <c r="E204" s="6">
        <f>E203+C204-D204</f>
      </c>
      <c r="F204" s="2"/>
    </row>
    <row x14ac:dyDescent="0.25" r="205" customHeight="1" ht="17.25">
      <c r="A205" s="8">
        <v>45839</v>
      </c>
      <c r="B205" s="9" t="s">
        <v>35</v>
      </c>
      <c r="C205" s="6">
        <v>53</v>
      </c>
      <c r="D205" s="4"/>
      <c r="E205" s="6">
        <f>E204+C205-D205</f>
      </c>
      <c r="F205" s="2"/>
    </row>
    <row x14ac:dyDescent="0.25" r="206" customHeight="1" ht="17.25">
      <c r="A206" s="7">
        <v>45840</v>
      </c>
      <c r="B206" s="9" t="s">
        <v>228</v>
      </c>
      <c r="C206" s="4"/>
      <c r="D206" s="6">
        <v>350</v>
      </c>
      <c r="E206" s="6">
        <f>E205+C206-D206</f>
      </c>
      <c r="F206" s="2"/>
    </row>
    <row x14ac:dyDescent="0.25" r="207" customHeight="1" ht="17.25">
      <c r="A207" s="7">
        <v>45840</v>
      </c>
      <c r="B207" s="9" t="s">
        <v>3</v>
      </c>
      <c r="C207" s="4"/>
      <c r="D207" s="6">
        <v>150</v>
      </c>
      <c r="E207" s="6">
        <f>E206+C207-D207</f>
      </c>
      <c r="F207" s="2"/>
    </row>
    <row x14ac:dyDescent="0.25" r="208" customHeight="1" ht="17.25">
      <c r="A208" s="7">
        <v>45841</v>
      </c>
      <c r="B208" s="9" t="s">
        <v>284</v>
      </c>
      <c r="C208" s="4"/>
      <c r="D208" s="6">
        <v>300</v>
      </c>
      <c r="E208" s="6">
        <f>E207+C208-D208</f>
      </c>
      <c r="F208" s="2"/>
    </row>
    <row x14ac:dyDescent="0.25" r="209" customHeight="1" ht="17.25">
      <c r="A209" s="8">
        <v>45842</v>
      </c>
      <c r="B209" s="9" t="s">
        <v>298</v>
      </c>
      <c r="C209" s="4"/>
      <c r="D209" s="6">
        <v>594</v>
      </c>
      <c r="E209" s="6">
        <f>E208+C209-D209</f>
      </c>
      <c r="F209" s="2"/>
    </row>
    <row x14ac:dyDescent="0.25" r="210" customHeight="1" ht="17.25">
      <c r="A210" s="8">
        <v>45843</v>
      </c>
      <c r="B210" s="9" t="s">
        <v>284</v>
      </c>
      <c r="C210" s="4"/>
      <c r="D210" s="6">
        <v>400</v>
      </c>
      <c r="E210" s="6">
        <f>E209+C210-D210</f>
      </c>
      <c r="F210" s="2"/>
    </row>
    <row x14ac:dyDescent="0.25" r="211" customHeight="1" ht="17.25">
      <c r="A211" s="8">
        <v>45845</v>
      </c>
      <c r="B211" s="9" t="s">
        <v>343</v>
      </c>
      <c r="C211" s="4"/>
      <c r="D211" s="6">
        <v>6</v>
      </c>
      <c r="E211" s="6">
        <f>E210+C211-D211</f>
      </c>
      <c r="F211" s="2"/>
    </row>
    <row x14ac:dyDescent="0.25" r="212" customHeight="1" ht="17.25">
      <c r="A212" s="7">
        <v>45845</v>
      </c>
      <c r="B212" s="9" t="s">
        <v>284</v>
      </c>
      <c r="C212" s="4"/>
      <c r="D212" s="6">
        <v>1300</v>
      </c>
      <c r="E212" s="6">
        <f>E211+C212-D212</f>
      </c>
      <c r="F212" s="2"/>
    </row>
    <row x14ac:dyDescent="0.25" r="213" customHeight="1" ht="17.25">
      <c r="A213" s="7">
        <v>45845</v>
      </c>
      <c r="B213" s="9" t="s">
        <v>2</v>
      </c>
      <c r="C213" s="4"/>
      <c r="D213" s="6">
        <v>600</v>
      </c>
      <c r="E213" s="6">
        <f>E212+C213-D213</f>
      </c>
      <c r="F213" s="2"/>
    </row>
    <row x14ac:dyDescent="0.25" r="214" customHeight="1" ht="17.25">
      <c r="A214" s="7">
        <v>45846</v>
      </c>
      <c r="B214" s="9" t="s">
        <v>316</v>
      </c>
      <c r="C214" s="4"/>
      <c r="D214" s="6">
        <v>1000</v>
      </c>
      <c r="E214" s="6">
        <f>E213+C214-D214</f>
      </c>
      <c r="F214" s="2"/>
    </row>
    <row x14ac:dyDescent="0.25" r="215" customHeight="1" ht="17.25">
      <c r="A215" s="8">
        <v>45846</v>
      </c>
      <c r="B215" s="9" t="s">
        <v>234</v>
      </c>
      <c r="C215" s="4"/>
      <c r="D215" s="6">
        <v>100</v>
      </c>
      <c r="E215" s="6">
        <f>E214+C215-D215</f>
      </c>
      <c r="F215" s="2"/>
    </row>
    <row x14ac:dyDescent="0.25" r="216" customHeight="1" ht="17.25">
      <c r="A216" s="7">
        <v>45847</v>
      </c>
      <c r="B216" s="9" t="s">
        <v>100</v>
      </c>
      <c r="C216" s="4"/>
      <c r="D216" s="6">
        <v>200</v>
      </c>
      <c r="E216" s="6">
        <f>E215+C216-D216</f>
      </c>
      <c r="F216" s="2"/>
    </row>
    <row x14ac:dyDescent="0.25" r="217" customHeight="1" ht="17.25">
      <c r="A217" s="8">
        <v>45847</v>
      </c>
      <c r="B217" s="9" t="s">
        <v>35</v>
      </c>
      <c r="C217" s="6">
        <v>22</v>
      </c>
      <c r="D217" s="4"/>
      <c r="E217" s="6">
        <f>E216+C217-D217</f>
      </c>
      <c r="F217" s="2"/>
    </row>
    <row x14ac:dyDescent="0.25" r="218" customHeight="1" ht="17.25">
      <c r="A218" s="8">
        <v>45847</v>
      </c>
      <c r="B218" s="9" t="s">
        <v>299</v>
      </c>
      <c r="C218" s="4"/>
      <c r="D218" s="6">
        <v>30</v>
      </c>
      <c r="E218" s="6">
        <f>E217+C218-D218</f>
      </c>
      <c r="F218" s="2"/>
    </row>
    <row x14ac:dyDescent="0.25" r="219" customHeight="1" ht="17.25">
      <c r="A219" s="7">
        <v>45848</v>
      </c>
      <c r="B219" s="9" t="s">
        <v>189</v>
      </c>
      <c r="C219" s="6">
        <v>149</v>
      </c>
      <c r="D219" s="4"/>
      <c r="E219" s="6">
        <f>E218+C219-D219</f>
      </c>
      <c r="F219" s="2"/>
    </row>
    <row x14ac:dyDescent="0.25" r="220" customHeight="1" ht="17.25">
      <c r="A220" s="7">
        <v>45850</v>
      </c>
      <c r="B220" s="9" t="s">
        <v>391</v>
      </c>
      <c r="C220" s="4"/>
      <c r="D220" s="6">
        <v>200</v>
      </c>
      <c r="E220" s="6">
        <f>E219+C220-D220</f>
      </c>
      <c r="F220" s="2"/>
    </row>
    <row x14ac:dyDescent="0.25" r="221" customHeight="1" ht="17.25">
      <c r="A221" s="7">
        <v>45850</v>
      </c>
      <c r="B221" s="9" t="s">
        <v>189</v>
      </c>
      <c r="C221" s="6">
        <v>180</v>
      </c>
      <c r="D221" s="4"/>
      <c r="E221" s="6">
        <f>E220+C221-D221</f>
      </c>
      <c r="F221" s="2"/>
    </row>
    <row x14ac:dyDescent="0.25" r="222" customHeight="1" ht="17.25">
      <c r="A222" s="7">
        <v>45852</v>
      </c>
      <c r="B222" s="9" t="s">
        <v>299</v>
      </c>
      <c r="C222" s="4"/>
      <c r="D222" s="6">
        <v>50</v>
      </c>
      <c r="E222" s="6">
        <f>E221+C222-D222</f>
      </c>
      <c r="F222" s="2"/>
    </row>
    <row x14ac:dyDescent="0.25" r="223" customHeight="1" ht="17.25">
      <c r="A223" s="8">
        <v>45853</v>
      </c>
      <c r="B223" s="9" t="s">
        <v>47</v>
      </c>
      <c r="C223" s="4"/>
      <c r="D223" s="6">
        <v>500</v>
      </c>
      <c r="E223" s="6">
        <f>E222+C223-D223</f>
      </c>
      <c r="F223" s="2"/>
    </row>
    <row x14ac:dyDescent="0.25" r="224" customHeight="1" ht="17.25">
      <c r="A224" s="8">
        <v>45853</v>
      </c>
      <c r="B224" s="9" t="s">
        <v>47</v>
      </c>
      <c r="C224" s="4"/>
      <c r="D224" s="6">
        <v>500</v>
      </c>
      <c r="E224" s="6">
        <f>E223+C224-D224</f>
      </c>
      <c r="F224" s="2"/>
    </row>
    <row x14ac:dyDescent="0.25" r="225" customHeight="1" ht="17.25">
      <c r="A225" s="7">
        <v>45854</v>
      </c>
      <c r="B225" s="9" t="s">
        <v>100</v>
      </c>
      <c r="C225" s="4"/>
      <c r="D225" s="6">
        <v>500</v>
      </c>
      <c r="E225" s="6">
        <f>E224+C225-D225</f>
      </c>
      <c r="F225" s="2"/>
    </row>
    <row x14ac:dyDescent="0.25" r="226" customHeight="1" ht="17.25">
      <c r="A226" s="8">
        <v>45854</v>
      </c>
      <c r="B226" s="9" t="s">
        <v>35</v>
      </c>
      <c r="C226" s="6">
        <v>100</v>
      </c>
      <c r="D226" s="4"/>
      <c r="E226" s="6">
        <f>E225+C226-D226</f>
      </c>
      <c r="F226" s="2"/>
    </row>
    <row x14ac:dyDescent="0.25" r="227" customHeight="1" ht="17.25">
      <c r="A227" s="7">
        <v>45854</v>
      </c>
      <c r="B227" s="9" t="s">
        <v>189</v>
      </c>
      <c r="C227" s="6">
        <v>183</v>
      </c>
      <c r="D227" s="4"/>
      <c r="E227" s="6">
        <f>E226+C227-D227</f>
      </c>
      <c r="F227" s="2"/>
    </row>
    <row x14ac:dyDescent="0.25" r="228" customHeight="1" ht="17.25">
      <c r="A228" s="7">
        <v>45854</v>
      </c>
      <c r="B228" s="9" t="s">
        <v>189</v>
      </c>
      <c r="C228" s="6">
        <v>79</v>
      </c>
      <c r="D228" s="4"/>
      <c r="E228" s="6">
        <f>E227+C228-D228</f>
      </c>
      <c r="F228" s="2"/>
    </row>
    <row x14ac:dyDescent="0.25" r="229" customHeight="1" ht="17.25">
      <c r="A229" s="7">
        <v>45854</v>
      </c>
      <c r="B229" s="9" t="s">
        <v>376</v>
      </c>
      <c r="C229" s="6">
        <v>4</v>
      </c>
      <c r="D229" s="4"/>
      <c r="E229" s="6">
        <f>E228+C229-D229</f>
      </c>
      <c r="F229" s="2"/>
    </row>
    <row x14ac:dyDescent="0.25" r="230" customHeight="1" ht="17.25">
      <c r="A230" s="7">
        <v>45855</v>
      </c>
      <c r="B230" s="9" t="s">
        <v>299</v>
      </c>
      <c r="C230" s="4"/>
      <c r="D230" s="6">
        <v>50</v>
      </c>
      <c r="E230" s="6">
        <f>E229+C230-D230</f>
      </c>
      <c r="F230" s="2"/>
    </row>
    <row x14ac:dyDescent="0.25" r="231" customHeight="1" ht="17.25">
      <c r="A231" s="8">
        <v>45856</v>
      </c>
      <c r="B231" s="9" t="s">
        <v>183</v>
      </c>
      <c r="C231" s="4"/>
      <c r="D231" s="6">
        <v>24</v>
      </c>
      <c r="E231" s="6">
        <f>E230+C231-D231</f>
      </c>
      <c r="F231" s="2"/>
    </row>
    <row x14ac:dyDescent="0.25" r="232" customHeight="1" ht="17.25">
      <c r="A232" s="7">
        <v>45860</v>
      </c>
      <c r="B232" s="9" t="s">
        <v>389</v>
      </c>
      <c r="C232" s="4"/>
      <c r="D232" s="6">
        <v>300</v>
      </c>
      <c r="E232" s="6">
        <f>E231+C232-D232</f>
      </c>
      <c r="F232" s="2"/>
    </row>
    <row x14ac:dyDescent="0.25" r="233" customHeight="1" ht="17.25">
      <c r="A233" s="7">
        <v>45860</v>
      </c>
      <c r="B233" s="9" t="s">
        <v>391</v>
      </c>
      <c r="C233" s="4"/>
      <c r="D233" s="6">
        <v>200</v>
      </c>
      <c r="E233" s="6">
        <f>E232+C233-D233</f>
      </c>
      <c r="F233" s="2"/>
    </row>
    <row x14ac:dyDescent="0.25" r="234" customHeight="1" ht="17.25">
      <c r="A234" s="7">
        <v>45860</v>
      </c>
      <c r="B234" s="9" t="s">
        <v>42</v>
      </c>
      <c r="C234" s="6">
        <v>38</v>
      </c>
      <c r="D234" s="4"/>
      <c r="E234" s="6">
        <f>E233+C234-D234</f>
      </c>
      <c r="F234" s="2"/>
    </row>
    <row x14ac:dyDescent="0.25" r="235" customHeight="1" ht="17.25">
      <c r="A235" s="7">
        <v>45861</v>
      </c>
      <c r="B235" s="9" t="s">
        <v>284</v>
      </c>
      <c r="C235" s="4"/>
      <c r="D235" s="6">
        <v>200</v>
      </c>
      <c r="E235" s="6">
        <f>E234+C235-D235</f>
      </c>
      <c r="F235" s="2"/>
    </row>
    <row x14ac:dyDescent="0.25" r="236" customHeight="1" ht="17.25">
      <c r="A236" s="7">
        <v>45861</v>
      </c>
      <c r="B236" s="9" t="s">
        <v>100</v>
      </c>
      <c r="C236" s="4"/>
      <c r="D236" s="6">
        <v>200</v>
      </c>
      <c r="E236" s="6">
        <f>E235+C236-D236</f>
      </c>
      <c r="F236" s="2"/>
    </row>
    <row x14ac:dyDescent="0.25" r="237" customHeight="1" ht="17.25">
      <c r="A237" s="8">
        <v>45861</v>
      </c>
      <c r="B237" s="9" t="s">
        <v>304</v>
      </c>
      <c r="C237" s="4"/>
      <c r="D237" s="6">
        <v>20</v>
      </c>
      <c r="E237" s="6">
        <f>E236+C237-D237</f>
      </c>
      <c r="F237" s="2"/>
    </row>
    <row x14ac:dyDescent="0.25" r="238" customHeight="1" ht="17.25">
      <c r="A238" s="8">
        <v>45861</v>
      </c>
      <c r="B238" s="9" t="s">
        <v>342</v>
      </c>
      <c r="C238" s="6">
        <v>4</v>
      </c>
      <c r="D238" s="4"/>
      <c r="E238" s="6">
        <f>E237+C238-D238</f>
      </c>
      <c r="F238" s="2"/>
    </row>
    <row x14ac:dyDescent="0.25" r="239" customHeight="1" ht="17.25">
      <c r="A239" s="8">
        <v>45862</v>
      </c>
      <c r="B239" s="9" t="s">
        <v>232</v>
      </c>
      <c r="C239" s="4"/>
      <c r="D239" s="6">
        <v>100</v>
      </c>
      <c r="E239" s="6">
        <f>E238+C239-D239</f>
      </c>
      <c r="F239" s="2"/>
    </row>
    <row x14ac:dyDescent="0.25" r="240" customHeight="1" ht="17.25">
      <c r="A240" s="8">
        <v>45865</v>
      </c>
      <c r="B240" s="9" t="s">
        <v>232</v>
      </c>
      <c r="C240" s="4"/>
      <c r="D240" s="6">
        <v>400</v>
      </c>
      <c r="E240" s="6">
        <f>E239+C240-D240</f>
      </c>
      <c r="F240" s="2"/>
    </row>
    <row x14ac:dyDescent="0.25" r="241" customHeight="1" ht="17.25">
      <c r="A241" s="8">
        <v>45865</v>
      </c>
      <c r="B241" s="9" t="s">
        <v>264</v>
      </c>
      <c r="C241" s="4"/>
      <c r="D241" s="6">
        <v>20</v>
      </c>
      <c r="E241" s="6">
        <f>E240+C241-D241</f>
      </c>
      <c r="F241" s="2"/>
    </row>
    <row x14ac:dyDescent="0.25" r="242" customHeight="1" ht="17.25">
      <c r="A242" s="7">
        <v>45867</v>
      </c>
      <c r="B242" s="9" t="s">
        <v>241</v>
      </c>
      <c r="C242" s="4"/>
      <c r="D242" s="6">
        <v>50</v>
      </c>
      <c r="E242" s="6">
        <f>E241+C242-D242</f>
      </c>
      <c r="F242" s="2"/>
    </row>
    <row x14ac:dyDescent="0.25" r="243" customHeight="1" ht="17.25">
      <c r="A243" s="8">
        <v>45867</v>
      </c>
      <c r="B243" s="9" t="s">
        <v>46</v>
      </c>
      <c r="C243" s="4"/>
      <c r="D243" s="6">
        <v>300</v>
      </c>
      <c r="E243" s="6">
        <f>E242+C243-D243</f>
      </c>
      <c r="F243" s="2"/>
    </row>
    <row x14ac:dyDescent="0.25" r="244" customHeight="1" ht="17.25">
      <c r="A244" s="8">
        <v>45867</v>
      </c>
      <c r="B244" s="9" t="s">
        <v>35</v>
      </c>
      <c r="C244" s="6">
        <v>141</v>
      </c>
      <c r="D244" s="4"/>
      <c r="E244" s="6">
        <f>E243+C244-D244</f>
      </c>
      <c r="F244" s="2"/>
    </row>
    <row x14ac:dyDescent="0.25" r="245" customHeight="1" ht="17.25">
      <c r="A245" s="7">
        <v>45868</v>
      </c>
      <c r="B245" s="9" t="s">
        <v>243</v>
      </c>
      <c r="C245" s="4"/>
      <c r="D245" s="6">
        <v>150</v>
      </c>
      <c r="E245" s="6">
        <f>E244+C245-D245</f>
      </c>
      <c r="F245" s="2"/>
    </row>
    <row x14ac:dyDescent="0.25" r="246" customHeight="1" ht="17.25">
      <c r="A246" s="7">
        <v>45868</v>
      </c>
      <c r="B246" s="9" t="s">
        <v>389</v>
      </c>
      <c r="C246" s="4"/>
      <c r="D246" s="6">
        <v>100</v>
      </c>
      <c r="E246" s="6">
        <f>E245+C246-D246</f>
      </c>
      <c r="F246" s="2"/>
    </row>
    <row x14ac:dyDescent="0.25" r="247" customHeight="1" ht="17.25">
      <c r="A247" s="7">
        <v>45868</v>
      </c>
      <c r="B247" s="9" t="s">
        <v>46</v>
      </c>
      <c r="C247" s="4"/>
      <c r="D247" s="6">
        <v>700</v>
      </c>
      <c r="E247" s="6">
        <f>E246+C247-D247</f>
      </c>
      <c r="F247" s="2"/>
    </row>
    <row x14ac:dyDescent="0.25" r="248" customHeight="1" ht="17.25">
      <c r="A248" s="8">
        <v>45868</v>
      </c>
      <c r="B248" s="9" t="s">
        <v>100</v>
      </c>
      <c r="C248" s="4"/>
      <c r="D248" s="6">
        <v>150</v>
      </c>
      <c r="E248" s="6">
        <f>E247+C248-D248</f>
      </c>
      <c r="F248" s="2"/>
    </row>
    <row x14ac:dyDescent="0.25" r="249" customHeight="1" ht="17.25">
      <c r="A249" s="8">
        <v>45868</v>
      </c>
      <c r="B249" s="9" t="s">
        <v>100</v>
      </c>
      <c r="C249" s="4"/>
      <c r="D249" s="6">
        <v>141</v>
      </c>
      <c r="E249" s="6">
        <f>E248+C249-D249</f>
      </c>
      <c r="F249" s="2"/>
    </row>
    <row x14ac:dyDescent="0.25" r="250" customHeight="1" ht="17.25">
      <c r="A250" s="7">
        <v>45869</v>
      </c>
      <c r="B250" s="9" t="s">
        <v>345</v>
      </c>
      <c r="C250" s="4"/>
      <c r="D250" s="6">
        <v>30</v>
      </c>
      <c r="E250" s="6">
        <f>E249+C250-D250</f>
      </c>
      <c r="F250" s="2"/>
    </row>
    <row x14ac:dyDescent="0.25" r="251" customHeight="1" ht="17.25">
      <c r="A251" s="7">
        <v>45869</v>
      </c>
      <c r="B251" s="9" t="s">
        <v>35</v>
      </c>
      <c r="C251" s="6">
        <v>170</v>
      </c>
      <c r="D251" s="4"/>
      <c r="E251" s="6">
        <f>E250+C251-D251</f>
      </c>
      <c r="F251" s="2"/>
    </row>
    <row x14ac:dyDescent="0.25" r="252" customHeight="1" ht="17.25">
      <c r="A252" s="8">
        <v>45870</v>
      </c>
      <c r="B252" s="9" t="s">
        <v>47</v>
      </c>
      <c r="C252" s="4"/>
      <c r="D252" s="6">
        <v>300</v>
      </c>
      <c r="E252" s="6">
        <f>E251+C252-D252</f>
      </c>
      <c r="F252" s="2"/>
    </row>
    <row x14ac:dyDescent="0.25" r="253" customHeight="1" ht="17.25">
      <c r="A253" s="7">
        <v>45870</v>
      </c>
      <c r="B253" s="9" t="s">
        <v>35</v>
      </c>
      <c r="C253" s="6">
        <v>215</v>
      </c>
      <c r="D253" s="4"/>
      <c r="E253" s="6">
        <f>E252+C253-D253</f>
      </c>
      <c r="F253" s="2"/>
    </row>
    <row x14ac:dyDescent="0.25" r="254" customHeight="1" ht="17.25">
      <c r="A254" s="7">
        <v>45873</v>
      </c>
      <c r="B254" s="9" t="s">
        <v>391</v>
      </c>
      <c r="C254" s="4"/>
      <c r="D254" s="6">
        <v>200</v>
      </c>
      <c r="E254" s="6">
        <f>E253+C254-D254</f>
      </c>
      <c r="F254" s="2"/>
    </row>
    <row x14ac:dyDescent="0.25" r="255" customHeight="1" ht="17.25">
      <c r="A255" s="8">
        <v>45873</v>
      </c>
      <c r="B255" s="9" t="s">
        <v>298</v>
      </c>
      <c r="C255" s="4"/>
      <c r="D255" s="6">
        <v>594</v>
      </c>
      <c r="E255" s="6">
        <f>E254+C255-D255</f>
      </c>
      <c r="F255" s="2"/>
    </row>
    <row x14ac:dyDescent="0.25" r="256" customHeight="1" ht="17.25">
      <c r="A256" s="8">
        <v>45873</v>
      </c>
      <c r="B256" s="9" t="s">
        <v>389</v>
      </c>
      <c r="C256" s="4"/>
      <c r="D256" s="6">
        <v>50</v>
      </c>
      <c r="E256" s="6">
        <f>E255+C256-D256</f>
      </c>
      <c r="F256" s="2"/>
    </row>
    <row x14ac:dyDescent="0.25" r="257" customHeight="1" ht="17.25">
      <c r="A257" s="7">
        <v>45873</v>
      </c>
      <c r="B257" s="9" t="s">
        <v>306</v>
      </c>
      <c r="C257" s="4"/>
      <c r="D257" s="6">
        <v>50</v>
      </c>
      <c r="E257" s="6">
        <f>E256+C257-D257</f>
      </c>
      <c r="F257" s="2"/>
    </row>
    <row x14ac:dyDescent="0.25" r="258" customHeight="1" ht="17.25">
      <c r="A258" s="7">
        <v>45874</v>
      </c>
      <c r="B258" s="9" t="s">
        <v>389</v>
      </c>
      <c r="C258" s="4"/>
      <c r="D258" s="6">
        <v>150</v>
      </c>
      <c r="E258" s="6">
        <f>E257+C258-D258</f>
      </c>
      <c r="F258" s="2"/>
    </row>
    <row x14ac:dyDescent="0.25" r="259" customHeight="1" ht="17.25">
      <c r="A259" s="7">
        <v>45874</v>
      </c>
      <c r="B259" s="9" t="s">
        <v>287</v>
      </c>
      <c r="C259" s="6">
        <v>13</v>
      </c>
      <c r="D259" s="4"/>
      <c r="E259" s="6">
        <f>E258+C259-D259</f>
      </c>
      <c r="F259" s="2"/>
    </row>
    <row x14ac:dyDescent="0.25" r="260" customHeight="1" ht="17.25">
      <c r="A260" s="7">
        <v>45875</v>
      </c>
      <c r="B260" s="9" t="s">
        <v>243</v>
      </c>
      <c r="C260" s="4"/>
      <c r="D260" s="6">
        <v>50</v>
      </c>
      <c r="E260" s="6">
        <f>E259+C260-D260</f>
      </c>
      <c r="F260" s="2"/>
    </row>
    <row x14ac:dyDescent="0.25" r="261" customHeight="1" ht="17.25">
      <c r="A261" s="8">
        <v>45876</v>
      </c>
      <c r="B261" s="9" t="s">
        <v>307</v>
      </c>
      <c r="C261" s="4"/>
      <c r="D261" s="6">
        <v>124</v>
      </c>
      <c r="E261" s="6">
        <f>E260+C261-D261</f>
      </c>
      <c r="F261" s="2"/>
    </row>
    <row x14ac:dyDescent="0.25" r="262" customHeight="1" ht="17.25">
      <c r="A262" s="8">
        <v>45876</v>
      </c>
      <c r="B262" s="9" t="s">
        <v>233</v>
      </c>
      <c r="C262" s="4"/>
      <c r="D262" s="6">
        <v>134</v>
      </c>
      <c r="E262" s="6">
        <f>E261+C262-D262</f>
      </c>
      <c r="F262" s="2"/>
    </row>
    <row x14ac:dyDescent="0.25" r="263" customHeight="1" ht="17.25">
      <c r="A263" s="8">
        <v>45877</v>
      </c>
      <c r="B263" s="9" t="s">
        <v>47</v>
      </c>
      <c r="C263" s="27">
        <v>100</v>
      </c>
      <c r="D263" s="4"/>
      <c r="E263" s="6">
        <f>E262+C263-D263</f>
      </c>
      <c r="F263" s="2"/>
    </row>
    <row x14ac:dyDescent="0.25" r="264" customHeight="1" ht="17.25">
      <c r="A264" s="8">
        <v>45877</v>
      </c>
      <c r="B264" s="9" t="s">
        <v>33</v>
      </c>
      <c r="C264" s="27">
        <v>800</v>
      </c>
      <c r="D264" s="4"/>
      <c r="E264" s="6">
        <f>E263+C264-D264</f>
      </c>
      <c r="F264" s="2"/>
    </row>
    <row x14ac:dyDescent="0.25" r="265" customHeight="1" ht="17.25">
      <c r="A265" s="7">
        <v>45877</v>
      </c>
      <c r="B265" s="9" t="s">
        <v>3</v>
      </c>
      <c r="C265" s="4"/>
      <c r="D265" s="6">
        <v>200</v>
      </c>
      <c r="E265" s="6">
        <f>E264+C265-D265</f>
      </c>
      <c r="F265" s="2"/>
    </row>
    <row x14ac:dyDescent="0.25" r="266" customHeight="1" ht="17.25">
      <c r="A266" s="8">
        <v>45877</v>
      </c>
      <c r="B266" s="9" t="s">
        <v>316</v>
      </c>
      <c r="C266" s="4"/>
      <c r="D266" s="6">
        <v>200</v>
      </c>
      <c r="E266" s="6">
        <f>E265+C266-D266</f>
      </c>
      <c r="F266" s="2"/>
    </row>
    <row x14ac:dyDescent="0.25" r="267" customHeight="1" ht="17.25">
      <c r="A267" s="7">
        <v>45877</v>
      </c>
      <c r="B267" s="9" t="s">
        <v>243</v>
      </c>
      <c r="C267" s="4"/>
      <c r="D267" s="6">
        <v>140</v>
      </c>
      <c r="E267" s="6">
        <f>E266+C267-D267</f>
      </c>
      <c r="F267" s="2"/>
    </row>
    <row x14ac:dyDescent="0.25" r="268" customHeight="1" ht="17.25">
      <c r="A268" s="8">
        <v>45877</v>
      </c>
      <c r="B268" s="9" t="s">
        <v>234</v>
      </c>
      <c r="C268" s="4"/>
      <c r="D268" s="6">
        <v>12</v>
      </c>
      <c r="E268" s="6">
        <f>E267+C268-D268</f>
      </c>
      <c r="F268" s="2"/>
    </row>
    <row x14ac:dyDescent="0.25" r="269" customHeight="1" ht="17.25">
      <c r="A269" s="8">
        <v>45877</v>
      </c>
      <c r="B269" s="9" t="s">
        <v>308</v>
      </c>
      <c r="C269" s="4"/>
      <c r="D269" s="6">
        <v>200</v>
      </c>
      <c r="E269" s="6">
        <f>E268+C269-D269</f>
      </c>
      <c r="F269" s="2"/>
    </row>
    <row x14ac:dyDescent="0.25" r="270" customHeight="1" ht="17.25">
      <c r="A270" s="8">
        <v>45878</v>
      </c>
      <c r="B270" s="9" t="s">
        <v>243</v>
      </c>
      <c r="C270" s="26"/>
      <c r="D270" s="27">
        <v>60</v>
      </c>
      <c r="E270" s="6">
        <f>E269+C270-D270</f>
      </c>
      <c r="F270" s="2"/>
    </row>
    <row x14ac:dyDescent="0.25" r="271" customHeight="1" ht="17.25">
      <c r="A271" s="8">
        <v>45880</v>
      </c>
      <c r="B271" s="9" t="s">
        <v>33</v>
      </c>
      <c r="C271" s="27">
        <v>260</v>
      </c>
      <c r="D271" s="26"/>
      <c r="E271" s="6">
        <f>E270+C271-D271</f>
      </c>
      <c r="F271" s="2"/>
    </row>
    <row x14ac:dyDescent="0.25" r="272" customHeight="1" ht="17.25">
      <c r="A272" s="8">
        <v>45880</v>
      </c>
      <c r="B272" s="9" t="s">
        <v>303</v>
      </c>
      <c r="C272" s="26"/>
      <c r="D272" s="27">
        <v>100</v>
      </c>
      <c r="E272" s="6">
        <f>E271+C272-D272</f>
      </c>
      <c r="F272" s="2"/>
    </row>
    <row x14ac:dyDescent="0.25" r="273" customHeight="1" ht="17.25">
      <c r="A273" s="8">
        <v>45880</v>
      </c>
      <c r="B273" s="9" t="s">
        <v>392</v>
      </c>
      <c r="C273" s="26"/>
      <c r="D273" s="27">
        <v>100</v>
      </c>
      <c r="E273" s="6">
        <f>E272+C273-D273</f>
      </c>
      <c r="F273" s="2"/>
    </row>
    <row x14ac:dyDescent="0.25" r="274" customHeight="1" ht="17.25">
      <c r="A274" s="8">
        <v>45880</v>
      </c>
      <c r="B274" s="9" t="s">
        <v>286</v>
      </c>
      <c r="C274" s="27">
        <v>4</v>
      </c>
      <c r="D274" s="26"/>
      <c r="E274" s="6">
        <f>E273+C274-D274</f>
      </c>
      <c r="F274" s="2"/>
    </row>
    <row x14ac:dyDescent="0.25" r="275" customHeight="1" ht="17.25">
      <c r="A275" s="8">
        <v>45881</v>
      </c>
      <c r="B275" s="9" t="s">
        <v>33</v>
      </c>
      <c r="C275" s="27">
        <v>1000</v>
      </c>
      <c r="D275" s="26"/>
      <c r="E275" s="6">
        <f>E274+C275-D275</f>
      </c>
      <c r="F275" s="2"/>
    </row>
    <row x14ac:dyDescent="0.25" r="276" customHeight="1" ht="17.25">
      <c r="A276" s="8">
        <v>45881</v>
      </c>
      <c r="B276" s="9" t="s">
        <v>303</v>
      </c>
      <c r="C276" s="26"/>
      <c r="D276" s="27">
        <v>100</v>
      </c>
      <c r="E276" s="6">
        <f>E275+C276-D276</f>
      </c>
      <c r="F276" s="2"/>
    </row>
    <row x14ac:dyDescent="0.25" r="277" customHeight="1" ht="17.25">
      <c r="A277" s="7">
        <v>45881</v>
      </c>
      <c r="B277" s="9" t="s">
        <v>391</v>
      </c>
      <c r="C277" s="4"/>
      <c r="D277" s="27">
        <v>50</v>
      </c>
      <c r="E277" s="6">
        <f>E276+C277-D277</f>
      </c>
      <c r="F277" s="2"/>
    </row>
    <row x14ac:dyDescent="0.25" r="278" customHeight="1" ht="17.25">
      <c r="A278" s="7">
        <v>45881</v>
      </c>
      <c r="B278" s="9" t="s">
        <v>393</v>
      </c>
      <c r="C278" s="4"/>
      <c r="D278" s="27">
        <v>500</v>
      </c>
      <c r="E278" s="6">
        <v>491</v>
      </c>
      <c r="F278" s="2"/>
    </row>
    <row x14ac:dyDescent="0.25" r="279" customHeight="1" ht="17.25">
      <c r="A279" s="7">
        <v>45882</v>
      </c>
      <c r="B279" s="9" t="s">
        <v>307</v>
      </c>
      <c r="C279" s="4"/>
      <c r="D279" s="27">
        <v>250</v>
      </c>
      <c r="E279" s="6">
        <f>E278+C279-D279</f>
      </c>
      <c r="F279" s="2"/>
    </row>
    <row x14ac:dyDescent="0.25" r="280" customHeight="1" ht="17.25">
      <c r="A280" s="7">
        <v>45883</v>
      </c>
      <c r="B280" s="9" t="s">
        <v>382</v>
      </c>
      <c r="C280" s="6">
        <v>50</v>
      </c>
      <c r="D280" s="4"/>
      <c r="E280" s="6">
        <f>E279+C280-D280</f>
      </c>
      <c r="F280" s="2"/>
    </row>
    <row x14ac:dyDescent="0.25" r="281" customHeight="1" ht="17.25">
      <c r="A281" s="7">
        <v>45884</v>
      </c>
      <c r="B281" s="9" t="s">
        <v>389</v>
      </c>
      <c r="C281" s="4"/>
      <c r="D281" s="27">
        <v>200</v>
      </c>
      <c r="E281" s="6">
        <f>E280+C281-D281</f>
      </c>
      <c r="F281" s="2"/>
    </row>
    <row x14ac:dyDescent="0.25" r="282" customHeight="1" ht="17.25">
      <c r="A282" s="7">
        <v>45884</v>
      </c>
      <c r="B282" s="9" t="s">
        <v>35</v>
      </c>
      <c r="C282" s="6">
        <v>276</v>
      </c>
      <c r="D282" s="4"/>
      <c r="E282" s="6">
        <f>E281+C282-D282</f>
      </c>
      <c r="F282" s="2"/>
    </row>
    <row x14ac:dyDescent="0.25" r="283" customHeight="1" ht="17.25">
      <c r="A283" s="7">
        <v>45884</v>
      </c>
      <c r="B283" s="9" t="s">
        <v>241</v>
      </c>
      <c r="C283" s="6">
        <v>150</v>
      </c>
      <c r="D283" s="4"/>
      <c r="E283" s="6">
        <f>E282+C283-D283</f>
      </c>
      <c r="F283" s="2"/>
    </row>
    <row x14ac:dyDescent="0.25" r="284" customHeight="1" ht="17.25">
      <c r="A284" s="7">
        <v>45884</v>
      </c>
      <c r="B284" s="9" t="s">
        <v>241</v>
      </c>
      <c r="C284" s="6">
        <v>150</v>
      </c>
      <c r="D284" s="4"/>
      <c r="E284" s="6">
        <f>E283+C284-D284</f>
      </c>
      <c r="F284" s="2"/>
    </row>
    <row x14ac:dyDescent="0.25" r="285" customHeight="1" ht="17.25">
      <c r="A285" s="7">
        <v>45885</v>
      </c>
      <c r="B285" s="9" t="s">
        <v>3</v>
      </c>
      <c r="C285" s="4"/>
      <c r="D285" s="6">
        <v>100</v>
      </c>
      <c r="E285" s="6">
        <f>E284+C285-D285</f>
      </c>
      <c r="F285" s="2"/>
    </row>
    <row x14ac:dyDescent="0.25" r="286" customHeight="1" ht="17.25">
      <c r="A286" s="7">
        <v>45885</v>
      </c>
      <c r="B286" s="9" t="s">
        <v>243</v>
      </c>
      <c r="C286" s="4"/>
      <c r="D286" s="6">
        <v>150</v>
      </c>
      <c r="E286" s="6">
        <f>E285+C286-D286</f>
      </c>
      <c r="F286" s="2"/>
    </row>
    <row x14ac:dyDescent="0.25" r="287" customHeight="1" ht="17.25">
      <c r="A287" s="7">
        <v>45885</v>
      </c>
      <c r="B287" s="9" t="s">
        <v>299</v>
      </c>
      <c r="C287" s="6">
        <v>180</v>
      </c>
      <c r="D287" s="4"/>
      <c r="E287" s="6">
        <f>E286+C287-D287</f>
      </c>
      <c r="F287" s="2"/>
    </row>
    <row x14ac:dyDescent="0.25" r="288" customHeight="1" ht="17.25">
      <c r="A288" s="7">
        <v>45887</v>
      </c>
      <c r="B288" s="9" t="s">
        <v>183</v>
      </c>
      <c r="C288" s="6">
        <v>24</v>
      </c>
      <c r="D288" s="4"/>
      <c r="E288" s="6">
        <f>E287+C288-D288</f>
      </c>
      <c r="F288" s="2"/>
    </row>
    <row x14ac:dyDescent="0.25" r="289" customHeight="1" ht="17.25">
      <c r="A289" s="8">
        <v>45888</v>
      </c>
      <c r="B289" s="9" t="s">
        <v>346</v>
      </c>
      <c r="C289" s="4"/>
      <c r="D289" s="6">
        <v>36</v>
      </c>
      <c r="E289" s="6">
        <f>E288+C289-D289</f>
      </c>
      <c r="F289" s="2"/>
    </row>
    <row x14ac:dyDescent="0.25" r="290" customHeight="1" ht="17.25">
      <c r="A290" s="8">
        <v>45891</v>
      </c>
      <c r="B290" s="9" t="s">
        <v>42</v>
      </c>
      <c r="C290" s="6">
        <v>150</v>
      </c>
      <c r="D290" s="4"/>
      <c r="E290" s="6">
        <f>E289+C290-D290</f>
      </c>
      <c r="F290" s="2"/>
    </row>
    <row x14ac:dyDescent="0.25" r="291" customHeight="1" ht="17.25">
      <c r="A291" s="7">
        <v>45891</v>
      </c>
      <c r="B291" s="9" t="s">
        <v>299</v>
      </c>
      <c r="C291" s="6">
        <v>93</v>
      </c>
      <c r="D291" s="4"/>
      <c r="E291" s="6">
        <f>E290+C291-D291</f>
      </c>
      <c r="F291" s="2"/>
    </row>
    <row x14ac:dyDescent="0.25" r="292" customHeight="1" ht="17.25">
      <c r="A292" s="8">
        <v>45891</v>
      </c>
      <c r="B292" s="9" t="s">
        <v>35</v>
      </c>
      <c r="C292" s="6">
        <v>78</v>
      </c>
      <c r="D292" s="4"/>
      <c r="E292" s="6">
        <f>E291+C292-D292</f>
      </c>
      <c r="F292" s="2"/>
    </row>
    <row x14ac:dyDescent="0.25" r="293" customHeight="1" ht="17.25">
      <c r="A293" s="7">
        <v>45891</v>
      </c>
      <c r="B293" s="9" t="s">
        <v>33</v>
      </c>
      <c r="C293" s="6">
        <v>500</v>
      </c>
      <c r="D293" s="4"/>
      <c r="E293" s="6">
        <f>E292+C293-D293</f>
      </c>
      <c r="F293" s="2"/>
    </row>
    <row x14ac:dyDescent="0.25" r="294" customHeight="1" ht="17.25">
      <c r="A294" s="7">
        <v>45892</v>
      </c>
      <c r="B294" s="9" t="s">
        <v>316</v>
      </c>
      <c r="C294" s="4"/>
      <c r="D294" s="6">
        <v>500</v>
      </c>
      <c r="E294" s="6">
        <f>E293+C294-D294</f>
      </c>
      <c r="F294" s="2"/>
    </row>
    <row x14ac:dyDescent="0.25" r="295" customHeight="1" ht="17.25">
      <c r="A295" s="7">
        <v>45892</v>
      </c>
      <c r="B295" s="9" t="s">
        <v>389</v>
      </c>
      <c r="C295" s="4"/>
      <c r="D295" s="6">
        <v>200</v>
      </c>
      <c r="E295" s="6">
        <f>E294+C295-D295</f>
      </c>
      <c r="F295" s="2"/>
    </row>
    <row x14ac:dyDescent="0.25" r="296" customHeight="1" ht="17.25">
      <c r="A296" s="8">
        <v>45892</v>
      </c>
      <c r="B296" s="9" t="s">
        <v>42</v>
      </c>
      <c r="C296" s="6">
        <v>70</v>
      </c>
      <c r="D296" s="4"/>
      <c r="E296" s="6">
        <f>E295+C296-D296</f>
      </c>
      <c r="F296" s="2"/>
    </row>
    <row x14ac:dyDescent="0.25" r="297" customHeight="1" ht="17.25">
      <c r="A297" s="7">
        <v>45894</v>
      </c>
      <c r="B297" s="9" t="s">
        <v>331</v>
      </c>
      <c r="C297" s="4"/>
      <c r="D297" s="6">
        <v>2</v>
      </c>
      <c r="E297" s="6">
        <f>E296+C297-D297</f>
      </c>
      <c r="F297" s="2"/>
    </row>
    <row x14ac:dyDescent="0.25" r="298" customHeight="1" ht="17.25">
      <c r="A298" s="7">
        <v>45895</v>
      </c>
      <c r="B298" s="9" t="s">
        <v>391</v>
      </c>
      <c r="C298" s="4"/>
      <c r="D298" s="6">
        <v>150</v>
      </c>
      <c r="E298" s="6">
        <f>E297+C298-D298</f>
      </c>
      <c r="F298" s="2"/>
    </row>
    <row x14ac:dyDescent="0.25" r="299" customHeight="1" ht="17.25">
      <c r="A299" s="7">
        <v>45895</v>
      </c>
      <c r="B299" s="9" t="s">
        <v>271</v>
      </c>
      <c r="C299" s="6">
        <v>111</v>
      </c>
      <c r="D299" s="4"/>
      <c r="E299" s="6">
        <f>E298+C299-D299</f>
      </c>
      <c r="F299" s="2"/>
    </row>
    <row x14ac:dyDescent="0.25" r="300" customHeight="1" ht="17.25">
      <c r="A300" s="7">
        <v>45896</v>
      </c>
      <c r="B300" s="9" t="s">
        <v>243</v>
      </c>
      <c r="C300" s="4"/>
      <c r="D300" s="6">
        <v>150</v>
      </c>
      <c r="E300" s="6">
        <f>E299+C300-D300</f>
      </c>
      <c r="F300" s="2"/>
    </row>
    <row x14ac:dyDescent="0.25" r="301" customHeight="1" ht="17.25">
      <c r="A301" s="7">
        <v>45896</v>
      </c>
      <c r="B301" s="9" t="s">
        <v>316</v>
      </c>
      <c r="C301" s="4"/>
      <c r="D301" s="6">
        <v>500</v>
      </c>
      <c r="E301" s="6">
        <f>E300+C301-D301</f>
      </c>
      <c r="F301" s="2"/>
    </row>
    <row x14ac:dyDescent="0.25" r="302" customHeight="1" ht="17.25">
      <c r="A302" s="8">
        <v>45897</v>
      </c>
      <c r="B302" s="9" t="s">
        <v>47</v>
      </c>
      <c r="C302" s="6">
        <v>150</v>
      </c>
      <c r="D302" s="4"/>
      <c r="E302" s="6">
        <f>E301+C302-D302</f>
      </c>
      <c r="F302" s="2"/>
    </row>
    <row x14ac:dyDescent="0.25" r="303" customHeight="1" ht="17.25">
      <c r="A303" s="8">
        <v>45899</v>
      </c>
      <c r="B303" s="9" t="s">
        <v>264</v>
      </c>
      <c r="C303" s="4"/>
      <c r="D303" s="6">
        <v>60</v>
      </c>
      <c r="E303" s="6">
        <f>E302+C303-D303</f>
      </c>
      <c r="F303" s="2"/>
    </row>
    <row x14ac:dyDescent="0.25" r="304" customHeight="1" ht="17.25">
      <c r="A304" s="7">
        <v>45901</v>
      </c>
      <c r="B304" s="9" t="s">
        <v>47</v>
      </c>
      <c r="C304" s="6">
        <v>100</v>
      </c>
      <c r="D304" s="4"/>
      <c r="E304" s="6">
        <f>E303+C304-D304</f>
      </c>
      <c r="F304" s="2"/>
    </row>
    <row x14ac:dyDescent="0.25" r="305" customHeight="1" ht="17.25">
      <c r="A305" s="7">
        <v>45902</v>
      </c>
      <c r="B305" s="9" t="s">
        <v>56</v>
      </c>
      <c r="C305" s="4"/>
      <c r="D305" s="6">
        <v>50</v>
      </c>
      <c r="E305" s="6">
        <f>E304+C305-D305</f>
      </c>
      <c r="F305" s="2"/>
    </row>
    <row x14ac:dyDescent="0.25" r="306" customHeight="1" ht="17.25">
      <c r="A306" s="8">
        <v>45902</v>
      </c>
      <c r="B306" s="9" t="s">
        <v>47</v>
      </c>
      <c r="C306" s="6">
        <v>265</v>
      </c>
      <c r="D306" s="4"/>
      <c r="E306" s="6">
        <f>E305+C306-D306</f>
      </c>
      <c r="F306" s="2"/>
    </row>
    <row x14ac:dyDescent="0.25" r="307" customHeight="1" ht="17.25">
      <c r="A307" s="7">
        <v>45903</v>
      </c>
      <c r="B307" s="9" t="s">
        <v>283</v>
      </c>
      <c r="C307" s="6">
        <v>150</v>
      </c>
      <c r="D307" s="4"/>
      <c r="E307" s="6">
        <f>E306+C307-D307</f>
      </c>
      <c r="F307" s="2"/>
    </row>
    <row x14ac:dyDescent="0.25" r="308" customHeight="1" ht="17.25">
      <c r="A308" s="7">
        <v>45904</v>
      </c>
      <c r="B308" s="9" t="s">
        <v>393</v>
      </c>
      <c r="C308" s="4"/>
      <c r="D308" s="6">
        <v>200</v>
      </c>
      <c r="E308" s="6">
        <f>E307+C308-D308</f>
      </c>
      <c r="F308" s="2"/>
    </row>
    <row x14ac:dyDescent="0.25" r="309" customHeight="1" ht="17.25">
      <c r="A309" s="7">
        <v>45906</v>
      </c>
      <c r="B309" s="9" t="s">
        <v>3</v>
      </c>
      <c r="C309" s="4"/>
      <c r="D309" s="6">
        <v>100</v>
      </c>
      <c r="E309" s="6">
        <f>E308+C309-D309</f>
      </c>
      <c r="F309" s="2"/>
    </row>
    <row x14ac:dyDescent="0.25" r="310" customHeight="1" ht="17.25">
      <c r="A310" s="8">
        <v>45908</v>
      </c>
      <c r="B310" s="9" t="s">
        <v>284</v>
      </c>
      <c r="C310" s="6">
        <v>100</v>
      </c>
      <c r="D310" s="4"/>
      <c r="E310" s="6">
        <f>E309+C310-D310</f>
      </c>
      <c r="F310" s="2"/>
    </row>
    <row x14ac:dyDescent="0.25" r="311" customHeight="1" ht="17.25">
      <c r="A311" s="8">
        <v>45909</v>
      </c>
      <c r="B311" s="9" t="s">
        <v>271</v>
      </c>
      <c r="C311" s="6">
        <v>79</v>
      </c>
      <c r="D311" s="4"/>
      <c r="E311" s="6">
        <f>E310+C311-D311</f>
      </c>
      <c r="F311" s="2"/>
    </row>
    <row x14ac:dyDescent="0.25" r="312" customHeight="1" ht="17.25">
      <c r="A312" s="8">
        <v>45910</v>
      </c>
      <c r="B312" s="9" t="s">
        <v>309</v>
      </c>
      <c r="C312" s="4"/>
      <c r="D312" s="6">
        <v>20</v>
      </c>
      <c r="E312" s="6">
        <f>E311+C312-D312</f>
      </c>
      <c r="F312" s="2"/>
    </row>
    <row x14ac:dyDescent="0.25" r="313" customHeight="1" ht="17.25">
      <c r="A313" s="8">
        <v>45910</v>
      </c>
      <c r="B313" s="9" t="s">
        <v>332</v>
      </c>
      <c r="C313" s="4"/>
      <c r="D313" s="6">
        <v>50</v>
      </c>
      <c r="E313" s="6">
        <f>E312+C313-D313</f>
      </c>
      <c r="F313" s="2"/>
    </row>
    <row x14ac:dyDescent="0.25" r="314" customHeight="1" ht="17.25">
      <c r="A314" s="7">
        <v>45910</v>
      </c>
      <c r="B314" s="9" t="s">
        <v>310</v>
      </c>
      <c r="C314" s="4"/>
      <c r="D314" s="6">
        <v>100</v>
      </c>
      <c r="E314" s="6">
        <f>E313+C314-D314</f>
      </c>
      <c r="F314" s="2"/>
    </row>
    <row x14ac:dyDescent="0.25" r="315" customHeight="1" ht="17.25">
      <c r="A315" s="8">
        <v>45911</v>
      </c>
      <c r="B315" s="9" t="s">
        <v>284</v>
      </c>
      <c r="C315" s="6">
        <v>818</v>
      </c>
      <c r="D315" s="4"/>
      <c r="E315" s="6">
        <f>E314+C315-D315</f>
      </c>
      <c r="F315" s="2"/>
    </row>
    <row x14ac:dyDescent="0.25" r="316" customHeight="1" ht="17.25">
      <c r="A316" s="7">
        <v>45912</v>
      </c>
      <c r="B316" s="9" t="s">
        <v>100</v>
      </c>
      <c r="C316" s="4"/>
      <c r="D316" s="6">
        <v>450</v>
      </c>
      <c r="E316" s="6">
        <f>E315+C316-D316</f>
      </c>
      <c r="F316" s="2"/>
    </row>
    <row x14ac:dyDescent="0.25" r="317" customHeight="1" ht="17.25">
      <c r="A317" s="7">
        <v>45915</v>
      </c>
      <c r="B317" s="9" t="s">
        <v>182</v>
      </c>
      <c r="C317" s="6">
        <v>97</v>
      </c>
      <c r="D317" s="4"/>
      <c r="E317" s="6">
        <f>E316+C317-D317</f>
      </c>
      <c r="F317" s="2"/>
    </row>
    <row x14ac:dyDescent="0.25" r="318" customHeight="1" ht="17.25">
      <c r="A318" s="7">
        <v>45916</v>
      </c>
      <c r="B318" s="9" t="s">
        <v>33</v>
      </c>
      <c r="C318" s="6">
        <v>1000</v>
      </c>
      <c r="D318" s="4"/>
      <c r="E318" s="6">
        <f>E317+C318-D318</f>
      </c>
      <c r="F318" s="2"/>
    </row>
    <row x14ac:dyDescent="0.25" r="319" customHeight="1" ht="17.25">
      <c r="A319" s="7">
        <v>45916</v>
      </c>
      <c r="B319" s="9" t="s">
        <v>3</v>
      </c>
      <c r="C319" s="4"/>
      <c r="D319" s="6">
        <v>150</v>
      </c>
      <c r="E319" s="6">
        <f>E318+C319-D319</f>
      </c>
      <c r="F319" s="2"/>
    </row>
    <row x14ac:dyDescent="0.25" r="320" customHeight="1" ht="17.25">
      <c r="A320" s="8">
        <v>45916</v>
      </c>
      <c r="B320" s="9" t="s">
        <v>234</v>
      </c>
      <c r="C320" s="4"/>
      <c r="D320" s="6">
        <v>100</v>
      </c>
      <c r="E320" s="6">
        <f>E319+C320-D320</f>
      </c>
      <c r="F320" s="2"/>
    </row>
    <row x14ac:dyDescent="0.25" r="321" customHeight="1" ht="17.25">
      <c r="A321" s="7">
        <v>45916</v>
      </c>
      <c r="B321" s="9" t="s">
        <v>100</v>
      </c>
      <c r="C321" s="4"/>
      <c r="D321" s="6">
        <v>500</v>
      </c>
      <c r="E321" s="6">
        <f>E320+C321-D321</f>
      </c>
      <c r="F321" s="2"/>
    </row>
    <row x14ac:dyDescent="0.25" r="322" customHeight="1" ht="17.25">
      <c r="A322" s="7">
        <v>45916</v>
      </c>
      <c r="B322" s="9" t="s">
        <v>180</v>
      </c>
      <c r="C322" s="4"/>
      <c r="D322" s="6">
        <v>1000</v>
      </c>
      <c r="E322" s="6">
        <f>E321+C322-D322</f>
      </c>
      <c r="F322" s="2"/>
    </row>
    <row x14ac:dyDescent="0.25" r="323" customHeight="1" ht="17.25">
      <c r="A323" s="7">
        <v>45918</v>
      </c>
      <c r="B323" s="9" t="s">
        <v>316</v>
      </c>
      <c r="C323" s="4"/>
      <c r="D323" s="6">
        <v>70</v>
      </c>
      <c r="E323" s="6">
        <f>E322+C323-D323</f>
      </c>
      <c r="F323" s="2"/>
    </row>
    <row x14ac:dyDescent="0.25" r="324" customHeight="1" ht="17.25">
      <c r="A324" s="7">
        <v>45918</v>
      </c>
      <c r="B324" s="9" t="s">
        <v>243</v>
      </c>
      <c r="C324" s="4"/>
      <c r="D324" s="6">
        <v>250</v>
      </c>
      <c r="E324" s="3"/>
      <c r="F324" s="2"/>
    </row>
    <row x14ac:dyDescent="0.25" r="325" customHeight="1" ht="17.25">
      <c r="A325" s="7">
        <v>45918</v>
      </c>
      <c r="B325" s="9" t="s">
        <v>333</v>
      </c>
      <c r="C325" s="4"/>
      <c r="D325" s="6">
        <v>80</v>
      </c>
      <c r="E325" s="6">
        <v>0</v>
      </c>
      <c r="F325" s="2"/>
    </row>
    <row x14ac:dyDescent="0.25" r="326" customHeight="1" ht="17.25">
      <c r="A326" s="7">
        <v>45919</v>
      </c>
      <c r="B326" s="9" t="s">
        <v>33</v>
      </c>
      <c r="C326" s="6">
        <v>230</v>
      </c>
      <c r="D326" s="4"/>
      <c r="E326" s="6">
        <v>230</v>
      </c>
      <c r="F326" s="2"/>
    </row>
    <row x14ac:dyDescent="0.25" r="327" customHeight="1" ht="17.25">
      <c r="A327" s="7">
        <v>45919</v>
      </c>
      <c r="B327" s="9" t="s">
        <v>316</v>
      </c>
      <c r="C327" s="4"/>
      <c r="D327" s="6">
        <v>230</v>
      </c>
      <c r="E327" s="6">
        <f>E326+C327-D327</f>
      </c>
      <c r="F327" s="2"/>
    </row>
    <row x14ac:dyDescent="0.25" r="328" customHeight="1" ht="17.25">
      <c r="A328" s="7">
        <v>45922</v>
      </c>
      <c r="B328" s="9" t="s">
        <v>33</v>
      </c>
      <c r="C328" s="6">
        <v>1900</v>
      </c>
      <c r="D328" s="4"/>
      <c r="E328" s="6">
        <f>E327+C328-D328</f>
      </c>
      <c r="F328" s="2"/>
    </row>
    <row x14ac:dyDescent="0.25" r="329" customHeight="1" ht="17.25">
      <c r="A329" s="7">
        <v>45922</v>
      </c>
      <c r="B329" s="9" t="s">
        <v>310</v>
      </c>
      <c r="C329" s="4"/>
      <c r="D329" s="6">
        <v>100</v>
      </c>
      <c r="E329" s="6">
        <f>E328+C329-D329</f>
      </c>
      <c r="F329" s="2"/>
    </row>
    <row x14ac:dyDescent="0.25" r="330" customHeight="1" ht="17.25">
      <c r="A330" s="7">
        <v>45922</v>
      </c>
      <c r="B330" s="9" t="s">
        <v>35</v>
      </c>
      <c r="C330" s="6">
        <v>89</v>
      </c>
      <c r="D330" s="4"/>
      <c r="E330" s="6">
        <f>E329+C330-D330</f>
      </c>
      <c r="F330" s="2"/>
    </row>
    <row x14ac:dyDescent="0.25" r="331" customHeight="1" ht="17.25">
      <c r="A331" s="7">
        <v>45923</v>
      </c>
      <c r="B331" s="9" t="s">
        <v>284</v>
      </c>
      <c r="C331" s="6">
        <v>756</v>
      </c>
      <c r="D331" s="4"/>
      <c r="E331" s="6">
        <f>E330+C331-D331</f>
      </c>
      <c r="F331" s="2"/>
    </row>
    <row x14ac:dyDescent="0.25" r="332" customHeight="1" ht="17.25">
      <c r="A332" s="7">
        <v>45924</v>
      </c>
      <c r="B332" s="9" t="s">
        <v>100</v>
      </c>
      <c r="C332" s="4"/>
      <c r="D332" s="6">
        <v>300</v>
      </c>
      <c r="E332" s="6">
        <f>E331+C332-D332</f>
      </c>
      <c r="F332" s="2"/>
    </row>
    <row x14ac:dyDescent="0.25" r="333" customHeight="1" ht="17.25">
      <c r="A333" s="7">
        <v>45924</v>
      </c>
      <c r="B333" s="9" t="s">
        <v>394</v>
      </c>
      <c r="C333" s="4"/>
      <c r="D333" s="6">
        <v>800</v>
      </c>
      <c r="E333" s="6">
        <f>E332+C333-D333</f>
      </c>
      <c r="F333" s="2"/>
    </row>
    <row x14ac:dyDescent="0.25" r="334" customHeight="1" ht="17.25">
      <c r="A334" s="8">
        <v>45924</v>
      </c>
      <c r="B334" s="9" t="s">
        <v>42</v>
      </c>
      <c r="C334" s="6">
        <v>105</v>
      </c>
      <c r="D334" s="4"/>
      <c r="E334" s="6">
        <f>E333+C334-D334</f>
      </c>
      <c r="F334" s="2"/>
    </row>
    <row x14ac:dyDescent="0.25" r="335" customHeight="1" ht="17.25">
      <c r="A335" s="8">
        <v>45925</v>
      </c>
      <c r="B335" s="9" t="s">
        <v>46</v>
      </c>
      <c r="C335" s="4"/>
      <c r="D335" s="6">
        <v>500</v>
      </c>
      <c r="E335" s="6">
        <f>E334+C335-D335</f>
      </c>
      <c r="F335" s="2"/>
    </row>
    <row x14ac:dyDescent="0.25" r="336" customHeight="1" ht="17.25">
      <c r="A336" s="8">
        <v>45925</v>
      </c>
      <c r="B336" s="9" t="s">
        <v>311</v>
      </c>
      <c r="C336" s="4"/>
      <c r="D336" s="6">
        <v>200</v>
      </c>
      <c r="E336" s="6">
        <f>E335+C336-D336</f>
      </c>
      <c r="F336" s="2"/>
    </row>
    <row x14ac:dyDescent="0.25" r="337" customHeight="1" ht="17.25">
      <c r="A337" s="8">
        <v>45925</v>
      </c>
      <c r="B337" s="9" t="s">
        <v>233</v>
      </c>
      <c r="C337" s="4"/>
      <c r="D337" s="6">
        <v>600</v>
      </c>
      <c r="E337" s="6">
        <f>E336+C337-D337</f>
      </c>
      <c r="F337" s="2"/>
    </row>
    <row x14ac:dyDescent="0.25" r="338" customHeight="1" ht="17.25">
      <c r="A338" s="7">
        <v>45926</v>
      </c>
      <c r="B338" s="9" t="s">
        <v>311</v>
      </c>
      <c r="C338" s="4"/>
      <c r="D338" s="6">
        <v>250</v>
      </c>
      <c r="E338" s="6">
        <f>E337+C338-D338</f>
      </c>
      <c r="F338" s="2" t="s">
        <v>395</v>
      </c>
    </row>
    <row x14ac:dyDescent="0.25" r="339" customHeight="1" ht="17.25">
      <c r="A339" s="7">
        <v>45927</v>
      </c>
      <c r="B339" s="9" t="s">
        <v>345</v>
      </c>
      <c r="C339" s="6">
        <v>28</v>
      </c>
      <c r="D339" s="4"/>
      <c r="E339" s="6">
        <f>E338+C339-D339</f>
      </c>
      <c r="F339" s="2"/>
    </row>
    <row x14ac:dyDescent="0.25" r="340" customHeight="1" ht="17.25">
      <c r="A340" s="7">
        <v>45927</v>
      </c>
      <c r="B340" s="9" t="s">
        <v>343</v>
      </c>
      <c r="C340" s="6">
        <v>6</v>
      </c>
      <c r="D340" s="4"/>
      <c r="E340" s="6">
        <f>E339+C340-D340</f>
      </c>
      <c r="F340" s="2"/>
    </row>
    <row x14ac:dyDescent="0.25" r="341" customHeight="1" ht="17.25">
      <c r="A341" s="7">
        <v>45929</v>
      </c>
      <c r="B341" s="9" t="s">
        <v>33</v>
      </c>
      <c r="C341" s="6">
        <v>1000</v>
      </c>
      <c r="D341" s="4"/>
      <c r="E341" s="6">
        <f>E340+C341-D341</f>
      </c>
      <c r="F341" s="2"/>
    </row>
    <row x14ac:dyDescent="0.25" r="342" customHeight="1" ht="17.25">
      <c r="A342" s="7">
        <v>45929</v>
      </c>
      <c r="B342" s="9" t="s">
        <v>393</v>
      </c>
      <c r="C342" s="4"/>
      <c r="D342" s="6">
        <v>250</v>
      </c>
      <c r="E342" s="6">
        <f>E341+C342-D342</f>
      </c>
      <c r="F342" s="2"/>
    </row>
    <row x14ac:dyDescent="0.25" r="343" customHeight="1" ht="17.25">
      <c r="A343" s="7">
        <v>45930</v>
      </c>
      <c r="B343" s="9" t="s">
        <v>385</v>
      </c>
      <c r="C343" s="4"/>
      <c r="D343" s="6">
        <v>200</v>
      </c>
      <c r="E343" s="6">
        <f>E342+C343-D343</f>
      </c>
      <c r="F343" s="2"/>
    </row>
    <row x14ac:dyDescent="0.25" r="344" customHeight="1" ht="17.25">
      <c r="A344" s="7">
        <v>45930</v>
      </c>
      <c r="B344" s="9" t="s">
        <v>100</v>
      </c>
      <c r="C344" s="6">
        <v>28</v>
      </c>
      <c r="D344" s="4"/>
      <c r="E344" s="6">
        <f>E343+C344-D344</f>
      </c>
      <c r="F344" s="2"/>
    </row>
    <row x14ac:dyDescent="0.25" r="345" customHeight="1" ht="17.25">
      <c r="A345" s="7">
        <v>45930</v>
      </c>
      <c r="B345" s="9" t="s">
        <v>206</v>
      </c>
      <c r="C345" s="6">
        <v>1498</v>
      </c>
      <c r="D345" s="4"/>
      <c r="E345" s="6">
        <f>E344+C345-D345</f>
      </c>
      <c r="F345" s="2"/>
    </row>
    <row x14ac:dyDescent="0.25" r="346" customHeight="1" ht="17.25">
      <c r="A346" s="7">
        <v>45931</v>
      </c>
      <c r="B346" s="9" t="s">
        <v>393</v>
      </c>
      <c r="C346" s="4"/>
      <c r="D346" s="6">
        <v>250</v>
      </c>
      <c r="E346" s="6">
        <f>E345+C346-D346</f>
      </c>
      <c r="F346" s="2"/>
    </row>
    <row x14ac:dyDescent="0.25" r="347" customHeight="1" ht="17.25">
      <c r="A347" s="8">
        <v>45932</v>
      </c>
      <c r="B347" s="9" t="s">
        <v>264</v>
      </c>
      <c r="C347" s="6">
        <v>61</v>
      </c>
      <c r="D347" s="4"/>
      <c r="E347" s="6">
        <f>E346+C347-D347</f>
      </c>
      <c r="F347" s="2"/>
    </row>
    <row x14ac:dyDescent="0.25" r="348" customHeight="1" ht="17.25">
      <c r="A348" s="7">
        <v>45932</v>
      </c>
      <c r="B348" s="9" t="s">
        <v>396</v>
      </c>
      <c r="C348" s="6">
        <v>200</v>
      </c>
      <c r="D348" s="4"/>
      <c r="E348" s="6">
        <f>E347+C348-D348</f>
      </c>
      <c r="F348" s="2"/>
    </row>
    <row x14ac:dyDescent="0.25" r="349" customHeight="1" ht="17.25">
      <c r="A349" s="7">
        <v>45933</v>
      </c>
      <c r="B349" s="9" t="s">
        <v>46</v>
      </c>
      <c r="C349" s="4"/>
      <c r="D349" s="6">
        <v>200</v>
      </c>
      <c r="E349" s="6">
        <f>E348+C349-D349</f>
      </c>
      <c r="F349" s="2"/>
    </row>
    <row x14ac:dyDescent="0.25" r="350" customHeight="1" ht="17.25">
      <c r="A350" s="7">
        <v>45936</v>
      </c>
      <c r="B350" s="9" t="s">
        <v>397</v>
      </c>
      <c r="C350" s="4"/>
      <c r="D350" s="6">
        <v>100</v>
      </c>
      <c r="E350" s="6">
        <f>E349+C350-D350</f>
      </c>
      <c r="F350" s="2"/>
    </row>
    <row x14ac:dyDescent="0.25" r="351" customHeight="1" ht="17.25">
      <c r="A351" s="7">
        <v>45936</v>
      </c>
      <c r="B351" s="9" t="s">
        <v>389</v>
      </c>
      <c r="C351" s="6">
        <v>170</v>
      </c>
      <c r="D351" s="4"/>
      <c r="E351" s="6">
        <f>E350+C351-D351</f>
      </c>
      <c r="F351" s="2"/>
    </row>
    <row x14ac:dyDescent="0.25" r="352" customHeight="1" ht="17.25">
      <c r="A352" s="7">
        <v>45937</v>
      </c>
      <c r="B352" s="9" t="s">
        <v>312</v>
      </c>
      <c r="C352" s="4"/>
      <c r="D352" s="6">
        <v>4</v>
      </c>
      <c r="E352" s="6">
        <f>E351+C352-D352</f>
      </c>
      <c r="F352" s="2"/>
    </row>
    <row x14ac:dyDescent="0.25" r="353" customHeight="1" ht="17.25">
      <c r="A353" s="8">
        <v>45938</v>
      </c>
      <c r="B353" s="9" t="s">
        <v>313</v>
      </c>
      <c r="C353" s="4"/>
      <c r="D353" s="6">
        <v>32</v>
      </c>
      <c r="E353" s="6">
        <f>E352+C353-D353</f>
      </c>
      <c r="F353" s="2"/>
    </row>
    <row x14ac:dyDescent="0.25" r="354" customHeight="1" ht="17.25">
      <c r="A354" s="8">
        <v>45939</v>
      </c>
      <c r="B354" s="9" t="s">
        <v>233</v>
      </c>
      <c r="C354" s="4"/>
      <c r="D354" s="6">
        <v>400</v>
      </c>
      <c r="E354" s="6">
        <f>E353+C354-D354</f>
      </c>
      <c r="F354" s="2"/>
    </row>
    <row x14ac:dyDescent="0.25" r="355" customHeight="1" ht="17.25">
      <c r="A355" s="8">
        <v>45939</v>
      </c>
      <c r="B355" s="9" t="s">
        <v>314</v>
      </c>
      <c r="C355" s="6">
        <v>366</v>
      </c>
      <c r="D355" s="4"/>
      <c r="E355" s="6">
        <f>E354+C355-D355</f>
      </c>
      <c r="F355" s="2"/>
    </row>
    <row x14ac:dyDescent="0.25" r="356" customHeight="1" ht="17.25">
      <c r="A356" s="7">
        <v>45940</v>
      </c>
      <c r="B356" s="9" t="s">
        <v>46</v>
      </c>
      <c r="C356" s="4"/>
      <c r="D356" s="6">
        <v>500</v>
      </c>
      <c r="E356" s="6">
        <f>E355+C356-D356</f>
      </c>
      <c r="F356" s="2"/>
    </row>
    <row x14ac:dyDescent="0.25" r="357" customHeight="1" ht="17.25">
      <c r="A357" s="8">
        <v>45940</v>
      </c>
      <c r="B357" s="9" t="s">
        <v>141</v>
      </c>
      <c r="C357" s="6">
        <v>22</v>
      </c>
      <c r="D357" s="4"/>
      <c r="E357" s="6">
        <f>E356+C357-D357</f>
      </c>
      <c r="F357" s="2"/>
    </row>
    <row x14ac:dyDescent="0.25" r="358" customHeight="1" ht="17.25">
      <c r="A358" s="7">
        <v>45940</v>
      </c>
      <c r="B358" s="9" t="s">
        <v>389</v>
      </c>
      <c r="C358" s="6">
        <v>323</v>
      </c>
      <c r="D358" s="4"/>
      <c r="E358" s="6">
        <f>E357+C358-D358</f>
      </c>
      <c r="F358" s="2"/>
    </row>
    <row x14ac:dyDescent="0.25" r="359" customHeight="1" ht="17.25">
      <c r="A359" s="7">
        <v>45941</v>
      </c>
      <c r="B359" s="9" t="s">
        <v>243</v>
      </c>
      <c r="C359" s="4"/>
      <c r="D359" s="6">
        <v>500</v>
      </c>
      <c r="E359" s="6">
        <f>E358+C359-D359</f>
      </c>
      <c r="F359" s="2"/>
    </row>
    <row x14ac:dyDescent="0.25" r="360" customHeight="1" ht="17.25">
      <c r="A360" s="8">
        <v>45941</v>
      </c>
      <c r="B360" s="9" t="s">
        <v>287</v>
      </c>
      <c r="C360" s="6">
        <v>7</v>
      </c>
      <c r="D360" s="4"/>
      <c r="E360" s="6">
        <f>E359+C360-D360</f>
      </c>
      <c r="F360" s="2"/>
    </row>
    <row x14ac:dyDescent="0.25" r="361" customHeight="1" ht="17.25">
      <c r="A361" s="8">
        <v>45943</v>
      </c>
      <c r="B361" s="9" t="s">
        <v>41</v>
      </c>
      <c r="C361" s="6">
        <v>38</v>
      </c>
      <c r="D361" s="4"/>
      <c r="E361" s="6">
        <f>E360+C361-D361</f>
      </c>
      <c r="F361" s="2"/>
    </row>
    <row x14ac:dyDescent="0.25" r="362" customHeight="1" ht="17.25">
      <c r="A362" s="8">
        <v>45943</v>
      </c>
      <c r="B362" s="9" t="s">
        <v>7</v>
      </c>
      <c r="C362" s="6">
        <v>50</v>
      </c>
      <c r="D362" s="4"/>
      <c r="E362" s="6">
        <f>E361+C362-D362</f>
      </c>
      <c r="F362" s="2"/>
    </row>
    <row x14ac:dyDescent="0.25" r="363" customHeight="1" ht="17.25">
      <c r="A363" s="8">
        <v>45943</v>
      </c>
      <c r="B363" s="9" t="s">
        <v>298</v>
      </c>
      <c r="C363" s="6">
        <v>584</v>
      </c>
      <c r="D363" s="4"/>
      <c r="E363" s="6">
        <f>E362+C363-D363</f>
      </c>
      <c r="F363" s="2"/>
    </row>
    <row x14ac:dyDescent="0.25" r="364" customHeight="1" ht="17.25">
      <c r="A364" s="7">
        <v>45945</v>
      </c>
      <c r="B364" s="9" t="s">
        <v>46</v>
      </c>
      <c r="C364" s="4"/>
      <c r="D364" s="6">
        <v>1000</v>
      </c>
      <c r="E364" s="6">
        <f>E363+C364-D364</f>
      </c>
      <c r="F364" s="2"/>
    </row>
    <row x14ac:dyDescent="0.25" r="365" customHeight="1" ht="17.25">
      <c r="A365" s="7">
        <v>45946</v>
      </c>
      <c r="B365" s="9" t="s">
        <v>389</v>
      </c>
      <c r="C365" s="6">
        <v>98</v>
      </c>
      <c r="D365" s="4"/>
      <c r="E365" s="6">
        <f>E364+C365-D365</f>
      </c>
      <c r="F365" s="2"/>
    </row>
    <row x14ac:dyDescent="0.25" r="366" customHeight="1" ht="17.25">
      <c r="A366" s="7">
        <v>45947</v>
      </c>
      <c r="B366" s="9" t="s">
        <v>316</v>
      </c>
      <c r="C366" s="4"/>
      <c r="D366" s="6">
        <v>179</v>
      </c>
      <c r="E366" s="6">
        <f>E365+C366-D366</f>
      </c>
      <c r="F366" s="2"/>
    </row>
    <row x14ac:dyDescent="0.25" r="367" customHeight="1" ht="17.25">
      <c r="A367" s="8">
        <v>45947</v>
      </c>
      <c r="B367" s="9" t="s">
        <v>7</v>
      </c>
      <c r="C367" s="6">
        <v>179</v>
      </c>
      <c r="D367" s="4"/>
      <c r="E367" s="6">
        <f>E366+C367-D367</f>
      </c>
      <c r="F367" s="2"/>
    </row>
    <row x14ac:dyDescent="0.25" r="368" customHeight="1" ht="17.25">
      <c r="A368" s="8">
        <v>45947</v>
      </c>
      <c r="B368" s="9" t="s">
        <v>389</v>
      </c>
      <c r="C368" s="6">
        <v>150</v>
      </c>
      <c r="D368" s="4"/>
      <c r="E368" s="6">
        <f>E367+C368-D368</f>
      </c>
      <c r="F368" s="2"/>
    </row>
    <row x14ac:dyDescent="0.25" r="369" customHeight="1" ht="17.25">
      <c r="A369" s="8">
        <v>45948</v>
      </c>
      <c r="B369" s="9" t="s">
        <v>306</v>
      </c>
      <c r="C369" s="6">
        <v>50</v>
      </c>
      <c r="D369" s="4"/>
      <c r="E369" s="6">
        <f>E368+C369-D369</f>
      </c>
      <c r="F369" s="2"/>
    </row>
    <row x14ac:dyDescent="0.25" r="370" customHeight="1" ht="17.25">
      <c r="A370" s="8">
        <v>45948</v>
      </c>
      <c r="B370" s="9" t="s">
        <v>2</v>
      </c>
      <c r="C370" s="6">
        <v>769</v>
      </c>
      <c r="D370" s="4"/>
      <c r="E370" s="6">
        <f>E369+C370-D370</f>
      </c>
      <c r="F370" s="2"/>
    </row>
    <row x14ac:dyDescent="0.25" r="371" customHeight="1" ht="17.25">
      <c r="A371" s="7">
        <v>45950</v>
      </c>
      <c r="B371" s="9" t="s">
        <v>316</v>
      </c>
      <c r="C371" s="4"/>
      <c r="D371" s="6">
        <v>21</v>
      </c>
      <c r="E371" s="6">
        <f>E370+C371-D371</f>
      </c>
      <c r="F371" s="2"/>
    </row>
    <row x14ac:dyDescent="0.25" r="372" customHeight="1" ht="17.25">
      <c r="A372" s="7">
        <v>45950</v>
      </c>
      <c r="B372" s="9" t="s">
        <v>7</v>
      </c>
      <c r="C372" s="6">
        <v>30</v>
      </c>
      <c r="D372" s="4"/>
      <c r="E372" s="6">
        <f>E371+C372-D372</f>
      </c>
      <c r="F372" s="2"/>
    </row>
    <row x14ac:dyDescent="0.25" r="373" customHeight="1" ht="17.25">
      <c r="A373" s="7">
        <v>45951</v>
      </c>
      <c r="B373" s="9" t="s">
        <v>46</v>
      </c>
      <c r="C373" s="4"/>
      <c r="D373" s="6">
        <v>500</v>
      </c>
      <c r="E373" s="6">
        <f>E372+C373-D373</f>
      </c>
      <c r="F373" s="2"/>
    </row>
    <row x14ac:dyDescent="0.25" r="374" customHeight="1" ht="17.25">
      <c r="A374" s="7">
        <v>45951</v>
      </c>
      <c r="B374" s="9" t="s">
        <v>316</v>
      </c>
      <c r="C374" s="4"/>
      <c r="D374" s="6">
        <v>195</v>
      </c>
      <c r="E374" s="6">
        <f>E373+C374-D374</f>
      </c>
      <c r="F374" s="2"/>
    </row>
    <row x14ac:dyDescent="0.25" r="375" customHeight="1" ht="17.25">
      <c r="A375" s="7">
        <v>45951</v>
      </c>
      <c r="B375" s="9" t="s">
        <v>315</v>
      </c>
      <c r="C375" s="4"/>
      <c r="D375" s="6">
        <v>32</v>
      </c>
      <c r="E375" s="6">
        <f>E374+C375-D375</f>
      </c>
      <c r="F375" s="2"/>
    </row>
    <row x14ac:dyDescent="0.25" r="376" customHeight="1" ht="17.25">
      <c r="A376" s="7">
        <v>45951</v>
      </c>
      <c r="B376" s="9" t="s">
        <v>7</v>
      </c>
      <c r="C376" s="6">
        <v>69</v>
      </c>
      <c r="D376" s="4"/>
      <c r="E376" s="6">
        <f>E375+C376-D376</f>
      </c>
      <c r="F376" s="2"/>
    </row>
    <row x14ac:dyDescent="0.25" r="377" customHeight="1" ht="17.25">
      <c r="A377" s="7">
        <v>45951</v>
      </c>
      <c r="B377" s="9" t="s">
        <v>182</v>
      </c>
      <c r="C377" s="6">
        <v>402</v>
      </c>
      <c r="D377" s="4"/>
      <c r="E377" s="6">
        <f>E376+C377-D377</f>
      </c>
      <c r="F377" s="2"/>
    </row>
    <row x14ac:dyDescent="0.25" r="378" customHeight="1" ht="17.25">
      <c r="A378" s="7">
        <v>45952</v>
      </c>
      <c r="B378" s="9" t="s">
        <v>313</v>
      </c>
      <c r="C378" s="4"/>
      <c r="D378" s="6">
        <v>32</v>
      </c>
      <c r="E378" s="6">
        <f>E377+C378-D378</f>
      </c>
      <c r="F378" s="2"/>
    </row>
    <row x14ac:dyDescent="0.25" r="379" customHeight="1" ht="17.25">
      <c r="A379" s="7">
        <v>45952</v>
      </c>
      <c r="B379" s="9" t="s">
        <v>141</v>
      </c>
      <c r="C379" s="6">
        <v>23</v>
      </c>
      <c r="D379" s="4"/>
      <c r="E379" s="6">
        <f>E378+C379-D379</f>
      </c>
      <c r="F379" s="2"/>
    </row>
    <row x14ac:dyDescent="0.25" r="380" customHeight="1" ht="17.25">
      <c r="A380" s="7">
        <v>45952</v>
      </c>
      <c r="B380" s="9" t="s">
        <v>389</v>
      </c>
      <c r="C380" s="6">
        <v>190</v>
      </c>
      <c r="D380" s="4"/>
      <c r="E380" s="6">
        <f>E379+C380-D380</f>
      </c>
      <c r="F380" s="2"/>
    </row>
    <row x14ac:dyDescent="0.25" r="381" customHeight="1" ht="17.25">
      <c r="A381" s="7">
        <v>45953</v>
      </c>
      <c r="B381" s="9" t="s">
        <v>398</v>
      </c>
      <c r="C381" s="4"/>
      <c r="D381" s="6">
        <v>100</v>
      </c>
      <c r="E381" s="6">
        <f>E380+C381-D381</f>
      </c>
      <c r="F381" s="2"/>
    </row>
    <row x14ac:dyDescent="0.25" r="382" customHeight="1" ht="17.25">
      <c r="A382" s="7">
        <v>45953</v>
      </c>
      <c r="B382" s="9" t="s">
        <v>47</v>
      </c>
      <c r="C382" s="6">
        <v>100</v>
      </c>
      <c r="D382" s="4"/>
      <c r="E382" s="6">
        <f>E381+C382-D382</f>
      </c>
      <c r="F382" s="2"/>
    </row>
    <row x14ac:dyDescent="0.25" r="383" customHeight="1" ht="17.25">
      <c r="A383" s="7">
        <v>45954</v>
      </c>
      <c r="B383" s="9" t="s">
        <v>399</v>
      </c>
      <c r="C383" s="4"/>
      <c r="D383" s="6">
        <v>500</v>
      </c>
      <c r="E383" s="6">
        <f>E382+C383-D383</f>
      </c>
      <c r="F383" s="2"/>
    </row>
    <row x14ac:dyDescent="0.25" r="384" customHeight="1" ht="17.25">
      <c r="A384" s="7">
        <v>45954</v>
      </c>
      <c r="B384" s="9" t="s">
        <v>46</v>
      </c>
      <c r="C384" s="4"/>
      <c r="D384" s="6">
        <v>300</v>
      </c>
      <c r="E384" s="6">
        <f>E383+C384-D384</f>
      </c>
      <c r="F384" s="2"/>
    </row>
    <row x14ac:dyDescent="0.25" r="385" customHeight="1" ht="17.25">
      <c r="A385" s="7">
        <v>45954</v>
      </c>
      <c r="B385" s="9" t="s">
        <v>398</v>
      </c>
      <c r="C385" s="4"/>
      <c r="D385" s="6">
        <v>1</v>
      </c>
      <c r="E385" s="6">
        <f>E384+C385-D385</f>
      </c>
      <c r="F385" s="2"/>
    </row>
    <row x14ac:dyDescent="0.25" r="386" customHeight="1" ht="17.25">
      <c r="A386" s="7">
        <v>45958</v>
      </c>
      <c r="B386" s="9" t="s">
        <v>316</v>
      </c>
      <c r="C386" s="4"/>
      <c r="D386" s="6">
        <v>300</v>
      </c>
      <c r="E386" s="6">
        <f>E385+C386-D386</f>
      </c>
      <c r="F386" s="2"/>
    </row>
    <row x14ac:dyDescent="0.25" r="387" customHeight="1" ht="17.25">
      <c r="A387" s="7">
        <v>45958</v>
      </c>
      <c r="B387" s="9" t="s">
        <v>347</v>
      </c>
      <c r="C387" s="4"/>
      <c r="D387" s="6">
        <v>20</v>
      </c>
      <c r="E387" s="6">
        <f>E386+C387-D387</f>
      </c>
      <c r="F387" s="2"/>
    </row>
    <row x14ac:dyDescent="0.25" r="388" customHeight="1" ht="17.25">
      <c r="A388" s="8">
        <v>45958</v>
      </c>
      <c r="B388" s="9" t="s">
        <v>317</v>
      </c>
      <c r="C388" s="6">
        <v>4</v>
      </c>
      <c r="D388" s="4"/>
      <c r="E388" s="6">
        <f>E387+C388-D388</f>
      </c>
      <c r="F388" s="2"/>
    </row>
    <row x14ac:dyDescent="0.25" r="389" customHeight="1" ht="17.25">
      <c r="A389" s="8">
        <v>45958</v>
      </c>
      <c r="B389" s="9" t="s">
        <v>3</v>
      </c>
      <c r="C389" s="6">
        <v>2</v>
      </c>
      <c r="D389" s="4"/>
      <c r="E389" s="6">
        <f>E388+C389-D389</f>
      </c>
      <c r="F389" s="2"/>
    </row>
    <row x14ac:dyDescent="0.25" r="390" customHeight="1" ht="17.25">
      <c r="A390" s="7">
        <v>45959</v>
      </c>
      <c r="B390" s="9" t="s">
        <v>33</v>
      </c>
      <c r="C390" s="6">
        <v>1250</v>
      </c>
      <c r="D390" s="4"/>
      <c r="E390" s="6">
        <f>E389+C390-D390</f>
      </c>
      <c r="F390" s="2"/>
    </row>
    <row x14ac:dyDescent="0.25" r="391" customHeight="1" ht="17.25">
      <c r="A391" s="7">
        <v>45959</v>
      </c>
      <c r="B391" s="9" t="s">
        <v>33</v>
      </c>
      <c r="C391" s="6">
        <v>648</v>
      </c>
      <c r="D391" s="4"/>
      <c r="E391" s="6">
        <f>E390+C391-D391</f>
      </c>
      <c r="F391" s="2"/>
    </row>
    <row x14ac:dyDescent="0.25" r="392" customHeight="1" ht="17.25">
      <c r="A392" s="7">
        <v>45959</v>
      </c>
      <c r="B392" s="9" t="s">
        <v>243</v>
      </c>
      <c r="C392" s="4"/>
      <c r="D392" s="6">
        <v>500</v>
      </c>
      <c r="E392" s="6">
        <f>E391+C392-D392</f>
      </c>
      <c r="F392" s="2"/>
    </row>
    <row x14ac:dyDescent="0.25" r="393" customHeight="1" ht="17.25">
      <c r="A393" s="7">
        <v>45959</v>
      </c>
      <c r="B393" s="9" t="s">
        <v>400</v>
      </c>
      <c r="C393" s="4"/>
      <c r="D393" s="6">
        <v>1500</v>
      </c>
      <c r="E393" s="6">
        <f>E392+C393-D393</f>
      </c>
      <c r="F393" s="2"/>
    </row>
    <row x14ac:dyDescent="0.25" r="394" customHeight="1" ht="17.25">
      <c r="A394" s="8">
        <v>45959</v>
      </c>
      <c r="B394" s="9" t="s">
        <v>389</v>
      </c>
      <c r="C394" s="6">
        <v>48</v>
      </c>
      <c r="D394" s="4"/>
      <c r="E394" s="6">
        <f>E393+C394-D394</f>
      </c>
      <c r="F394" s="2"/>
    </row>
    <row x14ac:dyDescent="0.25" r="395" customHeight="1" ht="17.25">
      <c r="A395" s="7">
        <v>45959</v>
      </c>
      <c r="B395" s="9" t="s">
        <v>3</v>
      </c>
      <c r="C395" s="6">
        <v>288</v>
      </c>
      <c r="D395" s="4"/>
      <c r="E395" s="6">
        <f>E394+C395-D395</f>
      </c>
      <c r="F395" s="2"/>
    </row>
    <row x14ac:dyDescent="0.25" r="396" customHeight="1" ht="17.25">
      <c r="A396" s="1"/>
      <c r="B396" s="9" t="s">
        <v>401</v>
      </c>
      <c r="C396" s="4"/>
      <c r="D396" s="4"/>
      <c r="E396" s="6">
        <f>E395+C396-D396</f>
      </c>
      <c r="F396" s="2"/>
    </row>
    <row x14ac:dyDescent="0.25" r="397" customHeight="1" ht="17.25">
      <c r="A397" s="8">
        <v>45960</v>
      </c>
      <c r="B397" s="9" t="s">
        <v>347</v>
      </c>
      <c r="C397" s="4"/>
      <c r="D397" s="6">
        <v>18</v>
      </c>
      <c r="E397" s="6">
        <f>E396+C397-D397</f>
      </c>
      <c r="F397" s="2"/>
    </row>
    <row x14ac:dyDescent="0.25" r="398" customHeight="1" ht="17.25">
      <c r="A398" s="7">
        <v>45960</v>
      </c>
      <c r="B398" s="9" t="s">
        <v>26</v>
      </c>
      <c r="C398" s="4"/>
      <c r="D398" s="6">
        <v>300</v>
      </c>
      <c r="E398" s="6">
        <f>E397+C398-D398</f>
      </c>
      <c r="F398" s="2"/>
    </row>
    <row x14ac:dyDescent="0.25" r="399" customHeight="1" ht="17.25">
      <c r="A399" s="8">
        <v>45960</v>
      </c>
      <c r="B399" s="9" t="s">
        <v>318</v>
      </c>
      <c r="C399" s="4"/>
      <c r="D399" s="6">
        <v>16</v>
      </c>
      <c r="E399" s="6">
        <f>E398+C399-D399</f>
      </c>
      <c r="F399" s="2"/>
    </row>
    <row x14ac:dyDescent="0.25" r="400" customHeight="1" ht="17.25">
      <c r="A400" s="8">
        <v>45960</v>
      </c>
      <c r="B400" s="9" t="s">
        <v>141</v>
      </c>
      <c r="C400" s="6">
        <v>22</v>
      </c>
      <c r="D400" s="4"/>
      <c r="E400" s="6">
        <f>E399+C400-D400</f>
      </c>
      <c r="F400" s="2"/>
    </row>
    <row x14ac:dyDescent="0.25" r="401" customHeight="1" ht="17.25">
      <c r="A401" s="7">
        <v>45960</v>
      </c>
      <c r="B401" s="9" t="s">
        <v>3</v>
      </c>
      <c r="C401" s="6">
        <v>100</v>
      </c>
      <c r="D401" s="4"/>
      <c r="E401" s="6">
        <f>E400+C401-D401</f>
      </c>
      <c r="F401" s="2"/>
    </row>
    <row x14ac:dyDescent="0.25" r="402" customHeight="1" ht="17.25">
      <c r="A402" s="7">
        <v>45961</v>
      </c>
      <c r="B402" s="9" t="s">
        <v>319</v>
      </c>
      <c r="C402" s="4"/>
      <c r="D402" s="6">
        <v>260</v>
      </c>
      <c r="E402" s="6">
        <f>E401+C402-D402</f>
      </c>
      <c r="F402" s="2"/>
    </row>
    <row x14ac:dyDescent="0.25" r="403" customHeight="1" ht="17.25">
      <c r="A403" s="7">
        <v>45961</v>
      </c>
      <c r="B403" s="9" t="s">
        <v>334</v>
      </c>
      <c r="C403" s="6">
        <v>2</v>
      </c>
      <c r="D403" s="4"/>
      <c r="E403" s="6">
        <f>E402+C403-D403</f>
      </c>
      <c r="F403" s="2"/>
    </row>
    <row x14ac:dyDescent="0.25" r="404" customHeight="1" ht="17.25">
      <c r="A404" s="7">
        <v>45961</v>
      </c>
      <c r="B404" s="9" t="s">
        <v>3</v>
      </c>
      <c r="C404" s="6">
        <v>167</v>
      </c>
      <c r="D404" s="4"/>
      <c r="E404" s="6">
        <f>E403+C404-D404</f>
      </c>
      <c r="F404" s="2"/>
    </row>
    <row x14ac:dyDescent="0.25" r="405" customHeight="1" ht="17.25">
      <c r="A405" s="8">
        <v>45964</v>
      </c>
      <c r="B405" s="9" t="s">
        <v>320</v>
      </c>
      <c r="C405" s="4"/>
      <c r="D405" s="6">
        <v>32</v>
      </c>
      <c r="E405" s="6">
        <f>E404+C405-D405</f>
      </c>
      <c r="F405" s="2"/>
    </row>
    <row x14ac:dyDescent="0.25" r="406" customHeight="1" ht="17.25">
      <c r="A406" s="7">
        <v>45965</v>
      </c>
      <c r="B406" s="9" t="s">
        <v>228</v>
      </c>
      <c r="C406" s="6">
        <v>890</v>
      </c>
      <c r="D406" s="4"/>
      <c r="E406" s="6">
        <f>E405+C406-D406</f>
      </c>
      <c r="F406" s="2"/>
    </row>
    <row x14ac:dyDescent="0.25" r="407" customHeight="1" ht="17.25">
      <c r="A407" s="7">
        <v>45965</v>
      </c>
      <c r="B407" s="9" t="s">
        <v>389</v>
      </c>
      <c r="C407" s="6">
        <v>233</v>
      </c>
      <c r="D407" s="4"/>
      <c r="E407" s="6">
        <f>E406+C407-D407</f>
      </c>
      <c r="F407" s="2"/>
    </row>
    <row x14ac:dyDescent="0.25" r="408" customHeight="1" ht="17.25">
      <c r="A408" s="7">
        <v>45965</v>
      </c>
      <c r="B408" s="9" t="s">
        <v>3</v>
      </c>
      <c r="C408" s="6">
        <v>150</v>
      </c>
      <c r="D408" s="4"/>
      <c r="E408" s="6">
        <f>E407+C408-D408</f>
      </c>
      <c r="F408" s="2"/>
    </row>
    <row x14ac:dyDescent="0.25" r="409" customHeight="1" ht="17.25">
      <c r="A409" s="7">
        <v>45966</v>
      </c>
      <c r="B409" s="9" t="s">
        <v>318</v>
      </c>
      <c r="C409" s="4"/>
      <c r="D409" s="6">
        <v>96</v>
      </c>
      <c r="E409" s="6">
        <f>E408+C409-D409</f>
      </c>
      <c r="F409" s="2"/>
    </row>
    <row x14ac:dyDescent="0.25" r="410" customHeight="1" ht="17.25">
      <c r="A410" s="8">
        <v>45966</v>
      </c>
      <c r="B410" s="9" t="s">
        <v>347</v>
      </c>
      <c r="C410" s="6">
        <v>18</v>
      </c>
      <c r="D410" s="4"/>
      <c r="E410" s="6">
        <f>E409+C410-D410</f>
      </c>
      <c r="F410" s="2"/>
    </row>
    <row x14ac:dyDescent="0.25" r="411" customHeight="1" ht="17.25">
      <c r="A411" s="7">
        <v>45967</v>
      </c>
      <c r="B411" s="9" t="s">
        <v>400</v>
      </c>
      <c r="C411" s="4"/>
      <c r="D411" s="6">
        <v>1000</v>
      </c>
      <c r="E411" s="6">
        <f>E410+C411-D411</f>
      </c>
      <c r="F411" s="2"/>
    </row>
    <row x14ac:dyDescent="0.25" r="412" customHeight="1" ht="17.25">
      <c r="A412" s="8">
        <v>45967</v>
      </c>
      <c r="B412" s="9" t="s">
        <v>283</v>
      </c>
      <c r="C412" s="6">
        <v>225</v>
      </c>
      <c r="D412" s="4"/>
      <c r="E412" s="6">
        <f>E411+C412-D412</f>
      </c>
      <c r="F412" s="2"/>
    </row>
    <row x14ac:dyDescent="0.25" r="413" customHeight="1" ht="17.25">
      <c r="A413" s="7">
        <v>45968</v>
      </c>
      <c r="B413" s="9" t="s">
        <v>26</v>
      </c>
      <c r="C413" s="4"/>
      <c r="D413" s="6">
        <v>500</v>
      </c>
      <c r="E413" s="6">
        <f>E412+C413-D413</f>
      </c>
      <c r="F413" s="2"/>
    </row>
    <row x14ac:dyDescent="0.25" r="414" customHeight="1" ht="17.25">
      <c r="A414" s="7">
        <v>45968</v>
      </c>
      <c r="B414" s="9" t="s">
        <v>3</v>
      </c>
      <c r="C414" s="6">
        <v>159</v>
      </c>
      <c r="D414" s="4"/>
      <c r="E414" s="6">
        <f>E413+C414-D414</f>
      </c>
      <c r="F414" s="2"/>
    </row>
    <row x14ac:dyDescent="0.25" r="415" customHeight="1" ht="17.25">
      <c r="A415" s="7">
        <v>45971</v>
      </c>
      <c r="B415" s="9" t="s">
        <v>318</v>
      </c>
      <c r="C415" s="4"/>
      <c r="D415" s="6">
        <v>100</v>
      </c>
      <c r="E415" s="6">
        <f>E414+C415-D415</f>
      </c>
      <c r="F415" s="2"/>
    </row>
    <row x14ac:dyDescent="0.25" r="416" customHeight="1" ht="17.25">
      <c r="A416" s="8">
        <v>45972</v>
      </c>
      <c r="B416" s="9" t="s">
        <v>313</v>
      </c>
      <c r="C416" s="4"/>
      <c r="D416" s="6">
        <v>130</v>
      </c>
      <c r="E416" s="6">
        <f>E415+C416-D416</f>
      </c>
      <c r="F416" s="2"/>
    </row>
    <row x14ac:dyDescent="0.25" r="417" customHeight="1" ht="17.25">
      <c r="A417" s="8">
        <v>45973</v>
      </c>
      <c r="B417" s="9" t="s">
        <v>234</v>
      </c>
      <c r="C417" s="6">
        <v>122</v>
      </c>
      <c r="D417" s="4"/>
      <c r="E417" s="6">
        <f>E416+C417-D417</f>
      </c>
      <c r="F417" s="2"/>
    </row>
    <row x14ac:dyDescent="0.25" r="418" customHeight="1" ht="17.25">
      <c r="A418" s="8">
        <v>45973</v>
      </c>
      <c r="B418" s="9" t="s">
        <v>42</v>
      </c>
      <c r="C418" s="4"/>
      <c r="D418" s="6">
        <v>50</v>
      </c>
      <c r="E418" s="6">
        <f>E417+C418-D418</f>
      </c>
      <c r="F418" s="2"/>
    </row>
    <row x14ac:dyDescent="0.25" r="419" customHeight="1" ht="17.25">
      <c r="A419" s="8">
        <v>45974</v>
      </c>
      <c r="B419" s="9" t="s">
        <v>29</v>
      </c>
      <c r="C419" s="6">
        <v>249</v>
      </c>
      <c r="D419" s="4"/>
      <c r="E419" s="6">
        <f>E418+C419-D419</f>
      </c>
      <c r="F419" s="2"/>
    </row>
    <row x14ac:dyDescent="0.25" r="420" customHeight="1" ht="17.25">
      <c r="A420" s="7">
        <v>45974</v>
      </c>
      <c r="B420" s="9" t="s">
        <v>318</v>
      </c>
      <c r="C420" s="6">
        <v>11</v>
      </c>
      <c r="D420" s="4"/>
      <c r="E420" s="6">
        <f>E419+C420-D420</f>
      </c>
      <c r="F420" s="2"/>
    </row>
    <row x14ac:dyDescent="0.25" r="421" customHeight="1" ht="17.25">
      <c r="A421" s="8">
        <v>45974</v>
      </c>
      <c r="B421" s="9" t="s">
        <v>228</v>
      </c>
      <c r="C421" s="6">
        <v>178</v>
      </c>
      <c r="D421" s="4"/>
      <c r="E421" s="6">
        <f>E420+C421-D421</f>
      </c>
      <c r="F421" s="2"/>
    </row>
    <row x14ac:dyDescent="0.25" r="422" customHeight="1" ht="17.25">
      <c r="A422" s="7">
        <v>45975</v>
      </c>
      <c r="B422" s="9" t="s">
        <v>318</v>
      </c>
      <c r="C422" s="4"/>
      <c r="D422" s="6">
        <v>11</v>
      </c>
      <c r="E422" s="6">
        <f>E421+C422-D422</f>
      </c>
      <c r="F422" s="2"/>
    </row>
    <row x14ac:dyDescent="0.25" r="423" customHeight="1" ht="17.25">
      <c r="A423" s="7">
        <v>45975</v>
      </c>
      <c r="B423" s="9" t="s">
        <v>206</v>
      </c>
      <c r="C423" s="6">
        <v>979</v>
      </c>
      <c r="D423" s="4"/>
      <c r="E423" s="6">
        <f>E422+C423-D423</f>
      </c>
      <c r="F423" s="2"/>
    </row>
    <row x14ac:dyDescent="0.25" r="424" customHeight="1" ht="17.25">
      <c r="A424" s="7">
        <v>45975</v>
      </c>
      <c r="B424" s="9" t="s">
        <v>391</v>
      </c>
      <c r="C424" s="6">
        <v>49</v>
      </c>
      <c r="D424" s="4"/>
      <c r="E424" s="6">
        <f>E423+C424-D424</f>
      </c>
      <c r="F424" s="2"/>
    </row>
    <row x14ac:dyDescent="0.25" r="425" customHeight="1" ht="17.25">
      <c r="A425" s="8">
        <v>45978</v>
      </c>
      <c r="B425" s="9" t="s">
        <v>320</v>
      </c>
      <c r="C425" s="6">
        <v>32</v>
      </c>
      <c r="D425" s="4"/>
      <c r="E425" s="6">
        <f>E424+C425-D425</f>
      </c>
      <c r="F425" s="2"/>
    </row>
    <row x14ac:dyDescent="0.25" r="426" customHeight="1" ht="17.25">
      <c r="A426" s="8">
        <v>45979</v>
      </c>
      <c r="B426" s="9" t="s">
        <v>182</v>
      </c>
      <c r="C426" s="6">
        <v>325</v>
      </c>
      <c r="D426" s="4"/>
      <c r="E426" s="6">
        <f>E425+C426-D426</f>
      </c>
      <c r="F426" s="2"/>
    </row>
    <row x14ac:dyDescent="0.25" r="427" customHeight="1" ht="17.25">
      <c r="A427" s="7">
        <v>45979</v>
      </c>
      <c r="B427" s="9" t="s">
        <v>321</v>
      </c>
      <c r="C427" s="6">
        <v>256</v>
      </c>
      <c r="D427" s="4"/>
      <c r="E427" s="6">
        <f>E426+C427-D427</f>
      </c>
      <c r="F427" s="2"/>
    </row>
    <row x14ac:dyDescent="0.25" r="428" customHeight="1" ht="17.25">
      <c r="A428" s="8">
        <v>45980</v>
      </c>
      <c r="B428" s="9" t="s">
        <v>313</v>
      </c>
      <c r="C428" s="4"/>
      <c r="D428" s="6">
        <v>300</v>
      </c>
      <c r="E428" s="6">
        <f>E427+C428-D428</f>
      </c>
      <c r="F428" s="2"/>
    </row>
    <row x14ac:dyDescent="0.25" r="429" customHeight="1" ht="17.25">
      <c r="A429" s="8">
        <v>45981</v>
      </c>
      <c r="B429" s="9" t="s">
        <v>141</v>
      </c>
      <c r="C429" s="6">
        <v>9</v>
      </c>
      <c r="D429" s="4"/>
      <c r="E429" s="6">
        <f>E428+C429-D429</f>
      </c>
      <c r="F429" s="2"/>
    </row>
    <row x14ac:dyDescent="0.25" r="430" customHeight="1" ht="17.25">
      <c r="A430" s="7">
        <v>45982</v>
      </c>
      <c r="B430" s="9" t="s">
        <v>286</v>
      </c>
      <c r="C430" s="4"/>
      <c r="D430" s="6">
        <v>500</v>
      </c>
      <c r="E430" s="6">
        <f>E429+C430-D430</f>
      </c>
      <c r="F430" s="2"/>
    </row>
    <row x14ac:dyDescent="0.25" r="431" customHeight="1" ht="17.25">
      <c r="A431" s="7">
        <v>45982</v>
      </c>
      <c r="B431" s="9" t="s">
        <v>402</v>
      </c>
      <c r="C431" s="4"/>
      <c r="D431" s="6">
        <v>200</v>
      </c>
      <c r="E431" s="6">
        <f>E430+C431-D431</f>
      </c>
      <c r="F431" s="2"/>
    </row>
    <row x14ac:dyDescent="0.25" r="432" customHeight="1" ht="17.25">
      <c r="A432" s="8">
        <v>45985</v>
      </c>
      <c r="B432" s="9" t="s">
        <v>286</v>
      </c>
      <c r="C432" s="4"/>
      <c r="D432" s="6">
        <v>200</v>
      </c>
      <c r="E432" s="6">
        <f>E431+C432-D432</f>
      </c>
      <c r="F432" s="2"/>
    </row>
    <row x14ac:dyDescent="0.25" r="433" customHeight="1" ht="17.25">
      <c r="A433" s="8">
        <v>45985</v>
      </c>
      <c r="B433" s="9" t="s">
        <v>182</v>
      </c>
      <c r="C433" s="6">
        <v>174</v>
      </c>
      <c r="D433" s="4"/>
      <c r="E433" s="6">
        <f>E432+C433-D433</f>
      </c>
      <c r="F433" s="2"/>
    </row>
    <row x14ac:dyDescent="0.25" r="434" customHeight="1" ht="17.25">
      <c r="A434" s="8">
        <v>45985</v>
      </c>
      <c r="B434" s="9" t="s">
        <v>228</v>
      </c>
      <c r="C434" s="6">
        <v>168</v>
      </c>
      <c r="D434" s="4"/>
      <c r="E434" s="6">
        <f>E433+C434-D434</f>
      </c>
      <c r="F434" s="2"/>
    </row>
    <row x14ac:dyDescent="0.25" r="435" customHeight="1" ht="17.25">
      <c r="A435" s="7">
        <v>45986</v>
      </c>
      <c r="B435" s="9" t="s">
        <v>316</v>
      </c>
      <c r="C435" s="4"/>
      <c r="D435" s="6">
        <v>200</v>
      </c>
      <c r="E435" s="6">
        <f>E434+C435-D435</f>
      </c>
      <c r="F435" s="2"/>
    </row>
    <row x14ac:dyDescent="0.25" r="436" customHeight="1" ht="17.25">
      <c r="A436" s="7">
        <v>45986</v>
      </c>
      <c r="B436" s="9" t="s">
        <v>33</v>
      </c>
      <c r="C436" s="6">
        <v>1200</v>
      </c>
      <c r="D436" s="4"/>
      <c r="E436" s="6">
        <f>E435+C436-D436</f>
      </c>
      <c r="F436" s="2"/>
    </row>
    <row x14ac:dyDescent="0.25" r="437" customHeight="1" ht="17.25">
      <c r="A437" s="7">
        <v>45986</v>
      </c>
      <c r="B437" s="9" t="s">
        <v>3</v>
      </c>
      <c r="C437" s="6">
        <v>113</v>
      </c>
      <c r="D437" s="4"/>
      <c r="E437" s="6">
        <f>E436+C437-D437</f>
      </c>
      <c r="F437" s="2"/>
    </row>
    <row x14ac:dyDescent="0.25" r="438" customHeight="1" ht="17.25">
      <c r="A438" s="7">
        <v>45986</v>
      </c>
      <c r="B438" s="9" t="s">
        <v>391</v>
      </c>
      <c r="C438" s="6">
        <v>138</v>
      </c>
      <c r="D438" s="4"/>
      <c r="E438" s="6">
        <f>E437+C438-D438</f>
      </c>
      <c r="F438" s="2"/>
    </row>
    <row x14ac:dyDescent="0.25" r="439" customHeight="1" ht="17.25">
      <c r="A439" s="8">
        <v>45987</v>
      </c>
      <c r="B439" s="9" t="s">
        <v>244</v>
      </c>
      <c r="C439" s="4"/>
      <c r="D439" s="6">
        <v>130</v>
      </c>
      <c r="E439" s="6">
        <f>E438+C439-D439</f>
      </c>
      <c r="F439" s="2"/>
    </row>
    <row x14ac:dyDescent="0.25" r="440" customHeight="1" ht="17.25">
      <c r="A440" s="7">
        <v>45987</v>
      </c>
      <c r="B440" s="9" t="s">
        <v>58</v>
      </c>
      <c r="C440" s="6">
        <v>300</v>
      </c>
      <c r="D440" s="4"/>
      <c r="E440" s="6">
        <f>E439+C440-D440</f>
      </c>
      <c r="F440" s="2"/>
    </row>
    <row x14ac:dyDescent="0.25" r="441" customHeight="1" ht="17.25">
      <c r="A441" s="8">
        <v>45988</v>
      </c>
      <c r="B441" s="9" t="s">
        <v>53</v>
      </c>
      <c r="C441" s="4"/>
      <c r="D441" s="6">
        <v>500</v>
      </c>
      <c r="E441" s="6">
        <f>E440+C441-D441</f>
      </c>
      <c r="F441" s="2"/>
    </row>
    <row x14ac:dyDescent="0.25" r="442" customHeight="1" ht="17.25">
      <c r="A442" s="8">
        <v>45988</v>
      </c>
      <c r="B442" s="9" t="s">
        <v>3</v>
      </c>
      <c r="C442" s="6">
        <v>21</v>
      </c>
      <c r="D442" s="4"/>
      <c r="E442" s="6">
        <f>E441+C442-D442</f>
      </c>
      <c r="F442" s="2"/>
    </row>
    <row x14ac:dyDescent="0.25" r="443" customHeight="1" ht="17.25">
      <c r="A443" s="8">
        <v>45988</v>
      </c>
      <c r="B443" s="9" t="s">
        <v>41</v>
      </c>
      <c r="C443" s="6">
        <v>107</v>
      </c>
      <c r="D443" s="4"/>
      <c r="E443" s="6">
        <f>E442+C443-D443</f>
      </c>
      <c r="F443" s="2"/>
    </row>
    <row x14ac:dyDescent="0.25" r="444" customHeight="1" ht="17.25">
      <c r="A444" s="7">
        <v>45989</v>
      </c>
      <c r="B444" s="9" t="s">
        <v>403</v>
      </c>
      <c r="C444" s="4"/>
      <c r="D444" s="6">
        <v>250</v>
      </c>
      <c r="E444" s="6">
        <f>E443+C444-D444</f>
      </c>
      <c r="F444" s="2"/>
    </row>
    <row x14ac:dyDescent="0.25" r="445" customHeight="1" ht="17.25">
      <c r="A445" s="7">
        <v>45989</v>
      </c>
      <c r="B445" s="2" t="s">
        <v>404</v>
      </c>
      <c r="C445" s="6">
        <v>250</v>
      </c>
      <c r="D445" s="4"/>
      <c r="E445" s="6">
        <f>E444+C445-D445</f>
      </c>
      <c r="F445" s="2"/>
    </row>
    <row x14ac:dyDescent="0.25" r="446" customHeight="1" ht="17.25">
      <c r="A446" s="7">
        <v>45990</v>
      </c>
      <c r="B446" s="9" t="s">
        <v>313</v>
      </c>
      <c r="C446" s="4"/>
      <c r="D446" s="6">
        <v>420</v>
      </c>
      <c r="E446" s="6">
        <f>E445+C446-D446</f>
      </c>
      <c r="F446" s="2"/>
    </row>
    <row x14ac:dyDescent="0.25" r="447" customHeight="1" ht="17.25">
      <c r="A447" s="8">
        <v>45992</v>
      </c>
      <c r="B447" s="9"/>
      <c r="C447" s="6">
        <v>1000</v>
      </c>
      <c r="D447" s="4"/>
      <c r="E447" s="6">
        <f>E446+C447-D447</f>
      </c>
      <c r="F447" s="2"/>
    </row>
    <row x14ac:dyDescent="0.25" r="448" customHeight="1" ht="17.25">
      <c r="A448" s="8">
        <v>45992</v>
      </c>
      <c r="B448" s="9" t="s">
        <v>185</v>
      </c>
      <c r="C448" s="4"/>
      <c r="D448" s="6">
        <v>2500</v>
      </c>
      <c r="E448" s="6">
        <f>E447+C448-D448</f>
      </c>
      <c r="F448" s="2"/>
    </row>
    <row x14ac:dyDescent="0.25" r="449" customHeight="1" ht="17.25">
      <c r="A449" s="7">
        <v>45992</v>
      </c>
      <c r="B449" s="9" t="s">
        <v>316</v>
      </c>
      <c r="C449" s="4"/>
      <c r="D449" s="6">
        <v>200</v>
      </c>
      <c r="E449" s="6">
        <f>E448+C449-D449</f>
      </c>
      <c r="F449" s="2"/>
    </row>
    <row x14ac:dyDescent="0.25" r="450" customHeight="1" ht="17.25">
      <c r="A450" s="8">
        <v>45992</v>
      </c>
      <c r="B450" s="9" t="s">
        <v>284</v>
      </c>
      <c r="C450" s="6">
        <v>40</v>
      </c>
      <c r="D450" s="4"/>
      <c r="E450" s="6">
        <f>E449+C450-D450</f>
      </c>
      <c r="F450" s="2"/>
    </row>
    <row x14ac:dyDescent="0.25" r="451" customHeight="1" ht="17.25">
      <c r="A451" s="8">
        <v>45994</v>
      </c>
      <c r="B451" s="9" t="s">
        <v>313</v>
      </c>
      <c r="C451" s="4"/>
      <c r="D451" s="6">
        <v>100</v>
      </c>
      <c r="E451" s="6">
        <f>E450+C451-D451</f>
      </c>
      <c r="F451" s="2"/>
    </row>
    <row x14ac:dyDescent="0.25" r="452" customHeight="1" ht="17.25">
      <c r="A452" s="7">
        <v>45994</v>
      </c>
      <c r="B452" s="9" t="s">
        <v>26</v>
      </c>
      <c r="C452" s="4"/>
      <c r="D452" s="6">
        <v>100</v>
      </c>
      <c r="E452" s="6">
        <f>E451+C452-D452</f>
      </c>
      <c r="F452" s="2"/>
    </row>
    <row x14ac:dyDescent="0.25" r="453" customHeight="1" ht="17.25">
      <c r="A453" s="7">
        <v>45994</v>
      </c>
      <c r="B453" s="9" t="s">
        <v>3</v>
      </c>
      <c r="C453" s="6">
        <v>6</v>
      </c>
      <c r="D453" s="4"/>
      <c r="E453" s="6">
        <f>E452+C453-D453</f>
      </c>
      <c r="F453" s="2"/>
    </row>
    <row x14ac:dyDescent="0.25" r="454" customHeight="1" ht="17.25">
      <c r="A454" s="8">
        <v>45995</v>
      </c>
      <c r="B454" s="9" t="s">
        <v>313</v>
      </c>
      <c r="C454" s="4"/>
      <c r="D454" s="6">
        <v>125</v>
      </c>
      <c r="E454" s="6">
        <f>E453+C454-D454</f>
      </c>
      <c r="F454" s="2"/>
    </row>
    <row x14ac:dyDescent="0.25" r="455" customHeight="1" ht="17.25">
      <c r="A455" s="7">
        <v>45995</v>
      </c>
      <c r="B455" s="9" t="s">
        <v>402</v>
      </c>
      <c r="C455" s="4"/>
      <c r="D455" s="6">
        <v>200</v>
      </c>
      <c r="E455" s="6">
        <f>E454+C455-D455</f>
      </c>
      <c r="F455" s="2"/>
    </row>
    <row x14ac:dyDescent="0.25" r="456" customHeight="1" ht="17.25">
      <c r="A456" s="7">
        <v>45996</v>
      </c>
      <c r="B456" s="9" t="s">
        <v>53</v>
      </c>
      <c r="C456" s="4"/>
      <c r="D456" s="6">
        <v>200</v>
      </c>
      <c r="E456" s="6">
        <f>E455+C456-D456</f>
      </c>
      <c r="F456" s="2"/>
    </row>
    <row x14ac:dyDescent="0.25" r="457" customHeight="1" ht="17.25">
      <c r="A457" s="7">
        <v>45996</v>
      </c>
      <c r="B457" s="9" t="s">
        <v>389</v>
      </c>
      <c r="C457" s="6">
        <v>284</v>
      </c>
      <c r="D457" s="4"/>
      <c r="E457" s="6">
        <f>E456+C457-D457</f>
      </c>
      <c r="F457" s="2"/>
    </row>
    <row x14ac:dyDescent="0.25" r="458" customHeight="1" ht="17.25">
      <c r="A458" s="7">
        <v>45996</v>
      </c>
      <c r="B458" s="9" t="s">
        <v>286</v>
      </c>
      <c r="C458" s="4"/>
      <c r="D458" s="6">
        <v>300</v>
      </c>
      <c r="E458" s="6">
        <f>E457+C458-D458</f>
      </c>
      <c r="F458" s="2"/>
    </row>
    <row x14ac:dyDescent="0.25" r="459" customHeight="1" ht="17.25">
      <c r="A459" s="7">
        <v>45996</v>
      </c>
      <c r="B459" s="9" t="s">
        <v>228</v>
      </c>
      <c r="C459" s="6">
        <v>10</v>
      </c>
      <c r="D459" s="4"/>
      <c r="E459" s="6">
        <f>E458+C459-D459</f>
      </c>
      <c r="F459" s="2"/>
    </row>
    <row x14ac:dyDescent="0.25" r="460" customHeight="1" ht="17.25">
      <c r="A460" s="7">
        <v>45999</v>
      </c>
      <c r="B460" s="9" t="s">
        <v>56</v>
      </c>
      <c r="C460" s="4"/>
      <c r="D460" s="6">
        <v>100</v>
      </c>
      <c r="E460" s="6">
        <f>E459+C460-D460</f>
      </c>
      <c r="F460" s="2"/>
    </row>
    <row x14ac:dyDescent="0.25" r="461" customHeight="1" ht="17.25">
      <c r="A461" s="8">
        <v>45999</v>
      </c>
      <c r="B461" s="9" t="s">
        <v>41</v>
      </c>
      <c r="C461" s="6">
        <v>2</v>
      </c>
      <c r="D461" s="4"/>
      <c r="E461" s="6">
        <f>E460+C461-D461</f>
      </c>
      <c r="F461" s="2"/>
    </row>
    <row x14ac:dyDescent="0.25" r="462" customHeight="1" ht="17.25">
      <c r="A462" s="7">
        <v>45999</v>
      </c>
      <c r="B462" s="9" t="s">
        <v>33</v>
      </c>
      <c r="C462" s="6">
        <v>1000</v>
      </c>
      <c r="D462" s="4"/>
      <c r="E462" s="6">
        <f>E461+C462-D462</f>
      </c>
      <c r="F462" s="2"/>
    </row>
    <row x14ac:dyDescent="0.25" r="463" customHeight="1" ht="17.25">
      <c r="A463" s="7">
        <v>46000</v>
      </c>
      <c r="B463" s="9" t="s">
        <v>286</v>
      </c>
      <c r="C463" s="4"/>
      <c r="D463" s="6">
        <v>580</v>
      </c>
      <c r="E463" s="6">
        <f>E462+C463-D463</f>
      </c>
      <c r="F463" s="2"/>
    </row>
    <row x14ac:dyDescent="0.25" r="464" customHeight="1" ht="17.25">
      <c r="A464" s="7">
        <v>46001</v>
      </c>
      <c r="B464" s="9" t="s">
        <v>56</v>
      </c>
      <c r="C464" s="4"/>
      <c r="D464" s="6">
        <v>300</v>
      </c>
      <c r="E464" s="6">
        <f>E463+C464-D464</f>
      </c>
      <c r="F464" s="2"/>
    </row>
    <row x14ac:dyDescent="0.25" r="465" customHeight="1" ht="17.25">
      <c r="A465" s="7">
        <v>46001</v>
      </c>
      <c r="B465" s="9" t="s">
        <v>33</v>
      </c>
      <c r="C465" s="6">
        <v>1000</v>
      </c>
      <c r="D465" s="4"/>
      <c r="E465" s="6">
        <f>E464+C465-D465</f>
      </c>
      <c r="F465" s="2"/>
    </row>
    <row x14ac:dyDescent="0.25" r="466" customHeight="1" ht="17.25">
      <c r="A466" s="8">
        <v>46001</v>
      </c>
      <c r="B466" s="9" t="s">
        <v>321</v>
      </c>
      <c r="C466" s="6">
        <v>118</v>
      </c>
      <c r="D466" s="4"/>
      <c r="E466" s="6">
        <f>E465+C466-D466</f>
      </c>
      <c r="F466" s="2"/>
    </row>
    <row x14ac:dyDescent="0.25" r="467" customHeight="1" ht="17.25">
      <c r="A467" s="7">
        <v>46002</v>
      </c>
      <c r="B467" s="9" t="s">
        <v>316</v>
      </c>
      <c r="C467" s="4"/>
      <c r="D467" s="6">
        <v>150</v>
      </c>
      <c r="E467" s="6">
        <f>E466+C467-D467</f>
      </c>
      <c r="F467" s="2"/>
    </row>
    <row x14ac:dyDescent="0.25" r="468" customHeight="1" ht="17.25">
      <c r="A468" s="8">
        <v>46002</v>
      </c>
      <c r="B468" s="9" t="s">
        <v>42</v>
      </c>
      <c r="C468" s="4"/>
      <c r="D468" s="6">
        <v>400</v>
      </c>
      <c r="E468" s="6">
        <f>E467+C468-D468</f>
      </c>
      <c r="F468" s="2"/>
    </row>
    <row x14ac:dyDescent="0.25" r="469" customHeight="1" ht="17.25">
      <c r="A469" s="7">
        <v>46003</v>
      </c>
      <c r="B469" s="9" t="s">
        <v>53</v>
      </c>
      <c r="C469" s="4"/>
      <c r="D469" s="6">
        <v>400</v>
      </c>
      <c r="E469" s="6">
        <f>E468+C469-D469</f>
      </c>
      <c r="F469" s="2"/>
    </row>
    <row x14ac:dyDescent="0.25" r="470" customHeight="1" ht="17.25">
      <c r="A470" s="7">
        <v>46003</v>
      </c>
      <c r="B470" s="9" t="s">
        <v>335</v>
      </c>
      <c r="C470" s="4"/>
      <c r="D470" s="6">
        <v>25</v>
      </c>
      <c r="E470" s="6">
        <f>E469+C470-D470</f>
      </c>
      <c r="F470" s="2"/>
    </row>
    <row x14ac:dyDescent="0.25" r="471" customHeight="1" ht="17.25">
      <c r="A471" s="7">
        <v>46003</v>
      </c>
      <c r="B471" s="9" t="s">
        <v>402</v>
      </c>
      <c r="C471" s="4"/>
      <c r="D471" s="6">
        <v>200</v>
      </c>
      <c r="E471" s="6">
        <f>E470+C471-D471</f>
      </c>
      <c r="F471" s="2"/>
    </row>
    <row x14ac:dyDescent="0.25" r="472" customHeight="1" ht="17.25">
      <c r="A472" s="7">
        <v>46003</v>
      </c>
      <c r="B472" s="9" t="s">
        <v>46</v>
      </c>
      <c r="C472" s="4"/>
      <c r="D472" s="6">
        <v>80</v>
      </c>
      <c r="E472" s="6">
        <f>E471+C472-D472</f>
      </c>
      <c r="F472" s="2"/>
    </row>
    <row x14ac:dyDescent="0.25" r="473" customHeight="1" ht="17.25">
      <c r="A473" s="7">
        <v>46004</v>
      </c>
      <c r="B473" s="9" t="s">
        <v>33</v>
      </c>
      <c r="C473" s="6">
        <v>1500</v>
      </c>
      <c r="D473" s="4"/>
      <c r="E473" s="6">
        <f>E472+C473-D473</f>
      </c>
      <c r="F473" s="2"/>
    </row>
    <row x14ac:dyDescent="0.25" r="474" customHeight="1" ht="17.25">
      <c r="A474" s="7">
        <v>46004</v>
      </c>
      <c r="B474" s="9" t="s">
        <v>233</v>
      </c>
      <c r="C474" s="4"/>
      <c r="D474" s="6">
        <v>500</v>
      </c>
      <c r="E474" s="6">
        <f>E473+C474-D474</f>
      </c>
      <c r="F474" s="2"/>
    </row>
    <row x14ac:dyDescent="0.25" r="475" customHeight="1" ht="17.25">
      <c r="A475" s="7">
        <v>46006</v>
      </c>
      <c r="B475" s="9" t="s">
        <v>311</v>
      </c>
      <c r="C475" s="6">
        <v>285</v>
      </c>
      <c r="D475" s="4"/>
      <c r="E475" s="6">
        <f>E474+C475-D475</f>
      </c>
      <c r="F475" s="2"/>
    </row>
    <row x14ac:dyDescent="0.25" r="476" customHeight="1" ht="17.25">
      <c r="A476" s="8">
        <v>46007</v>
      </c>
      <c r="B476" s="9" t="s">
        <v>284</v>
      </c>
      <c r="C476" s="6">
        <v>493</v>
      </c>
      <c r="D476" s="4"/>
      <c r="E476" s="6">
        <f>E475+C476-D476</f>
      </c>
      <c r="F476" s="2"/>
    </row>
    <row x14ac:dyDescent="0.25" r="477" customHeight="1" ht="17.25">
      <c r="A477" s="1"/>
      <c r="B477" s="2"/>
      <c r="C477" s="4"/>
      <c r="D477" s="4"/>
      <c r="E477" s="6">
        <f>E476+C477-D477</f>
      </c>
      <c r="F477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9.14785714285714" customWidth="1" bestFit="1"/>
    <col min="3" max="3" style="13" width="12.43357142857143" customWidth="1" bestFit="1"/>
    <col min="4" max="4" style="12" width="12.43357142857143" customWidth="1" bestFit="1"/>
  </cols>
  <sheetData>
    <row x14ac:dyDescent="0.25" r="1" customHeight="1" ht="17.25">
      <c r="A1" s="1" t="s">
        <v>373</v>
      </c>
      <c r="B1" s="2"/>
      <c r="C1" s="4"/>
      <c r="D1" s="3"/>
    </row>
    <row x14ac:dyDescent="0.25" r="2" customHeight="1" ht="17.25">
      <c r="A2" s="1"/>
      <c r="B2" s="2"/>
      <c r="C2" s="4"/>
      <c r="D2" s="3"/>
    </row>
    <row x14ac:dyDescent="0.25" r="3" customHeight="1" ht="17.25">
      <c r="A3" s="5">
        <v>45658</v>
      </c>
      <c r="B3" s="2" t="s">
        <v>1</v>
      </c>
      <c r="C3" s="4"/>
      <c r="D3" s="3"/>
    </row>
    <row x14ac:dyDescent="0.25" r="4" customHeight="1" ht="17.25">
      <c r="A4" s="8">
        <v>45856</v>
      </c>
      <c r="B4" s="9" t="s">
        <v>183</v>
      </c>
      <c r="C4" s="4"/>
      <c r="D4" s="6">
        <v>4</v>
      </c>
    </row>
    <row x14ac:dyDescent="0.25" r="5" customHeight="1" ht="17.25">
      <c r="A5" s="7">
        <v>45887</v>
      </c>
      <c r="B5" s="2" t="s">
        <v>183</v>
      </c>
      <c r="C5" s="6">
        <v>4</v>
      </c>
      <c r="D5" s="3"/>
    </row>
    <row x14ac:dyDescent="0.25" r="6" customHeight="1" ht="17.25">
      <c r="A6" s="8">
        <v>45888</v>
      </c>
      <c r="B6" s="9" t="s">
        <v>346</v>
      </c>
      <c r="C6" s="4"/>
      <c r="D6" s="6">
        <v>16</v>
      </c>
    </row>
    <row x14ac:dyDescent="0.25" r="7" customHeight="1" ht="17.25">
      <c r="A7" s="8">
        <v>45912</v>
      </c>
      <c r="B7" s="9" t="s">
        <v>183</v>
      </c>
      <c r="C7" s="4"/>
      <c r="D7" s="6">
        <v>4</v>
      </c>
    </row>
    <row x14ac:dyDescent="0.25" r="8" customHeight="1" ht="17.25">
      <c r="A8" s="7">
        <v>45944</v>
      </c>
      <c r="B8" s="9" t="s">
        <v>4</v>
      </c>
      <c r="C8" s="4"/>
      <c r="D8" s="6">
        <v>20</v>
      </c>
    </row>
    <row x14ac:dyDescent="0.25" r="9" customHeight="1" ht="17.25">
      <c r="A9" s="7">
        <v>45946</v>
      </c>
      <c r="B9" s="9" t="s">
        <v>33</v>
      </c>
      <c r="C9" s="6">
        <v>300</v>
      </c>
      <c r="D9" s="3"/>
    </row>
    <row x14ac:dyDescent="0.25" r="10" customHeight="1" ht="17.25">
      <c r="A10" s="7">
        <v>45946</v>
      </c>
      <c r="B10" s="9" t="s">
        <v>251</v>
      </c>
      <c r="C10" s="4"/>
      <c r="D10" s="6">
        <v>300</v>
      </c>
    </row>
    <row x14ac:dyDescent="0.25" r="11" customHeight="1" ht="17.25">
      <c r="A11" s="8">
        <v>45958</v>
      </c>
      <c r="B11" s="9" t="s">
        <v>183</v>
      </c>
      <c r="C11" s="6">
        <v>4</v>
      </c>
      <c r="D11" s="3"/>
    </row>
    <row x14ac:dyDescent="0.25" r="12" customHeight="1" ht="17.25">
      <c r="A12" s="7">
        <v>45993</v>
      </c>
      <c r="B12" s="9" t="s">
        <v>4</v>
      </c>
      <c r="C12" s="4"/>
      <c r="D12" s="6">
        <v>30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14785714285714" customWidth="1" bestFit="1"/>
    <col min="3" max="3" style="13" width="12.43357142857143" customWidth="1" bestFit="1"/>
    <col min="4" max="4" style="12" width="12.43357142857143" customWidth="1" bestFit="1"/>
  </cols>
  <sheetData>
    <row x14ac:dyDescent="0.25" r="1" customHeight="1" ht="17.25">
      <c r="A1" s="1" t="s">
        <v>372</v>
      </c>
      <c r="B1" s="2"/>
      <c r="C1" s="4"/>
      <c r="D1" s="3"/>
    </row>
    <row x14ac:dyDescent="0.25" r="2" customHeight="1" ht="17.25">
      <c r="A2" s="1"/>
      <c r="B2" s="2"/>
      <c r="C2" s="4"/>
      <c r="D2" s="3"/>
    </row>
    <row x14ac:dyDescent="0.25" r="3" customHeight="1" ht="17.25">
      <c r="A3" s="7">
        <v>45755</v>
      </c>
      <c r="B3" s="2" t="s">
        <v>58</v>
      </c>
      <c r="C3" s="6">
        <v>166</v>
      </c>
      <c r="D3" s="3"/>
    </row>
    <row x14ac:dyDescent="0.25" r="4" customHeight="1" ht="17.25">
      <c r="A4" s="8">
        <v>45755</v>
      </c>
      <c r="B4" s="9" t="s">
        <v>232</v>
      </c>
      <c r="C4" s="4"/>
      <c r="D4" s="6">
        <v>166</v>
      </c>
    </row>
    <row x14ac:dyDescent="0.25" r="5" customHeight="1" ht="17.25">
      <c r="A5" s="7">
        <v>45766</v>
      </c>
      <c r="B5" s="2" t="s">
        <v>58</v>
      </c>
      <c r="C5" s="6">
        <v>100</v>
      </c>
      <c r="D5" s="3"/>
    </row>
    <row x14ac:dyDescent="0.25" r="6" customHeight="1" ht="17.25">
      <c r="A6" s="7">
        <v>45769</v>
      </c>
      <c r="B6" s="2" t="s">
        <v>232</v>
      </c>
      <c r="C6" s="4"/>
      <c r="D6" s="6">
        <v>100</v>
      </c>
    </row>
    <row x14ac:dyDescent="0.25" r="7" customHeight="1" ht="17.25">
      <c r="A7" s="7">
        <v>45862</v>
      </c>
      <c r="B7" s="2" t="s">
        <v>58</v>
      </c>
      <c r="C7" s="6">
        <v>500</v>
      </c>
      <c r="D7" s="3"/>
    </row>
    <row x14ac:dyDescent="0.25" r="8" customHeight="1" ht="17.25">
      <c r="A8" s="8">
        <v>45862</v>
      </c>
      <c r="B8" s="9" t="s">
        <v>232</v>
      </c>
      <c r="C8" s="4"/>
      <c r="D8" s="6">
        <v>500</v>
      </c>
    </row>
    <row x14ac:dyDescent="0.25" r="9" customHeight="1" ht="17.25">
      <c r="A9" s="7">
        <v>45944</v>
      </c>
      <c r="B9" s="2" t="s">
        <v>58</v>
      </c>
      <c r="C9" s="6">
        <v>11</v>
      </c>
      <c r="D9" s="3"/>
    </row>
    <row x14ac:dyDescent="0.25" r="10" customHeight="1" ht="17.25">
      <c r="A10" s="7">
        <v>45944</v>
      </c>
      <c r="B10" s="2" t="s">
        <v>4</v>
      </c>
      <c r="C10" s="4"/>
      <c r="D10" s="6">
        <v>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2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9.7192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359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1</v>
      </c>
      <c r="C3" s="3"/>
      <c r="D3" s="4"/>
      <c r="E3" s="6">
        <v>145</v>
      </c>
    </row>
    <row x14ac:dyDescent="0.25" r="4" customHeight="1" ht="17.25">
      <c r="A4" s="7">
        <v>45666</v>
      </c>
      <c r="B4" s="2" t="s">
        <v>360</v>
      </c>
      <c r="C4" s="6">
        <v>293</v>
      </c>
      <c r="D4" s="4"/>
      <c r="E4" s="6">
        <f>E3+C4-D4</f>
      </c>
    </row>
    <row x14ac:dyDescent="0.25" r="5" customHeight="1" ht="17.25">
      <c r="A5" s="7">
        <v>45667</v>
      </c>
      <c r="B5" s="2" t="s">
        <v>361</v>
      </c>
      <c r="C5" s="3"/>
      <c r="D5" s="6">
        <v>15</v>
      </c>
      <c r="E5" s="6">
        <f>E4+C5-D5</f>
      </c>
    </row>
    <row x14ac:dyDescent="0.25" r="6" customHeight="1" ht="17.25">
      <c r="A6" s="7">
        <v>45671</v>
      </c>
      <c r="B6" s="2" t="s">
        <v>362</v>
      </c>
      <c r="C6" s="6">
        <v>100</v>
      </c>
      <c r="D6" s="4"/>
      <c r="E6" s="6">
        <f>E5+C6-D6</f>
      </c>
    </row>
    <row x14ac:dyDescent="0.25" r="7" customHeight="1" ht="17.25">
      <c r="A7" s="7">
        <v>45671</v>
      </c>
      <c r="B7" s="2" t="s">
        <v>363</v>
      </c>
      <c r="C7" s="6">
        <v>81</v>
      </c>
      <c r="D7" s="4"/>
      <c r="E7" s="6">
        <f>E6+C7-D7</f>
      </c>
    </row>
    <row x14ac:dyDescent="0.25" r="8" customHeight="1" ht="17.25">
      <c r="A8" s="8">
        <v>45673</v>
      </c>
      <c r="B8" s="9" t="s">
        <v>2</v>
      </c>
      <c r="C8" s="3"/>
      <c r="D8" s="6">
        <v>70</v>
      </c>
      <c r="E8" s="6">
        <f>E7+C8-D8</f>
      </c>
    </row>
    <row x14ac:dyDescent="0.25" r="9" customHeight="1" ht="17.25">
      <c r="A9" s="7">
        <v>45673</v>
      </c>
      <c r="B9" s="2" t="s">
        <v>364</v>
      </c>
      <c r="C9" s="6">
        <v>185</v>
      </c>
      <c r="D9" s="4"/>
      <c r="E9" s="6">
        <f>E8+C9-D9</f>
      </c>
    </row>
    <row x14ac:dyDescent="0.25" r="10" customHeight="1" ht="17.25">
      <c r="A10" s="7">
        <v>45674</v>
      </c>
      <c r="B10" s="2" t="s">
        <v>365</v>
      </c>
      <c r="C10" s="6">
        <v>2</v>
      </c>
      <c r="D10" s="4"/>
      <c r="E10" s="6">
        <f>E9+C10-D10</f>
      </c>
    </row>
    <row x14ac:dyDescent="0.25" r="11" customHeight="1" ht="17.25">
      <c r="A11" s="7">
        <v>45675</v>
      </c>
      <c r="B11" s="2" t="s">
        <v>2</v>
      </c>
      <c r="C11" s="3"/>
      <c r="D11" s="6">
        <v>30</v>
      </c>
      <c r="E11" s="6">
        <f>E10+C11-D11</f>
      </c>
    </row>
    <row x14ac:dyDescent="0.25" r="12" customHeight="1" ht="17.25">
      <c r="A12" s="7">
        <v>45675</v>
      </c>
      <c r="B12" s="2" t="s">
        <v>362</v>
      </c>
      <c r="C12" s="6">
        <v>69</v>
      </c>
      <c r="D12" s="4"/>
      <c r="E12" s="6">
        <f>E11+C12-D12</f>
      </c>
    </row>
    <row x14ac:dyDescent="0.25" r="13" customHeight="1" ht="17.25">
      <c r="A13" s="7">
        <v>45675</v>
      </c>
      <c r="B13" s="2" t="s">
        <v>360</v>
      </c>
      <c r="C13" s="6">
        <v>8</v>
      </c>
      <c r="D13" s="4"/>
      <c r="E13" s="6">
        <f>E12+C13-D13</f>
      </c>
    </row>
    <row x14ac:dyDescent="0.25" r="14" customHeight="1" ht="17.25">
      <c r="A14" s="7">
        <v>45677</v>
      </c>
      <c r="B14" s="2" t="s">
        <v>365</v>
      </c>
      <c r="C14" s="6">
        <v>37</v>
      </c>
      <c r="D14" s="4"/>
      <c r="E14" s="6">
        <f>E13+C14-D14</f>
      </c>
    </row>
    <row x14ac:dyDescent="0.25" r="15" customHeight="1" ht="17.25">
      <c r="A15" s="8">
        <v>45682</v>
      </c>
      <c r="B15" s="9" t="s">
        <v>123</v>
      </c>
      <c r="C15" s="6">
        <v>25</v>
      </c>
      <c r="D15" s="4"/>
      <c r="E15" s="6">
        <f>E14+C15-D15</f>
      </c>
    </row>
    <row x14ac:dyDescent="0.25" r="16" customHeight="1" ht="17.25">
      <c r="A16" s="8">
        <v>45691</v>
      </c>
      <c r="B16" s="9" t="s">
        <v>35</v>
      </c>
      <c r="C16" s="6">
        <v>24</v>
      </c>
      <c r="D16" s="4"/>
      <c r="E16" s="6">
        <f>E15+C16-D16</f>
      </c>
    </row>
    <row x14ac:dyDescent="0.25" r="17" customHeight="1" ht="17.25">
      <c r="A17" s="7">
        <v>45694</v>
      </c>
      <c r="B17" s="2" t="s">
        <v>131</v>
      </c>
      <c r="C17" s="6">
        <v>7</v>
      </c>
      <c r="D17" s="4"/>
      <c r="E17" s="6">
        <f>E16+C17-D17</f>
      </c>
    </row>
    <row x14ac:dyDescent="0.25" r="18" customHeight="1" ht="17.25">
      <c r="A18" s="7">
        <v>45699</v>
      </c>
      <c r="B18" s="2" t="s">
        <v>131</v>
      </c>
      <c r="C18" s="6">
        <v>2</v>
      </c>
      <c r="D18" s="4"/>
      <c r="E18" s="6">
        <f>E17+C18-D18</f>
      </c>
    </row>
    <row x14ac:dyDescent="0.25" r="19" customHeight="1" ht="17.25">
      <c r="A19" s="7">
        <v>45706</v>
      </c>
      <c r="B19" s="2" t="s">
        <v>366</v>
      </c>
      <c r="C19" s="3"/>
      <c r="D19" s="6">
        <v>150</v>
      </c>
      <c r="E19" s="6">
        <f>E18+C19-D19</f>
      </c>
    </row>
    <row x14ac:dyDescent="0.25" r="20" customHeight="1" ht="17.25">
      <c r="A20" s="8">
        <v>45707</v>
      </c>
      <c r="B20" s="9" t="s">
        <v>141</v>
      </c>
      <c r="C20" s="3"/>
      <c r="D20" s="6">
        <v>56</v>
      </c>
      <c r="E20" s="6">
        <f>E19+C20-D20</f>
      </c>
    </row>
    <row x14ac:dyDescent="0.25" r="21" customHeight="1" ht="17.25">
      <c r="A21" s="8">
        <v>45709</v>
      </c>
      <c r="B21" s="9" t="s">
        <v>2</v>
      </c>
      <c r="C21" s="6">
        <v>54</v>
      </c>
      <c r="D21" s="4"/>
      <c r="E21" s="6">
        <f>E20+C21-D21</f>
      </c>
    </row>
    <row x14ac:dyDescent="0.25" r="22" customHeight="1" ht="17.25">
      <c r="A22" s="7">
        <v>45719</v>
      </c>
      <c r="B22" s="2" t="s">
        <v>2</v>
      </c>
      <c r="C22" s="6">
        <v>12</v>
      </c>
      <c r="D22" s="4"/>
      <c r="E22" s="6">
        <f>E21+C22-D22</f>
      </c>
    </row>
    <row x14ac:dyDescent="0.25" r="23" customHeight="1" ht="17.25">
      <c r="A23" s="7">
        <v>45722</v>
      </c>
      <c r="B23" s="2" t="s">
        <v>2</v>
      </c>
      <c r="C23" s="6">
        <v>2</v>
      </c>
      <c r="D23" s="4"/>
      <c r="E23" s="6">
        <f>E22+C23-D23</f>
      </c>
    </row>
    <row x14ac:dyDescent="0.25" r="24" customHeight="1" ht="17.25">
      <c r="A24" s="8">
        <v>45724</v>
      </c>
      <c r="B24" s="9" t="s">
        <v>35</v>
      </c>
      <c r="C24" s="6">
        <v>27</v>
      </c>
      <c r="D24" s="4"/>
      <c r="E24" s="6">
        <f>E23+C24-D24</f>
      </c>
    </row>
    <row x14ac:dyDescent="0.25" r="25" customHeight="1" ht="17.25">
      <c r="A25" s="8">
        <v>45724</v>
      </c>
      <c r="B25" s="9" t="s">
        <v>2</v>
      </c>
      <c r="C25" s="6">
        <v>17</v>
      </c>
      <c r="D25" s="4"/>
      <c r="E25" s="6">
        <f>E24+C25-D25</f>
      </c>
    </row>
    <row x14ac:dyDescent="0.25" r="26" customHeight="1" ht="17.25">
      <c r="A26" s="7">
        <v>45735</v>
      </c>
      <c r="B26" s="9" t="s">
        <v>367</v>
      </c>
      <c r="C26" s="3"/>
      <c r="D26" s="6">
        <v>50</v>
      </c>
      <c r="E26" s="6">
        <f>E25+C26-D26</f>
      </c>
    </row>
    <row x14ac:dyDescent="0.25" r="27" customHeight="1" ht="17.25">
      <c r="A27" s="8">
        <v>45737</v>
      </c>
      <c r="B27" s="9" t="s">
        <v>2</v>
      </c>
      <c r="C27" s="6">
        <v>10</v>
      </c>
      <c r="D27" s="4"/>
      <c r="E27" s="6">
        <f>E26+C27-D27</f>
      </c>
    </row>
    <row x14ac:dyDescent="0.25" r="28" customHeight="1" ht="17.25">
      <c r="A28" s="8">
        <v>45738</v>
      </c>
      <c r="B28" s="9" t="s">
        <v>35</v>
      </c>
      <c r="C28" s="6">
        <v>6</v>
      </c>
      <c r="D28" s="4"/>
      <c r="E28" s="6">
        <f>E27+C28-D28</f>
      </c>
    </row>
    <row x14ac:dyDescent="0.25" r="29" customHeight="1" ht="17.25">
      <c r="A29" s="8">
        <v>45764</v>
      </c>
      <c r="B29" s="9" t="s">
        <v>35</v>
      </c>
      <c r="C29" s="6">
        <v>2</v>
      </c>
      <c r="D29" s="4"/>
      <c r="E29" s="6">
        <f>E28+C29-D29</f>
      </c>
    </row>
    <row x14ac:dyDescent="0.25" r="30" customHeight="1" ht="17.25">
      <c r="A30" s="7">
        <v>45765</v>
      </c>
      <c r="B30" s="9" t="s">
        <v>2</v>
      </c>
      <c r="C30" s="6">
        <v>4</v>
      </c>
      <c r="D30" s="4"/>
      <c r="E30" s="6">
        <f>E29+C30-D30</f>
      </c>
    </row>
    <row x14ac:dyDescent="0.25" r="31" customHeight="1" ht="17.25">
      <c r="A31" s="8">
        <v>45774</v>
      </c>
      <c r="B31" s="9" t="s">
        <v>41</v>
      </c>
      <c r="C31" s="3"/>
      <c r="D31" s="6">
        <v>100</v>
      </c>
      <c r="E31" s="6">
        <f>E30+C31-D31</f>
      </c>
    </row>
    <row x14ac:dyDescent="0.25" r="32" customHeight="1" ht="17.25">
      <c r="A32" s="8">
        <v>45780</v>
      </c>
      <c r="B32" s="9" t="s">
        <v>41</v>
      </c>
      <c r="C32" s="3"/>
      <c r="D32" s="6">
        <v>100</v>
      </c>
      <c r="E32" s="6">
        <f>E31+C32-D32</f>
      </c>
    </row>
    <row x14ac:dyDescent="0.25" r="33" customHeight="1" ht="17.25">
      <c r="A33" s="8">
        <v>45800</v>
      </c>
      <c r="B33" s="9" t="s">
        <v>43</v>
      </c>
      <c r="C33" s="6">
        <v>19</v>
      </c>
      <c r="D33" s="4"/>
      <c r="E33" s="6">
        <f>E32+C33-D33</f>
      </c>
    </row>
    <row x14ac:dyDescent="0.25" r="34" customHeight="1" ht="17.25">
      <c r="A34" s="8">
        <v>45804</v>
      </c>
      <c r="B34" s="9" t="s">
        <v>44</v>
      </c>
      <c r="C34" s="6">
        <v>60</v>
      </c>
      <c r="D34" s="4"/>
      <c r="E34" s="6">
        <f>E33+C34-D34</f>
      </c>
    </row>
    <row x14ac:dyDescent="0.25" r="35" customHeight="1" ht="17.25">
      <c r="A35" s="7">
        <v>45829</v>
      </c>
      <c r="B35" s="9" t="s">
        <v>361</v>
      </c>
      <c r="C35" s="6">
        <v>15</v>
      </c>
      <c r="D35" s="4"/>
      <c r="E35" s="6">
        <f>E34+C35-D35</f>
      </c>
    </row>
    <row x14ac:dyDescent="0.25" r="36" customHeight="1" ht="17.25">
      <c r="A36" s="7">
        <v>45856</v>
      </c>
      <c r="B36" s="9" t="s">
        <v>41</v>
      </c>
      <c r="C36" s="6">
        <v>45</v>
      </c>
      <c r="D36" s="4"/>
      <c r="E36" s="6">
        <f>E35+C36-D36</f>
      </c>
    </row>
    <row x14ac:dyDescent="0.25" r="37" customHeight="1" ht="17.25">
      <c r="A37" s="7">
        <v>45864</v>
      </c>
      <c r="B37" s="9" t="s">
        <v>368</v>
      </c>
      <c r="C37" s="6">
        <v>88</v>
      </c>
      <c r="D37" s="4"/>
      <c r="E37" s="6">
        <f>E36+C37-D37</f>
      </c>
    </row>
    <row x14ac:dyDescent="0.25" r="38" customHeight="1" ht="17.25">
      <c r="A38" s="8">
        <v>45868</v>
      </c>
      <c r="B38" s="9" t="s">
        <v>141</v>
      </c>
      <c r="C38" s="6">
        <v>4</v>
      </c>
      <c r="D38" s="4"/>
      <c r="E38" s="6">
        <f>E37+C38-D38</f>
      </c>
    </row>
    <row x14ac:dyDescent="0.25" r="39" customHeight="1" ht="17.25">
      <c r="A39" s="8">
        <v>45878</v>
      </c>
      <c r="B39" s="9" t="s">
        <v>141</v>
      </c>
      <c r="C39" s="6">
        <v>23</v>
      </c>
      <c r="D39" s="4"/>
      <c r="E39" s="6">
        <f>E38+C39-D39</f>
      </c>
    </row>
    <row x14ac:dyDescent="0.25" r="40" customHeight="1" ht="17.25">
      <c r="A40" s="7">
        <v>45880</v>
      </c>
      <c r="B40" s="9" t="s">
        <v>369</v>
      </c>
      <c r="C40" s="3"/>
      <c r="D40" s="6">
        <v>40</v>
      </c>
      <c r="E40" s="6">
        <f>E39+C40-D40</f>
      </c>
    </row>
    <row x14ac:dyDescent="0.25" r="41" customHeight="1" ht="17.25">
      <c r="A41" s="8">
        <v>45880</v>
      </c>
      <c r="B41" s="9" t="s">
        <v>370</v>
      </c>
      <c r="C41" s="6">
        <v>5</v>
      </c>
      <c r="D41" s="4"/>
      <c r="E41" s="6">
        <f>E40+C41-D41</f>
      </c>
    </row>
    <row x14ac:dyDescent="0.25" r="42" customHeight="1" ht="17.25">
      <c r="A42" s="7">
        <v>45880</v>
      </c>
      <c r="B42" s="9" t="s">
        <v>41</v>
      </c>
      <c r="C42" s="6">
        <v>16</v>
      </c>
      <c r="D42" s="4"/>
      <c r="E42" s="6">
        <f>E41+C42-D42</f>
      </c>
    </row>
    <row x14ac:dyDescent="0.25" r="43" customHeight="1" ht="17.25">
      <c r="A43" s="7">
        <v>45894</v>
      </c>
      <c r="B43" s="9" t="s">
        <v>365</v>
      </c>
      <c r="C43" s="3"/>
      <c r="D43" s="6">
        <v>100</v>
      </c>
      <c r="E43" s="6">
        <f>E42+C43-D43</f>
      </c>
    </row>
    <row x14ac:dyDescent="0.25" r="44" customHeight="1" ht="17.25">
      <c r="A44" s="8">
        <v>45908</v>
      </c>
      <c r="B44" s="9" t="s">
        <v>141</v>
      </c>
      <c r="C44" s="6">
        <v>13</v>
      </c>
      <c r="D44" s="4"/>
      <c r="E44" s="6">
        <f>E43+C44-D44</f>
      </c>
    </row>
    <row x14ac:dyDescent="0.25" r="45" customHeight="1" ht="17.25">
      <c r="A45" s="7">
        <v>45913</v>
      </c>
      <c r="B45" s="9" t="s">
        <v>41</v>
      </c>
      <c r="C45" s="6">
        <v>20</v>
      </c>
      <c r="D45" s="4"/>
      <c r="E45" s="6">
        <f>E44+C45-D45</f>
      </c>
    </row>
    <row x14ac:dyDescent="0.25" r="46" customHeight="1" ht="17.25">
      <c r="A46" s="8">
        <v>45915</v>
      </c>
      <c r="B46" s="9" t="s">
        <v>141</v>
      </c>
      <c r="C46" s="6">
        <v>8</v>
      </c>
      <c r="D46" s="4"/>
      <c r="E46" s="6">
        <f>E45+C46-D46</f>
      </c>
    </row>
    <row x14ac:dyDescent="0.25" r="47" customHeight="1" ht="17.25">
      <c r="A47" s="8">
        <v>45917</v>
      </c>
      <c r="B47" s="9" t="s">
        <v>371</v>
      </c>
      <c r="C47" s="3"/>
      <c r="D47" s="6">
        <v>30</v>
      </c>
      <c r="E47" s="6">
        <f>E46+C47-D47</f>
      </c>
    </row>
    <row x14ac:dyDescent="0.25" r="48" customHeight="1" ht="17.25">
      <c r="A48" s="7">
        <v>45917</v>
      </c>
      <c r="B48" s="9" t="s">
        <v>365</v>
      </c>
      <c r="C48" s="6">
        <v>81</v>
      </c>
      <c r="D48" s="4"/>
      <c r="E48" s="6">
        <f>E47+C48-D48</f>
      </c>
    </row>
    <row x14ac:dyDescent="0.25" r="49" customHeight="1" ht="17.25">
      <c r="A49" s="7">
        <v>45918</v>
      </c>
      <c r="B49" s="9" t="s">
        <v>371</v>
      </c>
      <c r="C49" s="3"/>
      <c r="D49" s="6">
        <v>30</v>
      </c>
      <c r="E49" s="6">
        <f>E48+C49-D49</f>
      </c>
    </row>
    <row x14ac:dyDescent="0.25" r="50" customHeight="1" ht="17.25">
      <c r="A50" s="8">
        <v>45926</v>
      </c>
      <c r="B50" s="9" t="s">
        <v>365</v>
      </c>
      <c r="C50" s="6">
        <v>9</v>
      </c>
      <c r="D50" s="4"/>
      <c r="E50" s="6">
        <f>E49+C50-D50</f>
      </c>
    </row>
    <row x14ac:dyDescent="0.25" r="51" customHeight="1" ht="17.25">
      <c r="A51" s="7">
        <v>45926</v>
      </c>
      <c r="B51" s="9" t="s">
        <v>2</v>
      </c>
      <c r="C51" s="6">
        <v>1</v>
      </c>
      <c r="D51" s="4"/>
      <c r="E51" s="6">
        <f>E50+C51-D51</f>
      </c>
    </row>
    <row x14ac:dyDescent="0.25" r="52" customHeight="1" ht="17.25">
      <c r="A52" s="7">
        <v>45927</v>
      </c>
      <c r="B52" s="9" t="s">
        <v>41</v>
      </c>
      <c r="C52" s="6">
        <v>54</v>
      </c>
      <c r="D52" s="4"/>
      <c r="E52" s="6">
        <f>E51+C52-D52</f>
      </c>
    </row>
    <row x14ac:dyDescent="0.25" r="53" customHeight="1" ht="17.25">
      <c r="A53" s="8">
        <v>45931</v>
      </c>
      <c r="B53" s="9" t="s">
        <v>44</v>
      </c>
      <c r="C53" s="6">
        <v>22</v>
      </c>
      <c r="D53" s="4"/>
      <c r="E53" s="6">
        <f>E52+C53-D53</f>
      </c>
    </row>
    <row x14ac:dyDescent="0.25" r="54" customHeight="1" ht="17.25">
      <c r="A54" s="7">
        <v>45943</v>
      </c>
      <c r="B54" s="9" t="s">
        <v>29</v>
      </c>
      <c r="C54" s="3"/>
      <c r="D54" s="6">
        <v>220</v>
      </c>
      <c r="E54" s="6">
        <f>E53+C54-D54</f>
      </c>
    </row>
    <row x14ac:dyDescent="0.25" r="55" customHeight="1" ht="17.25">
      <c r="A55" s="7">
        <v>45943</v>
      </c>
      <c r="B55" s="2" t="s">
        <v>41</v>
      </c>
      <c r="C55" s="6">
        <v>5</v>
      </c>
      <c r="D55" s="4"/>
      <c r="E55" s="6">
        <f>E54+C55-D55</f>
      </c>
    </row>
    <row x14ac:dyDescent="0.25" r="56" customHeight="1" ht="17.25">
      <c r="A56" s="8">
        <v>45946</v>
      </c>
      <c r="B56" s="9" t="s">
        <v>141</v>
      </c>
      <c r="C56" s="6">
        <v>6</v>
      </c>
      <c r="D56" s="4"/>
      <c r="E56" s="6">
        <f>E55+C56-D56</f>
      </c>
    </row>
    <row x14ac:dyDescent="0.25" r="57" customHeight="1" ht="17.25">
      <c r="A57" s="7">
        <v>45957</v>
      </c>
      <c r="B57" s="9" t="s">
        <v>41</v>
      </c>
      <c r="C57" s="6">
        <v>5</v>
      </c>
      <c r="D57" s="4"/>
      <c r="E57" s="6">
        <f>E56+C57-D57</f>
      </c>
    </row>
    <row x14ac:dyDescent="0.25" r="58" customHeight="1" ht="17.25">
      <c r="A58" s="8">
        <v>45964</v>
      </c>
      <c r="B58" s="9" t="s">
        <v>320</v>
      </c>
      <c r="C58" s="3"/>
      <c r="D58" s="6">
        <v>6</v>
      </c>
      <c r="E58" s="6">
        <f>E57+C58-D58</f>
      </c>
    </row>
    <row x14ac:dyDescent="0.25" r="59" customHeight="1" ht="17.25">
      <c r="A59" s="7">
        <v>45972</v>
      </c>
      <c r="B59" s="9" t="s">
        <v>44</v>
      </c>
      <c r="C59" s="3"/>
      <c r="D59" s="6">
        <v>22</v>
      </c>
      <c r="E59" s="6">
        <f>E58+C59-D59</f>
      </c>
    </row>
    <row x14ac:dyDescent="0.25" r="60" customHeight="1" ht="17.25">
      <c r="A60" s="8">
        <v>45978</v>
      </c>
      <c r="B60" s="9" t="s">
        <v>320</v>
      </c>
      <c r="C60" s="6">
        <v>6</v>
      </c>
      <c r="D60" s="4"/>
      <c r="E60" s="6">
        <f>E59+C60-D60</f>
      </c>
    </row>
    <row x14ac:dyDescent="0.25" r="61" customHeight="1" ht="17.25">
      <c r="A61" s="7">
        <v>45988</v>
      </c>
      <c r="B61" s="9" t="s">
        <v>41</v>
      </c>
      <c r="C61" s="6">
        <v>18</v>
      </c>
      <c r="D61" s="4"/>
      <c r="E61" s="6">
        <f>E60+C61-D61</f>
      </c>
    </row>
    <row x14ac:dyDescent="0.25" r="62" customHeight="1" ht="17.25">
      <c r="A62" s="7">
        <v>46000</v>
      </c>
      <c r="B62" s="9" t="s">
        <v>369</v>
      </c>
      <c r="C62" s="6">
        <v>10</v>
      </c>
      <c r="D62" s="4"/>
      <c r="E62" s="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1.862142857142857" customWidth="1" bestFit="1"/>
    <col min="3" max="3" style="13" width="12.43357142857143" customWidth="1" bestFit="1"/>
    <col min="4" max="4" style="12" width="12.43357142857143" customWidth="1" bestFit="1"/>
  </cols>
  <sheetData>
    <row x14ac:dyDescent="0.25" r="1" customHeight="1" ht="17.25">
      <c r="A1" s="1" t="s">
        <v>358</v>
      </c>
      <c r="B1" s="2"/>
      <c r="C1" s="4"/>
      <c r="D1" s="3"/>
    </row>
    <row x14ac:dyDescent="0.25" r="2" customHeight="1" ht="17.25">
      <c r="A2" s="1"/>
      <c r="B2" s="2"/>
      <c r="C2" s="4"/>
      <c r="D2" s="3"/>
    </row>
    <row x14ac:dyDescent="0.25" r="3" customHeight="1" ht="17.25">
      <c r="A3" s="7">
        <v>45658</v>
      </c>
      <c r="B3" s="2" t="s">
        <v>1</v>
      </c>
      <c r="C3" s="4"/>
      <c r="D3" s="3"/>
    </row>
    <row x14ac:dyDescent="0.25" r="4" customHeight="1" ht="17.25">
      <c r="A4" s="7">
        <v>45738</v>
      </c>
      <c r="B4" s="2" t="s">
        <v>39</v>
      </c>
      <c r="C4" s="6">
        <v>20</v>
      </c>
      <c r="D4" s="3"/>
    </row>
    <row x14ac:dyDescent="0.25" r="5" customHeight="1" ht="17.25">
      <c r="A5" s="8">
        <v>45797</v>
      </c>
      <c r="B5" s="9" t="s">
        <v>35</v>
      </c>
      <c r="C5" s="4"/>
      <c r="D5" s="6">
        <v>12</v>
      </c>
    </row>
    <row x14ac:dyDescent="0.25" r="6" customHeight="1" ht="17.25">
      <c r="A6" s="7">
        <v>45951</v>
      </c>
      <c r="B6" s="2" t="s">
        <v>7</v>
      </c>
      <c r="C6" s="6">
        <v>12</v>
      </c>
      <c r="D6" s="3"/>
    </row>
    <row x14ac:dyDescent="0.25" r="7" customHeight="1" ht="17.25">
      <c r="A7" s="7">
        <v>45987</v>
      </c>
      <c r="B7" s="2" t="s">
        <v>244</v>
      </c>
      <c r="C7" s="4"/>
      <c r="D7" s="6">
        <v>60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1.576428571428572" customWidth="1" bestFit="1"/>
    <col min="3" max="3" style="13" width="12.43357142857143" customWidth="1" bestFit="1"/>
    <col min="4" max="4" style="12" width="12.43357142857143" customWidth="1" bestFit="1"/>
  </cols>
  <sheetData>
    <row x14ac:dyDescent="0.25" r="1" customHeight="1" ht="17.25">
      <c r="A1" s="1" t="s">
        <v>353</v>
      </c>
      <c r="B1" s="2"/>
      <c r="C1" s="4"/>
      <c r="D1" s="3"/>
    </row>
    <row x14ac:dyDescent="0.25" r="2" customHeight="1" ht="17.25">
      <c r="A2" s="1"/>
      <c r="B2" s="2"/>
      <c r="C2" s="4"/>
      <c r="D2" s="3"/>
    </row>
    <row x14ac:dyDescent="0.25" r="3" customHeight="1" ht="17.25">
      <c r="A3" s="7">
        <v>45754</v>
      </c>
      <c r="B3" s="2" t="s">
        <v>354</v>
      </c>
      <c r="C3" s="6">
        <v>100</v>
      </c>
      <c r="D3" s="3"/>
    </row>
    <row x14ac:dyDescent="0.25" r="4" customHeight="1" ht="17.25">
      <c r="A4" s="7">
        <v>45754</v>
      </c>
      <c r="B4" s="2" t="s">
        <v>355</v>
      </c>
      <c r="C4" s="4"/>
      <c r="D4" s="6">
        <v>100</v>
      </c>
    </row>
    <row x14ac:dyDescent="0.25" r="5" customHeight="1" ht="17.25">
      <c r="A5" s="7">
        <v>45763</v>
      </c>
      <c r="B5" s="2" t="s">
        <v>356</v>
      </c>
      <c r="C5" s="6">
        <v>150</v>
      </c>
      <c r="D5" s="3"/>
    </row>
    <row x14ac:dyDescent="0.25" r="6" customHeight="1" ht="17.25">
      <c r="A6" s="8">
        <v>45763</v>
      </c>
      <c r="B6" s="9" t="s">
        <v>232</v>
      </c>
      <c r="C6" s="4"/>
      <c r="D6" s="6">
        <v>150</v>
      </c>
    </row>
    <row x14ac:dyDescent="0.25" r="7" customHeight="1" ht="17.25">
      <c r="A7" s="7">
        <v>45834</v>
      </c>
      <c r="B7" s="2" t="s">
        <v>357</v>
      </c>
      <c r="C7" s="6">
        <v>200</v>
      </c>
      <c r="D7" s="3"/>
    </row>
    <row x14ac:dyDescent="0.25" r="8" customHeight="1" ht="17.25">
      <c r="A8" s="7">
        <v>45835</v>
      </c>
      <c r="B8" s="2" t="s">
        <v>232</v>
      </c>
      <c r="C8" s="4"/>
      <c r="D8" s="6">
        <v>200</v>
      </c>
    </row>
    <row x14ac:dyDescent="0.25" r="9" customHeight="1" ht="17.25">
      <c r="A9" s="1"/>
      <c r="B9" s="2"/>
      <c r="C9" s="4"/>
      <c r="D9" s="3"/>
    </row>
    <row x14ac:dyDescent="0.25" r="10" customHeight="1" ht="17.25">
      <c r="A10" s="8">
        <v>45863</v>
      </c>
      <c r="B10" s="9" t="s">
        <v>232</v>
      </c>
      <c r="C10" s="4"/>
      <c r="D10" s="6">
        <v>35</v>
      </c>
    </row>
    <row x14ac:dyDescent="0.25" r="11" customHeight="1" ht="17.25">
      <c r="A11" s="7">
        <v>45865</v>
      </c>
      <c r="B11" s="9" t="s">
        <v>232</v>
      </c>
      <c r="C11" s="4"/>
      <c r="D11" s="6">
        <v>165</v>
      </c>
    </row>
    <row x14ac:dyDescent="0.25" r="12" customHeight="1" ht="17.25">
      <c r="A12" s="7">
        <v>45976</v>
      </c>
      <c r="B12" s="2" t="s">
        <v>330</v>
      </c>
      <c r="C12" s="6">
        <v>200</v>
      </c>
      <c r="D12" s="3"/>
    </row>
    <row x14ac:dyDescent="0.25" r="13" customHeight="1" ht="17.25">
      <c r="A13" s="7">
        <v>45976</v>
      </c>
      <c r="B13" s="2" t="s">
        <v>232</v>
      </c>
      <c r="C13" s="4"/>
      <c r="D13" s="6">
        <v>200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8.14785714285714" customWidth="1" bestFit="1"/>
    <col min="3" max="3" style="13" width="12.43357142857143" customWidth="1" bestFit="1"/>
    <col min="4" max="4" style="12" width="12.43357142857143" customWidth="1" bestFit="1"/>
  </cols>
  <sheetData>
    <row x14ac:dyDescent="0.25" r="1" customHeight="1" ht="17.25">
      <c r="A1" s="1" t="s">
        <v>351</v>
      </c>
      <c r="B1" s="2"/>
      <c r="C1" s="4"/>
      <c r="D1" s="3"/>
    </row>
    <row x14ac:dyDescent="0.25" r="2" customHeight="1" ht="17.25">
      <c r="A2" s="1"/>
      <c r="B2" s="2"/>
      <c r="C2" s="4"/>
      <c r="D2" s="3"/>
    </row>
    <row x14ac:dyDescent="0.25" r="3" customHeight="1" ht="17.25">
      <c r="A3" s="7">
        <v>45770</v>
      </c>
      <c r="B3" s="2" t="s">
        <v>352</v>
      </c>
      <c r="C3" s="6">
        <v>100</v>
      </c>
      <c r="D3" s="3"/>
    </row>
    <row x14ac:dyDescent="0.25" r="4" customHeight="1" ht="17.25">
      <c r="A4" s="7">
        <v>45770</v>
      </c>
      <c r="B4" s="9" t="s">
        <v>232</v>
      </c>
      <c r="C4" s="4"/>
      <c r="D4" s="6">
        <v>100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0.290714285714284" customWidth="1" bestFit="1"/>
    <col min="3" max="3" style="13" width="12.43357142857143" customWidth="1" bestFit="1"/>
    <col min="4" max="4" style="12" width="12.43357142857143" customWidth="1" bestFit="1"/>
    <col min="5" max="5" style="12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349</v>
      </c>
      <c r="B1" s="2"/>
      <c r="C1" s="4"/>
      <c r="D1" s="3"/>
      <c r="E1" s="3"/>
      <c r="F1" s="2"/>
    </row>
    <row x14ac:dyDescent="0.25" r="2" customHeight="1" ht="17.25">
      <c r="A2" s="1"/>
      <c r="B2" s="2"/>
      <c r="C2" s="4"/>
      <c r="D2" s="3"/>
      <c r="E2" s="3"/>
      <c r="F2" s="2"/>
    </row>
    <row x14ac:dyDescent="0.25" r="3" customHeight="1" ht="17.25">
      <c r="A3" s="7">
        <v>45658</v>
      </c>
      <c r="B3" s="2" t="s">
        <v>1</v>
      </c>
      <c r="C3" s="4"/>
      <c r="D3" s="3"/>
      <c r="E3" s="6">
        <v>473</v>
      </c>
      <c r="F3" s="2"/>
    </row>
    <row x14ac:dyDescent="0.25" r="4" customHeight="1" ht="17.25">
      <c r="A4" s="8">
        <v>45664</v>
      </c>
      <c r="B4" s="9" t="s">
        <v>269</v>
      </c>
      <c r="C4" s="6">
        <v>25</v>
      </c>
      <c r="D4" s="3"/>
      <c r="E4" s="6">
        <f>E3+C4-D4</f>
      </c>
      <c r="F4" s="2"/>
    </row>
    <row x14ac:dyDescent="0.25" r="5" customHeight="1" ht="17.25">
      <c r="A5" s="8">
        <v>45664</v>
      </c>
      <c r="B5" s="9" t="s">
        <v>131</v>
      </c>
      <c r="C5" s="6">
        <v>15</v>
      </c>
      <c r="D5" s="3"/>
      <c r="E5" s="6">
        <f>E4+C5-D5</f>
      </c>
      <c r="F5" s="2"/>
    </row>
    <row x14ac:dyDescent="0.25" r="6" customHeight="1" ht="17.25">
      <c r="A6" s="7">
        <v>45666</v>
      </c>
      <c r="B6" s="2" t="s">
        <v>177</v>
      </c>
      <c r="C6" s="6">
        <v>2</v>
      </c>
      <c r="D6" s="3"/>
      <c r="E6" s="6">
        <f>E5+C6-D6</f>
      </c>
      <c r="F6" s="2"/>
    </row>
    <row x14ac:dyDescent="0.25" r="7" customHeight="1" ht="17.25">
      <c r="A7" s="7">
        <v>45668</v>
      </c>
      <c r="B7" s="2" t="s">
        <v>256</v>
      </c>
      <c r="C7" s="6">
        <v>121</v>
      </c>
      <c r="D7" s="3"/>
      <c r="E7" s="6">
        <f>E6+C7-D7</f>
      </c>
      <c r="F7" s="2"/>
    </row>
    <row x14ac:dyDescent="0.25" r="8" customHeight="1" ht="17.25">
      <c r="A8" s="7">
        <v>45671</v>
      </c>
      <c r="B8" s="2" t="s">
        <v>269</v>
      </c>
      <c r="C8" s="6">
        <v>123</v>
      </c>
      <c r="D8" s="3"/>
      <c r="E8" s="6">
        <f>E7+C8-D8</f>
      </c>
      <c r="F8" s="2"/>
    </row>
    <row x14ac:dyDescent="0.25" r="9" customHeight="1" ht="17.25">
      <c r="A9" s="8">
        <v>45673</v>
      </c>
      <c r="B9" s="9" t="s">
        <v>269</v>
      </c>
      <c r="C9" s="6">
        <v>16</v>
      </c>
      <c r="D9" s="3"/>
      <c r="E9" s="6">
        <f>E8+C9-D9</f>
      </c>
      <c r="F9" s="2"/>
    </row>
    <row x14ac:dyDescent="0.25" r="10" customHeight="1" ht="17.25">
      <c r="A10" s="7">
        <v>45674</v>
      </c>
      <c r="B10" s="2" t="s">
        <v>256</v>
      </c>
      <c r="C10" s="6">
        <v>110</v>
      </c>
      <c r="D10" s="3"/>
      <c r="E10" s="6">
        <f>E9+C10-D10</f>
      </c>
      <c r="F10" s="2"/>
    </row>
    <row x14ac:dyDescent="0.25" r="11" customHeight="1" ht="17.25">
      <c r="A11" s="8">
        <v>45677</v>
      </c>
      <c r="B11" s="9" t="s">
        <v>131</v>
      </c>
      <c r="C11" s="6">
        <v>11</v>
      </c>
      <c r="D11" s="3"/>
      <c r="E11" s="6">
        <f>E10+C11-D11</f>
      </c>
      <c r="F11" s="2"/>
    </row>
    <row x14ac:dyDescent="0.25" r="12" customHeight="1" ht="17.25">
      <c r="A12" s="8">
        <v>45679</v>
      </c>
      <c r="B12" s="9" t="s">
        <v>256</v>
      </c>
      <c r="C12" s="6">
        <v>69</v>
      </c>
      <c r="D12" s="3"/>
      <c r="E12" s="6">
        <f>E11+C12-D12</f>
      </c>
      <c r="F12" s="2"/>
    </row>
    <row x14ac:dyDescent="0.25" r="13" customHeight="1" ht="17.25">
      <c r="A13" s="8">
        <v>45685</v>
      </c>
      <c r="B13" s="9" t="s">
        <v>259</v>
      </c>
      <c r="C13" s="6">
        <v>32</v>
      </c>
      <c r="D13" s="3"/>
      <c r="E13" s="6">
        <f>E12+C13-D13</f>
      </c>
      <c r="F13" s="2"/>
    </row>
    <row x14ac:dyDescent="0.25" r="14" customHeight="1" ht="17.25">
      <c r="A14" s="8">
        <v>45688</v>
      </c>
      <c r="B14" s="9" t="s">
        <v>39</v>
      </c>
      <c r="C14" s="6">
        <v>12</v>
      </c>
      <c r="D14" s="3"/>
      <c r="E14" s="6">
        <f>E13+C14-D14</f>
      </c>
      <c r="F14" s="2"/>
    </row>
    <row x14ac:dyDescent="0.25" r="15" customHeight="1" ht="17.25">
      <c r="A15" s="8">
        <v>45689</v>
      </c>
      <c r="B15" s="9" t="s">
        <v>39</v>
      </c>
      <c r="C15" s="6">
        <v>50</v>
      </c>
      <c r="D15" s="3"/>
      <c r="E15" s="6">
        <f>E14+C15-D15</f>
      </c>
      <c r="F15" s="2"/>
    </row>
    <row x14ac:dyDescent="0.25" r="16" customHeight="1" ht="17.25">
      <c r="A16" s="8">
        <v>45691</v>
      </c>
      <c r="B16" s="9" t="s">
        <v>273</v>
      </c>
      <c r="C16" s="6">
        <v>9</v>
      </c>
      <c r="D16" s="3"/>
      <c r="E16" s="6">
        <f>E15+C16-D16</f>
      </c>
      <c r="F16" s="2"/>
    </row>
    <row x14ac:dyDescent="0.25" r="17" customHeight="1" ht="17.25">
      <c r="A17" s="7">
        <v>45694</v>
      </c>
      <c r="B17" s="2" t="s">
        <v>131</v>
      </c>
      <c r="C17" s="6">
        <v>31</v>
      </c>
      <c r="D17" s="3"/>
      <c r="E17" s="6">
        <f>E16+C17-D17</f>
      </c>
      <c r="F17" s="2"/>
    </row>
    <row x14ac:dyDescent="0.25" r="18" customHeight="1" ht="17.25">
      <c r="A18" s="8">
        <v>45695</v>
      </c>
      <c r="B18" s="9" t="s">
        <v>284</v>
      </c>
      <c r="C18" s="6">
        <v>20</v>
      </c>
      <c r="D18" s="3"/>
      <c r="E18" s="6">
        <f>E17+C18-D18</f>
      </c>
      <c r="F18" s="2"/>
    </row>
    <row x14ac:dyDescent="0.25" r="19" customHeight="1" ht="17.25">
      <c r="A19" s="8">
        <v>45696</v>
      </c>
      <c r="B19" s="9" t="s">
        <v>35</v>
      </c>
      <c r="C19" s="6">
        <v>38</v>
      </c>
      <c r="D19" s="3"/>
      <c r="E19" s="6">
        <f>E18+C19-D19</f>
      </c>
      <c r="F19" s="2"/>
    </row>
    <row x14ac:dyDescent="0.25" r="20" customHeight="1" ht="17.25">
      <c r="A20" s="7">
        <v>45696</v>
      </c>
      <c r="B20" s="9" t="s">
        <v>35</v>
      </c>
      <c r="C20" s="6">
        <v>139</v>
      </c>
      <c r="D20" s="3"/>
      <c r="E20" s="6">
        <f>E19+C20-D20</f>
      </c>
      <c r="F20" s="2"/>
    </row>
    <row x14ac:dyDescent="0.25" r="21" customHeight="1" ht="17.25">
      <c r="A21" s="8">
        <v>45698</v>
      </c>
      <c r="B21" s="9" t="s">
        <v>35</v>
      </c>
      <c r="C21" s="6">
        <v>6</v>
      </c>
      <c r="D21" s="3"/>
      <c r="E21" s="6">
        <f>E20+C21-D21</f>
      </c>
      <c r="F21" s="2"/>
    </row>
    <row x14ac:dyDescent="0.25" r="22" customHeight="1" ht="17.25">
      <c r="A22" s="8">
        <v>45698</v>
      </c>
      <c r="B22" s="9" t="s">
        <v>35</v>
      </c>
      <c r="C22" s="6">
        <v>2</v>
      </c>
      <c r="D22" s="3"/>
      <c r="E22" s="6">
        <f>E21+C22-D22</f>
      </c>
      <c r="F22" s="2"/>
    </row>
    <row x14ac:dyDescent="0.25" r="23" customHeight="1" ht="17.25">
      <c r="A23" s="7">
        <v>45699</v>
      </c>
      <c r="B23" s="2" t="s">
        <v>131</v>
      </c>
      <c r="C23" s="6">
        <v>57</v>
      </c>
      <c r="D23" s="3"/>
      <c r="E23" s="6">
        <f>E22+C23-D23</f>
      </c>
      <c r="F23" s="2"/>
    </row>
    <row x14ac:dyDescent="0.25" r="24" customHeight="1" ht="17.25">
      <c r="A24" s="7">
        <v>45705</v>
      </c>
      <c r="B24" s="9" t="s">
        <v>131</v>
      </c>
      <c r="C24" s="6">
        <v>16</v>
      </c>
      <c r="D24" s="3"/>
      <c r="E24" s="6">
        <f>E23+C24-D24</f>
      </c>
      <c r="F24" s="2"/>
    </row>
    <row x14ac:dyDescent="0.25" r="25" customHeight="1" ht="17.25">
      <c r="A25" s="8">
        <v>45709</v>
      </c>
      <c r="B25" s="9" t="s">
        <v>39</v>
      </c>
      <c r="C25" s="6">
        <v>2</v>
      </c>
      <c r="D25" s="3"/>
      <c r="E25" s="6">
        <f>E24+C25-D25</f>
      </c>
      <c r="F25" s="2"/>
    </row>
    <row x14ac:dyDescent="0.25" r="26" customHeight="1" ht="17.25">
      <c r="A26" s="8">
        <v>45709</v>
      </c>
      <c r="B26" s="9" t="s">
        <v>35</v>
      </c>
      <c r="C26" s="6">
        <v>16</v>
      </c>
      <c r="D26" s="3"/>
      <c r="E26" s="6">
        <f>E25+C26-D26</f>
      </c>
      <c r="F26" s="2"/>
    </row>
    <row x14ac:dyDescent="0.25" r="27" customHeight="1" ht="17.25">
      <c r="A27" s="8">
        <v>45709</v>
      </c>
      <c r="B27" s="9" t="s">
        <v>2</v>
      </c>
      <c r="C27" s="6">
        <v>11</v>
      </c>
      <c r="D27" s="3"/>
      <c r="E27" s="6">
        <f>E26+C27-D27</f>
      </c>
      <c r="F27" s="2"/>
    </row>
    <row x14ac:dyDescent="0.25" r="28" customHeight="1" ht="17.25">
      <c r="A28" s="8">
        <v>45710</v>
      </c>
      <c r="B28" s="9" t="s">
        <v>35</v>
      </c>
      <c r="C28" s="6">
        <v>14</v>
      </c>
      <c r="D28" s="3"/>
      <c r="E28" s="6">
        <f>E27+C28-D28</f>
      </c>
      <c r="F28" s="2"/>
    </row>
    <row x14ac:dyDescent="0.25" r="29" customHeight="1" ht="17.25">
      <c r="A29" s="8">
        <v>45712</v>
      </c>
      <c r="B29" s="9" t="s">
        <v>35</v>
      </c>
      <c r="C29" s="6">
        <v>26</v>
      </c>
      <c r="D29" s="3"/>
      <c r="E29" s="6">
        <f>E28+C29-D29</f>
      </c>
      <c r="F29" s="2"/>
    </row>
    <row x14ac:dyDescent="0.25" r="30" customHeight="1" ht="17.25">
      <c r="A30" s="8">
        <v>45713</v>
      </c>
      <c r="B30" s="9" t="s">
        <v>131</v>
      </c>
      <c r="C30" s="6">
        <v>15</v>
      </c>
      <c r="D30" s="3"/>
      <c r="E30" s="6">
        <f>E29+C30-D30</f>
      </c>
      <c r="F30" s="2"/>
    </row>
    <row x14ac:dyDescent="0.25" r="31" customHeight="1" ht="17.25">
      <c r="A31" s="8">
        <v>45722</v>
      </c>
      <c r="B31" s="9" t="s">
        <v>35</v>
      </c>
      <c r="C31" s="6">
        <v>53</v>
      </c>
      <c r="D31" s="3"/>
      <c r="E31" s="6">
        <f>E30+C31-D31</f>
      </c>
      <c r="F31" s="2"/>
    </row>
    <row x14ac:dyDescent="0.25" r="32" customHeight="1" ht="17.25">
      <c r="A32" s="8">
        <v>45723</v>
      </c>
      <c r="B32" s="9" t="s">
        <v>273</v>
      </c>
      <c r="C32" s="6">
        <v>3</v>
      </c>
      <c r="D32" s="3"/>
      <c r="E32" s="6">
        <f>E31+C32-D32</f>
      </c>
      <c r="F32" s="2"/>
    </row>
    <row x14ac:dyDescent="0.25" r="33" customHeight="1" ht="17.25">
      <c r="A33" s="7">
        <v>45723</v>
      </c>
      <c r="B33" s="9" t="s">
        <v>39</v>
      </c>
      <c r="C33" s="6">
        <v>33</v>
      </c>
      <c r="D33" s="3"/>
      <c r="E33" s="6">
        <f>E32+C33-D33</f>
      </c>
      <c r="F33" s="2"/>
    </row>
    <row x14ac:dyDescent="0.25" r="34" customHeight="1" ht="17.25">
      <c r="A34" s="8">
        <v>45724</v>
      </c>
      <c r="B34" s="9" t="s">
        <v>35</v>
      </c>
      <c r="C34" s="6">
        <v>15</v>
      </c>
      <c r="D34" s="3"/>
      <c r="E34" s="6">
        <f>E33+C34-D34</f>
      </c>
      <c r="F34" s="2"/>
    </row>
    <row x14ac:dyDescent="0.25" r="35" customHeight="1" ht="17.25">
      <c r="A35" s="7">
        <v>45726</v>
      </c>
      <c r="B35" s="9" t="s">
        <v>35</v>
      </c>
      <c r="C35" s="6">
        <v>43</v>
      </c>
      <c r="D35" s="3"/>
      <c r="E35" s="6">
        <f>E34+C35-D35</f>
      </c>
      <c r="F35" s="2"/>
    </row>
    <row x14ac:dyDescent="0.25" r="36" customHeight="1" ht="17.25">
      <c r="A36" s="8">
        <v>45726</v>
      </c>
      <c r="B36" s="9" t="s">
        <v>35</v>
      </c>
      <c r="C36" s="6">
        <v>19</v>
      </c>
      <c r="D36" s="3"/>
      <c r="E36" s="6">
        <f>E35+C36-D36</f>
      </c>
      <c r="F36" s="2"/>
    </row>
    <row x14ac:dyDescent="0.25" r="37" customHeight="1" ht="17.25">
      <c r="A37" s="7">
        <v>45727</v>
      </c>
      <c r="B37" s="9" t="s">
        <v>297</v>
      </c>
      <c r="C37" s="4"/>
      <c r="D37" s="6">
        <v>36</v>
      </c>
      <c r="E37" s="6">
        <f>E36+C37-D37</f>
      </c>
      <c r="F37" s="2"/>
    </row>
    <row x14ac:dyDescent="0.25" r="38" customHeight="1" ht="17.25">
      <c r="A38" s="7">
        <v>45727</v>
      </c>
      <c r="B38" s="9" t="s">
        <v>39</v>
      </c>
      <c r="C38" s="6">
        <v>30</v>
      </c>
      <c r="D38" s="3"/>
      <c r="E38" s="6">
        <f>E37+C38-D38</f>
      </c>
      <c r="F38" s="2"/>
    </row>
    <row x14ac:dyDescent="0.25" r="39" customHeight="1" ht="17.25">
      <c r="A39" s="7">
        <v>45727</v>
      </c>
      <c r="B39" s="9" t="s">
        <v>35</v>
      </c>
      <c r="C39" s="6">
        <v>52</v>
      </c>
      <c r="D39" s="3"/>
      <c r="E39" s="6">
        <f>E38+C39-D39</f>
      </c>
      <c r="F39" s="2"/>
    </row>
    <row x14ac:dyDescent="0.25" r="40" customHeight="1" ht="17.25">
      <c r="A40" s="8">
        <v>45728</v>
      </c>
      <c r="B40" s="9" t="s">
        <v>35</v>
      </c>
      <c r="C40" s="6">
        <v>5</v>
      </c>
      <c r="D40" s="3"/>
      <c r="E40" s="6">
        <f>E39+C40-D40</f>
      </c>
      <c r="F40" s="2"/>
    </row>
    <row x14ac:dyDescent="0.25" r="41" customHeight="1" ht="17.25">
      <c r="A41" s="8">
        <v>45730</v>
      </c>
      <c r="B41" s="9" t="s">
        <v>35</v>
      </c>
      <c r="C41" s="6">
        <v>27</v>
      </c>
      <c r="D41" s="3"/>
      <c r="E41" s="6">
        <f>E40+C41-D41</f>
      </c>
      <c r="F41" s="2"/>
    </row>
    <row x14ac:dyDescent="0.25" r="42" customHeight="1" ht="17.25">
      <c r="A42" s="8">
        <v>45733</v>
      </c>
      <c r="B42" s="9" t="s">
        <v>234</v>
      </c>
      <c r="C42" s="4"/>
      <c r="D42" s="6">
        <v>20</v>
      </c>
      <c r="E42" s="6">
        <f>E41+C42-D42</f>
      </c>
      <c r="F42" s="2"/>
    </row>
    <row x14ac:dyDescent="0.25" r="43" customHeight="1" ht="17.25">
      <c r="A43" s="8">
        <v>45733</v>
      </c>
      <c r="B43" s="9" t="s">
        <v>39</v>
      </c>
      <c r="C43" s="6">
        <v>7</v>
      </c>
      <c r="D43" s="3"/>
      <c r="E43" s="6">
        <f>E42+C43-D43</f>
      </c>
      <c r="F43" s="2"/>
    </row>
    <row x14ac:dyDescent="0.25" r="44" customHeight="1" ht="17.25">
      <c r="A44" s="8">
        <v>45735</v>
      </c>
      <c r="B44" s="9" t="s">
        <v>35</v>
      </c>
      <c r="C44" s="6">
        <v>17</v>
      </c>
      <c r="D44" s="3"/>
      <c r="E44" s="6">
        <f>E43+C44-D44</f>
      </c>
      <c r="F44" s="2"/>
    </row>
    <row x14ac:dyDescent="0.25" r="45" customHeight="1" ht="17.25">
      <c r="A45" s="8">
        <v>45736</v>
      </c>
      <c r="B45" s="9" t="s">
        <v>234</v>
      </c>
      <c r="C45" s="4"/>
      <c r="D45" s="6">
        <v>10</v>
      </c>
      <c r="E45" s="6">
        <f>E44+C45-D45</f>
      </c>
      <c r="F45" s="2"/>
    </row>
    <row x14ac:dyDescent="0.25" r="46" customHeight="1" ht="17.25">
      <c r="A46" s="8">
        <v>45738</v>
      </c>
      <c r="B46" s="9" t="s">
        <v>35</v>
      </c>
      <c r="C46" s="6">
        <v>31</v>
      </c>
      <c r="D46" s="3"/>
      <c r="E46" s="6">
        <f>E45+C46-D46</f>
      </c>
      <c r="F46" s="2"/>
    </row>
    <row x14ac:dyDescent="0.25" r="47" customHeight="1" ht="17.25">
      <c r="A47" s="7">
        <v>45738</v>
      </c>
      <c r="B47" s="2" t="s">
        <v>39</v>
      </c>
      <c r="C47" s="6">
        <v>120</v>
      </c>
      <c r="D47" s="3"/>
      <c r="E47" s="6">
        <f>E46+C47-D47</f>
      </c>
      <c r="F47" s="2"/>
    </row>
    <row x14ac:dyDescent="0.25" r="48" customHeight="1" ht="17.25">
      <c r="A48" s="8">
        <v>45740</v>
      </c>
      <c r="B48" s="9" t="s">
        <v>39</v>
      </c>
      <c r="C48" s="6">
        <v>62</v>
      </c>
      <c r="D48" s="3"/>
      <c r="E48" s="6">
        <f>E47+C48-D48</f>
      </c>
      <c r="F48" s="2"/>
    </row>
    <row x14ac:dyDescent="0.25" r="49" customHeight="1" ht="17.25">
      <c r="A49" s="7">
        <v>45742</v>
      </c>
      <c r="B49" s="9" t="s">
        <v>175</v>
      </c>
      <c r="C49" s="6">
        <v>10</v>
      </c>
      <c r="D49" s="3"/>
      <c r="E49" s="6">
        <f>E48+C49-D49</f>
      </c>
      <c r="F49" s="2"/>
    </row>
    <row x14ac:dyDescent="0.25" r="50" customHeight="1" ht="17.25">
      <c r="A50" s="7">
        <v>45754</v>
      </c>
      <c r="B50" s="9" t="s">
        <v>232</v>
      </c>
      <c r="C50" s="4"/>
      <c r="D50" s="6">
        <v>50</v>
      </c>
      <c r="E50" s="6">
        <f>E49+C50-D50</f>
      </c>
      <c r="F50" s="2" t="s">
        <v>340</v>
      </c>
    </row>
    <row x14ac:dyDescent="0.25" r="51" customHeight="1" ht="17.25">
      <c r="A51" s="8">
        <v>45758</v>
      </c>
      <c r="B51" s="9" t="s">
        <v>281</v>
      </c>
      <c r="C51" s="4"/>
      <c r="D51" s="6">
        <v>100</v>
      </c>
      <c r="E51" s="6">
        <f>E50+C51-D51</f>
      </c>
      <c r="F51" s="2"/>
    </row>
    <row x14ac:dyDescent="0.25" r="52" customHeight="1" ht="17.25">
      <c r="A52" s="7">
        <v>45761</v>
      </c>
      <c r="B52" s="9" t="s">
        <v>39</v>
      </c>
      <c r="C52" s="6">
        <v>70</v>
      </c>
      <c r="D52" s="3"/>
      <c r="E52" s="6">
        <f>E51+C52-D52</f>
      </c>
      <c r="F52" s="2"/>
    </row>
    <row x14ac:dyDescent="0.25" r="53" customHeight="1" ht="17.25">
      <c r="A53" s="7">
        <v>45764</v>
      </c>
      <c r="B53" s="9" t="s">
        <v>259</v>
      </c>
      <c r="C53" s="6">
        <v>56</v>
      </c>
      <c r="D53" s="3"/>
      <c r="E53" s="6">
        <f>E52+C53-D53</f>
      </c>
      <c r="F53" s="2"/>
    </row>
    <row x14ac:dyDescent="0.25" r="54" customHeight="1" ht="17.25">
      <c r="A54" s="8">
        <v>45764</v>
      </c>
      <c r="B54" s="9" t="s">
        <v>35</v>
      </c>
      <c r="C54" s="6">
        <v>28</v>
      </c>
      <c r="D54" s="3"/>
      <c r="E54" s="6">
        <f>E53+C54-D54</f>
      </c>
      <c r="F54" s="2"/>
    </row>
    <row x14ac:dyDescent="0.25" r="55" customHeight="1" ht="17.25">
      <c r="A55" s="8">
        <v>45769</v>
      </c>
      <c r="B55" s="9" t="s">
        <v>39</v>
      </c>
      <c r="C55" s="6">
        <v>33</v>
      </c>
      <c r="D55" s="3"/>
      <c r="E55" s="6">
        <f>E54+C55-D55</f>
      </c>
      <c r="F55" s="2"/>
    </row>
    <row x14ac:dyDescent="0.25" r="56" customHeight="1" ht="17.25">
      <c r="A56" s="7">
        <v>45780</v>
      </c>
      <c r="B56" s="9" t="s">
        <v>297</v>
      </c>
      <c r="C56" s="4"/>
      <c r="D56" s="6">
        <v>40</v>
      </c>
      <c r="E56" s="6">
        <f>E55+C56-D56</f>
      </c>
      <c r="F56" s="2"/>
    </row>
    <row x14ac:dyDescent="0.25" r="57" customHeight="1" ht="17.25">
      <c r="A57" s="7">
        <v>45781</v>
      </c>
      <c r="B57" s="9" t="s">
        <v>350</v>
      </c>
      <c r="C57" s="4"/>
      <c r="D57" s="3"/>
      <c r="E57" s="6">
        <f>E56+C57-D57</f>
      </c>
      <c r="F57" s="2"/>
    </row>
    <row x14ac:dyDescent="0.25" r="58" customHeight="1" ht="17.25">
      <c r="A58" s="8">
        <v>45780</v>
      </c>
      <c r="B58" s="9" t="s">
        <v>232</v>
      </c>
      <c r="C58" s="4"/>
      <c r="D58" s="6">
        <v>50</v>
      </c>
      <c r="E58" s="6">
        <f>E57+C58-D58</f>
      </c>
      <c r="F58" s="2"/>
    </row>
    <row x14ac:dyDescent="0.25" r="59" customHeight="1" ht="17.25">
      <c r="A59" s="8">
        <v>45798</v>
      </c>
      <c r="B59" s="9" t="s">
        <v>284</v>
      </c>
      <c r="C59" s="4"/>
      <c r="D59" s="6">
        <v>50</v>
      </c>
      <c r="E59" s="6">
        <f>E58+C59-D59</f>
      </c>
      <c r="F59" s="2"/>
    </row>
    <row x14ac:dyDescent="0.25" r="60" customHeight="1" ht="17.25">
      <c r="A60" s="7">
        <v>45798</v>
      </c>
      <c r="B60" s="9" t="s">
        <v>35</v>
      </c>
      <c r="C60" s="4"/>
      <c r="D60" s="6">
        <v>50</v>
      </c>
      <c r="E60" s="6">
        <f>E59+C60-D60</f>
      </c>
      <c r="F60" s="2"/>
    </row>
    <row x14ac:dyDescent="0.25" r="61" customHeight="1" ht="17.25">
      <c r="A61" s="7">
        <v>45799</v>
      </c>
      <c r="B61" s="9" t="s">
        <v>3</v>
      </c>
      <c r="C61" s="4"/>
      <c r="D61" s="6">
        <v>30</v>
      </c>
      <c r="E61" s="6">
        <f>E60+C61-D61</f>
      </c>
      <c r="F61" s="2"/>
    </row>
    <row x14ac:dyDescent="0.25" r="62" customHeight="1" ht="17.25">
      <c r="A62" s="8">
        <v>45800</v>
      </c>
      <c r="B62" s="9" t="s">
        <v>42</v>
      </c>
      <c r="C62" s="4"/>
      <c r="D62" s="6">
        <v>50</v>
      </c>
      <c r="E62" s="6">
        <f>E61+C62-D62</f>
      </c>
      <c r="F62" s="2"/>
    </row>
    <row x14ac:dyDescent="0.25" r="63" customHeight="1" ht="17.25">
      <c r="A63" s="8">
        <v>45801</v>
      </c>
      <c r="B63" s="9" t="s">
        <v>241</v>
      </c>
      <c r="C63" s="4"/>
      <c r="D63" s="6">
        <v>20</v>
      </c>
      <c r="E63" s="6">
        <f>E62+C63-D63</f>
      </c>
      <c r="F63" s="2"/>
    </row>
    <row x14ac:dyDescent="0.25" r="64" customHeight="1" ht="17.25">
      <c r="A64" s="7">
        <v>45817</v>
      </c>
      <c r="B64" s="9" t="s">
        <v>234</v>
      </c>
      <c r="C64" s="6">
        <v>24</v>
      </c>
      <c r="D64" s="3"/>
      <c r="E64" s="6">
        <f>E63+C64-D64</f>
      </c>
      <c r="F64" s="2"/>
    </row>
    <row x14ac:dyDescent="0.25" r="65" customHeight="1" ht="17.25">
      <c r="A65" s="8">
        <v>45821</v>
      </c>
      <c r="B65" s="9" t="s">
        <v>35</v>
      </c>
      <c r="C65" s="4"/>
      <c r="D65" s="6">
        <v>40</v>
      </c>
      <c r="E65" s="6">
        <f>E64+C65-D65</f>
      </c>
      <c r="F65" s="2"/>
    </row>
    <row x14ac:dyDescent="0.25" r="66" customHeight="1" ht="17.25">
      <c r="A66" s="7">
        <v>45822</v>
      </c>
      <c r="B66" s="9" t="s">
        <v>35</v>
      </c>
      <c r="C66" s="4"/>
      <c r="D66" s="6">
        <v>60</v>
      </c>
      <c r="E66" s="6">
        <f>E65+C66-D66</f>
      </c>
      <c r="F66" s="2"/>
    </row>
    <row x14ac:dyDescent="0.25" r="67" customHeight="1" ht="17.25">
      <c r="A67" s="7">
        <v>45826</v>
      </c>
      <c r="B67" s="9" t="s">
        <v>234</v>
      </c>
      <c r="C67" s="6">
        <v>3</v>
      </c>
      <c r="D67" s="3"/>
      <c r="E67" s="6">
        <f>E66+C67-D67</f>
      </c>
      <c r="F67" s="2"/>
    </row>
    <row x14ac:dyDescent="0.25" r="68" customHeight="1" ht="17.25">
      <c r="A68" s="7">
        <v>45834</v>
      </c>
      <c r="B68" s="9" t="s">
        <v>232</v>
      </c>
      <c r="C68" s="4"/>
      <c r="D68" s="6">
        <v>55</v>
      </c>
      <c r="E68" s="6">
        <f>E67+C68-D68</f>
      </c>
      <c r="F68" s="2"/>
    </row>
    <row x14ac:dyDescent="0.25" r="69" customHeight="1" ht="17.25">
      <c r="A69" s="7">
        <v>45834</v>
      </c>
      <c r="B69" s="9" t="s">
        <v>330</v>
      </c>
      <c r="C69" s="6">
        <v>97</v>
      </c>
      <c r="D69" s="3"/>
      <c r="E69" s="6">
        <f>E68+C69-D69</f>
      </c>
      <c r="F69" s="2"/>
    </row>
    <row x14ac:dyDescent="0.25" r="70" customHeight="1" ht="17.25">
      <c r="A70" s="7">
        <v>45835</v>
      </c>
      <c r="B70" s="9" t="s">
        <v>232</v>
      </c>
      <c r="C70" s="4"/>
      <c r="D70" s="6">
        <v>48</v>
      </c>
      <c r="E70" s="6">
        <f>E69+C70-D70</f>
      </c>
      <c r="F70" s="2"/>
    </row>
    <row x14ac:dyDescent="0.25" r="71" customHeight="1" ht="17.25">
      <c r="A71" s="7">
        <v>45839</v>
      </c>
      <c r="B71" s="9" t="s">
        <v>232</v>
      </c>
      <c r="C71" s="4"/>
      <c r="D71" s="6">
        <v>97</v>
      </c>
      <c r="E71" s="6">
        <f>E70+C71-D71</f>
      </c>
      <c r="F71" s="2"/>
    </row>
    <row x14ac:dyDescent="0.25" r="72" customHeight="1" ht="17.25">
      <c r="A72" s="7">
        <v>45845</v>
      </c>
      <c r="B72" s="9" t="s">
        <v>281</v>
      </c>
      <c r="C72" s="6">
        <v>38</v>
      </c>
      <c r="D72" s="3"/>
      <c r="E72" s="6">
        <f>E71+C72-D72</f>
      </c>
      <c r="F72" s="2"/>
    </row>
    <row x14ac:dyDescent="0.25" r="73" customHeight="1" ht="17.25">
      <c r="A73" s="7">
        <v>45846</v>
      </c>
      <c r="B73" s="9" t="s">
        <v>234</v>
      </c>
      <c r="C73" s="4"/>
      <c r="D73" s="6">
        <v>100</v>
      </c>
      <c r="E73" s="6">
        <f>E72+C73-D73</f>
      </c>
      <c r="F73" s="2"/>
    </row>
    <row x14ac:dyDescent="0.25" r="74" customHeight="1" ht="17.25">
      <c r="A74" s="7">
        <v>45849</v>
      </c>
      <c r="B74" s="9" t="s">
        <v>281</v>
      </c>
      <c r="C74" s="4"/>
      <c r="D74" s="6">
        <v>28</v>
      </c>
      <c r="E74" s="6">
        <f>E73+C74-D74</f>
      </c>
      <c r="F74" s="2"/>
    </row>
    <row x14ac:dyDescent="0.25" r="75" customHeight="1" ht="17.25">
      <c r="A75" s="7">
        <v>45854</v>
      </c>
      <c r="B75" s="9" t="s">
        <v>35</v>
      </c>
      <c r="C75" s="6">
        <v>45</v>
      </c>
      <c r="D75" s="3"/>
      <c r="E75" s="6">
        <f>E74+C75-D75</f>
      </c>
      <c r="F75" s="2"/>
    </row>
    <row x14ac:dyDescent="0.25" r="76" customHeight="1" ht="17.25">
      <c r="A76" s="7">
        <v>45854</v>
      </c>
      <c r="B76" s="9" t="s">
        <v>47</v>
      </c>
      <c r="C76" s="4"/>
      <c r="D76" s="6">
        <v>43</v>
      </c>
      <c r="E76" s="6">
        <f>E75+C76-D76</f>
      </c>
      <c r="F76" s="2"/>
    </row>
    <row x14ac:dyDescent="0.25" r="77" customHeight="1" ht="17.25">
      <c r="A77" s="8">
        <v>45854</v>
      </c>
      <c r="B77" s="9" t="s">
        <v>35</v>
      </c>
      <c r="C77" s="6">
        <v>45</v>
      </c>
      <c r="D77" s="3"/>
      <c r="E77" s="6">
        <f>E76+C77-D77</f>
      </c>
      <c r="F77" s="2"/>
    </row>
    <row x14ac:dyDescent="0.25" r="78" customHeight="1" ht="17.25">
      <c r="A78" s="8">
        <v>45860</v>
      </c>
      <c r="B78" s="9" t="s">
        <v>42</v>
      </c>
      <c r="C78" s="6">
        <v>17</v>
      </c>
      <c r="D78" s="3"/>
      <c r="E78" s="6">
        <f>E77+C78-D78</f>
      </c>
      <c r="F78" s="2"/>
    </row>
    <row x14ac:dyDescent="0.25" r="79" customHeight="1" ht="17.25">
      <c r="A79" s="7">
        <v>45862</v>
      </c>
      <c r="B79" s="9" t="s">
        <v>232</v>
      </c>
      <c r="C79" s="4"/>
      <c r="D79" s="6">
        <v>30</v>
      </c>
      <c r="E79" s="6">
        <f>E78+C79-D79</f>
      </c>
      <c r="F79" s="2"/>
    </row>
    <row x14ac:dyDescent="0.25" r="80" customHeight="1" ht="17.25">
      <c r="A80" s="8">
        <v>45864</v>
      </c>
      <c r="B80" s="9" t="s">
        <v>233</v>
      </c>
      <c r="C80" s="4"/>
      <c r="D80" s="6">
        <v>40</v>
      </c>
      <c r="E80" s="6">
        <f>E79+C80-D80</f>
      </c>
      <c r="F80" s="2"/>
    </row>
    <row x14ac:dyDescent="0.25" r="81" customHeight="1" ht="17.25">
      <c r="A81" s="7">
        <v>45864</v>
      </c>
      <c r="B81" s="9" t="s">
        <v>47</v>
      </c>
      <c r="C81" s="4"/>
      <c r="D81" s="6">
        <v>60</v>
      </c>
      <c r="E81" s="6">
        <f>E80+C81-D81</f>
      </c>
      <c r="F81" s="2"/>
    </row>
    <row x14ac:dyDescent="0.25" r="82" customHeight="1" ht="17.25">
      <c r="A82" s="8">
        <v>45865</v>
      </c>
      <c r="B82" s="9" t="s">
        <v>232</v>
      </c>
      <c r="C82" s="4"/>
      <c r="D82" s="6">
        <v>70</v>
      </c>
      <c r="E82" s="6">
        <f>E81+C82-D82</f>
      </c>
      <c r="F82" s="2"/>
    </row>
    <row x14ac:dyDescent="0.25" r="83" customHeight="1" ht="17.25">
      <c r="A83" s="8">
        <v>45865</v>
      </c>
      <c r="B83" s="9" t="s">
        <v>264</v>
      </c>
      <c r="C83" s="4"/>
      <c r="D83" s="6">
        <v>10</v>
      </c>
      <c r="E83" s="6">
        <f>E82+C83-D83</f>
      </c>
      <c r="F83" s="2"/>
    </row>
    <row x14ac:dyDescent="0.25" r="84" customHeight="1" ht="17.25">
      <c r="A84" s="7">
        <v>45866</v>
      </c>
      <c r="B84" s="9" t="s">
        <v>232</v>
      </c>
      <c r="C84" s="4"/>
      <c r="D84" s="6">
        <v>130</v>
      </c>
      <c r="E84" s="6">
        <f>E83+C84-D84</f>
      </c>
      <c r="F84" s="2"/>
    </row>
    <row x14ac:dyDescent="0.25" r="85" customHeight="1" ht="17.25">
      <c r="A85" s="8">
        <v>45867</v>
      </c>
      <c r="B85" s="9" t="s">
        <v>47</v>
      </c>
      <c r="C85" s="6">
        <v>50</v>
      </c>
      <c r="D85" s="3"/>
      <c r="E85" s="6">
        <f>E84+C85-D85</f>
      </c>
      <c r="F85" s="2"/>
    </row>
    <row x14ac:dyDescent="0.25" r="86" customHeight="1" ht="17.25">
      <c r="A86" s="7">
        <v>45869</v>
      </c>
      <c r="B86" s="9" t="s">
        <v>47</v>
      </c>
      <c r="C86" s="4"/>
      <c r="D86" s="6">
        <v>100</v>
      </c>
      <c r="E86" s="6">
        <f>E85+C86-D86</f>
      </c>
      <c r="F86" s="2"/>
    </row>
    <row x14ac:dyDescent="0.25" r="87" customHeight="1" ht="17.25">
      <c r="A87" s="7">
        <v>45869</v>
      </c>
      <c r="B87" s="9" t="s">
        <v>35</v>
      </c>
      <c r="C87" s="6">
        <v>35</v>
      </c>
      <c r="D87" s="3"/>
      <c r="E87" s="6">
        <f>E86+C87-D87</f>
      </c>
      <c r="F87" s="2"/>
    </row>
    <row x14ac:dyDescent="0.25" r="88" customHeight="1" ht="17.25">
      <c r="A88" s="8">
        <v>45870</v>
      </c>
      <c r="B88" s="9" t="s">
        <v>47</v>
      </c>
      <c r="C88" s="4"/>
      <c r="D88" s="6">
        <v>120</v>
      </c>
      <c r="E88" s="6">
        <f>E87+C88-D88</f>
      </c>
      <c r="F88" s="2"/>
    </row>
    <row x14ac:dyDescent="0.25" r="89" customHeight="1" ht="17.25">
      <c r="A89" s="7">
        <v>45870</v>
      </c>
      <c r="B89" s="9" t="s">
        <v>35</v>
      </c>
      <c r="C89" s="6">
        <v>25</v>
      </c>
      <c r="D89" s="3"/>
      <c r="E89" s="6">
        <f>E88+C89-D89</f>
      </c>
      <c r="F89" s="2"/>
    </row>
    <row x14ac:dyDescent="0.25" r="90" customHeight="1" ht="17.25">
      <c r="A90" s="8">
        <v>45876</v>
      </c>
      <c r="B90" s="9" t="s">
        <v>308</v>
      </c>
      <c r="C90" s="4"/>
      <c r="D90" s="6">
        <v>30</v>
      </c>
      <c r="E90" s="6">
        <f>E89+C90-D90</f>
      </c>
      <c r="F90" s="2"/>
    </row>
    <row x14ac:dyDescent="0.25" r="91" customHeight="1" ht="17.25">
      <c r="A91" s="7">
        <v>45876</v>
      </c>
      <c r="B91" s="9" t="s">
        <v>233</v>
      </c>
      <c r="C91" s="4"/>
      <c r="D91" s="6">
        <v>80</v>
      </c>
      <c r="E91" s="6">
        <f>E90+C91-D91</f>
      </c>
      <c r="F91" s="2"/>
    </row>
    <row x14ac:dyDescent="0.25" r="92" customHeight="1" ht="17.25">
      <c r="A92" s="7">
        <v>45876</v>
      </c>
      <c r="B92" s="9" t="s">
        <v>35</v>
      </c>
      <c r="C92" s="6">
        <v>182</v>
      </c>
      <c r="D92" s="3"/>
      <c r="E92" s="6">
        <f>E91+C92-D92</f>
      </c>
      <c r="F92" s="2"/>
    </row>
    <row x14ac:dyDescent="0.25" r="93" customHeight="1" ht="17.25">
      <c r="A93" s="7">
        <v>45877</v>
      </c>
      <c r="B93" s="9" t="s">
        <v>47</v>
      </c>
      <c r="C93" s="6">
        <v>200</v>
      </c>
      <c r="D93" s="3"/>
      <c r="E93" s="6">
        <f>E92+C93-D93</f>
      </c>
      <c r="F93" s="2"/>
    </row>
    <row x14ac:dyDescent="0.25" r="94" customHeight="1" ht="17.25">
      <c r="A94" s="7">
        <v>45877</v>
      </c>
      <c r="B94" s="9" t="s">
        <v>232</v>
      </c>
      <c r="C94" s="6">
        <v>30</v>
      </c>
      <c r="D94" s="3"/>
      <c r="E94" s="6">
        <f>E93+C94-D94</f>
      </c>
      <c r="F94" s="2"/>
    </row>
    <row x14ac:dyDescent="0.25" r="95" customHeight="1" ht="17.25">
      <c r="A95" s="7">
        <v>45882</v>
      </c>
      <c r="B95" s="9" t="s">
        <v>256</v>
      </c>
      <c r="C95" s="4"/>
      <c r="D95" s="6">
        <v>15</v>
      </c>
      <c r="E95" s="6">
        <f>E94+C95-D95</f>
      </c>
      <c r="F95" s="2"/>
    </row>
    <row x14ac:dyDescent="0.25" r="96" customHeight="1" ht="17.25">
      <c r="A96" s="7">
        <v>45884</v>
      </c>
      <c r="B96" s="9" t="s">
        <v>35</v>
      </c>
      <c r="C96" s="6">
        <v>25</v>
      </c>
      <c r="D96" s="3"/>
      <c r="E96" s="6">
        <f>E95+C96-D96</f>
      </c>
      <c r="F96" s="2"/>
    </row>
    <row x14ac:dyDescent="0.25" r="97" customHeight="1" ht="17.25">
      <c r="A97" s="7">
        <v>45884</v>
      </c>
      <c r="B97" s="9" t="s">
        <v>241</v>
      </c>
      <c r="C97" s="6">
        <v>17</v>
      </c>
      <c r="D97" s="3"/>
      <c r="E97" s="6">
        <f>E96+C97-D97</f>
      </c>
      <c r="F97" s="2"/>
    </row>
    <row x14ac:dyDescent="0.25" r="98" customHeight="1" ht="17.25">
      <c r="A98" s="7">
        <v>45891</v>
      </c>
      <c r="B98" s="9" t="s">
        <v>234</v>
      </c>
      <c r="C98" s="4"/>
      <c r="D98" s="6">
        <v>30</v>
      </c>
      <c r="E98" s="6">
        <f>E97+C98-D98</f>
      </c>
      <c r="F98" s="2"/>
    </row>
    <row x14ac:dyDescent="0.25" r="99" customHeight="1" ht="17.25">
      <c r="A99" s="8">
        <v>45891</v>
      </c>
      <c r="B99" s="9" t="s">
        <v>35</v>
      </c>
      <c r="C99" s="6">
        <v>28</v>
      </c>
      <c r="D99" s="3"/>
      <c r="E99" s="6">
        <f>E98+C99-D99</f>
      </c>
      <c r="F99" s="2"/>
    </row>
    <row x14ac:dyDescent="0.25" r="100" customHeight="1" ht="17.25">
      <c r="A100" s="7">
        <v>45892</v>
      </c>
      <c r="B100" s="9" t="s">
        <v>42</v>
      </c>
      <c r="C100" s="6">
        <v>20</v>
      </c>
      <c r="D100" s="3"/>
      <c r="E100" s="6">
        <f>E99+C100-D100</f>
      </c>
      <c r="F100" s="2"/>
    </row>
    <row x14ac:dyDescent="0.25" r="101" customHeight="1" ht="17.25">
      <c r="A101" s="8">
        <v>45902</v>
      </c>
      <c r="B101" s="9" t="s">
        <v>47</v>
      </c>
      <c r="C101" s="6">
        <v>15</v>
      </c>
      <c r="D101" s="3"/>
      <c r="E101" s="6">
        <f>E100+C101-D101</f>
      </c>
      <c r="F101" s="2"/>
    </row>
    <row x14ac:dyDescent="0.25" r="102" customHeight="1" ht="17.25">
      <c r="A102" s="8">
        <v>45910</v>
      </c>
      <c r="B102" s="9" t="s">
        <v>310</v>
      </c>
      <c r="C102" s="4"/>
      <c r="D102" s="6">
        <v>30</v>
      </c>
      <c r="E102" s="6">
        <f>E101+C102-D102</f>
      </c>
      <c r="F102" s="2"/>
    </row>
    <row x14ac:dyDescent="0.25" r="103" customHeight="1" ht="17.25">
      <c r="A103" s="8">
        <v>45911</v>
      </c>
      <c r="B103" s="9" t="s">
        <v>284</v>
      </c>
      <c r="C103" s="6">
        <v>3</v>
      </c>
      <c r="D103" s="3"/>
      <c r="E103" s="6">
        <f>E102+C103-D103</f>
      </c>
      <c r="F103" s="2"/>
    </row>
    <row x14ac:dyDescent="0.25" r="104" customHeight="1" ht="17.25">
      <c r="A104" s="7">
        <v>45922</v>
      </c>
      <c r="B104" s="9" t="s">
        <v>310</v>
      </c>
      <c r="C104" s="4"/>
      <c r="D104" s="6">
        <v>20</v>
      </c>
      <c r="E104" s="6">
        <f>E103+C104-D104</f>
      </c>
      <c r="F104" s="2"/>
    </row>
    <row x14ac:dyDescent="0.25" r="105" customHeight="1" ht="17.25">
      <c r="A105" s="7">
        <v>45922</v>
      </c>
      <c r="B105" s="9" t="s">
        <v>35</v>
      </c>
      <c r="C105" s="6">
        <v>34</v>
      </c>
      <c r="D105" s="3"/>
      <c r="E105" s="6">
        <f>E104+C105-D105</f>
      </c>
      <c r="F105" s="2"/>
    </row>
    <row x14ac:dyDescent="0.25" r="106" customHeight="1" ht="17.25">
      <c r="A106" s="8">
        <v>45924</v>
      </c>
      <c r="B106" s="9" t="s">
        <v>284</v>
      </c>
      <c r="C106" s="6">
        <v>9</v>
      </c>
      <c r="D106" s="3"/>
      <c r="E106" s="6">
        <f>E105+C106-D106</f>
      </c>
      <c r="F106" s="2"/>
    </row>
    <row x14ac:dyDescent="0.25" r="107" customHeight="1" ht="17.25">
      <c r="A107" s="8">
        <v>45924</v>
      </c>
      <c r="B107" s="9" t="s">
        <v>42</v>
      </c>
      <c r="C107" s="6">
        <v>26</v>
      </c>
      <c r="D107" s="3"/>
      <c r="E107" s="6">
        <f>E106+C107-D107</f>
      </c>
      <c r="F107" s="2"/>
    </row>
    <row x14ac:dyDescent="0.25" r="108" customHeight="1" ht="17.25">
      <c r="A108" s="7">
        <v>45930</v>
      </c>
      <c r="B108" s="9" t="s">
        <v>47</v>
      </c>
      <c r="C108" s="6">
        <v>90</v>
      </c>
      <c r="D108" s="3"/>
      <c r="E108" s="6">
        <f>E107+C108-D108</f>
      </c>
      <c r="F108" s="2"/>
    </row>
    <row x14ac:dyDescent="0.25" r="109" customHeight="1" ht="17.25">
      <c r="A109" s="8">
        <v>45932</v>
      </c>
      <c r="B109" s="9" t="s">
        <v>264</v>
      </c>
      <c r="C109" s="6">
        <v>7</v>
      </c>
      <c r="D109" s="3"/>
      <c r="E109" s="6">
        <f>E108+C109-D109</f>
      </c>
      <c r="F109" s="2"/>
    </row>
    <row x14ac:dyDescent="0.25" r="110" customHeight="1" ht="17.25">
      <c r="A110" s="7">
        <v>45933</v>
      </c>
      <c r="B110" s="9" t="s">
        <v>46</v>
      </c>
      <c r="C110" s="4"/>
      <c r="D110" s="6">
        <v>100</v>
      </c>
      <c r="E110" s="6">
        <f>E109+C110-D110</f>
      </c>
      <c r="F110" s="2"/>
    </row>
    <row x14ac:dyDescent="0.25" r="111" customHeight="1" ht="17.25">
      <c r="A111" s="8">
        <v>45939</v>
      </c>
      <c r="B111" s="9" t="s">
        <v>233</v>
      </c>
      <c r="C111" s="4"/>
      <c r="D111" s="6">
        <v>39</v>
      </c>
      <c r="E111" s="6">
        <f>E110+C111-D111</f>
      </c>
      <c r="F111" s="2"/>
    </row>
    <row x14ac:dyDescent="0.25" r="112" customHeight="1" ht="17.25">
      <c r="A112" s="7">
        <v>45951</v>
      </c>
      <c r="B112" s="9" t="s">
        <v>7</v>
      </c>
      <c r="C112" s="6">
        <v>20</v>
      </c>
      <c r="D112" s="3"/>
      <c r="E112" s="6">
        <f>E111+C112-D112</f>
      </c>
      <c r="F112" s="2"/>
    </row>
    <row x14ac:dyDescent="0.25" r="113" customHeight="1" ht="17.25">
      <c r="A113" s="8">
        <v>45958</v>
      </c>
      <c r="B113" s="9" t="s">
        <v>347</v>
      </c>
      <c r="C113" s="4"/>
      <c r="D113" s="6">
        <v>10</v>
      </c>
      <c r="E113" s="6">
        <f>E112+C113-D113</f>
      </c>
      <c r="F113" s="2"/>
    </row>
    <row x14ac:dyDescent="0.25" r="114" customHeight="1" ht="17.25">
      <c r="A114" s="7">
        <v>45962</v>
      </c>
      <c r="B114" s="9" t="s">
        <v>3</v>
      </c>
      <c r="C114" s="6">
        <v>11</v>
      </c>
      <c r="D114" s="3"/>
      <c r="E114" s="6">
        <f>E113+C114-D114</f>
      </c>
      <c r="F114" s="2"/>
    </row>
    <row x14ac:dyDescent="0.25" r="115" customHeight="1" ht="17.25">
      <c r="A115" s="8">
        <v>45973</v>
      </c>
      <c r="B115" s="9" t="s">
        <v>234</v>
      </c>
      <c r="C115" s="6">
        <v>32</v>
      </c>
      <c r="D115" s="3"/>
      <c r="E115" s="6">
        <f>E114+C115-D115</f>
      </c>
      <c r="F115" s="2"/>
    </row>
    <row x14ac:dyDescent="0.25" r="116" customHeight="1" ht="17.25">
      <c r="A116" s="7">
        <v>45976</v>
      </c>
      <c r="B116" s="9" t="s">
        <v>232</v>
      </c>
      <c r="C116" s="4"/>
      <c r="D116" s="6">
        <v>200</v>
      </c>
      <c r="E116" s="6">
        <f>E115+C116-D116</f>
      </c>
      <c r="F116" s="2"/>
    </row>
    <row x14ac:dyDescent="0.25" r="117" customHeight="1" ht="17.25">
      <c r="A117" s="8">
        <v>45979</v>
      </c>
      <c r="B117" s="9" t="s">
        <v>321</v>
      </c>
      <c r="C117" s="6">
        <v>15</v>
      </c>
      <c r="D117" s="3"/>
      <c r="E117" s="6">
        <f>E116+C117-D117</f>
      </c>
      <c r="F117" s="2"/>
    </row>
    <row x14ac:dyDescent="0.25" r="118" customHeight="1" ht="17.25">
      <c r="A118" s="7">
        <v>45987</v>
      </c>
      <c r="B118" s="9" t="s">
        <v>175</v>
      </c>
      <c r="C118" s="6">
        <v>16</v>
      </c>
      <c r="D118" s="3"/>
      <c r="E118" s="6">
        <f>E117+C118-D118</f>
      </c>
      <c r="F118" s="2"/>
    </row>
    <row x14ac:dyDescent="0.25" r="119" customHeight="1" ht="17.25">
      <c r="A119" s="8">
        <v>45988</v>
      </c>
      <c r="B119" s="9" t="s">
        <v>53</v>
      </c>
      <c r="C119" s="4"/>
      <c r="D119" s="6">
        <v>100</v>
      </c>
      <c r="E119" s="6">
        <f>E118+C119-D119</f>
      </c>
      <c r="F119" s="2"/>
    </row>
    <row x14ac:dyDescent="0.25" r="120" customHeight="1" ht="17.25">
      <c r="A120" s="7">
        <v>45988</v>
      </c>
      <c r="B120" s="9" t="s">
        <v>324</v>
      </c>
      <c r="C120" s="6">
        <v>2</v>
      </c>
      <c r="D120" s="3"/>
      <c r="E120" s="6">
        <f>E119+C120-D120</f>
      </c>
      <c r="F120" s="2"/>
    </row>
    <row x14ac:dyDescent="0.25" r="121" customHeight="1" ht="17.25">
      <c r="A121" s="8">
        <v>45990</v>
      </c>
      <c r="B121" s="9" t="s">
        <v>53</v>
      </c>
      <c r="C121" s="4"/>
      <c r="D121" s="6">
        <v>50</v>
      </c>
      <c r="E121" s="6">
        <f>E120+C121-D121</f>
      </c>
      <c r="F121" s="2"/>
    </row>
    <row x14ac:dyDescent="0.25" r="122" customHeight="1" ht="17.25">
      <c r="A122" s="8">
        <v>45993</v>
      </c>
      <c r="B122" s="9" t="s">
        <v>53</v>
      </c>
      <c r="C122" s="4"/>
      <c r="D122" s="6">
        <v>50</v>
      </c>
      <c r="E122" s="6">
        <f>E121+C122-D122</f>
      </c>
      <c r="F122" s="2"/>
    </row>
    <row x14ac:dyDescent="0.25" r="123" customHeight="1" ht="17.25">
      <c r="A123" s="7">
        <v>45994</v>
      </c>
      <c r="B123" s="9" t="s">
        <v>3</v>
      </c>
      <c r="C123" s="6">
        <v>15</v>
      </c>
      <c r="D123" s="3"/>
      <c r="E123" s="6">
        <f>E122+C123-D123</f>
      </c>
      <c r="F123" s="2"/>
    </row>
    <row x14ac:dyDescent="0.25" r="124" customHeight="1" ht="17.25">
      <c r="A124" s="7">
        <v>45996</v>
      </c>
      <c r="B124" s="9" t="s">
        <v>185</v>
      </c>
      <c r="C124" s="4"/>
      <c r="D124" s="6">
        <v>100</v>
      </c>
      <c r="E124" s="6">
        <f>E123+C124-D124</f>
      </c>
      <c r="F124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2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0.7192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336</v>
      </c>
      <c r="B1" s="2"/>
      <c r="C1" s="3"/>
      <c r="D1" s="4"/>
      <c r="E1" s="4"/>
      <c r="F1" s="2"/>
    </row>
    <row x14ac:dyDescent="0.25" r="2" customHeight="1" ht="17.25">
      <c r="A2" s="1"/>
      <c r="B2" s="2"/>
      <c r="C2" s="3"/>
      <c r="D2" s="4"/>
      <c r="E2" s="4"/>
      <c r="F2" s="2"/>
    </row>
    <row x14ac:dyDescent="0.25" r="3" customHeight="1" ht="17.25">
      <c r="A3" s="7">
        <v>45658</v>
      </c>
      <c r="B3" s="2" t="s">
        <v>1</v>
      </c>
      <c r="C3" s="3"/>
      <c r="D3" s="4"/>
      <c r="E3" s="6">
        <v>801</v>
      </c>
      <c r="F3" s="2"/>
    </row>
    <row x14ac:dyDescent="0.25" r="4" customHeight="1" ht="17.25">
      <c r="A4" s="7">
        <v>45661</v>
      </c>
      <c r="B4" s="2" t="s">
        <v>257</v>
      </c>
      <c r="C4" s="6">
        <v>8</v>
      </c>
      <c r="D4" s="4"/>
      <c r="E4" s="6">
        <f>E3+C4-D4</f>
      </c>
      <c r="F4" s="2"/>
    </row>
    <row x14ac:dyDescent="0.25" r="5" customHeight="1" ht="17.25">
      <c r="A5" s="8">
        <v>45663</v>
      </c>
      <c r="B5" s="9" t="s">
        <v>269</v>
      </c>
      <c r="C5" s="6">
        <v>100</v>
      </c>
      <c r="D5" s="4"/>
      <c r="E5" s="6">
        <f>E4+C5-D5</f>
      </c>
      <c r="F5" s="2"/>
    </row>
    <row x14ac:dyDescent="0.25" r="6" customHeight="1" ht="17.25">
      <c r="A6" s="8">
        <v>45664</v>
      </c>
      <c r="B6" s="9" t="s">
        <v>269</v>
      </c>
      <c r="C6" s="6">
        <v>62</v>
      </c>
      <c r="D6" s="4"/>
      <c r="E6" s="6">
        <f>E5+C6-D6</f>
      </c>
      <c r="F6" s="2"/>
    </row>
    <row x14ac:dyDescent="0.25" r="7" customHeight="1" ht="17.25">
      <c r="A7" s="8">
        <v>45664</v>
      </c>
      <c r="B7" s="9" t="s">
        <v>131</v>
      </c>
      <c r="C7" s="6">
        <v>30</v>
      </c>
      <c r="D7" s="4"/>
      <c r="E7" s="6">
        <f>E6+C7-D7</f>
      </c>
      <c r="F7" s="2"/>
    </row>
    <row x14ac:dyDescent="0.25" r="8" customHeight="1" ht="17.25">
      <c r="A8" s="7">
        <v>45666</v>
      </c>
      <c r="B8" s="9" t="s">
        <v>177</v>
      </c>
      <c r="C8" s="6">
        <v>2</v>
      </c>
      <c r="D8" s="4"/>
      <c r="E8" s="6">
        <f>E7+C8-D8</f>
      </c>
      <c r="F8" s="2"/>
    </row>
    <row x14ac:dyDescent="0.25" r="9" customHeight="1" ht="17.25">
      <c r="A9" s="7">
        <v>45668</v>
      </c>
      <c r="B9" s="9" t="s">
        <v>256</v>
      </c>
      <c r="C9" s="6">
        <v>230</v>
      </c>
      <c r="D9" s="4"/>
      <c r="E9" s="6">
        <f>E8+C9-D9</f>
      </c>
      <c r="F9" s="2"/>
    </row>
    <row x14ac:dyDescent="0.25" r="10" customHeight="1" ht="17.25">
      <c r="A10" s="7">
        <v>45671</v>
      </c>
      <c r="B10" s="9" t="s">
        <v>269</v>
      </c>
      <c r="C10" s="6">
        <v>173</v>
      </c>
      <c r="D10" s="4"/>
      <c r="E10" s="6">
        <f>E9+C10-D10</f>
      </c>
      <c r="F10" s="2"/>
    </row>
    <row x14ac:dyDescent="0.25" r="11" customHeight="1" ht="17.25">
      <c r="A11" s="7">
        <v>45672</v>
      </c>
      <c r="B11" s="9" t="s">
        <v>270</v>
      </c>
      <c r="C11" s="3"/>
      <c r="D11" s="6">
        <v>100</v>
      </c>
      <c r="E11" s="6">
        <f>E10+C11-D11</f>
      </c>
      <c r="F11" s="2"/>
    </row>
    <row x14ac:dyDescent="0.25" r="12" customHeight="1" ht="17.25">
      <c r="A12" s="8">
        <v>45673</v>
      </c>
      <c r="B12" s="9" t="s">
        <v>269</v>
      </c>
      <c r="C12" s="6">
        <v>34</v>
      </c>
      <c r="D12" s="4"/>
      <c r="E12" s="6">
        <f>E11+C12-D12</f>
      </c>
      <c r="F12" s="2"/>
    </row>
    <row x14ac:dyDescent="0.25" r="13" customHeight="1" ht="17.25">
      <c r="A13" s="7">
        <v>45675</v>
      </c>
      <c r="B13" s="9" t="s">
        <v>272</v>
      </c>
      <c r="C13" s="6">
        <v>100</v>
      </c>
      <c r="D13" s="4"/>
      <c r="E13" s="6">
        <f>E12+C13-D13</f>
      </c>
      <c r="F13" s="2"/>
    </row>
    <row x14ac:dyDescent="0.25" r="14" customHeight="1" ht="17.25">
      <c r="A14" s="8">
        <v>45675</v>
      </c>
      <c r="B14" s="9" t="s">
        <v>240</v>
      </c>
      <c r="C14" s="6">
        <v>4</v>
      </c>
      <c r="D14" s="4"/>
      <c r="E14" s="6">
        <f>E13+C14-D14</f>
      </c>
      <c r="F14" s="2"/>
    </row>
    <row x14ac:dyDescent="0.25" r="15" customHeight="1" ht="17.25">
      <c r="A15" s="7">
        <v>45675</v>
      </c>
      <c r="B15" s="9" t="s">
        <v>337</v>
      </c>
      <c r="C15" s="6">
        <v>80</v>
      </c>
      <c r="D15" s="4"/>
      <c r="E15" s="6">
        <f>E14+C15-D15</f>
      </c>
      <c r="F15" s="2"/>
    </row>
    <row x14ac:dyDescent="0.25" r="16" customHeight="1" ht="17.25">
      <c r="A16" s="7">
        <v>45677</v>
      </c>
      <c r="B16" s="9" t="s">
        <v>127</v>
      </c>
      <c r="C16" s="6">
        <v>46</v>
      </c>
      <c r="D16" s="4"/>
      <c r="E16" s="6">
        <f>E15+C16-D16</f>
      </c>
      <c r="F16" s="2"/>
    </row>
    <row x14ac:dyDescent="0.25" r="17" customHeight="1" ht="17.25">
      <c r="A17" s="8">
        <v>45677</v>
      </c>
      <c r="B17" s="9" t="s">
        <v>131</v>
      </c>
      <c r="C17" s="6">
        <v>5</v>
      </c>
      <c r="D17" s="4"/>
      <c r="E17" s="6">
        <f>E16+C17-D17</f>
      </c>
      <c r="F17" s="2"/>
    </row>
    <row x14ac:dyDescent="0.25" r="18" customHeight="1" ht="17.25">
      <c r="A18" s="8">
        <v>45680</v>
      </c>
      <c r="B18" s="9" t="s">
        <v>326</v>
      </c>
      <c r="C18" s="6">
        <v>8</v>
      </c>
      <c r="D18" s="4"/>
      <c r="E18" s="6">
        <f>E17+C18-D18</f>
      </c>
      <c r="F18" s="2"/>
    </row>
    <row x14ac:dyDescent="0.25" r="19" customHeight="1" ht="17.25">
      <c r="A19" s="8">
        <v>45680</v>
      </c>
      <c r="B19" s="9" t="s">
        <v>269</v>
      </c>
      <c r="C19" s="6">
        <v>5</v>
      </c>
      <c r="D19" s="4"/>
      <c r="E19" s="6">
        <f>E18+C19-D19</f>
      </c>
      <c r="F19" s="2"/>
    </row>
    <row x14ac:dyDescent="0.25" r="20" customHeight="1" ht="17.25">
      <c r="A20" s="8">
        <v>45685</v>
      </c>
      <c r="B20" s="9" t="s">
        <v>259</v>
      </c>
      <c r="C20" s="6">
        <v>16</v>
      </c>
      <c r="D20" s="4"/>
      <c r="E20" s="6">
        <f>E19+C20-D20</f>
      </c>
      <c r="F20" s="2"/>
    </row>
    <row x14ac:dyDescent="0.25" r="21" customHeight="1" ht="17.25">
      <c r="A21" s="8">
        <v>45685</v>
      </c>
      <c r="B21" s="9" t="s">
        <v>127</v>
      </c>
      <c r="C21" s="6">
        <v>5</v>
      </c>
      <c r="D21" s="4"/>
      <c r="E21" s="6">
        <f>E20+C21-D21</f>
      </c>
      <c r="F21" s="2"/>
    </row>
    <row x14ac:dyDescent="0.25" r="22" customHeight="1" ht="17.25">
      <c r="A22" s="8">
        <v>45688</v>
      </c>
      <c r="B22" s="9" t="s">
        <v>39</v>
      </c>
      <c r="C22" s="6">
        <v>18</v>
      </c>
      <c r="D22" s="4"/>
      <c r="E22" s="6">
        <f>E21+C22-D22</f>
      </c>
      <c r="F22" s="2"/>
    </row>
    <row x14ac:dyDescent="0.25" r="23" customHeight="1" ht="17.25">
      <c r="A23" s="8">
        <v>45689</v>
      </c>
      <c r="B23" s="9" t="s">
        <v>39</v>
      </c>
      <c r="C23" s="6">
        <v>47</v>
      </c>
      <c r="D23" s="4"/>
      <c r="E23" s="6">
        <f>E22+C23-D23</f>
      </c>
      <c r="F23" s="2"/>
    </row>
    <row x14ac:dyDescent="0.25" r="24" customHeight="1" ht="17.25">
      <c r="A24" s="8">
        <v>45691</v>
      </c>
      <c r="B24" s="9" t="s">
        <v>273</v>
      </c>
      <c r="C24" s="6">
        <v>22</v>
      </c>
      <c r="D24" s="4"/>
      <c r="E24" s="6">
        <f>E23+C24-D24</f>
      </c>
      <c r="F24" s="2"/>
    </row>
    <row x14ac:dyDescent="0.25" r="25" customHeight="1" ht="17.25">
      <c r="A25" s="8">
        <v>45693</v>
      </c>
      <c r="B25" s="9" t="s">
        <v>269</v>
      </c>
      <c r="C25" s="6">
        <v>24</v>
      </c>
      <c r="D25" s="4"/>
      <c r="E25" s="6">
        <f>E24+C25-D25</f>
      </c>
      <c r="F25" s="2"/>
    </row>
    <row x14ac:dyDescent="0.25" r="26" customHeight="1" ht="17.25">
      <c r="A26" s="8">
        <v>45694</v>
      </c>
      <c r="B26" s="9" t="s">
        <v>131</v>
      </c>
      <c r="C26" s="6">
        <v>40</v>
      </c>
      <c r="D26" s="4"/>
      <c r="E26" s="6">
        <f>E25+C26-D26</f>
      </c>
      <c r="F26" s="2"/>
    </row>
    <row x14ac:dyDescent="0.25" r="27" customHeight="1" ht="17.25">
      <c r="A27" s="8">
        <v>45694</v>
      </c>
      <c r="B27" s="9" t="s">
        <v>275</v>
      </c>
      <c r="C27" s="6">
        <v>9</v>
      </c>
      <c r="D27" s="4"/>
      <c r="E27" s="6">
        <f>E26+C27-D27</f>
      </c>
      <c r="F27" s="2"/>
    </row>
    <row x14ac:dyDescent="0.25" r="28" customHeight="1" ht="17.25">
      <c r="A28" s="8">
        <v>45696</v>
      </c>
      <c r="B28" s="9" t="s">
        <v>35</v>
      </c>
      <c r="C28" s="6">
        <v>96</v>
      </c>
      <c r="D28" s="4"/>
      <c r="E28" s="6">
        <f>E27+C28-D28</f>
      </c>
      <c r="F28" s="2"/>
    </row>
    <row x14ac:dyDescent="0.25" r="29" customHeight="1" ht="17.25">
      <c r="A29" s="7">
        <v>45696</v>
      </c>
      <c r="B29" s="9" t="s">
        <v>35</v>
      </c>
      <c r="C29" s="6">
        <v>129</v>
      </c>
      <c r="D29" s="4"/>
      <c r="E29" s="6">
        <f>E28+C29-D29</f>
      </c>
      <c r="F29" s="2"/>
    </row>
    <row x14ac:dyDescent="0.25" r="30" customHeight="1" ht="17.25">
      <c r="A30" s="7">
        <v>45698</v>
      </c>
      <c r="B30" s="9" t="s">
        <v>35</v>
      </c>
      <c r="C30" s="6">
        <v>59</v>
      </c>
      <c r="D30" s="4"/>
      <c r="E30" s="6">
        <f>E29+C30-D30</f>
      </c>
      <c r="F30" s="2"/>
    </row>
    <row x14ac:dyDescent="0.25" r="31" customHeight="1" ht="17.25">
      <c r="A31" s="8">
        <v>45698</v>
      </c>
      <c r="B31" s="9" t="s">
        <v>35</v>
      </c>
      <c r="C31" s="6">
        <v>51</v>
      </c>
      <c r="D31" s="4"/>
      <c r="E31" s="6">
        <f>E30+C31-D31</f>
      </c>
      <c r="F31" s="2"/>
    </row>
    <row x14ac:dyDescent="0.25" r="32" customHeight="1" ht="17.25">
      <c r="A32" s="8">
        <v>45699</v>
      </c>
      <c r="B32" s="9" t="s">
        <v>131</v>
      </c>
      <c r="C32" s="6">
        <v>65</v>
      </c>
      <c r="D32" s="4"/>
      <c r="E32" s="6">
        <f>E31+C32-D32</f>
      </c>
      <c r="F32" s="2"/>
    </row>
    <row x14ac:dyDescent="0.25" r="33" customHeight="1" ht="17.25">
      <c r="A33" s="8">
        <v>45701</v>
      </c>
      <c r="B33" s="9" t="s">
        <v>338</v>
      </c>
      <c r="C33" s="6">
        <v>3</v>
      </c>
      <c r="D33" s="4"/>
      <c r="E33" s="6">
        <f>E32+C33-D33</f>
      </c>
      <c r="F33" s="2"/>
    </row>
    <row x14ac:dyDescent="0.25" r="34" customHeight="1" ht="17.25">
      <c r="A34" s="7">
        <v>45702</v>
      </c>
      <c r="B34" s="9" t="s">
        <v>127</v>
      </c>
      <c r="C34" s="6">
        <v>61</v>
      </c>
      <c r="D34" s="4"/>
      <c r="E34" s="6">
        <f>E33+C34-D34</f>
      </c>
      <c r="F34" s="2"/>
    </row>
    <row x14ac:dyDescent="0.25" r="35" customHeight="1" ht="17.25">
      <c r="A35" s="7">
        <v>45702</v>
      </c>
      <c r="B35" s="9" t="s">
        <v>339</v>
      </c>
      <c r="C35" s="6">
        <v>14</v>
      </c>
      <c r="D35" s="4"/>
      <c r="E35" s="6">
        <f>E34+C35-D35</f>
      </c>
      <c r="F35" s="2"/>
    </row>
    <row x14ac:dyDescent="0.25" r="36" customHeight="1" ht="17.25">
      <c r="A36" s="7">
        <v>45703</v>
      </c>
      <c r="B36" s="9" t="s">
        <v>337</v>
      </c>
      <c r="C36" s="6">
        <v>24</v>
      </c>
      <c r="D36" s="4"/>
      <c r="E36" s="6">
        <f>E35+C36-D36</f>
      </c>
      <c r="F36" s="2"/>
    </row>
    <row x14ac:dyDescent="0.25" r="37" customHeight="1" ht="17.25">
      <c r="A37" s="7">
        <v>45705</v>
      </c>
      <c r="B37" s="9" t="s">
        <v>131</v>
      </c>
      <c r="C37" s="6">
        <v>7</v>
      </c>
      <c r="D37" s="4"/>
      <c r="E37" s="6">
        <f>E36+C37-D37</f>
      </c>
      <c r="F37" s="2"/>
    </row>
    <row x14ac:dyDescent="0.25" r="38" customHeight="1" ht="17.25">
      <c r="A38" s="7">
        <v>45708</v>
      </c>
      <c r="B38" s="9" t="s">
        <v>338</v>
      </c>
      <c r="C38" s="6">
        <v>6</v>
      </c>
      <c r="D38" s="4"/>
      <c r="E38" s="6">
        <f>E37+C38-D38</f>
      </c>
      <c r="F38" s="2"/>
    </row>
    <row x14ac:dyDescent="0.25" r="39" customHeight="1" ht="17.25">
      <c r="A39" s="8">
        <v>45709</v>
      </c>
      <c r="B39" s="9" t="s">
        <v>39</v>
      </c>
      <c r="C39" s="6">
        <v>18</v>
      </c>
      <c r="D39" s="4"/>
      <c r="E39" s="6">
        <f>E38+C39-D39</f>
      </c>
      <c r="F39" s="2"/>
    </row>
    <row x14ac:dyDescent="0.25" r="40" customHeight="1" ht="17.25">
      <c r="A40" s="8">
        <v>45709</v>
      </c>
      <c r="B40" s="9" t="s">
        <v>35</v>
      </c>
      <c r="C40" s="6">
        <v>7</v>
      </c>
      <c r="D40" s="4"/>
      <c r="E40" s="6">
        <f>E39+C40-D40</f>
      </c>
      <c r="F40" s="2"/>
    </row>
    <row x14ac:dyDescent="0.25" r="41" customHeight="1" ht="17.25">
      <c r="A41" s="8">
        <v>45709</v>
      </c>
      <c r="B41" s="9" t="s">
        <v>2</v>
      </c>
      <c r="C41" s="6">
        <v>4</v>
      </c>
      <c r="D41" s="4"/>
      <c r="E41" s="6">
        <f>E40+C41-D41</f>
      </c>
      <c r="F41" s="2"/>
    </row>
    <row x14ac:dyDescent="0.25" r="42" customHeight="1" ht="17.25">
      <c r="A42" s="8">
        <v>45709</v>
      </c>
      <c r="B42" s="9" t="s">
        <v>269</v>
      </c>
      <c r="C42" s="6">
        <v>18</v>
      </c>
      <c r="D42" s="4"/>
      <c r="E42" s="6">
        <f>E41+C42-D42</f>
      </c>
      <c r="F42" s="2"/>
    </row>
    <row x14ac:dyDescent="0.25" r="43" customHeight="1" ht="17.25">
      <c r="A43" s="8">
        <v>45710</v>
      </c>
      <c r="B43" s="9" t="s">
        <v>35</v>
      </c>
      <c r="C43" s="6">
        <v>8</v>
      </c>
      <c r="D43" s="4"/>
      <c r="E43" s="6">
        <f>E42+C43-D43</f>
      </c>
      <c r="F43" s="2"/>
    </row>
    <row x14ac:dyDescent="0.25" r="44" customHeight="1" ht="17.25">
      <c r="A44" s="8">
        <v>45712</v>
      </c>
      <c r="B44" s="9" t="s">
        <v>35</v>
      </c>
      <c r="C44" s="6">
        <v>33</v>
      </c>
      <c r="D44" s="4"/>
      <c r="E44" s="6">
        <f>E43+C44-D44</f>
      </c>
      <c r="F44" s="2"/>
    </row>
    <row x14ac:dyDescent="0.25" r="45" customHeight="1" ht="17.25">
      <c r="A45" s="8">
        <v>45712</v>
      </c>
      <c r="B45" s="9" t="s">
        <v>270</v>
      </c>
      <c r="C45" s="6">
        <v>97</v>
      </c>
      <c r="D45" s="4"/>
      <c r="E45" s="6">
        <f>E44+C45-D45</f>
      </c>
      <c r="F45" s="2"/>
    </row>
    <row x14ac:dyDescent="0.25" r="46" customHeight="1" ht="17.25">
      <c r="A46" s="8">
        <v>45712</v>
      </c>
      <c r="B46" s="9" t="s">
        <v>274</v>
      </c>
      <c r="C46" s="6">
        <v>4</v>
      </c>
      <c r="D46" s="4"/>
      <c r="E46" s="6">
        <f>E45+C46-D46</f>
      </c>
      <c r="F46" s="2"/>
    </row>
    <row x14ac:dyDescent="0.25" r="47" customHeight="1" ht="17.25">
      <c r="A47" s="8">
        <v>45713</v>
      </c>
      <c r="B47" s="9" t="s">
        <v>131</v>
      </c>
      <c r="C47" s="6">
        <v>13</v>
      </c>
      <c r="D47" s="4"/>
      <c r="E47" s="6">
        <f>E46+C47-D47</f>
      </c>
      <c r="F47" s="2"/>
    </row>
    <row x14ac:dyDescent="0.25" r="48" customHeight="1" ht="17.25">
      <c r="A48" s="7">
        <v>45717</v>
      </c>
      <c r="B48" s="9" t="s">
        <v>269</v>
      </c>
      <c r="C48" s="6">
        <v>393</v>
      </c>
      <c r="D48" s="4"/>
      <c r="E48" s="6">
        <f>E47+C48-D48</f>
      </c>
      <c r="F48" s="2"/>
    </row>
    <row x14ac:dyDescent="0.25" r="49" customHeight="1" ht="17.25">
      <c r="A49" s="7">
        <v>45717</v>
      </c>
      <c r="B49" s="9" t="s">
        <v>131</v>
      </c>
      <c r="C49" s="6">
        <v>4</v>
      </c>
      <c r="D49" s="4"/>
      <c r="E49" s="6">
        <f>E48+C49-D49</f>
      </c>
      <c r="F49" s="2"/>
    </row>
    <row x14ac:dyDescent="0.25" r="50" customHeight="1" ht="17.25">
      <c r="A50" s="8">
        <v>45722</v>
      </c>
      <c r="B50" s="9" t="s">
        <v>35</v>
      </c>
      <c r="C50" s="6">
        <v>47</v>
      </c>
      <c r="D50" s="4"/>
      <c r="E50" s="6">
        <f>E49+C50-D50</f>
      </c>
      <c r="F50" s="2"/>
    </row>
    <row x14ac:dyDescent="0.25" r="51" customHeight="1" ht="17.25">
      <c r="A51" s="8">
        <v>45723</v>
      </c>
      <c r="B51" s="9" t="s">
        <v>257</v>
      </c>
      <c r="C51" s="6">
        <v>7</v>
      </c>
      <c r="D51" s="4"/>
      <c r="E51" s="6">
        <f>E50+C51-D51</f>
      </c>
      <c r="F51" s="2"/>
    </row>
    <row x14ac:dyDescent="0.25" r="52" customHeight="1" ht="17.25">
      <c r="A52" s="7">
        <v>45723</v>
      </c>
      <c r="B52" s="9" t="s">
        <v>39</v>
      </c>
      <c r="C52" s="6">
        <v>29</v>
      </c>
      <c r="D52" s="4"/>
      <c r="E52" s="6">
        <f>E51+C52-D52</f>
      </c>
      <c r="F52" s="2"/>
    </row>
    <row x14ac:dyDescent="0.25" r="53" customHeight="1" ht="17.25">
      <c r="A53" s="8">
        <v>45724</v>
      </c>
      <c r="B53" s="9" t="s">
        <v>35</v>
      </c>
      <c r="C53" s="6">
        <v>9</v>
      </c>
      <c r="D53" s="4"/>
      <c r="E53" s="6">
        <f>E52+C53-D53</f>
      </c>
      <c r="F53" s="2"/>
    </row>
    <row x14ac:dyDescent="0.25" r="54" customHeight="1" ht="17.25">
      <c r="A54" s="7">
        <v>45726</v>
      </c>
      <c r="B54" s="9" t="s">
        <v>35</v>
      </c>
      <c r="C54" s="6">
        <v>43</v>
      </c>
      <c r="D54" s="4"/>
      <c r="E54" s="6">
        <f>E53+C54-D54</f>
      </c>
      <c r="F54" s="2"/>
    </row>
    <row x14ac:dyDescent="0.25" r="55" customHeight="1" ht="17.25">
      <c r="A55" s="7">
        <v>45726</v>
      </c>
      <c r="B55" s="9" t="s">
        <v>3</v>
      </c>
      <c r="C55" s="3"/>
      <c r="D55" s="6">
        <v>30</v>
      </c>
      <c r="E55" s="6">
        <f>E54+C55-D55</f>
      </c>
      <c r="F55" s="2"/>
    </row>
    <row x14ac:dyDescent="0.25" r="56" customHeight="1" ht="17.25">
      <c r="A56" s="7">
        <v>45726</v>
      </c>
      <c r="B56" s="9" t="s">
        <v>275</v>
      </c>
      <c r="C56" s="6">
        <v>31</v>
      </c>
      <c r="D56" s="4"/>
      <c r="E56" s="6">
        <f>E55+C56-D56</f>
      </c>
      <c r="F56" s="2"/>
    </row>
    <row x14ac:dyDescent="0.25" r="57" customHeight="1" ht="17.25">
      <c r="A57" s="8">
        <v>45726</v>
      </c>
      <c r="B57" s="9" t="s">
        <v>35</v>
      </c>
      <c r="C57" s="6">
        <v>40</v>
      </c>
      <c r="D57" s="4"/>
      <c r="E57" s="6">
        <f>E56+C57-D57</f>
      </c>
      <c r="F57" s="2"/>
    </row>
    <row x14ac:dyDescent="0.25" r="58" customHeight="1" ht="17.25">
      <c r="A58" s="7">
        <v>45727</v>
      </c>
      <c r="B58" s="9" t="s">
        <v>297</v>
      </c>
      <c r="C58" s="3"/>
      <c r="D58" s="6">
        <v>20</v>
      </c>
      <c r="E58" s="6">
        <f>E57+C58-D58</f>
      </c>
      <c r="F58" s="2"/>
    </row>
    <row x14ac:dyDescent="0.25" r="59" customHeight="1" ht="17.25">
      <c r="A59" s="8">
        <v>45727</v>
      </c>
      <c r="B59" s="9" t="s">
        <v>39</v>
      </c>
      <c r="C59" s="6">
        <v>28</v>
      </c>
      <c r="D59" s="4"/>
      <c r="E59" s="6">
        <f>E58+C59-D59</f>
      </c>
      <c r="F59" s="2"/>
    </row>
    <row x14ac:dyDescent="0.25" r="60" customHeight="1" ht="17.25">
      <c r="A60" s="8">
        <v>45727</v>
      </c>
      <c r="B60" s="9" t="s">
        <v>35</v>
      </c>
      <c r="C60" s="6">
        <v>45</v>
      </c>
      <c r="D60" s="4"/>
      <c r="E60" s="6">
        <f>E59+C60-D60</f>
      </c>
      <c r="F60" s="2"/>
    </row>
    <row x14ac:dyDescent="0.25" r="61" customHeight="1" ht="17.25">
      <c r="A61" s="8">
        <v>45728</v>
      </c>
      <c r="B61" s="9" t="s">
        <v>35</v>
      </c>
      <c r="C61" s="6">
        <v>4</v>
      </c>
      <c r="D61" s="4"/>
      <c r="E61" s="6">
        <f>E60+C61-D61</f>
      </c>
      <c r="F61" s="2"/>
    </row>
    <row x14ac:dyDescent="0.25" r="62" customHeight="1" ht="17.25">
      <c r="A62" s="7">
        <v>45729</v>
      </c>
      <c r="B62" s="9" t="s">
        <v>338</v>
      </c>
      <c r="C62" s="6">
        <v>28</v>
      </c>
      <c r="D62" s="4"/>
      <c r="E62" s="6">
        <f>E61+C62-D62</f>
      </c>
      <c r="F62" s="2"/>
    </row>
    <row x14ac:dyDescent="0.25" r="63" customHeight="1" ht="17.25">
      <c r="A63" s="7">
        <v>45730</v>
      </c>
      <c r="B63" s="9" t="s">
        <v>35</v>
      </c>
      <c r="C63" s="6">
        <v>12</v>
      </c>
      <c r="D63" s="4"/>
      <c r="E63" s="6">
        <f>E62+C63-D63</f>
      </c>
      <c r="F63" s="2"/>
    </row>
    <row x14ac:dyDescent="0.25" r="64" customHeight="1" ht="17.25">
      <c r="A64" s="7">
        <v>45733</v>
      </c>
      <c r="B64" s="9" t="s">
        <v>234</v>
      </c>
      <c r="C64" s="3"/>
      <c r="D64" s="6">
        <v>10</v>
      </c>
      <c r="E64" s="6">
        <f>E63+C64-D64</f>
      </c>
      <c r="F64" s="2"/>
    </row>
    <row x14ac:dyDescent="0.25" r="65" customHeight="1" ht="17.25">
      <c r="A65" s="8">
        <v>45733</v>
      </c>
      <c r="B65" s="9" t="s">
        <v>39</v>
      </c>
      <c r="C65" s="6">
        <v>4</v>
      </c>
      <c r="D65" s="4"/>
      <c r="E65" s="6">
        <f>E64+C65-D65</f>
      </c>
      <c r="F65" s="2"/>
    </row>
    <row x14ac:dyDescent="0.25" r="66" customHeight="1" ht="17.25">
      <c r="A66" s="7">
        <v>45735</v>
      </c>
      <c r="B66" s="9" t="s">
        <v>277</v>
      </c>
      <c r="C66" s="3"/>
      <c r="D66" s="6">
        <v>20</v>
      </c>
      <c r="E66" s="6">
        <f>E65+C66-D66</f>
      </c>
      <c r="F66" s="2"/>
    </row>
    <row x14ac:dyDescent="0.25" r="67" customHeight="1" ht="17.25">
      <c r="A67" s="8">
        <v>45735</v>
      </c>
      <c r="B67" s="9" t="s">
        <v>35</v>
      </c>
      <c r="C67" s="6">
        <v>2</v>
      </c>
      <c r="D67" s="4"/>
      <c r="E67" s="6">
        <f>E66+C67-D67</f>
      </c>
      <c r="F67" s="2"/>
    </row>
    <row x14ac:dyDescent="0.25" r="68" customHeight="1" ht="17.25">
      <c r="A68" s="7">
        <v>45736</v>
      </c>
      <c r="B68" s="9" t="s">
        <v>234</v>
      </c>
      <c r="C68" s="3"/>
      <c r="D68" s="6">
        <v>25</v>
      </c>
      <c r="E68" s="6">
        <f>E67+C68-D68</f>
      </c>
      <c r="F68" s="2"/>
    </row>
    <row x14ac:dyDescent="0.25" r="69" customHeight="1" ht="17.25">
      <c r="A69" s="8">
        <v>45737</v>
      </c>
      <c r="B69" s="9" t="s">
        <v>275</v>
      </c>
      <c r="C69" s="6">
        <v>29</v>
      </c>
      <c r="D69" s="4"/>
      <c r="E69" s="6">
        <f>E68+C69-D69</f>
      </c>
      <c r="F69" s="2"/>
    </row>
    <row x14ac:dyDescent="0.25" r="70" customHeight="1" ht="17.25">
      <c r="A70" s="7">
        <v>45737</v>
      </c>
      <c r="B70" s="9" t="s">
        <v>257</v>
      </c>
      <c r="C70" s="6">
        <v>59</v>
      </c>
      <c r="D70" s="4"/>
      <c r="E70" s="6">
        <f>E69+C70-D70</f>
      </c>
      <c r="F70" s="2"/>
    </row>
    <row x14ac:dyDescent="0.25" r="71" customHeight="1" ht="17.25">
      <c r="A71" s="7">
        <v>45737</v>
      </c>
      <c r="B71" s="9" t="s">
        <v>270</v>
      </c>
      <c r="C71" s="6">
        <v>3</v>
      </c>
      <c r="D71" s="4"/>
      <c r="E71" s="6">
        <f>E70+C71-D71</f>
      </c>
      <c r="F71" s="2"/>
    </row>
    <row x14ac:dyDescent="0.25" r="72" customHeight="1" ht="17.25">
      <c r="A72" s="8">
        <v>45738</v>
      </c>
      <c r="B72" s="9" t="s">
        <v>35</v>
      </c>
      <c r="C72" s="6">
        <v>25</v>
      </c>
      <c r="D72" s="4"/>
      <c r="E72" s="6">
        <f>E71+C72-D72</f>
      </c>
      <c r="F72" s="2"/>
    </row>
    <row x14ac:dyDescent="0.25" r="73" customHeight="1" ht="17.25">
      <c r="A73" s="8">
        <v>45738</v>
      </c>
      <c r="B73" s="9" t="s">
        <v>257</v>
      </c>
      <c r="C73" s="6">
        <v>7</v>
      </c>
      <c r="D73" s="4"/>
      <c r="E73" s="6">
        <f>E72+C73-D73</f>
      </c>
      <c r="F73" s="2"/>
    </row>
    <row x14ac:dyDescent="0.25" r="74" customHeight="1" ht="17.25">
      <c r="A74" s="8">
        <v>45740</v>
      </c>
      <c r="B74" s="9" t="s">
        <v>39</v>
      </c>
      <c r="C74" s="6">
        <v>14</v>
      </c>
      <c r="D74" s="4"/>
      <c r="E74" s="6">
        <f>E73+C74-D74</f>
      </c>
      <c r="F74" s="2"/>
    </row>
    <row x14ac:dyDescent="0.25" r="75" customHeight="1" ht="17.25">
      <c r="A75" s="8">
        <v>45740</v>
      </c>
      <c r="B75" s="9" t="s">
        <v>272</v>
      </c>
      <c r="C75" s="6">
        <v>1</v>
      </c>
      <c r="D75" s="4"/>
      <c r="E75" s="6">
        <f>E74+C75-D75</f>
      </c>
      <c r="F75" s="2"/>
    </row>
    <row x14ac:dyDescent="0.25" r="76" customHeight="1" ht="17.25">
      <c r="A76" s="8">
        <v>45741</v>
      </c>
      <c r="B76" s="9" t="s">
        <v>272</v>
      </c>
      <c r="C76" s="6">
        <v>6</v>
      </c>
      <c r="D76" s="4"/>
      <c r="E76" s="6">
        <f>E75+C76-D76</f>
      </c>
      <c r="F76" s="2"/>
    </row>
    <row x14ac:dyDescent="0.25" r="77" customHeight="1" ht="17.25">
      <c r="A77" s="7">
        <v>45754</v>
      </c>
      <c r="B77" s="9" t="s">
        <v>232</v>
      </c>
      <c r="C77" s="3"/>
      <c r="D77" s="6">
        <v>60</v>
      </c>
      <c r="E77" s="6">
        <f>E76+C77-D77</f>
      </c>
      <c r="F77" s="2" t="s">
        <v>340</v>
      </c>
    </row>
    <row x14ac:dyDescent="0.25" r="78" customHeight="1" ht="17.25">
      <c r="A78" s="7">
        <v>45756</v>
      </c>
      <c r="B78" s="9" t="s">
        <v>41</v>
      </c>
      <c r="C78" s="3"/>
      <c r="D78" s="6">
        <v>50</v>
      </c>
      <c r="E78" s="6">
        <f>E77+C78-D78</f>
      </c>
      <c r="F78" s="2"/>
    </row>
    <row x14ac:dyDescent="0.25" r="79" customHeight="1" ht="17.25">
      <c r="A79" s="7">
        <v>45757</v>
      </c>
      <c r="B79" s="9" t="s">
        <v>275</v>
      </c>
      <c r="C79" s="6">
        <v>108</v>
      </c>
      <c r="D79" s="4"/>
      <c r="E79" s="6">
        <f>E78+C79-D79</f>
      </c>
      <c r="F79" s="2"/>
    </row>
    <row x14ac:dyDescent="0.25" r="80" customHeight="1" ht="17.25">
      <c r="A80" s="7">
        <v>45758</v>
      </c>
      <c r="B80" s="9" t="s">
        <v>35</v>
      </c>
      <c r="C80" s="6">
        <v>47</v>
      </c>
      <c r="D80" s="4"/>
      <c r="E80" s="6">
        <f>E79+C80-D80</f>
      </c>
      <c r="F80" s="2"/>
    </row>
    <row x14ac:dyDescent="0.25" r="81" customHeight="1" ht="17.25">
      <c r="A81" s="7">
        <v>45764</v>
      </c>
      <c r="B81" s="9" t="s">
        <v>283</v>
      </c>
      <c r="C81" s="6">
        <v>11</v>
      </c>
      <c r="D81" s="4"/>
      <c r="E81" s="6">
        <f>E80+C81-D81</f>
      </c>
      <c r="F81" s="2"/>
    </row>
    <row x14ac:dyDescent="0.25" r="82" customHeight="1" ht="17.25">
      <c r="A82" s="7">
        <v>45764</v>
      </c>
      <c r="B82" s="9" t="s">
        <v>259</v>
      </c>
      <c r="C82" s="6">
        <v>4</v>
      </c>
      <c r="D82" s="4"/>
      <c r="E82" s="6">
        <f>E81+C82-D82</f>
      </c>
      <c r="F82" s="2"/>
    </row>
    <row x14ac:dyDescent="0.25" r="83" customHeight="1" ht="17.25">
      <c r="A83" s="8">
        <v>45764</v>
      </c>
      <c r="B83" s="9" t="s">
        <v>35</v>
      </c>
      <c r="C83" s="6">
        <v>28</v>
      </c>
      <c r="D83" s="4"/>
      <c r="E83" s="6">
        <f>E82+C83-D83</f>
      </c>
      <c r="F83" s="2"/>
    </row>
    <row x14ac:dyDescent="0.25" r="84" customHeight="1" ht="17.25">
      <c r="A84" s="8">
        <v>45768</v>
      </c>
      <c r="B84" s="9" t="s">
        <v>272</v>
      </c>
      <c r="C84" s="6">
        <v>2</v>
      </c>
      <c r="D84" s="4"/>
      <c r="E84" s="6">
        <f>E83+C84-D84</f>
      </c>
      <c r="F84" s="2"/>
    </row>
    <row x14ac:dyDescent="0.25" r="85" customHeight="1" ht="17.25">
      <c r="A85" s="8">
        <v>45769</v>
      </c>
      <c r="B85" s="9" t="s">
        <v>39</v>
      </c>
      <c r="C85" s="6">
        <v>32</v>
      </c>
      <c r="D85" s="4"/>
      <c r="E85" s="6">
        <f>E84+C85-D85</f>
      </c>
      <c r="F85" s="2"/>
    </row>
    <row x14ac:dyDescent="0.25" r="86" customHeight="1" ht="17.25">
      <c r="A86" s="8">
        <v>45769</v>
      </c>
      <c r="B86" s="9" t="s">
        <v>275</v>
      </c>
      <c r="C86" s="6">
        <v>25</v>
      </c>
      <c r="D86" s="4"/>
      <c r="E86" s="6">
        <f>E85+C86-D86</f>
      </c>
      <c r="F86" s="2"/>
    </row>
    <row x14ac:dyDescent="0.25" r="87" customHeight="1" ht="17.25">
      <c r="A87" s="7">
        <v>45771</v>
      </c>
      <c r="B87" s="9" t="s">
        <v>284</v>
      </c>
      <c r="C87" s="3"/>
      <c r="D87" s="6">
        <v>150</v>
      </c>
      <c r="E87" s="6">
        <f>E86+C87-D87</f>
      </c>
      <c r="F87" s="2"/>
    </row>
    <row x14ac:dyDescent="0.25" r="88" customHeight="1" ht="17.25">
      <c r="A88" s="8">
        <v>45773</v>
      </c>
      <c r="B88" s="9" t="s">
        <v>287</v>
      </c>
      <c r="C88" s="3"/>
      <c r="D88" s="6">
        <v>6</v>
      </c>
      <c r="E88" s="6">
        <f>E87+C88-D88</f>
      </c>
      <c r="F88" s="2"/>
    </row>
    <row x14ac:dyDescent="0.25" r="89" customHeight="1" ht="17.25">
      <c r="A89" s="8">
        <v>45776</v>
      </c>
      <c r="B89" s="9" t="s">
        <v>288</v>
      </c>
      <c r="C89" s="6">
        <v>20</v>
      </c>
      <c r="D89" s="4"/>
      <c r="E89" s="6">
        <f>E88+C89-D89</f>
      </c>
      <c r="F89" s="2"/>
    </row>
    <row x14ac:dyDescent="0.25" r="90" customHeight="1" ht="17.25">
      <c r="A90" s="7">
        <v>45777</v>
      </c>
      <c r="B90" s="9" t="s">
        <v>275</v>
      </c>
      <c r="C90" s="6">
        <v>29</v>
      </c>
      <c r="D90" s="4"/>
      <c r="E90" s="6">
        <f>E89+C90-D90</f>
      </c>
      <c r="F90" s="2"/>
    </row>
    <row x14ac:dyDescent="0.25" r="91" customHeight="1" ht="17.25">
      <c r="A91" s="8">
        <v>45779</v>
      </c>
      <c r="B91" s="9" t="s">
        <v>241</v>
      </c>
      <c r="C91" s="3"/>
      <c r="D91" s="6">
        <v>100</v>
      </c>
      <c r="E91" s="6">
        <f>E90+C91-D91</f>
      </c>
      <c r="F91" s="2"/>
    </row>
    <row x14ac:dyDescent="0.25" r="92" customHeight="1" ht="17.25">
      <c r="A92" s="8">
        <v>45779</v>
      </c>
      <c r="B92" s="9" t="s">
        <v>272</v>
      </c>
      <c r="C92" s="6">
        <v>2</v>
      </c>
      <c r="D92" s="4"/>
      <c r="E92" s="6">
        <f>E91+C92-D92</f>
      </c>
      <c r="F92" s="2"/>
    </row>
    <row x14ac:dyDescent="0.25" r="93" customHeight="1" ht="17.25">
      <c r="A93" s="7">
        <v>45780</v>
      </c>
      <c r="B93" s="9" t="s">
        <v>297</v>
      </c>
      <c r="C93" s="3"/>
      <c r="D93" s="6">
        <v>15</v>
      </c>
      <c r="E93" s="6">
        <f>E92+C93-D93</f>
      </c>
      <c r="F93" s="2"/>
    </row>
    <row x14ac:dyDescent="0.25" r="94" customHeight="1" ht="17.25">
      <c r="A94" s="7">
        <v>45782</v>
      </c>
      <c r="B94" s="9" t="s">
        <v>284</v>
      </c>
      <c r="C94" s="3"/>
      <c r="D94" s="6">
        <v>120</v>
      </c>
      <c r="E94" s="6">
        <f>E93+C94-D94</f>
      </c>
      <c r="F94" s="2"/>
    </row>
    <row x14ac:dyDescent="0.25" r="95" customHeight="1" ht="17.25">
      <c r="A95" s="8">
        <v>45782</v>
      </c>
      <c r="B95" s="9" t="s">
        <v>341</v>
      </c>
      <c r="C95" s="3"/>
      <c r="D95" s="6">
        <v>48</v>
      </c>
      <c r="E95" s="6">
        <f>E94+C95-D95</f>
      </c>
      <c r="F95" s="2"/>
    </row>
    <row x14ac:dyDescent="0.25" r="96" customHeight="1" ht="17.25">
      <c r="A96" s="8">
        <v>45784</v>
      </c>
      <c r="B96" s="9" t="s">
        <v>262</v>
      </c>
      <c r="C96" s="3"/>
      <c r="D96" s="6">
        <v>10</v>
      </c>
      <c r="E96" s="6">
        <f>E95+C96-D96</f>
      </c>
      <c r="F96" s="2"/>
    </row>
    <row x14ac:dyDescent="0.25" r="97" customHeight="1" ht="17.25">
      <c r="A97" s="7">
        <v>45785</v>
      </c>
      <c r="B97" s="9" t="s">
        <v>28</v>
      </c>
      <c r="C97" s="6">
        <v>20</v>
      </c>
      <c r="D97" s="4"/>
      <c r="E97" s="6">
        <f>E96+C97-D97</f>
      </c>
      <c r="F97" s="2"/>
    </row>
    <row x14ac:dyDescent="0.25" r="98" customHeight="1" ht="17.25">
      <c r="A98" s="7">
        <v>45791</v>
      </c>
      <c r="B98" s="9" t="s">
        <v>28</v>
      </c>
      <c r="C98" s="6">
        <v>18</v>
      </c>
      <c r="D98" s="4"/>
      <c r="E98" s="6">
        <f>E97+C98-D98</f>
      </c>
      <c r="F98" s="2"/>
    </row>
    <row x14ac:dyDescent="0.25" r="99" customHeight="1" ht="17.25">
      <c r="A99" s="8">
        <v>45792</v>
      </c>
      <c r="B99" s="9" t="s">
        <v>35</v>
      </c>
      <c r="C99" s="3"/>
      <c r="D99" s="6">
        <v>20</v>
      </c>
      <c r="E99" s="6">
        <f>E98+C99-D99</f>
      </c>
      <c r="F99" s="2"/>
    </row>
    <row x14ac:dyDescent="0.25" r="100" customHeight="1" ht="17.25">
      <c r="A100" s="8">
        <v>45794</v>
      </c>
      <c r="B100" s="9" t="s">
        <v>35</v>
      </c>
      <c r="C100" s="3"/>
      <c r="D100" s="6">
        <v>20</v>
      </c>
      <c r="E100" s="6">
        <f>E99+C100-D100</f>
      </c>
      <c r="F100" s="2"/>
    </row>
    <row x14ac:dyDescent="0.25" r="101" customHeight="1" ht="17.25">
      <c r="A101" s="7">
        <v>45797</v>
      </c>
      <c r="B101" s="9" t="s">
        <v>241</v>
      </c>
      <c r="C101" s="3"/>
      <c r="D101" s="6">
        <v>40</v>
      </c>
      <c r="E101" s="6">
        <f>E100+C101-D101</f>
      </c>
      <c r="F101" s="2"/>
    </row>
    <row x14ac:dyDescent="0.25" r="102" customHeight="1" ht="17.25">
      <c r="A102" s="8">
        <v>45797</v>
      </c>
      <c r="B102" s="9" t="s">
        <v>42</v>
      </c>
      <c r="C102" s="3"/>
      <c r="D102" s="6">
        <v>10</v>
      </c>
      <c r="E102" s="6">
        <f>E101+C102-D102</f>
      </c>
      <c r="F102" s="2"/>
    </row>
    <row x14ac:dyDescent="0.25" r="103" customHeight="1" ht="17.25">
      <c r="A103" s="8">
        <v>45797</v>
      </c>
      <c r="B103" s="9" t="s">
        <v>35</v>
      </c>
      <c r="C103" s="3"/>
      <c r="D103" s="6">
        <v>7</v>
      </c>
      <c r="E103" s="6">
        <f>E102+C103-D103</f>
      </c>
      <c r="F103" s="2"/>
    </row>
    <row x14ac:dyDescent="0.25" r="104" customHeight="1" ht="17.25">
      <c r="A104" s="8">
        <v>45798</v>
      </c>
      <c r="B104" s="9" t="s">
        <v>284</v>
      </c>
      <c r="C104" s="3"/>
      <c r="D104" s="6">
        <v>50</v>
      </c>
      <c r="E104" s="6">
        <f>E103+C104-D104</f>
      </c>
      <c r="F104" s="2"/>
    </row>
    <row x14ac:dyDescent="0.25" r="105" customHeight="1" ht="17.25">
      <c r="A105" s="7">
        <v>45800</v>
      </c>
      <c r="B105" s="9" t="s">
        <v>35</v>
      </c>
      <c r="C105" s="3"/>
      <c r="D105" s="6">
        <v>40</v>
      </c>
      <c r="E105" s="6">
        <f>E104+C105-D105</f>
      </c>
      <c r="F105" s="2"/>
    </row>
    <row x14ac:dyDescent="0.25" r="106" customHeight="1" ht="17.25">
      <c r="A106" s="8">
        <v>45801</v>
      </c>
      <c r="B106" s="9" t="s">
        <v>241</v>
      </c>
      <c r="C106" s="3"/>
      <c r="D106" s="6">
        <v>50</v>
      </c>
      <c r="E106" s="6">
        <f>E105+C106-D106</f>
      </c>
      <c r="F106" s="2"/>
    </row>
    <row x14ac:dyDescent="0.25" r="107" customHeight="1" ht="17.25">
      <c r="A107" s="8">
        <v>45808</v>
      </c>
      <c r="B107" s="9" t="s">
        <v>272</v>
      </c>
      <c r="C107" s="6">
        <v>3</v>
      </c>
      <c r="D107" s="4"/>
      <c r="E107" s="6">
        <f>E106+C107-D107</f>
      </c>
      <c r="F107" s="2"/>
    </row>
    <row x14ac:dyDescent="0.25" r="108" customHeight="1" ht="17.25">
      <c r="A108" s="7">
        <v>45810</v>
      </c>
      <c r="B108" s="9" t="s">
        <v>275</v>
      </c>
      <c r="C108" s="6">
        <v>28</v>
      </c>
      <c r="D108" s="4"/>
      <c r="E108" s="6">
        <f>E107+C108-D108</f>
      </c>
      <c r="F108" s="2"/>
    </row>
    <row x14ac:dyDescent="0.25" r="109" customHeight="1" ht="17.25">
      <c r="A109" s="7">
        <v>45812</v>
      </c>
      <c r="B109" s="9" t="s">
        <v>42</v>
      </c>
      <c r="C109" s="3"/>
      <c r="D109" s="6">
        <v>40</v>
      </c>
      <c r="E109" s="6">
        <f>E108+C109-D109</f>
      </c>
      <c r="F109" s="2"/>
    </row>
    <row x14ac:dyDescent="0.25" r="110" customHeight="1" ht="17.25">
      <c r="A110" s="7">
        <v>45813</v>
      </c>
      <c r="B110" s="9" t="s">
        <v>3</v>
      </c>
      <c r="C110" s="3"/>
      <c r="D110" s="6">
        <v>20</v>
      </c>
      <c r="E110" s="6">
        <f>E109+C110-D110</f>
      </c>
      <c r="F110" s="2"/>
    </row>
    <row x14ac:dyDescent="0.25" r="111" customHeight="1" ht="17.25">
      <c r="A111" s="7">
        <v>45813</v>
      </c>
      <c r="B111" s="9" t="s">
        <v>284</v>
      </c>
      <c r="C111" s="3"/>
      <c r="D111" s="6">
        <v>30</v>
      </c>
      <c r="E111" s="6">
        <f>E110+C111-D111</f>
      </c>
      <c r="F111" s="2"/>
    </row>
    <row x14ac:dyDescent="0.25" r="112" customHeight="1" ht="17.25">
      <c r="A112" s="7">
        <v>45815</v>
      </c>
      <c r="B112" s="9" t="s">
        <v>284</v>
      </c>
      <c r="C112" s="3"/>
      <c r="D112" s="6">
        <v>30</v>
      </c>
      <c r="E112" s="6">
        <f>E111+C112-D112</f>
      </c>
      <c r="F112" s="2"/>
    </row>
    <row x14ac:dyDescent="0.25" r="113" customHeight="1" ht="17.25">
      <c r="A113" s="8">
        <v>45817</v>
      </c>
      <c r="B113" s="9" t="s">
        <v>284</v>
      </c>
      <c r="C113" s="3"/>
      <c r="D113" s="6">
        <v>50</v>
      </c>
      <c r="E113" s="6">
        <f>E112+C113-D113</f>
      </c>
      <c r="F113" s="2"/>
    </row>
    <row x14ac:dyDescent="0.25" r="114" customHeight="1" ht="17.25">
      <c r="A114" s="8">
        <v>45817</v>
      </c>
      <c r="B114" s="9" t="s">
        <v>272</v>
      </c>
      <c r="C114" s="6">
        <v>15</v>
      </c>
      <c r="D114" s="4"/>
      <c r="E114" s="6">
        <f>E113+C114-D114</f>
      </c>
      <c r="F114" s="2"/>
    </row>
    <row x14ac:dyDescent="0.25" r="115" customHeight="1" ht="17.25">
      <c r="A115" s="7">
        <v>45818</v>
      </c>
      <c r="B115" s="9" t="s">
        <v>232</v>
      </c>
      <c r="C115" s="3"/>
      <c r="D115" s="6">
        <v>100</v>
      </c>
      <c r="E115" s="6">
        <f>E114+C115-D115</f>
      </c>
      <c r="F115" s="2"/>
    </row>
    <row x14ac:dyDescent="0.25" r="116" customHeight="1" ht="17.25">
      <c r="A116" s="7">
        <v>45819</v>
      </c>
      <c r="B116" s="9" t="s">
        <v>284</v>
      </c>
      <c r="C116" s="3"/>
      <c r="D116" s="6">
        <v>90</v>
      </c>
      <c r="E116" s="6">
        <f>E115+C116-D116</f>
      </c>
      <c r="F116" s="2"/>
    </row>
    <row x14ac:dyDescent="0.25" r="117" customHeight="1" ht="17.25">
      <c r="A117" s="7">
        <v>45819</v>
      </c>
      <c r="B117" s="9" t="s">
        <v>333</v>
      </c>
      <c r="C117" s="3"/>
      <c r="D117" s="6">
        <v>20</v>
      </c>
      <c r="E117" s="6">
        <f>E116+C117-D117</f>
      </c>
      <c r="F117" s="2"/>
    </row>
    <row x14ac:dyDescent="0.25" r="118" customHeight="1" ht="17.25">
      <c r="A118" s="8">
        <v>45821</v>
      </c>
      <c r="B118" s="9" t="s">
        <v>342</v>
      </c>
      <c r="C118" s="3"/>
      <c r="D118" s="6">
        <v>3</v>
      </c>
      <c r="E118" s="6">
        <f>E117+C118-D118</f>
      </c>
      <c r="F118" s="2"/>
    </row>
    <row x14ac:dyDescent="0.25" r="119" customHeight="1" ht="17.25">
      <c r="A119" s="7">
        <v>45824</v>
      </c>
      <c r="B119" s="9" t="s">
        <v>272</v>
      </c>
      <c r="C119" s="6">
        <v>16</v>
      </c>
      <c r="D119" s="4"/>
      <c r="E119" s="6">
        <f>E118+C119-D119</f>
      </c>
      <c r="F119" s="2"/>
    </row>
    <row x14ac:dyDescent="0.25" r="120" customHeight="1" ht="17.25">
      <c r="A120" s="7">
        <v>45826</v>
      </c>
      <c r="B120" s="9" t="s">
        <v>234</v>
      </c>
      <c r="C120" s="6">
        <v>25</v>
      </c>
      <c r="D120" s="4"/>
      <c r="E120" s="6">
        <f>E119+C120-D120</f>
      </c>
      <c r="F120" s="2"/>
    </row>
    <row x14ac:dyDescent="0.25" r="121" customHeight="1" ht="17.25">
      <c r="A121" s="8">
        <v>45833</v>
      </c>
      <c r="B121" s="9" t="s">
        <v>272</v>
      </c>
      <c r="C121" s="6">
        <v>38</v>
      </c>
      <c r="D121" s="4"/>
      <c r="E121" s="6">
        <f>E120+C121-D121</f>
      </c>
      <c r="F121" s="2"/>
    </row>
    <row x14ac:dyDescent="0.25" r="122" customHeight="1" ht="17.25">
      <c r="A122" s="7">
        <v>45834</v>
      </c>
      <c r="B122" s="9" t="s">
        <v>232</v>
      </c>
      <c r="C122" s="3"/>
      <c r="D122" s="6">
        <v>50</v>
      </c>
      <c r="E122" s="6">
        <f>E121+C122-D122</f>
      </c>
      <c r="F122" s="2"/>
    </row>
    <row x14ac:dyDescent="0.25" r="123" customHeight="1" ht="17.25">
      <c r="A123" s="7">
        <v>45840</v>
      </c>
      <c r="B123" s="9" t="s">
        <v>3</v>
      </c>
      <c r="C123" s="3"/>
      <c r="D123" s="6">
        <v>30</v>
      </c>
      <c r="E123" s="6">
        <f>E122+C123-D123</f>
      </c>
      <c r="F123" s="2"/>
    </row>
    <row x14ac:dyDescent="0.25" r="124" customHeight="1" ht="17.25">
      <c r="A124" s="7">
        <v>45841</v>
      </c>
      <c r="B124" s="9" t="s">
        <v>284</v>
      </c>
      <c r="C124" s="3"/>
      <c r="D124" s="6">
        <v>50</v>
      </c>
      <c r="E124" s="6">
        <f>E123+C124-D124</f>
      </c>
      <c r="F124" s="2"/>
    </row>
    <row x14ac:dyDescent="0.25" r="125" customHeight="1" ht="17.25">
      <c r="A125" s="8">
        <v>45843</v>
      </c>
      <c r="B125" s="9" t="s">
        <v>284</v>
      </c>
      <c r="C125" s="3"/>
      <c r="D125" s="6">
        <v>150</v>
      </c>
      <c r="E125" s="6">
        <f>E124+C125-D125</f>
      </c>
      <c r="F125" s="2"/>
    </row>
    <row x14ac:dyDescent="0.25" r="126" customHeight="1" ht="17.25">
      <c r="A126" s="8">
        <v>45845</v>
      </c>
      <c r="B126" s="9" t="s">
        <v>343</v>
      </c>
      <c r="C126" s="3"/>
      <c r="D126" s="6">
        <v>4</v>
      </c>
      <c r="E126" s="6">
        <f>E125+C126-D126</f>
      </c>
      <c r="F126" s="2"/>
    </row>
    <row x14ac:dyDescent="0.25" r="127" customHeight="1" ht="17.25">
      <c r="A127" s="7">
        <v>45845</v>
      </c>
      <c r="B127" s="9" t="s">
        <v>284</v>
      </c>
      <c r="C127" s="3"/>
      <c r="D127" s="6">
        <v>100</v>
      </c>
      <c r="E127" s="6">
        <f>E126+C127-D127</f>
      </c>
      <c r="F127" s="2"/>
    </row>
    <row x14ac:dyDescent="0.25" r="128" customHeight="1" ht="17.25">
      <c r="A128" s="7">
        <v>45847</v>
      </c>
      <c r="B128" s="9" t="s">
        <v>275</v>
      </c>
      <c r="C128" s="6">
        <v>34</v>
      </c>
      <c r="D128" s="4"/>
      <c r="E128" s="6">
        <f>E127+C128-D128</f>
      </c>
      <c r="F128" s="2"/>
    </row>
    <row x14ac:dyDescent="0.25" r="129" customHeight="1" ht="17.25">
      <c r="A129" s="7">
        <v>45847</v>
      </c>
      <c r="B129" s="9" t="s">
        <v>293</v>
      </c>
      <c r="C129" s="3"/>
      <c r="D129" s="6">
        <v>50</v>
      </c>
      <c r="E129" s="6">
        <f>E128+C129-D129</f>
      </c>
      <c r="F129" s="2"/>
    </row>
    <row x14ac:dyDescent="0.25" r="130" customHeight="1" ht="17.25">
      <c r="A130" s="8">
        <v>45853</v>
      </c>
      <c r="B130" s="9" t="s">
        <v>47</v>
      </c>
      <c r="C130" s="3"/>
      <c r="D130" s="6">
        <v>100</v>
      </c>
      <c r="E130" s="6">
        <f>E129+C130-D130</f>
      </c>
      <c r="F130" s="2"/>
    </row>
    <row x14ac:dyDescent="0.25" r="131" customHeight="1" ht="17.25">
      <c r="A131" s="7">
        <v>45854</v>
      </c>
      <c r="B131" s="9" t="s">
        <v>47</v>
      </c>
      <c r="C131" s="6">
        <v>10</v>
      </c>
      <c r="D131" s="4"/>
      <c r="E131" s="6">
        <f>E130+C131-D131</f>
      </c>
      <c r="F131" s="2"/>
    </row>
    <row x14ac:dyDescent="0.25" r="132" customHeight="1" ht="17.25">
      <c r="A132" s="8">
        <v>45855</v>
      </c>
      <c r="B132" s="9" t="s">
        <v>233</v>
      </c>
      <c r="C132" s="3"/>
      <c r="D132" s="6">
        <v>24</v>
      </c>
      <c r="E132" s="6">
        <f>E131+C132-D132</f>
      </c>
      <c r="F132" s="2"/>
    </row>
    <row x14ac:dyDescent="0.25" r="133" customHeight="1" ht="17.25">
      <c r="A133" s="7">
        <v>45855</v>
      </c>
      <c r="B133" s="9" t="s">
        <v>47</v>
      </c>
      <c r="C133" s="3"/>
      <c r="D133" s="6">
        <v>10</v>
      </c>
      <c r="E133" s="6">
        <f>E132+C133-D133</f>
      </c>
      <c r="F133" s="2"/>
    </row>
    <row x14ac:dyDescent="0.25" r="134" customHeight="1" ht="17.25">
      <c r="A134" s="8">
        <v>45856</v>
      </c>
      <c r="B134" s="9" t="s">
        <v>183</v>
      </c>
      <c r="C134" s="3"/>
      <c r="D134" s="6">
        <v>4</v>
      </c>
      <c r="E134" s="6">
        <f>E133+C134-D134</f>
      </c>
      <c r="F134" s="2"/>
    </row>
    <row x14ac:dyDescent="0.25" r="135" customHeight="1" ht="17.25">
      <c r="A135" s="7">
        <v>45856</v>
      </c>
      <c r="B135" s="9" t="s">
        <v>233</v>
      </c>
      <c r="C135" s="3"/>
      <c r="D135" s="6">
        <v>1</v>
      </c>
      <c r="E135" s="6">
        <f>E134+C135-D135</f>
      </c>
      <c r="F135" s="2"/>
    </row>
    <row x14ac:dyDescent="0.25" r="136" customHeight="1" ht="17.25">
      <c r="A136" s="8">
        <v>45860</v>
      </c>
      <c r="B136" s="9" t="s">
        <v>42</v>
      </c>
      <c r="C136" s="6">
        <v>16</v>
      </c>
      <c r="D136" s="4"/>
      <c r="E136" s="6">
        <f>E135+C136-D136</f>
      </c>
      <c r="F136" s="2"/>
    </row>
    <row x14ac:dyDescent="0.25" r="137" customHeight="1" ht="17.25">
      <c r="A137" s="7">
        <v>45860</v>
      </c>
      <c r="B137" s="9" t="s">
        <v>257</v>
      </c>
      <c r="C137" s="6">
        <v>2</v>
      </c>
      <c r="D137" s="4"/>
      <c r="E137" s="6">
        <f>E136+C137-D137</f>
      </c>
      <c r="F137" s="2"/>
    </row>
    <row x14ac:dyDescent="0.25" r="138" customHeight="1" ht="17.25">
      <c r="A138" s="8">
        <v>45861</v>
      </c>
      <c r="B138" s="9" t="s">
        <v>342</v>
      </c>
      <c r="C138" s="6">
        <v>3</v>
      </c>
      <c r="D138" s="4"/>
      <c r="E138" s="6">
        <f>E137+C138-D138</f>
      </c>
      <c r="F138" s="2"/>
    </row>
    <row x14ac:dyDescent="0.25" r="139" customHeight="1" ht="17.25">
      <c r="A139" s="7">
        <v>45862</v>
      </c>
      <c r="B139" s="9" t="s">
        <v>232</v>
      </c>
      <c r="C139" s="3"/>
      <c r="D139" s="6">
        <v>20</v>
      </c>
      <c r="E139" s="6">
        <f>E138+C139-D139</f>
      </c>
      <c r="F139" s="2"/>
    </row>
    <row x14ac:dyDescent="0.25" r="140" customHeight="1" ht="17.25">
      <c r="A140" s="8">
        <v>45864</v>
      </c>
      <c r="B140" s="9" t="s">
        <v>233</v>
      </c>
      <c r="C140" s="3"/>
      <c r="D140" s="6">
        <v>50</v>
      </c>
      <c r="E140" s="6">
        <f>E139+C140-D140</f>
      </c>
      <c r="F140" s="2"/>
    </row>
    <row x14ac:dyDescent="0.25" r="141" customHeight="1" ht="17.25">
      <c r="A141" s="1"/>
      <c r="B141" s="9" t="s">
        <v>344</v>
      </c>
      <c r="C141" s="3"/>
      <c r="D141" s="4"/>
      <c r="E141" s="6">
        <f>E140+C141-D141</f>
      </c>
      <c r="F141" s="2"/>
    </row>
    <row x14ac:dyDescent="0.25" r="142" customHeight="1" ht="17.25">
      <c r="A142" s="7">
        <v>45864</v>
      </c>
      <c r="B142" s="9" t="s">
        <v>47</v>
      </c>
      <c r="C142" s="3"/>
      <c r="D142" s="6">
        <v>35</v>
      </c>
      <c r="E142" s="6">
        <f>E141+C142-D142</f>
      </c>
      <c r="F142" s="2"/>
    </row>
    <row x14ac:dyDescent="0.25" r="143" customHeight="1" ht="17.25">
      <c r="A143" s="8">
        <v>45865</v>
      </c>
      <c r="B143" s="9" t="s">
        <v>232</v>
      </c>
      <c r="C143" s="3"/>
      <c r="D143" s="6">
        <v>50</v>
      </c>
      <c r="E143" s="6">
        <f>E142+C143-D143</f>
      </c>
      <c r="F143" s="2"/>
    </row>
    <row x14ac:dyDescent="0.25" r="144" customHeight="1" ht="17.25">
      <c r="A144" s="8">
        <v>45865</v>
      </c>
      <c r="B144" s="9" t="s">
        <v>232</v>
      </c>
      <c r="C144" s="3"/>
      <c r="D144" s="6">
        <v>80</v>
      </c>
      <c r="E144" s="6">
        <f>E143+C144-D144</f>
      </c>
      <c r="F144" s="2"/>
    </row>
    <row x14ac:dyDescent="0.25" r="145" customHeight="1" ht="17.25">
      <c r="A145" s="7">
        <v>45866</v>
      </c>
      <c r="B145" s="9" t="s">
        <v>232</v>
      </c>
      <c r="C145" s="3"/>
      <c r="D145" s="6">
        <v>70</v>
      </c>
      <c r="E145" s="6">
        <f>E144+C145-D145</f>
      </c>
      <c r="F145" s="2"/>
    </row>
    <row x14ac:dyDescent="0.25" r="146" customHeight="1" ht="17.25">
      <c r="A146" s="8">
        <v>45867</v>
      </c>
      <c r="B146" s="9" t="s">
        <v>3</v>
      </c>
      <c r="C146" s="3"/>
      <c r="D146" s="6">
        <v>50</v>
      </c>
      <c r="E146" s="6">
        <f>E145+C146-D146</f>
      </c>
      <c r="F146" s="2"/>
    </row>
    <row x14ac:dyDescent="0.25" r="147" customHeight="1" ht="17.25">
      <c r="A147" s="7">
        <v>45869</v>
      </c>
      <c r="B147" s="9" t="s">
        <v>345</v>
      </c>
      <c r="C147" s="3"/>
      <c r="D147" s="6">
        <v>12</v>
      </c>
      <c r="E147" s="6">
        <f>E146+C147-D147</f>
      </c>
      <c r="F147" s="2"/>
    </row>
    <row x14ac:dyDescent="0.25" r="148" customHeight="1" ht="17.25">
      <c r="A148" s="7">
        <v>45869</v>
      </c>
      <c r="B148" s="9" t="s">
        <v>47</v>
      </c>
      <c r="C148" s="3"/>
      <c r="D148" s="6">
        <v>70</v>
      </c>
      <c r="E148" s="6">
        <f>E147+C148-D148</f>
      </c>
      <c r="F148" s="2"/>
    </row>
    <row x14ac:dyDescent="0.25" r="149" customHeight="1" ht="17.25">
      <c r="A149" s="7">
        <v>45870</v>
      </c>
      <c r="B149" s="9" t="s">
        <v>35</v>
      </c>
      <c r="C149" s="6">
        <v>32</v>
      </c>
      <c r="D149" s="4"/>
      <c r="E149" s="6">
        <f>E148+C149-D149</f>
      </c>
      <c r="F149" s="2"/>
    </row>
    <row x14ac:dyDescent="0.25" r="150" customHeight="1" ht="17.25">
      <c r="A150" s="7">
        <v>45873</v>
      </c>
      <c r="B150" s="9" t="s">
        <v>306</v>
      </c>
      <c r="C150" s="3"/>
      <c r="D150" s="6">
        <v>10</v>
      </c>
      <c r="E150" s="6">
        <f>E149+C150-D150</f>
      </c>
      <c r="F150" s="2"/>
    </row>
    <row x14ac:dyDescent="0.25" r="151" customHeight="1" ht="17.25">
      <c r="A151" s="7">
        <v>45873</v>
      </c>
      <c r="B151" s="9" t="s">
        <v>275</v>
      </c>
      <c r="C151" s="6">
        <v>52</v>
      </c>
      <c r="D151" s="4"/>
      <c r="E151" s="6">
        <f>E150+C151-D151</f>
      </c>
      <c r="F151" s="2"/>
    </row>
    <row x14ac:dyDescent="0.25" r="152" customHeight="1" ht="17.25">
      <c r="A152" s="7">
        <v>45874</v>
      </c>
      <c r="B152" s="9" t="s">
        <v>287</v>
      </c>
      <c r="C152" s="6">
        <v>6</v>
      </c>
      <c r="D152" s="4"/>
      <c r="E152" s="6">
        <f>E151+C152-D152</f>
      </c>
      <c r="F152" s="2"/>
    </row>
    <row x14ac:dyDescent="0.25" r="153" customHeight="1" ht="17.25">
      <c r="A153" s="8">
        <v>45876</v>
      </c>
      <c r="B153" s="9" t="s">
        <v>308</v>
      </c>
      <c r="C153" s="3"/>
      <c r="D153" s="6">
        <v>24</v>
      </c>
      <c r="E153" s="6">
        <f>E152+C153-D153</f>
      </c>
      <c r="F153" s="2"/>
    </row>
    <row x14ac:dyDescent="0.25" r="154" customHeight="1" ht="17.25">
      <c r="A154" s="7">
        <v>45876</v>
      </c>
      <c r="B154" s="9" t="s">
        <v>35</v>
      </c>
      <c r="C154" s="6">
        <v>43</v>
      </c>
      <c r="D154" s="4"/>
      <c r="E154" s="6">
        <f>E153+C154-D154</f>
      </c>
      <c r="F154" s="2"/>
    </row>
    <row x14ac:dyDescent="0.25" r="155" customHeight="1" ht="17.25">
      <c r="A155" s="7">
        <v>45877</v>
      </c>
      <c r="B155" s="9" t="s">
        <v>3</v>
      </c>
      <c r="C155" s="3"/>
      <c r="D155" s="6">
        <v>30</v>
      </c>
      <c r="E155" s="6">
        <f>E154+C155-D155</f>
      </c>
      <c r="F155" s="2"/>
    </row>
    <row x14ac:dyDescent="0.25" r="156" customHeight="1" ht="17.25">
      <c r="A156" s="8">
        <v>45877</v>
      </c>
      <c r="B156" s="9" t="s">
        <v>234</v>
      </c>
      <c r="C156" s="3"/>
      <c r="D156" s="6">
        <v>60</v>
      </c>
      <c r="E156" s="6">
        <f>E155+C156-D156</f>
      </c>
      <c r="F156" s="2"/>
    </row>
    <row x14ac:dyDescent="0.25" r="157" customHeight="1" ht="17.25">
      <c r="A157" s="7">
        <v>45877</v>
      </c>
      <c r="B157" s="9" t="s">
        <v>308</v>
      </c>
      <c r="C157" s="3"/>
      <c r="D157" s="6">
        <v>6</v>
      </c>
      <c r="E157" s="6">
        <f>E156+C157-D157</f>
      </c>
      <c r="F157" s="2"/>
    </row>
    <row x14ac:dyDescent="0.25" r="158" customHeight="1" ht="17.25">
      <c r="A158" s="7">
        <v>45877</v>
      </c>
      <c r="B158" s="9" t="s">
        <v>35</v>
      </c>
      <c r="C158" s="6">
        <v>102</v>
      </c>
      <c r="D158" s="4"/>
      <c r="E158" s="6">
        <f>E157+C158-D158</f>
      </c>
      <c r="F158" s="2"/>
    </row>
    <row x14ac:dyDescent="0.25" r="159" customHeight="1" ht="17.25">
      <c r="A159" s="7">
        <v>45877</v>
      </c>
      <c r="B159" s="9" t="s">
        <v>232</v>
      </c>
      <c r="C159" s="6">
        <v>20</v>
      </c>
      <c r="D159" s="4"/>
      <c r="E159" s="6">
        <f>E158+C159-D159</f>
      </c>
      <c r="F159" s="2"/>
    </row>
    <row x14ac:dyDescent="0.25" r="160" customHeight="1" ht="17.25">
      <c r="A160" s="7">
        <v>45880</v>
      </c>
      <c r="B160" s="9" t="s">
        <v>233</v>
      </c>
      <c r="C160" s="3"/>
      <c r="D160" s="6">
        <v>30</v>
      </c>
      <c r="E160" s="6">
        <f>E159+C160-D160</f>
      </c>
      <c r="F160" s="2"/>
    </row>
    <row x14ac:dyDescent="0.25" r="161" customHeight="1" ht="17.25">
      <c r="A161" s="7">
        <v>45882</v>
      </c>
      <c r="B161" s="9" t="s">
        <v>256</v>
      </c>
      <c r="C161" s="3"/>
      <c r="D161" s="6">
        <v>15</v>
      </c>
      <c r="E161" s="6">
        <f>E160+C161-D161</f>
      </c>
      <c r="F161" s="2"/>
    </row>
    <row x14ac:dyDescent="0.25" r="162" customHeight="1" ht="17.25">
      <c r="A162" s="7">
        <v>45883</v>
      </c>
      <c r="B162" s="9" t="s">
        <v>241</v>
      </c>
      <c r="C162" s="6">
        <v>106</v>
      </c>
      <c r="D162" s="4"/>
      <c r="E162" s="6">
        <f>E161+C162-D162</f>
      </c>
      <c r="F162" s="2"/>
    </row>
    <row x14ac:dyDescent="0.25" r="163" customHeight="1" ht="17.25">
      <c r="A163" s="7">
        <v>45885</v>
      </c>
      <c r="B163" s="9" t="s">
        <v>47</v>
      </c>
      <c r="C163" s="6">
        <v>3</v>
      </c>
      <c r="D163" s="4"/>
      <c r="E163" s="6">
        <f>E162+C163-D163</f>
      </c>
      <c r="F163" s="2"/>
    </row>
    <row x14ac:dyDescent="0.25" r="164" customHeight="1" ht="17.25">
      <c r="A164" s="7">
        <v>45887</v>
      </c>
      <c r="B164" s="9" t="s">
        <v>183</v>
      </c>
      <c r="C164" s="6">
        <v>3</v>
      </c>
      <c r="D164" s="4"/>
      <c r="E164" s="6">
        <f>E163+C164-D164</f>
      </c>
      <c r="F164" s="2"/>
    </row>
    <row x14ac:dyDescent="0.25" r="165" customHeight="1" ht="17.25">
      <c r="A165" s="7">
        <v>45887</v>
      </c>
      <c r="B165" s="9" t="s">
        <v>35</v>
      </c>
      <c r="C165" s="6">
        <v>14</v>
      </c>
      <c r="D165" s="4"/>
      <c r="E165" s="6">
        <f>E164+C165-D165</f>
      </c>
      <c r="F165" s="2"/>
    </row>
    <row x14ac:dyDescent="0.25" r="166" customHeight="1" ht="17.25">
      <c r="A166" s="7">
        <v>45888</v>
      </c>
      <c r="B166" s="9" t="s">
        <v>346</v>
      </c>
      <c r="C166" s="3"/>
      <c r="D166" s="6">
        <v>22</v>
      </c>
      <c r="E166" s="6">
        <f>E165+C166-D166</f>
      </c>
      <c r="F166" s="2"/>
    </row>
    <row x14ac:dyDescent="0.25" r="167" customHeight="1" ht="17.25">
      <c r="A167" s="7">
        <v>45889</v>
      </c>
      <c r="B167" s="9" t="s">
        <v>272</v>
      </c>
      <c r="C167" s="6">
        <v>6</v>
      </c>
      <c r="D167" s="4"/>
      <c r="E167" s="6">
        <f>E166+C167-D167</f>
      </c>
      <c r="F167" s="2"/>
    </row>
    <row x14ac:dyDescent="0.25" r="168" customHeight="1" ht="17.25">
      <c r="A168" s="7">
        <v>45891</v>
      </c>
      <c r="B168" s="9" t="s">
        <v>35</v>
      </c>
      <c r="C168" s="6">
        <v>3</v>
      </c>
      <c r="D168" s="4"/>
      <c r="E168" s="6">
        <f>E167+C168-D168</f>
      </c>
      <c r="F168" s="2"/>
    </row>
    <row x14ac:dyDescent="0.25" r="169" customHeight="1" ht="17.25">
      <c r="A169" s="7">
        <v>45892</v>
      </c>
      <c r="B169" s="9" t="s">
        <v>42</v>
      </c>
      <c r="C169" s="6">
        <v>36</v>
      </c>
      <c r="D169" s="4"/>
      <c r="E169" s="6">
        <f>E168+C169-D169</f>
      </c>
      <c r="F169" s="2"/>
    </row>
    <row x14ac:dyDescent="0.25" r="170" customHeight="1" ht="17.25">
      <c r="A170" s="7">
        <v>45894</v>
      </c>
      <c r="B170" s="9" t="s">
        <v>47</v>
      </c>
      <c r="C170" s="6">
        <v>85</v>
      </c>
      <c r="D170" s="4"/>
      <c r="E170" s="6">
        <f>E169+C170-D170</f>
      </c>
      <c r="F170" s="2"/>
    </row>
    <row x14ac:dyDescent="0.25" r="171" customHeight="1" ht="17.25">
      <c r="A171" s="7">
        <v>45895</v>
      </c>
      <c r="B171" s="9" t="s">
        <v>275</v>
      </c>
      <c r="C171" s="6">
        <v>28</v>
      </c>
      <c r="D171" s="4"/>
      <c r="E171" s="6">
        <f>E170+C171-D171</f>
      </c>
      <c r="F171" s="2"/>
    </row>
    <row x14ac:dyDescent="0.25" r="172" customHeight="1" ht="17.25">
      <c r="A172" s="8">
        <v>45899</v>
      </c>
      <c r="B172" s="9" t="s">
        <v>297</v>
      </c>
      <c r="C172" s="3"/>
      <c r="D172" s="6">
        <v>30</v>
      </c>
      <c r="E172" s="6">
        <f>E171+C172-D172</f>
      </c>
      <c r="F172" s="2"/>
    </row>
    <row x14ac:dyDescent="0.25" r="173" customHeight="1" ht="17.25">
      <c r="A173" s="7">
        <v>45899</v>
      </c>
      <c r="B173" s="9" t="s">
        <v>333</v>
      </c>
      <c r="C173" s="6">
        <v>20</v>
      </c>
      <c r="D173" s="4"/>
      <c r="E173" s="6">
        <f>E172+C173-D173</f>
      </c>
      <c r="F173" s="2"/>
    </row>
    <row x14ac:dyDescent="0.25" r="174" customHeight="1" ht="17.25">
      <c r="A174" s="7">
        <v>45906</v>
      </c>
      <c r="B174" s="9" t="s">
        <v>3</v>
      </c>
      <c r="C174" s="3"/>
      <c r="D174" s="6">
        <v>50</v>
      </c>
      <c r="E174" s="6">
        <f>E173+C174-D174</f>
      </c>
      <c r="F174" s="2"/>
    </row>
    <row x14ac:dyDescent="0.25" r="175" customHeight="1" ht="17.25">
      <c r="A175" s="8">
        <v>45906</v>
      </c>
      <c r="B175" s="9" t="s">
        <v>283</v>
      </c>
      <c r="C175" s="6">
        <v>3</v>
      </c>
      <c r="D175" s="4"/>
      <c r="E175" s="6">
        <f>E174+C175-D175</f>
      </c>
      <c r="F175" s="2"/>
    </row>
    <row x14ac:dyDescent="0.25" r="176" customHeight="1" ht="17.25">
      <c r="A176" s="8">
        <v>45906</v>
      </c>
      <c r="B176" s="9" t="s">
        <v>283</v>
      </c>
      <c r="C176" s="6">
        <v>20</v>
      </c>
      <c r="D176" s="4"/>
      <c r="E176" s="6">
        <f>E175+C176-D176</f>
      </c>
      <c r="F176" s="2"/>
    </row>
    <row x14ac:dyDescent="0.25" r="177" customHeight="1" ht="17.25">
      <c r="A177" s="8">
        <v>45910</v>
      </c>
      <c r="B177" s="9" t="s">
        <v>309</v>
      </c>
      <c r="C177" s="3"/>
      <c r="D177" s="6">
        <v>10</v>
      </c>
      <c r="E177" s="6">
        <f>E176+C177-D177</f>
      </c>
      <c r="F177" s="2"/>
    </row>
    <row x14ac:dyDescent="0.25" r="178" customHeight="1" ht="17.25">
      <c r="A178" s="8">
        <v>45910</v>
      </c>
      <c r="B178" s="9" t="s">
        <v>310</v>
      </c>
      <c r="C178" s="3"/>
      <c r="D178" s="6">
        <v>20</v>
      </c>
      <c r="E178" s="6">
        <f>E177+C178-D178</f>
      </c>
      <c r="F178" s="2"/>
    </row>
    <row x14ac:dyDescent="0.25" r="179" customHeight="1" ht="17.25">
      <c r="A179" s="8">
        <v>45911</v>
      </c>
      <c r="B179" s="9" t="s">
        <v>310</v>
      </c>
      <c r="C179" s="3"/>
      <c r="D179" s="6">
        <v>20</v>
      </c>
      <c r="E179" s="6">
        <f>E178+C179-D179</f>
      </c>
      <c r="F179" s="2"/>
    </row>
    <row x14ac:dyDescent="0.25" r="180" customHeight="1" ht="17.25">
      <c r="A180" s="8">
        <v>45911</v>
      </c>
      <c r="B180" s="9" t="s">
        <v>284</v>
      </c>
      <c r="C180" s="6">
        <v>5</v>
      </c>
      <c r="D180" s="4"/>
      <c r="E180" s="6">
        <f>E179+C180-D180</f>
      </c>
      <c r="F180" s="2"/>
    </row>
    <row x14ac:dyDescent="0.25" r="181" customHeight="1" ht="17.25">
      <c r="A181" s="7">
        <v>45912</v>
      </c>
      <c r="B181" s="9" t="s">
        <v>233</v>
      </c>
      <c r="C181" s="3"/>
      <c r="D181" s="6">
        <v>80</v>
      </c>
      <c r="E181" s="6">
        <f>E180+C181-D181</f>
      </c>
      <c r="F181" s="2"/>
    </row>
    <row x14ac:dyDescent="0.25" r="182" customHeight="1" ht="17.25">
      <c r="A182" s="7">
        <v>45918</v>
      </c>
      <c r="B182" s="9" t="s">
        <v>289</v>
      </c>
      <c r="C182" s="3"/>
      <c r="D182" s="6">
        <v>10</v>
      </c>
      <c r="E182" s="6">
        <f>E181+C182-D182</f>
      </c>
      <c r="F182" s="2"/>
    </row>
    <row x14ac:dyDescent="0.25" r="183" customHeight="1" ht="17.25">
      <c r="A183" s="7">
        <v>45918</v>
      </c>
      <c r="B183" s="9" t="s">
        <v>333</v>
      </c>
      <c r="C183" s="3"/>
      <c r="D183" s="6">
        <v>39</v>
      </c>
      <c r="E183" s="6">
        <f>E182+C183-D183</f>
      </c>
      <c r="F183" s="2"/>
    </row>
    <row x14ac:dyDescent="0.25" r="184" customHeight="1" ht="17.25">
      <c r="A184" s="7">
        <v>45922</v>
      </c>
      <c r="B184" s="9" t="s">
        <v>310</v>
      </c>
      <c r="C184" s="3"/>
      <c r="D184" s="6">
        <v>20</v>
      </c>
      <c r="E184" s="6">
        <f>E183+C184-D184</f>
      </c>
      <c r="F184" s="2"/>
    </row>
    <row x14ac:dyDescent="0.25" r="185" customHeight="1" ht="17.25">
      <c r="A185" s="7">
        <v>45922</v>
      </c>
      <c r="B185" s="9" t="s">
        <v>266</v>
      </c>
      <c r="C185" s="3"/>
      <c r="D185" s="6">
        <v>10</v>
      </c>
      <c r="E185" s="6">
        <f>E184+C185-D185</f>
      </c>
      <c r="F185" s="2"/>
    </row>
    <row x14ac:dyDescent="0.25" r="186" customHeight="1" ht="17.25">
      <c r="A186" s="7">
        <v>45922</v>
      </c>
      <c r="B186" s="9" t="s">
        <v>35</v>
      </c>
      <c r="C186" s="6">
        <v>7</v>
      </c>
      <c r="D186" s="4"/>
      <c r="E186" s="6">
        <f>E185+C186-D186</f>
      </c>
      <c r="F186" s="2"/>
    </row>
    <row x14ac:dyDescent="0.25" r="187" customHeight="1" ht="17.25">
      <c r="A187" s="8">
        <v>45924</v>
      </c>
      <c r="B187" s="9" t="s">
        <v>284</v>
      </c>
      <c r="C187" s="6">
        <v>93</v>
      </c>
      <c r="D187" s="4"/>
      <c r="E187" s="6">
        <f>E186+C187-D187</f>
      </c>
      <c r="F187" s="2"/>
    </row>
    <row x14ac:dyDescent="0.25" r="188" customHeight="1" ht="17.25">
      <c r="A188" s="8">
        <v>45924</v>
      </c>
      <c r="B188" s="9" t="s">
        <v>42</v>
      </c>
      <c r="C188" s="6">
        <v>15</v>
      </c>
      <c r="D188" s="4"/>
      <c r="E188" s="6">
        <f>E187+C188-D188</f>
      </c>
      <c r="F188" s="2"/>
    </row>
    <row x14ac:dyDescent="0.25" r="189" customHeight="1" ht="17.25">
      <c r="A189" s="7">
        <v>45926</v>
      </c>
      <c r="B189" s="9" t="s">
        <v>333</v>
      </c>
      <c r="C189" s="3"/>
      <c r="D189" s="6">
        <v>50</v>
      </c>
      <c r="E189" s="6">
        <f>E188+C189-D189</f>
      </c>
      <c r="F189" s="2"/>
    </row>
    <row x14ac:dyDescent="0.25" r="190" customHeight="1" ht="17.25">
      <c r="A190" s="7">
        <v>45927</v>
      </c>
      <c r="B190" s="9" t="s">
        <v>345</v>
      </c>
      <c r="C190" s="6">
        <v>11</v>
      </c>
      <c r="D190" s="4"/>
      <c r="E190" s="6">
        <f>E189+C190-D190</f>
      </c>
      <c r="F190" s="2"/>
    </row>
    <row x14ac:dyDescent="0.25" r="191" customHeight="1" ht="17.25">
      <c r="A191" s="7">
        <v>45927</v>
      </c>
      <c r="B191" s="9" t="s">
        <v>343</v>
      </c>
      <c r="C191" s="6">
        <v>4</v>
      </c>
      <c r="D191" s="4"/>
      <c r="E191" s="6">
        <f>E190+C191-D191</f>
      </c>
      <c r="F191" s="2"/>
    </row>
    <row x14ac:dyDescent="0.25" r="192" customHeight="1" ht="17.25">
      <c r="A192" s="7">
        <v>45930</v>
      </c>
      <c r="B192" s="9" t="s">
        <v>47</v>
      </c>
      <c r="C192" s="6">
        <v>8</v>
      </c>
      <c r="D192" s="4"/>
      <c r="E192" s="6">
        <f>E191+C192-D192</f>
      </c>
      <c r="F192" s="2"/>
    </row>
    <row x14ac:dyDescent="0.25" r="193" customHeight="1" ht="17.25">
      <c r="A193" s="7">
        <v>45934</v>
      </c>
      <c r="B193" s="9" t="s">
        <v>46</v>
      </c>
      <c r="C193" s="3"/>
      <c r="D193" s="6">
        <v>100</v>
      </c>
      <c r="E193" s="6">
        <f>E192+C193-D193</f>
      </c>
      <c r="F193" s="2"/>
    </row>
    <row x14ac:dyDescent="0.25" r="194" customHeight="1" ht="17.25">
      <c r="A194" s="7">
        <v>45936</v>
      </c>
      <c r="B194" s="9" t="s">
        <v>289</v>
      </c>
      <c r="C194" s="3"/>
      <c r="D194" s="6">
        <v>100</v>
      </c>
      <c r="E194" s="6">
        <f>E193+C194-D194</f>
      </c>
      <c r="F194" s="2"/>
    </row>
    <row x14ac:dyDescent="0.25" r="195" customHeight="1" ht="17.25">
      <c r="A195" s="7">
        <v>45939</v>
      </c>
      <c r="B195" s="9" t="s">
        <v>233</v>
      </c>
      <c r="C195" s="3"/>
      <c r="D195" s="6">
        <v>27</v>
      </c>
      <c r="E195" s="6">
        <f>E194+C195-D195</f>
      </c>
      <c r="F195" s="2"/>
    </row>
    <row x14ac:dyDescent="0.25" r="196" customHeight="1" ht="17.25">
      <c r="A196" s="7">
        <v>45944</v>
      </c>
      <c r="B196" s="9" t="s">
        <v>272</v>
      </c>
      <c r="C196" s="6">
        <v>11</v>
      </c>
      <c r="D196" s="4"/>
      <c r="E196" s="6">
        <f>E195+C196-D196</f>
      </c>
      <c r="F196" s="2"/>
    </row>
    <row x14ac:dyDescent="0.25" r="197" customHeight="1" ht="17.25">
      <c r="A197" s="7">
        <v>45944</v>
      </c>
      <c r="B197" s="9" t="s">
        <v>275</v>
      </c>
      <c r="C197" s="6">
        <v>22</v>
      </c>
      <c r="D197" s="4"/>
      <c r="E197" s="6">
        <f>E196+C197-D197</f>
      </c>
      <c r="F197" s="2"/>
    </row>
    <row x14ac:dyDescent="0.25" r="198" customHeight="1" ht="17.25">
      <c r="A198" s="7">
        <v>45948</v>
      </c>
      <c r="B198" s="9" t="s">
        <v>306</v>
      </c>
      <c r="C198" s="6">
        <v>10</v>
      </c>
      <c r="D198" s="4"/>
      <c r="E198" s="6">
        <f>E197+C198-D198</f>
      </c>
      <c r="F198" s="2"/>
    </row>
    <row x14ac:dyDescent="0.25" r="199" customHeight="1" ht="17.25">
      <c r="A199" s="7">
        <v>45952</v>
      </c>
      <c r="B199" s="9" t="s">
        <v>7</v>
      </c>
      <c r="C199" s="6">
        <v>65</v>
      </c>
      <c r="D199" s="4"/>
      <c r="E199" s="6">
        <f>E198+C199-D199</f>
      </c>
      <c r="F199" s="2"/>
    </row>
    <row x14ac:dyDescent="0.25" r="200" customHeight="1" ht="17.25">
      <c r="A200" s="7">
        <v>45954</v>
      </c>
      <c r="B200" s="9" t="s">
        <v>7</v>
      </c>
      <c r="C200" s="6">
        <v>20</v>
      </c>
      <c r="D200" s="4"/>
      <c r="E200" s="6">
        <f>E199+C200-D200</f>
      </c>
      <c r="F200" s="2"/>
    </row>
    <row x14ac:dyDescent="0.25" r="201" customHeight="1" ht="17.25">
      <c r="A201" s="8">
        <v>45958</v>
      </c>
      <c r="B201" s="9" t="s">
        <v>347</v>
      </c>
      <c r="C201" s="3"/>
      <c r="D201" s="6">
        <v>10</v>
      </c>
      <c r="E201" s="6">
        <f>E200+C201-D201</f>
      </c>
      <c r="F201" s="2"/>
    </row>
    <row x14ac:dyDescent="0.25" r="202" customHeight="1" ht="17.25">
      <c r="A202" s="7">
        <v>45959</v>
      </c>
      <c r="B202" s="9" t="s">
        <v>3</v>
      </c>
      <c r="C202" s="6">
        <v>32</v>
      </c>
      <c r="D202" s="4"/>
      <c r="E202" s="6">
        <f>E201+C202-D202</f>
      </c>
      <c r="F202" s="2"/>
    </row>
    <row x14ac:dyDescent="0.25" r="203" customHeight="1" ht="17.25">
      <c r="A203" s="8">
        <v>45960</v>
      </c>
      <c r="B203" s="9" t="s">
        <v>347</v>
      </c>
      <c r="C203" s="3"/>
      <c r="D203" s="6">
        <v>6</v>
      </c>
      <c r="E203" s="6">
        <f>E202+C203-D203</f>
      </c>
      <c r="F203" s="2"/>
    </row>
    <row x14ac:dyDescent="0.25" r="204" customHeight="1" ht="17.25">
      <c r="A204" s="7">
        <v>45962</v>
      </c>
      <c r="B204" s="9" t="s">
        <v>3</v>
      </c>
      <c r="C204" s="6">
        <v>70</v>
      </c>
      <c r="D204" s="4"/>
      <c r="E204" s="6">
        <f>E203+C204-D204</f>
      </c>
      <c r="F204" s="2"/>
    </row>
    <row x14ac:dyDescent="0.25" r="205" customHeight="1" ht="17.25">
      <c r="A205" s="8">
        <v>45964</v>
      </c>
      <c r="B205" s="9" t="s">
        <v>320</v>
      </c>
      <c r="C205" s="3"/>
      <c r="D205" s="6">
        <v>10</v>
      </c>
      <c r="E205" s="6">
        <f>E204+C205-D205</f>
      </c>
      <c r="F205" s="2"/>
    </row>
    <row x14ac:dyDescent="0.25" r="206" customHeight="1" ht="17.25">
      <c r="A206" s="7">
        <v>45966</v>
      </c>
      <c r="B206" s="9" t="s">
        <v>318</v>
      </c>
      <c r="C206" s="3"/>
      <c r="D206" s="6">
        <v>24</v>
      </c>
      <c r="E206" s="6">
        <f>E205+C206-D206</f>
      </c>
      <c r="F206" s="2"/>
    </row>
    <row x14ac:dyDescent="0.25" r="207" customHeight="1" ht="17.25">
      <c r="A207" s="8">
        <v>45966</v>
      </c>
      <c r="B207" s="9" t="s">
        <v>347</v>
      </c>
      <c r="C207" s="6">
        <v>6</v>
      </c>
      <c r="D207" s="4"/>
      <c r="E207" s="6">
        <f>E206+C207-D207</f>
      </c>
      <c r="F207" s="2"/>
    </row>
    <row x14ac:dyDescent="0.25" r="208" customHeight="1" ht="17.25">
      <c r="A208" s="7">
        <v>45968</v>
      </c>
      <c r="B208" s="9" t="s">
        <v>275</v>
      </c>
      <c r="C208" s="6">
        <v>18</v>
      </c>
      <c r="D208" s="4"/>
      <c r="E208" s="6">
        <f>E207+C208-D208</f>
      </c>
      <c r="F208" s="2"/>
    </row>
    <row x14ac:dyDescent="0.25" r="209" customHeight="1" ht="17.25">
      <c r="A209" s="7">
        <v>45968</v>
      </c>
      <c r="B209" s="9" t="s">
        <v>3</v>
      </c>
      <c r="C209" s="6">
        <v>72</v>
      </c>
      <c r="D209" s="4"/>
      <c r="E209" s="6">
        <f>E208+C209-D209</f>
      </c>
      <c r="F209" s="2"/>
    </row>
    <row x14ac:dyDescent="0.25" r="210" customHeight="1" ht="17.25">
      <c r="A210" s="7">
        <v>45971</v>
      </c>
      <c r="B210" s="9" t="s">
        <v>318</v>
      </c>
      <c r="C210" s="3"/>
      <c r="D210" s="6">
        <v>30</v>
      </c>
      <c r="E210" s="6">
        <f>E209+C210-D210</f>
      </c>
      <c r="F210" s="2"/>
    </row>
    <row x14ac:dyDescent="0.25" r="211" customHeight="1" ht="17.25">
      <c r="A211" s="8">
        <v>45973</v>
      </c>
      <c r="B211" s="9" t="s">
        <v>234</v>
      </c>
      <c r="C211" s="6">
        <v>14</v>
      </c>
      <c r="D211" s="4"/>
      <c r="E211" s="6">
        <f>E210+C211-D211</f>
      </c>
      <c r="F211" s="2"/>
    </row>
    <row x14ac:dyDescent="0.25" r="212" customHeight="1" ht="17.25">
      <c r="A212" s="8">
        <v>45974</v>
      </c>
      <c r="B212" s="9" t="s">
        <v>318</v>
      </c>
      <c r="C212" s="3"/>
      <c r="D212" s="6">
        <v>80</v>
      </c>
      <c r="E212" s="6">
        <f>E211+C212-D212</f>
      </c>
      <c r="F212" s="2"/>
    </row>
    <row x14ac:dyDescent="0.25" r="213" customHeight="1" ht="17.25">
      <c r="A213" s="8">
        <v>45978</v>
      </c>
      <c r="B213" s="9" t="s">
        <v>320</v>
      </c>
      <c r="C213" s="6">
        <v>10</v>
      </c>
      <c r="D213" s="4"/>
      <c r="E213" s="6">
        <f>E212+C213-D213</f>
      </c>
      <c r="F213" s="2"/>
    </row>
    <row x14ac:dyDescent="0.25" r="214" customHeight="1" ht="17.25">
      <c r="A214" s="8">
        <v>45979</v>
      </c>
      <c r="B214" s="9" t="s">
        <v>321</v>
      </c>
      <c r="C214" s="6">
        <v>15</v>
      </c>
      <c r="D214" s="4"/>
      <c r="E214" s="6">
        <f>E213+C214-D214</f>
      </c>
      <c r="F214" s="2"/>
    </row>
    <row x14ac:dyDescent="0.25" r="215" customHeight="1" ht="17.25">
      <c r="A215" s="7">
        <v>45980</v>
      </c>
      <c r="B215" s="9" t="s">
        <v>313</v>
      </c>
      <c r="C215" s="3"/>
      <c r="D215" s="6">
        <v>30</v>
      </c>
      <c r="E215" s="6">
        <f>E214+C215-D215</f>
      </c>
      <c r="F215" s="2"/>
    </row>
    <row x14ac:dyDescent="0.25" r="216" customHeight="1" ht="17.25">
      <c r="A216" s="7">
        <v>45987</v>
      </c>
      <c r="B216" s="9" t="s">
        <v>348</v>
      </c>
      <c r="C216" s="3"/>
      <c r="D216" s="4"/>
      <c r="E216" s="6">
        <f>E215+C216-D216</f>
      </c>
      <c r="F216" s="2"/>
    </row>
    <row x14ac:dyDescent="0.25" r="217" customHeight="1" ht="17.25">
      <c r="A217" s="7">
        <v>45987</v>
      </c>
      <c r="B217" s="9" t="s">
        <v>244</v>
      </c>
      <c r="C217" s="3"/>
      <c r="D217" s="6">
        <v>130</v>
      </c>
      <c r="E217" s="6">
        <f>E216+C217-D217</f>
      </c>
      <c r="F217" s="2"/>
    </row>
    <row x14ac:dyDescent="0.25" r="218" customHeight="1" ht="17.25">
      <c r="A218" s="8">
        <v>45987</v>
      </c>
      <c r="B218" s="9" t="s">
        <v>53</v>
      </c>
      <c r="C218" s="3"/>
      <c r="D218" s="6">
        <v>50</v>
      </c>
      <c r="E218" s="6">
        <f>E217+C218-D218</f>
      </c>
      <c r="F218" s="2"/>
    </row>
    <row x14ac:dyDescent="0.25" r="219" customHeight="1" ht="17.25">
      <c r="A219" s="7">
        <v>45988</v>
      </c>
      <c r="B219" s="9" t="s">
        <v>3</v>
      </c>
      <c r="C219" s="6">
        <v>20</v>
      </c>
      <c r="D219" s="4"/>
      <c r="E219" s="4"/>
      <c r="F219" s="2"/>
    </row>
    <row x14ac:dyDescent="0.25" r="220" customHeight="1" ht="17.25">
      <c r="A220" s="7">
        <v>45988</v>
      </c>
      <c r="B220" s="9" t="s">
        <v>324</v>
      </c>
      <c r="C220" s="6">
        <v>3</v>
      </c>
      <c r="D220" s="4"/>
      <c r="E220" s="4"/>
      <c r="F220" s="2"/>
    </row>
    <row x14ac:dyDescent="0.25" r="221" customHeight="1" ht="17.25">
      <c r="A221" s="8">
        <v>45990</v>
      </c>
      <c r="B221" s="9" t="s">
        <v>53</v>
      </c>
      <c r="C221" s="3"/>
      <c r="D221" s="6">
        <v>50</v>
      </c>
      <c r="E221" s="4"/>
      <c r="F221" s="2"/>
    </row>
    <row x14ac:dyDescent="0.25" r="222" customHeight="1" ht="17.25">
      <c r="A222" s="7">
        <v>45992</v>
      </c>
      <c r="B222" s="9" t="s">
        <v>244</v>
      </c>
      <c r="C222" s="6">
        <v>75</v>
      </c>
      <c r="D222" s="4"/>
      <c r="E222" s="4"/>
      <c r="F222" s="2"/>
    </row>
    <row x14ac:dyDescent="0.25" r="223" customHeight="1" ht="17.25">
      <c r="A223" s="7">
        <v>45993</v>
      </c>
      <c r="B223" s="9" t="s">
        <v>53</v>
      </c>
      <c r="C223" s="3"/>
      <c r="D223" s="6">
        <v>100</v>
      </c>
      <c r="E223" s="4"/>
      <c r="F223" s="2"/>
    </row>
    <row x14ac:dyDescent="0.25" r="224" customHeight="1" ht="17.25">
      <c r="A224" s="7">
        <v>45994</v>
      </c>
      <c r="B224" s="9" t="s">
        <v>3</v>
      </c>
      <c r="C224" s="6">
        <v>5</v>
      </c>
      <c r="D224" s="4"/>
      <c r="E224" s="4"/>
      <c r="F224" s="2"/>
    </row>
    <row x14ac:dyDescent="0.25" r="225" customHeight="1" ht="17.25">
      <c r="A225" s="8">
        <v>46002</v>
      </c>
      <c r="B225" s="9" t="s">
        <v>42</v>
      </c>
      <c r="C225" s="3"/>
      <c r="D225" s="6">
        <v>40</v>
      </c>
      <c r="E225" s="4"/>
      <c r="F225" s="2"/>
    </row>
    <row x14ac:dyDescent="0.25" r="226" customHeight="1" ht="17.25">
      <c r="A226" s="7">
        <v>46003</v>
      </c>
      <c r="B226" s="9" t="s">
        <v>314</v>
      </c>
      <c r="C226" s="6">
        <v>188</v>
      </c>
      <c r="D226" s="4"/>
      <c r="E226" s="4"/>
      <c r="F226" s="2"/>
    </row>
    <row x14ac:dyDescent="0.25" r="227" customHeight="1" ht="17.25">
      <c r="A227" s="7">
        <v>46004</v>
      </c>
      <c r="B227" s="9" t="s">
        <v>284</v>
      </c>
      <c r="C227" s="6">
        <v>135</v>
      </c>
      <c r="D227" s="4"/>
      <c r="E227" s="4"/>
      <c r="F227" s="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8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1478571428571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325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6">
        <v>217</v>
      </c>
    </row>
    <row x14ac:dyDescent="0.25" r="4" customHeight="1" ht="17.25">
      <c r="A4" s="7">
        <v>45665</v>
      </c>
      <c r="B4" s="2" t="s">
        <v>39</v>
      </c>
      <c r="C4" s="4"/>
      <c r="D4" s="6">
        <v>50</v>
      </c>
      <c r="E4" s="6">
        <f>E3+C4-D4</f>
      </c>
    </row>
    <row x14ac:dyDescent="0.25" r="5" customHeight="1" ht="17.25">
      <c r="A5" s="7">
        <v>45668</v>
      </c>
      <c r="B5" s="2" t="s">
        <v>256</v>
      </c>
      <c r="C5" s="6">
        <v>90</v>
      </c>
      <c r="D5" s="4"/>
      <c r="E5" s="6">
        <f>E4+C5-D5</f>
      </c>
    </row>
    <row x14ac:dyDescent="0.25" r="6" customHeight="1" ht="17.25">
      <c r="A6" s="7">
        <v>45671</v>
      </c>
      <c r="B6" s="2" t="s">
        <v>269</v>
      </c>
      <c r="C6" s="6">
        <v>117</v>
      </c>
      <c r="D6" s="4"/>
      <c r="E6" s="6">
        <f>E5+C6-D6</f>
      </c>
    </row>
    <row x14ac:dyDescent="0.25" r="7" customHeight="1" ht="17.25">
      <c r="A7" s="8">
        <v>45673</v>
      </c>
      <c r="B7" s="9" t="s">
        <v>269</v>
      </c>
      <c r="C7" s="6">
        <v>24</v>
      </c>
      <c r="D7" s="4"/>
      <c r="E7" s="6">
        <f>E6+C7-D7</f>
      </c>
    </row>
    <row x14ac:dyDescent="0.25" r="8" customHeight="1" ht="17.25">
      <c r="A8" s="8">
        <v>45675</v>
      </c>
      <c r="B8" s="9" t="s">
        <v>240</v>
      </c>
      <c r="C8" s="6">
        <v>4</v>
      </c>
      <c r="D8" s="4"/>
      <c r="E8" s="6">
        <f>E7+C8-D8</f>
      </c>
    </row>
    <row x14ac:dyDescent="0.25" r="9" customHeight="1" ht="17.25">
      <c r="A9" s="8">
        <v>45680</v>
      </c>
      <c r="B9" s="9" t="s">
        <v>326</v>
      </c>
      <c r="C9" s="6">
        <v>4</v>
      </c>
      <c r="D9" s="4"/>
      <c r="E9" s="6">
        <f>E8+C9-D9</f>
      </c>
    </row>
    <row x14ac:dyDescent="0.25" r="10" customHeight="1" ht="17.25">
      <c r="A10" s="8">
        <v>45680</v>
      </c>
      <c r="B10" s="9" t="s">
        <v>269</v>
      </c>
      <c r="C10" s="6">
        <v>3</v>
      </c>
      <c r="D10" s="4"/>
      <c r="E10" s="6">
        <f>E9+C10-D10</f>
      </c>
    </row>
    <row x14ac:dyDescent="0.25" r="11" customHeight="1" ht="17.25">
      <c r="A11" s="8">
        <v>45688</v>
      </c>
      <c r="B11" s="9" t="s">
        <v>39</v>
      </c>
      <c r="C11" s="6">
        <v>65</v>
      </c>
      <c r="D11" s="4"/>
      <c r="E11" s="6">
        <f>E10+C11-D11</f>
      </c>
    </row>
    <row x14ac:dyDescent="0.25" r="12" customHeight="1" ht="17.25">
      <c r="A12" s="8">
        <v>45689</v>
      </c>
      <c r="B12" s="9" t="s">
        <v>39</v>
      </c>
      <c r="C12" s="6">
        <v>47</v>
      </c>
      <c r="D12" s="4"/>
      <c r="E12" s="6">
        <f>E11+C12-D12</f>
      </c>
    </row>
    <row x14ac:dyDescent="0.25" r="13" customHeight="1" ht="17.25">
      <c r="A13" s="8">
        <v>45691</v>
      </c>
      <c r="B13" s="9" t="s">
        <v>273</v>
      </c>
      <c r="C13" s="6">
        <v>16</v>
      </c>
      <c r="D13" s="4"/>
      <c r="E13" s="6">
        <f>E12+C13-D13</f>
      </c>
    </row>
    <row x14ac:dyDescent="0.25" r="14" customHeight="1" ht="17.25">
      <c r="A14" s="8">
        <v>45696</v>
      </c>
      <c r="B14" s="9" t="s">
        <v>35</v>
      </c>
      <c r="C14" s="6">
        <v>38</v>
      </c>
      <c r="D14" s="4"/>
      <c r="E14" s="6">
        <f>E13+C14-D14</f>
      </c>
    </row>
    <row x14ac:dyDescent="0.25" r="15" customHeight="1" ht="17.25">
      <c r="A15" s="7">
        <v>45698</v>
      </c>
      <c r="B15" s="9" t="s">
        <v>35</v>
      </c>
      <c r="C15" s="6">
        <v>14</v>
      </c>
      <c r="D15" s="4"/>
      <c r="E15" s="6">
        <f>E14+C15-D15</f>
      </c>
    </row>
    <row x14ac:dyDescent="0.25" r="16" customHeight="1" ht="17.25">
      <c r="A16" s="8">
        <v>45698</v>
      </c>
      <c r="B16" s="9" t="s">
        <v>35</v>
      </c>
      <c r="C16" s="6">
        <v>14</v>
      </c>
      <c r="D16" s="4"/>
      <c r="E16" s="6">
        <f>E15+C16-D16</f>
      </c>
    </row>
    <row x14ac:dyDescent="0.25" r="17" customHeight="1" ht="17.25">
      <c r="A17" s="7">
        <v>45709</v>
      </c>
      <c r="B17" s="9" t="s">
        <v>39</v>
      </c>
      <c r="C17" s="6">
        <v>22</v>
      </c>
      <c r="D17" s="4"/>
      <c r="E17" s="6">
        <f>E16+C17-D17</f>
      </c>
    </row>
    <row x14ac:dyDescent="0.25" r="18" customHeight="1" ht="17.25">
      <c r="A18" s="8">
        <v>45709</v>
      </c>
      <c r="B18" s="9" t="s">
        <v>35</v>
      </c>
      <c r="C18" s="6">
        <v>1</v>
      </c>
      <c r="D18" s="4"/>
      <c r="E18" s="6">
        <f>E17+C18-D18</f>
      </c>
    </row>
    <row x14ac:dyDescent="0.25" r="19" customHeight="1" ht="17.25">
      <c r="A19" s="8">
        <v>45709</v>
      </c>
      <c r="B19" s="9" t="s">
        <v>269</v>
      </c>
      <c r="C19" s="6">
        <v>14</v>
      </c>
      <c r="D19" s="4"/>
      <c r="E19" s="6">
        <f>E18+C19-D19</f>
      </c>
    </row>
    <row x14ac:dyDescent="0.25" r="20" customHeight="1" ht="17.25">
      <c r="A20" s="8">
        <v>45710</v>
      </c>
      <c r="B20" s="9" t="s">
        <v>35</v>
      </c>
      <c r="C20" s="6">
        <v>2</v>
      </c>
      <c r="D20" s="4"/>
      <c r="E20" s="6">
        <f>E19+C20-D20</f>
      </c>
    </row>
    <row x14ac:dyDescent="0.25" r="21" customHeight="1" ht="17.25">
      <c r="A21" s="7">
        <v>45712</v>
      </c>
      <c r="B21" s="9" t="s">
        <v>35</v>
      </c>
      <c r="C21" s="6">
        <v>11</v>
      </c>
      <c r="D21" s="4"/>
      <c r="E21" s="6">
        <f>E20+C21-D21</f>
      </c>
    </row>
    <row x14ac:dyDescent="0.25" r="22" customHeight="1" ht="17.25">
      <c r="A22" s="8">
        <v>45722</v>
      </c>
      <c r="B22" s="9" t="s">
        <v>35</v>
      </c>
      <c r="C22" s="6">
        <v>22</v>
      </c>
      <c r="D22" s="4"/>
      <c r="E22" s="6">
        <f>E21+C22-D22</f>
      </c>
    </row>
    <row x14ac:dyDescent="0.25" r="23" customHeight="1" ht="17.25">
      <c r="A23" s="7">
        <v>45723</v>
      </c>
      <c r="B23" s="9" t="s">
        <v>39</v>
      </c>
      <c r="C23" s="6">
        <v>20</v>
      </c>
      <c r="D23" s="4"/>
      <c r="E23" s="6">
        <f>E22+C23-D23</f>
      </c>
    </row>
    <row x14ac:dyDescent="0.25" r="24" customHeight="1" ht="17.25">
      <c r="A24" s="8">
        <v>45726</v>
      </c>
      <c r="B24" s="9" t="s">
        <v>35</v>
      </c>
      <c r="C24" s="6">
        <v>14</v>
      </c>
      <c r="D24" s="4"/>
      <c r="E24" s="6">
        <f>E23+C24-D24</f>
      </c>
    </row>
    <row x14ac:dyDescent="0.25" r="25" customHeight="1" ht="17.25">
      <c r="A25" s="8">
        <v>45726</v>
      </c>
      <c r="B25" s="9" t="s">
        <v>35</v>
      </c>
      <c r="C25" s="6">
        <v>9</v>
      </c>
      <c r="D25" s="4"/>
      <c r="E25" s="6">
        <f>E24+C25-D25</f>
      </c>
    </row>
    <row x14ac:dyDescent="0.25" r="26" customHeight="1" ht="17.25">
      <c r="A26" s="8">
        <v>45727</v>
      </c>
      <c r="B26" s="9" t="s">
        <v>39</v>
      </c>
      <c r="C26" s="6">
        <v>3</v>
      </c>
      <c r="D26" s="4"/>
      <c r="E26" s="6">
        <f>E25+C26-D26</f>
      </c>
    </row>
    <row x14ac:dyDescent="0.25" r="27" customHeight="1" ht="17.25">
      <c r="A27" s="8">
        <v>45727</v>
      </c>
      <c r="B27" s="9" t="s">
        <v>35</v>
      </c>
      <c r="C27" s="6">
        <v>14</v>
      </c>
      <c r="D27" s="4"/>
      <c r="E27" s="6">
        <f>E26+C27-D27</f>
      </c>
    </row>
    <row x14ac:dyDescent="0.25" r="28" customHeight="1" ht="17.25">
      <c r="A28" s="7">
        <v>45730</v>
      </c>
      <c r="B28" s="9" t="s">
        <v>35</v>
      </c>
      <c r="C28" s="6">
        <v>7</v>
      </c>
      <c r="D28" s="4"/>
      <c r="E28" s="6">
        <f>E27+C28-D28</f>
      </c>
    </row>
    <row x14ac:dyDescent="0.25" r="29" customHeight="1" ht="17.25">
      <c r="A29" s="8">
        <v>45735</v>
      </c>
      <c r="B29" s="9" t="s">
        <v>277</v>
      </c>
      <c r="C29" s="4"/>
      <c r="D29" s="6">
        <v>8</v>
      </c>
      <c r="E29" s="6">
        <f>E28+C29-D29</f>
      </c>
    </row>
    <row x14ac:dyDescent="0.25" r="30" customHeight="1" ht="17.25">
      <c r="A30" s="8">
        <v>45738</v>
      </c>
      <c r="B30" s="9" t="s">
        <v>35</v>
      </c>
      <c r="C30" s="6">
        <v>2</v>
      </c>
      <c r="D30" s="4"/>
      <c r="E30" s="6">
        <f>E29+C30-D30</f>
      </c>
    </row>
    <row x14ac:dyDescent="0.25" r="31" customHeight="1" ht="17.25">
      <c r="A31" s="7">
        <v>45758</v>
      </c>
      <c r="B31" s="9" t="s">
        <v>281</v>
      </c>
      <c r="C31" s="4"/>
      <c r="D31" s="6">
        <v>70</v>
      </c>
      <c r="E31" s="6">
        <f>E30+C31-D31</f>
      </c>
    </row>
    <row x14ac:dyDescent="0.25" r="32" customHeight="1" ht="17.25">
      <c r="A32" s="7">
        <v>45758</v>
      </c>
      <c r="B32" s="9" t="s">
        <v>35</v>
      </c>
      <c r="C32" s="6">
        <v>13</v>
      </c>
      <c r="D32" s="4"/>
      <c r="E32" s="6">
        <f>E31+C32-D32</f>
      </c>
    </row>
    <row x14ac:dyDescent="0.25" r="33" customHeight="1" ht="17.25">
      <c r="A33" s="7">
        <v>45759</v>
      </c>
      <c r="B33" s="9" t="s">
        <v>281</v>
      </c>
      <c r="C33" s="4"/>
      <c r="D33" s="6">
        <v>30</v>
      </c>
      <c r="E33" s="6">
        <f>E32+C33-D33</f>
      </c>
    </row>
    <row x14ac:dyDescent="0.25" r="34" customHeight="1" ht="17.25">
      <c r="A34" s="7">
        <v>45763</v>
      </c>
      <c r="B34" s="9" t="s">
        <v>327</v>
      </c>
      <c r="C34" s="4"/>
      <c r="D34" s="6">
        <v>20</v>
      </c>
      <c r="E34" s="6">
        <f>E33+C34-D34</f>
      </c>
    </row>
    <row x14ac:dyDescent="0.25" r="35" customHeight="1" ht="17.25">
      <c r="A35" s="7">
        <v>45764</v>
      </c>
      <c r="B35" s="9" t="s">
        <v>283</v>
      </c>
      <c r="C35" s="6">
        <v>3</v>
      </c>
      <c r="D35" s="4"/>
      <c r="E35" s="6">
        <f>E34+C35-D35</f>
      </c>
    </row>
    <row x14ac:dyDescent="0.25" r="36" customHeight="1" ht="17.25">
      <c r="A36" s="8">
        <v>45764</v>
      </c>
      <c r="B36" s="9" t="s">
        <v>35</v>
      </c>
      <c r="C36" s="6">
        <v>8</v>
      </c>
      <c r="D36" s="4"/>
      <c r="E36" s="6">
        <f>E35+C36-D36</f>
      </c>
    </row>
    <row x14ac:dyDescent="0.25" r="37" customHeight="1" ht="17.25">
      <c r="A37" s="7">
        <v>45776</v>
      </c>
      <c r="B37" s="9" t="s">
        <v>328</v>
      </c>
      <c r="C37" s="4"/>
      <c r="D37" s="6">
        <v>10</v>
      </c>
      <c r="E37" s="6">
        <f>E36+C37-D37</f>
      </c>
    </row>
    <row x14ac:dyDescent="0.25" r="38" customHeight="1" ht="17.25">
      <c r="A38" s="7">
        <v>45776</v>
      </c>
      <c r="B38" s="9" t="s">
        <v>288</v>
      </c>
      <c r="C38" s="6">
        <v>8</v>
      </c>
      <c r="D38" s="4"/>
      <c r="E38" s="6">
        <f>E37+C38-D38</f>
      </c>
    </row>
    <row x14ac:dyDescent="0.25" r="39" customHeight="1" ht="17.25">
      <c r="A39" s="7">
        <v>45782</v>
      </c>
      <c r="B39" s="9" t="s">
        <v>3</v>
      </c>
      <c r="C39" s="4"/>
      <c r="D39" s="6">
        <v>25</v>
      </c>
      <c r="E39" s="6">
        <f>E38+C39-D39</f>
      </c>
    </row>
    <row x14ac:dyDescent="0.25" r="40" customHeight="1" ht="17.25">
      <c r="A40" s="7">
        <v>45793</v>
      </c>
      <c r="B40" s="9" t="s">
        <v>3</v>
      </c>
      <c r="C40" s="4"/>
      <c r="D40" s="6">
        <v>30</v>
      </c>
      <c r="E40" s="6">
        <f>E39+C40-D40</f>
      </c>
    </row>
    <row x14ac:dyDescent="0.25" r="41" customHeight="1" ht="17.25">
      <c r="A41" s="8">
        <v>45797</v>
      </c>
      <c r="B41" s="9" t="s">
        <v>35</v>
      </c>
      <c r="C41" s="4"/>
      <c r="D41" s="6">
        <v>16</v>
      </c>
      <c r="E41" s="6">
        <f>E40+C41-D41</f>
      </c>
    </row>
    <row x14ac:dyDescent="0.25" r="42" customHeight="1" ht="17.25">
      <c r="A42" s="8">
        <v>45821</v>
      </c>
      <c r="B42" s="9" t="s">
        <v>329</v>
      </c>
      <c r="C42" s="6">
        <v>30</v>
      </c>
      <c r="D42" s="4"/>
      <c r="E42" s="6">
        <f>E41+C42-D42</f>
      </c>
    </row>
    <row x14ac:dyDescent="0.25" r="43" customHeight="1" ht="17.25">
      <c r="A43" s="7">
        <v>45834</v>
      </c>
      <c r="B43" s="9" t="s">
        <v>330</v>
      </c>
      <c r="C43" s="6">
        <v>97</v>
      </c>
      <c r="D43" s="4"/>
      <c r="E43" s="6">
        <f>E42+C43-D43</f>
      </c>
    </row>
    <row x14ac:dyDescent="0.25" r="44" customHeight="1" ht="17.25">
      <c r="A44" s="7">
        <v>45834</v>
      </c>
      <c r="B44" s="9" t="s">
        <v>232</v>
      </c>
      <c r="C44" s="4"/>
      <c r="D44" s="6">
        <v>50</v>
      </c>
      <c r="E44" s="6">
        <f>E43+C44-D44</f>
      </c>
    </row>
    <row x14ac:dyDescent="0.25" r="45" customHeight="1" ht="17.25">
      <c r="A45" s="7">
        <v>45834</v>
      </c>
      <c r="B45" s="9" t="s">
        <v>232</v>
      </c>
      <c r="C45" s="4"/>
      <c r="D45" s="6">
        <v>50</v>
      </c>
      <c r="E45" s="6">
        <f>E44+C45-D45</f>
      </c>
    </row>
    <row x14ac:dyDescent="0.25" r="46" customHeight="1" ht="17.25">
      <c r="A46" s="7">
        <v>45845</v>
      </c>
      <c r="B46" s="9" t="s">
        <v>281</v>
      </c>
      <c r="C46" s="6">
        <v>90</v>
      </c>
      <c r="D46" s="4"/>
      <c r="E46" s="6">
        <f>E45+C46-D46</f>
      </c>
    </row>
    <row x14ac:dyDescent="0.25" r="47" customHeight="1" ht="17.25">
      <c r="A47" s="7">
        <v>45848</v>
      </c>
      <c r="B47" s="9" t="s">
        <v>281</v>
      </c>
      <c r="C47" s="6">
        <v>3</v>
      </c>
      <c r="D47" s="4"/>
      <c r="E47" s="6">
        <f>E46+C47-D47</f>
      </c>
    </row>
    <row x14ac:dyDescent="0.25" r="48" customHeight="1" ht="17.25">
      <c r="A48" s="7">
        <v>45849</v>
      </c>
      <c r="B48" s="9" t="s">
        <v>281</v>
      </c>
      <c r="C48" s="4"/>
      <c r="D48" s="6">
        <v>1</v>
      </c>
      <c r="E48" s="6">
        <f>E47+C48-D48</f>
      </c>
    </row>
    <row x14ac:dyDescent="0.25" r="49" customHeight="1" ht="17.25">
      <c r="A49" s="7">
        <v>45864</v>
      </c>
      <c r="B49" s="9" t="s">
        <v>47</v>
      </c>
      <c r="C49" s="4"/>
      <c r="D49" s="6">
        <v>60</v>
      </c>
      <c r="E49" s="6">
        <f>E48+C49-D49</f>
      </c>
    </row>
    <row x14ac:dyDescent="0.25" r="50" customHeight="1" ht="17.25">
      <c r="A50" s="7">
        <v>45869</v>
      </c>
      <c r="B50" s="9" t="s">
        <v>47</v>
      </c>
      <c r="C50" s="4"/>
      <c r="D50" s="6">
        <v>50</v>
      </c>
      <c r="E50" s="6">
        <f>E49+C50-D50</f>
      </c>
    </row>
    <row x14ac:dyDescent="0.25" r="51" customHeight="1" ht="17.25">
      <c r="A51" s="8">
        <v>45870</v>
      </c>
      <c r="B51" s="9" t="s">
        <v>47</v>
      </c>
      <c r="C51" s="4"/>
      <c r="D51" s="6">
        <v>70</v>
      </c>
      <c r="E51" s="6">
        <f>E50+C51-D51</f>
      </c>
    </row>
    <row x14ac:dyDescent="0.25" r="52" customHeight="1" ht="17.25">
      <c r="A52" s="8">
        <v>45876</v>
      </c>
      <c r="B52" s="9" t="s">
        <v>308</v>
      </c>
      <c r="C52" s="4"/>
      <c r="D52" s="6">
        <v>30</v>
      </c>
      <c r="E52" s="6">
        <f>E51+C52-D52</f>
      </c>
    </row>
    <row x14ac:dyDescent="0.25" r="53" customHeight="1" ht="17.25">
      <c r="A53" s="7">
        <v>45876</v>
      </c>
      <c r="B53" s="9" t="s">
        <v>234</v>
      </c>
      <c r="C53" s="4"/>
      <c r="D53" s="6">
        <v>15</v>
      </c>
      <c r="E53" s="6">
        <f>E52+C53-D53</f>
      </c>
    </row>
    <row x14ac:dyDescent="0.25" r="54" customHeight="1" ht="17.25">
      <c r="A54" s="7">
        <v>45876</v>
      </c>
      <c r="B54" s="9" t="s">
        <v>35</v>
      </c>
      <c r="C54" s="6">
        <v>34</v>
      </c>
      <c r="D54" s="4"/>
      <c r="E54" s="6">
        <f>E53+C54-D54</f>
      </c>
    </row>
    <row x14ac:dyDescent="0.25" r="55" customHeight="1" ht="17.25">
      <c r="A55" s="7">
        <v>45877</v>
      </c>
      <c r="B55" s="9" t="s">
        <v>35</v>
      </c>
      <c r="C55" s="6">
        <v>28</v>
      </c>
      <c r="D55" s="4"/>
      <c r="E55" s="6">
        <f>E54+C55-D55</f>
      </c>
    </row>
    <row x14ac:dyDescent="0.25" r="56" customHeight="1" ht="17.25">
      <c r="A56" s="7">
        <v>45882</v>
      </c>
      <c r="B56" s="9" t="s">
        <v>256</v>
      </c>
      <c r="C56" s="4"/>
      <c r="D56" s="6">
        <v>40</v>
      </c>
      <c r="E56" s="6">
        <f>E55+C56-D56</f>
      </c>
    </row>
    <row x14ac:dyDescent="0.25" r="57" customHeight="1" ht="17.25">
      <c r="A57" s="7">
        <v>45885</v>
      </c>
      <c r="B57" s="9" t="s">
        <v>47</v>
      </c>
      <c r="C57" s="6">
        <v>1</v>
      </c>
      <c r="D57" s="4"/>
      <c r="E57" s="6">
        <f>E56+C57-D57</f>
      </c>
    </row>
    <row x14ac:dyDescent="0.25" r="58" customHeight="1" ht="17.25">
      <c r="A58" s="7">
        <v>45887</v>
      </c>
      <c r="B58" s="9" t="s">
        <v>35</v>
      </c>
      <c r="C58" s="6">
        <v>5</v>
      </c>
      <c r="D58" s="4"/>
      <c r="E58" s="6">
        <f>E57+C58-D58</f>
      </c>
    </row>
    <row x14ac:dyDescent="0.25" r="59" customHeight="1" ht="17.25">
      <c r="A59" s="7">
        <v>45894</v>
      </c>
      <c r="B59" s="9" t="s">
        <v>331</v>
      </c>
      <c r="C59" s="4"/>
      <c r="D59" s="6">
        <v>2</v>
      </c>
      <c r="E59" s="6">
        <f>E58+C59-D59</f>
      </c>
    </row>
    <row x14ac:dyDescent="0.25" r="60" customHeight="1" ht="17.25">
      <c r="A60" s="8">
        <v>45897</v>
      </c>
      <c r="B60" s="9" t="s">
        <v>47</v>
      </c>
      <c r="C60" s="6">
        <v>30</v>
      </c>
      <c r="D60" s="4"/>
      <c r="E60" s="6">
        <f>E59+C60-D60</f>
      </c>
    </row>
    <row x14ac:dyDescent="0.25" r="61" customHeight="1" ht="17.25">
      <c r="A61" s="8">
        <v>45902</v>
      </c>
      <c r="B61" s="9" t="s">
        <v>47</v>
      </c>
      <c r="C61" s="6">
        <v>106</v>
      </c>
      <c r="D61" s="4"/>
      <c r="E61" s="6">
        <f>E60+C61-D61</f>
      </c>
    </row>
    <row x14ac:dyDescent="0.25" r="62" customHeight="1" ht="17.25">
      <c r="A62" s="7">
        <v>45906</v>
      </c>
      <c r="B62" s="9" t="s">
        <v>3</v>
      </c>
      <c r="C62" s="4"/>
      <c r="D62" s="6">
        <v>3</v>
      </c>
      <c r="E62" s="6">
        <f>E61+C62-D62</f>
      </c>
    </row>
    <row x14ac:dyDescent="0.25" r="63" customHeight="1" ht="17.25">
      <c r="A63" s="8">
        <v>45910</v>
      </c>
      <c r="B63" s="9" t="s">
        <v>332</v>
      </c>
      <c r="C63" s="4"/>
      <c r="D63" s="6">
        <v>8</v>
      </c>
      <c r="E63" s="6">
        <f>E62+C63-D63</f>
      </c>
    </row>
    <row x14ac:dyDescent="0.25" r="64" customHeight="1" ht="17.25">
      <c r="A64" s="7">
        <v>45918</v>
      </c>
      <c r="B64" s="9" t="s">
        <v>333</v>
      </c>
      <c r="C64" s="4"/>
      <c r="D64" s="6">
        <v>60</v>
      </c>
      <c r="E64" s="6">
        <f>E63+C64-D64</f>
      </c>
    </row>
    <row x14ac:dyDescent="0.25" r="65" customHeight="1" ht="17.25">
      <c r="A65" s="7">
        <v>45924</v>
      </c>
      <c r="B65" s="9" t="s">
        <v>42</v>
      </c>
      <c r="C65" s="6">
        <v>2</v>
      </c>
      <c r="D65" s="4"/>
      <c r="E65" s="6">
        <f>E64+C65-D65</f>
      </c>
    </row>
    <row x14ac:dyDescent="0.25" r="66" customHeight="1" ht="17.25">
      <c r="A66" s="7">
        <v>45926</v>
      </c>
      <c r="B66" s="9" t="s">
        <v>333</v>
      </c>
      <c r="C66" s="4"/>
      <c r="D66" s="6">
        <v>20</v>
      </c>
      <c r="E66" s="6">
        <f>E65+C66-D66</f>
      </c>
    </row>
    <row x14ac:dyDescent="0.25" r="67" customHeight="1" ht="17.25">
      <c r="A67" s="7">
        <v>45961</v>
      </c>
      <c r="B67" s="9" t="s">
        <v>334</v>
      </c>
      <c r="C67" s="6">
        <v>2</v>
      </c>
      <c r="D67" s="4"/>
      <c r="E67" s="6">
        <f>E66+C67-D67</f>
      </c>
    </row>
    <row x14ac:dyDescent="0.25" r="68" customHeight="1" ht="17.25">
      <c r="A68" s="8">
        <v>45962</v>
      </c>
      <c r="B68" s="9" t="s">
        <v>3</v>
      </c>
      <c r="C68" s="6">
        <v>35</v>
      </c>
      <c r="D68" s="4"/>
      <c r="E68" s="6">
        <f>E67+C68-D68</f>
      </c>
    </row>
    <row x14ac:dyDescent="0.25" r="69" customHeight="1" ht="17.25">
      <c r="A69" s="7">
        <v>45968</v>
      </c>
      <c r="B69" s="9" t="s">
        <v>3</v>
      </c>
      <c r="C69" s="6">
        <v>10</v>
      </c>
      <c r="D69" s="4"/>
      <c r="E69" s="6">
        <f>E68+C69-D69</f>
      </c>
    </row>
    <row x14ac:dyDescent="0.25" r="70" customHeight="1" ht="17.25">
      <c r="A70" s="8">
        <v>45973</v>
      </c>
      <c r="B70" s="9" t="s">
        <v>234</v>
      </c>
      <c r="C70" s="6">
        <v>2</v>
      </c>
      <c r="D70" s="4"/>
      <c r="E70" s="6">
        <f>E69+C70-D70</f>
      </c>
    </row>
    <row x14ac:dyDescent="0.25" r="71" customHeight="1" ht="17.25">
      <c r="A71" s="8">
        <v>45979</v>
      </c>
      <c r="B71" s="9" t="s">
        <v>321</v>
      </c>
      <c r="C71" s="6">
        <v>20</v>
      </c>
      <c r="D71" s="4"/>
      <c r="E71" s="6">
        <f>E70+C71-D71</f>
      </c>
    </row>
    <row x14ac:dyDescent="0.25" r="72" customHeight="1" ht="17.25">
      <c r="A72" s="7">
        <v>45987</v>
      </c>
      <c r="B72" s="9" t="s">
        <v>244</v>
      </c>
      <c r="C72" s="4"/>
      <c r="D72" s="6">
        <v>130</v>
      </c>
      <c r="E72" s="6">
        <f>E71+C72-D72</f>
      </c>
    </row>
    <row x14ac:dyDescent="0.25" r="73" customHeight="1" ht="17.25">
      <c r="A73" s="8">
        <v>45987</v>
      </c>
      <c r="B73" s="9" t="s">
        <v>53</v>
      </c>
      <c r="C73" s="4"/>
      <c r="D73" s="6">
        <v>300</v>
      </c>
      <c r="E73" s="6">
        <f>E72+C73-D73</f>
      </c>
    </row>
    <row x14ac:dyDescent="0.25" r="74" customHeight="1" ht="17.25">
      <c r="A74" s="7">
        <v>45988</v>
      </c>
      <c r="B74" s="9" t="s">
        <v>324</v>
      </c>
      <c r="C74" s="6">
        <v>10</v>
      </c>
      <c r="D74" s="4"/>
      <c r="E74" s="6">
        <f>E73+C74-D74</f>
      </c>
    </row>
    <row x14ac:dyDescent="0.25" r="75" customHeight="1" ht="17.25">
      <c r="A75" s="7">
        <v>45992</v>
      </c>
      <c r="B75" s="9" t="s">
        <v>244</v>
      </c>
      <c r="C75" s="6">
        <v>77</v>
      </c>
      <c r="D75" s="4"/>
      <c r="E75" s="6">
        <f>E74+C75-D75</f>
      </c>
    </row>
    <row x14ac:dyDescent="0.25" r="76" customHeight="1" ht="17.25">
      <c r="A76" s="8">
        <v>46002</v>
      </c>
      <c r="B76" s="9" t="s">
        <v>42</v>
      </c>
      <c r="C76" s="4"/>
      <c r="D76" s="6">
        <v>40</v>
      </c>
      <c r="E76" s="6">
        <f>E75+C76-D76</f>
      </c>
    </row>
    <row x14ac:dyDescent="0.25" r="77" customHeight="1" ht="17.25">
      <c r="A77" s="7">
        <v>46003</v>
      </c>
      <c r="B77" s="9" t="s">
        <v>335</v>
      </c>
      <c r="C77" s="4"/>
      <c r="D77" s="6">
        <v>10</v>
      </c>
      <c r="E77" s="6">
        <f>E76+C77-D77</f>
      </c>
    </row>
    <row x14ac:dyDescent="0.25" r="78" customHeight="1" ht="17.25">
      <c r="A78" s="1"/>
      <c r="B78" s="2"/>
      <c r="C78" s="4"/>
      <c r="D78" s="4"/>
      <c r="E78" s="6">
        <f>E77+C78-D78</f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9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1.290714285714284" customWidth="1" bestFit="1"/>
    <col min="3" max="3" style="13" width="12.43357142857143" customWidth="1" bestFit="1"/>
    <col min="4" max="4" style="12" width="12.43357142857143" customWidth="1" bestFit="1"/>
    <col min="5" max="5" style="13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268</v>
      </c>
      <c r="B1" s="2"/>
      <c r="C1" s="4"/>
      <c r="D1" s="3"/>
      <c r="E1" s="4"/>
      <c r="F1" s="2"/>
    </row>
    <row x14ac:dyDescent="0.25" r="2" customHeight="1" ht="17.25">
      <c r="A2" s="1"/>
      <c r="B2" s="2"/>
      <c r="C2" s="4"/>
      <c r="D2" s="3"/>
      <c r="E2" s="4"/>
      <c r="F2" s="2"/>
    </row>
    <row x14ac:dyDescent="0.25" r="3" customHeight="1" ht="17.25">
      <c r="A3" s="7">
        <v>45658</v>
      </c>
      <c r="B3" s="2" t="s">
        <v>1</v>
      </c>
      <c r="C3" s="4"/>
      <c r="D3" s="3"/>
      <c r="E3" s="6">
        <v>413</v>
      </c>
      <c r="F3" s="2"/>
    </row>
    <row x14ac:dyDescent="0.25" r="4" customHeight="1" ht="17.25">
      <c r="A4" s="8">
        <v>45661</v>
      </c>
      <c r="B4" s="9" t="s">
        <v>257</v>
      </c>
      <c r="C4" s="6">
        <v>21</v>
      </c>
      <c r="D4" s="3"/>
      <c r="E4" s="6">
        <f>E3+C4-D4</f>
      </c>
      <c r="F4" s="2"/>
    </row>
    <row x14ac:dyDescent="0.25" r="5" customHeight="1" ht="17.25">
      <c r="A5" s="8">
        <v>45663</v>
      </c>
      <c r="B5" s="9" t="s">
        <v>269</v>
      </c>
      <c r="C5" s="6">
        <v>51</v>
      </c>
      <c r="D5" s="3"/>
      <c r="E5" s="6">
        <f>E4+C5-D5</f>
      </c>
      <c r="F5" s="2"/>
    </row>
    <row x14ac:dyDescent="0.25" r="6" customHeight="1" ht="17.25">
      <c r="A6" s="7">
        <v>45665</v>
      </c>
      <c r="B6" s="2" t="s">
        <v>39</v>
      </c>
      <c r="C6" s="4"/>
      <c r="D6" s="6">
        <v>100</v>
      </c>
      <c r="E6" s="6">
        <f>E5+C6-D6</f>
      </c>
      <c r="F6" s="2"/>
    </row>
    <row x14ac:dyDescent="0.25" r="7" customHeight="1" ht="17.25">
      <c r="A7" s="7">
        <v>45667</v>
      </c>
      <c r="B7" s="2" t="s">
        <v>270</v>
      </c>
      <c r="C7" s="4"/>
      <c r="D7" s="6">
        <v>20</v>
      </c>
      <c r="E7" s="6">
        <f>E6+C7-D7</f>
      </c>
      <c r="F7" s="2"/>
    </row>
    <row x14ac:dyDescent="0.25" r="8" customHeight="1" ht="17.25">
      <c r="A8" s="7">
        <v>45667</v>
      </c>
      <c r="B8" s="2" t="s">
        <v>131</v>
      </c>
      <c r="C8" s="6">
        <v>66</v>
      </c>
      <c r="D8" s="3"/>
      <c r="E8" s="6">
        <f>E7+C8-D8</f>
      </c>
      <c r="F8" s="2"/>
    </row>
    <row x14ac:dyDescent="0.25" r="9" customHeight="1" ht="17.25">
      <c r="A9" s="7">
        <v>45668</v>
      </c>
      <c r="B9" s="2" t="s">
        <v>256</v>
      </c>
      <c r="C9" s="6">
        <v>152</v>
      </c>
      <c r="D9" s="3"/>
      <c r="E9" s="6">
        <f>E8+C9-D9</f>
      </c>
      <c r="F9" s="2"/>
    </row>
    <row x14ac:dyDescent="0.25" r="10" customHeight="1" ht="17.25">
      <c r="A10" s="7">
        <v>45671</v>
      </c>
      <c r="B10" s="2" t="s">
        <v>269</v>
      </c>
      <c r="C10" s="6">
        <v>125</v>
      </c>
      <c r="D10" s="3"/>
      <c r="E10" s="6">
        <f>E9+C10-D10</f>
      </c>
      <c r="F10" s="2"/>
    </row>
    <row x14ac:dyDescent="0.25" r="11" customHeight="1" ht="17.25">
      <c r="A11" s="8">
        <v>45672</v>
      </c>
      <c r="B11" s="9" t="s">
        <v>271</v>
      </c>
      <c r="C11" s="6">
        <v>53</v>
      </c>
      <c r="D11" s="3"/>
      <c r="E11" s="6">
        <f>E10+C11-D11</f>
      </c>
      <c r="F11" s="2"/>
    </row>
    <row x14ac:dyDescent="0.25" r="12" customHeight="1" ht="17.25">
      <c r="A12" s="8">
        <v>45672</v>
      </c>
      <c r="B12" s="9" t="s">
        <v>271</v>
      </c>
      <c r="C12" s="6">
        <v>27</v>
      </c>
      <c r="D12" s="3"/>
      <c r="E12" s="6">
        <f>E11+C12-D12</f>
      </c>
      <c r="F12" s="2"/>
    </row>
    <row x14ac:dyDescent="0.25" r="13" customHeight="1" ht="17.25">
      <c r="A13" s="8">
        <v>45673</v>
      </c>
      <c r="B13" s="9" t="s">
        <v>269</v>
      </c>
      <c r="C13" s="6">
        <v>6</v>
      </c>
      <c r="D13" s="3"/>
      <c r="E13" s="6">
        <f>E12+C13-D13</f>
      </c>
      <c r="F13" s="2"/>
    </row>
    <row x14ac:dyDescent="0.25" r="14" customHeight="1" ht="17.25">
      <c r="A14" s="7">
        <v>45674</v>
      </c>
      <c r="B14" s="9" t="s">
        <v>256</v>
      </c>
      <c r="C14" s="6">
        <v>50</v>
      </c>
      <c r="D14" s="3"/>
      <c r="E14" s="6">
        <f>E13+C14-D14</f>
      </c>
      <c r="F14" s="2"/>
    </row>
    <row x14ac:dyDescent="0.25" r="15" customHeight="1" ht="17.25">
      <c r="A15" s="7">
        <v>45675</v>
      </c>
      <c r="B15" s="9" t="s">
        <v>272</v>
      </c>
      <c r="C15" s="4"/>
      <c r="D15" s="6">
        <v>150</v>
      </c>
      <c r="E15" s="6">
        <f>E14+C15-D15</f>
      </c>
      <c r="F15" s="2"/>
    </row>
    <row x14ac:dyDescent="0.25" r="16" customHeight="1" ht="17.25">
      <c r="A16" s="8">
        <v>45675</v>
      </c>
      <c r="B16" s="9" t="s">
        <v>240</v>
      </c>
      <c r="C16" s="6">
        <v>2</v>
      </c>
      <c r="D16" s="3"/>
      <c r="E16" s="6">
        <f>E15+C16-D16</f>
      </c>
      <c r="F16" s="2"/>
    </row>
    <row x14ac:dyDescent="0.25" r="17" customHeight="1" ht="17.25">
      <c r="A17" s="7">
        <v>45679</v>
      </c>
      <c r="B17" s="9" t="s">
        <v>29</v>
      </c>
      <c r="C17" s="4"/>
      <c r="D17" s="6">
        <v>50</v>
      </c>
      <c r="E17" s="6">
        <f>E16+C17-D17</f>
      </c>
      <c r="F17" s="2"/>
    </row>
    <row x14ac:dyDescent="0.25" r="18" customHeight="1" ht="17.25">
      <c r="A18" s="7">
        <v>45679</v>
      </c>
      <c r="B18" s="2" t="s">
        <v>256</v>
      </c>
      <c r="C18" s="6">
        <v>42</v>
      </c>
      <c r="D18" s="3"/>
      <c r="E18" s="6">
        <f>E17+C18-D18</f>
      </c>
      <c r="F18" s="2"/>
    </row>
    <row x14ac:dyDescent="0.25" r="19" customHeight="1" ht="17.25">
      <c r="A19" s="8">
        <v>45680</v>
      </c>
      <c r="B19" s="9" t="s">
        <v>132</v>
      </c>
      <c r="C19" s="4"/>
      <c r="D19" s="6">
        <v>16</v>
      </c>
      <c r="E19" s="6">
        <f>E18+C19-D19</f>
      </c>
      <c r="F19" s="2"/>
    </row>
    <row x14ac:dyDescent="0.25" r="20" customHeight="1" ht="17.25">
      <c r="A20" s="8">
        <v>45680</v>
      </c>
      <c r="B20" s="9" t="s">
        <v>269</v>
      </c>
      <c r="C20" s="6">
        <v>9</v>
      </c>
      <c r="D20" s="3"/>
      <c r="E20" s="6">
        <f>E19+C20-D20</f>
      </c>
      <c r="F20" s="2"/>
    </row>
    <row x14ac:dyDescent="0.25" r="21" customHeight="1" ht="17.25">
      <c r="A21" s="8">
        <v>45682</v>
      </c>
      <c r="B21" s="9" t="s">
        <v>123</v>
      </c>
      <c r="C21" s="6">
        <v>4</v>
      </c>
      <c r="D21" s="3"/>
      <c r="E21" s="6">
        <f>E20+C21-D21</f>
      </c>
      <c r="F21" s="2"/>
    </row>
    <row x14ac:dyDescent="0.25" r="22" customHeight="1" ht="17.25">
      <c r="A22" s="8">
        <v>45685</v>
      </c>
      <c r="B22" s="9" t="s">
        <v>259</v>
      </c>
      <c r="C22" s="6">
        <v>39</v>
      </c>
      <c r="D22" s="3"/>
      <c r="E22" s="6">
        <f>E21+C22-D22</f>
      </c>
      <c r="F22" s="2"/>
    </row>
    <row x14ac:dyDescent="0.25" r="23" customHeight="1" ht="17.25">
      <c r="A23" s="8">
        <v>45687</v>
      </c>
      <c r="B23" s="9" t="s">
        <v>35</v>
      </c>
      <c r="C23" s="6">
        <v>100</v>
      </c>
      <c r="D23" s="3"/>
      <c r="E23" s="6">
        <f>E22+C23-D23</f>
      </c>
      <c r="F23" s="2"/>
    </row>
    <row x14ac:dyDescent="0.25" r="24" customHeight="1" ht="17.25">
      <c r="A24" s="8">
        <v>45688</v>
      </c>
      <c r="B24" s="9" t="s">
        <v>39</v>
      </c>
      <c r="C24" s="6">
        <v>75</v>
      </c>
      <c r="D24" s="3"/>
      <c r="E24" s="6">
        <f>E23+C24-D24</f>
      </c>
      <c r="F24" s="2"/>
    </row>
    <row x14ac:dyDescent="0.25" r="25" customHeight="1" ht="17.25">
      <c r="A25" s="8">
        <v>45689</v>
      </c>
      <c r="B25" s="9" t="s">
        <v>39</v>
      </c>
      <c r="C25" s="6">
        <v>132</v>
      </c>
      <c r="D25" s="3"/>
      <c r="E25" s="6">
        <f>E24+C25-D25</f>
      </c>
      <c r="F25" s="2"/>
    </row>
    <row x14ac:dyDescent="0.25" r="26" customHeight="1" ht="17.25">
      <c r="A26" s="8">
        <v>45691</v>
      </c>
      <c r="B26" s="9" t="s">
        <v>273</v>
      </c>
      <c r="C26" s="6">
        <v>19</v>
      </c>
      <c r="D26" s="3"/>
      <c r="E26" s="6">
        <f>E25+C26-D26</f>
      </c>
      <c r="F26" s="2"/>
    </row>
    <row x14ac:dyDescent="0.25" r="27" customHeight="1" ht="17.25">
      <c r="A27" s="8">
        <v>45693</v>
      </c>
      <c r="B27" s="9" t="s">
        <v>269</v>
      </c>
      <c r="C27" s="6">
        <v>17</v>
      </c>
      <c r="D27" s="3"/>
      <c r="E27" s="6">
        <f>E26+C27-D27</f>
      </c>
      <c r="F27" s="2"/>
    </row>
    <row x14ac:dyDescent="0.25" r="28" customHeight="1" ht="17.25">
      <c r="A28" s="8">
        <v>45694</v>
      </c>
      <c r="B28" s="9" t="s">
        <v>131</v>
      </c>
      <c r="C28" s="6">
        <v>50</v>
      </c>
      <c r="D28" s="3"/>
      <c r="E28" s="6">
        <f>E27+C28-D28</f>
      </c>
      <c r="F28" s="2"/>
    </row>
    <row x14ac:dyDescent="0.25" r="29" customHeight="1" ht="17.25">
      <c r="A29" s="7">
        <v>45694</v>
      </c>
      <c r="B29" s="9" t="s">
        <v>59</v>
      </c>
      <c r="C29" s="6">
        <v>167</v>
      </c>
      <c r="D29" s="3"/>
      <c r="E29" s="6">
        <f>E28+C29-D29</f>
      </c>
      <c r="F29" s="2"/>
    </row>
    <row x14ac:dyDescent="0.25" r="30" customHeight="1" ht="17.25">
      <c r="A30" s="7">
        <v>45696</v>
      </c>
      <c r="B30" s="9" t="s">
        <v>35</v>
      </c>
      <c r="C30" s="6">
        <v>186</v>
      </c>
      <c r="D30" s="3"/>
      <c r="E30" s="6">
        <f>E29+C30-D30</f>
      </c>
      <c r="F30" s="2"/>
    </row>
    <row x14ac:dyDescent="0.25" r="31" customHeight="1" ht="17.25">
      <c r="A31" s="8">
        <v>45697</v>
      </c>
      <c r="B31" s="9" t="s">
        <v>29</v>
      </c>
      <c r="C31" s="4"/>
      <c r="D31" s="6">
        <v>50</v>
      </c>
      <c r="E31" s="6">
        <f>E30+C31-D31</f>
      </c>
      <c r="F31" s="2"/>
    </row>
    <row x14ac:dyDescent="0.25" r="32" customHeight="1" ht="17.25">
      <c r="A32" s="8">
        <v>45698</v>
      </c>
      <c r="B32" s="9" t="s">
        <v>35</v>
      </c>
      <c r="C32" s="6">
        <v>24</v>
      </c>
      <c r="D32" s="3"/>
      <c r="E32" s="6">
        <f>E31+C32-D32</f>
      </c>
      <c r="F32" s="2"/>
    </row>
    <row x14ac:dyDescent="0.25" r="33" customHeight="1" ht="17.25">
      <c r="A33" s="7">
        <v>45699</v>
      </c>
      <c r="B33" s="9" t="s">
        <v>29</v>
      </c>
      <c r="C33" s="4"/>
      <c r="D33" s="6">
        <v>50</v>
      </c>
      <c r="E33" s="6">
        <f>E32+C33-D33</f>
      </c>
      <c r="F33" s="2"/>
    </row>
    <row x14ac:dyDescent="0.25" r="34" customHeight="1" ht="17.25">
      <c r="A34" s="8">
        <v>45699</v>
      </c>
      <c r="B34" s="9" t="s">
        <v>131</v>
      </c>
      <c r="C34" s="6">
        <v>29</v>
      </c>
      <c r="D34" s="3"/>
      <c r="E34" s="6">
        <f>E33+C34-D34</f>
      </c>
      <c r="F34" s="2"/>
    </row>
    <row x14ac:dyDescent="0.25" r="35" customHeight="1" ht="17.25">
      <c r="A35" s="8">
        <v>45705</v>
      </c>
      <c r="B35" s="9" t="s">
        <v>131</v>
      </c>
      <c r="C35" s="6">
        <v>12</v>
      </c>
      <c r="D35" s="3"/>
      <c r="E35" s="6">
        <f>E34+C35-D35</f>
      </c>
      <c r="F35" s="2"/>
    </row>
    <row x14ac:dyDescent="0.25" r="36" customHeight="1" ht="17.25">
      <c r="A36" s="8">
        <v>45707</v>
      </c>
      <c r="B36" s="9" t="s">
        <v>35</v>
      </c>
      <c r="C36" s="6">
        <v>28</v>
      </c>
      <c r="D36" s="3"/>
      <c r="E36" s="6">
        <f>E35+C36-D36</f>
      </c>
      <c r="F36" s="2"/>
    </row>
    <row x14ac:dyDescent="0.25" r="37" customHeight="1" ht="17.25">
      <c r="A37" s="7">
        <v>45708</v>
      </c>
      <c r="B37" s="9" t="s">
        <v>272</v>
      </c>
      <c r="C37" s="4"/>
      <c r="D37" s="6">
        <v>25</v>
      </c>
      <c r="E37" s="6">
        <f>E36+C37-D37</f>
      </c>
      <c r="F37" s="2"/>
    </row>
    <row x14ac:dyDescent="0.25" r="38" customHeight="1" ht="17.25">
      <c r="A38" s="7">
        <v>45708</v>
      </c>
      <c r="B38" s="9" t="s">
        <v>59</v>
      </c>
      <c r="C38" s="6">
        <v>199</v>
      </c>
      <c r="D38" s="3"/>
      <c r="E38" s="6">
        <f>E37+C38-D38</f>
      </c>
      <c r="F38" s="2"/>
    </row>
    <row x14ac:dyDescent="0.25" r="39" customHeight="1" ht="17.25">
      <c r="A39" s="7">
        <v>45709</v>
      </c>
      <c r="B39" s="9" t="s">
        <v>39</v>
      </c>
      <c r="C39" s="6">
        <v>37</v>
      </c>
      <c r="D39" s="3"/>
      <c r="E39" s="6">
        <f>E38+C39-D39</f>
      </c>
      <c r="F39" s="2"/>
    </row>
    <row x14ac:dyDescent="0.25" r="40" customHeight="1" ht="17.25">
      <c r="A40" s="8">
        <v>45709</v>
      </c>
      <c r="B40" s="9" t="s">
        <v>35</v>
      </c>
      <c r="C40" s="6">
        <v>58</v>
      </c>
      <c r="D40" s="3"/>
      <c r="E40" s="6">
        <f>E39+C40-D40</f>
      </c>
      <c r="F40" s="2"/>
    </row>
    <row x14ac:dyDescent="0.25" r="41" customHeight="1" ht="17.25">
      <c r="A41" s="7">
        <v>45709</v>
      </c>
      <c r="B41" s="9" t="s">
        <v>269</v>
      </c>
      <c r="C41" s="6">
        <v>107</v>
      </c>
      <c r="D41" s="3"/>
      <c r="E41" s="6">
        <f>E40+C41-D41</f>
      </c>
      <c r="F41" s="2"/>
    </row>
    <row x14ac:dyDescent="0.25" r="42" customHeight="1" ht="17.25">
      <c r="A42" s="8">
        <v>45710</v>
      </c>
      <c r="B42" s="9" t="s">
        <v>35</v>
      </c>
      <c r="C42" s="6">
        <v>50</v>
      </c>
      <c r="D42" s="3"/>
      <c r="E42" s="6">
        <f>E41+C42-D42</f>
      </c>
      <c r="F42" s="2"/>
    </row>
    <row x14ac:dyDescent="0.25" r="43" customHeight="1" ht="17.25">
      <c r="A43" s="7">
        <v>45712</v>
      </c>
      <c r="B43" s="9" t="s">
        <v>35</v>
      </c>
      <c r="C43" s="6">
        <v>41</v>
      </c>
      <c r="D43" s="3"/>
      <c r="E43" s="6">
        <f>E42+C43-D43</f>
      </c>
      <c r="F43" s="2"/>
    </row>
    <row x14ac:dyDescent="0.25" r="44" customHeight="1" ht="17.25">
      <c r="A44" s="8">
        <v>45712</v>
      </c>
      <c r="B44" s="9" t="s">
        <v>257</v>
      </c>
      <c r="C44" s="6">
        <v>3</v>
      </c>
      <c r="D44" s="3"/>
      <c r="E44" s="6">
        <f>E43+C44-D44</f>
      </c>
      <c r="F44" s="2"/>
    </row>
    <row x14ac:dyDescent="0.25" r="45" customHeight="1" ht="17.25">
      <c r="A45" s="8">
        <v>45712</v>
      </c>
      <c r="B45" s="9" t="s">
        <v>270</v>
      </c>
      <c r="C45" s="6">
        <v>20</v>
      </c>
      <c r="D45" s="3"/>
      <c r="E45" s="6">
        <f>E44+C45-D45</f>
      </c>
      <c r="F45" s="2"/>
    </row>
    <row x14ac:dyDescent="0.25" r="46" customHeight="1" ht="17.25">
      <c r="A46" s="8">
        <v>45712</v>
      </c>
      <c r="B46" s="9" t="s">
        <v>274</v>
      </c>
      <c r="C46" s="6">
        <v>2</v>
      </c>
      <c r="D46" s="3"/>
      <c r="E46" s="6">
        <f>E45+C46-D46</f>
      </c>
      <c r="F46" s="2"/>
    </row>
    <row x14ac:dyDescent="0.25" r="47" customHeight="1" ht="17.25">
      <c r="A47" s="8">
        <v>45713</v>
      </c>
      <c r="B47" s="9" t="s">
        <v>131</v>
      </c>
      <c r="C47" s="6">
        <v>28</v>
      </c>
      <c r="D47" s="3"/>
      <c r="E47" s="6">
        <f>E46+C47-D47</f>
      </c>
      <c r="F47" s="2"/>
    </row>
    <row x14ac:dyDescent="0.25" r="48" customHeight="1" ht="17.25">
      <c r="A48" s="8">
        <v>45714</v>
      </c>
      <c r="B48" s="9" t="s">
        <v>39</v>
      </c>
      <c r="C48" s="6">
        <v>30</v>
      </c>
      <c r="D48" s="3"/>
      <c r="E48" s="6">
        <f>E47+C48-D48</f>
      </c>
      <c r="F48" s="2"/>
    </row>
    <row x14ac:dyDescent="0.25" r="49" customHeight="1" ht="17.25">
      <c r="A49" s="7">
        <v>45715</v>
      </c>
      <c r="B49" s="9" t="s">
        <v>240</v>
      </c>
      <c r="C49" s="6">
        <v>1</v>
      </c>
      <c r="D49" s="3"/>
      <c r="E49" s="6">
        <f>E48+C49-D49</f>
      </c>
      <c r="F49" s="2"/>
    </row>
    <row x14ac:dyDescent="0.25" r="50" customHeight="1" ht="17.25">
      <c r="A50" s="7">
        <v>45717</v>
      </c>
      <c r="B50" s="9" t="s">
        <v>131</v>
      </c>
      <c r="C50" s="6">
        <v>6</v>
      </c>
      <c r="D50" s="3"/>
      <c r="E50" s="6">
        <f>E49+C50-D50</f>
      </c>
      <c r="F50" s="2"/>
    </row>
    <row x14ac:dyDescent="0.25" r="51" customHeight="1" ht="17.25">
      <c r="A51" s="8">
        <v>45721</v>
      </c>
      <c r="B51" s="9" t="s">
        <v>39</v>
      </c>
      <c r="C51" s="6">
        <v>75</v>
      </c>
      <c r="D51" s="3"/>
      <c r="E51" s="6">
        <f>E50+C51-D51</f>
      </c>
      <c r="F51" s="2"/>
    </row>
    <row x14ac:dyDescent="0.25" r="52" customHeight="1" ht="17.25">
      <c r="A52" s="8">
        <v>45722</v>
      </c>
      <c r="B52" s="9" t="s">
        <v>35</v>
      </c>
      <c r="C52" s="6">
        <v>41</v>
      </c>
      <c r="D52" s="3"/>
      <c r="E52" s="6">
        <f>E51+C52-D52</f>
      </c>
      <c r="F52" s="2"/>
    </row>
    <row x14ac:dyDescent="0.25" r="53" customHeight="1" ht="17.25">
      <c r="A53" s="7">
        <v>45726</v>
      </c>
      <c r="B53" s="9" t="s">
        <v>35</v>
      </c>
      <c r="C53" s="6">
        <v>32</v>
      </c>
      <c r="D53" s="3"/>
      <c r="E53" s="6">
        <f>E52+C53-D53</f>
      </c>
      <c r="F53" s="2"/>
    </row>
    <row x14ac:dyDescent="0.25" r="54" customHeight="1" ht="17.25">
      <c r="A54" s="7">
        <v>45726</v>
      </c>
      <c r="B54" s="9" t="s">
        <v>275</v>
      </c>
      <c r="C54" s="6">
        <v>14</v>
      </c>
      <c r="D54" s="3"/>
      <c r="E54" s="6">
        <f>E53+C54-D54</f>
      </c>
      <c r="F54" s="2"/>
    </row>
    <row x14ac:dyDescent="0.25" r="55" customHeight="1" ht="17.25">
      <c r="A55" s="7">
        <v>45726</v>
      </c>
      <c r="B55" s="9" t="s">
        <v>35</v>
      </c>
      <c r="C55" s="6">
        <v>59</v>
      </c>
      <c r="D55" s="3"/>
      <c r="E55" s="6">
        <f>E54+C55-D55</f>
      </c>
      <c r="F55" s="2"/>
    </row>
    <row x14ac:dyDescent="0.25" r="56" customHeight="1" ht="17.25">
      <c r="A56" s="8">
        <v>45727</v>
      </c>
      <c r="B56" s="9" t="s">
        <v>35</v>
      </c>
      <c r="C56" s="6">
        <v>51</v>
      </c>
      <c r="D56" s="3"/>
      <c r="E56" s="6">
        <f>E55+C56-D56</f>
      </c>
      <c r="F56" s="2"/>
    </row>
    <row x14ac:dyDescent="0.25" r="57" customHeight="1" ht="17.25">
      <c r="A57" s="7">
        <v>45728</v>
      </c>
      <c r="B57" s="9" t="s">
        <v>132</v>
      </c>
      <c r="C57" s="6">
        <v>16</v>
      </c>
      <c r="D57" s="3"/>
      <c r="E57" s="6">
        <f>E56+C57-D57</f>
      </c>
      <c r="F57" s="2"/>
    </row>
    <row x14ac:dyDescent="0.25" r="58" customHeight="1" ht="17.25">
      <c r="A58" s="7">
        <v>45730</v>
      </c>
      <c r="B58" s="9" t="s">
        <v>276</v>
      </c>
      <c r="C58" s="4"/>
      <c r="D58" s="6">
        <v>150</v>
      </c>
      <c r="E58" s="6">
        <f>E57+C58-D58</f>
      </c>
      <c r="F58" s="2"/>
    </row>
    <row x14ac:dyDescent="0.25" r="59" customHeight="1" ht="17.25">
      <c r="A59" s="7">
        <v>45730</v>
      </c>
      <c r="B59" s="9" t="s">
        <v>35</v>
      </c>
      <c r="C59" s="6">
        <v>21</v>
      </c>
      <c r="D59" s="3"/>
      <c r="E59" s="6">
        <f>E58+C59-D59</f>
      </c>
      <c r="F59" s="2"/>
    </row>
    <row x14ac:dyDescent="0.25" r="60" customHeight="1" ht="17.25">
      <c r="A60" s="7">
        <v>45733</v>
      </c>
      <c r="B60" s="9" t="s">
        <v>234</v>
      </c>
      <c r="C60" s="4"/>
      <c r="D60" s="6">
        <v>20</v>
      </c>
      <c r="E60" s="6">
        <f>E59+C60-D60</f>
      </c>
      <c r="F60" s="2"/>
    </row>
    <row x14ac:dyDescent="0.25" r="61" customHeight="1" ht="17.25">
      <c r="A61" s="7">
        <v>45733</v>
      </c>
      <c r="B61" s="9" t="s">
        <v>273</v>
      </c>
      <c r="C61" s="6">
        <v>7</v>
      </c>
      <c r="D61" s="3"/>
      <c r="E61" s="6">
        <f>E60+C61-D61</f>
      </c>
      <c r="F61" s="2"/>
    </row>
    <row x14ac:dyDescent="0.25" r="62" customHeight="1" ht="17.25">
      <c r="A62" s="7">
        <v>45735</v>
      </c>
      <c r="B62" s="9" t="s">
        <v>277</v>
      </c>
      <c r="C62" s="4"/>
      <c r="D62" s="6">
        <v>32</v>
      </c>
      <c r="E62" s="6">
        <f>E61+C62-D62</f>
      </c>
      <c r="F62" s="2"/>
    </row>
    <row x14ac:dyDescent="0.25" r="63" customHeight="1" ht="17.25">
      <c r="A63" s="7">
        <v>45736</v>
      </c>
      <c r="B63" s="9" t="s">
        <v>234</v>
      </c>
      <c r="C63" s="4"/>
      <c r="D63" s="6">
        <v>20</v>
      </c>
      <c r="E63" s="6">
        <f>E62+C63-D63</f>
      </c>
      <c r="F63" s="2"/>
    </row>
    <row x14ac:dyDescent="0.25" r="64" customHeight="1" ht="17.25">
      <c r="A64" s="7">
        <v>45737</v>
      </c>
      <c r="B64" s="9" t="s">
        <v>257</v>
      </c>
      <c r="C64" s="6">
        <v>40</v>
      </c>
      <c r="D64" s="3"/>
      <c r="E64" s="6">
        <f>E63+C64-D64</f>
      </c>
      <c r="F64" s="2"/>
    </row>
    <row x14ac:dyDescent="0.25" r="65" customHeight="1" ht="17.25">
      <c r="A65" s="8">
        <v>45738</v>
      </c>
      <c r="B65" s="9" t="s">
        <v>35</v>
      </c>
      <c r="C65" s="6">
        <v>97</v>
      </c>
      <c r="D65" s="3"/>
      <c r="E65" s="6">
        <f>E64+C65-D65</f>
      </c>
      <c r="F65" s="2"/>
    </row>
    <row x14ac:dyDescent="0.25" r="66" customHeight="1" ht="17.25">
      <c r="A66" s="8">
        <v>45740</v>
      </c>
      <c r="B66" s="9" t="s">
        <v>272</v>
      </c>
      <c r="C66" s="6">
        <v>28</v>
      </c>
      <c r="D66" s="3"/>
      <c r="E66" s="6">
        <f>E65+C66-D66</f>
      </c>
      <c r="F66" s="2"/>
    </row>
    <row x14ac:dyDescent="0.25" r="67" customHeight="1" ht="17.25">
      <c r="A67" s="7">
        <v>45741</v>
      </c>
      <c r="B67" s="9" t="s">
        <v>59</v>
      </c>
      <c r="C67" s="4"/>
      <c r="D67" s="6">
        <v>70</v>
      </c>
      <c r="E67" s="6">
        <f>E66+C67-D67</f>
      </c>
      <c r="F67" s="2"/>
    </row>
    <row x14ac:dyDescent="0.25" r="68" customHeight="1" ht="17.25">
      <c r="A68" s="7">
        <v>45741</v>
      </c>
      <c r="B68" s="9" t="s">
        <v>59</v>
      </c>
      <c r="C68" s="4"/>
      <c r="D68" s="6">
        <v>70</v>
      </c>
      <c r="E68" s="6">
        <f>E67+C68-D68</f>
      </c>
      <c r="F68" s="2"/>
    </row>
    <row x14ac:dyDescent="0.25" r="69" customHeight="1" ht="17.25">
      <c r="A69" s="8">
        <v>45741</v>
      </c>
      <c r="B69" s="9" t="s">
        <v>272</v>
      </c>
      <c r="C69" s="6">
        <v>26</v>
      </c>
      <c r="D69" s="3"/>
      <c r="E69" s="6">
        <f>E68+C69-D69</f>
      </c>
      <c r="F69" s="2"/>
    </row>
    <row x14ac:dyDescent="0.25" r="70" customHeight="1" ht="17.25">
      <c r="A70" s="7">
        <v>45742</v>
      </c>
      <c r="B70" s="9" t="s">
        <v>59</v>
      </c>
      <c r="C70" s="4"/>
      <c r="D70" s="6">
        <v>60</v>
      </c>
      <c r="E70" s="6">
        <f>E69+C70-D70</f>
      </c>
      <c r="F70" s="2"/>
    </row>
    <row x14ac:dyDescent="0.25" r="71" customHeight="1" ht="17.25">
      <c r="A71" s="7">
        <v>45754</v>
      </c>
      <c r="B71" s="9" t="s">
        <v>232</v>
      </c>
      <c r="C71" s="4"/>
      <c r="D71" s="6">
        <v>220</v>
      </c>
      <c r="E71" s="6">
        <f>E70+C71-D71</f>
      </c>
      <c r="F71" s="2" t="s">
        <v>278</v>
      </c>
    </row>
    <row x14ac:dyDescent="0.25" r="72" customHeight="1" ht="17.25">
      <c r="A72" s="7">
        <v>45754</v>
      </c>
      <c r="B72" s="9" t="s">
        <v>232</v>
      </c>
      <c r="C72" s="4"/>
      <c r="D72" s="6">
        <v>80</v>
      </c>
      <c r="E72" s="6">
        <f>E71+C72-D72</f>
      </c>
      <c r="F72" s="2" t="s">
        <v>279</v>
      </c>
    </row>
    <row x14ac:dyDescent="0.25" r="73" customHeight="1" ht="17.25">
      <c r="A73" s="7">
        <v>45754</v>
      </c>
      <c r="B73" s="37" t="s">
        <v>280</v>
      </c>
      <c r="C73" s="4"/>
      <c r="D73" s="6">
        <v>20</v>
      </c>
      <c r="E73" s="6">
        <f>E72+C73-D73</f>
      </c>
      <c r="F73" s="2"/>
    </row>
    <row x14ac:dyDescent="0.25" r="74" customHeight="1" ht="17.25">
      <c r="A74" s="8">
        <v>45755</v>
      </c>
      <c r="B74" s="9" t="s">
        <v>232</v>
      </c>
      <c r="C74" s="4"/>
      <c r="D74" s="6">
        <v>50</v>
      </c>
      <c r="E74" s="6">
        <f>E73+C74-D74</f>
      </c>
      <c r="F74" s="2"/>
    </row>
    <row x14ac:dyDescent="0.25" r="75" customHeight="1" ht="17.25">
      <c r="A75" s="7">
        <v>45755</v>
      </c>
      <c r="B75" s="9" t="s">
        <v>262</v>
      </c>
      <c r="C75" s="4"/>
      <c r="D75" s="6">
        <v>18</v>
      </c>
      <c r="E75" s="6">
        <f>E74+C75-D75</f>
      </c>
      <c r="F75" s="2"/>
    </row>
    <row x14ac:dyDescent="0.25" r="76" customHeight="1" ht="17.25">
      <c r="A76" s="7">
        <v>45758</v>
      </c>
      <c r="B76" s="9" t="s">
        <v>281</v>
      </c>
      <c r="C76" s="4"/>
      <c r="D76" s="6">
        <v>65</v>
      </c>
      <c r="E76" s="6">
        <f>E75+C76-D76</f>
      </c>
      <c r="F76" s="2"/>
    </row>
    <row x14ac:dyDescent="0.25" r="77" customHeight="1" ht="17.25">
      <c r="A77" s="7">
        <v>45759</v>
      </c>
      <c r="B77" s="9" t="s">
        <v>281</v>
      </c>
      <c r="C77" s="4"/>
      <c r="D77" s="6">
        <v>65</v>
      </c>
      <c r="E77" s="6">
        <f>E76+C77-D77</f>
      </c>
      <c r="F77" s="2"/>
    </row>
    <row x14ac:dyDescent="0.25" r="78" customHeight="1" ht="17.25">
      <c r="A78" s="7">
        <v>45759</v>
      </c>
      <c r="B78" s="9" t="s">
        <v>281</v>
      </c>
      <c r="C78" s="4"/>
      <c r="D78" s="6">
        <v>70</v>
      </c>
      <c r="E78" s="6">
        <f>E77+C78-D78</f>
      </c>
      <c r="F78" s="2"/>
    </row>
    <row x14ac:dyDescent="0.25" r="79" customHeight="1" ht="17.25">
      <c r="A79" s="8">
        <v>45761</v>
      </c>
      <c r="B79" s="9" t="s">
        <v>282</v>
      </c>
      <c r="C79" s="4"/>
      <c r="D79" s="6">
        <v>6</v>
      </c>
      <c r="E79" s="6">
        <f>E78+C79-D79</f>
      </c>
      <c r="F79" s="2"/>
    </row>
    <row x14ac:dyDescent="0.25" r="80" customHeight="1" ht="17.25">
      <c r="A80" s="7">
        <v>45763</v>
      </c>
      <c r="B80" s="37" t="s">
        <v>280</v>
      </c>
      <c r="C80" s="4"/>
      <c r="D80" s="6">
        <v>30</v>
      </c>
      <c r="E80" s="6">
        <f>E79+C80-D80</f>
      </c>
      <c r="F80" s="2"/>
    </row>
    <row x14ac:dyDescent="0.25" r="81" customHeight="1" ht="17.25">
      <c r="A81" s="7">
        <v>45764</v>
      </c>
      <c r="B81" s="9" t="s">
        <v>283</v>
      </c>
      <c r="C81" s="6">
        <v>207</v>
      </c>
      <c r="D81" s="3"/>
      <c r="E81" s="6">
        <f>E80+C81-D81</f>
      </c>
      <c r="F81" s="2"/>
    </row>
    <row x14ac:dyDescent="0.25" r="82" customHeight="1" ht="17.25">
      <c r="A82" s="7">
        <v>45764</v>
      </c>
      <c r="B82" s="9" t="s">
        <v>259</v>
      </c>
      <c r="C82" s="6">
        <v>58</v>
      </c>
      <c r="D82" s="3"/>
      <c r="E82" s="6">
        <f>E81+C82-D82</f>
      </c>
      <c r="F82" s="2"/>
    </row>
    <row x14ac:dyDescent="0.25" r="83" customHeight="1" ht="17.25">
      <c r="A83" s="8">
        <v>45764</v>
      </c>
      <c r="B83" s="9" t="s">
        <v>35</v>
      </c>
      <c r="C83" s="6">
        <v>108</v>
      </c>
      <c r="D83" s="3"/>
      <c r="E83" s="6">
        <f>E82+C83-D83</f>
      </c>
      <c r="F83" s="2"/>
    </row>
    <row x14ac:dyDescent="0.25" r="84" customHeight="1" ht="17.25">
      <c r="A84" s="8">
        <v>45768</v>
      </c>
      <c r="B84" s="9" t="s">
        <v>284</v>
      </c>
      <c r="C84" s="4"/>
      <c r="D84" s="6">
        <v>100</v>
      </c>
      <c r="E84" s="6">
        <f>E83+C84-D84</f>
      </c>
      <c r="F84" s="2"/>
    </row>
    <row x14ac:dyDescent="0.25" r="85" customHeight="1" ht="17.25">
      <c r="A85" s="8">
        <v>45768</v>
      </c>
      <c r="B85" s="9" t="s">
        <v>272</v>
      </c>
      <c r="C85" s="6">
        <v>18</v>
      </c>
      <c r="D85" s="3"/>
      <c r="E85" s="6">
        <f>E84+C85-D85</f>
      </c>
      <c r="F85" s="2"/>
    </row>
    <row x14ac:dyDescent="0.25" r="86" customHeight="1" ht="17.25">
      <c r="A86" s="7">
        <v>45769</v>
      </c>
      <c r="B86" s="9" t="s">
        <v>284</v>
      </c>
      <c r="C86" s="4"/>
      <c r="D86" s="6">
        <v>148</v>
      </c>
      <c r="E86" s="6">
        <f>E85+C86-D86</f>
      </c>
      <c r="F86" s="2"/>
    </row>
    <row x14ac:dyDescent="0.25" r="87" customHeight="1" ht="17.25">
      <c r="A87" s="7">
        <v>45769</v>
      </c>
      <c r="B87" s="9" t="s">
        <v>39</v>
      </c>
      <c r="C87" s="6">
        <v>48</v>
      </c>
      <c r="D87" s="3"/>
      <c r="E87" s="6">
        <f>E86+C87-D87</f>
      </c>
      <c r="F87" s="2"/>
    </row>
    <row x14ac:dyDescent="0.25" r="88" customHeight="1" ht="17.25">
      <c r="A88" s="7">
        <v>45770</v>
      </c>
      <c r="B88" s="9" t="s">
        <v>232</v>
      </c>
      <c r="C88" s="4"/>
      <c r="D88" s="6">
        <v>60</v>
      </c>
      <c r="E88" s="6">
        <f>E87+C88-D88</f>
      </c>
      <c r="F88" s="2"/>
    </row>
    <row x14ac:dyDescent="0.25" r="89" customHeight="1" ht="17.25">
      <c r="A89" s="7">
        <v>45770</v>
      </c>
      <c r="B89" s="37" t="s">
        <v>285</v>
      </c>
      <c r="C89" s="4"/>
      <c r="D89" s="6">
        <v>25</v>
      </c>
      <c r="E89" s="6">
        <f>E88+C89-D89</f>
      </c>
      <c r="F89" s="2"/>
    </row>
    <row x14ac:dyDescent="0.25" r="90" customHeight="1" ht="17.25">
      <c r="A90" s="8">
        <v>45769</v>
      </c>
      <c r="B90" s="9" t="s">
        <v>286</v>
      </c>
      <c r="C90" s="4"/>
      <c r="D90" s="6">
        <v>8</v>
      </c>
      <c r="E90" s="6">
        <f>E89+C90-D90</f>
      </c>
      <c r="F90" s="2"/>
    </row>
    <row x14ac:dyDescent="0.25" r="91" customHeight="1" ht="17.25">
      <c r="A91" s="7">
        <v>45771</v>
      </c>
      <c r="B91" s="9" t="s">
        <v>232</v>
      </c>
      <c r="C91" s="4"/>
      <c r="D91" s="6">
        <v>40</v>
      </c>
      <c r="E91" s="6">
        <f>E90+C91-D91</f>
      </c>
      <c r="F91" s="2"/>
    </row>
    <row x14ac:dyDescent="0.25" r="92" customHeight="1" ht="17.25">
      <c r="A92" s="8">
        <v>45773</v>
      </c>
      <c r="B92" s="9" t="s">
        <v>287</v>
      </c>
      <c r="C92" s="4"/>
      <c r="D92" s="6">
        <v>2</v>
      </c>
      <c r="E92" s="6">
        <f>E91+C92-D92</f>
      </c>
      <c r="F92" s="2"/>
    </row>
    <row x14ac:dyDescent="0.25" r="93" customHeight="1" ht="17.25">
      <c r="A93" s="7">
        <v>45776</v>
      </c>
      <c r="B93" s="9" t="s">
        <v>288</v>
      </c>
      <c r="C93" s="6">
        <v>32</v>
      </c>
      <c r="D93" s="3"/>
      <c r="E93" s="6">
        <f>E92+C93-D93</f>
      </c>
      <c r="F93" s="2"/>
    </row>
    <row x14ac:dyDescent="0.25" r="94" customHeight="1" ht="17.25">
      <c r="A94" s="7">
        <v>45777</v>
      </c>
      <c r="B94" s="9" t="s">
        <v>289</v>
      </c>
      <c r="C94" s="4"/>
      <c r="D94" s="6">
        <v>100</v>
      </c>
      <c r="E94" s="6">
        <f>E93+C94-D94</f>
      </c>
      <c r="F94" s="2"/>
    </row>
    <row x14ac:dyDescent="0.25" r="95" customHeight="1" ht="17.25">
      <c r="A95" s="8">
        <v>45777</v>
      </c>
      <c r="B95" s="9" t="s">
        <v>286</v>
      </c>
      <c r="C95" s="4"/>
      <c r="D95" s="6">
        <v>8</v>
      </c>
      <c r="E95" s="6">
        <f>E94+C95-D95</f>
      </c>
      <c r="F95" s="2"/>
    </row>
    <row x14ac:dyDescent="0.25" r="96" customHeight="1" ht="17.25">
      <c r="A96" s="8">
        <v>45779</v>
      </c>
      <c r="B96" s="9" t="s">
        <v>241</v>
      </c>
      <c r="C96" s="4"/>
      <c r="D96" s="6">
        <v>50</v>
      </c>
      <c r="E96" s="6">
        <f>E95+C96-D96</f>
      </c>
      <c r="F96" s="2"/>
    </row>
    <row x14ac:dyDescent="0.25" r="97" customHeight="1" ht="17.25">
      <c r="A97" s="8">
        <v>45779</v>
      </c>
      <c r="B97" s="9" t="s">
        <v>286</v>
      </c>
      <c r="C97" s="4"/>
      <c r="D97" s="6">
        <v>5</v>
      </c>
      <c r="E97" s="6">
        <f>E96+C97-D97</f>
      </c>
      <c r="F97" s="2"/>
    </row>
    <row x14ac:dyDescent="0.25" r="98" customHeight="1" ht="17.25">
      <c r="A98" s="7">
        <v>45780</v>
      </c>
      <c r="B98" s="9" t="s">
        <v>59</v>
      </c>
      <c r="C98" s="4"/>
      <c r="D98" s="6">
        <v>260</v>
      </c>
      <c r="E98" s="6">
        <f>E97+C98-D98</f>
      </c>
      <c r="F98" s="2"/>
    </row>
    <row x14ac:dyDescent="0.25" r="99" customHeight="1" ht="17.25">
      <c r="A99" s="7">
        <v>45782</v>
      </c>
      <c r="B99" s="9" t="s">
        <v>59</v>
      </c>
      <c r="C99" s="4"/>
      <c r="D99" s="6">
        <v>100</v>
      </c>
      <c r="E99" s="6">
        <f>E98+C99-D99</f>
      </c>
      <c r="F99" s="2"/>
    </row>
    <row x14ac:dyDescent="0.25" r="100" customHeight="1" ht="17.25">
      <c r="A100" s="7">
        <v>45782</v>
      </c>
      <c r="B100" s="9" t="s">
        <v>59</v>
      </c>
      <c r="C100" s="4"/>
      <c r="D100" s="6">
        <v>60</v>
      </c>
      <c r="E100" s="6">
        <f>E99+C100-D100</f>
      </c>
      <c r="F100" s="2"/>
    </row>
    <row x14ac:dyDescent="0.25" r="101" customHeight="1" ht="17.25">
      <c r="A101" s="7">
        <v>45782</v>
      </c>
      <c r="B101" s="9" t="s">
        <v>59</v>
      </c>
      <c r="C101" s="4"/>
      <c r="D101" s="6">
        <v>300</v>
      </c>
      <c r="E101" s="6">
        <f>E100+C101-D101</f>
      </c>
      <c r="F101" s="2"/>
    </row>
    <row x14ac:dyDescent="0.25" r="102" customHeight="1" ht="17.25">
      <c r="A102" s="7">
        <v>45782</v>
      </c>
      <c r="B102" s="9" t="s">
        <v>284</v>
      </c>
      <c r="C102" s="4"/>
      <c r="D102" s="6">
        <v>20</v>
      </c>
      <c r="E102" s="6">
        <f>E101+C102-D102</f>
      </c>
      <c r="F102" s="2"/>
    </row>
    <row x14ac:dyDescent="0.25" r="103" customHeight="1" ht="17.25">
      <c r="A103" s="7">
        <v>45782</v>
      </c>
      <c r="B103" s="9" t="s">
        <v>286</v>
      </c>
      <c r="C103" s="4"/>
      <c r="D103" s="6">
        <v>18</v>
      </c>
      <c r="E103" s="6">
        <f>E102+C103-D103</f>
      </c>
      <c r="F103" s="2"/>
    </row>
    <row x14ac:dyDescent="0.25" r="104" customHeight="1" ht="17.25">
      <c r="A104" s="8">
        <v>45784</v>
      </c>
      <c r="B104" s="9" t="s">
        <v>262</v>
      </c>
      <c r="C104" s="4"/>
      <c r="D104" s="6">
        <v>5</v>
      </c>
      <c r="E104" s="6">
        <f>E103+C104-D104</f>
      </c>
      <c r="F104" s="2"/>
    </row>
    <row x14ac:dyDescent="0.25" r="105" customHeight="1" ht="17.25">
      <c r="A105" s="7">
        <v>45785</v>
      </c>
      <c r="B105" s="9" t="s">
        <v>59</v>
      </c>
      <c r="C105" s="4"/>
      <c r="D105" s="6">
        <v>130</v>
      </c>
      <c r="E105" s="6">
        <f>E104+C105-D105</f>
      </c>
      <c r="F105" s="2"/>
    </row>
    <row x14ac:dyDescent="0.25" r="106" customHeight="1" ht="17.25">
      <c r="A106" s="7">
        <v>45785</v>
      </c>
      <c r="B106" s="9" t="s">
        <v>35</v>
      </c>
      <c r="C106" s="4"/>
      <c r="D106" s="6">
        <v>30</v>
      </c>
      <c r="E106" s="6">
        <f>E105+C106-D106</f>
      </c>
      <c r="F106" s="2"/>
    </row>
    <row x14ac:dyDescent="0.25" r="107" customHeight="1" ht="17.25">
      <c r="A107" s="7">
        <v>45785</v>
      </c>
      <c r="B107" s="38" t="s">
        <v>290</v>
      </c>
      <c r="C107" s="6">
        <v>100</v>
      </c>
      <c r="D107" s="3"/>
      <c r="E107" s="6">
        <f>E106+C107-D107</f>
      </c>
      <c r="F107" s="2"/>
    </row>
    <row x14ac:dyDescent="0.25" r="108" customHeight="1" ht="17.25">
      <c r="A108" s="8">
        <v>45785</v>
      </c>
      <c r="B108" s="9" t="s">
        <v>42</v>
      </c>
      <c r="C108" s="4"/>
      <c r="D108" s="6">
        <v>6</v>
      </c>
      <c r="E108" s="6">
        <f>E107+C108-D108</f>
      </c>
      <c r="F108" s="2"/>
    </row>
    <row x14ac:dyDescent="0.25" r="109" customHeight="1" ht="17.25">
      <c r="A109" s="7">
        <v>45786</v>
      </c>
      <c r="B109" s="9" t="s">
        <v>257</v>
      </c>
      <c r="C109" s="6">
        <v>21</v>
      </c>
      <c r="D109" s="3"/>
      <c r="E109" s="6">
        <f>E108+C109-D109</f>
      </c>
      <c r="F109" s="2"/>
    </row>
    <row x14ac:dyDescent="0.25" r="110" customHeight="1" ht="17.25">
      <c r="A110" s="7">
        <v>45787</v>
      </c>
      <c r="B110" s="9" t="s">
        <v>59</v>
      </c>
      <c r="C110" s="4"/>
      <c r="D110" s="6">
        <v>60</v>
      </c>
      <c r="E110" s="6">
        <f>E109+C110-D110</f>
      </c>
      <c r="F110" s="2"/>
    </row>
    <row x14ac:dyDescent="0.25" r="111" customHeight="1" ht="17.25">
      <c r="A111" s="7">
        <v>45788</v>
      </c>
      <c r="B111" s="9" t="s">
        <v>291</v>
      </c>
      <c r="C111" s="4"/>
      <c r="D111" s="6">
        <v>150</v>
      </c>
      <c r="E111" s="6">
        <f>E110+C111-D111</f>
      </c>
      <c r="F111" s="2"/>
    </row>
    <row x14ac:dyDescent="0.25" r="112" customHeight="1" ht="17.25">
      <c r="A112" s="7">
        <v>45789</v>
      </c>
      <c r="B112" s="9" t="s">
        <v>291</v>
      </c>
      <c r="C112" s="4"/>
      <c r="D112" s="6">
        <v>305</v>
      </c>
      <c r="E112" s="6">
        <f>E111+C112-D112</f>
      </c>
      <c r="F112" s="2"/>
    </row>
    <row x14ac:dyDescent="0.25" r="113" customHeight="1" ht="17.25">
      <c r="A113" s="7">
        <v>45790</v>
      </c>
      <c r="B113" s="9" t="s">
        <v>59</v>
      </c>
      <c r="C113" s="4"/>
      <c r="D113" s="6">
        <v>40</v>
      </c>
      <c r="E113" s="6">
        <f>E112+C113-D113</f>
      </c>
      <c r="F113" s="2"/>
    </row>
    <row x14ac:dyDescent="0.25" r="114" customHeight="1" ht="17.25">
      <c r="A114" s="7">
        <v>45790</v>
      </c>
      <c r="B114" s="38" t="s">
        <v>290</v>
      </c>
      <c r="C114" s="6">
        <v>100</v>
      </c>
      <c r="D114" s="3"/>
      <c r="E114" s="6">
        <f>E113+C114-D114</f>
      </c>
      <c r="F114" s="2"/>
    </row>
    <row x14ac:dyDescent="0.25" r="115" customHeight="1" ht="17.25">
      <c r="A115" s="8">
        <v>45791</v>
      </c>
      <c r="B115" s="9" t="s">
        <v>282</v>
      </c>
      <c r="C115" s="6">
        <v>2</v>
      </c>
      <c r="D115" s="3"/>
      <c r="E115" s="6">
        <f>E114+C115-D115</f>
      </c>
      <c r="F115" s="2"/>
    </row>
    <row x14ac:dyDescent="0.25" r="116" customHeight="1" ht="17.25">
      <c r="A116" s="8">
        <v>45793</v>
      </c>
      <c r="B116" s="9" t="s">
        <v>262</v>
      </c>
      <c r="C116" s="4"/>
      <c r="D116" s="6">
        <v>12</v>
      </c>
      <c r="E116" s="6">
        <f>E115+C116-D116</f>
      </c>
      <c r="F116" s="2"/>
    </row>
    <row x14ac:dyDescent="0.25" r="117" customHeight="1" ht="17.25">
      <c r="A117" s="8">
        <v>45794</v>
      </c>
      <c r="B117" s="9" t="s">
        <v>35</v>
      </c>
      <c r="C117" s="4"/>
      <c r="D117" s="6">
        <v>20</v>
      </c>
      <c r="E117" s="6">
        <f>E116+C117-D117</f>
      </c>
      <c r="F117" s="2"/>
    </row>
    <row x14ac:dyDescent="0.25" r="118" customHeight="1" ht="17.25">
      <c r="A118" s="8">
        <v>45797</v>
      </c>
      <c r="B118" s="9" t="s">
        <v>42</v>
      </c>
      <c r="C118" s="4"/>
      <c r="D118" s="6">
        <v>15</v>
      </c>
      <c r="E118" s="6">
        <f>E117+C118-D118</f>
      </c>
      <c r="F118" s="2"/>
    </row>
    <row x14ac:dyDescent="0.25" r="119" customHeight="1" ht="17.25">
      <c r="A119" s="8">
        <v>45797</v>
      </c>
      <c r="B119" s="9" t="s">
        <v>35</v>
      </c>
      <c r="C119" s="4"/>
      <c r="D119" s="6">
        <v>20</v>
      </c>
      <c r="E119" s="6">
        <f>E118+C119-D119</f>
      </c>
      <c r="F119" s="2"/>
    </row>
    <row x14ac:dyDescent="0.25" r="120" customHeight="1" ht="17.25">
      <c r="A120" s="7">
        <v>45799</v>
      </c>
      <c r="B120" s="9" t="s">
        <v>35</v>
      </c>
      <c r="C120" s="4"/>
      <c r="D120" s="6">
        <v>50</v>
      </c>
      <c r="E120" s="6">
        <f>E119+C120-D120</f>
      </c>
      <c r="F120" s="2"/>
    </row>
    <row x14ac:dyDescent="0.25" r="121" customHeight="1" ht="17.25">
      <c r="A121" s="7">
        <v>45801</v>
      </c>
      <c r="B121" s="38" t="s">
        <v>135</v>
      </c>
      <c r="C121" s="6">
        <v>100</v>
      </c>
      <c r="D121" s="3"/>
      <c r="E121" s="6">
        <f>E120+C121-D121</f>
      </c>
      <c r="F121" s="2"/>
    </row>
    <row x14ac:dyDescent="0.25" r="122" customHeight="1" ht="17.25">
      <c r="A122" s="7">
        <v>45803</v>
      </c>
      <c r="B122" s="9" t="s">
        <v>42</v>
      </c>
      <c r="C122" s="4"/>
      <c r="D122" s="6">
        <v>60</v>
      </c>
      <c r="E122" s="6">
        <f>E121+C122-D122</f>
      </c>
      <c r="F122" s="2"/>
    </row>
    <row x14ac:dyDescent="0.25" r="123" customHeight="1" ht="17.25">
      <c r="A123" s="7">
        <v>45805</v>
      </c>
      <c r="B123" s="9" t="s">
        <v>141</v>
      </c>
      <c r="C123" s="4"/>
      <c r="D123" s="6">
        <v>40</v>
      </c>
      <c r="E123" s="6">
        <f>E122+C123-D123</f>
      </c>
      <c r="F123" s="2"/>
    </row>
    <row x14ac:dyDescent="0.25" r="124" customHeight="1" ht="17.25">
      <c r="A124" s="8">
        <v>45808</v>
      </c>
      <c r="B124" s="9" t="s">
        <v>282</v>
      </c>
      <c r="C124" s="6">
        <v>4</v>
      </c>
      <c r="D124" s="3"/>
      <c r="E124" s="6">
        <f>E123+C124-D124</f>
      </c>
      <c r="F124" s="2"/>
    </row>
    <row x14ac:dyDescent="0.25" r="125" customHeight="1" ht="17.25">
      <c r="A125" s="8">
        <v>45808</v>
      </c>
      <c r="B125" s="9" t="s">
        <v>272</v>
      </c>
      <c r="C125" s="6">
        <v>23</v>
      </c>
      <c r="D125" s="3"/>
      <c r="E125" s="6">
        <f>E124+C125-D125</f>
      </c>
      <c r="F125" s="2"/>
    </row>
    <row x14ac:dyDescent="0.25" r="126" customHeight="1" ht="17.25">
      <c r="A126" s="8">
        <v>45811</v>
      </c>
      <c r="B126" s="9" t="s">
        <v>289</v>
      </c>
      <c r="C126" s="6">
        <v>50</v>
      </c>
      <c r="D126" s="3"/>
      <c r="E126" s="6">
        <f>E125+C126-D126</f>
      </c>
      <c r="F126" s="2"/>
    </row>
    <row x14ac:dyDescent="0.25" r="127" customHeight="1" ht="17.25">
      <c r="A127" s="7">
        <v>45812</v>
      </c>
      <c r="B127" s="9" t="s">
        <v>290</v>
      </c>
      <c r="C127" s="6">
        <v>300</v>
      </c>
      <c r="D127" s="3"/>
      <c r="E127" s="6">
        <f>E126+C127-D127</f>
      </c>
      <c r="F127" s="2"/>
    </row>
    <row x14ac:dyDescent="0.25" r="128" customHeight="1" ht="17.25">
      <c r="A128" s="7">
        <v>45812</v>
      </c>
      <c r="B128" s="9" t="s">
        <v>135</v>
      </c>
      <c r="C128" s="6">
        <v>100</v>
      </c>
      <c r="D128" s="3"/>
      <c r="E128" s="6">
        <f>E127+C128-D128</f>
      </c>
      <c r="F128" s="2"/>
    </row>
    <row x14ac:dyDescent="0.25" r="129" customHeight="1" ht="17.25">
      <c r="A129" s="8">
        <v>45812</v>
      </c>
      <c r="B129" s="9" t="s">
        <v>284</v>
      </c>
      <c r="C129" s="4"/>
      <c r="D129" s="6">
        <v>200</v>
      </c>
      <c r="E129" s="6">
        <f>E128+C129-D129</f>
      </c>
      <c r="F129" s="2"/>
    </row>
    <row x14ac:dyDescent="0.25" r="130" customHeight="1" ht="17.25">
      <c r="A130" s="7">
        <v>45815</v>
      </c>
      <c r="B130" s="9" t="s">
        <v>42</v>
      </c>
      <c r="C130" s="4"/>
      <c r="D130" s="6">
        <v>20</v>
      </c>
      <c r="E130" s="6">
        <f>E129+C130-D130</f>
      </c>
      <c r="F130" s="2"/>
    </row>
    <row x14ac:dyDescent="0.25" r="131" customHeight="1" ht="17.25">
      <c r="A131" s="7">
        <v>45815</v>
      </c>
      <c r="B131" s="9" t="s">
        <v>289</v>
      </c>
      <c r="C131" s="6">
        <v>48</v>
      </c>
      <c r="D131" s="3"/>
      <c r="E131" s="6">
        <f>E130+C131-D131</f>
      </c>
      <c r="F131" s="2"/>
    </row>
    <row x14ac:dyDescent="0.25" r="132" customHeight="1" ht="17.25">
      <c r="A132" s="8">
        <v>45817</v>
      </c>
      <c r="B132" s="9" t="s">
        <v>272</v>
      </c>
      <c r="C132" s="6">
        <v>20</v>
      </c>
      <c r="D132" s="3"/>
      <c r="E132" s="6">
        <f>E131+C132-D132</f>
      </c>
      <c r="F132" s="2"/>
    </row>
    <row x14ac:dyDescent="0.25" r="133" customHeight="1" ht="17.25">
      <c r="A133" s="7">
        <v>45818</v>
      </c>
      <c r="B133" s="9" t="s">
        <v>232</v>
      </c>
      <c r="C133" s="4"/>
      <c r="D133" s="6">
        <v>50</v>
      </c>
      <c r="E133" s="6">
        <f>E132+C133-D133</f>
      </c>
      <c r="F133" s="2"/>
    </row>
    <row x14ac:dyDescent="0.25" r="134" customHeight="1" ht="17.25">
      <c r="A134" s="7">
        <v>45819</v>
      </c>
      <c r="B134" s="9" t="s">
        <v>232</v>
      </c>
      <c r="C134" s="4"/>
      <c r="D134" s="6">
        <v>50</v>
      </c>
      <c r="E134" s="6">
        <f>E133+C134-D134</f>
      </c>
      <c r="F134" s="2" t="s">
        <v>292</v>
      </c>
    </row>
    <row x14ac:dyDescent="0.25" r="135" customHeight="1" ht="17.25">
      <c r="A135" s="1"/>
      <c r="B135" s="9" t="s">
        <v>293</v>
      </c>
      <c r="C135" s="4"/>
      <c r="D135" s="3"/>
      <c r="E135" s="6">
        <f>E134+C135-D135</f>
      </c>
      <c r="F135" s="2"/>
    </row>
    <row x14ac:dyDescent="0.25" r="136" customHeight="1" ht="17.25">
      <c r="A136" s="7">
        <v>45820</v>
      </c>
      <c r="B136" s="9" t="s">
        <v>294</v>
      </c>
      <c r="C136" s="6">
        <v>150</v>
      </c>
      <c r="D136" s="3"/>
      <c r="E136" s="6">
        <f>E135+C136-D136</f>
      </c>
      <c r="F136" s="2"/>
    </row>
    <row x14ac:dyDescent="0.25" r="137" customHeight="1" ht="17.25">
      <c r="A137" s="8">
        <v>45821</v>
      </c>
      <c r="B137" s="9" t="s">
        <v>35</v>
      </c>
      <c r="C137" s="4"/>
      <c r="D137" s="6">
        <v>30</v>
      </c>
      <c r="E137" s="6">
        <f>E136+C137-D137</f>
      </c>
      <c r="F137" s="2"/>
    </row>
    <row x14ac:dyDescent="0.25" r="138" customHeight="1" ht="17.25">
      <c r="A138" s="7">
        <v>45822</v>
      </c>
      <c r="B138" s="9" t="s">
        <v>35</v>
      </c>
      <c r="C138" s="4"/>
      <c r="D138" s="6">
        <v>60</v>
      </c>
      <c r="E138" s="6">
        <f>E137+C138-D138</f>
      </c>
      <c r="F138" s="2"/>
    </row>
    <row x14ac:dyDescent="0.25" r="139" customHeight="1" ht="17.25">
      <c r="A139" s="7">
        <v>45824</v>
      </c>
      <c r="B139" s="9" t="s">
        <v>272</v>
      </c>
      <c r="C139" s="6">
        <v>13</v>
      </c>
      <c r="D139" s="3"/>
      <c r="E139" s="6">
        <f>E138+C139-D139</f>
      </c>
      <c r="F139" s="2"/>
    </row>
    <row x14ac:dyDescent="0.25" r="140" customHeight="1" ht="17.25">
      <c r="A140" s="7">
        <v>45825</v>
      </c>
      <c r="B140" s="9" t="s">
        <v>3</v>
      </c>
      <c r="C140" s="4"/>
      <c r="D140" s="6">
        <v>50</v>
      </c>
      <c r="E140" s="6">
        <f>E139+C140-D140</f>
      </c>
      <c r="F140" s="2"/>
    </row>
    <row x14ac:dyDescent="0.25" r="141" customHeight="1" ht="17.25">
      <c r="A141" s="7"/>
      <c r="B141" s="38" t="s">
        <v>293</v>
      </c>
      <c r="C141" s="4"/>
      <c r="D141" s="6">
        <v>126</v>
      </c>
      <c r="E141" s="6">
        <f>E140+C141-D141</f>
      </c>
      <c r="F141" s="2"/>
    </row>
    <row x14ac:dyDescent="0.25" r="142" customHeight="1" ht="17.25">
      <c r="A142" s="7">
        <v>45825</v>
      </c>
      <c r="B142" s="9" t="s">
        <v>291</v>
      </c>
      <c r="C142" s="6">
        <v>200</v>
      </c>
      <c r="D142" s="3"/>
      <c r="E142" s="6">
        <f>E141+C142-D142</f>
      </c>
      <c r="F142" s="2"/>
    </row>
    <row x14ac:dyDescent="0.25" r="143" customHeight="1" ht="17.25">
      <c r="A143" s="7">
        <v>45826</v>
      </c>
      <c r="B143" s="9" t="s">
        <v>234</v>
      </c>
      <c r="C143" s="6">
        <v>40</v>
      </c>
      <c r="D143" s="3"/>
      <c r="E143" s="6">
        <f>E142+C143-D143</f>
      </c>
      <c r="F143" s="2"/>
    </row>
    <row x14ac:dyDescent="0.25" r="144" customHeight="1" ht="17.25">
      <c r="A144" s="7">
        <v>45828</v>
      </c>
      <c r="B144" s="9" t="s">
        <v>257</v>
      </c>
      <c r="C144" s="4"/>
      <c r="D144" s="6">
        <v>10</v>
      </c>
      <c r="E144" s="6">
        <f>E143+C144-D144</f>
      </c>
      <c r="F144" s="2"/>
    </row>
    <row x14ac:dyDescent="0.25" r="145" customHeight="1" ht="17.25">
      <c r="A145" s="7">
        <v>45829</v>
      </c>
      <c r="B145" s="9" t="s">
        <v>281</v>
      </c>
      <c r="C145" s="6">
        <v>30</v>
      </c>
      <c r="D145" s="3"/>
      <c r="E145" s="6">
        <f>E144+C145-D145</f>
      </c>
      <c r="F145" s="2"/>
    </row>
    <row x14ac:dyDescent="0.25" r="146" customHeight="1" ht="17.25">
      <c r="A146" s="7">
        <v>45834</v>
      </c>
      <c r="B146" s="38" t="s">
        <v>295</v>
      </c>
      <c r="C146" s="4"/>
      <c r="D146" s="6">
        <v>97</v>
      </c>
      <c r="E146" s="6">
        <f>E145+C146-D146</f>
      </c>
      <c r="F146" s="2"/>
    </row>
    <row x14ac:dyDescent="0.25" r="147" customHeight="1" ht="17.25">
      <c r="A147" s="8">
        <v>45832</v>
      </c>
      <c r="B147" s="9" t="s">
        <v>89</v>
      </c>
      <c r="C147" s="4"/>
      <c r="D147" s="6">
        <v>30</v>
      </c>
      <c r="E147" s="6">
        <f>E146+C147-D147</f>
      </c>
      <c r="F147" s="2"/>
    </row>
    <row x14ac:dyDescent="0.25" r="148" customHeight="1" ht="17.25">
      <c r="A148" s="8">
        <v>45833</v>
      </c>
      <c r="B148" s="9" t="s">
        <v>272</v>
      </c>
      <c r="C148" s="6">
        <v>23</v>
      </c>
      <c r="D148" s="3"/>
      <c r="E148" s="6">
        <f>E147+C148-D148</f>
      </c>
      <c r="F148" s="2"/>
    </row>
    <row x14ac:dyDescent="0.25" r="149" customHeight="1" ht="17.25">
      <c r="A149" s="8">
        <v>45833</v>
      </c>
      <c r="B149" s="9" t="s">
        <v>35</v>
      </c>
      <c r="C149" s="6">
        <v>46</v>
      </c>
      <c r="D149" s="3"/>
      <c r="E149" s="6">
        <f>E148+C149-D149</f>
      </c>
      <c r="F149" s="2"/>
    </row>
    <row x14ac:dyDescent="0.25" r="150" customHeight="1" ht="17.25">
      <c r="A150" s="7">
        <v>45834</v>
      </c>
      <c r="B150" s="9" t="s">
        <v>294</v>
      </c>
      <c r="C150" s="6">
        <v>50</v>
      </c>
      <c r="D150" s="3"/>
      <c r="E150" s="6">
        <f>E149+C150-D150</f>
      </c>
      <c r="F150" s="2"/>
    </row>
    <row x14ac:dyDescent="0.25" r="151" customHeight="1" ht="17.25">
      <c r="A151" s="7">
        <v>45834</v>
      </c>
      <c r="B151" s="9" t="s">
        <v>286</v>
      </c>
      <c r="C151" s="6">
        <v>3</v>
      </c>
      <c r="D151" s="3"/>
      <c r="E151" s="6">
        <f>E150+C151-D151</f>
      </c>
      <c r="F151" s="2"/>
    </row>
    <row x14ac:dyDescent="0.25" r="152" customHeight="1" ht="17.25">
      <c r="A152" s="7">
        <v>45834</v>
      </c>
      <c r="B152" s="38" t="s">
        <v>296</v>
      </c>
      <c r="C152" s="4"/>
      <c r="D152" s="6">
        <v>40</v>
      </c>
      <c r="E152" s="6">
        <f>E151+C152-D152</f>
      </c>
      <c r="F152" s="2"/>
    </row>
    <row x14ac:dyDescent="0.25" r="153" customHeight="1" ht="17.25">
      <c r="A153" s="8">
        <v>45840</v>
      </c>
      <c r="B153" s="9" t="s">
        <v>46</v>
      </c>
      <c r="C153" s="4"/>
      <c r="D153" s="6">
        <v>40</v>
      </c>
      <c r="E153" s="6">
        <f>E152+C153-D153</f>
      </c>
      <c r="F153" s="2"/>
    </row>
    <row x14ac:dyDescent="0.25" r="154" customHeight="1" ht="17.25">
      <c r="A154" s="7">
        <v>45840</v>
      </c>
      <c r="B154" s="9" t="s">
        <v>281</v>
      </c>
      <c r="C154" s="6">
        <v>50</v>
      </c>
      <c r="D154" s="3"/>
      <c r="E154" s="6">
        <f>E153+C154-D154</f>
      </c>
      <c r="F154" s="2"/>
    </row>
    <row x14ac:dyDescent="0.25" r="155" customHeight="1" ht="17.25">
      <c r="A155" s="7">
        <v>45841</v>
      </c>
      <c r="B155" s="9" t="s">
        <v>297</v>
      </c>
      <c r="C155" s="4"/>
      <c r="D155" s="6">
        <v>20</v>
      </c>
      <c r="E155" s="6">
        <f>E154+C155-D155</f>
      </c>
      <c r="F155" s="2"/>
    </row>
    <row x14ac:dyDescent="0.25" r="156" customHeight="1" ht="17.25">
      <c r="A156" s="7">
        <v>45841</v>
      </c>
      <c r="B156" s="9" t="s">
        <v>284</v>
      </c>
      <c r="C156" s="4"/>
      <c r="D156" s="6">
        <v>150</v>
      </c>
      <c r="E156" s="6">
        <f>E155+C156-D156</f>
      </c>
      <c r="F156" s="2"/>
    </row>
    <row x14ac:dyDescent="0.25" r="157" customHeight="1" ht="17.25">
      <c r="A157" s="7">
        <v>45841</v>
      </c>
      <c r="B157" s="9" t="s">
        <v>233</v>
      </c>
      <c r="C157" s="4"/>
      <c r="D157" s="6">
        <v>50</v>
      </c>
      <c r="E157" s="6">
        <f>E156+C157-D157</f>
      </c>
      <c r="F157" s="2"/>
    </row>
    <row x14ac:dyDescent="0.25" r="158" customHeight="1" ht="17.25">
      <c r="A158" s="7">
        <v>45841</v>
      </c>
      <c r="B158" s="9" t="s">
        <v>284</v>
      </c>
      <c r="C158" s="4"/>
      <c r="D158" s="6">
        <v>150</v>
      </c>
      <c r="E158" s="6">
        <f>E157+C158-D158</f>
      </c>
      <c r="F158" s="2"/>
    </row>
    <row x14ac:dyDescent="0.25" r="159" customHeight="1" ht="17.25">
      <c r="A159" s="8">
        <v>45842</v>
      </c>
      <c r="B159" s="9" t="s">
        <v>298</v>
      </c>
      <c r="C159" s="4"/>
      <c r="D159" s="6">
        <v>88</v>
      </c>
      <c r="E159" s="6">
        <f>E158+C159-D159</f>
      </c>
      <c r="F159" s="2"/>
    </row>
    <row x14ac:dyDescent="0.25" r="160" customHeight="1" ht="17.25">
      <c r="A160" s="8">
        <v>45842</v>
      </c>
      <c r="B160" s="9" t="s">
        <v>89</v>
      </c>
      <c r="C160" s="6">
        <v>30</v>
      </c>
      <c r="D160" s="3"/>
      <c r="E160" s="6">
        <f>E159+C160-D160</f>
      </c>
      <c r="F160" s="2"/>
    </row>
    <row x14ac:dyDescent="0.25" r="161" customHeight="1" ht="17.25">
      <c r="A161" s="8">
        <v>45845</v>
      </c>
      <c r="B161" s="9" t="s">
        <v>281</v>
      </c>
      <c r="C161" s="6">
        <v>38</v>
      </c>
      <c r="D161" s="3"/>
      <c r="E161" s="6">
        <f>E160+C161-D161</f>
      </c>
      <c r="F161" s="2"/>
    </row>
    <row x14ac:dyDescent="0.25" r="162" customHeight="1" ht="17.25">
      <c r="A162" s="8">
        <v>45846</v>
      </c>
      <c r="B162" s="9" t="s">
        <v>234</v>
      </c>
      <c r="C162" s="4"/>
      <c r="D162" s="6">
        <v>50</v>
      </c>
      <c r="E162" s="6">
        <f>E161+C162-D162</f>
      </c>
      <c r="F162" s="2"/>
    </row>
    <row x14ac:dyDescent="0.25" r="163" customHeight="1" ht="17.25">
      <c r="A163" s="8">
        <v>45846</v>
      </c>
      <c r="B163" s="9" t="s">
        <v>286</v>
      </c>
      <c r="C163" s="6">
        <v>12</v>
      </c>
      <c r="D163" s="3"/>
      <c r="E163" s="6">
        <f>E162+C163-D163</f>
      </c>
      <c r="F163" s="2"/>
    </row>
    <row x14ac:dyDescent="0.25" r="164" customHeight="1" ht="17.25">
      <c r="A164" s="7">
        <v>45847</v>
      </c>
      <c r="B164" s="9" t="s">
        <v>275</v>
      </c>
      <c r="C164" s="6">
        <v>6</v>
      </c>
      <c r="D164" s="3"/>
      <c r="E164" s="6">
        <f>E163+C164-D164</f>
      </c>
      <c r="F164" s="2"/>
    </row>
    <row x14ac:dyDescent="0.25" r="165" customHeight="1" ht="17.25">
      <c r="A165" s="8">
        <v>45847</v>
      </c>
      <c r="B165" s="9" t="s">
        <v>299</v>
      </c>
      <c r="C165" s="4"/>
      <c r="D165" s="6">
        <v>20</v>
      </c>
      <c r="E165" s="6">
        <f>E164+C165-D165</f>
      </c>
      <c r="F165" s="2"/>
    </row>
    <row x14ac:dyDescent="0.25" r="166" customHeight="1" ht="17.25">
      <c r="A166" s="7">
        <v>45847</v>
      </c>
      <c r="B166" s="9" t="s">
        <v>281</v>
      </c>
      <c r="C166" s="6">
        <v>61</v>
      </c>
      <c r="D166" s="3"/>
      <c r="E166" s="6">
        <f>E165+C166-D166</f>
      </c>
      <c r="F166" s="2"/>
    </row>
    <row x14ac:dyDescent="0.25" r="167" customHeight="1" ht="17.25">
      <c r="A167" s="7">
        <v>45849</v>
      </c>
      <c r="B167" s="9" t="s">
        <v>281</v>
      </c>
      <c r="C167" s="4"/>
      <c r="D167" s="6">
        <v>5</v>
      </c>
      <c r="E167" s="6">
        <f>E166+C167-D167</f>
      </c>
      <c r="F167" s="2"/>
    </row>
    <row x14ac:dyDescent="0.25" r="168" customHeight="1" ht="17.25">
      <c r="A168" s="7">
        <v>45852</v>
      </c>
      <c r="B168" s="9" t="s">
        <v>290</v>
      </c>
      <c r="C168" s="6">
        <v>150</v>
      </c>
      <c r="D168" s="3"/>
      <c r="E168" s="6">
        <f>E167+C168-D168</f>
      </c>
      <c r="F168" s="2"/>
    </row>
    <row x14ac:dyDescent="0.25" r="169" customHeight="1" ht="17.25">
      <c r="A169" s="1"/>
      <c r="B169" s="38" t="s">
        <v>300</v>
      </c>
      <c r="C169" s="4"/>
      <c r="D169" s="6">
        <v>16</v>
      </c>
      <c r="E169" s="6">
        <f>E168+C169-D169</f>
      </c>
      <c r="F169" s="2"/>
    </row>
    <row x14ac:dyDescent="0.25" r="170" customHeight="1" ht="17.25">
      <c r="A170" s="8">
        <v>45853</v>
      </c>
      <c r="B170" s="9" t="s">
        <v>47</v>
      </c>
      <c r="C170" s="4"/>
      <c r="D170" s="6">
        <v>33</v>
      </c>
      <c r="E170" s="6">
        <f>E169+C170-D170</f>
      </c>
      <c r="F170" s="2"/>
    </row>
    <row x14ac:dyDescent="0.25" r="171" customHeight="1" ht="17.25">
      <c r="A171" s="7">
        <v>45853</v>
      </c>
      <c r="B171" s="9" t="s">
        <v>35</v>
      </c>
      <c r="C171" s="6">
        <v>107</v>
      </c>
      <c r="D171" s="3"/>
      <c r="E171" s="6">
        <f>E170+C171-D171</f>
      </c>
      <c r="F171" s="2"/>
    </row>
    <row x14ac:dyDescent="0.25" r="172" customHeight="1" ht="17.25">
      <c r="A172" s="8">
        <v>45853</v>
      </c>
      <c r="B172" s="9" t="s">
        <v>301</v>
      </c>
      <c r="C172" s="4"/>
      <c r="D172" s="6">
        <v>15</v>
      </c>
      <c r="E172" s="6">
        <f>E171+C172-D172</f>
      </c>
      <c r="F172" s="2"/>
    </row>
    <row x14ac:dyDescent="0.25" r="173" customHeight="1" ht="17.25">
      <c r="A173" s="7">
        <v>45853</v>
      </c>
      <c r="B173" s="9" t="s">
        <v>47</v>
      </c>
      <c r="C173" s="4"/>
      <c r="D173" s="6">
        <v>70</v>
      </c>
      <c r="E173" s="6">
        <f>E172+C173-D173</f>
      </c>
      <c r="F173" s="2"/>
    </row>
    <row x14ac:dyDescent="0.25" r="174" customHeight="1" ht="17.25">
      <c r="A174" s="7">
        <v>45853</v>
      </c>
      <c r="B174" s="9" t="s">
        <v>35</v>
      </c>
      <c r="C174" s="6">
        <v>30</v>
      </c>
      <c r="D174" s="3"/>
      <c r="E174" s="6">
        <f>E173+C174-D174</f>
      </c>
      <c r="F174" s="2"/>
    </row>
    <row x14ac:dyDescent="0.25" r="175" customHeight="1" ht="17.25">
      <c r="A175" s="7">
        <v>45853</v>
      </c>
      <c r="B175" s="9" t="s">
        <v>47</v>
      </c>
      <c r="C175" s="4"/>
      <c r="D175" s="6">
        <v>30</v>
      </c>
      <c r="E175" s="6">
        <f>E174+C175-D175</f>
      </c>
      <c r="F175" s="2"/>
    </row>
    <row x14ac:dyDescent="0.25" r="176" customHeight="1" ht="17.25">
      <c r="A176" s="7">
        <v>45855</v>
      </c>
      <c r="B176" s="9" t="s">
        <v>233</v>
      </c>
      <c r="C176" s="4"/>
      <c r="D176" s="6">
        <v>50</v>
      </c>
      <c r="E176" s="6">
        <f>E175+C176-D176</f>
      </c>
      <c r="F176" s="2"/>
    </row>
    <row x14ac:dyDescent="0.25" r="177" customHeight="1" ht="17.25">
      <c r="A177" s="7">
        <v>45855</v>
      </c>
      <c r="B177" s="9" t="s">
        <v>47</v>
      </c>
      <c r="C177" s="4"/>
      <c r="D177" s="6">
        <v>67</v>
      </c>
      <c r="E177" s="6">
        <f>E176+C177-D177</f>
      </c>
      <c r="F177" s="2"/>
    </row>
    <row x14ac:dyDescent="0.25" r="178" customHeight="1" ht="17.25">
      <c r="A178" s="7">
        <v>45855</v>
      </c>
      <c r="B178" s="9" t="s">
        <v>290</v>
      </c>
      <c r="C178" s="6">
        <v>150</v>
      </c>
      <c r="D178" s="3"/>
      <c r="E178" s="6">
        <f>E177+C178-D178</f>
      </c>
      <c r="F178" s="2" t="s">
        <v>302</v>
      </c>
    </row>
    <row x14ac:dyDescent="0.25" r="179" customHeight="1" ht="17.25">
      <c r="A179" s="8">
        <v>45856</v>
      </c>
      <c r="B179" s="9" t="s">
        <v>183</v>
      </c>
      <c r="C179" s="4"/>
      <c r="D179" s="6">
        <v>4</v>
      </c>
      <c r="E179" s="6">
        <f>E178+C179-D179</f>
      </c>
      <c r="F179" s="2"/>
    </row>
    <row x14ac:dyDescent="0.25" r="180" customHeight="1" ht="17.25">
      <c r="A180" s="8">
        <v>45857</v>
      </c>
      <c r="B180" s="9" t="s">
        <v>289</v>
      </c>
      <c r="C180" s="4"/>
      <c r="D180" s="6">
        <v>8</v>
      </c>
      <c r="E180" s="6">
        <f>E179+C180-D180</f>
      </c>
      <c r="F180" s="2"/>
    </row>
    <row x14ac:dyDescent="0.25" r="181" customHeight="1" ht="17.25">
      <c r="A181" s="7">
        <v>45858</v>
      </c>
      <c r="B181" s="9" t="s">
        <v>303</v>
      </c>
      <c r="C181" s="4"/>
      <c r="D181" s="6">
        <v>50</v>
      </c>
      <c r="E181" s="6">
        <f>E180+C181-D181</f>
      </c>
      <c r="F181" s="2"/>
    </row>
    <row x14ac:dyDescent="0.25" r="182" customHeight="1" ht="17.25">
      <c r="A182" s="7">
        <v>45858</v>
      </c>
      <c r="B182" s="9" t="s">
        <v>303</v>
      </c>
      <c r="C182" s="4"/>
      <c r="D182" s="6">
        <v>50</v>
      </c>
      <c r="E182" s="6">
        <f>E181+C182-D182</f>
      </c>
      <c r="F182" s="2"/>
    </row>
    <row x14ac:dyDescent="0.25" r="183" customHeight="1" ht="17.25">
      <c r="A183" s="8">
        <v>45860</v>
      </c>
      <c r="B183" s="9" t="s">
        <v>42</v>
      </c>
      <c r="C183" s="6">
        <v>31</v>
      </c>
      <c r="D183" s="3"/>
      <c r="E183" s="6">
        <f>E182+C183-D183</f>
      </c>
      <c r="F183" s="2"/>
    </row>
    <row x14ac:dyDescent="0.25" r="184" customHeight="1" ht="17.25">
      <c r="A184" s="8">
        <v>45861</v>
      </c>
      <c r="B184" s="9" t="s">
        <v>304</v>
      </c>
      <c r="C184" s="4"/>
      <c r="D184" s="6">
        <v>15</v>
      </c>
      <c r="E184" s="6">
        <f>E183+C184-D184</f>
      </c>
      <c r="F184" s="2"/>
    </row>
    <row x14ac:dyDescent="0.25" r="185" customHeight="1" ht="17.25">
      <c r="A185" s="7">
        <v>45862</v>
      </c>
      <c r="B185" s="9" t="s">
        <v>305</v>
      </c>
      <c r="C185" s="6">
        <v>394</v>
      </c>
      <c r="D185" s="3"/>
      <c r="E185" s="6">
        <f>E184+C185-D185</f>
      </c>
      <c r="F185" s="2"/>
    </row>
    <row x14ac:dyDescent="0.25" r="186" customHeight="1" ht="17.25">
      <c r="A186" s="8">
        <v>45863</v>
      </c>
      <c r="B186" s="9" t="s">
        <v>232</v>
      </c>
      <c r="C186" s="4"/>
      <c r="D186" s="6">
        <v>100</v>
      </c>
      <c r="E186" s="6">
        <f>E185+C186-D186</f>
      </c>
      <c r="F186" s="2"/>
    </row>
    <row x14ac:dyDescent="0.25" r="187" customHeight="1" ht="17.25">
      <c r="A187" s="7">
        <v>45863</v>
      </c>
      <c r="B187" s="9" t="s">
        <v>135</v>
      </c>
      <c r="C187" s="6">
        <v>200</v>
      </c>
      <c r="D187" s="3"/>
      <c r="E187" s="6">
        <f>E186+C187-D187</f>
      </c>
      <c r="F187" s="2"/>
    </row>
    <row x14ac:dyDescent="0.25" r="188" customHeight="1" ht="17.25">
      <c r="A188" s="8">
        <v>45864</v>
      </c>
      <c r="B188" s="9" t="s">
        <v>241</v>
      </c>
      <c r="C188" s="4"/>
      <c r="D188" s="6">
        <v>20</v>
      </c>
      <c r="E188" s="6">
        <f>E187+C188-D188</f>
      </c>
      <c r="F188" s="2"/>
    </row>
    <row x14ac:dyDescent="0.25" r="189" customHeight="1" ht="17.25">
      <c r="A189" s="8">
        <v>45864</v>
      </c>
      <c r="B189" s="9" t="s">
        <v>233</v>
      </c>
      <c r="C189" s="4"/>
      <c r="D189" s="6">
        <v>45</v>
      </c>
      <c r="E189" s="6">
        <f>E188+C189-D189</f>
      </c>
      <c r="F189" s="2"/>
    </row>
    <row x14ac:dyDescent="0.25" r="190" customHeight="1" ht="17.25">
      <c r="A190" s="7">
        <v>45864</v>
      </c>
      <c r="B190" s="9" t="s">
        <v>47</v>
      </c>
      <c r="C190" s="4"/>
      <c r="D190" s="6">
        <v>90</v>
      </c>
      <c r="E190" s="6">
        <f>E189+C190-D190</f>
      </c>
      <c r="F190" s="2"/>
    </row>
    <row x14ac:dyDescent="0.25" r="191" customHeight="1" ht="17.25">
      <c r="A191" s="7">
        <v>45864</v>
      </c>
      <c r="B191" s="9" t="s">
        <v>286</v>
      </c>
      <c r="C191" s="6">
        <v>10</v>
      </c>
      <c r="D191" s="3"/>
      <c r="E191" s="6">
        <f>E190+C191-D191</f>
      </c>
      <c r="F191" s="2"/>
    </row>
    <row x14ac:dyDescent="0.25" r="192" customHeight="1" ht="17.25">
      <c r="A192" s="7">
        <v>45865</v>
      </c>
      <c r="B192" s="9" t="s">
        <v>232</v>
      </c>
      <c r="C192" s="4"/>
      <c r="D192" s="6">
        <v>50</v>
      </c>
      <c r="E192" s="6">
        <f>E191+C192-D192</f>
      </c>
      <c r="F192" s="2"/>
    </row>
    <row x14ac:dyDescent="0.25" r="193" customHeight="1" ht="17.25">
      <c r="A193" s="8">
        <v>45865</v>
      </c>
      <c r="B193" s="9" t="s">
        <v>232</v>
      </c>
      <c r="C193" s="4"/>
      <c r="D193" s="6">
        <v>50</v>
      </c>
      <c r="E193" s="6">
        <f>E192+C193-D193</f>
      </c>
      <c r="F193" s="2"/>
    </row>
    <row x14ac:dyDescent="0.25" r="194" customHeight="1" ht="17.25">
      <c r="A194" s="7">
        <v>45866</v>
      </c>
      <c r="B194" s="9" t="s">
        <v>241</v>
      </c>
      <c r="C194" s="4"/>
      <c r="D194" s="6">
        <v>50</v>
      </c>
      <c r="E194" s="6">
        <f>E193+C194-D194</f>
      </c>
      <c r="F194" s="2"/>
    </row>
    <row x14ac:dyDescent="0.25" r="195" customHeight="1" ht="17.25">
      <c r="A195" s="8">
        <v>45867</v>
      </c>
      <c r="B195" s="9" t="s">
        <v>35</v>
      </c>
      <c r="C195" s="6">
        <v>53</v>
      </c>
      <c r="D195" s="3"/>
      <c r="E195" s="6">
        <f>E194+C195-D195</f>
      </c>
      <c r="F195" s="2"/>
    </row>
    <row x14ac:dyDescent="0.25" r="196" customHeight="1" ht="17.25">
      <c r="A196" s="7">
        <v>45873</v>
      </c>
      <c r="B196" s="9" t="s">
        <v>306</v>
      </c>
      <c r="C196" s="4"/>
      <c r="D196" s="6">
        <v>12</v>
      </c>
      <c r="E196" s="6">
        <f>E195+C196-D196</f>
      </c>
      <c r="F196" s="2"/>
    </row>
    <row x14ac:dyDescent="0.25" r="197" customHeight="1" ht="17.25">
      <c r="A197" s="7">
        <v>45873</v>
      </c>
      <c r="B197" s="9" t="s">
        <v>47</v>
      </c>
      <c r="C197" s="6">
        <v>109</v>
      </c>
      <c r="D197" s="3"/>
      <c r="E197" s="6">
        <f>E196+C197-D197</f>
      </c>
      <c r="F197" s="2"/>
    </row>
    <row x14ac:dyDescent="0.25" r="198" customHeight="1" ht="17.25">
      <c r="A198" s="7">
        <v>45874</v>
      </c>
      <c r="B198" s="9" t="s">
        <v>287</v>
      </c>
      <c r="C198" s="6">
        <v>1</v>
      </c>
      <c r="D198" s="3"/>
      <c r="E198" s="6">
        <f>E197+C198-D198</f>
      </c>
      <c r="F198" s="2"/>
    </row>
    <row x14ac:dyDescent="0.25" r="199" customHeight="1" ht="17.25">
      <c r="A199" s="7">
        <v>45876</v>
      </c>
      <c r="B199" s="9" t="s">
        <v>307</v>
      </c>
      <c r="C199" s="4"/>
      <c r="D199" s="6">
        <v>26</v>
      </c>
      <c r="E199" s="6">
        <f>E198+C199-D199</f>
      </c>
      <c r="F199" s="2"/>
    </row>
    <row x14ac:dyDescent="0.25" r="200" customHeight="1" ht="17.25">
      <c r="A200" s="8">
        <v>45876</v>
      </c>
      <c r="B200" s="9" t="s">
        <v>308</v>
      </c>
      <c r="C200" s="4"/>
      <c r="D200" s="6">
        <v>46</v>
      </c>
      <c r="E200" s="6">
        <f>E199+C200-D200</f>
      </c>
      <c r="F200" s="2"/>
    </row>
    <row x14ac:dyDescent="0.25" r="201" customHeight="1" ht="17.25">
      <c r="A201" s="8">
        <v>45876</v>
      </c>
      <c r="B201" s="9" t="s">
        <v>233</v>
      </c>
      <c r="C201" s="4"/>
      <c r="D201" s="6">
        <v>50</v>
      </c>
      <c r="E201" s="6">
        <f>E200+C201-D201</f>
      </c>
      <c r="F201" s="2"/>
    </row>
    <row x14ac:dyDescent="0.25" r="202" customHeight="1" ht="17.25">
      <c r="A202" s="7">
        <v>45876</v>
      </c>
      <c r="B202" s="9" t="s">
        <v>234</v>
      </c>
      <c r="C202" s="4"/>
      <c r="D202" s="6">
        <v>10</v>
      </c>
      <c r="E202" s="6">
        <f>E201+C202-D202</f>
      </c>
      <c r="F202" s="2"/>
    </row>
    <row x14ac:dyDescent="0.25" r="203" customHeight="1" ht="17.25">
      <c r="A203" s="8">
        <v>45876</v>
      </c>
      <c r="B203" s="9" t="s">
        <v>286</v>
      </c>
      <c r="C203" s="6">
        <v>6</v>
      </c>
      <c r="D203" s="3"/>
      <c r="E203" s="6">
        <f>E202+C203-D203</f>
      </c>
      <c r="F203" s="2"/>
    </row>
    <row x14ac:dyDescent="0.25" r="204" customHeight="1" ht="17.25">
      <c r="A204" s="8">
        <v>45877</v>
      </c>
      <c r="B204" s="9" t="s">
        <v>3</v>
      </c>
      <c r="C204" s="4"/>
      <c r="D204" s="6">
        <v>30</v>
      </c>
      <c r="E204" s="6">
        <f>E203+C204-D204</f>
      </c>
      <c r="F204" s="2"/>
    </row>
    <row x14ac:dyDescent="0.25" r="205" customHeight="1" ht="17.25">
      <c r="A205" s="7">
        <v>45878</v>
      </c>
      <c r="B205" s="9" t="s">
        <v>135</v>
      </c>
      <c r="C205" s="6">
        <v>100</v>
      </c>
      <c r="D205" s="3"/>
      <c r="E205" s="6">
        <f>E204+C205-D205</f>
      </c>
      <c r="F205" s="2"/>
    </row>
    <row x14ac:dyDescent="0.25" r="206" customHeight="1" ht="17.25">
      <c r="A206" s="7">
        <v>45878</v>
      </c>
      <c r="B206" s="9" t="s">
        <v>257</v>
      </c>
      <c r="C206" s="6">
        <v>10</v>
      </c>
      <c r="D206" s="3"/>
      <c r="E206" s="6">
        <f>E205+C206-D206</f>
      </c>
      <c r="F206" s="2"/>
    </row>
    <row x14ac:dyDescent="0.25" r="207" customHeight="1" ht="17.25">
      <c r="A207" s="7">
        <v>45880</v>
      </c>
      <c r="B207" s="9" t="s">
        <v>290</v>
      </c>
      <c r="C207" s="6">
        <v>100</v>
      </c>
      <c r="D207" s="3"/>
      <c r="E207" s="6">
        <f>E206+C207-D207</f>
      </c>
      <c r="F207" s="2"/>
    </row>
    <row x14ac:dyDescent="0.25" r="208" customHeight="1" ht="17.25">
      <c r="A208" s="7">
        <v>45880</v>
      </c>
      <c r="B208" s="9" t="s">
        <v>303</v>
      </c>
      <c r="C208" s="4"/>
      <c r="D208" s="6">
        <v>100</v>
      </c>
      <c r="E208" s="6">
        <f>E207+C208-D208</f>
      </c>
      <c r="F208" s="2"/>
    </row>
    <row x14ac:dyDescent="0.25" r="209" customHeight="1" ht="17.25">
      <c r="A209" s="7">
        <v>45883</v>
      </c>
      <c r="B209" s="9" t="s">
        <v>241</v>
      </c>
      <c r="C209" s="6">
        <v>100</v>
      </c>
      <c r="D209" s="3"/>
      <c r="E209" s="6">
        <f>E208+C209-D209</f>
      </c>
      <c r="F209" s="2"/>
    </row>
    <row x14ac:dyDescent="0.25" r="210" customHeight="1" ht="17.25">
      <c r="A210" s="7">
        <v>45887</v>
      </c>
      <c r="B210" s="9" t="s">
        <v>183</v>
      </c>
      <c r="C210" s="6">
        <v>4</v>
      </c>
      <c r="D210" s="3"/>
      <c r="E210" s="6">
        <f>E209+C210-D210</f>
      </c>
      <c r="F210" s="2"/>
    </row>
    <row x14ac:dyDescent="0.25" r="211" customHeight="1" ht="17.25">
      <c r="A211" s="7">
        <v>45887</v>
      </c>
      <c r="B211" s="9" t="s">
        <v>35</v>
      </c>
      <c r="C211" s="6">
        <v>22</v>
      </c>
      <c r="D211" s="3"/>
      <c r="E211" s="6">
        <f>E210+C211-D211</f>
      </c>
      <c r="F211" s="2"/>
    </row>
    <row x14ac:dyDescent="0.25" r="212" customHeight="1" ht="17.25">
      <c r="A212" s="7">
        <v>45888</v>
      </c>
      <c r="B212" s="9" t="s">
        <v>303</v>
      </c>
      <c r="C212" s="6">
        <v>100</v>
      </c>
      <c r="D212" s="3"/>
      <c r="E212" s="6">
        <f>E211+C212-D212</f>
      </c>
      <c r="F212" s="2"/>
    </row>
    <row x14ac:dyDescent="0.25" r="213" customHeight="1" ht="17.25">
      <c r="A213" s="7">
        <v>45889</v>
      </c>
      <c r="B213" s="9" t="s">
        <v>303</v>
      </c>
      <c r="C213" s="4"/>
      <c r="D213" s="6">
        <v>16</v>
      </c>
      <c r="E213" s="6">
        <f>E212+C213-D213</f>
      </c>
      <c r="F213" s="2"/>
    </row>
    <row x14ac:dyDescent="0.25" r="214" customHeight="1" ht="17.25">
      <c r="A214" s="7">
        <v>45889</v>
      </c>
      <c r="B214" s="9" t="s">
        <v>303</v>
      </c>
      <c r="C214" s="6">
        <v>9</v>
      </c>
      <c r="D214" s="3"/>
      <c r="E214" s="6">
        <f>E213+C214-D214</f>
      </c>
      <c r="F214" s="2"/>
    </row>
    <row x14ac:dyDescent="0.25" r="215" customHeight="1" ht="17.25">
      <c r="A215" s="7">
        <v>45889</v>
      </c>
      <c r="B215" s="9" t="s">
        <v>272</v>
      </c>
      <c r="C215" s="6">
        <v>25</v>
      </c>
      <c r="D215" s="3"/>
      <c r="E215" s="6">
        <f>E214+C215-D215</f>
      </c>
      <c r="F215" s="2"/>
    </row>
    <row x14ac:dyDescent="0.25" r="216" customHeight="1" ht="17.25">
      <c r="A216" s="8">
        <v>45891</v>
      </c>
      <c r="B216" s="9" t="s">
        <v>42</v>
      </c>
      <c r="C216" s="6">
        <v>50</v>
      </c>
      <c r="D216" s="3"/>
      <c r="E216" s="6">
        <f>E215+C216-D216</f>
      </c>
      <c r="F216" s="2"/>
    </row>
    <row x14ac:dyDescent="0.25" r="217" customHeight="1" ht="17.25">
      <c r="A217" s="8">
        <v>45892</v>
      </c>
      <c r="B217" s="9" t="s">
        <v>42</v>
      </c>
      <c r="C217" s="6">
        <v>9</v>
      </c>
      <c r="D217" s="3"/>
      <c r="E217" s="6">
        <f>E216+C217-D217</f>
      </c>
      <c r="F217" s="2"/>
    </row>
    <row x14ac:dyDescent="0.25" r="218" customHeight="1" ht="17.25">
      <c r="A218" s="7">
        <v>45895</v>
      </c>
      <c r="B218" s="9" t="s">
        <v>271</v>
      </c>
      <c r="C218" s="6">
        <v>14</v>
      </c>
      <c r="D218" s="3"/>
      <c r="E218" s="6">
        <f>E217+C218-D218</f>
      </c>
      <c r="F218" s="2"/>
    </row>
    <row x14ac:dyDescent="0.25" r="219" customHeight="1" ht="17.25">
      <c r="A219" s="8">
        <v>45898</v>
      </c>
      <c r="B219" s="9" t="s">
        <v>299</v>
      </c>
      <c r="C219" s="6">
        <v>20</v>
      </c>
      <c r="D219" s="3"/>
      <c r="E219" s="6">
        <f>E218+C219-D219</f>
      </c>
      <c r="F219" s="2"/>
    </row>
    <row x14ac:dyDescent="0.25" r="220" customHeight="1" ht="17.25">
      <c r="A220" s="8">
        <v>45899</v>
      </c>
      <c r="B220" s="9" t="s">
        <v>297</v>
      </c>
      <c r="C220" s="4"/>
      <c r="D220" s="6">
        <v>60</v>
      </c>
      <c r="E220" s="6">
        <f>E219+C220-D220</f>
      </c>
      <c r="F220" s="2"/>
    </row>
    <row x14ac:dyDescent="0.25" r="221" customHeight="1" ht="17.25">
      <c r="A221" s="8">
        <v>45902</v>
      </c>
      <c r="B221" s="9" t="s">
        <v>47</v>
      </c>
      <c r="C221" s="6">
        <v>103</v>
      </c>
      <c r="D221" s="3"/>
      <c r="E221" s="6">
        <f>E220+C221-D221</f>
      </c>
      <c r="F221" s="2"/>
    </row>
    <row x14ac:dyDescent="0.25" r="222" customHeight="1" ht="17.25">
      <c r="A222" s="7">
        <v>45904</v>
      </c>
      <c r="B222" s="9" t="s">
        <v>283</v>
      </c>
      <c r="C222" s="6">
        <v>30</v>
      </c>
      <c r="D222" s="3"/>
      <c r="E222" s="6">
        <f>E221+C222-D222</f>
      </c>
      <c r="F222" s="2"/>
    </row>
    <row x14ac:dyDescent="0.25" r="223" customHeight="1" ht="17.25">
      <c r="A223" s="7">
        <v>45906</v>
      </c>
      <c r="B223" s="9" t="s">
        <v>283</v>
      </c>
      <c r="C223" s="6">
        <v>18</v>
      </c>
      <c r="D223" s="3"/>
      <c r="E223" s="6">
        <f>E222+C223-D223</f>
      </c>
      <c r="F223" s="2"/>
    </row>
    <row x14ac:dyDescent="0.25" r="224" customHeight="1" ht="17.25">
      <c r="A224" s="8">
        <v>45908</v>
      </c>
      <c r="B224" s="9" t="s">
        <v>284</v>
      </c>
      <c r="C224" s="6">
        <v>102</v>
      </c>
      <c r="D224" s="3"/>
      <c r="E224" s="6">
        <f>E223+C224-D224</f>
      </c>
      <c r="F224" s="2"/>
    </row>
    <row x14ac:dyDescent="0.25" r="225" customHeight="1" ht="17.25">
      <c r="A225" s="8">
        <v>45906</v>
      </c>
      <c r="B225" s="9" t="s">
        <v>283</v>
      </c>
      <c r="C225" s="6">
        <v>29</v>
      </c>
      <c r="D225" s="3"/>
      <c r="E225" s="6">
        <f>E224+C225-D225</f>
      </c>
      <c r="F225" s="2"/>
    </row>
    <row x14ac:dyDescent="0.25" r="226" customHeight="1" ht="17.25">
      <c r="A226" s="7">
        <v>45909</v>
      </c>
      <c r="B226" s="9" t="s">
        <v>271</v>
      </c>
      <c r="C226" s="6">
        <v>6</v>
      </c>
      <c r="D226" s="3"/>
      <c r="E226" s="6">
        <f>E225+C226-D226</f>
      </c>
      <c r="F226" s="2"/>
    </row>
    <row x14ac:dyDescent="0.25" r="227" customHeight="1" ht="17.25">
      <c r="A227" s="8">
        <v>45910</v>
      </c>
      <c r="B227" s="9" t="s">
        <v>309</v>
      </c>
      <c r="C227" s="4"/>
      <c r="D227" s="6">
        <v>6</v>
      </c>
      <c r="E227" s="6">
        <f>E226+C227-D227</f>
      </c>
      <c r="F227" s="2"/>
    </row>
    <row x14ac:dyDescent="0.25" r="228" customHeight="1" ht="17.25">
      <c r="A228" s="8">
        <v>45910</v>
      </c>
      <c r="B228" s="9" t="s">
        <v>310</v>
      </c>
      <c r="C228" s="4"/>
      <c r="D228" s="6">
        <v>20</v>
      </c>
      <c r="E228" s="6">
        <f>E227+C228-D228</f>
      </c>
      <c r="F228" s="2"/>
    </row>
    <row x14ac:dyDescent="0.25" r="229" customHeight="1" ht="17.25">
      <c r="A229" s="8">
        <v>45911</v>
      </c>
      <c r="B229" s="9" t="s">
        <v>310</v>
      </c>
      <c r="C229" s="4"/>
      <c r="D229" s="6">
        <v>30</v>
      </c>
      <c r="E229" s="6">
        <f>E228+C229-D229</f>
      </c>
      <c r="F229" s="2"/>
    </row>
    <row x14ac:dyDescent="0.25" r="230" customHeight="1" ht="17.25">
      <c r="A230" s="7">
        <v>45911</v>
      </c>
      <c r="B230" s="9" t="s">
        <v>284</v>
      </c>
      <c r="C230" s="6">
        <v>75</v>
      </c>
      <c r="D230" s="3"/>
      <c r="E230" s="6">
        <f>E229+C230-D230</f>
      </c>
      <c r="F230" s="2"/>
    </row>
    <row x14ac:dyDescent="0.25" r="231" customHeight="1" ht="17.25">
      <c r="A231" s="7">
        <v>45912</v>
      </c>
      <c r="B231" s="9" t="s">
        <v>233</v>
      </c>
      <c r="C231" s="4"/>
      <c r="D231" s="6">
        <v>140</v>
      </c>
      <c r="E231" s="6">
        <f>E230+C231-D231</f>
      </c>
      <c r="F231" s="2"/>
    </row>
    <row x14ac:dyDescent="0.25" r="232" customHeight="1" ht="17.25">
      <c r="A232" s="7">
        <v>45912</v>
      </c>
      <c r="B232" s="9" t="s">
        <v>56</v>
      </c>
      <c r="C232" s="4"/>
      <c r="D232" s="6">
        <v>50</v>
      </c>
      <c r="E232" s="6">
        <f>E231+C232-D232</f>
      </c>
      <c r="F232" s="2"/>
    </row>
    <row x14ac:dyDescent="0.25" r="233" customHeight="1" ht="17.25">
      <c r="A233" s="7">
        <v>45913</v>
      </c>
      <c r="B233" s="9" t="s">
        <v>289</v>
      </c>
      <c r="C233" s="4"/>
      <c r="D233" s="6">
        <v>30</v>
      </c>
      <c r="E233" s="6">
        <f>E232+C233-D233</f>
      </c>
      <c r="F233" s="2"/>
    </row>
    <row x14ac:dyDescent="0.25" r="234" customHeight="1" ht="17.25">
      <c r="A234" s="8">
        <v>45918</v>
      </c>
      <c r="B234" s="9" t="s">
        <v>234</v>
      </c>
      <c r="C234" s="4"/>
      <c r="D234" s="6">
        <v>30</v>
      </c>
      <c r="E234" s="6">
        <f>E233+C234-D234</f>
      </c>
      <c r="F234" s="2"/>
    </row>
    <row x14ac:dyDescent="0.25" r="235" customHeight="1" ht="17.25">
      <c r="A235" s="7">
        <v>45918</v>
      </c>
      <c r="B235" s="9" t="s">
        <v>47</v>
      </c>
      <c r="C235" s="4"/>
      <c r="D235" s="6">
        <v>50</v>
      </c>
      <c r="E235" s="6">
        <f>E234+C235-D235</f>
      </c>
      <c r="F235" s="2"/>
    </row>
    <row x14ac:dyDescent="0.25" r="236" customHeight="1" ht="17.25">
      <c r="A236" s="7">
        <v>45918</v>
      </c>
      <c r="B236" s="9" t="s">
        <v>311</v>
      </c>
      <c r="C236" s="4"/>
      <c r="D236" s="6">
        <v>70</v>
      </c>
      <c r="E236" s="6">
        <f>E235+C236-D236</f>
      </c>
      <c r="F236" s="2"/>
    </row>
    <row x14ac:dyDescent="0.25" r="237" customHeight="1" ht="17.25">
      <c r="A237" s="7">
        <v>45919</v>
      </c>
      <c r="B237" s="9" t="s">
        <v>311</v>
      </c>
      <c r="C237" s="4"/>
      <c r="D237" s="6">
        <v>50</v>
      </c>
      <c r="E237" s="6">
        <f>E236+C237-D237</f>
      </c>
      <c r="F237" s="2"/>
    </row>
    <row x14ac:dyDescent="0.25" r="238" customHeight="1" ht="17.25">
      <c r="A238" s="8">
        <v>45924</v>
      </c>
      <c r="B238" s="9" t="s">
        <v>284</v>
      </c>
      <c r="C238" s="6">
        <v>14</v>
      </c>
      <c r="D238" s="3"/>
      <c r="E238" s="6">
        <f>E237+C238-D238</f>
      </c>
      <c r="F238" s="2"/>
    </row>
    <row x14ac:dyDescent="0.25" r="239" customHeight="1" ht="17.25">
      <c r="A239" s="8">
        <v>45924</v>
      </c>
      <c r="B239" s="9" t="s">
        <v>42</v>
      </c>
      <c r="C239" s="6">
        <v>11</v>
      </c>
      <c r="D239" s="3"/>
      <c r="E239" s="6">
        <f>E238+C239-D239</f>
      </c>
      <c r="F239" s="2"/>
    </row>
    <row x14ac:dyDescent="0.25" r="240" customHeight="1" ht="17.25">
      <c r="A240" s="8">
        <v>45925</v>
      </c>
      <c r="B240" s="9" t="s">
        <v>311</v>
      </c>
      <c r="C240" s="4"/>
      <c r="D240" s="6">
        <v>60</v>
      </c>
      <c r="E240" s="6">
        <f>E239+C240-D240</f>
      </c>
      <c r="F240" s="2"/>
    </row>
    <row x14ac:dyDescent="0.25" r="241" customHeight="1" ht="17.25">
      <c r="A241" s="7">
        <v>45926</v>
      </c>
      <c r="B241" s="9" t="s">
        <v>311</v>
      </c>
      <c r="C241" s="4"/>
      <c r="D241" s="6">
        <v>60</v>
      </c>
      <c r="E241" s="6">
        <f>E240+C241-D241</f>
      </c>
      <c r="F241" s="2"/>
    </row>
    <row x14ac:dyDescent="0.25" r="242" customHeight="1" ht="17.25">
      <c r="A242" s="7">
        <v>45927</v>
      </c>
      <c r="B242" s="9" t="s">
        <v>311</v>
      </c>
      <c r="C242" s="4"/>
      <c r="D242" s="6">
        <v>120</v>
      </c>
      <c r="E242" s="6">
        <f>E241+C242-D242</f>
      </c>
      <c r="F242" s="2"/>
    </row>
    <row x14ac:dyDescent="0.25" r="243" customHeight="1" ht="17.25">
      <c r="A243" s="8">
        <v>45929</v>
      </c>
      <c r="B243" s="9" t="s">
        <v>141</v>
      </c>
      <c r="C243" s="6">
        <v>17</v>
      </c>
      <c r="D243" s="3"/>
      <c r="E243" s="6">
        <f>E242+C243-D243</f>
      </c>
      <c r="F243" s="2"/>
    </row>
    <row x14ac:dyDescent="0.25" r="244" customHeight="1" ht="17.25">
      <c r="A244" s="8">
        <v>45932</v>
      </c>
      <c r="B244" s="9" t="s">
        <v>264</v>
      </c>
      <c r="C244" s="6">
        <v>3</v>
      </c>
      <c r="D244" s="3"/>
      <c r="E244" s="6">
        <f>E243+C244-D244</f>
      </c>
      <c r="F244" s="2"/>
    </row>
    <row x14ac:dyDescent="0.25" r="245" customHeight="1" ht="17.25">
      <c r="A245" s="7">
        <v>45936</v>
      </c>
      <c r="B245" s="9" t="s">
        <v>291</v>
      </c>
      <c r="C245" s="6">
        <v>45</v>
      </c>
      <c r="D245" s="3"/>
      <c r="E245" s="6">
        <f>E244+C245-D245</f>
      </c>
      <c r="F245" s="2"/>
    </row>
    <row x14ac:dyDescent="0.25" r="246" customHeight="1" ht="17.25">
      <c r="A246" s="7">
        <v>45937</v>
      </c>
      <c r="B246" s="9" t="s">
        <v>312</v>
      </c>
      <c r="C246" s="4"/>
      <c r="D246" s="6">
        <v>2</v>
      </c>
      <c r="E246" s="6">
        <f>E245+C246-D246</f>
      </c>
      <c r="F246" s="2"/>
    </row>
    <row x14ac:dyDescent="0.25" r="247" customHeight="1" ht="17.25">
      <c r="A247" s="8">
        <v>45938</v>
      </c>
      <c r="B247" s="9" t="s">
        <v>313</v>
      </c>
      <c r="C247" s="4"/>
      <c r="D247" s="6">
        <v>16</v>
      </c>
      <c r="E247" s="6">
        <f>E246+C247-D247</f>
      </c>
      <c r="F247" s="2"/>
    </row>
    <row x14ac:dyDescent="0.25" r="248" customHeight="1" ht="17.25">
      <c r="A248" s="7">
        <v>45939</v>
      </c>
      <c r="B248" s="9" t="s">
        <v>233</v>
      </c>
      <c r="C248" s="4"/>
      <c r="D248" s="6">
        <v>27</v>
      </c>
      <c r="E248" s="6">
        <f>E247+C248-D248</f>
      </c>
      <c r="F248" s="2"/>
    </row>
    <row x14ac:dyDescent="0.25" r="249" customHeight="1" ht="17.25">
      <c r="A249" s="8">
        <v>45939</v>
      </c>
      <c r="B249" s="9" t="s">
        <v>314</v>
      </c>
      <c r="C249" s="6">
        <v>119</v>
      </c>
      <c r="D249" s="3"/>
      <c r="E249" s="6">
        <f>E248+C249-D249</f>
      </c>
      <c r="F249" s="2"/>
    </row>
    <row x14ac:dyDescent="0.25" r="250" customHeight="1" ht="17.25">
      <c r="A250" s="8">
        <v>45941</v>
      </c>
      <c r="B250" s="9" t="s">
        <v>287</v>
      </c>
      <c r="C250" s="6">
        <v>1</v>
      </c>
      <c r="D250" s="3"/>
      <c r="E250" s="6">
        <f>E249+C250-D250</f>
      </c>
      <c r="F250" s="2"/>
    </row>
    <row x14ac:dyDescent="0.25" r="251" customHeight="1" ht="17.25">
      <c r="A251" s="7">
        <v>45943</v>
      </c>
      <c r="B251" s="9" t="s">
        <v>304</v>
      </c>
      <c r="C251" s="4"/>
      <c r="D251" s="6">
        <v>50</v>
      </c>
      <c r="E251" s="6">
        <f>E250+C251-D251</f>
      </c>
      <c r="F251" s="2"/>
    </row>
    <row x14ac:dyDescent="0.25" r="252" customHeight="1" ht="17.25">
      <c r="A252" s="8">
        <v>45943</v>
      </c>
      <c r="B252" s="9" t="s">
        <v>41</v>
      </c>
      <c r="C252" s="6">
        <v>1</v>
      </c>
      <c r="D252" s="3"/>
      <c r="E252" s="6">
        <f>E251+C252-D252</f>
      </c>
      <c r="F252" s="2"/>
    </row>
    <row x14ac:dyDescent="0.25" r="253" customHeight="1" ht="17.25">
      <c r="A253" s="8">
        <v>45944</v>
      </c>
      <c r="B253" s="9" t="s">
        <v>272</v>
      </c>
      <c r="C253" s="6">
        <v>4</v>
      </c>
      <c r="D253" s="3"/>
      <c r="E253" s="6">
        <f>E252+C253-D253</f>
      </c>
      <c r="F253" s="2"/>
    </row>
    <row x14ac:dyDescent="0.25" r="254" customHeight="1" ht="17.25">
      <c r="A254" s="7">
        <v>45944</v>
      </c>
      <c r="B254" s="9" t="s">
        <v>275</v>
      </c>
      <c r="C254" s="6">
        <v>1</v>
      </c>
      <c r="D254" s="3"/>
      <c r="E254" s="6">
        <f>E253+C254-D254</f>
      </c>
      <c r="F254" s="2"/>
    </row>
    <row x14ac:dyDescent="0.25" r="255" customHeight="1" ht="17.25">
      <c r="A255" s="7">
        <v>45944</v>
      </c>
      <c r="B255" s="9" t="s">
        <v>291</v>
      </c>
      <c r="C255" s="6">
        <v>56</v>
      </c>
      <c r="D255" s="3"/>
      <c r="E255" s="6">
        <f>E254+C255-D255</f>
      </c>
      <c r="F255" s="2"/>
    </row>
    <row x14ac:dyDescent="0.25" r="256" customHeight="1" ht="17.25">
      <c r="A256" s="8">
        <v>45945</v>
      </c>
      <c r="B256" s="9" t="s">
        <v>283</v>
      </c>
      <c r="C256" s="6">
        <v>6</v>
      </c>
      <c r="D256" s="3"/>
      <c r="E256" s="6">
        <f>E255+C256-D256</f>
      </c>
      <c r="F256" s="2"/>
    </row>
    <row x14ac:dyDescent="0.25" r="257" customHeight="1" ht="17.25">
      <c r="A257" s="7">
        <v>45948</v>
      </c>
      <c r="B257" s="9" t="s">
        <v>306</v>
      </c>
      <c r="C257" s="6">
        <v>12</v>
      </c>
      <c r="D257" s="3"/>
      <c r="E257" s="6">
        <f>E256+C257-D257</f>
      </c>
      <c r="F257" s="2"/>
    </row>
    <row x14ac:dyDescent="0.25" r="258" customHeight="1" ht="17.25">
      <c r="A258" s="7">
        <v>45951</v>
      </c>
      <c r="B258" s="9" t="s">
        <v>315</v>
      </c>
      <c r="C258" s="4"/>
      <c r="D258" s="6">
        <v>16</v>
      </c>
      <c r="E258" s="6">
        <f>E257+C258-D258</f>
      </c>
      <c r="F258" s="2"/>
    </row>
    <row x14ac:dyDescent="0.25" r="259" customHeight="1" ht="17.25">
      <c r="A259" s="7">
        <v>45951</v>
      </c>
      <c r="B259" s="9" t="s">
        <v>7</v>
      </c>
      <c r="C259" s="6">
        <v>20</v>
      </c>
      <c r="D259" s="3"/>
      <c r="E259" s="6">
        <f>E258+C259-D259</f>
      </c>
      <c r="F259" s="2"/>
    </row>
    <row x14ac:dyDescent="0.25" r="260" customHeight="1" ht="17.25">
      <c r="A260" s="7">
        <v>45952</v>
      </c>
      <c r="B260" s="9" t="s">
        <v>313</v>
      </c>
      <c r="C260" s="4"/>
      <c r="D260" s="6">
        <v>16</v>
      </c>
      <c r="E260" s="6">
        <f>E259+C260-D260</f>
      </c>
      <c r="F260" s="2"/>
    </row>
    <row x14ac:dyDescent="0.25" r="261" customHeight="1" ht="17.25">
      <c r="A261" s="7">
        <v>45952</v>
      </c>
      <c r="B261" s="9" t="s">
        <v>7</v>
      </c>
      <c r="C261" s="6">
        <v>50</v>
      </c>
      <c r="D261" s="3"/>
      <c r="E261" s="6">
        <f>E260+C261-D261</f>
      </c>
      <c r="F261" s="2"/>
    </row>
    <row x14ac:dyDescent="0.25" r="262" customHeight="1" ht="17.25">
      <c r="A262" s="7">
        <v>45953</v>
      </c>
      <c r="B262" s="9" t="s">
        <v>316</v>
      </c>
      <c r="C262" s="4"/>
      <c r="D262" s="6">
        <v>100</v>
      </c>
      <c r="E262" s="6">
        <f>E261+C262-D262</f>
      </c>
      <c r="F262" s="2"/>
    </row>
    <row x14ac:dyDescent="0.25" r="263" customHeight="1" ht="17.25">
      <c r="A263" s="7">
        <v>45953</v>
      </c>
      <c r="B263" s="9" t="s">
        <v>291</v>
      </c>
      <c r="C263" s="6">
        <v>50</v>
      </c>
      <c r="D263" s="3"/>
      <c r="E263" s="6">
        <f>E262+C263-D263</f>
      </c>
      <c r="F263" s="2"/>
    </row>
    <row x14ac:dyDescent="0.25" r="264" customHeight="1" ht="17.25">
      <c r="A264" s="7">
        <v>45954</v>
      </c>
      <c r="B264" s="9" t="s">
        <v>63</v>
      </c>
      <c r="C264" s="6">
        <v>50</v>
      </c>
      <c r="D264" s="3"/>
      <c r="E264" s="6">
        <f>E263+C264-D264</f>
      </c>
      <c r="F264" s="2"/>
    </row>
    <row x14ac:dyDescent="0.25" r="265" customHeight="1" ht="17.25">
      <c r="A265" s="8">
        <v>45958</v>
      </c>
      <c r="B265" s="9" t="s">
        <v>317</v>
      </c>
      <c r="C265" s="6">
        <v>2</v>
      </c>
      <c r="D265" s="3"/>
      <c r="E265" s="6">
        <f>E264+C265-D265</f>
      </c>
      <c r="F265" s="2"/>
    </row>
    <row x14ac:dyDescent="0.25" r="266" customHeight="1" ht="17.25">
      <c r="A266" s="7">
        <v>45959</v>
      </c>
      <c r="B266" s="9" t="s">
        <v>3</v>
      </c>
      <c r="C266" s="6">
        <v>40</v>
      </c>
      <c r="D266" s="3"/>
      <c r="E266" s="6">
        <f>E265+C266-D266</f>
      </c>
      <c r="F266" s="2"/>
    </row>
    <row x14ac:dyDescent="0.25" r="267" customHeight="1" ht="17.25">
      <c r="A267" s="8">
        <v>45960</v>
      </c>
      <c r="B267" s="9" t="s">
        <v>318</v>
      </c>
      <c r="C267" s="4"/>
      <c r="D267" s="6">
        <v>8</v>
      </c>
      <c r="E267" s="6">
        <f>E266+C267-D267</f>
      </c>
      <c r="F267" s="2"/>
    </row>
    <row x14ac:dyDescent="0.25" r="268" customHeight="1" ht="17.25">
      <c r="A268" s="8">
        <v>45960</v>
      </c>
      <c r="B268" s="9" t="s">
        <v>141</v>
      </c>
      <c r="C268" s="6">
        <v>12</v>
      </c>
      <c r="D268" s="3"/>
      <c r="E268" s="6">
        <f>E267+C268-D268</f>
      </c>
      <c r="F268" s="2"/>
    </row>
    <row x14ac:dyDescent="0.25" r="269" customHeight="1" ht="17.25">
      <c r="A269" s="7">
        <v>45960</v>
      </c>
      <c r="B269" s="9" t="s">
        <v>291</v>
      </c>
      <c r="C269" s="6">
        <v>11</v>
      </c>
      <c r="D269" s="3"/>
      <c r="E269" s="6">
        <f>E268+C269-D269</f>
      </c>
      <c r="F269" s="2"/>
    </row>
    <row x14ac:dyDescent="0.25" r="270" customHeight="1" ht="17.25">
      <c r="A270" s="7">
        <v>45961</v>
      </c>
      <c r="B270" s="9" t="s">
        <v>319</v>
      </c>
      <c r="C270" s="4"/>
      <c r="D270" s="6">
        <v>120</v>
      </c>
      <c r="E270" s="6">
        <f>E269+C270-D270</f>
      </c>
      <c r="F270" s="2"/>
    </row>
    <row x14ac:dyDescent="0.25" r="271" customHeight="1" ht="17.25">
      <c r="A271" s="8">
        <v>45962</v>
      </c>
      <c r="B271" s="9" t="s">
        <v>3</v>
      </c>
      <c r="C271" s="6">
        <v>12</v>
      </c>
      <c r="D271" s="3"/>
      <c r="E271" s="6">
        <f>E270+C271-D271</f>
      </c>
      <c r="F271" s="2"/>
    </row>
    <row x14ac:dyDescent="0.25" r="272" customHeight="1" ht="17.25">
      <c r="A272" s="8">
        <v>45964</v>
      </c>
      <c r="B272" s="9" t="s">
        <v>320</v>
      </c>
      <c r="C272" s="4"/>
      <c r="D272" s="6">
        <v>10</v>
      </c>
      <c r="E272" s="6">
        <f>E271+C272-D272</f>
      </c>
      <c r="F272" s="2"/>
    </row>
    <row x14ac:dyDescent="0.25" r="273" customHeight="1" ht="17.25">
      <c r="A273" s="7">
        <v>45966</v>
      </c>
      <c r="B273" s="9" t="s">
        <v>318</v>
      </c>
      <c r="C273" s="4"/>
      <c r="D273" s="6">
        <v>20</v>
      </c>
      <c r="E273" s="6">
        <f>E272+C273-D273</f>
      </c>
      <c r="F273" s="2"/>
    </row>
    <row x14ac:dyDescent="0.25" r="274" customHeight="1" ht="17.25">
      <c r="A274" s="8">
        <v>45967</v>
      </c>
      <c r="B274" s="9" t="s">
        <v>283</v>
      </c>
      <c r="C274" s="6">
        <v>10</v>
      </c>
      <c r="D274" s="3"/>
      <c r="E274" s="6">
        <f>E273+C274-D274</f>
      </c>
      <c r="F274" s="2"/>
    </row>
    <row x14ac:dyDescent="0.25" r="275" customHeight="1" ht="17.25">
      <c r="A275" s="7">
        <v>45968</v>
      </c>
      <c r="B275" s="9" t="s">
        <v>3</v>
      </c>
      <c r="C275" s="6">
        <v>21</v>
      </c>
      <c r="D275" s="3"/>
      <c r="E275" s="6">
        <f>E274+C275-D275</f>
      </c>
      <c r="F275" s="2"/>
    </row>
    <row x14ac:dyDescent="0.25" r="276" customHeight="1" ht="17.25">
      <c r="A276" s="7">
        <v>45971</v>
      </c>
      <c r="B276" s="9" t="s">
        <v>318</v>
      </c>
      <c r="C276" s="4"/>
      <c r="D276" s="6">
        <v>20</v>
      </c>
      <c r="E276" s="6">
        <f>E275+C276-D276</f>
      </c>
      <c r="F276" s="2"/>
    </row>
    <row x14ac:dyDescent="0.25" r="277" customHeight="1" ht="17.25">
      <c r="A277" s="8">
        <v>45973</v>
      </c>
      <c r="B277" s="9" t="s">
        <v>234</v>
      </c>
      <c r="C277" s="6">
        <v>58</v>
      </c>
      <c r="D277" s="3"/>
      <c r="E277" s="6">
        <f>E276+C277-D277</f>
      </c>
      <c r="F277" s="2"/>
    </row>
    <row x14ac:dyDescent="0.25" r="278" customHeight="1" ht="17.25">
      <c r="A278" s="8">
        <v>45973</v>
      </c>
      <c r="B278" s="9" t="s">
        <v>42</v>
      </c>
      <c r="C278" s="4"/>
      <c r="D278" s="6">
        <v>20</v>
      </c>
      <c r="E278" s="6">
        <f>E277+C278-D278</f>
      </c>
      <c r="F278" s="2"/>
    </row>
    <row x14ac:dyDescent="0.25" r="279" customHeight="1" ht="17.25">
      <c r="A279" s="7">
        <v>45973</v>
      </c>
      <c r="B279" s="9" t="s">
        <v>313</v>
      </c>
      <c r="C279" s="4"/>
      <c r="D279" s="6">
        <v>60</v>
      </c>
      <c r="E279" s="6">
        <f>E278+C279-D279</f>
      </c>
      <c r="F279" s="2"/>
    </row>
    <row x14ac:dyDescent="0.25" r="280" customHeight="1" ht="17.25">
      <c r="A280" s="8">
        <v>45974</v>
      </c>
      <c r="B280" s="9" t="s">
        <v>318</v>
      </c>
      <c r="C280" s="4"/>
      <c r="D280" s="6">
        <v>40</v>
      </c>
      <c r="E280" s="6">
        <f>E279+C280-D280</f>
      </c>
      <c r="F280" s="2"/>
    </row>
    <row x14ac:dyDescent="0.25" r="281" customHeight="1" ht="17.25">
      <c r="A281" s="8">
        <v>45975</v>
      </c>
      <c r="B281" s="9" t="s">
        <v>141</v>
      </c>
      <c r="C281" s="6">
        <v>1</v>
      </c>
      <c r="D281" s="3"/>
      <c r="E281" s="6">
        <f>E280+C281-D281</f>
      </c>
      <c r="F281" s="2"/>
    </row>
    <row x14ac:dyDescent="0.25" r="282" customHeight="1" ht="17.25">
      <c r="A282" s="7">
        <v>45975</v>
      </c>
      <c r="B282" s="9" t="s">
        <v>294</v>
      </c>
      <c r="C282" s="6">
        <v>180</v>
      </c>
      <c r="D282" s="3"/>
      <c r="E282" s="6">
        <f>E281+C282-D282</f>
      </c>
      <c r="F282" s="2"/>
    </row>
    <row x14ac:dyDescent="0.25" r="283" customHeight="1" ht="17.25">
      <c r="A283" s="7">
        <v>45975</v>
      </c>
      <c r="B283" s="9" t="s">
        <v>294</v>
      </c>
      <c r="C283" s="6">
        <v>70</v>
      </c>
      <c r="D283" s="3"/>
      <c r="E283" s="6">
        <f>E282+C283-D283</f>
      </c>
      <c r="F283" s="2"/>
    </row>
    <row x14ac:dyDescent="0.25" r="284" customHeight="1" ht="17.25">
      <c r="A284" s="7">
        <v>45975</v>
      </c>
      <c r="B284" s="9" t="s">
        <v>232</v>
      </c>
      <c r="C284" s="4"/>
      <c r="D284" s="6">
        <v>180</v>
      </c>
      <c r="E284" s="6">
        <f>E283+C284-D284</f>
      </c>
      <c r="F284" s="2"/>
    </row>
    <row x14ac:dyDescent="0.25" r="285" customHeight="1" ht="17.25">
      <c r="A285" s="7">
        <v>45975</v>
      </c>
      <c r="B285" s="9" t="s">
        <v>296</v>
      </c>
      <c r="C285" s="4"/>
      <c r="D285" s="6">
        <v>40</v>
      </c>
      <c r="E285" s="6">
        <f>E284+C285-D285</f>
      </c>
      <c r="F285" s="2"/>
    </row>
    <row x14ac:dyDescent="0.25" r="286" customHeight="1" ht="17.25">
      <c r="A286" s="7">
        <v>45978</v>
      </c>
      <c r="B286" s="9" t="s">
        <v>320</v>
      </c>
      <c r="C286" s="6">
        <v>10</v>
      </c>
      <c r="D286" s="3"/>
      <c r="E286" s="6">
        <f>E285+C286-D286</f>
      </c>
      <c r="F286" s="2"/>
    </row>
    <row x14ac:dyDescent="0.25" r="287" customHeight="1" ht="17.25">
      <c r="A287" s="8">
        <v>45979</v>
      </c>
      <c r="B287" s="9" t="s">
        <v>321</v>
      </c>
      <c r="C287" s="6">
        <v>24</v>
      </c>
      <c r="D287" s="3"/>
      <c r="E287" s="6">
        <f>E286+C287-D287</f>
      </c>
      <c r="F287" s="2"/>
    </row>
    <row x14ac:dyDescent="0.25" r="288" customHeight="1" ht="17.25">
      <c r="A288" s="8">
        <v>45980</v>
      </c>
      <c r="B288" s="9" t="s">
        <v>42</v>
      </c>
      <c r="C288" s="4"/>
      <c r="D288" s="6">
        <v>20</v>
      </c>
      <c r="E288" s="6">
        <f>E287+C288-D288</f>
      </c>
      <c r="F288" s="2"/>
    </row>
    <row x14ac:dyDescent="0.25" r="289" customHeight="1" ht="17.25">
      <c r="A289" s="7">
        <v>45980</v>
      </c>
      <c r="B289" s="9" t="s">
        <v>313</v>
      </c>
      <c r="C289" s="4"/>
      <c r="D289" s="6">
        <v>85</v>
      </c>
      <c r="E289" s="6">
        <f>E288+C289-D289</f>
      </c>
      <c r="F289" s="2"/>
    </row>
    <row x14ac:dyDescent="0.25" r="290" customHeight="1" ht="17.25">
      <c r="A290" s="7">
        <v>45982</v>
      </c>
      <c r="B290" s="9" t="s">
        <v>316</v>
      </c>
      <c r="C290" s="4"/>
      <c r="D290" s="6">
        <v>86</v>
      </c>
      <c r="E290" s="6">
        <f>E289+C290-D290</f>
      </c>
      <c r="F290" s="2"/>
    </row>
    <row x14ac:dyDescent="0.25" r="291" customHeight="1" ht="17.25">
      <c r="A291" s="1"/>
      <c r="B291" s="9" t="s">
        <v>322</v>
      </c>
      <c r="C291" s="4"/>
      <c r="D291" s="3"/>
      <c r="E291" s="4"/>
      <c r="F291" s="2"/>
    </row>
    <row x14ac:dyDescent="0.25" r="292" customHeight="1" ht="17.25">
      <c r="A292" s="7">
        <v>45986</v>
      </c>
      <c r="B292" s="9" t="s">
        <v>323</v>
      </c>
      <c r="C292" s="6">
        <v>190</v>
      </c>
      <c r="D292" s="3"/>
      <c r="E292" s="6">
        <v>190</v>
      </c>
      <c r="F292" s="2"/>
    </row>
    <row x14ac:dyDescent="0.25" r="293" customHeight="1" ht="17.25">
      <c r="A293" s="8">
        <v>45987</v>
      </c>
      <c r="B293" s="9" t="s">
        <v>53</v>
      </c>
      <c r="C293" s="4"/>
      <c r="D293" s="6">
        <v>75</v>
      </c>
      <c r="E293" s="6">
        <f>E292+C293-D293</f>
      </c>
      <c r="F293" s="2"/>
    </row>
    <row x14ac:dyDescent="0.25" r="294" customHeight="1" ht="17.25">
      <c r="A294" s="7">
        <v>45988</v>
      </c>
      <c r="B294" s="9" t="s">
        <v>3</v>
      </c>
      <c r="C294" s="6">
        <v>17</v>
      </c>
      <c r="D294" s="3"/>
      <c r="E294" s="6">
        <f>E293+C294-D294</f>
      </c>
      <c r="F294" s="2"/>
    </row>
    <row x14ac:dyDescent="0.25" r="295" customHeight="1" ht="17.25">
      <c r="A295" s="7">
        <v>45988</v>
      </c>
      <c r="B295" s="9" t="s">
        <v>324</v>
      </c>
      <c r="C295" s="6">
        <v>108</v>
      </c>
      <c r="D295" s="3"/>
      <c r="E295" s="6">
        <f>E294+C295-D295</f>
      </c>
      <c r="F295" s="2"/>
    </row>
    <row x14ac:dyDescent="0.25" r="296" customHeight="1" ht="17.25">
      <c r="A296" s="8">
        <v>45990</v>
      </c>
      <c r="B296" s="9" t="s">
        <v>53</v>
      </c>
      <c r="C296" s="4"/>
      <c r="D296" s="6">
        <v>140</v>
      </c>
      <c r="E296" s="6">
        <f>E295+C296-D296</f>
      </c>
      <c r="F296" s="2"/>
    </row>
    <row x14ac:dyDescent="0.25" r="297" customHeight="1" ht="17.25">
      <c r="A297" s="7">
        <v>45990</v>
      </c>
      <c r="B297" s="9" t="s">
        <v>323</v>
      </c>
      <c r="C297" s="6">
        <v>200</v>
      </c>
      <c r="D297" s="3"/>
      <c r="E297" s="6">
        <f>E296+C297-D297</f>
      </c>
      <c r="F297" s="2"/>
    </row>
    <row x14ac:dyDescent="0.25" r="298" customHeight="1" ht="17.25">
      <c r="A298" s="8">
        <v>45992</v>
      </c>
      <c r="B298" s="9" t="s">
        <v>185</v>
      </c>
      <c r="C298" s="4"/>
      <c r="D298" s="6">
        <v>117</v>
      </c>
      <c r="E298" s="6">
        <f>E297+C298-D298</f>
      </c>
      <c r="F298" s="2"/>
    </row>
    <row x14ac:dyDescent="0.25" r="299" customHeight="1" ht="17.25">
      <c r="A299" s="7">
        <v>45992</v>
      </c>
      <c r="B299" s="9" t="s">
        <v>294</v>
      </c>
      <c r="C299" s="6">
        <v>125</v>
      </c>
      <c r="D299" s="3"/>
      <c r="E299" s="6">
        <f>E298+C299-D299</f>
      </c>
      <c r="F299" s="2"/>
    </row>
    <row x14ac:dyDescent="0.25" r="300" customHeight="1" ht="17.25">
      <c r="A300" s="7">
        <v>45993</v>
      </c>
      <c r="B300" s="9" t="s">
        <v>315</v>
      </c>
      <c r="C300" s="6">
        <v>14</v>
      </c>
      <c r="D300" s="3"/>
      <c r="E300" s="6">
        <f>E299+C300-D300</f>
      </c>
      <c r="F300" s="2"/>
    </row>
    <row x14ac:dyDescent="0.25" r="301" customHeight="1" ht="17.25">
      <c r="A301" s="8">
        <v>45995</v>
      </c>
      <c r="B301" s="9" t="s">
        <v>313</v>
      </c>
      <c r="C301" s="4"/>
      <c r="D301" s="6">
        <v>26</v>
      </c>
      <c r="E301" s="6">
        <f>E300+C301-D301</f>
      </c>
      <c r="F301" s="2"/>
    </row>
    <row x14ac:dyDescent="0.25" r="302" customHeight="1" ht="17.25">
      <c r="A302" s="7">
        <v>45995</v>
      </c>
      <c r="B302" s="9" t="s">
        <v>185</v>
      </c>
      <c r="C302" s="4"/>
      <c r="D302" s="6">
        <v>100</v>
      </c>
      <c r="E302" s="6">
        <f>E301+C302-D302</f>
      </c>
      <c r="F302" s="2"/>
    </row>
    <row x14ac:dyDescent="0.25" r="303" customHeight="1" ht="17.25">
      <c r="A303" s="7">
        <v>45999</v>
      </c>
      <c r="B303" s="9" t="s">
        <v>56</v>
      </c>
      <c r="C303" s="4"/>
      <c r="D303" s="6">
        <v>50</v>
      </c>
      <c r="E303" s="6">
        <f>E302+C303-D303</f>
      </c>
      <c r="F303" s="2"/>
    </row>
    <row x14ac:dyDescent="0.25" r="304" customHeight="1" ht="17.25">
      <c r="A304" s="7">
        <v>45999</v>
      </c>
      <c r="B304" s="9" t="s">
        <v>59</v>
      </c>
      <c r="C304" s="6">
        <v>50</v>
      </c>
      <c r="D304" s="3"/>
      <c r="E304" s="6">
        <f>E303+C304-D304</f>
      </c>
      <c r="F304" s="2"/>
    </row>
    <row x14ac:dyDescent="0.25" r="305" customHeight="1" ht="17.25">
      <c r="A305" s="7">
        <v>46000</v>
      </c>
      <c r="B305" s="9" t="s">
        <v>313</v>
      </c>
      <c r="C305" s="4"/>
      <c r="D305" s="6">
        <v>2</v>
      </c>
      <c r="E305" s="6">
        <f>E304+C305-D305</f>
      </c>
      <c r="F305" s="2"/>
    </row>
    <row x14ac:dyDescent="0.25" r="306" customHeight="1" ht="17.25">
      <c r="A306" s="8">
        <v>46000</v>
      </c>
      <c r="B306" s="9" t="s">
        <v>53</v>
      </c>
      <c r="C306" s="4"/>
      <c r="D306" s="6">
        <v>20</v>
      </c>
      <c r="E306" s="6">
        <f>E305+C306-D306</f>
      </c>
      <c r="F306" s="2"/>
    </row>
    <row x14ac:dyDescent="0.25" r="307" customHeight="1" ht="17.25">
      <c r="A307" s="8">
        <v>46001</v>
      </c>
      <c r="B307" s="9" t="s">
        <v>53</v>
      </c>
      <c r="C307" s="4"/>
      <c r="D307" s="6">
        <v>51</v>
      </c>
      <c r="E307" s="6">
        <f>E306+C307-D307</f>
      </c>
      <c r="F307" s="2"/>
    </row>
    <row x14ac:dyDescent="0.25" r="308" customHeight="1" ht="17.25">
      <c r="A308" s="7">
        <v>46002</v>
      </c>
      <c r="B308" s="9" t="s">
        <v>59</v>
      </c>
      <c r="C308" s="6">
        <v>60</v>
      </c>
      <c r="D308" s="3"/>
      <c r="E308" s="6">
        <f>E307+C308-D308</f>
      </c>
      <c r="F308" s="2"/>
    </row>
    <row x14ac:dyDescent="0.25" r="309" customHeight="1" ht="17.25">
      <c r="A309" s="8">
        <v>46002</v>
      </c>
      <c r="B309" s="9" t="s">
        <v>42</v>
      </c>
      <c r="C309" s="4"/>
      <c r="D309" s="6">
        <v>5</v>
      </c>
      <c r="E309" s="6">
        <f>E308+C309-D309</f>
      </c>
      <c r="F309" s="2"/>
    </row>
    <row x14ac:dyDescent="0.25" r="310" customHeight="1" ht="17.25">
      <c r="A310" s="7">
        <v>46003</v>
      </c>
      <c r="B310" s="9" t="s">
        <v>53</v>
      </c>
      <c r="C310" s="4"/>
      <c r="D310" s="6">
        <v>25</v>
      </c>
      <c r="E310" s="6">
        <f>E309+C310-D310</f>
      </c>
      <c r="F310" s="2"/>
    </row>
    <row x14ac:dyDescent="0.25" r="311" customHeight="1" ht="17.25">
      <c r="A311" s="8">
        <v>46003</v>
      </c>
      <c r="B311" s="9" t="s">
        <v>59</v>
      </c>
      <c r="C311" s="6">
        <v>35</v>
      </c>
      <c r="D311" s="3"/>
      <c r="E311" s="6">
        <f>E310+C311-D311</f>
      </c>
      <c r="F311" s="2"/>
    </row>
    <row x14ac:dyDescent="0.25" r="312" customHeight="1" ht="17.25">
      <c r="A312" s="8">
        <v>46003</v>
      </c>
      <c r="B312" s="9" t="s">
        <v>42</v>
      </c>
      <c r="C312" s="4"/>
      <c r="D312" s="6">
        <v>35</v>
      </c>
      <c r="E312" s="6">
        <f>E311+C312-D312</f>
      </c>
      <c r="F312" s="2"/>
    </row>
    <row x14ac:dyDescent="0.25" r="313" customHeight="1" ht="17.25">
      <c r="A313" s="7">
        <v>46004</v>
      </c>
      <c r="B313" s="9" t="s">
        <v>284</v>
      </c>
      <c r="C313" s="6">
        <v>178</v>
      </c>
      <c r="D313" s="3"/>
      <c r="E313" s="6">
        <f>E312+C313-D313</f>
      </c>
      <c r="F313" s="2"/>
    </row>
    <row x14ac:dyDescent="0.25" r="314" customHeight="1" ht="17.25">
      <c r="A314" s="7">
        <v>46006</v>
      </c>
      <c r="B314" s="9" t="s">
        <v>294</v>
      </c>
      <c r="C314" s="6">
        <v>224</v>
      </c>
      <c r="D314" s="3"/>
      <c r="E314" s="6">
        <f>E313+C314-D314</f>
      </c>
      <c r="F314" s="2"/>
    </row>
    <row x14ac:dyDescent="0.25" r="315" customHeight="1" ht="17.25">
      <c r="A315" s="7">
        <v>46006</v>
      </c>
      <c r="B315" s="9" t="s">
        <v>53</v>
      </c>
      <c r="C315" s="4"/>
      <c r="D315" s="6">
        <v>34</v>
      </c>
      <c r="E315" s="6">
        <f>E314+C315-D315</f>
      </c>
      <c r="F315" s="2"/>
    </row>
    <row x14ac:dyDescent="0.25" r="316" customHeight="1" ht="17.25">
      <c r="A316" s="7">
        <v>46006</v>
      </c>
      <c r="B316" s="9" t="s">
        <v>313</v>
      </c>
      <c r="C316" s="4"/>
      <c r="D316" s="6">
        <v>55</v>
      </c>
      <c r="E316" s="6">
        <f>E315+C316-D316</f>
      </c>
      <c r="F316" s="2"/>
    </row>
    <row x14ac:dyDescent="0.25" r="317" customHeight="1" ht="17.25">
      <c r="A317" s="7">
        <v>46007</v>
      </c>
      <c r="B317" s="9" t="s">
        <v>298</v>
      </c>
      <c r="C317" s="6">
        <v>45</v>
      </c>
      <c r="D317" s="3"/>
      <c r="E317" s="4"/>
      <c r="F317" s="2"/>
    </row>
    <row x14ac:dyDescent="0.25" r="318" customHeight="1" ht="17.25">
      <c r="A318" s="7">
        <v>46007</v>
      </c>
      <c r="B318" s="9" t="s">
        <v>59</v>
      </c>
      <c r="C318" s="6">
        <v>48</v>
      </c>
      <c r="D318" s="3"/>
      <c r="E318" s="4"/>
      <c r="F318" s="2"/>
    </row>
    <row x14ac:dyDescent="0.25" r="319" customHeight="1" ht="17.25">
      <c r="A319" s="7">
        <v>46007</v>
      </c>
      <c r="B319" s="9" t="s">
        <v>235</v>
      </c>
      <c r="C319" s="4"/>
      <c r="D319" s="6">
        <v>300</v>
      </c>
      <c r="E319" s="4"/>
      <c r="F319" s="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2.576428571428572" customWidth="1" bestFit="1"/>
    <col min="3" max="3" style="13" width="12.43357142857143" customWidth="1" bestFit="1"/>
    <col min="4" max="4" style="12" width="12.43357142857143" customWidth="1" bestFit="1"/>
    <col min="5" max="5" style="12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253</v>
      </c>
      <c r="B1" s="2"/>
      <c r="C1" s="4"/>
      <c r="D1" s="3"/>
      <c r="E1" s="3"/>
      <c r="F1" s="2"/>
    </row>
    <row x14ac:dyDescent="0.25" r="2" customHeight="1" ht="17.25">
      <c r="A2" s="1"/>
      <c r="B2" s="2"/>
      <c r="C2" s="4"/>
      <c r="D2" s="3"/>
      <c r="E2" s="3"/>
      <c r="F2" s="2"/>
    </row>
    <row x14ac:dyDescent="0.25" r="3" customHeight="1" ht="17.25">
      <c r="A3" s="7">
        <v>45658</v>
      </c>
      <c r="B3" s="2" t="s">
        <v>254</v>
      </c>
      <c r="C3" s="4"/>
      <c r="D3" s="3"/>
      <c r="E3" s="6">
        <v>123</v>
      </c>
      <c r="F3" s="2"/>
    </row>
    <row x14ac:dyDescent="0.25" r="4" customHeight="1" ht="17.25">
      <c r="A4" s="7">
        <v>45672</v>
      </c>
      <c r="B4" s="2" t="s">
        <v>255</v>
      </c>
      <c r="C4" s="6">
        <v>4</v>
      </c>
      <c r="D4" s="3"/>
      <c r="E4" s="6">
        <f>E3+C4-D4</f>
      </c>
      <c r="F4" s="2"/>
    </row>
    <row x14ac:dyDescent="0.25" r="5" customHeight="1" ht="17.25">
      <c r="A5" s="8">
        <v>45675</v>
      </c>
      <c r="B5" s="9" t="s">
        <v>240</v>
      </c>
      <c r="C5" s="6">
        <v>4</v>
      </c>
      <c r="D5" s="3"/>
      <c r="E5" s="6">
        <f>E4+C5-D5</f>
      </c>
      <c r="F5" s="2"/>
    </row>
    <row x14ac:dyDescent="0.25" r="6" customHeight="1" ht="17.25">
      <c r="A6" s="7">
        <v>45679</v>
      </c>
      <c r="B6" s="2" t="s">
        <v>256</v>
      </c>
      <c r="C6" s="6">
        <v>21</v>
      </c>
      <c r="D6" s="3"/>
      <c r="E6" s="6">
        <f>E5+C6-D6</f>
      </c>
      <c r="F6" s="2"/>
    </row>
    <row x14ac:dyDescent="0.25" r="7" customHeight="1" ht="17.25">
      <c r="A7" s="8">
        <v>45712</v>
      </c>
      <c r="B7" s="9" t="s">
        <v>257</v>
      </c>
      <c r="C7" s="6">
        <v>2</v>
      </c>
      <c r="D7" s="3"/>
      <c r="E7" s="6">
        <f>E6+C7-D7</f>
      </c>
      <c r="F7" s="2"/>
    </row>
    <row x14ac:dyDescent="0.25" r="8" customHeight="1" ht="17.25">
      <c r="A8" s="8">
        <v>45733</v>
      </c>
      <c r="B8" s="9" t="s">
        <v>234</v>
      </c>
      <c r="C8" s="4"/>
      <c r="D8" s="6">
        <v>16</v>
      </c>
      <c r="E8" s="6">
        <f>E7+C8-D8</f>
      </c>
      <c r="F8" s="2"/>
    </row>
    <row x14ac:dyDescent="0.25" r="9" customHeight="1" ht="17.25">
      <c r="A9" s="8">
        <v>45737</v>
      </c>
      <c r="B9" s="9" t="s">
        <v>258</v>
      </c>
      <c r="C9" s="6">
        <v>7</v>
      </c>
      <c r="D9" s="3"/>
      <c r="E9" s="6">
        <f>E8+C9-D9</f>
      </c>
      <c r="F9" s="2"/>
    </row>
    <row x14ac:dyDescent="0.25" r="10" customHeight="1" ht="17.25">
      <c r="A10" s="7">
        <v>45764</v>
      </c>
      <c r="B10" s="9" t="s">
        <v>259</v>
      </c>
      <c r="C10" s="6">
        <v>16</v>
      </c>
      <c r="D10" s="3"/>
      <c r="E10" s="6">
        <f>E9+C10-D10</f>
      </c>
      <c r="F10" s="2"/>
    </row>
    <row x14ac:dyDescent="0.25" r="11" customHeight="1" ht="17.25">
      <c r="A11" s="8">
        <v>45779</v>
      </c>
      <c r="B11" s="9" t="s">
        <v>241</v>
      </c>
      <c r="C11" s="4"/>
      <c r="D11" s="6">
        <v>20</v>
      </c>
      <c r="E11" s="6">
        <f>E10+C11-D11</f>
      </c>
      <c r="F11" s="2"/>
    </row>
    <row x14ac:dyDescent="0.25" r="12" customHeight="1" ht="17.25">
      <c r="A12" s="7">
        <v>45817</v>
      </c>
      <c r="B12" s="9" t="s">
        <v>234</v>
      </c>
      <c r="C12" s="6">
        <v>16</v>
      </c>
      <c r="D12" s="3"/>
      <c r="E12" s="6">
        <f>E11+C12-D12</f>
      </c>
      <c r="F12" s="2"/>
    </row>
    <row x14ac:dyDescent="0.25" r="13" customHeight="1" ht="17.25">
      <c r="A13" s="7">
        <v>45826</v>
      </c>
      <c r="B13" s="9" t="s">
        <v>257</v>
      </c>
      <c r="C13" s="4"/>
      <c r="D13" s="6">
        <v>12</v>
      </c>
      <c r="E13" s="6">
        <f>E12+C13-D13</f>
      </c>
      <c r="F13" s="2"/>
    </row>
    <row x14ac:dyDescent="0.25" r="14" customHeight="1" ht="17.25">
      <c r="A14" s="7">
        <v>45834</v>
      </c>
      <c r="B14" s="9" t="s">
        <v>232</v>
      </c>
      <c r="C14" s="4"/>
      <c r="D14" s="6">
        <v>40</v>
      </c>
      <c r="E14" s="6">
        <f>E13+C14-D14</f>
      </c>
      <c r="F14" s="2" t="s">
        <v>260</v>
      </c>
    </row>
    <row x14ac:dyDescent="0.25" r="15" customHeight="1" ht="17.25">
      <c r="A15" s="7">
        <v>45838</v>
      </c>
      <c r="B15" s="9" t="s">
        <v>261</v>
      </c>
      <c r="C15" s="6">
        <v>16</v>
      </c>
      <c r="D15" s="3"/>
      <c r="E15" s="3"/>
      <c r="F15" s="2"/>
    </row>
    <row x14ac:dyDescent="0.25" r="16" customHeight="1" ht="17.25">
      <c r="A16" s="7">
        <v>45838</v>
      </c>
      <c r="B16" s="9" t="s">
        <v>262</v>
      </c>
      <c r="C16" s="4"/>
      <c r="D16" s="6">
        <v>16</v>
      </c>
      <c r="E16" s="6">
        <v>0</v>
      </c>
      <c r="F16" s="2"/>
    </row>
    <row x14ac:dyDescent="0.25" r="17" customHeight="1" ht="17.25">
      <c r="A17" s="7">
        <v>45843</v>
      </c>
      <c r="B17" s="9" t="s">
        <v>261</v>
      </c>
      <c r="C17" s="6">
        <v>32</v>
      </c>
      <c r="D17" s="3"/>
      <c r="E17" s="3"/>
      <c r="F17" s="2"/>
    </row>
    <row x14ac:dyDescent="0.25" r="18" customHeight="1" ht="17.25">
      <c r="A18" s="7">
        <v>45843</v>
      </c>
      <c r="B18" s="9" t="s">
        <v>89</v>
      </c>
      <c r="C18" s="4"/>
      <c r="D18" s="6">
        <v>32</v>
      </c>
      <c r="E18" s="6">
        <v>0</v>
      </c>
      <c r="F18" s="2"/>
    </row>
    <row x14ac:dyDescent="0.25" r="19" customHeight="1" ht="17.25">
      <c r="A19" s="7">
        <v>45846</v>
      </c>
      <c r="B19" s="9" t="s">
        <v>263</v>
      </c>
      <c r="C19" s="6">
        <v>24</v>
      </c>
      <c r="D19" s="3"/>
      <c r="E19" s="3"/>
      <c r="F19" s="2"/>
    </row>
    <row x14ac:dyDescent="0.25" r="20" customHeight="1" ht="17.25">
      <c r="A20" s="7">
        <v>45846</v>
      </c>
      <c r="B20" s="9" t="s">
        <v>234</v>
      </c>
      <c r="C20" s="4"/>
      <c r="D20" s="6">
        <v>24</v>
      </c>
      <c r="E20" s="3"/>
      <c r="F20" s="2"/>
    </row>
    <row x14ac:dyDescent="0.25" r="21" customHeight="1" ht="17.25">
      <c r="A21" s="8">
        <v>45864</v>
      </c>
      <c r="B21" s="9" t="s">
        <v>257</v>
      </c>
      <c r="C21" s="6">
        <v>5</v>
      </c>
      <c r="D21" s="3"/>
      <c r="E21" s="3"/>
      <c r="F21" s="2"/>
    </row>
    <row x14ac:dyDescent="0.25" r="22" customHeight="1" ht="17.25">
      <c r="A22" s="8">
        <v>45865</v>
      </c>
      <c r="B22" s="9" t="s">
        <v>264</v>
      </c>
      <c r="C22" s="4"/>
      <c r="D22" s="6">
        <v>8</v>
      </c>
      <c r="E22" s="3"/>
      <c r="F22" s="2"/>
    </row>
    <row x14ac:dyDescent="0.25" r="23" customHeight="1" ht="17.25">
      <c r="A23" s="7">
        <v>45877</v>
      </c>
      <c r="B23" s="9" t="s">
        <v>256</v>
      </c>
      <c r="C23" s="4"/>
      <c r="D23" s="6">
        <v>24</v>
      </c>
      <c r="E23" s="3"/>
      <c r="F23" s="2"/>
    </row>
    <row x14ac:dyDescent="0.25" r="24" customHeight="1" ht="17.25">
      <c r="A24" s="8">
        <v>45877</v>
      </c>
      <c r="B24" s="9" t="s">
        <v>234</v>
      </c>
      <c r="C24" s="4"/>
      <c r="D24" s="6">
        <v>20</v>
      </c>
      <c r="E24" s="3"/>
      <c r="F24" s="2"/>
    </row>
    <row x14ac:dyDescent="0.25" r="25" customHeight="1" ht="17.25">
      <c r="A25" s="7">
        <v>45878</v>
      </c>
      <c r="B25" s="9" t="s">
        <v>257</v>
      </c>
      <c r="C25" s="6">
        <v>10</v>
      </c>
      <c r="D25" s="3"/>
      <c r="E25" s="6">
        <v>10</v>
      </c>
      <c r="F25" s="2"/>
    </row>
    <row x14ac:dyDescent="0.25" r="26" customHeight="1" ht="17.25">
      <c r="A26" s="7">
        <v>45884</v>
      </c>
      <c r="B26" s="9" t="s">
        <v>241</v>
      </c>
      <c r="C26" s="6">
        <v>7</v>
      </c>
      <c r="D26" s="3"/>
      <c r="E26" s="6">
        <v>17</v>
      </c>
      <c r="F26" s="2"/>
    </row>
    <row x14ac:dyDescent="0.25" r="27" customHeight="1" ht="17.25">
      <c r="A27" s="7">
        <v>45891</v>
      </c>
      <c r="B27" s="9" t="s">
        <v>58</v>
      </c>
      <c r="C27" s="6">
        <v>28</v>
      </c>
      <c r="D27" s="3"/>
      <c r="E27" s="6">
        <v>45</v>
      </c>
      <c r="F27" s="2"/>
    </row>
    <row x14ac:dyDescent="0.25" r="28" customHeight="1" ht="17.25">
      <c r="A28" s="7">
        <v>45891</v>
      </c>
      <c r="B28" s="9" t="s">
        <v>234</v>
      </c>
      <c r="C28" s="4"/>
      <c r="D28" s="6">
        <v>32</v>
      </c>
      <c r="E28" s="6">
        <f>E27+C28-D28</f>
      </c>
      <c r="F28" s="2"/>
    </row>
    <row x14ac:dyDescent="0.25" r="29" customHeight="1" ht="17.25">
      <c r="A29" s="7">
        <v>45891</v>
      </c>
      <c r="B29" s="9" t="s">
        <v>89</v>
      </c>
      <c r="C29" s="6">
        <v>23</v>
      </c>
      <c r="D29" s="3"/>
      <c r="E29" s="6">
        <f>E28+C29-D29</f>
      </c>
      <c r="F29" s="2"/>
    </row>
    <row x14ac:dyDescent="0.25" r="30" customHeight="1" ht="17.25">
      <c r="A30" s="8">
        <v>45894</v>
      </c>
      <c r="B30" s="9" t="s">
        <v>265</v>
      </c>
      <c r="C30" s="4"/>
      <c r="D30" s="6">
        <v>4</v>
      </c>
      <c r="E30" s="6">
        <f>E29+C30-D30</f>
      </c>
      <c r="F30" s="2"/>
    </row>
    <row x14ac:dyDescent="0.25" r="31" customHeight="1" ht="17.25">
      <c r="A31" s="8">
        <v>45904</v>
      </c>
      <c r="B31" s="9" t="s">
        <v>89</v>
      </c>
      <c r="C31" s="6">
        <v>2</v>
      </c>
      <c r="D31" s="3"/>
      <c r="E31" s="6">
        <f>E30+C31-D31</f>
      </c>
      <c r="F31" s="2"/>
    </row>
    <row x14ac:dyDescent="0.25" r="32" customHeight="1" ht="17.25">
      <c r="A32" s="7">
        <v>45912</v>
      </c>
      <c r="B32" s="9" t="s">
        <v>89</v>
      </c>
      <c r="C32" s="6">
        <v>7</v>
      </c>
      <c r="D32" s="3"/>
      <c r="E32" s="6">
        <f>E31+C32-D32</f>
      </c>
      <c r="F32" s="2"/>
    </row>
    <row x14ac:dyDescent="0.25" r="33" customHeight="1" ht="17.25">
      <c r="A33" s="7">
        <v>45916</v>
      </c>
      <c r="B33" s="2" t="s">
        <v>234</v>
      </c>
      <c r="C33" s="4"/>
      <c r="D33" s="6">
        <v>10</v>
      </c>
      <c r="E33" s="6">
        <f>E32+C33-D33</f>
      </c>
      <c r="F33" s="2"/>
    </row>
    <row x14ac:dyDescent="0.25" r="34" customHeight="1" ht="17.25">
      <c r="A34" s="8">
        <v>45932</v>
      </c>
      <c r="B34" s="9" t="s">
        <v>264</v>
      </c>
      <c r="C34" s="6">
        <v>8</v>
      </c>
      <c r="D34" s="3"/>
      <c r="E34" s="6">
        <f>E33+C34-D34</f>
      </c>
      <c r="F34" s="2"/>
    </row>
    <row x14ac:dyDescent="0.25" r="35" customHeight="1" ht="17.25">
      <c r="A35" s="7">
        <v>45937</v>
      </c>
      <c r="B35" s="9" t="s">
        <v>266</v>
      </c>
      <c r="C35" s="4"/>
      <c r="D35" s="6">
        <v>8</v>
      </c>
      <c r="E35" s="6">
        <f>E34+C35-D35</f>
      </c>
      <c r="F35" s="2"/>
    </row>
    <row x14ac:dyDescent="0.25" r="36" customHeight="1" ht="17.25">
      <c r="A36" s="7">
        <v>45945</v>
      </c>
      <c r="B36" s="9" t="s">
        <v>267</v>
      </c>
      <c r="C36" s="4"/>
      <c r="D36" s="6">
        <v>4</v>
      </c>
      <c r="E36" s="6">
        <f>E35+C36-D36</f>
      </c>
      <c r="F36" s="2"/>
    </row>
    <row x14ac:dyDescent="0.25" r="37" customHeight="1" ht="17.25">
      <c r="A37" s="7">
        <v>45948</v>
      </c>
      <c r="B37" s="9" t="s">
        <v>263</v>
      </c>
      <c r="C37" s="6">
        <v>16</v>
      </c>
      <c r="D37" s="3"/>
      <c r="E37" s="6">
        <f>E36+C37-D37</f>
      </c>
      <c r="F37" s="2"/>
    </row>
    <row x14ac:dyDescent="0.25" r="38" customHeight="1" ht="17.25">
      <c r="A38" s="7">
        <v>45948</v>
      </c>
      <c r="B38" s="9" t="s">
        <v>267</v>
      </c>
      <c r="C38" s="4"/>
      <c r="D38" s="6">
        <v>16</v>
      </c>
      <c r="E38" s="6">
        <f>E37+C38-D38</f>
      </c>
      <c r="F38" s="2"/>
    </row>
    <row x14ac:dyDescent="0.25" r="39" customHeight="1" ht="17.25">
      <c r="A39" s="7">
        <v>45955</v>
      </c>
      <c r="B39" s="9" t="s">
        <v>267</v>
      </c>
      <c r="C39" s="6">
        <v>4</v>
      </c>
      <c r="D39" s="3"/>
      <c r="E39" s="6">
        <f>E38+C39-D39</f>
      </c>
      <c r="F39" s="2"/>
    </row>
    <row x14ac:dyDescent="0.25" r="40" customHeight="1" ht="17.25">
      <c r="A40" s="8">
        <v>45973</v>
      </c>
      <c r="B40" s="9" t="s">
        <v>234</v>
      </c>
      <c r="C40" s="6">
        <v>22</v>
      </c>
      <c r="D40" s="3"/>
      <c r="E40" s="6">
        <f>E39+C40-D40</f>
      </c>
      <c r="F40" s="2"/>
    </row>
    <row x14ac:dyDescent="0.25" r="41" customHeight="1" ht="17.25">
      <c r="A41" s="7">
        <v>45978</v>
      </c>
      <c r="B41" s="9" t="s">
        <v>263</v>
      </c>
      <c r="C41" s="6">
        <v>80</v>
      </c>
      <c r="D41" s="3"/>
      <c r="E41" s="6">
        <f>E40+C41-D41</f>
      </c>
      <c r="F41" s="2"/>
    </row>
    <row x14ac:dyDescent="0.25" r="42" customHeight="1" ht="17.25">
      <c r="A42" s="7">
        <v>45978</v>
      </c>
      <c r="B42" s="9" t="s">
        <v>251</v>
      </c>
      <c r="C42" s="4"/>
      <c r="D42" s="6">
        <v>80</v>
      </c>
      <c r="E42" s="6">
        <f>E41+C42-D42</f>
      </c>
      <c r="F42" s="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3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71928571428571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252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6">
        <v>880</v>
      </c>
    </row>
    <row x14ac:dyDescent="0.25" r="4" customHeight="1" ht="17.25">
      <c r="A4" s="5">
        <v>45298</v>
      </c>
      <c r="B4" s="2" t="s">
        <v>35</v>
      </c>
      <c r="C4" s="6">
        <v>110</v>
      </c>
      <c r="D4" s="4"/>
      <c r="E4" s="6">
        <f>E3+C4-D4</f>
      </c>
    </row>
    <row x14ac:dyDescent="0.25" r="5" customHeight="1" ht="17.25">
      <c r="A5" s="7">
        <v>45665</v>
      </c>
      <c r="B5" s="2" t="s">
        <v>35</v>
      </c>
      <c r="C5" s="6">
        <v>323</v>
      </c>
      <c r="D5" s="4"/>
      <c r="E5" s="6">
        <f>E4+C5-D5</f>
      </c>
    </row>
    <row x14ac:dyDescent="0.25" r="6" customHeight="1" ht="17.25">
      <c r="A6" s="7">
        <v>45665</v>
      </c>
      <c r="B6" s="2" t="s">
        <v>35</v>
      </c>
      <c r="C6" s="6">
        <v>100</v>
      </c>
      <c r="D6" s="4"/>
      <c r="E6" s="6">
        <f>E5+C6-D6</f>
      </c>
    </row>
    <row x14ac:dyDescent="0.25" r="7" customHeight="1" ht="17.25">
      <c r="A7" s="7">
        <v>45675</v>
      </c>
      <c r="B7" s="2" t="s">
        <v>35</v>
      </c>
      <c r="C7" s="6">
        <v>360</v>
      </c>
      <c r="D7" s="4"/>
      <c r="E7" s="6">
        <f>E6+C7-D7</f>
      </c>
    </row>
    <row x14ac:dyDescent="0.25" r="8" customHeight="1" ht="17.25">
      <c r="A8" s="7">
        <v>45678</v>
      </c>
      <c r="B8" s="2" t="s">
        <v>35</v>
      </c>
      <c r="C8" s="6">
        <v>55</v>
      </c>
      <c r="D8" s="4"/>
      <c r="E8" s="6">
        <f>E7+C8-D8</f>
      </c>
    </row>
    <row x14ac:dyDescent="0.25" r="9" customHeight="1" ht="17.25">
      <c r="A9" s="7">
        <v>45689</v>
      </c>
      <c r="B9" s="2" t="s">
        <v>35</v>
      </c>
      <c r="C9" s="6">
        <v>280</v>
      </c>
      <c r="D9" s="4"/>
      <c r="E9" s="6">
        <f>E8+C9-D9</f>
      </c>
    </row>
    <row x14ac:dyDescent="0.25" r="10" customHeight="1" ht="17.25">
      <c r="A10" s="7">
        <v>45693</v>
      </c>
      <c r="B10" s="2" t="s">
        <v>35</v>
      </c>
      <c r="C10" s="6">
        <v>40</v>
      </c>
      <c r="D10" s="4"/>
      <c r="E10" s="6">
        <f>E9+C10-D10</f>
      </c>
    </row>
    <row x14ac:dyDescent="0.25" r="11" customHeight="1" ht="17.25">
      <c r="A11" s="7">
        <v>45703</v>
      </c>
      <c r="B11" s="2" t="s">
        <v>35</v>
      </c>
      <c r="C11" s="6">
        <v>26</v>
      </c>
      <c r="D11" s="4"/>
      <c r="E11" s="6">
        <f>E10+C11-D11</f>
      </c>
    </row>
    <row x14ac:dyDescent="0.25" r="12" customHeight="1" ht="17.25">
      <c r="A12" s="8">
        <v>45709</v>
      </c>
      <c r="B12" s="9" t="s">
        <v>35</v>
      </c>
      <c r="C12" s="6">
        <v>12</v>
      </c>
      <c r="D12" s="4"/>
      <c r="E12" s="6">
        <f>E11+C12-D12</f>
      </c>
    </row>
    <row x14ac:dyDescent="0.25" r="13" customHeight="1" ht="17.25">
      <c r="A13" s="7">
        <v>45791</v>
      </c>
      <c r="B13" s="2" t="s">
        <v>41</v>
      </c>
      <c r="C13" s="4"/>
      <c r="D13" s="6">
        <v>400</v>
      </c>
      <c r="E13" s="6">
        <f>E12+C13-D13</f>
      </c>
    </row>
    <row x14ac:dyDescent="0.25" r="14" customHeight="1" ht="17.25">
      <c r="A14" s="7">
        <v>45795</v>
      </c>
      <c r="B14" s="2" t="s">
        <v>41</v>
      </c>
      <c r="C14" s="4"/>
      <c r="D14" s="6">
        <v>370</v>
      </c>
      <c r="E14" s="6">
        <f>E13+C14-D14</f>
      </c>
    </row>
    <row x14ac:dyDescent="0.25" r="15" customHeight="1" ht="17.25">
      <c r="A15" s="7">
        <v>45800</v>
      </c>
      <c r="B15" s="2" t="s">
        <v>41</v>
      </c>
      <c r="C15" s="4"/>
      <c r="D15" s="6">
        <v>400</v>
      </c>
      <c r="E15" s="6">
        <f>E14+C15-D15</f>
      </c>
    </row>
    <row x14ac:dyDescent="0.25" r="16" customHeight="1" ht="17.25">
      <c r="A16" s="7">
        <v>45802</v>
      </c>
      <c r="B16" s="2" t="s">
        <v>41</v>
      </c>
      <c r="C16" s="4"/>
      <c r="D16" s="6">
        <v>400</v>
      </c>
      <c r="E16" s="6">
        <f>E15+C16-D16</f>
      </c>
    </row>
    <row x14ac:dyDescent="0.25" r="17" customHeight="1" ht="17.25">
      <c r="A17" s="7">
        <v>45807</v>
      </c>
      <c r="B17" s="2" t="s">
        <v>41</v>
      </c>
      <c r="C17" s="4"/>
      <c r="D17" s="6">
        <v>400</v>
      </c>
      <c r="E17" s="6">
        <f>E16+C17-D17</f>
      </c>
    </row>
    <row x14ac:dyDescent="0.25" r="18" customHeight="1" ht="17.25">
      <c r="A18" s="7">
        <v>45810</v>
      </c>
      <c r="B18" s="2" t="s">
        <v>41</v>
      </c>
      <c r="C18" s="4"/>
      <c r="D18" s="6">
        <v>100</v>
      </c>
      <c r="E18" s="6">
        <f>E17+C18-D18</f>
      </c>
    </row>
    <row x14ac:dyDescent="0.25" r="19" customHeight="1" ht="17.25">
      <c r="A19" s="7">
        <v>45817</v>
      </c>
      <c r="B19" s="2" t="s">
        <v>41</v>
      </c>
      <c r="C19" s="4"/>
      <c r="D19" s="6">
        <v>69</v>
      </c>
      <c r="E19" s="6">
        <f>E18+C19-D19</f>
      </c>
    </row>
    <row x14ac:dyDescent="0.25" r="20" customHeight="1" ht="17.25">
      <c r="A20" s="7">
        <v>45855</v>
      </c>
      <c r="B20" s="2" t="s">
        <v>41</v>
      </c>
      <c r="C20" s="6">
        <v>100</v>
      </c>
      <c r="D20" s="4"/>
      <c r="E20" s="6">
        <f>E19+C20-D20</f>
      </c>
    </row>
    <row x14ac:dyDescent="0.25" r="21" customHeight="1" ht="17.25">
      <c r="A21" s="7">
        <v>45856</v>
      </c>
      <c r="B21" s="2" t="s">
        <v>41</v>
      </c>
      <c r="C21" s="6">
        <v>230</v>
      </c>
      <c r="D21" s="4"/>
      <c r="E21" s="6">
        <f>E20+C21-D21</f>
      </c>
    </row>
    <row x14ac:dyDescent="0.25" r="22" customHeight="1" ht="17.25">
      <c r="A22" s="7">
        <v>45859</v>
      </c>
      <c r="B22" s="2" t="s">
        <v>41</v>
      </c>
      <c r="C22" s="6">
        <v>400</v>
      </c>
      <c r="D22" s="4"/>
      <c r="E22" s="6">
        <f>E21+C22-D22</f>
      </c>
    </row>
    <row x14ac:dyDescent="0.25" r="23" customHeight="1" ht="17.25">
      <c r="A23" s="7">
        <v>45873</v>
      </c>
      <c r="B23" s="2" t="s">
        <v>41</v>
      </c>
      <c r="C23" s="6">
        <v>160</v>
      </c>
      <c r="D23" s="4"/>
      <c r="E23" s="6">
        <f>E22+C23-D23</f>
      </c>
    </row>
    <row x14ac:dyDescent="0.25" r="24" customHeight="1" ht="17.25">
      <c r="A24" s="7">
        <v>45880</v>
      </c>
      <c r="B24" s="2" t="s">
        <v>41</v>
      </c>
      <c r="C24" s="6">
        <v>97</v>
      </c>
      <c r="D24" s="4"/>
      <c r="E24" s="6">
        <f>E23+C24-D24</f>
      </c>
    </row>
    <row x14ac:dyDescent="0.25" r="25" customHeight="1" ht="17.25">
      <c r="A25" s="7">
        <v>45883</v>
      </c>
      <c r="B25" s="2" t="s">
        <v>41</v>
      </c>
      <c r="C25" s="6">
        <v>120</v>
      </c>
      <c r="D25" s="4"/>
      <c r="E25" s="6">
        <f>E24+C25-D25</f>
      </c>
    </row>
    <row x14ac:dyDescent="0.25" r="26" customHeight="1" ht="17.25">
      <c r="A26" s="7">
        <v>45895</v>
      </c>
      <c r="B26" s="2" t="s">
        <v>41</v>
      </c>
      <c r="C26" s="6">
        <v>102</v>
      </c>
      <c r="D26" s="4"/>
      <c r="E26" s="6">
        <f>E25+C26-D26</f>
      </c>
    </row>
    <row x14ac:dyDescent="0.25" r="27" customHeight="1" ht="17.25">
      <c r="A27" s="7">
        <v>45905</v>
      </c>
      <c r="B27" s="2" t="s">
        <v>41</v>
      </c>
      <c r="C27" s="6">
        <v>100</v>
      </c>
      <c r="D27" s="4"/>
      <c r="E27" s="6">
        <f>E26+C27-D27</f>
      </c>
    </row>
    <row x14ac:dyDescent="0.25" r="28" customHeight="1" ht="17.25">
      <c r="A28" s="7">
        <v>45908</v>
      </c>
      <c r="B28" s="2" t="s">
        <v>41</v>
      </c>
      <c r="C28" s="6">
        <v>110</v>
      </c>
      <c r="D28" s="4"/>
      <c r="E28" s="6">
        <f>E27+C28-D28</f>
      </c>
    </row>
    <row x14ac:dyDescent="0.25" r="29" customHeight="1" ht="17.25">
      <c r="A29" s="7">
        <v>45909</v>
      </c>
      <c r="B29" s="2" t="s">
        <v>41</v>
      </c>
      <c r="C29" s="6">
        <v>102</v>
      </c>
      <c r="D29" s="4"/>
      <c r="E29" s="6">
        <f>E28+C29-D29</f>
      </c>
    </row>
    <row x14ac:dyDescent="0.25" r="30" customHeight="1" ht="17.25">
      <c r="A30" s="7">
        <v>45910</v>
      </c>
      <c r="B30" s="2" t="s">
        <v>41</v>
      </c>
      <c r="C30" s="6">
        <v>90</v>
      </c>
      <c r="D30" s="4"/>
      <c r="E30" s="6">
        <f>E29+C30-D30</f>
      </c>
    </row>
    <row x14ac:dyDescent="0.25" r="31" customHeight="1" ht="17.25">
      <c r="A31" s="7">
        <v>45913</v>
      </c>
      <c r="B31" s="2" t="s">
        <v>41</v>
      </c>
      <c r="C31" s="6">
        <v>61</v>
      </c>
      <c r="D31" s="4"/>
      <c r="E31" s="6">
        <f>E30+C31-D31</f>
      </c>
    </row>
    <row x14ac:dyDescent="0.25" r="32" customHeight="1" ht="17.25">
      <c r="A32" s="7">
        <v>45923</v>
      </c>
      <c r="B32" s="2" t="s">
        <v>41</v>
      </c>
      <c r="C32" s="6">
        <v>83</v>
      </c>
      <c r="D32" s="4"/>
      <c r="E32" s="6">
        <f>E31+C32-D32</f>
      </c>
    </row>
    <row x14ac:dyDescent="0.25" r="33" customHeight="1" ht="17.25">
      <c r="A33" s="7">
        <v>45927</v>
      </c>
      <c r="B33" s="2" t="s">
        <v>41</v>
      </c>
      <c r="C33" s="6">
        <v>106</v>
      </c>
      <c r="D33" s="4"/>
      <c r="E33" s="6">
        <f>E32+C33-D33</f>
      </c>
    </row>
    <row x14ac:dyDescent="0.25" r="34" customHeight="1" ht="17.25">
      <c r="A34" s="7">
        <v>45933</v>
      </c>
      <c r="B34" s="2" t="s">
        <v>41</v>
      </c>
      <c r="C34" s="6">
        <v>80</v>
      </c>
      <c r="D34" s="4"/>
      <c r="E34" s="6">
        <f>E33+C34-D34</f>
      </c>
    </row>
    <row x14ac:dyDescent="0.25" r="35" customHeight="1" ht="17.25">
      <c r="A35" s="7">
        <v>45943</v>
      </c>
      <c r="B35" s="2" t="s">
        <v>41</v>
      </c>
      <c r="C35" s="6">
        <v>3</v>
      </c>
      <c r="D35" s="4"/>
      <c r="E35" s="6">
        <f>E34+C35-D35</f>
      </c>
    </row>
    <row x14ac:dyDescent="0.25" r="36" customHeight="1" ht="17.25">
      <c r="A36" s="7">
        <v>45957</v>
      </c>
      <c r="B36" s="2" t="s">
        <v>41</v>
      </c>
      <c r="C36" s="6">
        <v>5</v>
      </c>
      <c r="D36" s="4"/>
      <c r="E36" s="6">
        <f>E35+C36-D36</f>
      </c>
    </row>
    <row x14ac:dyDescent="0.25" r="37" customHeight="1" ht="17.25">
      <c r="A37" s="7">
        <v>45988</v>
      </c>
      <c r="B37" s="2" t="s">
        <v>41</v>
      </c>
      <c r="C37" s="6">
        <v>17</v>
      </c>
      <c r="D37" s="4"/>
      <c r="E37" s="6">
        <f>E36+C37-D37</f>
      </c>
    </row>
    <row x14ac:dyDescent="0.25" r="38" customHeight="1" ht="17.25">
      <c r="A38" s="7">
        <v>45999</v>
      </c>
      <c r="B38" s="2" t="s">
        <v>41</v>
      </c>
      <c r="C38" s="6">
        <v>100</v>
      </c>
      <c r="D38" s="4"/>
      <c r="E38" s="6">
        <f>E37+C38-D38</f>
      </c>
    </row>
    <row x14ac:dyDescent="0.25" r="39" customHeight="1" ht="17.25">
      <c r="A39" s="1"/>
      <c r="B39" s="2"/>
      <c r="C39" s="4"/>
      <c r="D39" s="4"/>
      <c r="E39" s="6">
        <f>E38+C39-D39</f>
      </c>
    </row>
    <row x14ac:dyDescent="0.25" r="40" customHeight="1" ht="17.25">
      <c r="A40" s="1"/>
      <c r="B40" s="2"/>
      <c r="C40" s="4"/>
      <c r="D40" s="4"/>
      <c r="E40" s="6">
        <f>E39+C40-D40</f>
      </c>
    </row>
    <row x14ac:dyDescent="0.25" r="41" customHeight="1" ht="17.25">
      <c r="A41" s="1"/>
      <c r="B41" s="2"/>
      <c r="C41" s="4"/>
      <c r="D41" s="4"/>
      <c r="E41" s="6">
        <f>E40+C41-D41</f>
      </c>
    </row>
    <row x14ac:dyDescent="0.25" r="42" customHeight="1" ht="17.25">
      <c r="A42" s="1"/>
      <c r="B42" s="2"/>
      <c r="C42" s="4"/>
      <c r="D42" s="4"/>
      <c r="E42" s="6">
        <f>E41+C42-D42</f>
      </c>
    </row>
    <row x14ac:dyDescent="0.25" r="43" customHeight="1" ht="17.25">
      <c r="A43" s="1"/>
      <c r="B43" s="2"/>
      <c r="C43" s="4"/>
      <c r="D43" s="4"/>
      <c r="E43" s="6">
        <f>E42+C43-D43</f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1.862142857142857" customWidth="1" bestFit="1"/>
    <col min="3" max="3" style="12" width="12.43357142857143" customWidth="1" bestFit="1"/>
    <col min="4" max="4" style="13" width="12.43357142857143" customWidth="1" bestFit="1"/>
  </cols>
  <sheetData>
    <row x14ac:dyDescent="0.25" r="1" customHeight="1" ht="17.25">
      <c r="A1" s="1" t="s">
        <v>249</v>
      </c>
      <c r="B1" s="2"/>
      <c r="C1" s="3"/>
      <c r="D1" s="4"/>
    </row>
    <row x14ac:dyDescent="0.25" r="2" customHeight="1" ht="17.25">
      <c r="A2" s="1"/>
      <c r="B2" s="2"/>
      <c r="C2" s="3"/>
      <c r="D2" s="4"/>
    </row>
    <row x14ac:dyDescent="0.25" r="3" customHeight="1" ht="17.25">
      <c r="A3" s="7">
        <v>45658</v>
      </c>
      <c r="B3" s="2" t="s">
        <v>1</v>
      </c>
      <c r="C3" s="3"/>
      <c r="D3" s="4"/>
    </row>
    <row x14ac:dyDescent="0.25" r="4" customHeight="1" ht="17.25">
      <c r="A4" s="7">
        <v>45764</v>
      </c>
      <c r="B4" s="2" t="s">
        <v>4</v>
      </c>
      <c r="C4" s="3"/>
      <c r="D4" s="6">
        <v>1</v>
      </c>
    </row>
    <row x14ac:dyDescent="0.25" r="5" customHeight="1" ht="17.25">
      <c r="A5" s="7">
        <v>45765</v>
      </c>
      <c r="B5" s="2" t="s">
        <v>4</v>
      </c>
      <c r="C5" s="3"/>
      <c r="D5" s="6">
        <v>11</v>
      </c>
    </row>
    <row x14ac:dyDescent="0.25" r="6" customHeight="1" ht="17.25">
      <c r="A6" s="8">
        <v>45840</v>
      </c>
      <c r="B6" s="9" t="s">
        <v>4</v>
      </c>
      <c r="C6" s="6">
        <v>8</v>
      </c>
      <c r="D6" s="4"/>
    </row>
    <row x14ac:dyDescent="0.25" r="7" customHeight="1" ht="17.25">
      <c r="A7" s="7">
        <v>45855</v>
      </c>
      <c r="B7" s="2" t="s">
        <v>250</v>
      </c>
      <c r="C7" s="6">
        <v>25</v>
      </c>
      <c r="D7" s="4"/>
    </row>
    <row x14ac:dyDescent="0.25" r="8" customHeight="1" ht="17.25">
      <c r="A8" s="7">
        <v>45856</v>
      </c>
      <c r="B8" s="2" t="s">
        <v>25</v>
      </c>
      <c r="C8" s="3"/>
      <c r="D8" s="6">
        <v>89</v>
      </c>
    </row>
    <row x14ac:dyDescent="0.25" r="9" customHeight="1" ht="17.25">
      <c r="A9" s="7">
        <v>45962</v>
      </c>
      <c r="B9" s="9" t="s">
        <v>26</v>
      </c>
      <c r="C9" s="6">
        <v>83</v>
      </c>
      <c r="D9" s="4"/>
    </row>
    <row x14ac:dyDescent="0.25" r="10" customHeight="1" ht="17.25">
      <c r="A10" s="8">
        <v>45967</v>
      </c>
      <c r="B10" s="9" t="s">
        <v>23</v>
      </c>
      <c r="C10" s="3"/>
      <c r="D10" s="6">
        <v>30</v>
      </c>
    </row>
    <row x14ac:dyDescent="0.25" r="11" customHeight="1" ht="17.25">
      <c r="A11" s="7">
        <v>45978</v>
      </c>
      <c r="B11" s="9" t="s">
        <v>251</v>
      </c>
      <c r="C11" s="3"/>
      <c r="D11" s="6">
        <v>100</v>
      </c>
    </row>
    <row x14ac:dyDescent="0.25" r="12" customHeight="1" ht="17.25">
      <c r="A12" s="7">
        <v>45978</v>
      </c>
      <c r="B12" s="9" t="s">
        <v>63</v>
      </c>
      <c r="C12" s="6">
        <v>265</v>
      </c>
      <c r="D12" s="4"/>
    </row>
    <row x14ac:dyDescent="0.25" r="13" customHeight="1" ht="17.25">
      <c r="A13" s="7">
        <v>45980</v>
      </c>
      <c r="B13" s="9" t="s">
        <v>251</v>
      </c>
      <c r="C13" s="3"/>
      <c r="D13" s="6">
        <v>200</v>
      </c>
    </row>
    <row x14ac:dyDescent="0.25" r="14" customHeight="1" ht="17.25">
      <c r="A14" s="8">
        <v>45994</v>
      </c>
      <c r="B14" s="9" t="s">
        <v>23</v>
      </c>
      <c r="C14" s="6">
        <v>31</v>
      </c>
      <c r="D14" s="4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7.71928571428571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248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6">
        <v>166</v>
      </c>
    </row>
    <row x14ac:dyDescent="0.25" r="4" customHeight="1" ht="17.25">
      <c r="A4" s="7">
        <v>45663</v>
      </c>
      <c r="B4" s="2" t="s">
        <v>227</v>
      </c>
      <c r="C4" s="6">
        <v>14</v>
      </c>
      <c r="D4" s="4"/>
      <c r="E4" s="6">
        <f>E3+C4-D4</f>
      </c>
    </row>
    <row x14ac:dyDescent="0.25" r="5" customHeight="1" ht="17.25">
      <c r="A5" s="8">
        <v>45694</v>
      </c>
      <c r="B5" s="9" t="s">
        <v>189</v>
      </c>
      <c r="C5" s="6">
        <v>515</v>
      </c>
      <c r="D5" s="4"/>
      <c r="E5" s="6">
        <f>E4+C5-D5</f>
      </c>
    </row>
    <row x14ac:dyDescent="0.25" r="6" customHeight="1" ht="17.25">
      <c r="A6" s="7">
        <v>45730</v>
      </c>
      <c r="B6" s="2" t="s">
        <v>179</v>
      </c>
      <c r="C6" s="6">
        <v>275</v>
      </c>
      <c r="D6" s="4"/>
      <c r="E6" s="6">
        <f>E5+C6-D6</f>
      </c>
    </row>
    <row x14ac:dyDescent="0.25" r="7" customHeight="1" ht="17.25">
      <c r="A7" s="7">
        <v>45836</v>
      </c>
      <c r="B7" s="2" t="s">
        <v>179</v>
      </c>
      <c r="C7" s="4"/>
      <c r="D7" s="6">
        <v>944</v>
      </c>
      <c r="E7" s="6">
        <f>E6+C7-D7</f>
      </c>
    </row>
    <row x14ac:dyDescent="0.25" r="8" customHeight="1" ht="17.25">
      <c r="A8" s="7">
        <v>45845</v>
      </c>
      <c r="B8" s="2" t="s">
        <v>179</v>
      </c>
      <c r="C8" s="4"/>
      <c r="D8" s="6">
        <v>27</v>
      </c>
      <c r="E8" s="6">
        <f>E7+C8-D8</f>
      </c>
    </row>
    <row x14ac:dyDescent="0.25" r="9" customHeight="1" ht="17.25">
      <c r="A9" s="7">
        <v>45875</v>
      </c>
      <c r="B9" s="2" t="s">
        <v>227</v>
      </c>
      <c r="C9" s="6">
        <v>6</v>
      </c>
      <c r="D9" s="4"/>
      <c r="E9" s="6">
        <f>E8+C9-D9</f>
      </c>
    </row>
    <row x14ac:dyDescent="0.25" r="10" customHeight="1" ht="17.25">
      <c r="A10" s="7">
        <v>45882</v>
      </c>
      <c r="B10" s="2" t="s">
        <v>179</v>
      </c>
      <c r="C10" s="6">
        <v>251</v>
      </c>
      <c r="D10" s="4"/>
      <c r="E10" s="6">
        <f>E9+C10-D10</f>
      </c>
    </row>
    <row x14ac:dyDescent="0.25" r="11" customHeight="1" ht="17.25">
      <c r="A11" s="7">
        <v>45887</v>
      </c>
      <c r="B11" s="2" t="s">
        <v>26</v>
      </c>
      <c r="C11" s="4"/>
      <c r="D11" s="6">
        <v>238</v>
      </c>
      <c r="E11" s="6">
        <f>E10+C11-D11</f>
      </c>
    </row>
    <row x14ac:dyDescent="0.25" r="12" customHeight="1" ht="17.25">
      <c r="A12" s="8">
        <v>45909</v>
      </c>
      <c r="B12" s="9" t="s">
        <v>179</v>
      </c>
      <c r="C12" s="6">
        <v>30</v>
      </c>
      <c r="D12" s="4"/>
      <c r="E12" s="6">
        <f>E11+C12-D12</f>
      </c>
    </row>
    <row x14ac:dyDescent="0.25" r="13" customHeight="1" ht="17.25">
      <c r="A13" s="8">
        <v>45941</v>
      </c>
      <c r="B13" s="9" t="s">
        <v>26</v>
      </c>
      <c r="C13" s="6">
        <v>200</v>
      </c>
      <c r="D13" s="4"/>
      <c r="E13" s="6">
        <f>E12+C13-D13</f>
      </c>
    </row>
    <row x14ac:dyDescent="0.25" r="14" customHeight="1" ht="17.25">
      <c r="A14" s="8">
        <v>45947</v>
      </c>
      <c r="B14" s="9" t="s">
        <v>179</v>
      </c>
      <c r="C14" s="6">
        <v>100</v>
      </c>
      <c r="D14" s="4"/>
      <c r="E14" s="6">
        <f>E13+C14-D14</f>
      </c>
    </row>
    <row x14ac:dyDescent="0.25" r="15" customHeight="1" ht="17.25">
      <c r="A15" s="7">
        <v>45962</v>
      </c>
      <c r="B15" s="9" t="s">
        <v>26</v>
      </c>
      <c r="C15" s="6">
        <v>6</v>
      </c>
      <c r="D15" s="4"/>
      <c r="E15" s="6">
        <f>E14+C15-D15</f>
      </c>
    </row>
    <row x14ac:dyDescent="0.25" r="16" customHeight="1" ht="17.25">
      <c r="A16" s="8">
        <v>45978</v>
      </c>
      <c r="B16" s="9" t="s">
        <v>179</v>
      </c>
      <c r="C16" s="6">
        <v>125</v>
      </c>
      <c r="D16" s="4"/>
      <c r="E16" s="6">
        <f>E15+C16-D16</f>
      </c>
    </row>
    <row x14ac:dyDescent="0.25" r="17" customHeight="1" ht="17.25">
      <c r="A17" s="7">
        <v>45988</v>
      </c>
      <c r="B17" s="9" t="s">
        <v>179</v>
      </c>
      <c r="C17" s="6">
        <v>154</v>
      </c>
      <c r="D17" s="4"/>
      <c r="E17" s="6">
        <f>E16+C17-D17</f>
      </c>
    </row>
    <row x14ac:dyDescent="0.25" r="18" customHeight="1" ht="17.25">
      <c r="A18" s="7">
        <v>45993</v>
      </c>
      <c r="B18" s="9" t="s">
        <v>179</v>
      </c>
      <c r="C18" s="6">
        <v>15</v>
      </c>
      <c r="D18" s="4"/>
      <c r="E18" s="6">
        <f>E17+C18-D18</f>
      </c>
    </row>
    <row x14ac:dyDescent="0.25" r="19" customHeight="1" ht="17.25">
      <c r="A19" s="1"/>
      <c r="B19" s="2"/>
      <c r="C19" s="4"/>
      <c r="D19" s="4"/>
      <c r="E19" s="6">
        <f>E18+C19-D19</f>
      </c>
    </row>
    <row x14ac:dyDescent="0.25" r="20" customHeight="1" ht="17.25">
      <c r="A20" s="1"/>
      <c r="B20" s="2"/>
      <c r="C20" s="4"/>
      <c r="D20" s="4"/>
      <c r="E20" s="6">
        <f>E19+C20-D20</f>
      </c>
    </row>
    <row x14ac:dyDescent="0.25" r="21" customHeight="1" ht="17.25">
      <c r="A21" s="1"/>
      <c r="B21" s="2"/>
      <c r="C21" s="4"/>
      <c r="D21" s="4"/>
      <c r="E21" s="6">
        <f>E20+C21-D21</f>
      </c>
    </row>
    <row x14ac:dyDescent="0.25" r="22" customHeight="1" ht="17.25">
      <c r="A22" s="1"/>
      <c r="B22" s="2"/>
      <c r="C22" s="4"/>
      <c r="D22" s="4"/>
      <c r="E22" s="6">
        <f>E21+C22-D22</f>
      </c>
    </row>
    <row x14ac:dyDescent="0.25" r="23" customHeight="1" ht="17.25">
      <c r="A23" s="1"/>
      <c r="B23" s="2"/>
      <c r="C23" s="4"/>
      <c r="D23" s="4"/>
      <c r="E23" s="6">
        <f>E22+C23-D23</f>
      </c>
    </row>
    <row x14ac:dyDescent="0.25" r="24" customHeight="1" ht="17.25">
      <c r="A24" s="1"/>
      <c r="B24" s="2"/>
      <c r="C24" s="4"/>
      <c r="D24" s="4"/>
      <c r="E24" s="6">
        <f>E23+C24-D24</f>
      </c>
    </row>
    <row x14ac:dyDescent="0.25" r="25" customHeight="1" ht="17.25">
      <c r="A25" s="1"/>
      <c r="B25" s="2"/>
      <c r="C25" s="4"/>
      <c r="D25" s="4"/>
      <c r="E25" s="6">
        <f>E24+C25-D25</f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0.719285714285714" customWidth="1" bestFit="1"/>
    <col min="3" max="3" style="13" width="12.43357142857143" customWidth="1" bestFit="1"/>
    <col min="4" max="4" style="12" width="12.43357142857143" customWidth="1" bestFit="1"/>
  </cols>
  <sheetData>
    <row x14ac:dyDescent="0.25" r="1" customHeight="1" ht="17.25">
      <c r="A1" s="1" t="s">
        <v>247</v>
      </c>
      <c r="B1" s="2"/>
      <c r="C1" s="4"/>
      <c r="D1" s="3"/>
    </row>
    <row x14ac:dyDescent="0.25" r="2" customHeight="1" ht="17.25">
      <c r="A2" s="1"/>
      <c r="B2" s="2"/>
      <c r="C2" s="4"/>
      <c r="D2" s="3"/>
    </row>
    <row x14ac:dyDescent="0.25" r="3" customHeight="1" ht="17.25">
      <c r="A3" s="7">
        <v>45658</v>
      </c>
      <c r="B3" s="2" t="s">
        <v>1</v>
      </c>
      <c r="C3" s="4"/>
      <c r="D3" s="3"/>
    </row>
    <row x14ac:dyDescent="0.25" r="4" customHeight="1" ht="17.25">
      <c r="A4" s="7">
        <v>45679</v>
      </c>
      <c r="B4" s="2" t="s">
        <v>2</v>
      </c>
      <c r="C4" s="4"/>
      <c r="D4" s="6">
        <v>30</v>
      </c>
    </row>
    <row x14ac:dyDescent="0.25" r="5" customHeight="1" ht="17.25">
      <c r="A5" s="7">
        <v>45709</v>
      </c>
      <c r="B5" s="2" t="s">
        <v>2</v>
      </c>
      <c r="C5" s="6">
        <v>6</v>
      </c>
      <c r="D5" s="3"/>
    </row>
    <row x14ac:dyDescent="0.25" r="6" customHeight="1" ht="17.25">
      <c r="A6" s="7">
        <v>45719</v>
      </c>
      <c r="B6" s="2" t="s">
        <v>2</v>
      </c>
      <c r="C6" s="6">
        <v>25</v>
      </c>
      <c r="D6" s="3"/>
    </row>
    <row x14ac:dyDescent="0.25" r="7" customHeight="1" ht="17.25">
      <c r="A7" s="7">
        <v>45855</v>
      </c>
      <c r="B7" s="2" t="s">
        <v>46</v>
      </c>
      <c r="C7" s="4"/>
      <c r="D7" s="6">
        <v>60</v>
      </c>
    </row>
    <row x14ac:dyDescent="0.25" r="8" customHeight="1" ht="17.25">
      <c r="A8" s="7">
        <v>45895</v>
      </c>
      <c r="B8" s="2" t="s">
        <v>46</v>
      </c>
      <c r="C8" s="6">
        <v>52</v>
      </c>
      <c r="D8" s="3"/>
    </row>
    <row x14ac:dyDescent="0.25" r="9" customHeight="1" ht="17.25">
      <c r="A9" s="7">
        <v>45904</v>
      </c>
      <c r="B9" s="2" t="s">
        <v>46</v>
      </c>
      <c r="C9" s="6">
        <v>8</v>
      </c>
      <c r="D9" s="3"/>
    </row>
    <row x14ac:dyDescent="0.25" r="10" customHeight="1" ht="17.25">
      <c r="A10" s="7">
        <v>45930</v>
      </c>
      <c r="B10" s="2" t="s">
        <v>2</v>
      </c>
      <c r="C10" s="4"/>
      <c r="D10" s="6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6.719285714285714" customWidth="1" bestFit="1"/>
    <col min="3" max="3" style="13" width="12.43357142857143" customWidth="1" bestFit="1"/>
    <col min="4" max="4" style="12" width="12.43357142857143" customWidth="1" bestFit="1"/>
  </cols>
  <sheetData>
    <row x14ac:dyDescent="0.25" r="1" customHeight="1" ht="17.25">
      <c r="A1" s="1" t="s">
        <v>246</v>
      </c>
      <c r="B1" s="2"/>
      <c r="C1" s="4"/>
      <c r="D1" s="3"/>
    </row>
    <row x14ac:dyDescent="0.25" r="2" customHeight="1" ht="17.25">
      <c r="A2" s="1"/>
      <c r="B2" s="2"/>
      <c r="C2" s="4"/>
      <c r="D2" s="3"/>
    </row>
    <row x14ac:dyDescent="0.25" r="3" customHeight="1" ht="17.25">
      <c r="A3" s="1"/>
      <c r="B3" s="2"/>
      <c r="C3" s="4"/>
      <c r="D3" s="3"/>
    </row>
    <row x14ac:dyDescent="0.25" r="4" customHeight="1" ht="17.25">
      <c r="A4" s="7">
        <v>45834</v>
      </c>
      <c r="B4" s="2" t="s">
        <v>63</v>
      </c>
      <c r="C4" s="6">
        <v>50</v>
      </c>
      <c r="D4" s="3"/>
    </row>
    <row x14ac:dyDescent="0.25" r="5" customHeight="1" ht="17.25">
      <c r="A5" s="7">
        <v>45835</v>
      </c>
      <c r="B5" s="2" t="s">
        <v>232</v>
      </c>
      <c r="C5" s="4"/>
      <c r="D5" s="6">
        <v>50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7192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245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6">
        <v>96</v>
      </c>
    </row>
    <row x14ac:dyDescent="0.25" r="4" customHeight="1" ht="17.25">
      <c r="A4" s="8">
        <v>45856</v>
      </c>
      <c r="B4" s="9" t="s">
        <v>183</v>
      </c>
      <c r="C4" s="3"/>
      <c r="D4" s="6">
        <v>20</v>
      </c>
      <c r="E4" s="4"/>
    </row>
    <row x14ac:dyDescent="0.25" r="5" customHeight="1" ht="17.25">
      <c r="A5" s="7">
        <v>45887</v>
      </c>
      <c r="B5" s="2" t="s">
        <v>183</v>
      </c>
      <c r="C5" s="6">
        <v>19</v>
      </c>
      <c r="D5" s="4"/>
      <c r="E5" s="4"/>
    </row>
    <row x14ac:dyDescent="0.25" r="6" customHeight="1" ht="17.25">
      <c r="A6" s="8">
        <v>45912</v>
      </c>
      <c r="B6" s="9" t="s">
        <v>183</v>
      </c>
      <c r="C6" s="3"/>
      <c r="D6" s="6">
        <v>20</v>
      </c>
      <c r="E6" s="4"/>
    </row>
    <row x14ac:dyDescent="0.25" r="7" customHeight="1" ht="17.25">
      <c r="A7" s="8">
        <v>45958</v>
      </c>
      <c r="B7" s="9" t="s">
        <v>183</v>
      </c>
      <c r="C7" s="6">
        <v>20</v>
      </c>
      <c r="D7" s="4"/>
      <c r="E7" s="4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0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5.576428571428572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239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6">
        <v>71</v>
      </c>
    </row>
    <row x14ac:dyDescent="0.25" r="4" customHeight="1" ht="17.25">
      <c r="A4" s="7">
        <v>45659</v>
      </c>
      <c r="B4" s="2" t="s">
        <v>2</v>
      </c>
      <c r="C4" s="4"/>
      <c r="D4" s="6">
        <v>30</v>
      </c>
      <c r="E4" s="6">
        <f>E3+C4-D4</f>
      </c>
    </row>
    <row x14ac:dyDescent="0.25" r="5" customHeight="1" ht="17.25">
      <c r="A5" s="8">
        <v>45698</v>
      </c>
      <c r="B5" s="9" t="s">
        <v>173</v>
      </c>
      <c r="C5" s="6">
        <v>39</v>
      </c>
      <c r="D5" s="4"/>
      <c r="E5" s="6">
        <f>E4+C5-D5</f>
      </c>
    </row>
    <row x14ac:dyDescent="0.25" r="6" customHeight="1" ht="17.25">
      <c r="A6" s="8">
        <v>45709</v>
      </c>
      <c r="B6" s="9" t="s">
        <v>2</v>
      </c>
      <c r="C6" s="6">
        <v>27</v>
      </c>
      <c r="D6" s="4"/>
      <c r="E6" s="6">
        <f>E5+C6-D6</f>
      </c>
    </row>
    <row x14ac:dyDescent="0.25" r="7" customHeight="1" ht="17.25">
      <c r="A7" s="8">
        <v>45713</v>
      </c>
      <c r="B7" s="9" t="s">
        <v>172</v>
      </c>
      <c r="C7" s="6">
        <v>16</v>
      </c>
      <c r="D7" s="4"/>
      <c r="E7" s="6">
        <f>E6+C7-D7</f>
      </c>
    </row>
    <row x14ac:dyDescent="0.25" r="8" customHeight="1" ht="17.25">
      <c r="A8" s="7">
        <v>45715</v>
      </c>
      <c r="B8" s="9" t="s">
        <v>240</v>
      </c>
      <c r="C8" s="6">
        <v>1</v>
      </c>
      <c r="D8" s="4"/>
      <c r="E8" s="6">
        <f>E7+C8-D8</f>
      </c>
    </row>
    <row x14ac:dyDescent="0.25" r="9" customHeight="1" ht="17.25">
      <c r="A9" s="8">
        <v>45727</v>
      </c>
      <c r="B9" s="9" t="s">
        <v>173</v>
      </c>
      <c r="C9" s="6">
        <v>60</v>
      </c>
      <c r="D9" s="4"/>
      <c r="E9" s="6">
        <f>E8+C9-D9</f>
      </c>
    </row>
    <row x14ac:dyDescent="0.25" r="10" customHeight="1" ht="17.25">
      <c r="A10" s="7">
        <v>45734</v>
      </c>
      <c r="B10" s="9" t="s">
        <v>173</v>
      </c>
      <c r="C10" s="6">
        <v>52</v>
      </c>
      <c r="D10" s="4"/>
      <c r="E10" s="6">
        <f>E9+C10-D10</f>
      </c>
    </row>
    <row x14ac:dyDescent="0.25" r="11" customHeight="1" ht="17.25">
      <c r="A11" s="8">
        <v>45735</v>
      </c>
      <c r="B11" s="9" t="s">
        <v>172</v>
      </c>
      <c r="C11" s="6">
        <v>3</v>
      </c>
      <c r="D11" s="4"/>
      <c r="E11" s="6">
        <f>E10+C11-D11</f>
      </c>
    </row>
    <row x14ac:dyDescent="0.25" r="12" customHeight="1" ht="17.25">
      <c r="A12" s="7">
        <v>45742</v>
      </c>
      <c r="B12" s="9" t="s">
        <v>173</v>
      </c>
      <c r="C12" s="6">
        <v>24</v>
      </c>
      <c r="D12" s="4"/>
      <c r="E12" s="6">
        <f>E11+C12-D12</f>
      </c>
    </row>
    <row x14ac:dyDescent="0.25" r="13" customHeight="1" ht="17.25">
      <c r="A13" s="8">
        <v>45801</v>
      </c>
      <c r="B13" s="9" t="s">
        <v>241</v>
      </c>
      <c r="C13" s="4"/>
      <c r="D13" s="6">
        <v>16</v>
      </c>
      <c r="E13" s="6">
        <f>E12+C13-D13</f>
      </c>
    </row>
    <row x14ac:dyDescent="0.25" r="14" customHeight="1" ht="17.25">
      <c r="A14" s="7">
        <v>45818</v>
      </c>
      <c r="B14" s="9" t="s">
        <v>242</v>
      </c>
      <c r="C14" s="4"/>
      <c r="D14" s="6">
        <v>100</v>
      </c>
      <c r="E14" s="6">
        <f>E13+C14-D14</f>
      </c>
    </row>
    <row x14ac:dyDescent="0.25" r="15" customHeight="1" ht="17.25">
      <c r="A15" s="7">
        <v>45820</v>
      </c>
      <c r="B15" s="9" t="s">
        <v>181</v>
      </c>
      <c r="C15" s="4"/>
      <c r="D15" s="6">
        <v>62</v>
      </c>
      <c r="E15" s="6">
        <f>E14+C15-D15</f>
      </c>
    </row>
    <row x14ac:dyDescent="0.25" r="16" customHeight="1" ht="17.25">
      <c r="A16" s="8">
        <v>45828</v>
      </c>
      <c r="B16" s="9" t="s">
        <v>172</v>
      </c>
      <c r="C16" s="6">
        <v>13</v>
      </c>
      <c r="D16" s="4"/>
      <c r="E16" s="6">
        <f>E15+C16-D16</f>
      </c>
    </row>
    <row x14ac:dyDescent="0.25" r="17" customHeight="1" ht="17.25">
      <c r="A17" s="7">
        <v>45838</v>
      </c>
      <c r="B17" s="9" t="s">
        <v>172</v>
      </c>
      <c r="C17" s="6">
        <v>16</v>
      </c>
      <c r="D17" s="4"/>
      <c r="E17" s="6">
        <f>E16+C17-D17</f>
      </c>
    </row>
    <row x14ac:dyDescent="0.25" r="18" customHeight="1" ht="17.25">
      <c r="A18" s="7">
        <v>45862</v>
      </c>
      <c r="B18" s="9" t="s">
        <v>58</v>
      </c>
      <c r="C18" s="6">
        <v>100</v>
      </c>
      <c r="D18" s="4"/>
      <c r="E18" s="6">
        <f>E17+C18-D18</f>
      </c>
    </row>
    <row x14ac:dyDescent="0.25" r="19" customHeight="1" ht="17.25">
      <c r="A19" s="8">
        <v>45862</v>
      </c>
      <c r="B19" s="9" t="s">
        <v>232</v>
      </c>
      <c r="C19" s="4"/>
      <c r="D19" s="6">
        <v>30</v>
      </c>
      <c r="E19" s="6">
        <f>E18+C19-D19</f>
      </c>
    </row>
    <row x14ac:dyDescent="0.25" r="20" customHeight="1" ht="17.25">
      <c r="A20" s="7">
        <v>45863</v>
      </c>
      <c r="B20" s="2" t="s">
        <v>232</v>
      </c>
      <c r="C20" s="4"/>
      <c r="D20" s="6">
        <v>100</v>
      </c>
      <c r="E20" s="6">
        <f>E19+C20-D20</f>
      </c>
    </row>
    <row x14ac:dyDescent="0.25" r="21" customHeight="1" ht="17.25">
      <c r="A21" s="7">
        <v>45864</v>
      </c>
      <c r="B21" s="9" t="s">
        <v>233</v>
      </c>
      <c r="C21" s="4"/>
      <c r="D21" s="6">
        <v>30</v>
      </c>
      <c r="E21" s="6">
        <f>E20+C21-D21</f>
      </c>
    </row>
    <row x14ac:dyDescent="0.25" r="22" customHeight="1" ht="17.25">
      <c r="A22" s="8">
        <v>45865</v>
      </c>
      <c r="B22" s="9" t="s">
        <v>232</v>
      </c>
      <c r="C22" s="6">
        <v>30</v>
      </c>
      <c r="D22" s="4"/>
      <c r="E22" s="6">
        <f>E21+C22-D22</f>
      </c>
    </row>
    <row x14ac:dyDescent="0.25" r="23" customHeight="1" ht="17.25">
      <c r="A23" s="8">
        <v>45868</v>
      </c>
      <c r="B23" s="9" t="s">
        <v>243</v>
      </c>
      <c r="C23" s="4"/>
      <c r="D23" s="6">
        <v>20</v>
      </c>
      <c r="E23" s="6">
        <f>E22+C23-D23</f>
      </c>
    </row>
    <row x14ac:dyDescent="0.25" r="24" customHeight="1" ht="17.25">
      <c r="A24" s="7">
        <v>45868</v>
      </c>
      <c r="B24" s="9" t="s">
        <v>33</v>
      </c>
      <c r="C24" s="6">
        <v>66</v>
      </c>
      <c r="D24" s="4"/>
      <c r="E24" s="6">
        <f>E23+C24-D24</f>
      </c>
    </row>
    <row x14ac:dyDescent="0.25" r="25" customHeight="1" ht="17.25">
      <c r="A25" s="7">
        <v>45869</v>
      </c>
      <c r="B25" s="9" t="s">
        <v>180</v>
      </c>
      <c r="C25" s="4"/>
      <c r="D25" s="6">
        <v>105</v>
      </c>
      <c r="E25" s="6">
        <f>E24+C25-D25</f>
      </c>
    </row>
    <row x14ac:dyDescent="0.25" r="26" customHeight="1" ht="17.25">
      <c r="A26" s="7">
        <v>45870</v>
      </c>
      <c r="B26" s="9" t="s">
        <v>33</v>
      </c>
      <c r="C26" s="6">
        <v>20</v>
      </c>
      <c r="D26" s="4"/>
      <c r="E26" s="6">
        <f>E25+C26-D26</f>
      </c>
    </row>
    <row x14ac:dyDescent="0.25" r="27" customHeight="1" ht="17.25">
      <c r="A27" s="7">
        <v>45870</v>
      </c>
      <c r="B27" s="9" t="s">
        <v>180</v>
      </c>
      <c r="C27" s="4"/>
      <c r="D27" s="6">
        <v>45</v>
      </c>
      <c r="E27" s="6">
        <f>E26+C27-D27</f>
      </c>
    </row>
    <row x14ac:dyDescent="0.25" r="28" customHeight="1" ht="17.25">
      <c r="A28" s="7">
        <v>45874</v>
      </c>
      <c r="B28" s="9" t="s">
        <v>33</v>
      </c>
      <c r="C28" s="6">
        <v>200</v>
      </c>
      <c r="D28" s="4"/>
      <c r="E28" s="6">
        <f>E27+C28-D28</f>
      </c>
    </row>
    <row x14ac:dyDescent="0.25" r="29" customHeight="1" ht="17.25">
      <c r="A29" s="8">
        <v>45874</v>
      </c>
      <c r="B29" s="9" t="s">
        <v>180</v>
      </c>
      <c r="C29" s="4"/>
      <c r="D29" s="6">
        <v>100</v>
      </c>
      <c r="E29" s="6">
        <f>E28+C29-D29</f>
      </c>
    </row>
    <row x14ac:dyDescent="0.25" r="30" customHeight="1" ht="17.25">
      <c r="A30" s="7">
        <v>45881</v>
      </c>
      <c r="B30" s="9" t="s">
        <v>180</v>
      </c>
      <c r="C30" s="4"/>
      <c r="D30" s="6">
        <v>100</v>
      </c>
      <c r="E30" s="6">
        <f>E29+C30-D30</f>
      </c>
    </row>
    <row x14ac:dyDescent="0.25" r="31" customHeight="1" ht="17.25">
      <c r="A31" s="7">
        <v>45882</v>
      </c>
      <c r="B31" s="9" t="s">
        <v>33</v>
      </c>
      <c r="C31" s="6">
        <v>100</v>
      </c>
      <c r="D31" s="4"/>
      <c r="E31" s="6">
        <f>E30+C31-D31</f>
      </c>
    </row>
    <row x14ac:dyDescent="0.25" r="32" customHeight="1" ht="17.25">
      <c r="A32" s="7">
        <v>45883</v>
      </c>
      <c r="B32" s="9" t="s">
        <v>233</v>
      </c>
      <c r="C32" s="4"/>
      <c r="D32" s="6">
        <v>100</v>
      </c>
      <c r="E32" s="6">
        <f>E31+C32-D32</f>
      </c>
    </row>
    <row x14ac:dyDescent="0.25" r="33" customHeight="1" ht="17.25">
      <c r="A33" s="7">
        <v>45884</v>
      </c>
      <c r="B33" s="9" t="s">
        <v>241</v>
      </c>
      <c r="C33" s="6">
        <v>9</v>
      </c>
      <c r="D33" s="4"/>
      <c r="E33" s="6">
        <f>E32+C33-D33</f>
      </c>
    </row>
    <row x14ac:dyDescent="0.25" r="34" customHeight="1" ht="17.25">
      <c r="A34" s="7">
        <v>45890</v>
      </c>
      <c r="B34" s="9" t="s">
        <v>172</v>
      </c>
      <c r="C34" s="6">
        <v>20</v>
      </c>
      <c r="D34" s="4"/>
      <c r="E34" s="6">
        <f>E33+C34-D34</f>
      </c>
    </row>
    <row x14ac:dyDescent="0.25" r="35" customHeight="1" ht="17.25">
      <c r="A35" s="7">
        <v>45901</v>
      </c>
      <c r="B35" s="9" t="s">
        <v>172</v>
      </c>
      <c r="C35" s="6">
        <v>16</v>
      </c>
      <c r="D35" s="4"/>
      <c r="E35" s="6">
        <f>E34+C35-D35</f>
      </c>
    </row>
    <row x14ac:dyDescent="0.25" r="36" customHeight="1" ht="17.25">
      <c r="A36" s="7">
        <v>45903</v>
      </c>
      <c r="B36" s="9" t="s">
        <v>58</v>
      </c>
      <c r="C36" s="6">
        <v>5</v>
      </c>
      <c r="D36" s="4"/>
      <c r="E36" s="6">
        <f>E35+C36-D36</f>
      </c>
    </row>
    <row x14ac:dyDescent="0.25" r="37" customHeight="1" ht="17.25">
      <c r="A37" s="7">
        <v>45904</v>
      </c>
      <c r="B37" s="9" t="s">
        <v>235</v>
      </c>
      <c r="C37" s="4"/>
      <c r="D37" s="6">
        <v>50</v>
      </c>
      <c r="E37" s="6">
        <f>E36+C37-D37</f>
      </c>
    </row>
    <row x14ac:dyDescent="0.25" r="38" customHeight="1" ht="17.25">
      <c r="A38" s="7">
        <v>45912</v>
      </c>
      <c r="B38" s="9" t="s">
        <v>233</v>
      </c>
      <c r="C38" s="6">
        <v>111</v>
      </c>
      <c r="D38" s="4"/>
      <c r="E38" s="6">
        <f>E37+C38-D38</f>
      </c>
    </row>
    <row x14ac:dyDescent="0.25" r="39" customHeight="1" ht="17.25">
      <c r="A39" s="7">
        <v>45913</v>
      </c>
      <c r="B39" s="9" t="s">
        <v>172</v>
      </c>
      <c r="C39" s="6">
        <v>5</v>
      </c>
      <c r="D39" s="4"/>
      <c r="E39" s="6">
        <f>E38+C39-D39</f>
      </c>
    </row>
    <row x14ac:dyDescent="0.25" r="40" customHeight="1" ht="17.25">
      <c r="A40" s="7">
        <v>45926</v>
      </c>
      <c r="B40" s="9" t="s">
        <v>2</v>
      </c>
      <c r="C40" s="6">
        <v>2</v>
      </c>
      <c r="D40" s="4"/>
      <c r="E40" s="6">
        <f>E39+C40-D40</f>
      </c>
    </row>
    <row x14ac:dyDescent="0.25" r="41" customHeight="1" ht="17.25">
      <c r="A41" s="8">
        <v>45948</v>
      </c>
      <c r="B41" s="9" t="s">
        <v>182</v>
      </c>
      <c r="C41" s="6">
        <v>23</v>
      </c>
      <c r="D41" s="4"/>
      <c r="E41" s="6">
        <f>E40+C41-D41</f>
      </c>
    </row>
    <row x14ac:dyDescent="0.25" r="42" customHeight="1" ht="17.25">
      <c r="A42" s="7">
        <v>45951</v>
      </c>
      <c r="B42" s="9" t="s">
        <v>182</v>
      </c>
      <c r="C42" s="6">
        <v>17</v>
      </c>
      <c r="D42" s="4"/>
      <c r="E42" s="6">
        <f>E41+C42-D42</f>
      </c>
    </row>
    <row x14ac:dyDescent="0.25" r="43" customHeight="1" ht="17.25">
      <c r="A43" s="7">
        <v>45959</v>
      </c>
      <c r="B43" s="9" t="s">
        <v>182</v>
      </c>
      <c r="C43" s="6">
        <v>6</v>
      </c>
      <c r="D43" s="4"/>
      <c r="E43" s="6">
        <f>E42+C43-D43</f>
      </c>
    </row>
    <row x14ac:dyDescent="0.25" r="44" customHeight="1" ht="17.25">
      <c r="A44" s="7">
        <v>45968</v>
      </c>
      <c r="B44" s="9" t="s">
        <v>52</v>
      </c>
      <c r="C44" s="6">
        <v>20</v>
      </c>
      <c r="D44" s="4"/>
      <c r="E44" s="6">
        <f>E43+C44-D44</f>
      </c>
    </row>
    <row x14ac:dyDescent="0.25" r="45" customHeight="1" ht="17.25">
      <c r="A45" s="8">
        <v>45979</v>
      </c>
      <c r="B45" s="9" t="s">
        <v>182</v>
      </c>
      <c r="C45" s="6">
        <v>2</v>
      </c>
      <c r="D45" s="4"/>
      <c r="E45" s="6">
        <f>E44+C45-D45</f>
      </c>
    </row>
    <row x14ac:dyDescent="0.25" r="46" customHeight="1" ht="17.25">
      <c r="A46" s="8">
        <v>45985</v>
      </c>
      <c r="B46" s="9" t="s">
        <v>182</v>
      </c>
      <c r="C46" s="6">
        <v>4</v>
      </c>
      <c r="D46" s="4"/>
      <c r="E46" s="6">
        <f>E45+C46-D46</f>
      </c>
    </row>
    <row x14ac:dyDescent="0.25" r="47" customHeight="1" ht="17.25">
      <c r="A47" s="8">
        <v>45987</v>
      </c>
      <c r="B47" s="9" t="s">
        <v>244</v>
      </c>
      <c r="C47" s="4"/>
      <c r="D47" s="6">
        <v>35</v>
      </c>
      <c r="E47" s="6">
        <f>E46+C47-D47</f>
      </c>
    </row>
    <row x14ac:dyDescent="0.25" r="48" customHeight="1" ht="17.25">
      <c r="A48" s="8">
        <v>45987</v>
      </c>
      <c r="B48" s="9" t="s">
        <v>175</v>
      </c>
      <c r="C48" s="6">
        <v>9</v>
      </c>
      <c r="D48" s="4"/>
      <c r="E48" s="6">
        <f>E47+C48-D48</f>
      </c>
    </row>
    <row x14ac:dyDescent="0.25" r="49" customHeight="1" ht="17.25">
      <c r="A49" s="7">
        <v>46001</v>
      </c>
      <c r="B49" s="9" t="s">
        <v>180</v>
      </c>
      <c r="C49" s="4"/>
      <c r="D49" s="4"/>
      <c r="E49" s="6">
        <f>E48+C49-D49</f>
      </c>
    </row>
    <row x14ac:dyDescent="0.25" r="50" customHeight="1" ht="17.25">
      <c r="A50" s="1"/>
      <c r="B50" s="2"/>
      <c r="C50" s="4"/>
      <c r="D50" s="4"/>
      <c r="E50" s="6">
        <f>E49+C50-D50</f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0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7.005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237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6">
        <v>5</v>
      </c>
    </row>
    <row x14ac:dyDescent="0.25" r="4" customHeight="1" ht="17.25">
      <c r="A4" s="7">
        <v>45698</v>
      </c>
      <c r="B4" s="2" t="s">
        <v>175</v>
      </c>
      <c r="C4" s="6">
        <v>6</v>
      </c>
      <c r="D4" s="4"/>
      <c r="E4" s="4"/>
    </row>
    <row x14ac:dyDescent="0.25" r="5" customHeight="1" ht="17.25">
      <c r="A5" s="7">
        <v>45742</v>
      </c>
      <c r="B5" s="2" t="s">
        <v>175</v>
      </c>
      <c r="C5" s="6">
        <v>9</v>
      </c>
      <c r="D5" s="4"/>
      <c r="E5" s="6">
        <v>22</v>
      </c>
    </row>
    <row x14ac:dyDescent="0.25" r="6" customHeight="1" ht="17.25">
      <c r="A6" s="7">
        <v>45754</v>
      </c>
      <c r="B6" s="2" t="s">
        <v>232</v>
      </c>
      <c r="C6" s="3"/>
      <c r="D6" s="6">
        <v>16</v>
      </c>
      <c r="E6" s="4"/>
    </row>
    <row x14ac:dyDescent="0.25" r="7" customHeight="1" ht="17.25">
      <c r="A7" s="7">
        <v>45755</v>
      </c>
      <c r="B7" s="2" t="s">
        <v>58</v>
      </c>
      <c r="C7" s="6">
        <v>2</v>
      </c>
      <c r="D7" s="4"/>
      <c r="E7" s="4"/>
    </row>
    <row x14ac:dyDescent="0.25" r="8" customHeight="1" ht="17.25">
      <c r="A8" s="8">
        <v>45755</v>
      </c>
      <c r="B8" s="9" t="s">
        <v>232</v>
      </c>
      <c r="C8" s="3"/>
      <c r="D8" s="6">
        <v>8</v>
      </c>
      <c r="E8" s="4"/>
    </row>
    <row x14ac:dyDescent="0.25" r="9" customHeight="1" ht="17.25">
      <c r="A9" s="7">
        <v>45834</v>
      </c>
      <c r="B9" s="2" t="s">
        <v>63</v>
      </c>
      <c r="C9" s="6">
        <v>200</v>
      </c>
      <c r="D9" s="4"/>
      <c r="E9" s="4"/>
    </row>
    <row x14ac:dyDescent="0.25" r="10" customHeight="1" ht="17.25">
      <c r="A10" s="7">
        <v>45835</v>
      </c>
      <c r="B10" s="2" t="s">
        <v>232</v>
      </c>
      <c r="C10" s="3"/>
      <c r="D10" s="6">
        <v>200</v>
      </c>
      <c r="E10" s="4"/>
    </row>
    <row x14ac:dyDescent="0.25" r="11" customHeight="1" ht="17.25">
      <c r="A11" s="8">
        <v>45850</v>
      </c>
      <c r="B11" s="9" t="s">
        <v>238</v>
      </c>
      <c r="C11" s="6">
        <v>1</v>
      </c>
      <c r="D11" s="4"/>
      <c r="E11" s="4"/>
    </row>
    <row x14ac:dyDescent="0.25" r="12" customHeight="1" ht="17.25">
      <c r="A12" s="7">
        <v>45862</v>
      </c>
      <c r="B12" s="2" t="s">
        <v>58</v>
      </c>
      <c r="C12" s="6">
        <v>49</v>
      </c>
      <c r="D12" s="4"/>
      <c r="E12" s="4"/>
    </row>
    <row x14ac:dyDescent="0.25" r="13" customHeight="1" ht="17.25">
      <c r="A13" s="7">
        <v>45867</v>
      </c>
      <c r="B13" s="2" t="s">
        <v>233</v>
      </c>
      <c r="C13" s="3"/>
      <c r="D13" s="6">
        <v>50</v>
      </c>
      <c r="E13" s="4"/>
    </row>
    <row x14ac:dyDescent="0.25" r="14" customHeight="1" ht="17.25">
      <c r="A14" s="7">
        <v>45868</v>
      </c>
      <c r="B14" s="2" t="s">
        <v>33</v>
      </c>
      <c r="C14" s="3"/>
      <c r="D14" s="4"/>
      <c r="E14" s="4"/>
    </row>
    <row x14ac:dyDescent="0.25" r="15" customHeight="1" ht="17.25">
      <c r="A15" s="8">
        <v>45881</v>
      </c>
      <c r="B15" s="9" t="s">
        <v>208</v>
      </c>
      <c r="C15" s="6">
        <v>2</v>
      </c>
      <c r="D15" s="4"/>
      <c r="E15" s="4"/>
    </row>
    <row x14ac:dyDescent="0.25" r="16" customHeight="1" ht="17.25">
      <c r="A16" s="7">
        <v>45882</v>
      </c>
      <c r="B16" s="2" t="s">
        <v>33</v>
      </c>
      <c r="C16" s="6">
        <v>100</v>
      </c>
      <c r="D16" s="4"/>
      <c r="E16" s="4"/>
    </row>
    <row x14ac:dyDescent="0.25" r="17" customHeight="1" ht="17.25">
      <c r="A17" s="7">
        <v>45890</v>
      </c>
      <c r="B17" s="2" t="s">
        <v>208</v>
      </c>
      <c r="C17" s="6">
        <v>4</v>
      </c>
      <c r="D17" s="4"/>
      <c r="E17" s="4"/>
    </row>
    <row x14ac:dyDescent="0.25" r="18" customHeight="1" ht="17.25">
      <c r="A18" s="7">
        <v>45976</v>
      </c>
      <c r="B18" s="2" t="s">
        <v>33</v>
      </c>
      <c r="C18" s="6">
        <v>400</v>
      </c>
      <c r="D18" s="4"/>
      <c r="E18" s="4"/>
    </row>
    <row x14ac:dyDescent="0.25" r="19" customHeight="1" ht="17.25">
      <c r="A19" s="7">
        <v>45976</v>
      </c>
      <c r="B19" s="2" t="s">
        <v>232</v>
      </c>
      <c r="C19" s="3"/>
      <c r="D19" s="6">
        <v>400</v>
      </c>
      <c r="E19" s="4"/>
    </row>
    <row x14ac:dyDescent="0.25" r="20" customHeight="1" ht="17.25">
      <c r="A20" s="7">
        <v>46001</v>
      </c>
      <c r="B20" s="2" t="s">
        <v>180</v>
      </c>
      <c r="C20" s="6">
        <v>1</v>
      </c>
      <c r="D20" s="4"/>
      <c r="E20" s="4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8.29071428571428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231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1"/>
      <c r="B3" s="2"/>
      <c r="C3" s="4"/>
      <c r="D3" s="4"/>
      <c r="E3" s="3"/>
    </row>
    <row x14ac:dyDescent="0.25" r="4" customHeight="1" ht="17.25">
      <c r="A4" s="7">
        <v>45692</v>
      </c>
      <c r="B4" s="2" t="s">
        <v>63</v>
      </c>
      <c r="C4" s="6">
        <v>400</v>
      </c>
      <c r="D4" s="4"/>
      <c r="E4" s="3"/>
    </row>
    <row x14ac:dyDescent="0.25" r="5" customHeight="1" ht="17.25">
      <c r="A5" s="7">
        <v>45692</v>
      </c>
      <c r="B5" s="2" t="s">
        <v>64</v>
      </c>
      <c r="C5" s="4"/>
      <c r="D5" s="6">
        <v>150</v>
      </c>
      <c r="E5" s="3"/>
    </row>
    <row x14ac:dyDescent="0.25" r="6" customHeight="1" ht="17.25">
      <c r="A6" s="7">
        <v>45692</v>
      </c>
      <c r="B6" s="2" t="s">
        <v>64</v>
      </c>
      <c r="C6" s="4"/>
      <c r="D6" s="6">
        <v>150</v>
      </c>
      <c r="E6" s="3"/>
    </row>
    <row x14ac:dyDescent="0.25" r="7" customHeight="1" ht="17.25">
      <c r="A7" s="7">
        <v>45692</v>
      </c>
      <c r="B7" s="2" t="s">
        <v>64</v>
      </c>
      <c r="C7" s="4"/>
      <c r="D7" s="6">
        <v>100</v>
      </c>
      <c r="E7" s="3"/>
    </row>
    <row x14ac:dyDescent="0.25" r="8" customHeight="1" ht="17.25">
      <c r="A8" s="7">
        <v>45695</v>
      </c>
      <c r="B8" s="2" t="s">
        <v>63</v>
      </c>
      <c r="C8" s="6">
        <v>150</v>
      </c>
      <c r="D8" s="4"/>
      <c r="E8" s="3"/>
    </row>
    <row x14ac:dyDescent="0.25" r="9" customHeight="1" ht="17.25">
      <c r="A9" s="7">
        <v>45695</v>
      </c>
      <c r="B9" s="2" t="s">
        <v>64</v>
      </c>
      <c r="C9" s="4"/>
      <c r="D9" s="6">
        <v>150</v>
      </c>
      <c r="E9" s="3"/>
    </row>
    <row x14ac:dyDescent="0.25" r="10" customHeight="1" ht="17.25">
      <c r="A10" s="7">
        <v>45818</v>
      </c>
      <c r="B10" s="2" t="s">
        <v>63</v>
      </c>
      <c r="C10" s="6">
        <v>94</v>
      </c>
      <c r="D10" s="4"/>
      <c r="E10" s="3"/>
    </row>
    <row x14ac:dyDescent="0.25" r="11" customHeight="1" ht="17.25">
      <c r="A11" s="7">
        <v>45820</v>
      </c>
      <c r="B11" s="2" t="s">
        <v>181</v>
      </c>
      <c r="C11" s="4"/>
      <c r="D11" s="6">
        <v>84</v>
      </c>
      <c r="E11" s="6">
        <v>10</v>
      </c>
    </row>
    <row x14ac:dyDescent="0.25" r="12" customHeight="1" ht="17.25">
      <c r="A12" s="7">
        <v>45834</v>
      </c>
      <c r="B12" s="2" t="s">
        <v>63</v>
      </c>
      <c r="C12" s="6">
        <v>90</v>
      </c>
      <c r="D12" s="4"/>
      <c r="E12" s="3"/>
    </row>
    <row x14ac:dyDescent="0.25" r="13" customHeight="1" ht="17.25">
      <c r="A13" s="7">
        <v>45834</v>
      </c>
      <c r="B13" s="2" t="s">
        <v>232</v>
      </c>
      <c r="C13" s="4"/>
      <c r="D13" s="6">
        <v>100</v>
      </c>
      <c r="E13" s="3"/>
    </row>
    <row x14ac:dyDescent="0.25" r="14" customHeight="1" ht="17.25">
      <c r="A14" s="7">
        <v>45862</v>
      </c>
      <c r="B14" s="2" t="s">
        <v>58</v>
      </c>
      <c r="C14" s="6">
        <v>100</v>
      </c>
      <c r="D14" s="4"/>
      <c r="E14" s="3"/>
    </row>
    <row x14ac:dyDescent="0.25" r="15" customHeight="1" ht="17.25">
      <c r="A15" s="7">
        <v>45863</v>
      </c>
      <c r="B15" s="2" t="s">
        <v>232</v>
      </c>
      <c r="C15" s="4"/>
      <c r="D15" s="6">
        <v>100</v>
      </c>
      <c r="E15" s="3"/>
    </row>
    <row x14ac:dyDescent="0.25" r="16" customHeight="1" ht="17.25">
      <c r="A16" s="7">
        <v>45869</v>
      </c>
      <c r="B16" s="2" t="s">
        <v>180</v>
      </c>
      <c r="C16" s="4"/>
      <c r="D16" s="6">
        <v>250</v>
      </c>
      <c r="E16" s="3"/>
    </row>
    <row x14ac:dyDescent="0.25" r="17" customHeight="1" ht="17.25">
      <c r="A17" s="7">
        <v>45874</v>
      </c>
      <c r="B17" s="2" t="s">
        <v>33</v>
      </c>
      <c r="C17" s="6">
        <v>100</v>
      </c>
      <c r="D17" s="4"/>
      <c r="E17" s="3"/>
    </row>
    <row x14ac:dyDescent="0.25" r="18" customHeight="1" ht="17.25">
      <c r="A18" s="8">
        <v>45874</v>
      </c>
      <c r="B18" s="9" t="s">
        <v>180</v>
      </c>
      <c r="C18" s="4"/>
      <c r="D18" s="6">
        <v>100</v>
      </c>
      <c r="E18" s="3"/>
    </row>
    <row x14ac:dyDescent="0.25" r="19" customHeight="1" ht="17.25">
      <c r="A19" s="7">
        <v>45881</v>
      </c>
      <c r="B19" s="2" t="s">
        <v>180</v>
      </c>
      <c r="C19" s="4"/>
      <c r="D19" s="6">
        <v>100</v>
      </c>
      <c r="E19" s="3"/>
    </row>
    <row x14ac:dyDescent="0.25" r="20" customHeight="1" ht="17.25">
      <c r="A20" s="7">
        <v>45883</v>
      </c>
      <c r="B20" s="2" t="s">
        <v>233</v>
      </c>
      <c r="C20" s="4"/>
      <c r="D20" s="6">
        <v>100</v>
      </c>
      <c r="E20" s="3"/>
    </row>
    <row x14ac:dyDescent="0.25" r="21" customHeight="1" ht="17.25">
      <c r="A21" s="7">
        <v>45889</v>
      </c>
      <c r="B21" s="2" t="s">
        <v>180</v>
      </c>
      <c r="C21" s="6">
        <v>163</v>
      </c>
      <c r="D21" s="4"/>
      <c r="E21" s="3"/>
    </row>
    <row x14ac:dyDescent="0.25" r="22" customHeight="1" ht="17.25">
      <c r="A22" s="7">
        <v>45916</v>
      </c>
      <c r="B22" s="2" t="s">
        <v>234</v>
      </c>
      <c r="C22" s="4"/>
      <c r="D22" s="6">
        <v>10</v>
      </c>
      <c r="E22" s="3"/>
    </row>
    <row x14ac:dyDescent="0.25" r="23" customHeight="1" ht="17.25">
      <c r="A23" s="7">
        <v>45929</v>
      </c>
      <c r="B23" s="2" t="s">
        <v>235</v>
      </c>
      <c r="C23" s="4"/>
      <c r="D23" s="6">
        <v>120</v>
      </c>
      <c r="E23" s="6">
        <v>33</v>
      </c>
    </row>
    <row x14ac:dyDescent="0.25" r="24" customHeight="1" ht="17.25">
      <c r="A24" s="7">
        <v>45946</v>
      </c>
      <c r="B24" s="2" t="s">
        <v>33</v>
      </c>
      <c r="C24" s="6">
        <v>39</v>
      </c>
      <c r="D24" s="4"/>
      <c r="E24" s="6">
        <f>E23+C24-D24</f>
      </c>
    </row>
    <row x14ac:dyDescent="0.25" r="25" customHeight="1" ht="17.25">
      <c r="A25" s="7">
        <v>45947</v>
      </c>
      <c r="B25" s="2" t="s">
        <v>236</v>
      </c>
      <c r="C25" s="4"/>
      <c r="D25" s="6">
        <v>30</v>
      </c>
      <c r="E25" s="6">
        <f>E24+C25-D25</f>
      </c>
    </row>
    <row x14ac:dyDescent="0.25" r="26" customHeight="1" ht="17.25">
      <c r="A26" s="8">
        <v>45948</v>
      </c>
      <c r="B26" s="9" t="s">
        <v>182</v>
      </c>
      <c r="C26" s="6">
        <v>29</v>
      </c>
      <c r="D26" s="4"/>
      <c r="E26" s="6">
        <f>E25+C26-D26</f>
      </c>
    </row>
    <row x14ac:dyDescent="0.25" r="27" customHeight="1" ht="17.25">
      <c r="A27" s="7">
        <v>45951</v>
      </c>
      <c r="B27" s="2" t="s">
        <v>182</v>
      </c>
      <c r="C27" s="6">
        <v>25</v>
      </c>
      <c r="D27" s="4"/>
      <c r="E27" s="6">
        <f>E26+C27-D27</f>
      </c>
    </row>
    <row x14ac:dyDescent="0.25" r="28" customHeight="1" ht="17.25">
      <c r="A28" s="8">
        <v>45979</v>
      </c>
      <c r="B28" s="9" t="s">
        <v>182</v>
      </c>
      <c r="C28" s="6">
        <v>7</v>
      </c>
      <c r="D28" s="4"/>
      <c r="E28" s="6">
        <v>103</v>
      </c>
    </row>
    <row x14ac:dyDescent="0.25" r="29" customHeight="1" ht="17.25">
      <c r="A29" s="7">
        <v>45980</v>
      </c>
      <c r="B29" s="2" t="s">
        <v>179</v>
      </c>
      <c r="C29" s="4"/>
      <c r="D29" s="6">
        <v>103</v>
      </c>
      <c r="E29" s="6">
        <f>E28+C29-D29</f>
      </c>
    </row>
    <row x14ac:dyDescent="0.25" r="30" customHeight="1" ht="17.25">
      <c r="A30" s="8">
        <v>45985</v>
      </c>
      <c r="B30" s="9" t="s">
        <v>182</v>
      </c>
      <c r="C30" s="6">
        <v>6</v>
      </c>
      <c r="D30" s="4"/>
      <c r="E30" s="6">
        <f>E29+C30-D30</f>
      </c>
    </row>
    <row x14ac:dyDescent="0.25" r="31" customHeight="1" ht="17.25">
      <c r="A31" s="7">
        <v>45987</v>
      </c>
      <c r="B31" s="2" t="s">
        <v>58</v>
      </c>
      <c r="C31" s="6">
        <v>642</v>
      </c>
      <c r="D31" s="4"/>
      <c r="E31" s="6">
        <f>E30+C31-D31</f>
      </c>
    </row>
    <row x14ac:dyDescent="0.25" r="32" customHeight="1" ht="17.25">
      <c r="A32" s="7">
        <v>45988</v>
      </c>
      <c r="B32" s="9" t="s">
        <v>58</v>
      </c>
      <c r="C32" s="6">
        <v>5</v>
      </c>
      <c r="D32" s="4"/>
      <c r="E32" s="6">
        <f>E31+C32-D32</f>
      </c>
    </row>
    <row x14ac:dyDescent="0.25" r="33" customHeight="1" ht="17.25">
      <c r="A33" s="7">
        <v>45992</v>
      </c>
      <c r="B33" s="2" t="s">
        <v>185</v>
      </c>
      <c r="C33" s="4"/>
      <c r="D33" s="6">
        <v>360</v>
      </c>
      <c r="E33" s="6">
        <f>E32+C33-D33</f>
      </c>
    </row>
    <row x14ac:dyDescent="0.25" r="34" customHeight="1" ht="17.25">
      <c r="A34" s="7">
        <v>45992</v>
      </c>
      <c r="B34" s="9" t="s">
        <v>179</v>
      </c>
      <c r="C34" s="4"/>
      <c r="D34" s="6">
        <v>206</v>
      </c>
      <c r="E34" s="6">
        <f>E33+C34-D34</f>
      </c>
    </row>
    <row x14ac:dyDescent="0.25" r="35" customHeight="1" ht="17.25">
      <c r="A35" s="7">
        <v>45996</v>
      </c>
      <c r="B35" s="2" t="s">
        <v>185</v>
      </c>
      <c r="C35" s="4"/>
      <c r="D35" s="6">
        <v>87</v>
      </c>
      <c r="E35" s="6">
        <f>E34+C35-D35</f>
      </c>
    </row>
    <row x14ac:dyDescent="0.25" r="36" customHeight="1" ht="17.25">
      <c r="A36" s="7">
        <v>45999</v>
      </c>
      <c r="B36" s="9" t="s">
        <v>236</v>
      </c>
      <c r="C36" s="6">
        <v>30</v>
      </c>
      <c r="D36" s="4"/>
      <c r="E36" s="6">
        <f>E35+C36-D36</f>
      </c>
    </row>
    <row x14ac:dyDescent="0.25" r="37" customHeight="1" ht="17.25">
      <c r="A37" s="7">
        <v>46001</v>
      </c>
      <c r="B37" s="2" t="s">
        <v>180</v>
      </c>
      <c r="C37" s="6">
        <v>50</v>
      </c>
      <c r="D37" s="4"/>
      <c r="E37" s="6">
        <f>E36+C37-D37</f>
      </c>
    </row>
    <row x14ac:dyDescent="0.25" r="38" customHeight="1" ht="17.25">
      <c r="A38" s="7">
        <v>46004</v>
      </c>
      <c r="B38" s="9" t="s">
        <v>179</v>
      </c>
      <c r="C38" s="4"/>
      <c r="D38" s="6">
        <v>83</v>
      </c>
      <c r="E38" s="6">
        <v>0</v>
      </c>
    </row>
    <row x14ac:dyDescent="0.25" r="39" customHeight="1" ht="17.25">
      <c r="A39" s="1"/>
      <c r="B39" s="2"/>
      <c r="C39" s="4"/>
      <c r="D39" s="4"/>
      <c r="E39" s="6">
        <f>E38+C39-D39</f>
      </c>
    </row>
    <row x14ac:dyDescent="0.25" r="40" customHeight="1" ht="17.25">
      <c r="A40" s="1"/>
      <c r="B40" s="2"/>
      <c r="C40" s="4"/>
      <c r="D40" s="4"/>
      <c r="E40" s="6">
        <f>E39+C40-D40</f>
      </c>
    </row>
    <row x14ac:dyDescent="0.25" r="41" customHeight="1" ht="17.25">
      <c r="A41" s="1"/>
      <c r="B41" s="2"/>
      <c r="C41" s="4"/>
      <c r="D41" s="4"/>
      <c r="E41" s="6">
        <f>E40+C41-D41</f>
      </c>
    </row>
    <row x14ac:dyDescent="0.25" r="42" customHeight="1" ht="17.25">
      <c r="A42" s="1"/>
      <c r="B42" s="2"/>
      <c r="C42" s="4"/>
      <c r="D42" s="4"/>
      <c r="E42" s="6">
        <f>E41+C42-D42</f>
      </c>
    </row>
    <row x14ac:dyDescent="0.25" r="43" customHeight="1" ht="17.25">
      <c r="A43" s="1"/>
      <c r="B43" s="2"/>
      <c r="C43" s="4"/>
      <c r="D43" s="4"/>
      <c r="E43" s="6">
        <f>E42+C43-D43</f>
      </c>
    </row>
    <row x14ac:dyDescent="0.25" r="44" customHeight="1" ht="17.25">
      <c r="A44" s="1"/>
      <c r="B44" s="2"/>
      <c r="C44" s="4"/>
      <c r="D44" s="4"/>
      <c r="E44" s="6">
        <f>E43+C44-D44</f>
      </c>
    </row>
    <row x14ac:dyDescent="0.25" r="45" customHeight="1" ht="17.25">
      <c r="A45" s="1"/>
      <c r="B45" s="2"/>
      <c r="C45" s="4"/>
      <c r="D45" s="4"/>
      <c r="E45" s="6">
        <f>E44+C45-D45</f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290714285714284" customWidth="1" bestFit="1"/>
    <col min="3" max="3" style="12" width="3.862142857142857" customWidth="1" bestFit="1"/>
    <col min="4" max="4" style="11" width="12.43357142857143" customWidth="1" bestFit="1"/>
    <col min="5" max="5" style="12" width="3.862142857142857" customWidth="1" bestFit="1"/>
  </cols>
  <sheetData>
    <row x14ac:dyDescent="0.25" r="1" customHeight="1" ht="17.25">
      <c r="A1" s="1" t="s">
        <v>230</v>
      </c>
      <c r="B1" s="2"/>
      <c r="C1" s="3"/>
      <c r="D1" s="2"/>
      <c r="E1" s="3"/>
    </row>
    <row x14ac:dyDescent="0.25" r="2" customHeight="1" ht="17.25">
      <c r="A2" s="1"/>
      <c r="B2" s="2"/>
      <c r="C2" s="3"/>
      <c r="D2" s="2"/>
      <c r="E2" s="3"/>
    </row>
    <row x14ac:dyDescent="0.25" r="3" customHeight="1" ht="17.25">
      <c r="A3" s="7">
        <v>45658</v>
      </c>
      <c r="B3" s="2" t="s">
        <v>1</v>
      </c>
      <c r="C3" s="3"/>
      <c r="D3" s="2"/>
      <c r="E3" s="6">
        <v>441</v>
      </c>
    </row>
    <row x14ac:dyDescent="0.25" r="4" customHeight="1" ht="17.25">
      <c r="A4" s="8">
        <v>45689</v>
      </c>
      <c r="B4" s="9" t="s">
        <v>11</v>
      </c>
      <c r="C4" s="6">
        <v>100</v>
      </c>
      <c r="D4" s="2"/>
      <c r="E4" s="6">
        <f>E3+C4-D4</f>
      </c>
    </row>
    <row x14ac:dyDescent="0.25" r="5" customHeight="1" ht="17.25">
      <c r="A5" s="8">
        <v>45736</v>
      </c>
      <c r="B5" s="9" t="s">
        <v>11</v>
      </c>
      <c r="C5" s="6">
        <v>3</v>
      </c>
      <c r="D5" s="2"/>
      <c r="E5" s="6">
        <f>E4+C5-D5</f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1.14785714285714" customWidth="1" bestFit="1"/>
    <col min="3" max="3" style="13" width="10.862142857142858" customWidth="1" bestFit="1"/>
    <col min="4" max="4" style="13" width="7.147857142857143" customWidth="1" bestFit="1"/>
    <col min="5" max="5" style="12" width="6.862142857142857" customWidth="1" bestFit="1"/>
    <col min="6" max="6" style="11" width="12.43357142857143" customWidth="1" bestFit="1"/>
  </cols>
  <sheetData>
    <row x14ac:dyDescent="0.25" r="1" customHeight="1" ht="17.25">
      <c r="A1" s="1" t="s">
        <v>226</v>
      </c>
      <c r="B1" s="2"/>
      <c r="C1" s="4"/>
      <c r="D1" s="4"/>
      <c r="E1" s="3"/>
      <c r="F1" s="2"/>
    </row>
    <row x14ac:dyDescent="0.25" r="2" customHeight="1" ht="17.25">
      <c r="A2" s="1"/>
      <c r="B2" s="2"/>
      <c r="C2" s="4"/>
      <c r="D2" s="4"/>
      <c r="E2" s="3"/>
      <c r="F2" s="2"/>
    </row>
    <row x14ac:dyDescent="0.25" r="3" customHeight="1" ht="17.25">
      <c r="A3" s="7">
        <v>45658</v>
      </c>
      <c r="B3" s="2" t="s">
        <v>1</v>
      </c>
      <c r="C3" s="4"/>
      <c r="D3" s="4"/>
      <c r="E3" s="6">
        <v>464</v>
      </c>
      <c r="F3" s="2"/>
    </row>
    <row x14ac:dyDescent="0.25" r="4" customHeight="1" ht="17.25">
      <c r="A4" s="8">
        <v>45707</v>
      </c>
      <c r="B4" s="9" t="s">
        <v>227</v>
      </c>
      <c r="C4" s="4"/>
      <c r="D4" s="6">
        <v>5</v>
      </c>
      <c r="E4" s="6">
        <f>E3+C4-D4</f>
      </c>
      <c r="F4" s="2"/>
    </row>
    <row x14ac:dyDescent="0.25" r="5" customHeight="1" ht="17.25">
      <c r="A5" s="7">
        <v>45730</v>
      </c>
      <c r="B5" s="2" t="s">
        <v>179</v>
      </c>
      <c r="C5" s="6">
        <v>285</v>
      </c>
      <c r="D5" s="4"/>
      <c r="E5" s="6">
        <f>E4+C5-D5</f>
      </c>
      <c r="F5" s="2"/>
    </row>
    <row x14ac:dyDescent="0.25" r="6" customHeight="1" ht="17.25">
      <c r="A6" s="8">
        <v>45733</v>
      </c>
      <c r="B6" s="9" t="s">
        <v>11</v>
      </c>
      <c r="C6" s="6">
        <v>4</v>
      </c>
      <c r="D6" s="4"/>
      <c r="E6" s="6">
        <f>E5+C6-D6</f>
      </c>
      <c r="F6" s="2"/>
    </row>
    <row x14ac:dyDescent="0.25" r="7" customHeight="1" ht="17.25">
      <c r="A7" s="7">
        <v>45818</v>
      </c>
      <c r="B7" s="2" t="s">
        <v>179</v>
      </c>
      <c r="C7" s="6">
        <v>225</v>
      </c>
      <c r="D7" s="4"/>
      <c r="E7" s="6">
        <f>E6+C7-D7</f>
      </c>
      <c r="F7" s="2"/>
    </row>
    <row x14ac:dyDescent="0.25" r="8" customHeight="1" ht="17.25">
      <c r="A8" s="7">
        <v>45836</v>
      </c>
      <c r="B8" s="9" t="s">
        <v>179</v>
      </c>
      <c r="C8" s="4"/>
      <c r="D8" s="6">
        <v>468</v>
      </c>
      <c r="E8" s="6">
        <f>E7+C8-D8</f>
      </c>
      <c r="F8" s="2"/>
    </row>
    <row x14ac:dyDescent="0.25" r="9" customHeight="1" ht="17.25">
      <c r="A9" s="7">
        <v>45840</v>
      </c>
      <c r="B9" s="2" t="s">
        <v>179</v>
      </c>
      <c r="C9" s="6">
        <v>468</v>
      </c>
      <c r="D9" s="4"/>
      <c r="E9" s="6">
        <f>E8+C9-D9</f>
      </c>
      <c r="F9" s="2"/>
    </row>
    <row x14ac:dyDescent="0.25" r="10" customHeight="1" ht="17.25">
      <c r="A10" s="7">
        <v>45849</v>
      </c>
      <c r="B10" s="9" t="s">
        <v>228</v>
      </c>
      <c r="C10" s="4"/>
      <c r="D10" s="6">
        <v>66</v>
      </c>
      <c r="E10" s="6">
        <f>E9+C10-D10</f>
      </c>
      <c r="F10" s="2"/>
    </row>
    <row x14ac:dyDescent="0.25" r="11" customHeight="1" ht="17.25">
      <c r="A11" s="7">
        <v>45887</v>
      </c>
      <c r="B11" s="2" t="s">
        <v>26</v>
      </c>
      <c r="C11" s="4"/>
      <c r="D11" s="6">
        <v>865</v>
      </c>
      <c r="E11" s="6">
        <f>E10+C11-D11</f>
      </c>
      <c r="F11" s="2"/>
    </row>
    <row x14ac:dyDescent="0.25" r="12" customHeight="1" ht="17.25">
      <c r="A12" s="7">
        <v>45891</v>
      </c>
      <c r="B12" s="9" t="s">
        <v>179</v>
      </c>
      <c r="C12" s="6">
        <v>193</v>
      </c>
      <c r="D12" s="4"/>
      <c r="E12" s="6">
        <f>E11+C12-D12</f>
      </c>
      <c r="F12" s="2"/>
    </row>
    <row x14ac:dyDescent="0.25" r="13" customHeight="1" ht="17.25">
      <c r="A13" s="8">
        <v>45909</v>
      </c>
      <c r="B13" s="9" t="s">
        <v>179</v>
      </c>
      <c r="C13" s="6">
        <v>13</v>
      </c>
      <c r="D13" s="4"/>
      <c r="E13" s="6">
        <f>E12+C13-D13</f>
      </c>
      <c r="F13" s="2"/>
    </row>
    <row x14ac:dyDescent="0.25" r="14" customHeight="1" ht="17.25">
      <c r="A14" s="8">
        <v>45913</v>
      </c>
      <c r="B14" s="9" t="s">
        <v>26</v>
      </c>
      <c r="C14" s="6">
        <v>406</v>
      </c>
      <c r="D14" s="4"/>
      <c r="E14" s="6">
        <f>E13+C14-D14</f>
      </c>
      <c r="F14" s="2"/>
    </row>
    <row x14ac:dyDescent="0.25" r="15" customHeight="1" ht="17.25">
      <c r="A15" s="7">
        <v>45922</v>
      </c>
      <c r="B15" s="9" t="s">
        <v>179</v>
      </c>
      <c r="C15" s="6">
        <v>32</v>
      </c>
      <c r="D15" s="4"/>
      <c r="E15" s="6">
        <f>E14+C15-D15</f>
      </c>
      <c r="F15" s="2" t="s">
        <v>229</v>
      </c>
    </row>
    <row x14ac:dyDescent="0.25" r="16" customHeight="1" ht="17.25">
      <c r="A16" s="8">
        <v>45939</v>
      </c>
      <c r="B16" s="9" t="s">
        <v>26</v>
      </c>
      <c r="C16" s="6">
        <v>157</v>
      </c>
      <c r="D16" s="4"/>
      <c r="E16" s="6">
        <f>E15+C16-D16</f>
      </c>
      <c r="F16" s="2"/>
    </row>
    <row x14ac:dyDescent="0.25" r="17" customHeight="1" ht="17.25">
      <c r="A17" s="7">
        <v>45940</v>
      </c>
      <c r="B17" s="9" t="s">
        <v>228</v>
      </c>
      <c r="C17" s="6">
        <v>12</v>
      </c>
      <c r="D17" s="4"/>
      <c r="E17" s="6">
        <f>E16+C17-D17</f>
      </c>
      <c r="F17" s="2"/>
    </row>
    <row x14ac:dyDescent="0.25" r="18" customHeight="1" ht="17.25">
      <c r="A18" s="7">
        <v>45940</v>
      </c>
      <c r="B18" s="9" t="s">
        <v>26</v>
      </c>
      <c r="C18" s="6">
        <v>194</v>
      </c>
      <c r="D18" s="4"/>
      <c r="E18" s="6">
        <f>E17+C18-D18</f>
      </c>
      <c r="F18" s="2"/>
    </row>
    <row x14ac:dyDescent="0.25" r="19" customHeight="1" ht="17.25">
      <c r="A19" s="7">
        <v>45942</v>
      </c>
      <c r="B19" s="9" t="s">
        <v>26</v>
      </c>
      <c r="C19" s="6">
        <v>288</v>
      </c>
      <c r="D19" s="4"/>
      <c r="E19" s="6">
        <f>E18+C19-D19</f>
      </c>
      <c r="F19" s="2"/>
    </row>
    <row x14ac:dyDescent="0.25" r="20" customHeight="1" ht="17.25">
      <c r="A20" s="7">
        <v>45965</v>
      </c>
      <c r="B20" s="2" t="s">
        <v>184</v>
      </c>
      <c r="C20" s="6">
        <v>44</v>
      </c>
      <c r="D20" s="4"/>
      <c r="E20" s="6">
        <f>E19+C20-D20</f>
      </c>
      <c r="F20" s="2"/>
    </row>
    <row x14ac:dyDescent="0.25" r="21" customHeight="1" ht="17.25">
      <c r="A21" s="7">
        <v>45969</v>
      </c>
      <c r="B21" s="9" t="s">
        <v>184</v>
      </c>
      <c r="C21" s="6">
        <v>11</v>
      </c>
      <c r="D21" s="4"/>
      <c r="E21" s="6">
        <f>E20+C21-D21</f>
      </c>
      <c r="F21" s="2"/>
    </row>
    <row x14ac:dyDescent="0.25" r="22" customHeight="1" ht="17.25">
      <c r="A22" s="8">
        <v>45978</v>
      </c>
      <c r="B22" s="9" t="s">
        <v>179</v>
      </c>
      <c r="C22" s="6">
        <v>75</v>
      </c>
      <c r="D22" s="4"/>
      <c r="E22" s="6">
        <f>E21+C22-D22</f>
      </c>
      <c r="F22" s="2"/>
    </row>
    <row x14ac:dyDescent="0.25" r="23" customHeight="1" ht="17.25">
      <c r="A23" s="7">
        <v>45985</v>
      </c>
      <c r="B23" s="9" t="s">
        <v>26</v>
      </c>
      <c r="C23" s="6">
        <v>110</v>
      </c>
      <c r="D23" s="4"/>
      <c r="E23" s="6">
        <f>E22+C23-D23</f>
      </c>
      <c r="F23" s="2"/>
    </row>
    <row x14ac:dyDescent="0.25" r="24" customHeight="1" ht="17.25">
      <c r="A24" s="7">
        <v>45987</v>
      </c>
      <c r="B24" s="9" t="s">
        <v>228</v>
      </c>
      <c r="C24" s="6">
        <v>8</v>
      </c>
      <c r="D24" s="4"/>
      <c r="E24" s="6">
        <f>E23+C24-D24</f>
      </c>
      <c r="F24" s="2"/>
    </row>
    <row x14ac:dyDescent="0.25" r="25" customHeight="1" ht="17.25">
      <c r="A25" s="7">
        <v>45985</v>
      </c>
      <c r="B25" s="9" t="s">
        <v>26</v>
      </c>
      <c r="C25" s="4"/>
      <c r="D25" s="6">
        <v>100</v>
      </c>
      <c r="E25" s="6">
        <f>E24+C25-D25</f>
      </c>
      <c r="F25" s="2"/>
    </row>
    <row x14ac:dyDescent="0.25" r="26" customHeight="1" ht="17.25">
      <c r="A26" s="1"/>
      <c r="B26" s="2"/>
      <c r="C26" s="4"/>
      <c r="D26" s="4"/>
      <c r="E26" s="6">
        <f>E25+C26-D26</f>
      </c>
      <c r="F26" s="2"/>
    </row>
    <row x14ac:dyDescent="0.25" r="27" customHeight="1" ht="17.25">
      <c r="A27" s="1"/>
      <c r="B27" s="2"/>
      <c r="C27" s="4"/>
      <c r="D27" s="4"/>
      <c r="E27" s="6">
        <f>E26+C27-D27</f>
      </c>
      <c r="F27" s="2"/>
    </row>
    <row x14ac:dyDescent="0.25" r="28" customHeight="1" ht="17.25">
      <c r="A28" s="1"/>
      <c r="B28" s="2"/>
      <c r="C28" s="4"/>
      <c r="D28" s="4"/>
      <c r="E28" s="6">
        <f>E27+C28-D28</f>
      </c>
      <c r="F28" s="2"/>
    </row>
    <row x14ac:dyDescent="0.25" r="29" customHeight="1" ht="17.25">
      <c r="A29" s="1"/>
      <c r="B29" s="2"/>
      <c r="C29" s="4"/>
      <c r="D29" s="4"/>
      <c r="E29" s="6">
        <f>E28+C29-D29</f>
      </c>
      <c r="F29" s="2"/>
    </row>
    <row x14ac:dyDescent="0.25" r="30" customHeight="1" ht="17.25">
      <c r="A30" s="1"/>
      <c r="B30" s="2"/>
      <c r="C30" s="4"/>
      <c r="D30" s="4"/>
      <c r="E30" s="6">
        <f>E29+C30-D30</f>
      </c>
      <c r="F30" s="2"/>
    </row>
    <row x14ac:dyDescent="0.25" r="31" customHeight="1" ht="17.25">
      <c r="A31" s="1"/>
      <c r="B31" s="2"/>
      <c r="C31" s="4"/>
      <c r="D31" s="4"/>
      <c r="E31" s="6">
        <f>E30+C31-D31</f>
      </c>
      <c r="F31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9.147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224</v>
      </c>
      <c r="B1" s="2"/>
      <c r="C1" s="3"/>
      <c r="D1" s="4"/>
      <c r="E1" s="4"/>
      <c r="F1" s="2"/>
    </row>
    <row x14ac:dyDescent="0.25" r="2" customHeight="1" ht="17.25">
      <c r="A2" s="1"/>
      <c r="B2" s="2"/>
      <c r="C2" s="3"/>
      <c r="D2" s="4"/>
      <c r="E2" s="4"/>
      <c r="F2" s="2"/>
    </row>
    <row x14ac:dyDescent="0.25" r="3" customHeight="1" ht="17.25">
      <c r="A3" s="1"/>
      <c r="B3" s="2"/>
      <c r="C3" s="3"/>
      <c r="D3" s="4"/>
      <c r="E3" s="4"/>
      <c r="F3" s="2"/>
    </row>
    <row x14ac:dyDescent="0.25" r="4" customHeight="1" ht="17.25">
      <c r="A4" s="1"/>
      <c r="B4" s="2"/>
      <c r="C4" s="3"/>
      <c r="D4" s="4"/>
      <c r="E4" s="6">
        <v>322</v>
      </c>
      <c r="F4" s="2"/>
    </row>
    <row x14ac:dyDescent="0.25" r="5" customHeight="1" ht="17.25">
      <c r="A5" s="7">
        <v>45840</v>
      </c>
      <c r="B5" s="9" t="s">
        <v>179</v>
      </c>
      <c r="C5" s="3"/>
      <c r="D5" s="6">
        <v>135</v>
      </c>
      <c r="E5" s="6">
        <f>E4+C5-D5</f>
      </c>
      <c r="F5" s="2" t="s">
        <v>225</v>
      </c>
    </row>
    <row x14ac:dyDescent="0.25" r="6" customHeight="1" ht="17.25">
      <c r="A6" s="7">
        <v>45988</v>
      </c>
      <c r="B6" s="2" t="s">
        <v>179</v>
      </c>
      <c r="C6" s="6">
        <v>129</v>
      </c>
      <c r="D6" s="4"/>
      <c r="E6" s="4"/>
      <c r="F6" s="2"/>
    </row>
    <row x14ac:dyDescent="0.25" r="7" customHeight="1" ht="17.25">
      <c r="A7" s="7">
        <v>45993</v>
      </c>
      <c r="B7" s="2" t="s">
        <v>179</v>
      </c>
      <c r="C7" s="6">
        <v>6</v>
      </c>
      <c r="D7" s="4"/>
      <c r="E7" s="4"/>
      <c r="F7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2.43357142857143" customWidth="1" bestFit="1"/>
    <col min="3" max="3" style="11" width="12.43357142857143" customWidth="1" bestFit="1"/>
    <col min="4" max="4" style="11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222</v>
      </c>
      <c r="B1" s="2"/>
      <c r="C1" s="2"/>
      <c r="D1" s="2"/>
      <c r="E1" s="3"/>
    </row>
    <row x14ac:dyDescent="0.25" r="2" customHeight="1" ht="17.25">
      <c r="A2" s="1"/>
      <c r="B2" s="2"/>
      <c r="C2" s="2"/>
      <c r="D2" s="2"/>
      <c r="E2" s="3"/>
    </row>
    <row x14ac:dyDescent="0.25" r="3" customHeight="1" ht="17.25">
      <c r="A3" s="7">
        <v>45658</v>
      </c>
      <c r="B3" s="2" t="s">
        <v>223</v>
      </c>
      <c r="C3" s="2"/>
      <c r="D3" s="2"/>
      <c r="E3" s="6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5.719285714285714" customWidth="1" bestFit="1"/>
    <col min="3" max="3" style="12" width="12.43357142857143" customWidth="1" bestFit="1"/>
    <col min="4" max="4" style="11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219</v>
      </c>
      <c r="B1" s="2"/>
      <c r="C1" s="3"/>
      <c r="D1" s="2"/>
      <c r="E1" s="4"/>
    </row>
    <row x14ac:dyDescent="0.25" r="2" customHeight="1" ht="17.25">
      <c r="A2" s="1"/>
      <c r="B2" s="2"/>
      <c r="C2" s="3"/>
      <c r="D2" s="2"/>
      <c r="E2" s="4"/>
    </row>
    <row x14ac:dyDescent="0.25" r="3" customHeight="1" ht="17.25">
      <c r="A3" s="5">
        <v>45658</v>
      </c>
      <c r="B3" s="2" t="s">
        <v>220</v>
      </c>
      <c r="C3" s="3"/>
      <c r="D3" s="2"/>
      <c r="E3" s="6">
        <v>22</v>
      </c>
    </row>
    <row x14ac:dyDescent="0.25" r="4" customHeight="1" ht="17.25">
      <c r="A4" s="7">
        <v>45664</v>
      </c>
      <c r="B4" s="2" t="s">
        <v>119</v>
      </c>
      <c r="C4" s="6">
        <v>60</v>
      </c>
      <c r="D4" s="2"/>
      <c r="E4" s="4"/>
    </row>
    <row x14ac:dyDescent="0.25" r="5" customHeight="1" ht="17.25">
      <c r="A5" s="7">
        <v>45988</v>
      </c>
      <c r="B5" s="2" t="s">
        <v>221</v>
      </c>
      <c r="C5" s="6">
        <v>25</v>
      </c>
      <c r="D5" s="2"/>
      <c r="E5" s="4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7.719285714285714" customWidth="1" bestFit="1"/>
    <col min="3" max="3" style="12" width="12.43357142857143" customWidth="1" bestFit="1"/>
    <col min="4" max="4" style="13" width="12.43357142857143" customWidth="1" bestFit="1"/>
  </cols>
  <sheetData>
    <row x14ac:dyDescent="0.25" r="1" customHeight="1" ht="17.25">
      <c r="A1" s="1" t="s">
        <v>218</v>
      </c>
      <c r="B1" s="2"/>
      <c r="C1" s="3"/>
      <c r="D1" s="4"/>
    </row>
    <row x14ac:dyDescent="0.25" r="2" customHeight="1" ht="17.25">
      <c r="A2" s="1"/>
      <c r="B2" s="2"/>
      <c r="C2" s="3"/>
      <c r="D2" s="4"/>
    </row>
    <row x14ac:dyDescent="0.25" r="3" customHeight="1" ht="17.25">
      <c r="A3" s="1"/>
      <c r="B3" s="2"/>
      <c r="C3" s="3"/>
      <c r="D3" s="4"/>
    </row>
    <row x14ac:dyDescent="0.25" r="4" customHeight="1" ht="17.25">
      <c r="A4" s="7">
        <v>45800</v>
      </c>
      <c r="B4" s="2" t="s">
        <v>206</v>
      </c>
      <c r="C4" s="3"/>
      <c r="D4" s="6">
        <v>312</v>
      </c>
    </row>
    <row x14ac:dyDescent="0.25" r="5" customHeight="1" ht="17.25">
      <c r="A5" s="7">
        <v>45811</v>
      </c>
      <c r="B5" s="2" t="s">
        <v>206</v>
      </c>
      <c r="C5" s="3"/>
      <c r="D5" s="6">
        <v>250</v>
      </c>
    </row>
    <row x14ac:dyDescent="0.25" r="6" customHeight="1" ht="17.25">
      <c r="A6" s="7">
        <v>45813</v>
      </c>
      <c r="B6" s="2" t="s">
        <v>206</v>
      </c>
      <c r="C6" s="3"/>
      <c r="D6" s="6">
        <v>30</v>
      </c>
    </row>
    <row x14ac:dyDescent="0.25" r="7" customHeight="1" ht="17.25">
      <c r="A7" s="7">
        <v>45917</v>
      </c>
      <c r="B7" s="2" t="s">
        <v>206</v>
      </c>
      <c r="C7" s="6">
        <v>100</v>
      </c>
      <c r="D7" s="4"/>
    </row>
    <row x14ac:dyDescent="0.25" r="8" customHeight="1" ht="17.25">
      <c r="A8" s="7">
        <v>45918</v>
      </c>
      <c r="B8" s="2" t="s">
        <v>206</v>
      </c>
      <c r="C8" s="6">
        <v>177</v>
      </c>
      <c r="D8" s="4"/>
    </row>
    <row x14ac:dyDescent="0.25" r="9" customHeight="1" ht="17.25">
      <c r="A9" s="7">
        <v>45945</v>
      </c>
      <c r="B9" s="2" t="s">
        <v>206</v>
      </c>
      <c r="C9" s="6">
        <v>76</v>
      </c>
      <c r="D9" s="4"/>
    </row>
    <row x14ac:dyDescent="0.25" r="10" customHeight="1" ht="17.25">
      <c r="A10" s="7">
        <v>45975</v>
      </c>
      <c r="B10" s="9" t="s">
        <v>206</v>
      </c>
      <c r="C10" s="6">
        <v>74</v>
      </c>
      <c r="D10" s="4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/>
  </sheetViews>
  <sheetFormatPr defaultRowHeight="15" x14ac:dyDescent="0.25"/>
  <cols>
    <col min="1" max="1" style="11" width="12.43357142857143" customWidth="1" bestFit="1"/>
    <col min="2" max="2" style="11" width="12.43357142857143" customWidth="1" bestFit="1"/>
    <col min="3" max="3" style="11" width="12.43357142857143" customWidth="1" bestFit="1"/>
    <col min="4" max="4" style="12" width="12.43357142857143" customWidth="1" bestFit="1"/>
  </cols>
  <sheetData>
    <row x14ac:dyDescent="0.25" r="1" customHeight="1" ht="17.25">
      <c r="A1" s="2" t="s">
        <v>217</v>
      </c>
      <c r="B1" s="2"/>
      <c r="C1" s="2"/>
      <c r="D1" s="3"/>
    </row>
    <row x14ac:dyDescent="0.25" r="2" customHeight="1" ht="17.25">
      <c r="A2" s="2"/>
      <c r="B2" s="2"/>
      <c r="C2" s="2"/>
      <c r="D2" s="3"/>
    </row>
    <row x14ac:dyDescent="0.25" r="3" customHeight="1" ht="17.25">
      <c r="A3" s="2"/>
      <c r="B3" s="2"/>
      <c r="C3" s="2"/>
      <c r="D3" s="6">
        <v>112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0.147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214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215</v>
      </c>
      <c r="C3" s="3"/>
      <c r="D3" s="4"/>
      <c r="E3" s="6">
        <v>257</v>
      </c>
    </row>
    <row x14ac:dyDescent="0.25" r="4" customHeight="1" ht="17.25">
      <c r="A4" s="7">
        <v>45849</v>
      </c>
      <c r="B4" s="2" t="s">
        <v>216</v>
      </c>
      <c r="C4" s="3"/>
      <c r="D4" s="6">
        <v>120</v>
      </c>
      <c r="E4" s="6">
        <f>E3+C4-D4</f>
      </c>
    </row>
    <row x14ac:dyDescent="0.25" r="5" customHeight="1" ht="17.25">
      <c r="A5" s="7">
        <v>45932</v>
      </c>
      <c r="B5" s="2" t="s">
        <v>184</v>
      </c>
      <c r="C5" s="6">
        <v>24</v>
      </c>
      <c r="D5" s="4"/>
      <c r="E5" s="4"/>
    </row>
    <row x14ac:dyDescent="0.25" r="6" customHeight="1" ht="17.25">
      <c r="A6" s="8">
        <v>45959</v>
      </c>
      <c r="B6" s="9" t="s">
        <v>184</v>
      </c>
      <c r="C6" s="6">
        <v>20</v>
      </c>
      <c r="D6" s="4"/>
      <c r="E6" s="4"/>
    </row>
    <row x14ac:dyDescent="0.25" r="7" customHeight="1" ht="17.25">
      <c r="A7" s="7">
        <v>45965</v>
      </c>
      <c r="B7" s="2" t="s">
        <v>184</v>
      </c>
      <c r="C7" s="6">
        <v>82</v>
      </c>
      <c r="D7" s="4"/>
      <c r="E7" s="4"/>
    </row>
    <row x14ac:dyDescent="0.25" r="8" customHeight="1" ht="17.25">
      <c r="A8" s="7">
        <v>45969</v>
      </c>
      <c r="B8" s="2" t="s">
        <v>184</v>
      </c>
      <c r="C8" s="6">
        <v>7</v>
      </c>
      <c r="D8" s="4"/>
      <c r="E8" s="4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5.576428571428572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  <col min="6" max="6" style="11" width="12.43357142857143" customWidth="1" bestFit="1"/>
    <col min="7" max="7" style="11" width="12.43357142857143" customWidth="1" bestFit="1"/>
  </cols>
  <sheetData>
    <row x14ac:dyDescent="0.25" r="1" customHeight="1" ht="17.25">
      <c r="A1" s="1" t="s">
        <v>209</v>
      </c>
      <c r="B1" s="2"/>
      <c r="C1" s="3"/>
      <c r="D1" s="4"/>
      <c r="E1" s="4"/>
      <c r="F1" s="2"/>
      <c r="G1" s="2"/>
    </row>
    <row x14ac:dyDescent="0.25" r="2" customHeight="1" ht="17.25">
      <c r="A2" s="1"/>
      <c r="B2" s="2"/>
      <c r="C2" s="3"/>
      <c r="D2" s="4"/>
      <c r="E2" s="4"/>
      <c r="F2" s="2"/>
      <c r="G2" s="2"/>
    </row>
    <row x14ac:dyDescent="0.25" r="3" customHeight="1" ht="17.25">
      <c r="A3" s="7">
        <v>45658</v>
      </c>
      <c r="B3" s="2" t="s">
        <v>1</v>
      </c>
      <c r="C3" s="3"/>
      <c r="D3" s="4"/>
      <c r="E3" s="6">
        <v>186</v>
      </c>
      <c r="F3" s="2" t="s">
        <v>210</v>
      </c>
      <c r="G3" s="2"/>
    </row>
    <row x14ac:dyDescent="0.25" r="4" customHeight="1" ht="17.25">
      <c r="A4" s="1"/>
      <c r="B4" s="2" t="s">
        <v>1</v>
      </c>
      <c r="C4" s="3"/>
      <c r="D4" s="4"/>
      <c r="E4" s="6">
        <v>1361</v>
      </c>
      <c r="F4" s="2" t="s">
        <v>211</v>
      </c>
      <c r="G4" s="2"/>
    </row>
    <row x14ac:dyDescent="0.25" r="5" customHeight="1" ht="17.25">
      <c r="A5" s="8">
        <v>45736</v>
      </c>
      <c r="B5" s="9" t="s">
        <v>11</v>
      </c>
      <c r="C5" s="6">
        <v>1</v>
      </c>
      <c r="D5" s="4"/>
      <c r="E5" s="4"/>
      <c r="F5" s="2"/>
      <c r="G5" s="2"/>
    </row>
    <row x14ac:dyDescent="0.25" r="6" customHeight="1" ht="17.25">
      <c r="A6" s="8">
        <v>45820</v>
      </c>
      <c r="B6" s="9" t="s">
        <v>181</v>
      </c>
      <c r="C6" s="3"/>
      <c r="D6" s="6">
        <v>552</v>
      </c>
      <c r="E6" s="4"/>
      <c r="F6" s="2"/>
      <c r="G6" s="2"/>
    </row>
    <row x14ac:dyDescent="0.25" r="7" customHeight="1" ht="17.25">
      <c r="A7" s="1"/>
      <c r="B7" s="2" t="s">
        <v>212</v>
      </c>
      <c r="C7" s="3"/>
      <c r="D7" s="4"/>
      <c r="E7" s="4"/>
      <c r="F7" s="2"/>
      <c r="G7" s="2"/>
    </row>
    <row x14ac:dyDescent="0.25" r="8" customHeight="1" ht="17.25">
      <c r="A8" s="7">
        <v>45821</v>
      </c>
      <c r="B8" s="2" t="s">
        <v>181</v>
      </c>
      <c r="C8" s="3"/>
      <c r="D8" s="6">
        <v>168</v>
      </c>
      <c r="E8" s="6">
        <v>0</v>
      </c>
      <c r="F8" s="2"/>
      <c r="G8" s="2"/>
    </row>
    <row x14ac:dyDescent="0.25" r="9" customHeight="1" ht="17.25">
      <c r="A9" s="7">
        <v>45822</v>
      </c>
      <c r="B9" s="2" t="s">
        <v>181</v>
      </c>
      <c r="C9" s="3"/>
      <c r="D9" s="6">
        <v>23</v>
      </c>
      <c r="E9" s="4"/>
      <c r="F9" s="2"/>
      <c r="G9" s="2" t="s">
        <v>213</v>
      </c>
    </row>
    <row x14ac:dyDescent="0.25" r="10" customHeight="1" ht="17.25">
      <c r="A10" s="7">
        <v>45915</v>
      </c>
      <c r="B10" s="2" t="s">
        <v>181</v>
      </c>
      <c r="C10" s="6">
        <v>1</v>
      </c>
      <c r="D10" s="4"/>
      <c r="E10" s="4"/>
      <c r="F10" s="2"/>
      <c r="G10" s="2"/>
    </row>
    <row x14ac:dyDescent="0.25" r="11" customHeight="1" ht="17.25">
      <c r="A11" s="8">
        <v>45939</v>
      </c>
      <c r="B11" s="9" t="s">
        <v>182</v>
      </c>
      <c r="C11" s="6">
        <v>4</v>
      </c>
      <c r="D11" s="4"/>
      <c r="E11" s="4"/>
      <c r="F11" s="2"/>
      <c r="G11" s="2"/>
    </row>
    <row x14ac:dyDescent="0.25" r="12" customHeight="1" ht="17.25">
      <c r="A12" s="8">
        <v>45948</v>
      </c>
      <c r="B12" s="9" t="s">
        <v>182</v>
      </c>
      <c r="C12" s="6">
        <v>400</v>
      </c>
      <c r="D12" s="4"/>
      <c r="E12" s="4"/>
      <c r="F12" s="2"/>
      <c r="G12" s="2"/>
    </row>
    <row x14ac:dyDescent="0.25" r="13" customHeight="1" ht="17.25">
      <c r="A13" s="7">
        <v>45951</v>
      </c>
      <c r="B13" s="2" t="s">
        <v>182</v>
      </c>
      <c r="C13" s="6">
        <v>316</v>
      </c>
      <c r="D13" s="4"/>
      <c r="E13" s="4"/>
      <c r="F13" s="2"/>
      <c r="G13" s="2"/>
    </row>
    <row x14ac:dyDescent="0.25" r="14" customHeight="1" ht="17.25">
      <c r="A14" s="7">
        <v>45959</v>
      </c>
      <c r="B14" s="2" t="s">
        <v>182</v>
      </c>
      <c r="C14" s="6">
        <v>11</v>
      </c>
      <c r="D14" s="4"/>
      <c r="E14" s="4"/>
      <c r="F14" s="2"/>
      <c r="G14" s="2"/>
    </row>
    <row x14ac:dyDescent="0.25" r="15" customHeight="1" ht="17.25">
      <c r="A15" s="8">
        <v>45979</v>
      </c>
      <c r="B15" s="9" t="s">
        <v>182</v>
      </c>
      <c r="C15" s="6">
        <v>3</v>
      </c>
      <c r="D15" s="4"/>
      <c r="E15" s="4"/>
      <c r="F15" s="2"/>
      <c r="G15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862142857142857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205</v>
      </c>
      <c r="B1" s="2"/>
      <c r="C1" s="4"/>
      <c r="D1" s="4"/>
      <c r="E1" s="3"/>
      <c r="F1" s="2"/>
    </row>
    <row x14ac:dyDescent="0.25" r="2" customHeight="1" ht="17.25">
      <c r="A2" s="1"/>
      <c r="B2" s="2"/>
      <c r="C2" s="4"/>
      <c r="D2" s="4"/>
      <c r="E2" s="3"/>
      <c r="F2" s="2"/>
    </row>
    <row x14ac:dyDescent="0.25" r="3" customHeight="1" ht="17.25">
      <c r="A3" s="5">
        <v>45658</v>
      </c>
      <c r="B3" s="2" t="s">
        <v>1</v>
      </c>
      <c r="C3" s="4"/>
      <c r="D3" s="4"/>
      <c r="E3" s="14">
        <v>7192</v>
      </c>
      <c r="F3" s="2"/>
    </row>
    <row x14ac:dyDescent="0.25" r="4" customHeight="1" ht="17.25">
      <c r="A4" s="7">
        <v>45659</v>
      </c>
      <c r="B4" s="2" t="s">
        <v>118</v>
      </c>
      <c r="C4" s="4"/>
      <c r="D4" s="6">
        <v>25</v>
      </c>
      <c r="E4" s="6">
        <f>E3+C4-D4</f>
      </c>
      <c r="F4" s="2"/>
    </row>
    <row x14ac:dyDescent="0.25" r="5" customHeight="1" ht="17.25">
      <c r="A5" s="8">
        <v>45660</v>
      </c>
      <c r="B5" s="9" t="s">
        <v>11</v>
      </c>
      <c r="C5" s="6">
        <v>33</v>
      </c>
      <c r="D5" s="4"/>
      <c r="E5" s="6">
        <f>E4+C5-D5</f>
      </c>
      <c r="F5" s="2"/>
    </row>
    <row x14ac:dyDescent="0.25" r="6" customHeight="1" ht="17.25">
      <c r="A6" s="8">
        <v>45670</v>
      </c>
      <c r="B6" s="9" t="s">
        <v>31</v>
      </c>
      <c r="C6" s="6">
        <v>19</v>
      </c>
      <c r="D6" s="4"/>
      <c r="E6" s="6">
        <f>E5+C6-D6</f>
      </c>
      <c r="F6" s="2"/>
    </row>
    <row x14ac:dyDescent="0.25" r="7" customHeight="1" ht="17.25">
      <c r="A7" s="7">
        <v>45678</v>
      </c>
      <c r="B7" s="2" t="s">
        <v>128</v>
      </c>
      <c r="C7" s="6">
        <v>5</v>
      </c>
      <c r="D7" s="4"/>
      <c r="E7" s="6">
        <f>E6+C7-D7</f>
      </c>
      <c r="F7" s="2"/>
    </row>
    <row x14ac:dyDescent="0.25" r="8" customHeight="1" ht="17.25">
      <c r="A8" s="7">
        <v>45702</v>
      </c>
      <c r="B8" s="2" t="s">
        <v>11</v>
      </c>
      <c r="C8" s="6">
        <v>17</v>
      </c>
      <c r="D8" s="4"/>
      <c r="E8" s="6">
        <f>E7+C8-D8</f>
      </c>
      <c r="F8" s="2"/>
    </row>
    <row x14ac:dyDescent="0.25" r="9" customHeight="1" ht="17.25">
      <c r="A9" s="7">
        <v>45705</v>
      </c>
      <c r="B9" s="2" t="s">
        <v>128</v>
      </c>
      <c r="C9" s="6">
        <v>2</v>
      </c>
      <c r="D9" s="4"/>
      <c r="E9" s="6">
        <f>E8+C9-D9</f>
      </c>
      <c r="F9" s="2"/>
    </row>
    <row x14ac:dyDescent="0.25" r="10" customHeight="1" ht="17.25">
      <c r="A10" s="7">
        <v>45710</v>
      </c>
      <c r="B10" s="2" t="s">
        <v>11</v>
      </c>
      <c r="C10" s="6">
        <v>11</v>
      </c>
      <c r="D10" s="4"/>
      <c r="E10" s="6">
        <f>E9+C10-D10</f>
      </c>
      <c r="F10" s="2"/>
    </row>
    <row x14ac:dyDescent="0.25" r="11" customHeight="1" ht="17.25">
      <c r="A11" s="8">
        <v>45714</v>
      </c>
      <c r="B11" s="9" t="s">
        <v>128</v>
      </c>
      <c r="C11" s="6">
        <v>14</v>
      </c>
      <c r="D11" s="4"/>
      <c r="E11" s="6">
        <f>E10+C11-D11</f>
      </c>
      <c r="F11" s="2"/>
    </row>
    <row x14ac:dyDescent="0.25" r="12" customHeight="1" ht="17.25">
      <c r="A12" s="7">
        <v>45722</v>
      </c>
      <c r="B12" s="2" t="s">
        <v>28</v>
      </c>
      <c r="C12" s="4"/>
      <c r="D12" s="6">
        <v>100</v>
      </c>
      <c r="E12" s="6">
        <f>E11+C12-D12</f>
      </c>
      <c r="F12" s="2"/>
    </row>
    <row x14ac:dyDescent="0.25" r="13" customHeight="1" ht="17.25">
      <c r="A13" s="8">
        <v>45733</v>
      </c>
      <c r="B13" s="9" t="s">
        <v>11</v>
      </c>
      <c r="C13" s="6">
        <v>13</v>
      </c>
      <c r="D13" s="4"/>
      <c r="E13" s="6">
        <f>E12+C13-D13</f>
      </c>
      <c r="F13" s="2"/>
    </row>
    <row x14ac:dyDescent="0.25" r="14" customHeight="1" ht="17.25">
      <c r="A14" s="8">
        <v>45738</v>
      </c>
      <c r="B14" s="9" t="s">
        <v>35</v>
      </c>
      <c r="C14" s="6">
        <v>8</v>
      </c>
      <c r="D14" s="4"/>
      <c r="E14" s="6">
        <f>E13+C14-D14</f>
      </c>
      <c r="F14" s="2"/>
    </row>
    <row x14ac:dyDescent="0.25" r="15" customHeight="1" ht="17.25">
      <c r="A15" s="8">
        <v>45741</v>
      </c>
      <c r="B15" s="9" t="s">
        <v>119</v>
      </c>
      <c r="C15" s="6">
        <v>2</v>
      </c>
      <c r="D15" s="4"/>
      <c r="E15" s="6">
        <f>E14+C15-D15</f>
      </c>
      <c r="F15" s="2"/>
    </row>
    <row x14ac:dyDescent="0.25" r="16" customHeight="1" ht="17.25">
      <c r="A16" s="7">
        <v>45787</v>
      </c>
      <c r="B16" s="9" t="s">
        <v>28</v>
      </c>
      <c r="C16" s="4"/>
      <c r="D16" s="6">
        <v>250</v>
      </c>
      <c r="E16" s="6">
        <f>E15+C16-D16</f>
      </c>
      <c r="F16" s="2"/>
    </row>
    <row x14ac:dyDescent="0.25" r="17" customHeight="1" ht="17.25">
      <c r="A17" s="7">
        <v>45792</v>
      </c>
      <c r="B17" s="9" t="s">
        <v>180</v>
      </c>
      <c r="C17" s="4"/>
      <c r="D17" s="6">
        <v>80</v>
      </c>
      <c r="E17" s="6">
        <f>E16+C17-D17</f>
      </c>
      <c r="F17" s="2"/>
    </row>
    <row x14ac:dyDescent="0.25" r="18" customHeight="1" ht="17.25">
      <c r="A18" s="7">
        <v>45796</v>
      </c>
      <c r="B18" s="9" t="s">
        <v>180</v>
      </c>
      <c r="C18" s="4"/>
      <c r="D18" s="6">
        <v>100</v>
      </c>
      <c r="E18" s="6">
        <f>E17+C18-D18</f>
      </c>
      <c r="F18" s="2"/>
    </row>
    <row x14ac:dyDescent="0.25" r="19" customHeight="1" ht="17.25">
      <c r="A19" s="7">
        <v>45797</v>
      </c>
      <c r="B19" s="9" t="s">
        <v>180</v>
      </c>
      <c r="C19" s="4"/>
      <c r="D19" s="6">
        <v>300</v>
      </c>
      <c r="E19" s="6">
        <f>E18+C19-D19</f>
      </c>
      <c r="F19" s="2"/>
    </row>
    <row x14ac:dyDescent="0.25" r="20" customHeight="1" ht="17.25">
      <c r="A20" s="7">
        <v>45800</v>
      </c>
      <c r="B20" s="9" t="s">
        <v>206</v>
      </c>
      <c r="C20" s="4"/>
      <c r="D20" s="6">
        <v>300</v>
      </c>
      <c r="E20" s="6">
        <f>E19+C20-D20</f>
      </c>
      <c r="F20" s="2"/>
    </row>
    <row x14ac:dyDescent="0.25" r="21" customHeight="1" ht="17.25">
      <c r="A21" s="7">
        <v>45811</v>
      </c>
      <c r="B21" s="9" t="s">
        <v>206</v>
      </c>
      <c r="C21" s="4"/>
      <c r="D21" s="6">
        <v>400</v>
      </c>
      <c r="E21" s="6">
        <f>E20+C21-D21</f>
      </c>
      <c r="F21" s="2"/>
    </row>
    <row x14ac:dyDescent="0.25" r="22" customHeight="1" ht="17.25">
      <c r="A22" s="7">
        <v>45813</v>
      </c>
      <c r="B22" s="9" t="s">
        <v>206</v>
      </c>
      <c r="C22" s="4"/>
      <c r="D22" s="6">
        <v>1000</v>
      </c>
      <c r="E22" s="6">
        <f>E21+C22-D22</f>
      </c>
      <c r="F22" s="2"/>
    </row>
    <row x14ac:dyDescent="0.25" r="23" customHeight="1" ht="17.25">
      <c r="A23" s="7">
        <v>45815</v>
      </c>
      <c r="B23" s="9" t="s">
        <v>206</v>
      </c>
      <c r="C23" s="4"/>
      <c r="D23" s="6">
        <v>2000</v>
      </c>
      <c r="E23" s="6">
        <f>E22+C23-D23</f>
      </c>
      <c r="F23" s="2"/>
    </row>
    <row x14ac:dyDescent="0.25" r="24" customHeight="1" ht="17.25">
      <c r="A24" s="7">
        <v>45815</v>
      </c>
      <c r="B24" s="9" t="s">
        <v>206</v>
      </c>
      <c r="C24" s="4"/>
      <c r="D24" s="6">
        <v>1710</v>
      </c>
      <c r="E24" s="6">
        <f>E23+C24-D24</f>
      </c>
      <c r="F24" s="2" t="s">
        <v>207</v>
      </c>
    </row>
    <row x14ac:dyDescent="0.25" r="25" customHeight="1" ht="17.25">
      <c r="A25" s="7">
        <v>45840</v>
      </c>
      <c r="B25" s="9" t="s">
        <v>180</v>
      </c>
      <c r="C25" s="6">
        <v>13</v>
      </c>
      <c r="D25" s="4"/>
      <c r="E25" s="6">
        <f>E24+C25-D25</f>
      </c>
      <c r="F25" s="2"/>
    </row>
    <row x14ac:dyDescent="0.25" r="26" customHeight="1" ht="17.25">
      <c r="A26" s="8">
        <v>45841</v>
      </c>
      <c r="B26" s="9" t="s">
        <v>180</v>
      </c>
      <c r="C26" s="6">
        <v>1</v>
      </c>
      <c r="D26" s="4"/>
      <c r="E26" s="6">
        <f>E25+C26-D26</f>
      </c>
      <c r="F26" s="2"/>
    </row>
    <row x14ac:dyDescent="0.25" r="27" customHeight="1" ht="17.25">
      <c r="A27" s="8">
        <v>45845</v>
      </c>
      <c r="B27" s="9" t="s">
        <v>28</v>
      </c>
      <c r="C27" s="4"/>
      <c r="D27" s="6">
        <v>38</v>
      </c>
      <c r="E27" s="6">
        <f>E26+C27-D27</f>
      </c>
      <c r="F27" s="2"/>
    </row>
    <row x14ac:dyDescent="0.25" r="28" customHeight="1" ht="17.25">
      <c r="A28" s="8">
        <v>45845</v>
      </c>
      <c r="B28" s="9" t="s">
        <v>28</v>
      </c>
      <c r="C28" s="4"/>
      <c r="D28" s="6">
        <v>37</v>
      </c>
      <c r="E28" s="6">
        <f>E27+C28-D28</f>
      </c>
      <c r="F28" s="2"/>
    </row>
    <row x14ac:dyDescent="0.25" r="29" customHeight="1" ht="17.25">
      <c r="A29" s="7">
        <v>45846</v>
      </c>
      <c r="B29" s="9" t="s">
        <v>28</v>
      </c>
      <c r="C29" s="4"/>
      <c r="D29" s="6">
        <v>45</v>
      </c>
      <c r="E29" s="6">
        <f>E28+C29-D29</f>
      </c>
      <c r="F29" s="2"/>
    </row>
    <row x14ac:dyDescent="0.25" r="30" customHeight="1" ht="17.25">
      <c r="A30" s="8">
        <v>45874</v>
      </c>
      <c r="B30" s="9" t="s">
        <v>180</v>
      </c>
      <c r="C30" s="4"/>
      <c r="D30" s="6">
        <v>104</v>
      </c>
      <c r="E30" s="6">
        <f>E29+C30-D30</f>
      </c>
      <c r="F30" s="2"/>
    </row>
    <row x14ac:dyDescent="0.25" r="31" customHeight="1" ht="17.25">
      <c r="A31" s="7">
        <v>45878</v>
      </c>
      <c r="B31" s="9" t="s">
        <v>180</v>
      </c>
      <c r="C31" s="4"/>
      <c r="D31" s="6">
        <v>60</v>
      </c>
      <c r="E31" s="6">
        <f>E30+C31-D31</f>
      </c>
      <c r="F31" s="2"/>
    </row>
    <row x14ac:dyDescent="0.25" r="32" customHeight="1" ht="17.25">
      <c r="A32" s="7">
        <v>45879</v>
      </c>
      <c r="B32" s="9" t="s">
        <v>26</v>
      </c>
      <c r="C32" s="4"/>
      <c r="D32" s="6">
        <v>133</v>
      </c>
      <c r="E32" s="6">
        <f>E31+C32-D32</f>
      </c>
      <c r="F32" s="2"/>
    </row>
    <row x14ac:dyDescent="0.25" r="33" customHeight="1" ht="17.25">
      <c r="A33" s="7">
        <v>45880</v>
      </c>
      <c r="B33" s="9" t="s">
        <v>26</v>
      </c>
      <c r="C33" s="4"/>
      <c r="D33" s="6">
        <v>145</v>
      </c>
      <c r="E33" s="6">
        <f>E32+C33-D33</f>
      </c>
      <c r="F33" s="2"/>
    </row>
    <row x14ac:dyDescent="0.25" r="34" customHeight="1" ht="17.25">
      <c r="A34" s="7">
        <v>45880</v>
      </c>
      <c r="B34" s="9" t="s">
        <v>28</v>
      </c>
      <c r="C34" s="6">
        <v>17</v>
      </c>
      <c r="D34" s="4"/>
      <c r="E34" s="6">
        <f>E33+C34-D34</f>
      </c>
      <c r="F34" s="2"/>
    </row>
    <row x14ac:dyDescent="0.25" r="35" customHeight="1" ht="17.25">
      <c r="A35" s="7">
        <v>45881</v>
      </c>
      <c r="B35" s="9" t="s">
        <v>26</v>
      </c>
      <c r="C35" s="4"/>
      <c r="D35" s="6">
        <v>150</v>
      </c>
      <c r="E35" s="6">
        <f>E34+C35-D35</f>
      </c>
      <c r="F35" s="2"/>
    </row>
    <row x14ac:dyDescent="0.25" r="36" customHeight="1" ht="17.25">
      <c r="A36" s="8">
        <v>45881</v>
      </c>
      <c r="B36" s="9" t="s">
        <v>28</v>
      </c>
      <c r="C36" s="6">
        <v>67</v>
      </c>
      <c r="D36" s="4"/>
      <c r="E36" s="6">
        <f>E35+C36-D36</f>
      </c>
      <c r="F36" s="2"/>
    </row>
    <row x14ac:dyDescent="0.25" r="37" customHeight="1" ht="17.25">
      <c r="A37" s="7">
        <v>45882</v>
      </c>
      <c r="B37" s="9" t="s">
        <v>26</v>
      </c>
      <c r="C37" s="4"/>
      <c r="D37" s="6">
        <v>135</v>
      </c>
      <c r="E37" s="6">
        <f>E36+C37-D37</f>
      </c>
      <c r="F37" s="2"/>
    </row>
    <row x14ac:dyDescent="0.25" r="38" customHeight="1" ht="17.25">
      <c r="A38" s="7">
        <v>45883</v>
      </c>
      <c r="B38" s="9" t="s">
        <v>26</v>
      </c>
      <c r="C38" s="4"/>
      <c r="D38" s="6">
        <v>232</v>
      </c>
      <c r="E38" s="6">
        <f>E37+C38-D38</f>
      </c>
      <c r="F38" s="2"/>
    </row>
    <row x14ac:dyDescent="0.25" r="39" customHeight="1" ht="17.25">
      <c r="A39" s="7">
        <v>45883</v>
      </c>
      <c r="B39" s="9" t="s">
        <v>28</v>
      </c>
      <c r="C39" s="6">
        <v>49</v>
      </c>
      <c r="D39" s="4"/>
      <c r="E39" s="6">
        <f>E38+C39-D39</f>
      </c>
      <c r="F39" s="2"/>
    </row>
    <row x14ac:dyDescent="0.25" r="40" customHeight="1" ht="17.25">
      <c r="A40" s="8">
        <v>45885</v>
      </c>
      <c r="B40" s="9" t="s">
        <v>28</v>
      </c>
      <c r="C40" s="6">
        <v>9</v>
      </c>
      <c r="D40" s="4"/>
      <c r="E40" s="6">
        <f>E39+C40-D40</f>
      </c>
      <c r="F40" s="2"/>
    </row>
    <row x14ac:dyDescent="0.25" r="41" customHeight="1" ht="17.25">
      <c r="A41" s="7">
        <v>45888</v>
      </c>
      <c r="B41" s="9" t="s">
        <v>180</v>
      </c>
      <c r="C41" s="6">
        <v>5</v>
      </c>
      <c r="D41" s="4"/>
      <c r="E41" s="6">
        <f>E40+C41-D41</f>
      </c>
      <c r="F41" s="2"/>
    </row>
    <row x14ac:dyDescent="0.25" r="42" customHeight="1" ht="17.25">
      <c r="A42" s="7">
        <v>45888</v>
      </c>
      <c r="B42" s="9" t="s">
        <v>28</v>
      </c>
      <c r="C42" s="6">
        <v>11</v>
      </c>
      <c r="D42" s="4"/>
      <c r="E42" s="6">
        <f>E41+C42-D42</f>
      </c>
      <c r="F42" s="2"/>
    </row>
    <row x14ac:dyDescent="0.25" r="43" customHeight="1" ht="17.25">
      <c r="A43" s="7">
        <v>45890</v>
      </c>
      <c r="B43" s="9" t="s">
        <v>26</v>
      </c>
      <c r="C43" s="4"/>
      <c r="D43" s="6">
        <v>130</v>
      </c>
      <c r="E43" s="6">
        <f>E42+C43-D43</f>
      </c>
      <c r="F43" s="2"/>
    </row>
    <row x14ac:dyDescent="0.25" r="44" customHeight="1" ht="17.25">
      <c r="A44" s="8">
        <v>45891</v>
      </c>
      <c r="B44" s="9" t="s">
        <v>26</v>
      </c>
      <c r="C44" s="4"/>
      <c r="D44" s="6">
        <v>250</v>
      </c>
      <c r="E44" s="6">
        <f>E43+C44-D44</f>
      </c>
      <c r="F44" s="2"/>
    </row>
    <row x14ac:dyDescent="0.25" r="45" customHeight="1" ht="17.25">
      <c r="A45" s="8">
        <v>45891</v>
      </c>
      <c r="B45" s="9" t="s">
        <v>28</v>
      </c>
      <c r="C45" s="6">
        <v>95</v>
      </c>
      <c r="D45" s="4"/>
      <c r="E45" s="6">
        <f>E44+C45-D45</f>
      </c>
      <c r="F45" s="2"/>
    </row>
    <row x14ac:dyDescent="0.25" r="46" customHeight="1" ht="17.25">
      <c r="A46" s="7">
        <v>45894</v>
      </c>
      <c r="B46" s="9" t="s">
        <v>28</v>
      </c>
      <c r="C46" s="6">
        <v>2</v>
      </c>
      <c r="D46" s="4"/>
      <c r="E46" s="6">
        <f>E45+C46-D46</f>
      </c>
      <c r="F46" s="2"/>
    </row>
    <row x14ac:dyDescent="0.25" r="47" customHeight="1" ht="17.25">
      <c r="A47" s="7">
        <v>45895</v>
      </c>
      <c r="B47" s="9" t="s">
        <v>28</v>
      </c>
      <c r="C47" s="6">
        <v>103</v>
      </c>
      <c r="D47" s="4"/>
      <c r="E47" s="6">
        <f>E46+C47-D47</f>
      </c>
      <c r="F47" s="2"/>
    </row>
    <row x14ac:dyDescent="0.25" r="48" customHeight="1" ht="17.25">
      <c r="A48" s="8">
        <v>45897</v>
      </c>
      <c r="B48" s="9" t="s">
        <v>28</v>
      </c>
      <c r="C48" s="6">
        <v>108</v>
      </c>
      <c r="D48" s="4"/>
      <c r="E48" s="6">
        <v>108</v>
      </c>
      <c r="F48" s="2"/>
    </row>
    <row x14ac:dyDescent="0.25" r="49" customHeight="1" ht="17.25">
      <c r="A49" s="7">
        <v>45930</v>
      </c>
      <c r="B49" s="9" t="s">
        <v>26</v>
      </c>
      <c r="C49" s="6">
        <v>300</v>
      </c>
      <c r="D49" s="4"/>
      <c r="E49" s="6">
        <f>E48+C49-D49</f>
      </c>
      <c r="F49" s="2"/>
    </row>
    <row x14ac:dyDescent="0.25" r="50" customHeight="1" ht="17.25">
      <c r="A50" s="7">
        <v>45930</v>
      </c>
      <c r="B50" s="9" t="s">
        <v>180</v>
      </c>
      <c r="C50" s="6">
        <v>136</v>
      </c>
      <c r="D50" s="4"/>
      <c r="E50" s="6">
        <f>E49+C50-D50</f>
      </c>
      <c r="F50" s="2"/>
    </row>
    <row x14ac:dyDescent="0.25" r="51" customHeight="1" ht="17.25">
      <c r="A51" s="8">
        <v>45939</v>
      </c>
      <c r="B51" s="9" t="s">
        <v>26</v>
      </c>
      <c r="C51" s="6">
        <v>1</v>
      </c>
      <c r="D51" s="4"/>
      <c r="E51" s="6">
        <f>E50+C51-D51</f>
      </c>
      <c r="F51" s="2"/>
    </row>
    <row x14ac:dyDescent="0.25" r="52" customHeight="1" ht="17.25">
      <c r="A52" s="8">
        <v>45948</v>
      </c>
      <c r="B52" s="9" t="s">
        <v>26</v>
      </c>
      <c r="C52" s="6">
        <v>52</v>
      </c>
      <c r="D52" s="4"/>
      <c r="E52" s="6">
        <f>E51+C52-D52</f>
      </c>
      <c r="F52" s="2"/>
    </row>
    <row x14ac:dyDescent="0.25" r="53" customHeight="1" ht="17.25">
      <c r="A53" s="7">
        <v>45951</v>
      </c>
      <c r="B53" s="9" t="s">
        <v>26</v>
      </c>
      <c r="C53" s="6">
        <v>18</v>
      </c>
      <c r="D53" s="4"/>
      <c r="E53" s="6">
        <f>E52+C53-D53</f>
      </c>
      <c r="F53" s="2"/>
    </row>
    <row x14ac:dyDescent="0.25" r="54" customHeight="1" ht="17.25">
      <c r="A54" s="7">
        <v>45953</v>
      </c>
      <c r="B54" s="9" t="s">
        <v>26</v>
      </c>
      <c r="C54" s="6">
        <v>238</v>
      </c>
      <c r="D54" s="4"/>
      <c r="E54" s="6">
        <f>E53+C54-D54</f>
      </c>
      <c r="F54" s="2"/>
    </row>
    <row x14ac:dyDescent="0.25" r="55" customHeight="1" ht="17.25">
      <c r="A55" s="8">
        <v>45955</v>
      </c>
      <c r="B55" s="9" t="s">
        <v>26</v>
      </c>
      <c r="C55" s="6">
        <v>142</v>
      </c>
      <c r="D55" s="4"/>
      <c r="E55" s="6">
        <f>E54+C55-D55</f>
      </c>
      <c r="F55" s="2"/>
    </row>
    <row x14ac:dyDescent="0.25" r="56" customHeight="1" ht="17.25">
      <c r="A56" s="8">
        <v>45958</v>
      </c>
      <c r="B56" s="9" t="s">
        <v>26</v>
      </c>
      <c r="C56" s="6">
        <v>207</v>
      </c>
      <c r="D56" s="4"/>
      <c r="E56" s="6">
        <f>E55+C56-D56</f>
      </c>
      <c r="F56" s="2"/>
    </row>
    <row x14ac:dyDescent="0.25" r="57" customHeight="1" ht="17.25">
      <c r="A57" s="8">
        <v>45962</v>
      </c>
      <c r="B57" s="9" t="s">
        <v>26</v>
      </c>
      <c r="C57" s="6">
        <v>56</v>
      </c>
      <c r="D57" s="4"/>
      <c r="E57" s="6">
        <f>E56+C57-D57</f>
      </c>
      <c r="F57" s="2"/>
    </row>
    <row x14ac:dyDescent="0.25" r="58" customHeight="1" ht="17.25">
      <c r="A58" s="8">
        <v>45975</v>
      </c>
      <c r="B58" s="9" t="s">
        <v>206</v>
      </c>
      <c r="C58" s="6">
        <v>91</v>
      </c>
      <c r="D58" s="4"/>
      <c r="E58" s="6">
        <f>E57+C58-D58</f>
      </c>
      <c r="F58" s="2"/>
    </row>
    <row x14ac:dyDescent="0.25" r="59" customHeight="1" ht="17.25">
      <c r="A59" s="8">
        <v>45980</v>
      </c>
      <c r="B59" s="9" t="s">
        <v>26</v>
      </c>
      <c r="C59" s="6">
        <v>220</v>
      </c>
      <c r="D59" s="4"/>
      <c r="E59" s="6">
        <f>E58+C59-D59</f>
      </c>
      <c r="F59" s="2"/>
    </row>
    <row x14ac:dyDescent="0.25" r="60" customHeight="1" ht="17.25">
      <c r="A60" s="7"/>
      <c r="B60" s="9"/>
      <c r="C60" s="4"/>
      <c r="D60" s="4"/>
      <c r="E60" s="6">
        <f>E59+C60-D60</f>
      </c>
      <c r="F60" s="2"/>
    </row>
    <row x14ac:dyDescent="0.25" r="61" customHeight="1" ht="17.25">
      <c r="A61" s="7"/>
      <c r="B61" s="9"/>
      <c r="C61" s="4"/>
      <c r="D61" s="4"/>
      <c r="E61" s="6">
        <f>E60+C61-D61</f>
      </c>
      <c r="F61" s="2"/>
    </row>
    <row x14ac:dyDescent="0.25" r="62" customHeight="1" ht="17.25">
      <c r="A62" s="1"/>
      <c r="B62" s="9"/>
      <c r="C62" s="4"/>
      <c r="D62" s="4"/>
      <c r="E62" s="6">
        <f>E61+C62-D62</f>
      </c>
      <c r="F62" s="2"/>
    </row>
    <row x14ac:dyDescent="0.25" r="63" customHeight="1" ht="17.25">
      <c r="A63" s="8">
        <v>45985</v>
      </c>
      <c r="B63" s="9" t="s">
        <v>26</v>
      </c>
      <c r="C63" s="27">
        <v>8</v>
      </c>
      <c r="D63" s="4"/>
      <c r="E63" s="6">
        <f>E62+C63-D63</f>
      </c>
      <c r="F63" s="2"/>
    </row>
    <row x14ac:dyDescent="0.25" r="64" customHeight="1" ht="17.25">
      <c r="A64" s="7">
        <v>45986</v>
      </c>
      <c r="B64" s="9" t="s">
        <v>206</v>
      </c>
      <c r="C64" s="6">
        <v>622</v>
      </c>
      <c r="D64" s="4"/>
      <c r="E64" s="6">
        <f>E63+C64-D64</f>
      </c>
      <c r="F64" s="2"/>
    </row>
    <row x14ac:dyDescent="0.25" r="65" customHeight="1" ht="17.25">
      <c r="A65" s="7">
        <v>45987</v>
      </c>
      <c r="B65" s="9" t="s">
        <v>208</v>
      </c>
      <c r="C65" s="6">
        <v>27</v>
      </c>
      <c r="D65" s="4"/>
      <c r="E65" s="6">
        <f>E64+C65-D65</f>
      </c>
      <c r="F65" s="2"/>
    </row>
    <row x14ac:dyDescent="0.25" r="66" customHeight="1" ht="17.25">
      <c r="A66" s="7">
        <v>45988</v>
      </c>
      <c r="B66" s="9" t="s">
        <v>179</v>
      </c>
      <c r="C66" s="6">
        <v>34</v>
      </c>
      <c r="D66" s="4"/>
      <c r="E66" s="6">
        <f>E65+C66-D66</f>
      </c>
      <c r="F66" s="2"/>
    </row>
    <row x14ac:dyDescent="0.25" r="67" customHeight="1" ht="17.25">
      <c r="A67" s="8">
        <v>45992</v>
      </c>
      <c r="B67" s="9" t="s">
        <v>179</v>
      </c>
      <c r="C67" s="4"/>
      <c r="D67" s="6">
        <v>228</v>
      </c>
      <c r="E67" s="6">
        <f>E66+C67-D67</f>
      </c>
      <c r="F67" s="2"/>
    </row>
    <row x14ac:dyDescent="0.25" r="68" customHeight="1" ht="17.25">
      <c r="A68" s="7">
        <v>45992</v>
      </c>
      <c r="B68" s="9" t="s">
        <v>28</v>
      </c>
      <c r="C68" s="6">
        <v>1</v>
      </c>
      <c r="D68" s="4"/>
      <c r="E68" s="6">
        <f>E67+C68-D68</f>
      </c>
      <c r="F68" s="2"/>
    </row>
    <row x14ac:dyDescent="0.25" r="69" customHeight="1" ht="17.25">
      <c r="A69" s="7">
        <v>45993</v>
      </c>
      <c r="B69" s="9" t="s">
        <v>26</v>
      </c>
      <c r="C69" s="6">
        <v>1</v>
      </c>
      <c r="D69" s="4"/>
      <c r="E69" s="6">
        <f>E68+C69-D69</f>
      </c>
      <c r="F69" s="2"/>
    </row>
    <row x14ac:dyDescent="0.25" r="70" customHeight="1" ht="17.25">
      <c r="A70" s="7">
        <v>45995</v>
      </c>
      <c r="B70" s="9" t="s">
        <v>185</v>
      </c>
      <c r="C70" s="4"/>
      <c r="D70" s="6">
        <v>700</v>
      </c>
      <c r="E70" s="6">
        <f>E69+C70-D70</f>
      </c>
      <c r="F70" s="2"/>
    </row>
    <row x14ac:dyDescent="0.25" r="71" customHeight="1" ht="17.25">
      <c r="A71" s="7">
        <v>45996</v>
      </c>
      <c r="B71" s="9" t="s">
        <v>185</v>
      </c>
      <c r="C71" s="4"/>
      <c r="D71" s="6">
        <v>1000</v>
      </c>
      <c r="E71" s="6">
        <f>E70+C71-D71</f>
      </c>
      <c r="F71" s="2"/>
    </row>
    <row x14ac:dyDescent="0.25" r="72" customHeight="1" ht="17.25">
      <c r="A72" s="7">
        <v>45996</v>
      </c>
      <c r="B72" s="9" t="s">
        <v>180</v>
      </c>
      <c r="C72" s="6">
        <v>1</v>
      </c>
      <c r="D72" s="4"/>
      <c r="E72" s="6">
        <f>E71+C72-D72</f>
      </c>
      <c r="F72" s="2"/>
    </row>
    <row x14ac:dyDescent="0.25" r="73" customHeight="1" ht="17.25">
      <c r="A73" s="7"/>
      <c r="B73" s="9"/>
      <c r="C73" s="4"/>
      <c r="D73" s="4"/>
      <c r="E73" s="6">
        <f>E72+C73-D73</f>
      </c>
      <c r="F73" s="2"/>
    </row>
    <row x14ac:dyDescent="0.25" r="74" customHeight="1" ht="17.25">
      <c r="A74" s="7">
        <v>45999</v>
      </c>
      <c r="B74" s="9" t="s">
        <v>185</v>
      </c>
      <c r="C74" s="4"/>
      <c r="D74" s="6">
        <v>500</v>
      </c>
      <c r="E74" s="6">
        <f>E73+C74-D74</f>
      </c>
      <c r="F74" s="2"/>
    </row>
    <row x14ac:dyDescent="0.25" r="75" customHeight="1" ht="17.25">
      <c r="A75" s="7">
        <v>46000</v>
      </c>
      <c r="B75" s="9" t="s">
        <v>185</v>
      </c>
      <c r="C75" s="4"/>
      <c r="D75" s="6">
        <v>340</v>
      </c>
      <c r="E75" s="6">
        <f>E74+C75-D75</f>
      </c>
      <c r="F75" s="2"/>
    </row>
    <row x14ac:dyDescent="0.25" r="76" customHeight="1" ht="17.25">
      <c r="A76" s="7">
        <v>46003</v>
      </c>
      <c r="B76" s="9" t="s">
        <v>180</v>
      </c>
      <c r="C76" s="6">
        <v>24</v>
      </c>
      <c r="D76" s="4"/>
      <c r="E76" s="6">
        <f>E75+C76-D76</f>
      </c>
      <c r="F76" s="2"/>
    </row>
    <row x14ac:dyDescent="0.25" r="77" customHeight="1" ht="17.25">
      <c r="A77" s="1"/>
      <c r="B77" s="2"/>
      <c r="C77" s="4"/>
      <c r="D77" s="4"/>
      <c r="E77" s="6">
        <f>E76+C77-D77</f>
      </c>
      <c r="F77" s="2"/>
    </row>
    <row x14ac:dyDescent="0.25" r="78" customHeight="1" ht="17.25">
      <c r="A78" s="1"/>
      <c r="B78" s="2"/>
      <c r="C78" s="4"/>
      <c r="D78" s="4"/>
      <c r="E78" s="6">
        <f>E77+C78-D78</f>
      </c>
      <c r="F78" s="2"/>
    </row>
    <row x14ac:dyDescent="0.25" r="79" customHeight="1" ht="17.25">
      <c r="A79" s="1"/>
      <c r="B79" s="2"/>
      <c r="C79" s="4"/>
      <c r="D79" s="4"/>
      <c r="E79" s="6">
        <f>E78+C79-D79</f>
      </c>
      <c r="F79" s="2"/>
    </row>
    <row x14ac:dyDescent="0.25" r="80" customHeight="1" ht="17.25">
      <c r="A80" s="1"/>
      <c r="B80" s="2"/>
      <c r="C80" s="4"/>
      <c r="D80" s="4"/>
      <c r="E80" s="6">
        <f>E79+C80-D80</f>
      </c>
      <c r="F80" s="2"/>
    </row>
    <row x14ac:dyDescent="0.25" r="81" customHeight="1" ht="17.25">
      <c r="A81" s="1"/>
      <c r="B81" s="2"/>
      <c r="C81" s="4"/>
      <c r="D81" s="6">
        <v>633</v>
      </c>
      <c r="E81" s="6">
        <f>E80+C81-D81</f>
      </c>
      <c r="F81" s="2"/>
    </row>
    <row x14ac:dyDescent="0.25" r="82" customHeight="1" ht="17.25">
      <c r="A82" s="1"/>
      <c r="B82" s="2"/>
      <c r="C82" s="4"/>
      <c r="D82" s="4"/>
      <c r="E82" s="6">
        <f>E81+C82-D82</f>
      </c>
      <c r="F82" s="2"/>
    </row>
    <row x14ac:dyDescent="0.25" r="83" customHeight="1" ht="17.25">
      <c r="A83" s="1"/>
      <c r="B83" s="2"/>
      <c r="C83" s="4"/>
      <c r="D83" s="4"/>
      <c r="E83" s="6">
        <f>E82+C83-D83</f>
      </c>
      <c r="F83" s="2"/>
    </row>
    <row x14ac:dyDescent="0.25" r="84" customHeight="1" ht="17.25">
      <c r="A84" s="1"/>
      <c r="B84" s="2"/>
      <c r="C84" s="4"/>
      <c r="D84" s="4"/>
      <c r="E84" s="6">
        <f>E83+C84-D84</f>
      </c>
      <c r="F84" s="2"/>
    </row>
    <row x14ac:dyDescent="0.25" r="85" customHeight="1" ht="17.25">
      <c r="A85" s="1"/>
      <c r="B85" s="2"/>
      <c r="C85" s="4"/>
      <c r="D85" s="4"/>
      <c r="E85" s="6">
        <f>E84+C85-D85</f>
      </c>
      <c r="F85" s="2"/>
    </row>
    <row x14ac:dyDescent="0.25" r="86" customHeight="1" ht="17.25">
      <c r="A86" s="1"/>
      <c r="B86" s="2"/>
      <c r="C86" s="4"/>
      <c r="D86" s="4"/>
      <c r="E86" s="6">
        <f>E85+C86-D86</f>
      </c>
      <c r="F86" s="2"/>
    </row>
    <row x14ac:dyDescent="0.25" r="87" customHeight="1" ht="17.25">
      <c r="A87" s="1"/>
      <c r="B87" s="2"/>
      <c r="C87" s="4"/>
      <c r="D87" s="4"/>
      <c r="E87" s="6">
        <f>E86+C87-D87</f>
      </c>
      <c r="F87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8.290714285714284" customWidth="1" bestFit="1"/>
    <col min="3" max="3" style="13" width="8.719285714285713" customWidth="1" bestFit="1"/>
    <col min="4" max="4" style="12" width="10.147857142857141" customWidth="1" bestFit="1"/>
    <col min="5" max="5" style="12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202</v>
      </c>
      <c r="B1" s="2"/>
      <c r="C1" s="4"/>
      <c r="D1" s="3"/>
      <c r="E1" s="3"/>
      <c r="F1" s="2"/>
    </row>
    <row x14ac:dyDescent="0.25" r="2" customHeight="1" ht="17.25">
      <c r="A2" s="1"/>
      <c r="B2" s="2"/>
      <c r="C2" s="4"/>
      <c r="D2" s="3"/>
      <c r="E2" s="3"/>
      <c r="F2" s="2"/>
    </row>
    <row x14ac:dyDescent="0.25" r="3" customHeight="1" ht="17.25">
      <c r="A3" s="5">
        <v>45658</v>
      </c>
      <c r="B3" s="2" t="s">
        <v>1</v>
      </c>
      <c r="C3" s="4"/>
      <c r="D3" s="3"/>
      <c r="E3" s="14">
        <v>13599</v>
      </c>
      <c r="F3" s="2"/>
    </row>
    <row x14ac:dyDescent="0.25" r="4" customHeight="1" ht="17.25">
      <c r="A4" s="7">
        <v>45659</v>
      </c>
      <c r="B4" s="2" t="s">
        <v>118</v>
      </c>
      <c r="C4" s="4"/>
      <c r="D4" s="6">
        <v>100</v>
      </c>
      <c r="E4" s="6">
        <f>E3+C4-D4</f>
      </c>
      <c r="F4" s="2"/>
    </row>
    <row x14ac:dyDescent="0.25" r="5" customHeight="1" ht="17.25">
      <c r="A5" s="7">
        <v>45660</v>
      </c>
      <c r="B5" s="2" t="s">
        <v>11</v>
      </c>
      <c r="C5" s="6">
        <v>215</v>
      </c>
      <c r="D5" s="3"/>
      <c r="E5" s="6">
        <f>E4+C5-D5</f>
      </c>
      <c r="F5" s="2"/>
    </row>
    <row x14ac:dyDescent="0.25" r="6" customHeight="1" ht="17.25">
      <c r="A6" s="8">
        <v>45670</v>
      </c>
      <c r="B6" s="9" t="s">
        <v>31</v>
      </c>
      <c r="C6" s="6">
        <v>7</v>
      </c>
      <c r="D6" s="3"/>
      <c r="E6" s="6">
        <f>E5+C6-D6</f>
      </c>
      <c r="F6" s="2"/>
    </row>
    <row x14ac:dyDescent="0.25" r="7" customHeight="1" ht="17.25">
      <c r="A7" s="7">
        <v>45678</v>
      </c>
      <c r="B7" s="9" t="s">
        <v>128</v>
      </c>
      <c r="C7" s="6">
        <v>10</v>
      </c>
      <c r="D7" s="3"/>
      <c r="E7" s="6">
        <f>E6+C7-D7</f>
      </c>
      <c r="F7" s="2"/>
    </row>
    <row x14ac:dyDescent="0.25" r="8" customHeight="1" ht="17.25">
      <c r="A8" s="7">
        <v>45691</v>
      </c>
      <c r="B8" s="2" t="s">
        <v>11</v>
      </c>
      <c r="C8" s="6">
        <v>40</v>
      </c>
      <c r="D8" s="3"/>
      <c r="E8" s="6">
        <f>E7+C8-D8</f>
      </c>
      <c r="F8" s="2"/>
    </row>
    <row x14ac:dyDescent="0.25" r="9" customHeight="1" ht="17.25">
      <c r="A9" s="8">
        <v>45698</v>
      </c>
      <c r="B9" s="9" t="s">
        <v>173</v>
      </c>
      <c r="C9" s="6">
        <v>86</v>
      </c>
      <c r="D9" s="3"/>
      <c r="E9" s="6">
        <f>E8+C9-D9</f>
      </c>
      <c r="F9" s="2"/>
    </row>
    <row x14ac:dyDescent="0.25" r="10" customHeight="1" ht="17.25">
      <c r="A10" s="8">
        <v>45700</v>
      </c>
      <c r="B10" s="9" t="s">
        <v>11</v>
      </c>
      <c r="C10" s="6">
        <v>101</v>
      </c>
      <c r="D10" s="3"/>
      <c r="E10" s="6">
        <f>E9+C10-D10</f>
      </c>
      <c r="F10" s="2"/>
    </row>
    <row x14ac:dyDescent="0.25" r="11" customHeight="1" ht="17.25">
      <c r="A11" s="7">
        <v>45702</v>
      </c>
      <c r="B11" s="9" t="s">
        <v>11</v>
      </c>
      <c r="C11" s="6">
        <v>80</v>
      </c>
      <c r="D11" s="3"/>
      <c r="E11" s="6">
        <f>E10+C11-D11</f>
      </c>
      <c r="F11" s="2"/>
    </row>
    <row x14ac:dyDescent="0.25" r="12" customHeight="1" ht="17.25">
      <c r="A12" s="34">
        <v>45703</v>
      </c>
      <c r="B12" s="36" t="s">
        <v>31</v>
      </c>
      <c r="C12" s="32"/>
      <c r="D12" s="33">
        <v>349</v>
      </c>
      <c r="E12" s="33">
        <f>E11+C12-D12</f>
      </c>
      <c r="F12" s="31" t="s">
        <v>203</v>
      </c>
    </row>
    <row x14ac:dyDescent="0.25" r="13" customHeight="1" ht="17.25">
      <c r="A13" s="7">
        <v>45705</v>
      </c>
      <c r="B13" s="9" t="s">
        <v>128</v>
      </c>
      <c r="C13" s="6">
        <v>3</v>
      </c>
      <c r="D13" s="3"/>
      <c r="E13" s="6">
        <f>E12+C13-D13</f>
      </c>
      <c r="F13" s="2"/>
    </row>
    <row x14ac:dyDescent="0.25" r="14" customHeight="1" ht="17.25">
      <c r="A14" s="8">
        <v>45706</v>
      </c>
      <c r="B14" s="9" t="s">
        <v>31</v>
      </c>
      <c r="C14" s="6">
        <v>350</v>
      </c>
      <c r="D14" s="3"/>
      <c r="E14" s="6">
        <f>E13+C14-D14</f>
      </c>
      <c r="F14" s="2"/>
    </row>
    <row x14ac:dyDescent="0.25" r="15" customHeight="1" ht="17.25">
      <c r="A15" s="7">
        <v>45710</v>
      </c>
      <c r="B15" s="9" t="s">
        <v>198</v>
      </c>
      <c r="C15" s="6">
        <v>14</v>
      </c>
      <c r="D15" s="3"/>
      <c r="E15" s="6">
        <f>E14+C15-D15</f>
      </c>
      <c r="F15" s="2"/>
    </row>
    <row x14ac:dyDescent="0.25" r="16" customHeight="1" ht="17.25">
      <c r="A16" s="8">
        <v>45714</v>
      </c>
      <c r="B16" s="9" t="s">
        <v>128</v>
      </c>
      <c r="C16" s="6">
        <v>34</v>
      </c>
      <c r="D16" s="3"/>
      <c r="E16" s="6">
        <f>E15+C16-D16</f>
      </c>
      <c r="F16" s="2"/>
    </row>
    <row x14ac:dyDescent="0.25" r="17" customHeight="1" ht="17.25">
      <c r="A17" s="7">
        <v>45722</v>
      </c>
      <c r="B17" s="9" t="s">
        <v>28</v>
      </c>
      <c r="C17" s="4"/>
      <c r="D17" s="6">
        <v>100</v>
      </c>
      <c r="E17" s="6">
        <f>E16+C17-D17</f>
      </c>
      <c r="F17" s="2"/>
    </row>
    <row x14ac:dyDescent="0.25" r="18" customHeight="1" ht="17.25">
      <c r="A18" s="8">
        <v>45726</v>
      </c>
      <c r="B18" s="9" t="s">
        <v>31</v>
      </c>
      <c r="C18" s="4"/>
      <c r="D18" s="6">
        <v>350</v>
      </c>
      <c r="E18" s="6">
        <f>E17+C18-D18</f>
      </c>
      <c r="F18" s="2"/>
    </row>
    <row x14ac:dyDescent="0.25" r="19" customHeight="1" ht="17.25">
      <c r="A19" s="8">
        <v>45727</v>
      </c>
      <c r="B19" s="9" t="s">
        <v>173</v>
      </c>
      <c r="C19" s="6">
        <v>43</v>
      </c>
      <c r="D19" s="3"/>
      <c r="E19" s="6">
        <f>E18+C19-D19</f>
      </c>
      <c r="F19" s="2"/>
    </row>
    <row x14ac:dyDescent="0.25" r="20" customHeight="1" ht="17.25">
      <c r="A20" s="8">
        <v>45727</v>
      </c>
      <c r="B20" s="9" t="s">
        <v>173</v>
      </c>
      <c r="C20" s="6">
        <v>2</v>
      </c>
      <c r="D20" s="3"/>
      <c r="E20" s="6">
        <f>E19+C20-D20</f>
      </c>
      <c r="F20" s="2"/>
    </row>
    <row x14ac:dyDescent="0.25" r="21" customHeight="1" ht="17.25">
      <c r="A21" s="8">
        <v>45727</v>
      </c>
      <c r="B21" s="9" t="s">
        <v>119</v>
      </c>
      <c r="C21" s="6">
        <v>18</v>
      </c>
      <c r="D21" s="3"/>
      <c r="E21" s="6">
        <f>E20+C21-D21</f>
      </c>
      <c r="F21" s="2"/>
    </row>
    <row x14ac:dyDescent="0.25" r="22" customHeight="1" ht="17.25">
      <c r="A22" s="8">
        <v>45733</v>
      </c>
      <c r="B22" s="9" t="s">
        <v>11</v>
      </c>
      <c r="C22" s="6">
        <v>22</v>
      </c>
      <c r="D22" s="3"/>
      <c r="E22" s="6">
        <f>E21+C22-D22</f>
      </c>
      <c r="F22" s="2"/>
    </row>
    <row x14ac:dyDescent="0.25" r="23" customHeight="1" ht="17.25">
      <c r="A23" s="8">
        <v>45740</v>
      </c>
      <c r="B23" s="9" t="s">
        <v>119</v>
      </c>
      <c r="C23" s="6">
        <v>126</v>
      </c>
      <c r="D23" s="3"/>
      <c r="E23" s="6">
        <f>E22+C23-D23</f>
      </c>
      <c r="F23" s="2"/>
    </row>
    <row x14ac:dyDescent="0.25" r="24" customHeight="1" ht="17.25">
      <c r="A24" s="8">
        <v>45741</v>
      </c>
      <c r="B24" s="9" t="s">
        <v>119</v>
      </c>
      <c r="C24" s="6">
        <v>1</v>
      </c>
      <c r="D24" s="3"/>
      <c r="E24" s="6">
        <f>E23+C24-D24</f>
      </c>
      <c r="F24" s="2"/>
    </row>
    <row x14ac:dyDescent="0.25" r="25" customHeight="1" ht="17.25">
      <c r="A25" s="7">
        <v>45742</v>
      </c>
      <c r="B25" s="9" t="s">
        <v>173</v>
      </c>
      <c r="C25" s="6">
        <v>14</v>
      </c>
      <c r="D25" s="3"/>
      <c r="E25" s="6">
        <f>E24+C25-D25</f>
      </c>
      <c r="F25" s="2"/>
    </row>
    <row x14ac:dyDescent="0.25" r="26" customHeight="1" ht="17.25">
      <c r="A26" s="7">
        <v>45786</v>
      </c>
      <c r="B26" s="9" t="s">
        <v>180</v>
      </c>
      <c r="C26" s="4"/>
      <c r="D26" s="6">
        <v>200</v>
      </c>
      <c r="E26" s="6">
        <f>E25+C26-D26</f>
      </c>
      <c r="F26" s="2"/>
    </row>
    <row x14ac:dyDescent="0.25" r="27" customHeight="1" ht="17.25">
      <c r="A27" s="7">
        <v>45787</v>
      </c>
      <c r="B27" s="9" t="s">
        <v>180</v>
      </c>
      <c r="C27" s="4"/>
      <c r="D27" s="6">
        <v>400</v>
      </c>
      <c r="E27" s="6">
        <f>E26+C27-D27</f>
      </c>
      <c r="F27" s="2"/>
    </row>
    <row x14ac:dyDescent="0.25" r="28" customHeight="1" ht="17.25">
      <c r="A28" s="7">
        <v>45797</v>
      </c>
      <c r="B28" s="9" t="s">
        <v>180</v>
      </c>
      <c r="C28" s="4"/>
      <c r="D28" s="6">
        <v>300</v>
      </c>
      <c r="E28" s="6">
        <f>E27+C28-D28</f>
      </c>
      <c r="F28" s="2"/>
    </row>
    <row x14ac:dyDescent="0.25" r="29" customHeight="1" ht="17.25">
      <c r="A29" s="7">
        <v>45820</v>
      </c>
      <c r="B29" s="9" t="s">
        <v>181</v>
      </c>
      <c r="C29" s="4"/>
      <c r="D29" s="6">
        <v>250</v>
      </c>
      <c r="E29" s="6">
        <f>E28+C29-D29</f>
      </c>
      <c r="F29" s="2"/>
    </row>
    <row x14ac:dyDescent="0.25" r="30" customHeight="1" ht="17.25">
      <c r="A30" s="7">
        <v>45821</v>
      </c>
      <c r="B30" s="9" t="s">
        <v>181</v>
      </c>
      <c r="C30" s="4"/>
      <c r="D30" s="6">
        <v>1035</v>
      </c>
      <c r="E30" s="6">
        <f>E29+C30-D30</f>
      </c>
      <c r="F30" s="2"/>
    </row>
    <row x14ac:dyDescent="0.25" r="31" customHeight="1" ht="17.25">
      <c r="A31" s="7">
        <v>45822</v>
      </c>
      <c r="B31" s="9" t="s">
        <v>181</v>
      </c>
      <c r="C31" s="4"/>
      <c r="D31" s="6">
        <v>94</v>
      </c>
      <c r="E31" s="6">
        <f>E30+C31-D31</f>
      </c>
      <c r="F31" s="2"/>
    </row>
    <row x14ac:dyDescent="0.25" r="32" customHeight="1" ht="17.25">
      <c r="A32" s="7">
        <v>45824</v>
      </c>
      <c r="B32" s="9" t="s">
        <v>46</v>
      </c>
      <c r="C32" s="4"/>
      <c r="D32" s="6">
        <v>200</v>
      </c>
      <c r="E32" s="6">
        <f>E31+C32-D32</f>
      </c>
      <c r="F32" s="2"/>
    </row>
    <row x14ac:dyDescent="0.25" r="33" customHeight="1" ht="17.25">
      <c r="A33" s="7">
        <v>45826</v>
      </c>
      <c r="B33" s="9" t="s">
        <v>46</v>
      </c>
      <c r="C33" s="4"/>
      <c r="D33" s="6">
        <v>200</v>
      </c>
      <c r="E33" s="6">
        <f>E32+C33-D33</f>
      </c>
      <c r="F33" s="2"/>
    </row>
    <row x14ac:dyDescent="0.25" r="34" customHeight="1" ht="17.25">
      <c r="A34" s="7">
        <v>45830</v>
      </c>
      <c r="B34" s="9" t="s">
        <v>46</v>
      </c>
      <c r="C34" s="4"/>
      <c r="D34" s="6">
        <v>82</v>
      </c>
      <c r="E34" s="6">
        <f>E33+C34-D34</f>
      </c>
      <c r="F34" s="2"/>
    </row>
    <row x14ac:dyDescent="0.25" r="35" customHeight="1" ht="17.25">
      <c r="A35" s="7">
        <v>45832</v>
      </c>
      <c r="B35" s="9" t="s">
        <v>28</v>
      </c>
      <c r="C35" s="4"/>
      <c r="D35" s="6">
        <v>400</v>
      </c>
      <c r="E35" s="6">
        <f>E34+C35-D35</f>
      </c>
      <c r="F35" s="2"/>
    </row>
    <row x14ac:dyDescent="0.25" r="36" customHeight="1" ht="17.25">
      <c r="A36" s="7">
        <v>45832</v>
      </c>
      <c r="B36" s="9" t="s">
        <v>28</v>
      </c>
      <c r="C36" s="4"/>
      <c r="D36" s="6">
        <v>400</v>
      </c>
      <c r="E36" s="6">
        <f>E35+C36-D36</f>
      </c>
      <c r="F36" s="2"/>
    </row>
    <row x14ac:dyDescent="0.25" r="37" customHeight="1" ht="17.25">
      <c r="A37" s="34">
        <v>45833</v>
      </c>
      <c r="B37" s="36" t="s">
        <v>181</v>
      </c>
      <c r="C37" s="32"/>
      <c r="D37" s="33">
        <v>560</v>
      </c>
      <c r="E37" s="33">
        <f>E36+C37-D37</f>
      </c>
      <c r="F37" s="31" t="s">
        <v>203</v>
      </c>
    </row>
    <row x14ac:dyDescent="0.25" r="38" customHeight="1" ht="17.25">
      <c r="A38" s="7">
        <v>45834</v>
      </c>
      <c r="B38" s="9" t="s">
        <v>173</v>
      </c>
      <c r="C38" s="6">
        <v>9</v>
      </c>
      <c r="D38" s="3"/>
      <c r="E38" s="6">
        <f>E37+C38-D38</f>
      </c>
      <c r="F38" s="2"/>
    </row>
    <row x14ac:dyDescent="0.25" r="39" customHeight="1" ht="17.25">
      <c r="A39" s="8">
        <v>45839</v>
      </c>
      <c r="B39" s="9" t="s">
        <v>179</v>
      </c>
      <c r="C39" s="4"/>
      <c r="D39" s="6">
        <v>650</v>
      </c>
      <c r="E39" s="6">
        <f>E38+C39-D39</f>
      </c>
      <c r="F39" s="2"/>
    </row>
    <row x14ac:dyDescent="0.25" r="40" customHeight="1" ht="17.25">
      <c r="A40" s="7">
        <v>45840</v>
      </c>
      <c r="B40" s="9" t="s">
        <v>179</v>
      </c>
      <c r="C40" s="4"/>
      <c r="D40" s="6">
        <v>800</v>
      </c>
      <c r="E40" s="6">
        <f>E39+C40-D40</f>
      </c>
      <c r="F40" s="2"/>
    </row>
    <row x14ac:dyDescent="0.25" r="41" customHeight="1" ht="17.25">
      <c r="A41" s="7">
        <v>45840</v>
      </c>
      <c r="B41" s="9" t="s">
        <v>180</v>
      </c>
      <c r="C41" s="6">
        <v>38</v>
      </c>
      <c r="D41" s="3"/>
      <c r="E41" s="6">
        <f>E40+C41-D41</f>
      </c>
      <c r="F41" s="2"/>
    </row>
    <row x14ac:dyDescent="0.25" r="42" customHeight="1" ht="17.25">
      <c r="A42" s="8">
        <v>45841</v>
      </c>
      <c r="B42" s="9" t="s">
        <v>180</v>
      </c>
      <c r="C42" s="6">
        <v>128</v>
      </c>
      <c r="D42" s="3"/>
      <c r="E42" s="6">
        <f>E41+C42-D42</f>
      </c>
      <c r="F42" s="2"/>
    </row>
    <row x14ac:dyDescent="0.25" r="43" customHeight="1" ht="17.25">
      <c r="A43" s="8">
        <v>45842</v>
      </c>
      <c r="B43" s="9" t="s">
        <v>179</v>
      </c>
      <c r="C43" s="4"/>
      <c r="D43" s="6">
        <v>500</v>
      </c>
      <c r="E43" s="6">
        <f>E42+C43-D43</f>
      </c>
      <c r="F43" s="2"/>
    </row>
    <row x14ac:dyDescent="0.25" r="44" customHeight="1" ht="17.25">
      <c r="A44" s="7">
        <v>45843</v>
      </c>
      <c r="B44" s="9" t="s">
        <v>179</v>
      </c>
      <c r="C44" s="4"/>
      <c r="D44" s="6">
        <v>400</v>
      </c>
      <c r="E44" s="6">
        <f>E43+C44-D44</f>
      </c>
      <c r="F44" s="2"/>
    </row>
    <row x14ac:dyDescent="0.25" r="45" customHeight="1" ht="17.25">
      <c r="A45" s="8">
        <v>45843</v>
      </c>
      <c r="B45" s="9" t="s">
        <v>46</v>
      </c>
      <c r="C45" s="4"/>
      <c r="D45" s="6">
        <v>270</v>
      </c>
      <c r="E45" s="6">
        <f>E44+C45-D45</f>
      </c>
      <c r="F45" s="2"/>
    </row>
    <row x14ac:dyDescent="0.25" r="46" customHeight="1" ht="17.25">
      <c r="A46" s="7">
        <v>45845</v>
      </c>
      <c r="B46" s="9" t="s">
        <v>179</v>
      </c>
      <c r="C46" s="4"/>
      <c r="D46" s="6">
        <v>606</v>
      </c>
      <c r="E46" s="6">
        <f>E45+C46-D46</f>
      </c>
      <c r="F46" s="2"/>
    </row>
    <row x14ac:dyDescent="0.25" r="47" customHeight="1" ht="17.25">
      <c r="A47" s="7">
        <v>45846</v>
      </c>
      <c r="B47" s="9" t="s">
        <v>28</v>
      </c>
      <c r="C47" s="4"/>
      <c r="D47" s="6">
        <v>350</v>
      </c>
      <c r="E47" s="6">
        <f>E46+C47-D47</f>
      </c>
      <c r="F47" s="2"/>
    </row>
    <row x14ac:dyDescent="0.25" r="48" customHeight="1" ht="17.25">
      <c r="A48" s="7">
        <v>45846</v>
      </c>
      <c r="B48" s="9" t="s">
        <v>28</v>
      </c>
      <c r="C48" s="4"/>
      <c r="D48" s="6">
        <v>200</v>
      </c>
      <c r="E48" s="6">
        <f>E47+C48-D48</f>
      </c>
      <c r="F48" s="2"/>
    </row>
    <row x14ac:dyDescent="0.25" r="49" customHeight="1" ht="17.25">
      <c r="A49" s="7">
        <v>45848</v>
      </c>
      <c r="B49" s="9" t="s">
        <v>46</v>
      </c>
      <c r="C49" s="4"/>
      <c r="D49" s="6">
        <v>130</v>
      </c>
      <c r="E49" s="6">
        <f>E48+C49-D49</f>
      </c>
      <c r="F49" s="2"/>
    </row>
    <row x14ac:dyDescent="0.25" r="50" customHeight="1" ht="17.25">
      <c r="A50" s="7">
        <v>45848</v>
      </c>
      <c r="B50" s="9" t="s">
        <v>181</v>
      </c>
      <c r="C50" s="6">
        <v>25</v>
      </c>
      <c r="D50" s="3"/>
      <c r="E50" s="6">
        <f>E49+C50-D50</f>
      </c>
      <c r="F50" s="2"/>
    </row>
    <row x14ac:dyDescent="0.25" r="51" customHeight="1" ht="17.25">
      <c r="A51" s="7">
        <v>45853</v>
      </c>
      <c r="B51" s="9" t="s">
        <v>46</v>
      </c>
      <c r="C51" s="4"/>
      <c r="D51" s="6">
        <v>50</v>
      </c>
      <c r="E51" s="6">
        <f>E50+C51-D51</f>
      </c>
      <c r="F51" s="2"/>
    </row>
    <row x14ac:dyDescent="0.25" r="52" customHeight="1" ht="17.25">
      <c r="A52" s="34">
        <v>45855</v>
      </c>
      <c r="B52" s="36" t="s">
        <v>46</v>
      </c>
      <c r="C52" s="32"/>
      <c r="D52" s="33">
        <v>200</v>
      </c>
      <c r="E52" s="33">
        <f>E51+C52-D52</f>
      </c>
      <c r="F52" s="31" t="s">
        <v>204</v>
      </c>
    </row>
    <row x14ac:dyDescent="0.25" r="53" customHeight="1" ht="17.25">
      <c r="A53" s="7">
        <v>45856</v>
      </c>
      <c r="B53" s="9" t="s">
        <v>183</v>
      </c>
      <c r="C53" s="4"/>
      <c r="D53" s="6">
        <v>240</v>
      </c>
      <c r="E53" s="6">
        <f>E52+C53-D53</f>
      </c>
      <c r="F53" s="2"/>
    </row>
    <row x14ac:dyDescent="0.25" r="54" customHeight="1" ht="17.25">
      <c r="A54" s="7">
        <v>45859</v>
      </c>
      <c r="B54" s="2" t="s">
        <v>179</v>
      </c>
      <c r="C54" s="6">
        <v>294</v>
      </c>
      <c r="D54" s="3"/>
      <c r="E54" s="6">
        <f>E53+C54-D54</f>
      </c>
      <c r="F54" s="2"/>
    </row>
    <row x14ac:dyDescent="0.25" r="55" customHeight="1" ht="17.25">
      <c r="A55" s="7">
        <v>45868</v>
      </c>
      <c r="B55" s="9" t="s">
        <v>46</v>
      </c>
      <c r="C55" s="4"/>
      <c r="D55" s="6">
        <v>200</v>
      </c>
      <c r="E55" s="6">
        <f>E54+C55-D55</f>
      </c>
      <c r="F55" s="2"/>
    </row>
    <row x14ac:dyDescent="0.25" r="56" customHeight="1" ht="17.25">
      <c r="A56" s="7">
        <v>45869</v>
      </c>
      <c r="B56" s="9" t="s">
        <v>180</v>
      </c>
      <c r="C56" s="4"/>
      <c r="D56" s="6">
        <v>300</v>
      </c>
      <c r="E56" s="6">
        <f>E55+C56-D56</f>
      </c>
      <c r="F56" s="2"/>
    </row>
    <row x14ac:dyDescent="0.25" r="57" customHeight="1" ht="17.25">
      <c r="A57" s="7">
        <v>45869</v>
      </c>
      <c r="B57" s="9" t="s">
        <v>180</v>
      </c>
      <c r="C57" s="4"/>
      <c r="D57" s="6">
        <v>100</v>
      </c>
      <c r="E57" s="6">
        <f>E56+C57-D57</f>
      </c>
      <c r="F57" s="2"/>
    </row>
    <row x14ac:dyDescent="0.25" r="58" customHeight="1" ht="17.25">
      <c r="A58" s="7">
        <v>45877</v>
      </c>
      <c r="B58" s="9" t="s">
        <v>26</v>
      </c>
      <c r="C58" s="4"/>
      <c r="D58" s="6">
        <v>500</v>
      </c>
      <c r="E58" s="6">
        <f>E57+C58-D58</f>
      </c>
      <c r="F58" s="2"/>
    </row>
    <row x14ac:dyDescent="0.25" r="59" customHeight="1" ht="17.25">
      <c r="A59" s="7">
        <v>45877</v>
      </c>
      <c r="B59" s="9" t="s">
        <v>179</v>
      </c>
      <c r="C59" s="6">
        <v>523</v>
      </c>
      <c r="D59" s="3"/>
      <c r="E59" s="6">
        <f>E58+C59-D59</f>
      </c>
      <c r="F59" s="2"/>
    </row>
    <row x14ac:dyDescent="0.25" r="60" customHeight="1" ht="17.25">
      <c r="A60" s="7">
        <v>45878</v>
      </c>
      <c r="B60" s="9" t="s">
        <v>180</v>
      </c>
      <c r="C60" s="4"/>
      <c r="D60" s="6">
        <v>350</v>
      </c>
      <c r="E60" s="6">
        <f>E59+C60-D60</f>
      </c>
      <c r="F60" s="2"/>
    </row>
    <row x14ac:dyDescent="0.25" r="61" customHeight="1" ht="17.25">
      <c r="A61" s="7">
        <v>45878</v>
      </c>
      <c r="B61" s="9" t="s">
        <v>28</v>
      </c>
      <c r="C61" s="6">
        <v>60</v>
      </c>
      <c r="D61" s="3"/>
      <c r="E61" s="6">
        <f>E60+C61-D61</f>
      </c>
      <c r="F61" s="2"/>
    </row>
    <row x14ac:dyDescent="0.25" r="62" customHeight="1" ht="17.25">
      <c r="A62" s="7">
        <v>45879</v>
      </c>
      <c r="B62" s="9" t="s">
        <v>26</v>
      </c>
      <c r="C62" s="4"/>
      <c r="D62" s="6">
        <v>300</v>
      </c>
      <c r="E62" s="6">
        <f>E61+C62-D62</f>
      </c>
      <c r="F62" s="2"/>
    </row>
    <row x14ac:dyDescent="0.25" r="63" customHeight="1" ht="17.25">
      <c r="A63" s="7">
        <v>45880</v>
      </c>
      <c r="B63" s="9" t="s">
        <v>26</v>
      </c>
      <c r="C63" s="4"/>
      <c r="D63" s="6">
        <v>500</v>
      </c>
      <c r="E63" s="6">
        <f>E62+C63-D63</f>
      </c>
      <c r="F63" s="2"/>
    </row>
    <row x14ac:dyDescent="0.25" r="64" customHeight="1" ht="17.25">
      <c r="A64" s="7">
        <v>45880</v>
      </c>
      <c r="B64" s="9" t="s">
        <v>181</v>
      </c>
      <c r="C64" s="6">
        <v>88</v>
      </c>
      <c r="D64" s="3"/>
      <c r="E64" s="6">
        <f>E63+C64-D64</f>
      </c>
      <c r="F64" s="2"/>
    </row>
    <row x14ac:dyDescent="0.25" r="65" customHeight="1" ht="17.25">
      <c r="A65" s="7">
        <v>45880</v>
      </c>
      <c r="B65" s="9" t="s">
        <v>28</v>
      </c>
      <c r="C65" s="6">
        <v>24</v>
      </c>
      <c r="D65" s="3"/>
      <c r="E65" s="6">
        <f>E64+C65-D65</f>
      </c>
      <c r="F65" s="2"/>
    </row>
    <row x14ac:dyDescent="0.25" r="66" customHeight="1" ht="17.25">
      <c r="A66" s="7">
        <v>45881</v>
      </c>
      <c r="B66" s="9" t="s">
        <v>26</v>
      </c>
      <c r="C66" s="4"/>
      <c r="D66" s="6">
        <v>350</v>
      </c>
      <c r="E66" s="6">
        <f>E65+C66-D66</f>
      </c>
      <c r="F66" s="2"/>
    </row>
    <row x14ac:dyDescent="0.25" r="67" customHeight="1" ht="17.25">
      <c r="A67" s="7">
        <v>45881</v>
      </c>
      <c r="B67" s="9" t="s">
        <v>180</v>
      </c>
      <c r="C67" s="4"/>
      <c r="D67" s="6">
        <v>100</v>
      </c>
      <c r="E67" s="6">
        <f>E66+C67-D67</f>
      </c>
      <c r="F67" s="2"/>
    </row>
    <row x14ac:dyDescent="0.25" r="68" customHeight="1" ht="17.25">
      <c r="A68" s="8">
        <v>45881</v>
      </c>
      <c r="B68" s="9" t="s">
        <v>28</v>
      </c>
      <c r="C68" s="6">
        <v>41</v>
      </c>
      <c r="D68" s="3"/>
      <c r="E68" s="6">
        <f>E67+C68-D68</f>
      </c>
      <c r="F68" s="2"/>
    </row>
    <row x14ac:dyDescent="0.25" r="69" customHeight="1" ht="17.25">
      <c r="A69" s="7">
        <v>45882</v>
      </c>
      <c r="B69" s="9" t="s">
        <v>179</v>
      </c>
      <c r="C69" s="6">
        <v>1077</v>
      </c>
      <c r="D69" s="3"/>
      <c r="E69" s="6">
        <f>E68+C69-D69</f>
      </c>
      <c r="F69" s="2"/>
    </row>
    <row x14ac:dyDescent="0.25" r="70" customHeight="1" ht="17.25">
      <c r="A70" s="7">
        <v>45882</v>
      </c>
      <c r="B70" s="9" t="s">
        <v>26</v>
      </c>
      <c r="C70" s="4"/>
      <c r="D70" s="6">
        <v>600</v>
      </c>
      <c r="E70" s="6">
        <f>E69+C70-D70</f>
      </c>
      <c r="F70" s="2"/>
    </row>
    <row x14ac:dyDescent="0.25" r="71" customHeight="1" ht="17.25">
      <c r="A71" s="7">
        <v>45883</v>
      </c>
      <c r="B71" s="9" t="s">
        <v>26</v>
      </c>
      <c r="C71" s="4"/>
      <c r="D71" s="6">
        <v>602</v>
      </c>
      <c r="E71" s="6">
        <f>E70+C71-D71</f>
      </c>
      <c r="F71" s="2"/>
    </row>
    <row x14ac:dyDescent="0.25" r="72" customHeight="1" ht="17.25">
      <c r="A72" s="7">
        <v>45883</v>
      </c>
      <c r="B72" s="9" t="s">
        <v>28</v>
      </c>
      <c r="C72" s="6">
        <v>179</v>
      </c>
      <c r="D72" s="3"/>
      <c r="E72" s="6">
        <f>E71+C72-D72</f>
      </c>
      <c r="F72" s="2"/>
    </row>
    <row x14ac:dyDescent="0.25" r="73" customHeight="1" ht="17.25">
      <c r="A73" s="8">
        <v>45885</v>
      </c>
      <c r="B73" s="9" t="s">
        <v>28</v>
      </c>
      <c r="C73" s="6">
        <v>21</v>
      </c>
      <c r="D73" s="3"/>
      <c r="E73" s="6">
        <f>E72+C73-D73</f>
      </c>
      <c r="F73" s="2"/>
    </row>
    <row x14ac:dyDescent="0.25" r="74" customHeight="1" ht="17.25">
      <c r="A74" s="7">
        <v>45887</v>
      </c>
      <c r="B74" s="9" t="s">
        <v>183</v>
      </c>
      <c r="C74" s="6">
        <v>240</v>
      </c>
      <c r="D74" s="3"/>
      <c r="E74" s="6">
        <f>E73+C74-D74</f>
      </c>
      <c r="F74" s="2"/>
    </row>
    <row x14ac:dyDescent="0.25" r="75" customHeight="1" ht="17.25">
      <c r="A75" s="7">
        <v>45888</v>
      </c>
      <c r="B75" s="9" t="s">
        <v>180</v>
      </c>
      <c r="C75" s="6">
        <v>208</v>
      </c>
      <c r="D75" s="3"/>
      <c r="E75" s="6">
        <f>E74+C75-D75</f>
      </c>
      <c r="F75" s="2"/>
    </row>
    <row x14ac:dyDescent="0.25" r="76" customHeight="1" ht="17.25">
      <c r="A76" s="7">
        <v>45888</v>
      </c>
      <c r="B76" s="9" t="s">
        <v>28</v>
      </c>
      <c r="C76" s="6">
        <v>14</v>
      </c>
      <c r="D76" s="3"/>
      <c r="E76" s="6">
        <f>E75+C76-D76</f>
      </c>
      <c r="F76" s="2"/>
    </row>
    <row x14ac:dyDescent="0.25" r="77" customHeight="1" ht="17.25">
      <c r="A77" s="7">
        <v>45889</v>
      </c>
      <c r="B77" s="9" t="s">
        <v>26</v>
      </c>
      <c r="C77" s="4"/>
      <c r="D77" s="6">
        <v>200</v>
      </c>
      <c r="E77" s="6">
        <f>E76+C77-D77</f>
      </c>
      <c r="F77" s="2"/>
    </row>
    <row x14ac:dyDescent="0.25" r="78" customHeight="1" ht="17.25">
      <c r="A78" s="7">
        <v>45890</v>
      </c>
      <c r="B78" s="9" t="s">
        <v>26</v>
      </c>
      <c r="C78" s="4"/>
      <c r="D78" s="6">
        <v>400</v>
      </c>
      <c r="E78" s="6">
        <f>E77+C78-D78</f>
      </c>
      <c r="F78" s="2"/>
    </row>
    <row x14ac:dyDescent="0.25" r="79" customHeight="1" ht="17.25">
      <c r="A79" s="7">
        <v>45891</v>
      </c>
      <c r="B79" s="9" t="s">
        <v>26</v>
      </c>
      <c r="C79" s="4"/>
      <c r="D79" s="6">
        <v>500</v>
      </c>
      <c r="E79" s="6">
        <f>E78+C79-D79</f>
      </c>
      <c r="F79" s="2"/>
    </row>
    <row x14ac:dyDescent="0.25" r="80" customHeight="1" ht="17.25">
      <c r="A80" s="8">
        <v>45891</v>
      </c>
      <c r="B80" s="9" t="s">
        <v>26</v>
      </c>
      <c r="C80" s="4"/>
      <c r="D80" s="6">
        <v>150</v>
      </c>
      <c r="E80" s="6">
        <f>E79+C80-D80</f>
      </c>
      <c r="F80" s="2"/>
    </row>
    <row x14ac:dyDescent="0.25" r="81" customHeight="1" ht="17.25">
      <c r="A81" s="8">
        <v>45891</v>
      </c>
      <c r="B81" s="9" t="s">
        <v>28</v>
      </c>
      <c r="C81" s="6">
        <v>132</v>
      </c>
      <c r="D81" s="3"/>
      <c r="E81" s="6">
        <f>E80+C81-D81</f>
      </c>
      <c r="F81" s="2"/>
    </row>
    <row x14ac:dyDescent="0.25" r="82" customHeight="1" ht="17.25">
      <c r="A82" s="7">
        <v>45891</v>
      </c>
      <c r="B82" s="9" t="s">
        <v>179</v>
      </c>
      <c r="C82" s="6">
        <v>23</v>
      </c>
      <c r="D82" s="3"/>
      <c r="E82" s="6">
        <f>E81+C82-D82</f>
      </c>
      <c r="F82" s="2"/>
    </row>
    <row x14ac:dyDescent="0.25" r="83" customHeight="1" ht="17.25">
      <c r="A83" s="7">
        <v>45894</v>
      </c>
      <c r="B83" s="9" t="s">
        <v>28</v>
      </c>
      <c r="C83" s="6">
        <v>9</v>
      </c>
      <c r="D83" s="3"/>
      <c r="E83" s="6">
        <f>E82+C83-D83</f>
      </c>
      <c r="F83" s="2"/>
    </row>
    <row x14ac:dyDescent="0.25" r="84" customHeight="1" ht="17.25">
      <c r="A84" s="7">
        <v>45895</v>
      </c>
      <c r="B84" s="9" t="s">
        <v>28</v>
      </c>
      <c r="C84" s="6">
        <v>86</v>
      </c>
      <c r="D84" s="3"/>
      <c r="E84" s="6">
        <f>E83+C84-D84</f>
      </c>
      <c r="F84" s="2"/>
    </row>
    <row x14ac:dyDescent="0.25" r="85" customHeight="1" ht="17.25">
      <c r="A85" s="7">
        <v>45895</v>
      </c>
      <c r="B85" s="9" t="s">
        <v>46</v>
      </c>
      <c r="C85" s="6">
        <v>126</v>
      </c>
      <c r="D85" s="3"/>
      <c r="E85" s="6">
        <f>E84+C85-D85</f>
      </c>
      <c r="F85" s="2"/>
    </row>
    <row x14ac:dyDescent="0.25" r="86" customHeight="1" ht="17.25">
      <c r="A86" s="8">
        <v>45897</v>
      </c>
      <c r="B86" s="9" t="s">
        <v>28</v>
      </c>
      <c r="C86" s="6">
        <v>48</v>
      </c>
      <c r="D86" s="3"/>
      <c r="E86" s="6">
        <f>E85+C86-D86</f>
      </c>
      <c r="F86" s="2"/>
    </row>
    <row x14ac:dyDescent="0.25" r="87" customHeight="1" ht="17.25">
      <c r="A87" s="8">
        <v>45899</v>
      </c>
      <c r="B87" s="9" t="s">
        <v>28</v>
      </c>
      <c r="C87" s="6">
        <v>109</v>
      </c>
      <c r="D87" s="3"/>
      <c r="E87" s="6">
        <f>E86+C87-D87</f>
      </c>
      <c r="F87" s="2"/>
    </row>
    <row x14ac:dyDescent="0.25" r="88" customHeight="1" ht="17.25">
      <c r="A88" s="7">
        <v>45903</v>
      </c>
      <c r="B88" s="9" t="s">
        <v>179</v>
      </c>
      <c r="C88" s="6">
        <v>121</v>
      </c>
      <c r="D88" s="3"/>
      <c r="E88" s="6">
        <f>E87+C88-D88</f>
      </c>
      <c r="F88" s="2"/>
    </row>
    <row x14ac:dyDescent="0.25" r="89" customHeight="1" ht="17.25">
      <c r="A89" s="8">
        <v>45903</v>
      </c>
      <c r="B89" s="9" t="s">
        <v>28</v>
      </c>
      <c r="C89" s="6">
        <v>36</v>
      </c>
      <c r="D89" s="3"/>
      <c r="E89" s="6">
        <f>E88+C89-D89</f>
      </c>
      <c r="F89" s="2"/>
    </row>
    <row x14ac:dyDescent="0.25" r="90" customHeight="1" ht="17.25">
      <c r="A90" s="8">
        <v>45904</v>
      </c>
      <c r="B90" s="9" t="s">
        <v>182</v>
      </c>
      <c r="C90" s="6">
        <v>9</v>
      </c>
      <c r="D90" s="3"/>
      <c r="E90" s="6">
        <f>E89+C90-D90</f>
      </c>
      <c r="F90" s="2"/>
    </row>
    <row x14ac:dyDescent="0.25" r="91" customHeight="1" ht="17.25">
      <c r="A91" s="7">
        <v>45904</v>
      </c>
      <c r="B91" s="9" t="s">
        <v>46</v>
      </c>
      <c r="C91" s="6">
        <v>72</v>
      </c>
      <c r="D91" s="3"/>
      <c r="E91" s="6">
        <f>E90+C91-D91</f>
      </c>
      <c r="F91" s="2"/>
    </row>
    <row x14ac:dyDescent="0.25" r="92" customHeight="1" ht="17.25">
      <c r="A92" s="7">
        <v>45906</v>
      </c>
      <c r="B92" s="9" t="s">
        <v>179</v>
      </c>
      <c r="C92" s="6">
        <v>102</v>
      </c>
      <c r="D92" s="3"/>
      <c r="E92" s="6">
        <f>E91+C92-D92</f>
      </c>
      <c r="F92" s="2"/>
    </row>
    <row x14ac:dyDescent="0.25" r="93" customHeight="1" ht="17.25">
      <c r="A93" s="8">
        <v>45909</v>
      </c>
      <c r="B93" s="9" t="s">
        <v>179</v>
      </c>
      <c r="C93" s="6">
        <v>140</v>
      </c>
      <c r="D93" s="3"/>
      <c r="E93" s="6">
        <f>E92+C93-D93</f>
      </c>
      <c r="F93" s="2"/>
    </row>
    <row x14ac:dyDescent="0.25" r="94" customHeight="1" ht="17.25">
      <c r="A94" s="7">
        <v>45910</v>
      </c>
      <c r="B94" s="9" t="s">
        <v>46</v>
      </c>
      <c r="C94" s="6">
        <v>131</v>
      </c>
      <c r="D94" s="3"/>
      <c r="E94" s="6">
        <f>E93+C94-D94</f>
      </c>
      <c r="F94" s="2"/>
    </row>
    <row x14ac:dyDescent="0.25" r="95" customHeight="1" ht="17.25">
      <c r="A95" s="7">
        <v>45911</v>
      </c>
      <c r="B95" s="9" t="s">
        <v>28</v>
      </c>
      <c r="C95" s="6">
        <v>80</v>
      </c>
      <c r="D95" s="3"/>
      <c r="E95" s="6">
        <f>E94+C95-D95</f>
      </c>
      <c r="F95" s="2"/>
    </row>
    <row x14ac:dyDescent="0.25" r="96" customHeight="1" ht="17.25">
      <c r="A96" s="7">
        <v>45911</v>
      </c>
      <c r="B96" s="9" t="s">
        <v>180</v>
      </c>
      <c r="C96" s="6">
        <v>276</v>
      </c>
      <c r="D96" s="3"/>
      <c r="E96" s="6">
        <f>E95+C96-D96</f>
      </c>
      <c r="F96" s="2"/>
    </row>
    <row x14ac:dyDescent="0.25" r="97" customHeight="1" ht="17.25">
      <c r="A97" s="7">
        <v>45912</v>
      </c>
      <c r="B97" s="9" t="s">
        <v>183</v>
      </c>
      <c r="C97" s="4"/>
      <c r="D97" s="6">
        <v>160</v>
      </c>
      <c r="E97" s="6">
        <f>E96+C97-D97</f>
      </c>
      <c r="F97" s="2"/>
    </row>
    <row x14ac:dyDescent="0.25" r="98" customHeight="1" ht="17.25">
      <c r="A98" s="7">
        <v>45912</v>
      </c>
      <c r="B98" s="9" t="s">
        <v>46</v>
      </c>
      <c r="C98" s="6">
        <v>239</v>
      </c>
      <c r="D98" s="3"/>
      <c r="E98" s="6">
        <f>E97+C98-D98</f>
      </c>
      <c r="F98" s="2"/>
    </row>
    <row x14ac:dyDescent="0.25" r="99" customHeight="1" ht="17.25">
      <c r="A99" s="7">
        <v>45913</v>
      </c>
      <c r="B99" s="9" t="s">
        <v>26</v>
      </c>
      <c r="C99" s="6">
        <v>47</v>
      </c>
      <c r="D99" s="3"/>
      <c r="E99" s="6">
        <f>E98+C99-D99</f>
      </c>
      <c r="F99" s="2"/>
    </row>
    <row x14ac:dyDescent="0.25" r="100" customHeight="1" ht="17.25">
      <c r="A100" s="8">
        <v>45913</v>
      </c>
      <c r="B100" s="9" t="s">
        <v>26</v>
      </c>
      <c r="C100" s="6">
        <v>10</v>
      </c>
      <c r="D100" s="3"/>
      <c r="E100" s="6">
        <f>E99+C100-D100</f>
      </c>
      <c r="F100" s="2"/>
    </row>
    <row x14ac:dyDescent="0.25" r="101" customHeight="1" ht="17.25">
      <c r="A101" s="7">
        <v>45915</v>
      </c>
      <c r="B101" s="9" t="s">
        <v>179</v>
      </c>
      <c r="C101" s="6">
        <v>112</v>
      </c>
      <c r="D101" s="3"/>
      <c r="E101" s="6">
        <f>E100+C101-D101</f>
      </c>
      <c r="F101" s="2"/>
    </row>
    <row x14ac:dyDescent="0.25" r="102" customHeight="1" ht="17.25">
      <c r="A102" s="7">
        <v>45917</v>
      </c>
      <c r="B102" s="9" t="s">
        <v>28</v>
      </c>
      <c r="C102" s="6">
        <v>29</v>
      </c>
      <c r="D102" s="3"/>
      <c r="E102" s="6">
        <f>E101+C102-D102</f>
      </c>
      <c r="F102" s="2"/>
    </row>
    <row x14ac:dyDescent="0.25" r="103" customHeight="1" ht="17.25">
      <c r="A103" s="7">
        <v>45919</v>
      </c>
      <c r="B103" s="9" t="s">
        <v>46</v>
      </c>
      <c r="C103" s="6">
        <v>130</v>
      </c>
      <c r="D103" s="3"/>
      <c r="E103" s="6">
        <f>E102+C103-D103</f>
      </c>
      <c r="F103" s="2"/>
    </row>
    <row x14ac:dyDescent="0.25" r="104" customHeight="1" ht="17.25">
      <c r="A104" s="7">
        <v>45920</v>
      </c>
      <c r="B104" s="9" t="s">
        <v>46</v>
      </c>
      <c r="C104" s="6">
        <v>150</v>
      </c>
      <c r="D104" s="3"/>
      <c r="E104" s="6">
        <f>E103+C104-D104</f>
      </c>
      <c r="F104" s="2"/>
    </row>
    <row x14ac:dyDescent="0.25" r="105" customHeight="1" ht="17.25">
      <c r="A105" s="7">
        <v>45922</v>
      </c>
      <c r="B105" s="9" t="s">
        <v>179</v>
      </c>
      <c r="C105" s="6">
        <v>75</v>
      </c>
      <c r="D105" s="3"/>
      <c r="E105" s="6">
        <f>E104+C105-D105</f>
      </c>
      <c r="F105" s="2"/>
    </row>
    <row x14ac:dyDescent="0.25" r="106" customHeight="1" ht="17.25">
      <c r="A106" s="8">
        <v>45923</v>
      </c>
      <c r="B106" s="9" t="s">
        <v>26</v>
      </c>
      <c r="C106" s="6">
        <v>104</v>
      </c>
      <c r="D106" s="3"/>
      <c r="E106" s="6">
        <f>E105+C106-D106</f>
      </c>
      <c r="F106" s="2"/>
    </row>
    <row x14ac:dyDescent="0.25" r="107" customHeight="1" ht="17.25">
      <c r="A107" s="7">
        <v>45927</v>
      </c>
      <c r="B107" s="9" t="s">
        <v>26</v>
      </c>
      <c r="C107" s="6">
        <v>150</v>
      </c>
      <c r="D107" s="3"/>
      <c r="E107" s="6">
        <f>E106+C107-D107</f>
      </c>
      <c r="F107" s="2"/>
    </row>
    <row x14ac:dyDescent="0.25" r="108" customHeight="1" ht="17.25">
      <c r="A108" s="7">
        <v>45930</v>
      </c>
      <c r="B108" s="9" t="s">
        <v>26</v>
      </c>
      <c r="C108" s="6">
        <v>1050</v>
      </c>
      <c r="D108" s="3"/>
      <c r="E108" s="6">
        <f>E107+C108-D108</f>
      </c>
      <c r="F108" s="2"/>
    </row>
    <row x14ac:dyDescent="0.25" r="109" customHeight="1" ht="17.25">
      <c r="A109" s="7">
        <v>45930</v>
      </c>
      <c r="B109" s="9" t="s">
        <v>180</v>
      </c>
      <c r="C109" s="6">
        <v>197</v>
      </c>
      <c r="D109" s="3"/>
      <c r="E109" s="6">
        <f>E108+C109-D109</f>
      </c>
      <c r="F109" s="2"/>
    </row>
    <row x14ac:dyDescent="0.25" r="110" customHeight="1" ht="17.25">
      <c r="A110" s="8">
        <v>45933</v>
      </c>
      <c r="B110" s="9" t="s">
        <v>26</v>
      </c>
      <c r="C110" s="6">
        <v>290</v>
      </c>
      <c r="D110" s="3"/>
      <c r="E110" s="6">
        <f>E109+C110-D110</f>
      </c>
      <c r="F110" s="2"/>
    </row>
    <row x14ac:dyDescent="0.25" r="111" customHeight="1" ht="17.25">
      <c r="A111" s="8">
        <v>45939</v>
      </c>
      <c r="B111" s="9" t="s">
        <v>26</v>
      </c>
      <c r="C111" s="6">
        <v>392</v>
      </c>
      <c r="D111" s="3"/>
      <c r="E111" s="6">
        <f>E110+C111-D111</f>
      </c>
      <c r="F111" s="2"/>
    </row>
    <row x14ac:dyDescent="0.25" r="112" customHeight="1" ht="17.25">
      <c r="A112" s="8">
        <v>45939</v>
      </c>
      <c r="B112" s="9" t="s">
        <v>182</v>
      </c>
      <c r="C112" s="6">
        <v>35</v>
      </c>
      <c r="D112" s="3"/>
      <c r="E112" s="6">
        <f>E111+C112-D112</f>
      </c>
      <c r="F112" s="2"/>
    </row>
    <row x14ac:dyDescent="0.25" r="113" customHeight="1" ht="17.25">
      <c r="A113" s="7">
        <v>45945</v>
      </c>
      <c r="B113" s="9" t="s">
        <v>26</v>
      </c>
      <c r="C113" s="6">
        <v>439</v>
      </c>
      <c r="D113" s="3"/>
      <c r="E113" s="6">
        <f>E112+C113-D113</f>
      </c>
      <c r="F113" s="2"/>
    </row>
    <row x14ac:dyDescent="0.25" r="114" customHeight="1" ht="17.25">
      <c r="A114" s="8">
        <v>45947</v>
      </c>
      <c r="B114" s="9" t="s">
        <v>179</v>
      </c>
      <c r="C114" s="6">
        <v>73</v>
      </c>
      <c r="D114" s="3"/>
      <c r="E114" s="6">
        <f>E113+C114-D114</f>
      </c>
      <c r="F114" s="2"/>
    </row>
    <row x14ac:dyDescent="0.25" r="115" customHeight="1" ht="17.25">
      <c r="A115" s="8">
        <v>45948</v>
      </c>
      <c r="B115" s="9" t="s">
        <v>182</v>
      </c>
      <c r="C115" s="6">
        <v>807</v>
      </c>
      <c r="D115" s="3"/>
      <c r="E115" s="6">
        <f>E114+C115-D115</f>
      </c>
      <c r="F115" s="2"/>
    </row>
    <row x14ac:dyDescent="0.25" r="116" customHeight="1" ht="17.25">
      <c r="A116" s="8">
        <v>45948</v>
      </c>
      <c r="B116" s="9" t="s">
        <v>26</v>
      </c>
      <c r="C116" s="6">
        <v>402</v>
      </c>
      <c r="D116" s="3"/>
      <c r="E116" s="6">
        <f>E115+C116-D116</f>
      </c>
      <c r="F116" s="2"/>
    </row>
    <row x14ac:dyDescent="0.25" r="117" customHeight="1" ht="17.25">
      <c r="A117" s="7">
        <v>45951</v>
      </c>
      <c r="B117" s="9" t="s">
        <v>182</v>
      </c>
      <c r="C117" s="6">
        <v>970</v>
      </c>
      <c r="D117" s="3"/>
      <c r="E117" s="6">
        <f>E116+C117-D117</f>
      </c>
      <c r="F117" s="2"/>
    </row>
    <row x14ac:dyDescent="0.25" r="118" customHeight="1" ht="17.25">
      <c r="A118" s="7">
        <v>45951</v>
      </c>
      <c r="B118" s="9" t="s">
        <v>26</v>
      </c>
      <c r="C118" s="6">
        <v>349</v>
      </c>
      <c r="D118" s="3"/>
      <c r="E118" s="6">
        <f>E117+C118-D118</f>
      </c>
      <c r="F118" s="2"/>
    </row>
    <row x14ac:dyDescent="0.25" r="119" customHeight="1" ht="17.25">
      <c r="A119" s="7">
        <v>45953</v>
      </c>
      <c r="B119" s="9" t="s">
        <v>26</v>
      </c>
      <c r="C119" s="6">
        <v>153</v>
      </c>
      <c r="D119" s="3"/>
      <c r="E119" s="6">
        <f>E118+C119-D119</f>
      </c>
      <c r="F119" s="2"/>
    </row>
    <row x14ac:dyDescent="0.25" r="120" customHeight="1" ht="17.25">
      <c r="A120" s="8">
        <v>45954</v>
      </c>
      <c r="B120" s="9" t="s">
        <v>174</v>
      </c>
      <c r="C120" s="4"/>
      <c r="D120" s="6">
        <v>48</v>
      </c>
      <c r="E120" s="6">
        <f>E119+C120-D120</f>
      </c>
      <c r="F120" s="2"/>
    </row>
    <row x14ac:dyDescent="0.25" r="121" customHeight="1" ht="17.25">
      <c r="A121" s="8">
        <v>45955</v>
      </c>
      <c r="B121" s="9" t="s">
        <v>26</v>
      </c>
      <c r="C121" s="6">
        <v>354</v>
      </c>
      <c r="D121" s="3"/>
      <c r="E121" s="6">
        <f>E120+C121-D121</f>
      </c>
      <c r="F121" s="2"/>
    </row>
    <row x14ac:dyDescent="0.25" r="122" customHeight="1" ht="17.25">
      <c r="A122" s="8">
        <v>45958</v>
      </c>
      <c r="B122" s="9" t="s">
        <v>26</v>
      </c>
      <c r="C122" s="6">
        <v>290</v>
      </c>
      <c r="D122" s="3"/>
      <c r="E122" s="6">
        <f>E121+C122-D122</f>
      </c>
      <c r="F122" s="2"/>
    </row>
    <row x14ac:dyDescent="0.25" r="123" customHeight="1" ht="17.25">
      <c r="A123" s="7">
        <v>45959</v>
      </c>
      <c r="B123" s="9" t="s">
        <v>182</v>
      </c>
      <c r="C123" s="6">
        <v>5</v>
      </c>
      <c r="D123" s="3"/>
      <c r="E123" s="6">
        <f>E122+C123-D123</f>
      </c>
      <c r="F123" s="2"/>
    </row>
    <row x14ac:dyDescent="0.25" r="124" customHeight="1" ht="17.25">
      <c r="A124" s="8">
        <v>45958</v>
      </c>
      <c r="B124" s="9" t="s">
        <v>183</v>
      </c>
      <c r="C124" s="6">
        <v>160</v>
      </c>
      <c r="D124" s="3"/>
      <c r="E124" s="6">
        <f>E123+C124-D124</f>
      </c>
      <c r="F124" s="2"/>
    </row>
    <row x14ac:dyDescent="0.25" r="125" customHeight="1" ht="17.25">
      <c r="A125" s="8">
        <v>45962</v>
      </c>
      <c r="B125" s="9" t="s">
        <v>26</v>
      </c>
      <c r="C125" s="6">
        <v>28</v>
      </c>
      <c r="D125" s="3"/>
      <c r="E125" s="6">
        <f>E124+C125-D125</f>
      </c>
      <c r="F125" s="2"/>
    </row>
    <row x14ac:dyDescent="0.25" r="126" customHeight="1" ht="17.25">
      <c r="A126" s="7">
        <v>45974</v>
      </c>
      <c r="B126" s="9" t="s">
        <v>46</v>
      </c>
      <c r="C126" s="4"/>
      <c r="D126" s="6">
        <v>150</v>
      </c>
      <c r="E126" s="6">
        <f>E125+C126-D126</f>
      </c>
      <c r="F126" s="2"/>
    </row>
    <row x14ac:dyDescent="0.25" r="127" customHeight="1" ht="17.25">
      <c r="A127" s="8">
        <v>45978</v>
      </c>
      <c r="B127" s="9" t="s">
        <v>179</v>
      </c>
      <c r="C127" s="6">
        <v>35</v>
      </c>
      <c r="D127" s="3"/>
      <c r="E127" s="6">
        <f>E126+C127-D127</f>
      </c>
      <c r="F127" s="2"/>
    </row>
    <row x14ac:dyDescent="0.25" r="128" customHeight="1" ht="17.25">
      <c r="A128" s="8">
        <v>45980</v>
      </c>
      <c r="B128" s="9" t="s">
        <v>26</v>
      </c>
      <c r="C128" s="6">
        <v>187</v>
      </c>
      <c r="D128" s="3"/>
      <c r="E128" s="6">
        <f>E127+C128-D128</f>
      </c>
      <c r="F128" s="2"/>
    </row>
    <row x14ac:dyDescent="0.25" r="129" customHeight="1" ht="17.25">
      <c r="A129" s="8">
        <v>45985</v>
      </c>
      <c r="B129" s="9" t="s">
        <v>26</v>
      </c>
      <c r="C129" s="6">
        <v>10</v>
      </c>
      <c r="D129" s="3"/>
      <c r="E129" s="6">
        <f>E128+C129-D129</f>
      </c>
      <c r="F129" s="2"/>
    </row>
    <row x14ac:dyDescent="0.25" r="130" customHeight="1" ht="17.25">
      <c r="A130" s="7">
        <v>45987</v>
      </c>
      <c r="B130" s="9" t="s">
        <v>175</v>
      </c>
      <c r="C130" s="6">
        <v>11</v>
      </c>
      <c r="D130" s="3"/>
      <c r="E130" s="6">
        <f>E129+C130-D130</f>
      </c>
      <c r="F130" s="2"/>
    </row>
    <row x14ac:dyDescent="0.25" r="131" customHeight="1" ht="17.25">
      <c r="A131" s="7">
        <v>45988</v>
      </c>
      <c r="B131" s="9" t="s">
        <v>179</v>
      </c>
      <c r="C131" s="6">
        <v>6</v>
      </c>
      <c r="D131" s="3"/>
      <c r="E131" s="6">
        <f>E130+C131-D131</f>
      </c>
      <c r="F131" s="2"/>
    </row>
    <row x14ac:dyDescent="0.25" r="132" customHeight="1" ht="17.25">
      <c r="A132" s="7">
        <v>45992</v>
      </c>
      <c r="B132" s="9" t="s">
        <v>179</v>
      </c>
      <c r="C132" s="4"/>
      <c r="D132" s="6">
        <v>450</v>
      </c>
      <c r="E132" s="6">
        <f>E131+C132-D132</f>
      </c>
      <c r="F132" s="2"/>
    </row>
    <row x14ac:dyDescent="0.25" r="133" customHeight="1" ht="17.25">
      <c r="A133" s="7">
        <v>45992</v>
      </c>
      <c r="B133" s="9" t="s">
        <v>179</v>
      </c>
      <c r="C133" s="4"/>
      <c r="D133" s="6">
        <v>250</v>
      </c>
      <c r="E133" s="6">
        <f>E132+C133-D133</f>
      </c>
      <c r="F133" s="2"/>
    </row>
    <row x14ac:dyDescent="0.25" r="134" customHeight="1" ht="17.25">
      <c r="A134" s="7">
        <v>45992</v>
      </c>
      <c r="B134" s="9" t="s">
        <v>28</v>
      </c>
      <c r="C134" s="6">
        <v>12</v>
      </c>
      <c r="D134" s="3"/>
      <c r="E134" s="6">
        <f>E133+C134-D134</f>
      </c>
      <c r="F134" s="2"/>
    </row>
    <row x14ac:dyDescent="0.25" r="135" customHeight="1" ht="17.25">
      <c r="A135" s="7">
        <v>45993</v>
      </c>
      <c r="B135" s="9" t="s">
        <v>179</v>
      </c>
      <c r="C135" s="6">
        <v>57</v>
      </c>
      <c r="D135" s="3"/>
      <c r="E135" s="6">
        <f>E134+C135-D135</f>
      </c>
      <c r="F135" s="2"/>
    </row>
    <row x14ac:dyDescent="0.25" r="136" customHeight="1" ht="17.25">
      <c r="A136" s="7">
        <v>45995</v>
      </c>
      <c r="B136" s="9" t="s">
        <v>185</v>
      </c>
      <c r="C136" s="4"/>
      <c r="D136" s="6">
        <v>1000</v>
      </c>
      <c r="E136" s="6">
        <f>E135+C136-D136</f>
      </c>
      <c r="F136" s="2"/>
    </row>
    <row x14ac:dyDescent="0.25" r="137" customHeight="1" ht="17.25">
      <c r="A137" s="7">
        <v>45995</v>
      </c>
      <c r="B137" s="9" t="s">
        <v>55</v>
      </c>
      <c r="C137" s="4"/>
      <c r="D137" s="6">
        <v>300</v>
      </c>
      <c r="E137" s="6">
        <f>E136+C137-D137</f>
      </c>
      <c r="F137" s="2"/>
    </row>
    <row x14ac:dyDescent="0.25" r="138" customHeight="1" ht="17.25">
      <c r="A138" s="7">
        <v>45996</v>
      </c>
      <c r="B138" s="9" t="s">
        <v>180</v>
      </c>
      <c r="C138" s="6">
        <v>40</v>
      </c>
      <c r="D138" s="3"/>
      <c r="E138" s="6">
        <f>E137+C138-D138</f>
      </c>
      <c r="F138" s="2"/>
    </row>
    <row x14ac:dyDescent="0.25" r="139" customHeight="1" ht="17.25">
      <c r="A139" s="30">
        <v>45078</v>
      </c>
      <c r="B139" s="9" t="s">
        <v>28</v>
      </c>
      <c r="C139" s="6">
        <v>73</v>
      </c>
      <c r="D139" s="3"/>
      <c r="E139" s="6">
        <f>E138+C139-D139</f>
      </c>
      <c r="F139" s="2"/>
    </row>
    <row x14ac:dyDescent="0.25" r="140" customHeight="1" ht="17.25">
      <c r="A140" s="7">
        <v>45999</v>
      </c>
      <c r="B140" s="9" t="s">
        <v>185</v>
      </c>
      <c r="C140" s="4"/>
      <c r="D140" s="6">
        <v>500</v>
      </c>
      <c r="E140" s="6">
        <f>E139+C140-D140</f>
      </c>
      <c r="F140" s="2"/>
    </row>
    <row x14ac:dyDescent="0.25" r="141" customHeight="1" ht="17.25">
      <c r="A141" s="7">
        <v>46000</v>
      </c>
      <c r="B141" s="9" t="s">
        <v>185</v>
      </c>
      <c r="C141" s="4"/>
      <c r="D141" s="6">
        <v>800</v>
      </c>
      <c r="E141" s="6">
        <f>E140+C141-D141</f>
      </c>
      <c r="F141" s="2"/>
    </row>
    <row x14ac:dyDescent="0.25" r="142" customHeight="1" ht="17.25">
      <c r="A142" s="8">
        <v>46001</v>
      </c>
      <c r="B142" s="9" t="s">
        <v>46</v>
      </c>
      <c r="C142" s="4"/>
      <c r="D142" s="6">
        <v>200</v>
      </c>
      <c r="E142" s="6">
        <f>E141+C142-D142</f>
      </c>
      <c r="F142" s="2"/>
    </row>
    <row x14ac:dyDescent="0.25" r="143" customHeight="1" ht="17.25">
      <c r="A143" s="7">
        <v>46001</v>
      </c>
      <c r="B143" s="9" t="s">
        <v>180</v>
      </c>
      <c r="C143" s="6">
        <v>83</v>
      </c>
      <c r="D143" s="3"/>
      <c r="E143" s="6">
        <f>E142+C143-D143</f>
      </c>
      <c r="F143" s="2"/>
    </row>
    <row x14ac:dyDescent="0.25" r="144" customHeight="1" ht="17.25">
      <c r="A144" s="7">
        <v>46003</v>
      </c>
      <c r="B144" s="9" t="s">
        <v>46</v>
      </c>
      <c r="C144" s="4"/>
      <c r="D144" s="6">
        <v>200</v>
      </c>
      <c r="E144" s="6">
        <f>E143+C144-D144</f>
      </c>
      <c r="F144" s="2"/>
    </row>
    <row x14ac:dyDescent="0.25" r="145" customHeight="1" ht="17.25">
      <c r="A145" s="7">
        <v>46003</v>
      </c>
      <c r="B145" s="9" t="s">
        <v>180</v>
      </c>
      <c r="C145" s="6">
        <v>15</v>
      </c>
      <c r="D145" s="3"/>
      <c r="E145" s="6">
        <f>E144+C145-D145</f>
      </c>
      <c r="F145" s="2"/>
    </row>
    <row x14ac:dyDescent="0.25" r="146" customHeight="1" ht="17.25">
      <c r="A146" s="7">
        <v>46007</v>
      </c>
      <c r="B146" s="9" t="s">
        <v>28</v>
      </c>
      <c r="C146" s="6">
        <v>94</v>
      </c>
      <c r="D146" s="3"/>
      <c r="E146" s="6">
        <f>E145+C146-D146</f>
      </c>
      <c r="F146" s="2"/>
    </row>
    <row x14ac:dyDescent="0.25" r="147" customHeight="1" ht="17.25">
      <c r="A147" s="1"/>
      <c r="B147" s="2"/>
      <c r="C147" s="4"/>
      <c r="D147" s="6">
        <v>5500</v>
      </c>
      <c r="E147" s="6">
        <f>E146+C147-D147</f>
      </c>
      <c r="F147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6.71928571428571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197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35">
        <v>45658</v>
      </c>
      <c r="B3" s="9" t="s">
        <v>1</v>
      </c>
      <c r="C3" s="4"/>
      <c r="D3" s="4"/>
      <c r="E3" s="6">
        <v>1991</v>
      </c>
    </row>
    <row x14ac:dyDescent="0.25" r="4" customHeight="1" ht="17.25">
      <c r="A4" s="8">
        <v>45659</v>
      </c>
      <c r="B4" s="9" t="s">
        <v>118</v>
      </c>
      <c r="C4" s="4"/>
      <c r="D4" s="6">
        <v>100</v>
      </c>
      <c r="E4" s="6">
        <f>E3+C4-D4</f>
      </c>
    </row>
    <row x14ac:dyDescent="0.25" r="5" customHeight="1" ht="17.25">
      <c r="A5" s="8">
        <v>45660</v>
      </c>
      <c r="B5" s="9" t="s">
        <v>11</v>
      </c>
      <c r="C5" s="6">
        <v>129</v>
      </c>
      <c r="D5" s="4"/>
      <c r="E5" s="6">
        <f>E4+C5-D5</f>
      </c>
    </row>
    <row x14ac:dyDescent="0.25" r="6" customHeight="1" ht="17.25">
      <c r="A6" s="7">
        <v>45665</v>
      </c>
      <c r="B6" s="9" t="s">
        <v>171</v>
      </c>
      <c r="C6" s="6">
        <v>111</v>
      </c>
      <c r="D6" s="4"/>
      <c r="E6" s="6">
        <f>E5+C6-D6</f>
      </c>
    </row>
    <row x14ac:dyDescent="0.25" r="7" customHeight="1" ht="17.25">
      <c r="A7" s="7">
        <v>45666</v>
      </c>
      <c r="B7" s="9" t="s">
        <v>177</v>
      </c>
      <c r="C7" s="6">
        <v>16</v>
      </c>
      <c r="D7" s="4"/>
      <c r="E7" s="6">
        <f>E6+C7-D7</f>
      </c>
    </row>
    <row x14ac:dyDescent="0.25" r="8" customHeight="1" ht="17.25">
      <c r="A8" s="7">
        <v>45666</v>
      </c>
      <c r="B8" s="9" t="s">
        <v>171</v>
      </c>
      <c r="C8" s="6">
        <v>518</v>
      </c>
      <c r="D8" s="4"/>
      <c r="E8" s="6">
        <f>E7+C8-D8</f>
      </c>
    </row>
    <row x14ac:dyDescent="0.25" r="9" customHeight="1" ht="17.25">
      <c r="A9" s="7">
        <v>45666</v>
      </c>
      <c r="B9" s="9" t="s">
        <v>171</v>
      </c>
      <c r="C9" s="6">
        <v>403</v>
      </c>
      <c r="D9" s="4"/>
      <c r="E9" s="6">
        <f>E8+C9-D9</f>
      </c>
    </row>
    <row x14ac:dyDescent="0.25" r="10" customHeight="1" ht="17.25">
      <c r="A10" s="8">
        <v>45670</v>
      </c>
      <c r="B10" s="9" t="s">
        <v>31</v>
      </c>
      <c r="C10" s="6">
        <v>19</v>
      </c>
      <c r="D10" s="4"/>
      <c r="E10" s="6">
        <f>E9+C10-D10</f>
      </c>
    </row>
    <row x14ac:dyDescent="0.25" r="11" customHeight="1" ht="17.25">
      <c r="A11" s="7">
        <v>45674</v>
      </c>
      <c r="B11" s="9" t="s">
        <v>179</v>
      </c>
      <c r="C11" s="4"/>
      <c r="D11" s="6">
        <v>242</v>
      </c>
      <c r="E11" s="6">
        <f>E10+C11-D11</f>
      </c>
    </row>
    <row x14ac:dyDescent="0.25" r="12" customHeight="1" ht="17.25">
      <c r="A12" s="8">
        <v>45674</v>
      </c>
      <c r="B12" s="9" t="s">
        <v>189</v>
      </c>
      <c r="C12" s="6">
        <v>3</v>
      </c>
      <c r="D12" s="4"/>
      <c r="E12" s="6">
        <f>E11+C12-D12</f>
      </c>
    </row>
    <row x14ac:dyDescent="0.25" r="13" customHeight="1" ht="17.25">
      <c r="A13" s="7">
        <v>45691</v>
      </c>
      <c r="B13" s="9" t="s">
        <v>198</v>
      </c>
      <c r="C13" s="6">
        <v>5</v>
      </c>
      <c r="D13" s="4"/>
      <c r="E13" s="6">
        <f>E12+C13-D13</f>
      </c>
    </row>
    <row x14ac:dyDescent="0.25" r="14" customHeight="1" ht="17.25">
      <c r="A14" s="8">
        <v>45700</v>
      </c>
      <c r="B14" s="9" t="s">
        <v>11</v>
      </c>
      <c r="C14" s="6">
        <v>80</v>
      </c>
      <c r="D14" s="4"/>
      <c r="E14" s="6">
        <f>E13+C14-D14</f>
      </c>
    </row>
    <row x14ac:dyDescent="0.25" r="15" customHeight="1" ht="17.25">
      <c r="A15" s="8">
        <v>45705</v>
      </c>
      <c r="B15" s="9" t="s">
        <v>177</v>
      </c>
      <c r="C15" s="6">
        <v>10</v>
      </c>
      <c r="D15" s="4"/>
      <c r="E15" s="6">
        <f>E14+C15-D15</f>
      </c>
    </row>
    <row x14ac:dyDescent="0.25" r="16" customHeight="1" ht="17.25">
      <c r="A16" s="7">
        <v>45705</v>
      </c>
      <c r="B16" s="9" t="s">
        <v>128</v>
      </c>
      <c r="C16" s="6">
        <v>50</v>
      </c>
      <c r="D16" s="4"/>
      <c r="E16" s="6">
        <f>E15+C16-D16</f>
      </c>
    </row>
    <row x14ac:dyDescent="0.25" r="17" customHeight="1" ht="17.25">
      <c r="A17" s="8">
        <v>45706</v>
      </c>
      <c r="B17" s="9" t="s">
        <v>31</v>
      </c>
      <c r="C17" s="6">
        <v>105</v>
      </c>
      <c r="D17" s="4"/>
      <c r="E17" s="6">
        <f>E16+C17-D17</f>
      </c>
    </row>
    <row x14ac:dyDescent="0.25" r="18" customHeight="1" ht="17.25">
      <c r="A18" s="7">
        <v>45710</v>
      </c>
      <c r="B18" s="9" t="s">
        <v>11</v>
      </c>
      <c r="C18" s="6">
        <v>31</v>
      </c>
      <c r="D18" s="4"/>
      <c r="E18" s="6">
        <f>E17+C18-D18</f>
      </c>
    </row>
    <row x14ac:dyDescent="0.25" r="19" customHeight="1" ht="17.25">
      <c r="A19" s="8">
        <v>45714</v>
      </c>
      <c r="B19" s="9" t="s">
        <v>128</v>
      </c>
      <c r="C19" s="6">
        <v>99</v>
      </c>
      <c r="D19" s="4"/>
      <c r="E19" s="6">
        <f>E18+C19-D19</f>
      </c>
    </row>
    <row x14ac:dyDescent="0.25" r="20" customHeight="1" ht="17.25">
      <c r="A20" s="8">
        <v>45726</v>
      </c>
      <c r="B20" s="9" t="s">
        <v>31</v>
      </c>
      <c r="C20" s="4"/>
      <c r="D20" s="6">
        <v>105</v>
      </c>
      <c r="E20" s="6">
        <f>E19+C20-D20</f>
      </c>
    </row>
    <row x14ac:dyDescent="0.25" r="21" customHeight="1" ht="17.25">
      <c r="A21" s="8">
        <v>45727</v>
      </c>
      <c r="B21" s="9" t="s">
        <v>119</v>
      </c>
      <c r="C21" s="6">
        <v>6</v>
      </c>
      <c r="D21" s="4"/>
      <c r="E21" s="6">
        <f>E20+C21-D21</f>
      </c>
    </row>
    <row x14ac:dyDescent="0.25" r="22" customHeight="1" ht="17.25">
      <c r="A22" s="8">
        <v>45733</v>
      </c>
      <c r="B22" s="9" t="s">
        <v>11</v>
      </c>
      <c r="C22" s="6">
        <v>28</v>
      </c>
      <c r="D22" s="4"/>
      <c r="E22" s="6">
        <f>E21+C22-D22</f>
      </c>
    </row>
    <row x14ac:dyDescent="0.25" r="23" customHeight="1" ht="17.25">
      <c r="A23" s="8">
        <v>45740</v>
      </c>
      <c r="B23" s="9" t="s">
        <v>119</v>
      </c>
      <c r="C23" s="6">
        <v>114</v>
      </c>
      <c r="D23" s="4"/>
      <c r="E23" s="6">
        <f>E22+C23-D23</f>
      </c>
    </row>
    <row x14ac:dyDescent="0.25" r="24" customHeight="1" ht="17.25">
      <c r="A24" s="8">
        <v>45741</v>
      </c>
      <c r="B24" s="9" t="s">
        <v>119</v>
      </c>
      <c r="C24" s="6">
        <v>19</v>
      </c>
      <c r="D24" s="4"/>
      <c r="E24" s="6">
        <f>E23+C24-D24</f>
      </c>
    </row>
    <row x14ac:dyDescent="0.25" r="25" customHeight="1" ht="17.25">
      <c r="A25" s="7">
        <v>45769</v>
      </c>
      <c r="B25" s="9" t="s">
        <v>118</v>
      </c>
      <c r="C25" s="6">
        <v>2</v>
      </c>
      <c r="D25" s="4"/>
      <c r="E25" s="6">
        <f>E24+C25-D25</f>
      </c>
    </row>
    <row x14ac:dyDescent="0.25" r="26" customHeight="1" ht="17.25">
      <c r="A26" s="7">
        <v>45772</v>
      </c>
      <c r="B26" s="9" t="s">
        <v>180</v>
      </c>
      <c r="C26" s="4"/>
      <c r="D26" s="6">
        <v>150</v>
      </c>
      <c r="E26" s="6">
        <f>E25+C26-D26</f>
      </c>
    </row>
    <row x14ac:dyDescent="0.25" r="27" customHeight="1" ht="17.25">
      <c r="A27" s="7">
        <v>45773</v>
      </c>
      <c r="B27" s="9" t="s">
        <v>180</v>
      </c>
      <c r="C27" s="4"/>
      <c r="D27" s="6">
        <v>125</v>
      </c>
      <c r="E27" s="6">
        <f>E26+C27-D27</f>
      </c>
    </row>
    <row x14ac:dyDescent="0.25" r="28" customHeight="1" ht="17.25">
      <c r="A28" s="7">
        <v>45775</v>
      </c>
      <c r="B28" s="9" t="s">
        <v>180</v>
      </c>
      <c r="C28" s="4"/>
      <c r="D28" s="6">
        <v>1100</v>
      </c>
      <c r="E28" s="6">
        <f>E27+C28-D28</f>
      </c>
    </row>
    <row x14ac:dyDescent="0.25" r="29" customHeight="1" ht="17.25">
      <c r="A29" s="7">
        <v>45776</v>
      </c>
      <c r="B29" s="9" t="s">
        <v>180</v>
      </c>
      <c r="C29" s="4"/>
      <c r="D29" s="6">
        <v>750</v>
      </c>
      <c r="E29" s="6">
        <f>E28+C29-D29</f>
      </c>
    </row>
    <row x14ac:dyDescent="0.25" r="30" customHeight="1" ht="17.25">
      <c r="A30" s="7">
        <v>45777</v>
      </c>
      <c r="B30" s="9" t="s">
        <v>180</v>
      </c>
      <c r="C30" s="4"/>
      <c r="D30" s="6">
        <v>923</v>
      </c>
      <c r="E30" s="6">
        <f>E29+C30-D30</f>
      </c>
    </row>
    <row x14ac:dyDescent="0.25" r="31" customHeight="1" ht="17.25">
      <c r="A31" s="7">
        <v>45786</v>
      </c>
      <c r="B31" s="9" t="s">
        <v>180</v>
      </c>
      <c r="C31" s="4"/>
      <c r="D31" s="6">
        <v>350</v>
      </c>
      <c r="E31" s="6">
        <f>E30+C31-D31</f>
      </c>
    </row>
    <row x14ac:dyDescent="0.25" r="32" customHeight="1" ht="17.25">
      <c r="A32" s="1"/>
      <c r="B32" s="9" t="s">
        <v>199</v>
      </c>
      <c r="C32" s="6">
        <f>126*4</f>
      </c>
      <c r="D32" s="4"/>
      <c r="E32" s="6">
        <f>E31+C32-D32</f>
      </c>
    </row>
    <row x14ac:dyDescent="0.25" r="33" customHeight="1" ht="17.25">
      <c r="A33" s="8">
        <v>45824</v>
      </c>
      <c r="B33" s="9" t="s">
        <v>46</v>
      </c>
      <c r="C33" s="4"/>
      <c r="D33" s="6">
        <v>220</v>
      </c>
      <c r="E33" s="3"/>
    </row>
    <row x14ac:dyDescent="0.25" r="34" customHeight="1" ht="17.25">
      <c r="A34" s="7">
        <v>45826</v>
      </c>
      <c r="B34" s="9" t="s">
        <v>46</v>
      </c>
      <c r="C34" s="4"/>
      <c r="D34" s="6">
        <v>220</v>
      </c>
      <c r="E34" s="3"/>
    </row>
    <row x14ac:dyDescent="0.25" r="35" customHeight="1" ht="17.25">
      <c r="A35" s="7">
        <v>45826</v>
      </c>
      <c r="B35" s="9" t="s">
        <v>182</v>
      </c>
      <c r="C35" s="4"/>
      <c r="D35" s="6">
        <v>60</v>
      </c>
      <c r="E35" s="3"/>
    </row>
    <row x14ac:dyDescent="0.25" r="36" customHeight="1" ht="17.25">
      <c r="A36" s="7">
        <v>45830</v>
      </c>
      <c r="B36" s="9" t="s">
        <v>46</v>
      </c>
      <c r="C36" s="4"/>
      <c r="D36" s="6">
        <v>218</v>
      </c>
      <c r="E36" s="6">
        <v>0</v>
      </c>
    </row>
    <row x14ac:dyDescent="0.25" r="37" customHeight="1" ht="17.25">
      <c r="A37" s="7">
        <v>45840</v>
      </c>
      <c r="B37" s="9" t="s">
        <v>180</v>
      </c>
      <c r="C37" s="6">
        <v>359</v>
      </c>
      <c r="D37" s="4"/>
      <c r="E37" s="6">
        <v>359</v>
      </c>
    </row>
    <row x14ac:dyDescent="0.25" r="38" customHeight="1" ht="17.25">
      <c r="A38" s="8">
        <v>45841</v>
      </c>
      <c r="B38" s="9" t="s">
        <v>180</v>
      </c>
      <c r="C38" s="6">
        <v>541</v>
      </c>
      <c r="D38" s="4"/>
      <c r="E38" s="6">
        <f>E37+C38-D38</f>
      </c>
    </row>
    <row x14ac:dyDescent="0.25" r="39" customHeight="1" ht="17.25">
      <c r="A39" s="7">
        <v>45843</v>
      </c>
      <c r="B39" s="9" t="s">
        <v>28</v>
      </c>
      <c r="C39" s="4"/>
      <c r="D39" s="6">
        <v>100</v>
      </c>
      <c r="E39" s="6">
        <f>E38+C39-D39</f>
      </c>
    </row>
    <row x14ac:dyDescent="0.25" r="40" customHeight="1" ht="17.25">
      <c r="A40" s="8">
        <v>45843</v>
      </c>
      <c r="B40" s="9" t="s">
        <v>46</v>
      </c>
      <c r="C40" s="4"/>
      <c r="D40" s="6">
        <v>220</v>
      </c>
      <c r="E40" s="6">
        <f>E39+C40-D40</f>
      </c>
    </row>
    <row x14ac:dyDescent="0.25" r="41" customHeight="1" ht="17.25">
      <c r="A41" s="8">
        <v>45845</v>
      </c>
      <c r="B41" s="9" t="s">
        <v>28</v>
      </c>
      <c r="C41" s="4"/>
      <c r="D41" s="6">
        <v>50</v>
      </c>
      <c r="E41" s="6">
        <f>E40+C41-D41</f>
      </c>
    </row>
    <row x14ac:dyDescent="0.25" r="42" customHeight="1" ht="17.25">
      <c r="A42" s="8">
        <v>45845</v>
      </c>
      <c r="B42" s="9" t="s">
        <v>28</v>
      </c>
      <c r="C42" s="4"/>
      <c r="D42" s="6">
        <v>50</v>
      </c>
      <c r="E42" s="6">
        <f>E41+C42-D42</f>
      </c>
    </row>
    <row x14ac:dyDescent="0.25" r="43" customHeight="1" ht="17.25">
      <c r="A43" s="7">
        <v>45847</v>
      </c>
      <c r="B43" s="9" t="s">
        <v>200</v>
      </c>
      <c r="C43" s="6">
        <v>100</v>
      </c>
      <c r="D43" s="4"/>
      <c r="E43" s="6">
        <f>E42+C43-D43</f>
      </c>
    </row>
    <row x14ac:dyDescent="0.25" r="44" customHeight="1" ht="17.25">
      <c r="A44" s="7">
        <v>45847</v>
      </c>
      <c r="B44" s="9" t="s">
        <v>46</v>
      </c>
      <c r="C44" s="4"/>
      <c r="D44" s="6">
        <v>130</v>
      </c>
      <c r="E44" s="6">
        <f>E43+C44-D44</f>
      </c>
    </row>
    <row x14ac:dyDescent="0.25" r="45" customHeight="1" ht="17.25">
      <c r="A45" s="7">
        <v>45848</v>
      </c>
      <c r="B45" s="9" t="s">
        <v>182</v>
      </c>
      <c r="C45" s="6">
        <v>2</v>
      </c>
      <c r="D45" s="4"/>
      <c r="E45" s="6">
        <f>E44+C45-D45</f>
      </c>
    </row>
    <row x14ac:dyDescent="0.25" r="46" customHeight="1" ht="17.25">
      <c r="A46" s="7">
        <v>45849</v>
      </c>
      <c r="B46" s="2" t="s">
        <v>46</v>
      </c>
      <c r="C46" s="4"/>
      <c r="D46" s="6">
        <v>250</v>
      </c>
      <c r="E46" s="6">
        <f>E45+C46-D46</f>
      </c>
    </row>
    <row x14ac:dyDescent="0.25" r="47" customHeight="1" ht="17.25">
      <c r="A47" s="8">
        <v>45853</v>
      </c>
      <c r="B47" s="9" t="s">
        <v>46</v>
      </c>
      <c r="C47" s="4"/>
      <c r="D47" s="6">
        <v>50</v>
      </c>
      <c r="E47" s="6">
        <f>E46+C47-D47</f>
      </c>
    </row>
    <row x14ac:dyDescent="0.25" r="48" customHeight="1" ht="17.25">
      <c r="A48" s="7">
        <v>45855</v>
      </c>
      <c r="B48" s="9" t="s">
        <v>46</v>
      </c>
      <c r="C48" s="4"/>
      <c r="D48" s="6">
        <v>200</v>
      </c>
      <c r="E48" s="6">
        <f>E47+C48-D48</f>
      </c>
    </row>
    <row x14ac:dyDescent="0.25" r="49" customHeight="1" ht="17.25">
      <c r="A49" s="8">
        <v>45868</v>
      </c>
      <c r="B49" s="9" t="s">
        <v>46</v>
      </c>
      <c r="C49" s="4"/>
      <c r="D49" s="6">
        <v>100</v>
      </c>
      <c r="E49" s="6">
        <f>E48+C49-D49</f>
      </c>
    </row>
    <row x14ac:dyDescent="0.25" r="50" customHeight="1" ht="17.25">
      <c r="A50" s="7">
        <v>45878</v>
      </c>
      <c r="B50" s="9" t="s">
        <v>28</v>
      </c>
      <c r="C50" s="6">
        <v>29</v>
      </c>
      <c r="D50" s="4"/>
      <c r="E50" s="6">
        <f>E49+C50-D50</f>
      </c>
    </row>
    <row x14ac:dyDescent="0.25" r="51" customHeight="1" ht="17.25">
      <c r="A51" s="1"/>
      <c r="B51" s="9" t="s">
        <v>201</v>
      </c>
      <c r="C51" s="4"/>
      <c r="D51" s="4"/>
      <c r="E51" s="6">
        <f>E50+C51-D51</f>
      </c>
    </row>
    <row x14ac:dyDescent="0.25" r="52" customHeight="1" ht="17.25">
      <c r="A52" s="7">
        <v>45879</v>
      </c>
      <c r="B52" s="9" t="s">
        <v>26</v>
      </c>
      <c r="C52" s="4"/>
      <c r="D52" s="6">
        <v>441</v>
      </c>
      <c r="E52" s="6">
        <f>E51+C52-D52</f>
      </c>
    </row>
    <row x14ac:dyDescent="0.25" r="53" customHeight="1" ht="17.25">
      <c r="A53" s="7">
        <v>45880</v>
      </c>
      <c r="B53" s="9" t="s">
        <v>182</v>
      </c>
      <c r="C53" s="6">
        <v>22</v>
      </c>
      <c r="D53" s="4"/>
      <c r="E53" s="6">
        <f>E52+C53-D53</f>
      </c>
    </row>
    <row x14ac:dyDescent="0.25" r="54" customHeight="1" ht="17.25">
      <c r="A54" s="7">
        <v>45880</v>
      </c>
      <c r="B54" s="9" t="s">
        <v>182</v>
      </c>
      <c r="C54" s="6">
        <v>8</v>
      </c>
      <c r="D54" s="4"/>
      <c r="E54" s="3"/>
    </row>
    <row x14ac:dyDescent="0.25" r="55" customHeight="1" ht="17.25">
      <c r="A55" s="7">
        <v>45880</v>
      </c>
      <c r="B55" s="9" t="s">
        <v>28</v>
      </c>
      <c r="C55" s="6">
        <v>3</v>
      </c>
      <c r="D55" s="4"/>
      <c r="E55" s="3"/>
    </row>
    <row x14ac:dyDescent="0.25" r="56" customHeight="1" ht="17.25">
      <c r="A56" s="7">
        <v>45881</v>
      </c>
      <c r="B56" s="9" t="s">
        <v>26</v>
      </c>
      <c r="C56" s="4"/>
      <c r="D56" s="6">
        <v>80</v>
      </c>
      <c r="E56" s="3"/>
    </row>
    <row x14ac:dyDescent="0.25" r="57" customHeight="1" ht="17.25">
      <c r="A57" s="8">
        <v>45881</v>
      </c>
      <c r="B57" s="9" t="s">
        <v>28</v>
      </c>
      <c r="C57" s="6">
        <v>34</v>
      </c>
      <c r="D57" s="4"/>
      <c r="E57" s="6">
        <v>0</v>
      </c>
    </row>
    <row x14ac:dyDescent="0.25" r="58" customHeight="1" ht="17.25">
      <c r="A58" s="7">
        <v>45883</v>
      </c>
      <c r="B58" s="9" t="s">
        <v>28</v>
      </c>
      <c r="C58" s="6">
        <v>14</v>
      </c>
      <c r="D58" s="4"/>
      <c r="E58" s="6">
        <v>14</v>
      </c>
    </row>
    <row x14ac:dyDescent="0.25" r="59" customHeight="1" ht="17.25">
      <c r="A59" s="7">
        <v>45888</v>
      </c>
      <c r="B59" s="9" t="s">
        <v>180</v>
      </c>
      <c r="C59" s="6">
        <v>424</v>
      </c>
      <c r="D59" s="4"/>
      <c r="E59" s="6">
        <v>438</v>
      </c>
    </row>
    <row x14ac:dyDescent="0.25" r="60" customHeight="1" ht="17.25">
      <c r="A60" s="7">
        <v>45889</v>
      </c>
      <c r="B60" s="9" t="s">
        <v>26</v>
      </c>
      <c r="C60" s="4"/>
      <c r="D60" s="6">
        <v>200</v>
      </c>
      <c r="E60" s="6">
        <v>238</v>
      </c>
    </row>
    <row x14ac:dyDescent="0.25" r="61" customHeight="1" ht="17.25">
      <c r="A61" s="8">
        <v>45891</v>
      </c>
      <c r="B61" s="9" t="s">
        <v>28</v>
      </c>
      <c r="C61" s="6">
        <v>20</v>
      </c>
      <c r="D61" s="4"/>
      <c r="E61" s="6">
        <f>E60+C61-D61</f>
      </c>
    </row>
    <row x14ac:dyDescent="0.25" r="62" customHeight="1" ht="17.25">
      <c r="A62" s="7">
        <v>45891</v>
      </c>
      <c r="B62" s="9" t="s">
        <v>179</v>
      </c>
      <c r="C62" s="6">
        <v>3</v>
      </c>
      <c r="D62" s="4"/>
      <c r="E62" s="6">
        <f>E61+C62-D62</f>
      </c>
    </row>
    <row x14ac:dyDescent="0.25" r="63" customHeight="1" ht="17.25">
      <c r="A63" s="7">
        <v>45892</v>
      </c>
      <c r="B63" s="9" t="s">
        <v>26</v>
      </c>
      <c r="C63" s="6">
        <v>66</v>
      </c>
      <c r="D63" s="4"/>
      <c r="E63" s="6">
        <f>E62+C63-D63</f>
      </c>
    </row>
    <row x14ac:dyDescent="0.25" r="64" customHeight="1" ht="17.25">
      <c r="A64" s="7">
        <v>45894</v>
      </c>
      <c r="B64" s="9" t="s">
        <v>28</v>
      </c>
      <c r="C64" s="6">
        <v>100</v>
      </c>
      <c r="D64" s="4"/>
      <c r="E64" s="6">
        <f>E63+C64-D64</f>
      </c>
    </row>
    <row x14ac:dyDescent="0.25" r="65" customHeight="1" ht="17.25">
      <c r="A65" s="7">
        <v>45895</v>
      </c>
      <c r="B65" s="9" t="s">
        <v>46</v>
      </c>
      <c r="C65" s="6">
        <v>236</v>
      </c>
      <c r="D65" s="4"/>
      <c r="E65" s="6">
        <f>E64+C65-D65</f>
      </c>
    </row>
    <row x14ac:dyDescent="0.25" r="66" customHeight="1" ht="17.25">
      <c r="A66" s="7">
        <v>45904</v>
      </c>
      <c r="B66" s="9" t="s">
        <v>46</v>
      </c>
      <c r="C66" s="6">
        <v>72</v>
      </c>
      <c r="D66" s="4"/>
      <c r="E66" s="6">
        <f>E65+C66-D66</f>
      </c>
    </row>
    <row x14ac:dyDescent="0.25" r="67" customHeight="1" ht="17.25">
      <c r="A67" s="8">
        <v>45909</v>
      </c>
      <c r="B67" s="9" t="s">
        <v>179</v>
      </c>
      <c r="C67" s="6">
        <v>28</v>
      </c>
      <c r="D67" s="4"/>
      <c r="E67" s="6">
        <f>E66+C67-D67</f>
      </c>
    </row>
    <row x14ac:dyDescent="0.25" r="68" customHeight="1" ht="17.25">
      <c r="A68" s="7">
        <v>45910</v>
      </c>
      <c r="B68" s="9" t="s">
        <v>46</v>
      </c>
      <c r="C68" s="6">
        <v>211</v>
      </c>
      <c r="D68" s="4"/>
      <c r="E68" s="6">
        <f>E67+C68-D68</f>
      </c>
    </row>
    <row x14ac:dyDescent="0.25" r="69" customHeight="1" ht="17.25">
      <c r="A69" s="8">
        <v>45912</v>
      </c>
      <c r="B69" s="9" t="s">
        <v>183</v>
      </c>
      <c r="C69" s="4"/>
      <c r="D69" s="6">
        <v>80</v>
      </c>
      <c r="E69" s="6">
        <f>E68+C69-D69</f>
      </c>
    </row>
    <row x14ac:dyDescent="0.25" r="70" customHeight="1" ht="17.25">
      <c r="A70" s="7">
        <v>45912</v>
      </c>
      <c r="B70" s="9" t="s">
        <v>46</v>
      </c>
      <c r="C70" s="6">
        <v>214</v>
      </c>
      <c r="D70" s="4"/>
      <c r="E70" s="6">
        <f>E69+C70-D70</f>
      </c>
    </row>
    <row x14ac:dyDescent="0.25" r="71" customHeight="1" ht="17.25">
      <c r="A71" s="7">
        <v>45913</v>
      </c>
      <c r="B71" s="9" t="s">
        <v>26</v>
      </c>
      <c r="C71" s="6">
        <v>72</v>
      </c>
      <c r="D71" s="4"/>
      <c r="E71" s="6">
        <f>E70+C71-D71</f>
      </c>
    </row>
    <row x14ac:dyDescent="0.25" r="72" customHeight="1" ht="17.25">
      <c r="A72" s="8">
        <v>45913</v>
      </c>
      <c r="B72" s="9" t="s">
        <v>26</v>
      </c>
      <c r="C72" s="6">
        <v>115</v>
      </c>
      <c r="D72" s="4"/>
      <c r="E72" s="6">
        <f>E71+C72-D72</f>
      </c>
    </row>
    <row x14ac:dyDescent="0.25" r="73" customHeight="1" ht="17.25">
      <c r="A73" s="7">
        <v>45915</v>
      </c>
      <c r="B73" s="9" t="s">
        <v>182</v>
      </c>
      <c r="C73" s="6">
        <v>1</v>
      </c>
      <c r="D73" s="4"/>
      <c r="E73" s="6">
        <f>E72+C73-D73</f>
      </c>
    </row>
    <row x14ac:dyDescent="0.25" r="74" customHeight="1" ht="17.25">
      <c r="A74" s="7">
        <v>45915</v>
      </c>
      <c r="B74" s="9" t="s">
        <v>179</v>
      </c>
      <c r="C74" s="6">
        <v>5</v>
      </c>
      <c r="D74" s="4"/>
      <c r="E74" s="6">
        <f>E73+C74-D74</f>
      </c>
    </row>
    <row x14ac:dyDescent="0.25" r="75" customHeight="1" ht="17.25">
      <c r="A75" s="7">
        <v>45919</v>
      </c>
      <c r="B75" s="9" t="s">
        <v>46</v>
      </c>
      <c r="C75" s="6">
        <v>123</v>
      </c>
      <c r="D75" s="4"/>
      <c r="E75" s="6">
        <f>E74+C75-D75</f>
      </c>
    </row>
    <row x14ac:dyDescent="0.25" r="76" customHeight="1" ht="17.25">
      <c r="A76" s="7">
        <v>45920</v>
      </c>
      <c r="B76" s="9" t="s">
        <v>46</v>
      </c>
      <c r="C76" s="6">
        <v>160</v>
      </c>
      <c r="D76" s="4"/>
      <c r="E76" s="6">
        <f>E75+C76-D76</f>
      </c>
    </row>
    <row x14ac:dyDescent="0.25" r="77" customHeight="1" ht="17.25">
      <c r="A77" s="7">
        <v>45923</v>
      </c>
      <c r="B77" s="9" t="s">
        <v>180</v>
      </c>
      <c r="C77" s="6">
        <v>135</v>
      </c>
      <c r="D77" s="4"/>
      <c r="E77" s="6">
        <f>E76+C77-D77</f>
      </c>
    </row>
    <row x14ac:dyDescent="0.25" r="78" customHeight="1" ht="17.25">
      <c r="A78" s="8">
        <v>45923</v>
      </c>
      <c r="B78" s="9" t="s">
        <v>26</v>
      </c>
      <c r="C78" s="6">
        <v>122</v>
      </c>
      <c r="D78" s="4"/>
      <c r="E78" s="6">
        <f>E77+C78-D78</f>
      </c>
    </row>
    <row x14ac:dyDescent="0.25" r="79" customHeight="1" ht="17.25">
      <c r="A79" s="7">
        <v>45930</v>
      </c>
      <c r="B79" s="9" t="s">
        <v>180</v>
      </c>
      <c r="C79" s="6">
        <v>198</v>
      </c>
      <c r="D79" s="4"/>
      <c r="E79" s="6">
        <f>E78+C79-D79</f>
      </c>
    </row>
    <row x14ac:dyDescent="0.25" r="80" customHeight="1" ht="17.25">
      <c r="A80" s="8">
        <v>45939</v>
      </c>
      <c r="B80" s="9" t="s">
        <v>26</v>
      </c>
      <c r="C80" s="6">
        <v>152</v>
      </c>
      <c r="D80" s="4"/>
      <c r="E80" s="6">
        <f>E79+C80-D80</f>
      </c>
    </row>
    <row x14ac:dyDescent="0.25" r="81" customHeight="1" ht="17.25">
      <c r="A81" s="8">
        <v>45941</v>
      </c>
      <c r="B81" s="9" t="s">
        <v>26</v>
      </c>
      <c r="C81" s="6">
        <v>148</v>
      </c>
      <c r="D81" s="4"/>
      <c r="E81" s="6">
        <f>E80+C81-D81</f>
      </c>
    </row>
    <row x14ac:dyDescent="0.25" r="82" customHeight="1" ht="17.25">
      <c r="A82" s="8">
        <v>45947</v>
      </c>
      <c r="B82" s="9" t="s">
        <v>179</v>
      </c>
      <c r="C82" s="6">
        <v>70</v>
      </c>
      <c r="D82" s="4"/>
      <c r="E82" s="6">
        <f>E81+C82-D82</f>
      </c>
    </row>
    <row x14ac:dyDescent="0.25" r="83" customHeight="1" ht="17.25">
      <c r="A83" s="7">
        <v>45951</v>
      </c>
      <c r="B83" s="9" t="s">
        <v>182</v>
      </c>
      <c r="C83" s="6">
        <v>35</v>
      </c>
      <c r="D83" s="4"/>
      <c r="E83" s="6">
        <f>E82+C83-D83</f>
      </c>
    </row>
    <row x14ac:dyDescent="0.25" r="84" customHeight="1" ht="17.25">
      <c r="A84" s="7">
        <v>45953</v>
      </c>
      <c r="B84" s="9" t="s">
        <v>26</v>
      </c>
      <c r="C84" s="6">
        <v>60</v>
      </c>
      <c r="D84" s="4"/>
      <c r="E84" s="6">
        <f>E83+C84-D84</f>
      </c>
    </row>
    <row x14ac:dyDescent="0.25" r="85" customHeight="1" ht="17.25">
      <c r="A85" s="8">
        <v>45955</v>
      </c>
      <c r="B85" s="9" t="s">
        <v>26</v>
      </c>
      <c r="C85" s="6">
        <v>73</v>
      </c>
      <c r="D85" s="4"/>
      <c r="E85" s="6">
        <f>E84+C85-D85</f>
      </c>
    </row>
    <row x14ac:dyDescent="0.25" r="86" customHeight="1" ht="17.25">
      <c r="A86" s="8">
        <v>45958</v>
      </c>
      <c r="B86" s="9" t="s">
        <v>26</v>
      </c>
      <c r="C86" s="6">
        <v>79</v>
      </c>
      <c r="D86" s="4"/>
      <c r="E86" s="6">
        <f>E85+C86-D86</f>
      </c>
    </row>
    <row x14ac:dyDescent="0.25" r="87" customHeight="1" ht="17.25">
      <c r="A87" s="8">
        <v>45958</v>
      </c>
      <c r="B87" s="9" t="s">
        <v>183</v>
      </c>
      <c r="C87" s="6">
        <v>80</v>
      </c>
      <c r="D87" s="4"/>
      <c r="E87" s="6">
        <f>E86+C87-D87</f>
      </c>
    </row>
    <row x14ac:dyDescent="0.25" r="88" customHeight="1" ht="17.25">
      <c r="A88" s="8">
        <v>45962</v>
      </c>
      <c r="B88" s="9" t="s">
        <v>26</v>
      </c>
      <c r="C88" s="6">
        <v>14</v>
      </c>
      <c r="D88" s="4"/>
      <c r="E88" s="6">
        <f>E87+C88-D88</f>
      </c>
    </row>
    <row x14ac:dyDescent="0.25" r="89" customHeight="1" ht="17.25">
      <c r="A89" s="8">
        <v>45974</v>
      </c>
      <c r="B89" s="9" t="s">
        <v>46</v>
      </c>
      <c r="C89" s="4"/>
      <c r="D89" s="6">
        <v>150</v>
      </c>
      <c r="E89" s="6">
        <f>E88+C89-D89</f>
      </c>
    </row>
    <row x14ac:dyDescent="0.25" r="90" customHeight="1" ht="17.25">
      <c r="A90" s="8">
        <v>45978</v>
      </c>
      <c r="B90" s="9" t="s">
        <v>179</v>
      </c>
      <c r="C90" s="6">
        <v>15</v>
      </c>
      <c r="D90" s="4"/>
      <c r="E90" s="6">
        <f>E89+C90-D90</f>
      </c>
    </row>
    <row x14ac:dyDescent="0.25" r="91" customHeight="1" ht="17.25">
      <c r="A91" s="8">
        <v>45980</v>
      </c>
      <c r="B91" s="9" t="s">
        <v>26</v>
      </c>
      <c r="C91" s="6">
        <v>7</v>
      </c>
      <c r="D91" s="4"/>
      <c r="E91" s="6">
        <f>E90+C91-D91</f>
      </c>
    </row>
    <row x14ac:dyDescent="0.25" r="92" customHeight="1" ht="17.25">
      <c r="A92" s="8">
        <v>45985</v>
      </c>
      <c r="B92" s="9" t="s">
        <v>26</v>
      </c>
      <c r="C92" s="6">
        <v>1</v>
      </c>
      <c r="D92" s="4"/>
      <c r="E92" s="6">
        <f>E91+C92-D92</f>
      </c>
    </row>
    <row x14ac:dyDescent="0.25" r="93" customHeight="1" ht="17.25">
      <c r="A93" s="7">
        <v>45988</v>
      </c>
      <c r="B93" s="9" t="s">
        <v>179</v>
      </c>
      <c r="C93" s="6">
        <v>7</v>
      </c>
      <c r="D93" s="4"/>
      <c r="E93" s="6">
        <f>E92+C93-D93</f>
      </c>
    </row>
    <row x14ac:dyDescent="0.25" r="94" customHeight="1" ht="17.25">
      <c r="A94" s="7">
        <v>45993</v>
      </c>
      <c r="B94" s="9" t="s">
        <v>179</v>
      </c>
      <c r="C94" s="6">
        <v>21</v>
      </c>
      <c r="D94" s="4"/>
      <c r="E94" s="6">
        <f>E93+C94-D94</f>
      </c>
    </row>
    <row x14ac:dyDescent="0.25" r="95" customHeight="1" ht="17.25">
      <c r="A95" s="7">
        <v>45993</v>
      </c>
      <c r="B95" s="9" t="s">
        <v>26</v>
      </c>
      <c r="C95" s="6">
        <v>8</v>
      </c>
      <c r="D95" s="4"/>
      <c r="E95" s="6">
        <f>E94+C95-D95</f>
      </c>
    </row>
    <row x14ac:dyDescent="0.25" r="96" customHeight="1" ht="17.25">
      <c r="A96" s="7">
        <v>45995</v>
      </c>
      <c r="B96" s="9" t="s">
        <v>185</v>
      </c>
      <c r="C96" s="4"/>
      <c r="D96" s="6">
        <v>400</v>
      </c>
      <c r="E96" s="6">
        <f>E95+C96-D96</f>
      </c>
    </row>
    <row x14ac:dyDescent="0.25" r="97" customHeight="1" ht="17.25">
      <c r="A97" s="7">
        <v>45995</v>
      </c>
      <c r="B97" s="9" t="s">
        <v>180</v>
      </c>
      <c r="C97" s="6">
        <v>201</v>
      </c>
      <c r="D97" s="4"/>
      <c r="E97" s="6">
        <f>E96+C97-D97</f>
      </c>
    </row>
    <row x14ac:dyDescent="0.25" r="98" customHeight="1" ht="17.25">
      <c r="A98" s="7">
        <v>45996</v>
      </c>
      <c r="B98" s="9" t="s">
        <v>180</v>
      </c>
      <c r="C98" s="6">
        <v>158</v>
      </c>
      <c r="D98" s="4"/>
      <c r="E98" s="6">
        <f>E97+C98-D98</f>
      </c>
    </row>
    <row x14ac:dyDescent="0.25" r="99" customHeight="1" ht="17.25">
      <c r="A99" s="7">
        <v>45999</v>
      </c>
      <c r="B99" s="9" t="s">
        <v>185</v>
      </c>
      <c r="C99" s="4"/>
      <c r="D99" s="6">
        <v>500</v>
      </c>
      <c r="E99" s="6">
        <f>E98+C99-D99</f>
      </c>
    </row>
    <row x14ac:dyDescent="0.25" r="100" customHeight="1" ht="17.25">
      <c r="A100" s="7">
        <v>46000</v>
      </c>
      <c r="B100" s="9" t="s">
        <v>185</v>
      </c>
      <c r="C100" s="4"/>
      <c r="D100" s="6">
        <v>700</v>
      </c>
      <c r="E100" s="6">
        <f>E99+C100-D100</f>
      </c>
    </row>
    <row x14ac:dyDescent="0.25" r="101" customHeight="1" ht="17.25">
      <c r="A101" s="8">
        <v>46000</v>
      </c>
      <c r="B101" s="9" t="s">
        <v>46</v>
      </c>
      <c r="C101" s="4"/>
      <c r="D101" s="6">
        <v>1000</v>
      </c>
      <c r="E101" s="6">
        <f>E100+C101-D101</f>
      </c>
    </row>
    <row x14ac:dyDescent="0.25" r="102" customHeight="1" ht="17.25">
      <c r="A102" s="8">
        <v>46001</v>
      </c>
      <c r="B102" s="9" t="s">
        <v>46</v>
      </c>
      <c r="C102" s="4"/>
      <c r="D102" s="6">
        <v>160</v>
      </c>
      <c r="E102" s="6">
        <f>E101+C102-D102</f>
      </c>
    </row>
    <row x14ac:dyDescent="0.25" r="103" customHeight="1" ht="17.25">
      <c r="A103" s="7">
        <v>46003</v>
      </c>
      <c r="B103" s="9" t="s">
        <v>46</v>
      </c>
      <c r="C103" s="4"/>
      <c r="D103" s="6">
        <v>140</v>
      </c>
      <c r="E103" s="6">
        <f>E102+C103-D103</f>
      </c>
    </row>
    <row x14ac:dyDescent="0.25" r="104" customHeight="1" ht="17.25">
      <c r="A104" s="7">
        <v>46003</v>
      </c>
      <c r="B104" s="9" t="s">
        <v>180</v>
      </c>
      <c r="C104" s="6">
        <v>132</v>
      </c>
      <c r="D104" s="4"/>
      <c r="E104" s="6">
        <f>E103+C104-D104</f>
      </c>
    </row>
    <row x14ac:dyDescent="0.25" r="105" customHeight="1" ht="17.25">
      <c r="A105" s="1"/>
      <c r="B105" s="2"/>
      <c r="C105" s="4"/>
      <c r="D105" s="4"/>
      <c r="E105" s="6">
        <f>E104+C105-D105</f>
      </c>
    </row>
    <row x14ac:dyDescent="0.25" r="106" customHeight="1" ht="17.25">
      <c r="A106" s="1"/>
      <c r="B106" s="2"/>
      <c r="C106" s="4"/>
      <c r="D106" s="4"/>
      <c r="E106" s="6">
        <f>E105+C106-D106</f>
      </c>
    </row>
    <row x14ac:dyDescent="0.25" r="107" customHeight="1" ht="17.25">
      <c r="A107" s="1"/>
      <c r="B107" s="2"/>
      <c r="C107" s="4"/>
      <c r="D107" s="4"/>
      <c r="E107" s="6">
        <f>E106+C107-D107</f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8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6.576428571428572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193</v>
      </c>
      <c r="B1" s="2"/>
      <c r="C1" s="3"/>
      <c r="D1" s="4"/>
      <c r="E1" s="4"/>
      <c r="F1" s="2"/>
    </row>
    <row x14ac:dyDescent="0.25" r="2" customHeight="1" ht="17.25">
      <c r="A2" s="1"/>
      <c r="B2" s="2"/>
      <c r="C2" s="3"/>
      <c r="D2" s="4"/>
      <c r="E2" s="4"/>
      <c r="F2" s="2"/>
    </row>
    <row x14ac:dyDescent="0.25" r="3" customHeight="1" ht="17.25">
      <c r="A3" s="5">
        <v>45658</v>
      </c>
      <c r="B3" s="2" t="s">
        <v>1</v>
      </c>
      <c r="C3" s="3"/>
      <c r="D3" s="4"/>
      <c r="E3" s="6">
        <v>119</v>
      </c>
      <c r="F3" s="2" t="s">
        <v>194</v>
      </c>
    </row>
    <row x14ac:dyDescent="0.25" r="4" customHeight="1" ht="17.25">
      <c r="A4" s="7">
        <v>45666</v>
      </c>
      <c r="B4" s="2" t="s">
        <v>171</v>
      </c>
      <c r="C4" s="6">
        <v>124</v>
      </c>
      <c r="D4" s="4"/>
      <c r="E4" s="6">
        <f>E3+C4-D4</f>
      </c>
      <c r="F4" s="2"/>
    </row>
    <row x14ac:dyDescent="0.25" r="5" customHeight="1" ht="17.25">
      <c r="A5" s="7">
        <v>45666</v>
      </c>
      <c r="B5" s="2" t="s">
        <v>171</v>
      </c>
      <c r="C5" s="6">
        <v>37</v>
      </c>
      <c r="D5" s="4"/>
      <c r="E5" s="6">
        <f>E4+C5-D5</f>
      </c>
      <c r="F5" s="2"/>
    </row>
    <row x14ac:dyDescent="0.25" r="6" customHeight="1" ht="17.25">
      <c r="A6" s="7">
        <v>45681</v>
      </c>
      <c r="B6" s="2" t="s">
        <v>195</v>
      </c>
      <c r="C6" s="3"/>
      <c r="D6" s="6">
        <v>1</v>
      </c>
      <c r="E6" s="6">
        <f>E5+C6-D6</f>
      </c>
      <c r="F6" s="2"/>
    </row>
    <row x14ac:dyDescent="0.25" r="7" customHeight="1" ht="17.25">
      <c r="A7" s="8">
        <v>45692</v>
      </c>
      <c r="B7" s="9" t="s">
        <v>173</v>
      </c>
      <c r="C7" s="6">
        <v>55</v>
      </c>
      <c r="D7" s="4"/>
      <c r="E7" s="6">
        <f>E6+C7-D7</f>
      </c>
      <c r="F7" s="2"/>
    </row>
    <row x14ac:dyDescent="0.25" r="8" customHeight="1" ht="17.25">
      <c r="A8" s="7">
        <v>45698</v>
      </c>
      <c r="B8" s="2" t="s">
        <v>173</v>
      </c>
      <c r="C8" s="6">
        <v>68</v>
      </c>
      <c r="D8" s="4"/>
      <c r="E8" s="6">
        <f>E7+C8-D8</f>
      </c>
      <c r="F8" s="2"/>
    </row>
    <row x14ac:dyDescent="0.25" r="9" customHeight="1" ht="17.25">
      <c r="A9" s="8">
        <v>45727</v>
      </c>
      <c r="B9" s="9" t="s">
        <v>173</v>
      </c>
      <c r="C9" s="6">
        <v>28</v>
      </c>
      <c r="D9" s="4"/>
      <c r="E9" s="6">
        <f>E8+C9-D9</f>
      </c>
      <c r="F9" s="2"/>
    </row>
    <row x14ac:dyDescent="0.25" r="10" customHeight="1" ht="17.25">
      <c r="A10" s="8">
        <v>45733</v>
      </c>
      <c r="B10" s="9" t="s">
        <v>11</v>
      </c>
      <c r="C10" s="6">
        <v>3</v>
      </c>
      <c r="D10" s="4"/>
      <c r="E10" s="6">
        <f>E9+C10-D10</f>
      </c>
      <c r="F10" s="2"/>
    </row>
    <row x14ac:dyDescent="0.25" r="11" customHeight="1" ht="17.25">
      <c r="A11" s="7">
        <v>45742</v>
      </c>
      <c r="B11" s="9" t="s">
        <v>173</v>
      </c>
      <c r="C11" s="6">
        <v>4</v>
      </c>
      <c r="D11" s="4"/>
      <c r="E11" s="6">
        <f>E10+C11-D11</f>
      </c>
      <c r="F11" s="2"/>
    </row>
    <row x14ac:dyDescent="0.25" r="12" customHeight="1" ht="17.25">
      <c r="A12" s="7">
        <v>45772</v>
      </c>
      <c r="B12" s="9" t="s">
        <v>180</v>
      </c>
      <c r="C12" s="3"/>
      <c r="D12" s="6">
        <v>155</v>
      </c>
      <c r="E12" s="6">
        <f>E11+C12-D12</f>
      </c>
      <c r="F12" s="2"/>
    </row>
    <row x14ac:dyDescent="0.25" r="13" customHeight="1" ht="17.25">
      <c r="A13" s="7">
        <v>45784</v>
      </c>
      <c r="B13" s="9" t="s">
        <v>180</v>
      </c>
      <c r="C13" s="3"/>
      <c r="D13" s="6">
        <v>300</v>
      </c>
      <c r="E13" s="4"/>
      <c r="F13" s="2"/>
    </row>
    <row x14ac:dyDescent="0.25" r="14" customHeight="1" ht="17.25">
      <c r="A14" s="7">
        <v>45792</v>
      </c>
      <c r="B14" s="9" t="s">
        <v>180</v>
      </c>
      <c r="C14" s="3"/>
      <c r="D14" s="6">
        <v>160</v>
      </c>
      <c r="E14" s="4"/>
      <c r="F14" s="2"/>
    </row>
    <row x14ac:dyDescent="0.25" r="15" customHeight="1" ht="17.25">
      <c r="A15" s="7">
        <v>45834</v>
      </c>
      <c r="B15" s="9" t="s">
        <v>173</v>
      </c>
      <c r="C15" s="6">
        <v>5</v>
      </c>
      <c r="D15" s="4"/>
      <c r="E15" s="6">
        <v>5</v>
      </c>
      <c r="F15" s="2"/>
    </row>
    <row x14ac:dyDescent="0.25" r="16" customHeight="1" ht="17.25">
      <c r="A16" s="8">
        <v>45841</v>
      </c>
      <c r="B16" s="9" t="s">
        <v>180</v>
      </c>
      <c r="C16" s="6">
        <v>28</v>
      </c>
      <c r="D16" s="4"/>
      <c r="E16" s="6">
        <v>28</v>
      </c>
      <c r="F16" s="2"/>
    </row>
    <row x14ac:dyDescent="0.25" r="17" customHeight="1" ht="17.25">
      <c r="A17" s="1"/>
      <c r="B17" s="2"/>
      <c r="C17" s="3"/>
      <c r="D17" s="4"/>
      <c r="E17" s="4"/>
      <c r="F17" s="2"/>
    </row>
    <row x14ac:dyDescent="0.25" r="18" customHeight="1" ht="17.25">
      <c r="A18" s="7">
        <v>45869</v>
      </c>
      <c r="B18" s="9" t="s">
        <v>180</v>
      </c>
      <c r="C18" s="3"/>
      <c r="D18" s="6">
        <v>130</v>
      </c>
      <c r="E18" s="4"/>
      <c r="F18" s="2"/>
    </row>
    <row x14ac:dyDescent="0.25" r="19" customHeight="1" ht="17.25">
      <c r="A19" s="7">
        <v>45878</v>
      </c>
      <c r="B19" s="9" t="s">
        <v>180</v>
      </c>
      <c r="C19" s="3"/>
      <c r="D19" s="6">
        <v>100</v>
      </c>
      <c r="E19" s="4"/>
      <c r="F19" s="2"/>
    </row>
    <row x14ac:dyDescent="0.25" r="20" customHeight="1" ht="17.25">
      <c r="A20" s="7">
        <v>45881</v>
      </c>
      <c r="B20" s="9" t="s">
        <v>63</v>
      </c>
      <c r="C20" s="6">
        <v>100</v>
      </c>
      <c r="D20" s="4"/>
      <c r="E20" s="4"/>
      <c r="F20" s="2"/>
    </row>
    <row x14ac:dyDescent="0.25" r="21" customHeight="1" ht="17.25">
      <c r="A21" s="7">
        <v>45881</v>
      </c>
      <c r="B21" s="9" t="s">
        <v>180</v>
      </c>
      <c r="C21" s="3"/>
      <c r="D21" s="6">
        <v>100</v>
      </c>
      <c r="E21" s="4"/>
      <c r="F21" s="2"/>
    </row>
    <row x14ac:dyDescent="0.25" r="22" customHeight="1" ht="17.25">
      <c r="A22" s="7">
        <v>45888</v>
      </c>
      <c r="B22" s="9" t="s">
        <v>180</v>
      </c>
      <c r="C22" s="6">
        <v>29</v>
      </c>
      <c r="D22" s="4"/>
      <c r="E22" s="4"/>
      <c r="F22" s="2"/>
    </row>
    <row x14ac:dyDescent="0.25" r="23" customHeight="1" ht="17.25">
      <c r="A23" s="7">
        <v>45915</v>
      </c>
      <c r="B23" s="9" t="s">
        <v>179</v>
      </c>
      <c r="C23" s="6">
        <v>21</v>
      </c>
      <c r="D23" s="4"/>
      <c r="E23" s="4"/>
      <c r="F23" s="2"/>
    </row>
    <row x14ac:dyDescent="0.25" r="24" customHeight="1" ht="17.25">
      <c r="A24" s="7"/>
      <c r="B24" s="9" t="s">
        <v>196</v>
      </c>
      <c r="C24" s="3"/>
      <c r="D24" s="4"/>
      <c r="E24" s="4"/>
      <c r="F24" s="2"/>
    </row>
    <row x14ac:dyDescent="0.25" r="25" customHeight="1" ht="17.25">
      <c r="A25" s="8">
        <v>45954</v>
      </c>
      <c r="B25" s="9" t="s">
        <v>174</v>
      </c>
      <c r="C25" s="3"/>
      <c r="D25" s="6">
        <v>48</v>
      </c>
      <c r="E25" s="4"/>
      <c r="F25" s="2"/>
    </row>
    <row x14ac:dyDescent="0.25" r="26" customHeight="1" ht="17.25">
      <c r="A26" s="7">
        <v>45987</v>
      </c>
      <c r="B26" s="9" t="s">
        <v>175</v>
      </c>
      <c r="C26" s="6">
        <v>7</v>
      </c>
      <c r="D26" s="4"/>
      <c r="E26" s="4"/>
      <c r="F26" s="2"/>
    </row>
    <row x14ac:dyDescent="0.25" r="27" customHeight="1" ht="17.25">
      <c r="A27" s="7">
        <v>45996</v>
      </c>
      <c r="B27" s="9" t="s">
        <v>180</v>
      </c>
      <c r="C27" s="6">
        <v>17</v>
      </c>
      <c r="D27" s="4"/>
      <c r="E27" s="4"/>
      <c r="F27" s="2"/>
    </row>
    <row x14ac:dyDescent="0.25" r="28" customHeight="1" ht="17.25">
      <c r="A28" s="7">
        <v>46003</v>
      </c>
      <c r="B28" s="9" t="s">
        <v>180</v>
      </c>
      <c r="C28" s="6">
        <v>14</v>
      </c>
      <c r="D28" s="4"/>
      <c r="E28" s="4"/>
      <c r="F28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2.576428571428572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190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14">
        <v>3449</v>
      </c>
    </row>
    <row x14ac:dyDescent="0.25" r="4" customHeight="1" ht="17.25">
      <c r="A4" s="7">
        <v>3452</v>
      </c>
      <c r="B4" s="2" t="s">
        <v>11</v>
      </c>
      <c r="C4" s="6">
        <v>62</v>
      </c>
      <c r="D4" s="4"/>
      <c r="E4" s="6">
        <f>E3+C4-D4</f>
      </c>
    </row>
    <row x14ac:dyDescent="0.25" r="5" customHeight="1" ht="17.25">
      <c r="A5" s="7">
        <v>45674</v>
      </c>
      <c r="B5" s="9" t="s">
        <v>179</v>
      </c>
      <c r="C5" s="4"/>
      <c r="D5" s="6">
        <v>11</v>
      </c>
      <c r="E5" s="6">
        <f>E4+C5-D5</f>
      </c>
    </row>
    <row x14ac:dyDescent="0.25" r="6" customHeight="1" ht="17.25">
      <c r="A6" s="7">
        <v>45681</v>
      </c>
      <c r="B6" s="2" t="s">
        <v>191</v>
      </c>
      <c r="C6" s="4"/>
      <c r="D6" s="6">
        <v>38</v>
      </c>
      <c r="E6" s="6">
        <f>E5+C6-D6</f>
      </c>
    </row>
    <row x14ac:dyDescent="0.25" r="7" customHeight="1" ht="17.25">
      <c r="A7" s="8">
        <v>45686</v>
      </c>
      <c r="B7" s="9" t="s">
        <v>11</v>
      </c>
      <c r="C7" s="6">
        <v>133</v>
      </c>
      <c r="D7" s="4"/>
      <c r="E7" s="6">
        <f>E6+C7-D7</f>
      </c>
    </row>
    <row x14ac:dyDescent="0.25" r="8" customHeight="1" ht="17.25">
      <c r="A8" s="8">
        <v>45689</v>
      </c>
      <c r="B8" s="9" t="s">
        <v>11</v>
      </c>
      <c r="C8" s="6">
        <v>14</v>
      </c>
      <c r="D8" s="4"/>
      <c r="E8" s="6">
        <f>E7+C8-D8</f>
      </c>
    </row>
    <row x14ac:dyDescent="0.25" r="9" customHeight="1" ht="17.25">
      <c r="A9" s="8">
        <v>45702</v>
      </c>
      <c r="B9" s="9" t="s">
        <v>11</v>
      </c>
      <c r="C9" s="6">
        <v>58</v>
      </c>
      <c r="D9" s="4"/>
      <c r="E9" s="6">
        <f>E8+C9-D9</f>
      </c>
    </row>
    <row x14ac:dyDescent="0.25" r="10" customHeight="1" ht="17.25">
      <c r="A10" s="8">
        <v>45733</v>
      </c>
      <c r="B10" s="9" t="s">
        <v>11</v>
      </c>
      <c r="C10" s="6">
        <v>15</v>
      </c>
      <c r="D10" s="4"/>
      <c r="E10" s="6">
        <f>E9+C10-D10</f>
      </c>
    </row>
    <row x14ac:dyDescent="0.25" r="11" customHeight="1" ht="17.25">
      <c r="A11" s="8">
        <v>45734</v>
      </c>
      <c r="B11" s="9" t="s">
        <v>11</v>
      </c>
      <c r="C11" s="6">
        <v>1</v>
      </c>
      <c r="D11" s="4"/>
      <c r="E11" s="6">
        <f>E10+C11-D11</f>
      </c>
    </row>
    <row x14ac:dyDescent="0.25" r="12" customHeight="1" ht="17.25">
      <c r="A12" s="7">
        <v>45792</v>
      </c>
      <c r="B12" s="9" t="s">
        <v>28</v>
      </c>
      <c r="C12" s="4"/>
      <c r="D12" s="6">
        <v>150</v>
      </c>
      <c r="E12" s="6">
        <f>E11+C12-D12</f>
      </c>
    </row>
    <row x14ac:dyDescent="0.25" r="13" customHeight="1" ht="17.25">
      <c r="A13" s="7">
        <v>45792</v>
      </c>
      <c r="B13" s="9" t="s">
        <v>180</v>
      </c>
      <c r="C13" s="4"/>
      <c r="D13" s="6">
        <v>60</v>
      </c>
      <c r="E13" s="6">
        <f>E12+C13-D13</f>
      </c>
    </row>
    <row x14ac:dyDescent="0.25" r="14" customHeight="1" ht="17.25">
      <c r="A14" s="7">
        <v>45801</v>
      </c>
      <c r="B14" s="9" t="s">
        <v>191</v>
      </c>
      <c r="C14" s="6">
        <v>20</v>
      </c>
      <c r="D14" s="4"/>
      <c r="E14" s="6">
        <f>E13+C14-D14</f>
      </c>
    </row>
    <row x14ac:dyDescent="0.25" r="15" customHeight="1" ht="17.25">
      <c r="A15" s="7">
        <v>45822</v>
      </c>
      <c r="B15" s="9" t="s">
        <v>181</v>
      </c>
      <c r="C15" s="4"/>
      <c r="D15" s="6">
        <v>16</v>
      </c>
      <c r="E15" s="6">
        <f>E14+C15-D15</f>
      </c>
    </row>
    <row x14ac:dyDescent="0.25" r="16" customHeight="1" ht="17.25">
      <c r="A16" s="8">
        <v>45824</v>
      </c>
      <c r="B16" s="9" t="s">
        <v>46</v>
      </c>
      <c r="C16" s="4"/>
      <c r="D16" s="6">
        <v>410</v>
      </c>
      <c r="E16" s="6">
        <f>E15+C16-D16</f>
      </c>
    </row>
    <row x14ac:dyDescent="0.25" r="17" customHeight="1" ht="17.25">
      <c r="A17" s="7">
        <v>45826</v>
      </c>
      <c r="B17" s="9" t="s">
        <v>46</v>
      </c>
      <c r="C17" s="4"/>
      <c r="D17" s="6">
        <v>420</v>
      </c>
      <c r="E17" s="6">
        <f>E16+C17-D17</f>
      </c>
    </row>
    <row x14ac:dyDescent="0.25" r="18" customHeight="1" ht="17.25">
      <c r="A18" s="7">
        <v>45830</v>
      </c>
      <c r="B18" s="9" t="s">
        <v>46</v>
      </c>
      <c r="C18" s="4"/>
      <c r="D18" s="6">
        <v>397</v>
      </c>
      <c r="E18" s="6">
        <f>E17+C18-D18</f>
      </c>
    </row>
    <row x14ac:dyDescent="0.25" r="19" customHeight="1" ht="17.25">
      <c r="A19" s="8">
        <v>45845</v>
      </c>
      <c r="B19" s="9" t="s">
        <v>28</v>
      </c>
      <c r="C19" s="4"/>
      <c r="D19" s="6">
        <v>50</v>
      </c>
      <c r="E19" s="6">
        <f>E18+C19-D19</f>
      </c>
    </row>
    <row x14ac:dyDescent="0.25" r="20" customHeight="1" ht="17.25">
      <c r="A20" s="8">
        <v>45845</v>
      </c>
      <c r="B20" s="9" t="s">
        <v>28</v>
      </c>
      <c r="C20" s="4"/>
      <c r="D20" s="6">
        <v>50</v>
      </c>
      <c r="E20" s="6">
        <f>E19+C20-D20</f>
      </c>
    </row>
    <row x14ac:dyDescent="0.25" r="21" customHeight="1" ht="17.25">
      <c r="A21" s="7">
        <v>45846</v>
      </c>
      <c r="B21" s="9" t="s">
        <v>28</v>
      </c>
      <c r="C21" s="4"/>
      <c r="D21" s="6">
        <v>150</v>
      </c>
      <c r="E21" s="6">
        <f>E20+C21-D21</f>
      </c>
    </row>
    <row x14ac:dyDescent="0.25" r="22" customHeight="1" ht="17.25">
      <c r="A22" s="7">
        <v>45848</v>
      </c>
      <c r="B22" s="9" t="s">
        <v>181</v>
      </c>
      <c r="C22" s="6">
        <v>5</v>
      </c>
      <c r="D22" s="4"/>
      <c r="E22" s="6">
        <f>E21+C22-D22</f>
      </c>
    </row>
    <row x14ac:dyDescent="0.25" r="23" customHeight="1" ht="17.25">
      <c r="A23" s="7">
        <v>45878</v>
      </c>
      <c r="B23" s="9" t="s">
        <v>28</v>
      </c>
      <c r="C23" s="6">
        <v>22</v>
      </c>
      <c r="D23" s="4"/>
      <c r="E23" s="6">
        <f>E22+C23-D23</f>
      </c>
    </row>
    <row x14ac:dyDescent="0.25" r="24" customHeight="1" ht="17.25">
      <c r="A24" s="7">
        <v>45880</v>
      </c>
      <c r="B24" s="9" t="s">
        <v>181</v>
      </c>
      <c r="C24" s="6">
        <v>5</v>
      </c>
      <c r="D24" s="4"/>
      <c r="E24" s="6">
        <f>E23+C24-D24</f>
      </c>
    </row>
    <row x14ac:dyDescent="0.25" r="25" customHeight="1" ht="17.25">
      <c r="A25" s="7">
        <v>45880</v>
      </c>
      <c r="B25" s="9" t="s">
        <v>192</v>
      </c>
      <c r="C25" s="6">
        <v>5</v>
      </c>
      <c r="D25" s="4"/>
      <c r="E25" s="6">
        <f>E24+C25-D25</f>
      </c>
    </row>
    <row x14ac:dyDescent="0.25" r="26" customHeight="1" ht="17.25">
      <c r="A26" s="7">
        <v>45881</v>
      </c>
      <c r="B26" s="9" t="s">
        <v>28</v>
      </c>
      <c r="C26" s="6">
        <v>92</v>
      </c>
      <c r="D26" s="4"/>
      <c r="E26" s="6">
        <f>E25+C26-D26</f>
      </c>
    </row>
    <row x14ac:dyDescent="0.25" r="27" customHeight="1" ht="17.25">
      <c r="A27" s="7">
        <v>45883</v>
      </c>
      <c r="B27" s="9" t="s">
        <v>28</v>
      </c>
      <c r="C27" s="6">
        <v>69</v>
      </c>
      <c r="D27" s="4"/>
      <c r="E27" s="6">
        <f>E26+C27-D27</f>
      </c>
    </row>
    <row x14ac:dyDescent="0.25" r="28" customHeight="1" ht="17.25">
      <c r="A28" s="8">
        <v>45885</v>
      </c>
      <c r="B28" s="9" t="s">
        <v>28</v>
      </c>
      <c r="C28" s="6">
        <v>1</v>
      </c>
      <c r="D28" s="4"/>
      <c r="E28" s="6">
        <f>E27+C28-D28</f>
      </c>
    </row>
    <row x14ac:dyDescent="0.25" r="29" customHeight="1" ht="17.25">
      <c r="A29" s="7">
        <v>45890</v>
      </c>
      <c r="B29" s="9" t="s">
        <v>46</v>
      </c>
      <c r="C29" s="6">
        <v>251</v>
      </c>
      <c r="D29" s="4"/>
      <c r="E29" s="6">
        <f>E28+C29-D29</f>
      </c>
    </row>
    <row x14ac:dyDescent="0.25" r="30" customHeight="1" ht="17.25">
      <c r="A30" s="8">
        <v>45891</v>
      </c>
      <c r="B30" s="9" t="s">
        <v>28</v>
      </c>
      <c r="C30" s="6">
        <v>17</v>
      </c>
      <c r="D30" s="4"/>
      <c r="E30" s="6">
        <f>E29+C30-D30</f>
      </c>
    </row>
    <row x14ac:dyDescent="0.25" r="31" customHeight="1" ht="17.25">
      <c r="A31" s="7">
        <v>45895</v>
      </c>
      <c r="B31" s="9" t="s">
        <v>46</v>
      </c>
      <c r="C31" s="6">
        <v>112</v>
      </c>
      <c r="D31" s="4"/>
      <c r="E31" s="6">
        <f>E30+C31-D31</f>
      </c>
    </row>
    <row x14ac:dyDescent="0.25" r="32" customHeight="1" ht="17.25">
      <c r="A32" s="8">
        <v>45897</v>
      </c>
      <c r="B32" s="9" t="s">
        <v>28</v>
      </c>
      <c r="C32" s="6">
        <v>30</v>
      </c>
      <c r="D32" s="4"/>
      <c r="E32" s="6">
        <f>E31+C32-D32</f>
      </c>
    </row>
    <row x14ac:dyDescent="0.25" r="33" customHeight="1" ht="17.25">
      <c r="A33" s="8">
        <v>45899</v>
      </c>
      <c r="B33" s="9" t="s">
        <v>28</v>
      </c>
      <c r="C33" s="6">
        <v>30</v>
      </c>
      <c r="D33" s="4"/>
      <c r="E33" s="6">
        <f>E32+C33-D33</f>
      </c>
    </row>
    <row x14ac:dyDescent="0.25" r="34" customHeight="1" ht="17.25">
      <c r="A34" s="7">
        <v>45901</v>
      </c>
      <c r="B34" s="9" t="s">
        <v>28</v>
      </c>
      <c r="C34" s="6">
        <v>27</v>
      </c>
      <c r="D34" s="4"/>
      <c r="E34" s="6">
        <f>E33+C34-D34</f>
      </c>
    </row>
    <row x14ac:dyDescent="0.25" r="35" customHeight="1" ht="17.25">
      <c r="A35" s="8">
        <v>45903</v>
      </c>
      <c r="B35" s="9" t="s">
        <v>28</v>
      </c>
      <c r="C35" s="6">
        <v>29</v>
      </c>
      <c r="D35" s="4"/>
      <c r="E35" s="6">
        <f>E34+C35-D35</f>
      </c>
    </row>
    <row x14ac:dyDescent="0.25" r="36" customHeight="1" ht="17.25">
      <c r="A36" s="8">
        <v>45904</v>
      </c>
      <c r="B36" s="9" t="s">
        <v>182</v>
      </c>
      <c r="C36" s="6">
        <v>5</v>
      </c>
      <c r="D36" s="4"/>
      <c r="E36" s="6">
        <f>E35+C36-D36</f>
      </c>
    </row>
    <row x14ac:dyDescent="0.25" r="37" customHeight="1" ht="17.25">
      <c r="A37" s="7">
        <v>45909</v>
      </c>
      <c r="B37" s="9" t="s">
        <v>28</v>
      </c>
      <c r="C37" s="4"/>
      <c r="D37" s="6">
        <v>24</v>
      </c>
      <c r="E37" s="6">
        <f>E36+C37-D37</f>
      </c>
    </row>
    <row x14ac:dyDescent="0.25" r="38" customHeight="1" ht="17.25">
      <c r="A38" s="7">
        <v>45912</v>
      </c>
      <c r="B38" s="9" t="s">
        <v>46</v>
      </c>
      <c r="C38" s="6">
        <v>2</v>
      </c>
      <c r="D38" s="4"/>
      <c r="E38" s="6">
        <f>E37+C38-D38</f>
      </c>
    </row>
    <row x14ac:dyDescent="0.25" r="39" customHeight="1" ht="17.25">
      <c r="A39" s="7">
        <v>45919</v>
      </c>
      <c r="B39" s="9" t="s">
        <v>46</v>
      </c>
      <c r="C39" s="6">
        <v>92</v>
      </c>
      <c r="D39" s="4"/>
      <c r="E39" s="6">
        <f>E38+C39-D39</f>
      </c>
    </row>
    <row x14ac:dyDescent="0.25" r="40" customHeight="1" ht="17.25">
      <c r="A40" s="7">
        <v>45920</v>
      </c>
      <c r="B40" s="9" t="s">
        <v>46</v>
      </c>
      <c r="C40" s="6">
        <v>569</v>
      </c>
      <c r="D40" s="4"/>
      <c r="E40" s="6">
        <f>E39+C40-D40</f>
      </c>
    </row>
    <row x14ac:dyDescent="0.25" r="41" customHeight="1" ht="17.25">
      <c r="A41" s="8">
        <v>45939</v>
      </c>
      <c r="B41" s="9" t="s">
        <v>182</v>
      </c>
      <c r="C41" s="6">
        <v>2</v>
      </c>
      <c r="D41" s="4"/>
      <c r="E41" s="6">
        <f>E40+C41-D41</f>
      </c>
    </row>
    <row x14ac:dyDescent="0.25" r="42" customHeight="1" ht="17.25">
      <c r="A42" s="8">
        <v>45947</v>
      </c>
      <c r="B42" s="9" t="s">
        <v>179</v>
      </c>
      <c r="C42" s="6">
        <v>2</v>
      </c>
      <c r="D42" s="4"/>
      <c r="E42" s="6">
        <f>E41+C42-D42</f>
      </c>
    </row>
    <row x14ac:dyDescent="0.25" r="43" customHeight="1" ht="17.25">
      <c r="A43" s="7">
        <v>45978</v>
      </c>
      <c r="B43" s="9" t="s">
        <v>179</v>
      </c>
      <c r="C43" s="6">
        <v>1</v>
      </c>
      <c r="D43" s="4"/>
      <c r="E43" s="6">
        <f>E42+C43-D43</f>
      </c>
    </row>
    <row x14ac:dyDescent="0.25" r="44" customHeight="1" ht="17.25">
      <c r="A44" s="7">
        <v>45995</v>
      </c>
      <c r="B44" s="9" t="s">
        <v>180</v>
      </c>
      <c r="C44" s="6">
        <v>6</v>
      </c>
      <c r="D44" s="4"/>
      <c r="E44" s="6">
        <f>E43+C44-D44</f>
      </c>
    </row>
    <row x14ac:dyDescent="0.25" r="45" customHeight="1" ht="17.25">
      <c r="A45" s="1"/>
      <c r="B45" s="2"/>
      <c r="C45" s="4"/>
      <c r="D45" s="4"/>
      <c r="E45" s="6">
        <f>E44+C45-D45</f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5.29071428571428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188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14">
        <v>2369</v>
      </c>
    </row>
    <row x14ac:dyDescent="0.25" r="4" customHeight="1" ht="17.25">
      <c r="A4" s="8">
        <v>45660</v>
      </c>
      <c r="B4" s="9" t="s">
        <v>11</v>
      </c>
      <c r="C4" s="6">
        <v>35</v>
      </c>
      <c r="D4" s="4"/>
      <c r="E4" s="6">
        <f>E3+C4-D4</f>
      </c>
    </row>
    <row x14ac:dyDescent="0.25" r="5" customHeight="1" ht="17.25">
      <c r="A5" s="7">
        <v>45666</v>
      </c>
      <c r="B5" s="2" t="s">
        <v>177</v>
      </c>
      <c r="C5" s="6">
        <v>4</v>
      </c>
      <c r="D5" s="4"/>
      <c r="E5" s="6">
        <f>E4+C5-D5</f>
      </c>
    </row>
    <row x14ac:dyDescent="0.25" r="6" customHeight="1" ht="17.25">
      <c r="A6" s="8">
        <v>45670</v>
      </c>
      <c r="B6" s="9" t="s">
        <v>31</v>
      </c>
      <c r="C6" s="6">
        <v>2</v>
      </c>
      <c r="D6" s="4"/>
      <c r="E6" s="6">
        <f>E5+C6-D6</f>
      </c>
    </row>
    <row x14ac:dyDescent="0.25" r="7" customHeight="1" ht="17.25">
      <c r="A7" s="8">
        <v>45674</v>
      </c>
      <c r="B7" s="9" t="s">
        <v>179</v>
      </c>
      <c r="C7" s="4"/>
      <c r="D7" s="6">
        <v>9</v>
      </c>
      <c r="E7" s="6">
        <f>E6+C7-D7</f>
      </c>
    </row>
    <row x14ac:dyDescent="0.25" r="8" customHeight="1" ht="17.25">
      <c r="A8" s="7">
        <v>45674</v>
      </c>
      <c r="B8" s="9" t="s">
        <v>189</v>
      </c>
      <c r="C8" s="6">
        <v>4</v>
      </c>
      <c r="D8" s="4"/>
      <c r="E8" s="6">
        <f>E7+C8-D8</f>
      </c>
    </row>
    <row x14ac:dyDescent="0.25" r="9" customHeight="1" ht="17.25">
      <c r="A9" s="8">
        <v>45686</v>
      </c>
      <c r="B9" s="9" t="s">
        <v>11</v>
      </c>
      <c r="C9" s="6">
        <v>109</v>
      </c>
      <c r="D9" s="4"/>
      <c r="E9" s="6">
        <f>E8+C9-D9</f>
      </c>
    </row>
    <row x14ac:dyDescent="0.25" r="10" customHeight="1" ht="17.25">
      <c r="A10" s="7">
        <v>45691</v>
      </c>
      <c r="B10" s="9" t="s">
        <v>11</v>
      </c>
      <c r="C10" s="6">
        <v>1</v>
      </c>
      <c r="D10" s="4"/>
      <c r="E10" s="6">
        <f>E9+C10-D10</f>
      </c>
    </row>
    <row x14ac:dyDescent="0.25" r="11" customHeight="1" ht="17.25">
      <c r="A11" s="7">
        <v>45702</v>
      </c>
      <c r="B11" s="9" t="s">
        <v>11</v>
      </c>
      <c r="C11" s="6">
        <v>33</v>
      </c>
      <c r="D11" s="4"/>
      <c r="E11" s="6">
        <f>E10+C11-D11</f>
      </c>
    </row>
    <row x14ac:dyDescent="0.25" r="12" customHeight="1" ht="17.25">
      <c r="A12" s="7">
        <v>45714</v>
      </c>
      <c r="B12" s="9" t="s">
        <v>128</v>
      </c>
      <c r="C12" s="6">
        <v>4</v>
      </c>
      <c r="D12" s="4"/>
      <c r="E12" s="6">
        <f>E11+C12-D12</f>
      </c>
    </row>
    <row x14ac:dyDescent="0.25" r="13" customHeight="1" ht="17.25">
      <c r="A13" s="7">
        <v>45722</v>
      </c>
      <c r="B13" s="9" t="s">
        <v>28</v>
      </c>
      <c r="C13" s="4"/>
      <c r="D13" s="6">
        <v>100</v>
      </c>
      <c r="E13" s="6">
        <f>E12+C13-D13</f>
      </c>
    </row>
    <row x14ac:dyDescent="0.25" r="14" customHeight="1" ht="17.25">
      <c r="A14" s="8">
        <v>45727</v>
      </c>
      <c r="B14" s="9" t="s">
        <v>119</v>
      </c>
      <c r="C14" s="6">
        <v>7</v>
      </c>
      <c r="D14" s="4"/>
      <c r="E14" s="6">
        <f>E13+C14-D14</f>
      </c>
    </row>
    <row x14ac:dyDescent="0.25" r="15" customHeight="1" ht="17.25">
      <c r="A15" s="8">
        <v>45733</v>
      </c>
      <c r="B15" s="9" t="s">
        <v>11</v>
      </c>
      <c r="C15" s="6">
        <v>11</v>
      </c>
      <c r="D15" s="4"/>
      <c r="E15" s="6">
        <f>E14+C15-D15</f>
      </c>
    </row>
    <row x14ac:dyDescent="0.25" r="16" customHeight="1" ht="17.25">
      <c r="A16" s="8">
        <v>45738</v>
      </c>
      <c r="B16" s="9" t="s">
        <v>35</v>
      </c>
      <c r="C16" s="6">
        <v>8</v>
      </c>
      <c r="D16" s="4"/>
      <c r="E16" s="6">
        <f>E15+C16-D16</f>
      </c>
    </row>
    <row x14ac:dyDescent="0.25" r="17" customHeight="1" ht="17.25">
      <c r="A17" s="7">
        <v>45740</v>
      </c>
      <c r="B17" s="9" t="s">
        <v>119</v>
      </c>
      <c r="C17" s="6">
        <v>22</v>
      </c>
      <c r="D17" s="4"/>
      <c r="E17" s="6">
        <f>E16+C17-D17</f>
      </c>
    </row>
    <row x14ac:dyDescent="0.25" r="18" customHeight="1" ht="17.25">
      <c r="A18" s="7">
        <v>45741</v>
      </c>
      <c r="B18" s="9" t="s">
        <v>119</v>
      </c>
      <c r="C18" s="6">
        <v>7</v>
      </c>
      <c r="D18" s="4"/>
      <c r="E18" s="6">
        <f>E17+C18-D18</f>
      </c>
    </row>
    <row x14ac:dyDescent="0.25" r="19" customHeight="1" ht="17.25">
      <c r="A19" s="7">
        <v>45786</v>
      </c>
      <c r="B19" s="9" t="s">
        <v>180</v>
      </c>
      <c r="C19" s="4"/>
      <c r="D19" s="6">
        <v>160</v>
      </c>
      <c r="E19" s="6">
        <f>E18+C19-D19</f>
      </c>
    </row>
    <row x14ac:dyDescent="0.25" r="20" customHeight="1" ht="17.25">
      <c r="A20" s="7">
        <v>45792</v>
      </c>
      <c r="B20" s="9" t="s">
        <v>180</v>
      </c>
      <c r="C20" s="4"/>
      <c r="D20" s="6">
        <v>60</v>
      </c>
      <c r="E20" s="6">
        <f>E19+C20-D20</f>
      </c>
    </row>
    <row x14ac:dyDescent="0.25" r="21" customHeight="1" ht="17.25">
      <c r="A21" s="8">
        <v>45822</v>
      </c>
      <c r="B21" s="9" t="s">
        <v>181</v>
      </c>
      <c r="C21" s="4"/>
      <c r="D21" s="6">
        <v>12</v>
      </c>
      <c r="E21" s="6">
        <f>E20+C21-D21</f>
      </c>
    </row>
    <row x14ac:dyDescent="0.25" r="22" customHeight="1" ht="17.25">
      <c r="A22" s="7">
        <v>45839</v>
      </c>
      <c r="B22" s="9" t="s">
        <v>179</v>
      </c>
      <c r="C22" s="4"/>
      <c r="D22" s="6">
        <v>115</v>
      </c>
      <c r="E22" s="6">
        <f>E21+C22-D22</f>
      </c>
    </row>
    <row x14ac:dyDescent="0.25" r="23" customHeight="1" ht="17.25">
      <c r="A23" s="8">
        <v>45840</v>
      </c>
      <c r="B23" s="9" t="s">
        <v>179</v>
      </c>
      <c r="C23" s="4"/>
      <c r="D23" s="6">
        <v>115</v>
      </c>
      <c r="E23" s="6">
        <f>E22+C23-D23</f>
      </c>
    </row>
    <row x14ac:dyDescent="0.25" r="24" customHeight="1" ht="17.25">
      <c r="A24" s="7">
        <v>45842</v>
      </c>
      <c r="B24" s="9" t="s">
        <v>179</v>
      </c>
      <c r="C24" s="4"/>
      <c r="D24" s="6">
        <v>115</v>
      </c>
      <c r="E24" s="6">
        <f>E23+C24-D24</f>
      </c>
    </row>
    <row x14ac:dyDescent="0.25" r="25" customHeight="1" ht="17.25">
      <c r="A25" s="8">
        <v>45843</v>
      </c>
      <c r="B25" s="9" t="s">
        <v>46</v>
      </c>
      <c r="C25" s="4"/>
      <c r="D25" s="6">
        <v>100</v>
      </c>
      <c r="E25" s="6">
        <f>E24+C25-D25</f>
      </c>
    </row>
    <row x14ac:dyDescent="0.25" r="26" customHeight="1" ht="17.25">
      <c r="A26" s="7">
        <v>45846</v>
      </c>
      <c r="B26" s="9" t="s">
        <v>28</v>
      </c>
      <c r="C26" s="4"/>
      <c r="D26" s="6">
        <v>200</v>
      </c>
      <c r="E26" s="6">
        <f>E25+C26-D26</f>
      </c>
    </row>
    <row x14ac:dyDescent="0.25" r="27" customHeight="1" ht="17.25">
      <c r="A27" s="7">
        <v>45846</v>
      </c>
      <c r="B27" s="9" t="s">
        <v>28</v>
      </c>
      <c r="C27" s="4"/>
      <c r="D27" s="6">
        <v>200</v>
      </c>
      <c r="E27" s="6">
        <f>E26+C27-D27</f>
      </c>
    </row>
    <row x14ac:dyDescent="0.25" r="28" customHeight="1" ht="17.25">
      <c r="A28" s="8">
        <v>45848</v>
      </c>
      <c r="B28" s="9" t="s">
        <v>46</v>
      </c>
      <c r="C28" s="4"/>
      <c r="D28" s="6">
        <v>100</v>
      </c>
      <c r="E28" s="6">
        <f>E27+C28-D28</f>
      </c>
    </row>
    <row x14ac:dyDescent="0.25" r="29" customHeight="1" ht="17.25">
      <c r="A29" s="7">
        <v>45849</v>
      </c>
      <c r="B29" s="9" t="s">
        <v>46</v>
      </c>
      <c r="C29" s="4"/>
      <c r="D29" s="6">
        <v>200</v>
      </c>
      <c r="E29" s="6">
        <f>E28+C29-D29</f>
      </c>
    </row>
    <row x14ac:dyDescent="0.25" r="30" customHeight="1" ht="17.25">
      <c r="A30" s="7">
        <v>45853</v>
      </c>
      <c r="B30" s="9" t="s">
        <v>46</v>
      </c>
      <c r="C30" s="4"/>
      <c r="D30" s="6">
        <v>80</v>
      </c>
      <c r="E30" s="6">
        <f>E29+C30-D30</f>
      </c>
    </row>
    <row x14ac:dyDescent="0.25" r="31" customHeight="1" ht="17.25">
      <c r="A31" s="7">
        <v>45855</v>
      </c>
      <c r="B31" s="9" t="s">
        <v>46</v>
      </c>
      <c r="C31" s="4"/>
      <c r="D31" s="6">
        <v>480</v>
      </c>
      <c r="E31" s="6">
        <f>E30+C31-D31</f>
      </c>
    </row>
    <row x14ac:dyDescent="0.25" r="32" customHeight="1" ht="17.25">
      <c r="A32" s="7">
        <v>45856</v>
      </c>
      <c r="B32" s="9" t="s">
        <v>183</v>
      </c>
      <c r="C32" s="4"/>
      <c r="D32" s="6">
        <v>96</v>
      </c>
      <c r="E32" s="6">
        <f>E31+C32-D32</f>
      </c>
    </row>
    <row x14ac:dyDescent="0.25" r="33" customHeight="1" ht="17.25">
      <c r="A33" s="7">
        <v>45859</v>
      </c>
      <c r="B33" s="9" t="s">
        <v>179</v>
      </c>
      <c r="C33" s="6">
        <v>122</v>
      </c>
      <c r="D33" s="4"/>
      <c r="E33" s="6">
        <f>E32+C33-D33</f>
      </c>
    </row>
    <row x14ac:dyDescent="0.25" r="34" customHeight="1" ht="17.25">
      <c r="A34" s="7">
        <v>45869</v>
      </c>
      <c r="B34" s="9" t="s">
        <v>180</v>
      </c>
      <c r="C34" s="4"/>
      <c r="D34" s="6">
        <v>100</v>
      </c>
      <c r="E34" s="6">
        <f>E33+C34-D34</f>
      </c>
    </row>
    <row x14ac:dyDescent="0.25" r="35" customHeight="1" ht="17.25">
      <c r="A35" s="8">
        <v>45874</v>
      </c>
      <c r="B35" s="9" t="s">
        <v>180</v>
      </c>
      <c r="C35" s="4"/>
      <c r="D35" s="6">
        <v>100</v>
      </c>
      <c r="E35" s="6">
        <f>E34+C35-D35</f>
      </c>
    </row>
    <row x14ac:dyDescent="0.25" r="36" customHeight="1" ht="17.25">
      <c r="A36" s="7">
        <v>45877</v>
      </c>
      <c r="B36" s="9" t="s">
        <v>179</v>
      </c>
      <c r="C36" s="6">
        <v>78</v>
      </c>
      <c r="D36" s="4"/>
      <c r="E36" s="6">
        <f>E35+C36-D36</f>
      </c>
    </row>
    <row x14ac:dyDescent="0.25" r="37" customHeight="1" ht="17.25">
      <c r="A37" s="7">
        <v>45880</v>
      </c>
      <c r="B37" s="9" t="s">
        <v>28</v>
      </c>
      <c r="C37" s="6">
        <v>26</v>
      </c>
      <c r="D37" s="4"/>
      <c r="E37" s="6">
        <f>E36+C37-D37</f>
      </c>
    </row>
    <row x14ac:dyDescent="0.25" r="38" customHeight="1" ht="17.25">
      <c r="A38" s="7">
        <v>45881</v>
      </c>
      <c r="B38" s="9" t="s">
        <v>28</v>
      </c>
      <c r="C38" s="6">
        <v>27</v>
      </c>
      <c r="D38" s="4"/>
      <c r="E38" s="6">
        <f>E37+C38-D38</f>
      </c>
    </row>
    <row x14ac:dyDescent="0.25" r="39" customHeight="1" ht="17.25">
      <c r="A39" s="7">
        <v>45883</v>
      </c>
      <c r="B39" s="9" t="s">
        <v>28</v>
      </c>
      <c r="C39" s="6">
        <v>42</v>
      </c>
      <c r="D39" s="4"/>
      <c r="E39" s="6">
        <f>E38+C39-D39</f>
      </c>
    </row>
    <row x14ac:dyDescent="0.25" r="40" customHeight="1" ht="17.25">
      <c r="A40" s="8">
        <v>45885</v>
      </c>
      <c r="B40" s="9" t="s">
        <v>28</v>
      </c>
      <c r="C40" s="6">
        <v>14</v>
      </c>
      <c r="D40" s="4"/>
      <c r="E40" s="6">
        <f>E39+C40-D40</f>
      </c>
    </row>
    <row x14ac:dyDescent="0.25" r="41" customHeight="1" ht="17.25">
      <c r="A41" s="7">
        <v>45887</v>
      </c>
      <c r="B41" s="9" t="s">
        <v>183</v>
      </c>
      <c r="C41" s="6">
        <v>96</v>
      </c>
      <c r="D41" s="4"/>
      <c r="E41" s="6">
        <f>E40+C41-D41</f>
      </c>
    </row>
    <row x14ac:dyDescent="0.25" r="42" customHeight="1" ht="17.25">
      <c r="A42" s="7">
        <v>45888</v>
      </c>
      <c r="B42" s="9" t="s">
        <v>28</v>
      </c>
      <c r="C42" s="6">
        <v>4</v>
      </c>
      <c r="D42" s="4"/>
      <c r="E42" s="6">
        <f>E41+C42-D42</f>
      </c>
    </row>
    <row x14ac:dyDescent="0.25" r="43" customHeight="1" ht="17.25">
      <c r="A43" s="7">
        <v>45888</v>
      </c>
      <c r="B43" s="9" t="s">
        <v>180</v>
      </c>
      <c r="C43" s="6">
        <v>42</v>
      </c>
      <c r="D43" s="4"/>
      <c r="E43" s="6">
        <f>E42+C43-D43</f>
      </c>
    </row>
    <row x14ac:dyDescent="0.25" r="44" customHeight="1" ht="17.25">
      <c r="A44" s="7">
        <v>45890</v>
      </c>
      <c r="B44" s="9" t="s">
        <v>46</v>
      </c>
      <c r="C44" s="6">
        <v>88</v>
      </c>
      <c r="D44" s="4"/>
      <c r="E44" s="6">
        <f>E43+C44-D44</f>
      </c>
    </row>
    <row x14ac:dyDescent="0.25" r="45" customHeight="1" ht="17.25">
      <c r="A45" s="7">
        <v>45890</v>
      </c>
      <c r="B45" s="9" t="s">
        <v>46</v>
      </c>
      <c r="C45" s="6">
        <v>78</v>
      </c>
      <c r="D45" s="4"/>
      <c r="E45" s="6">
        <f>E44+C45-D45</f>
      </c>
    </row>
    <row x14ac:dyDescent="0.25" r="46" customHeight="1" ht="17.25">
      <c r="A46" s="8">
        <v>45891</v>
      </c>
      <c r="B46" s="9" t="s">
        <v>28</v>
      </c>
      <c r="C46" s="6">
        <v>157</v>
      </c>
      <c r="D46" s="4"/>
      <c r="E46" s="6">
        <f>E45+C46-D46</f>
      </c>
    </row>
    <row x14ac:dyDescent="0.25" r="47" customHeight="1" ht="17.25">
      <c r="A47" s="8">
        <v>45891</v>
      </c>
      <c r="B47" s="9" t="s">
        <v>28</v>
      </c>
      <c r="C47" s="6">
        <v>6</v>
      </c>
      <c r="D47" s="4"/>
      <c r="E47" s="6">
        <f>E46+C47-D47</f>
      </c>
    </row>
    <row x14ac:dyDescent="0.25" r="48" customHeight="1" ht="17.25">
      <c r="A48" s="7">
        <v>45891</v>
      </c>
      <c r="B48" s="9" t="s">
        <v>179</v>
      </c>
      <c r="C48" s="6">
        <v>38</v>
      </c>
      <c r="D48" s="4"/>
      <c r="E48" s="6">
        <f>E47+C48-D48</f>
      </c>
    </row>
    <row x14ac:dyDescent="0.25" r="49" customHeight="1" ht="17.25">
      <c r="A49" s="7">
        <v>45894</v>
      </c>
      <c r="B49" s="9" t="s">
        <v>28</v>
      </c>
      <c r="C49" s="6">
        <v>88</v>
      </c>
      <c r="D49" s="4"/>
      <c r="E49" s="6">
        <f>E48+C49-D49</f>
      </c>
    </row>
    <row x14ac:dyDescent="0.25" r="50" customHeight="1" ht="17.25">
      <c r="A50" s="7">
        <v>45895</v>
      </c>
      <c r="B50" s="9" t="s">
        <v>28</v>
      </c>
      <c r="C50" s="6">
        <v>33</v>
      </c>
      <c r="D50" s="4"/>
      <c r="E50" s="6">
        <f>E49+C50-D50</f>
      </c>
    </row>
    <row x14ac:dyDescent="0.25" r="51" customHeight="1" ht="17.25">
      <c r="A51" s="7">
        <v>45895</v>
      </c>
      <c r="B51" s="9" t="s">
        <v>46</v>
      </c>
      <c r="C51" s="6">
        <v>81</v>
      </c>
      <c r="D51" s="4"/>
      <c r="E51" s="6">
        <f>E50+C51-D51</f>
      </c>
    </row>
    <row x14ac:dyDescent="0.25" r="52" customHeight="1" ht="17.25">
      <c r="A52" s="7">
        <v>45897</v>
      </c>
      <c r="B52" s="9" t="s">
        <v>28</v>
      </c>
      <c r="C52" s="6">
        <v>18</v>
      </c>
      <c r="D52" s="4"/>
      <c r="E52" s="6">
        <f>E51+C52-D52</f>
      </c>
    </row>
    <row x14ac:dyDescent="0.25" r="53" customHeight="1" ht="17.25">
      <c r="A53" s="7">
        <v>45899</v>
      </c>
      <c r="B53" s="9" t="s">
        <v>28</v>
      </c>
      <c r="C53" s="6">
        <v>21</v>
      </c>
      <c r="D53" s="4"/>
      <c r="E53" s="6">
        <f>E52+C53-D53</f>
      </c>
    </row>
    <row x14ac:dyDescent="0.25" r="54" customHeight="1" ht="17.25">
      <c r="A54" s="7">
        <v>45901</v>
      </c>
      <c r="B54" s="9" t="s">
        <v>28</v>
      </c>
      <c r="C54" s="6">
        <v>21</v>
      </c>
      <c r="D54" s="4"/>
      <c r="E54" s="6">
        <f>E53+C54-D54</f>
      </c>
    </row>
    <row x14ac:dyDescent="0.25" r="55" customHeight="1" ht="17.25">
      <c r="A55" s="7">
        <v>45903</v>
      </c>
      <c r="B55" s="9" t="s">
        <v>179</v>
      </c>
      <c r="C55" s="6">
        <v>16</v>
      </c>
      <c r="D55" s="4"/>
      <c r="E55" s="6">
        <f>E54+C55-D55</f>
      </c>
    </row>
    <row x14ac:dyDescent="0.25" r="56" customHeight="1" ht="17.25">
      <c r="A56" s="7">
        <v>45903</v>
      </c>
      <c r="B56" s="9" t="s">
        <v>28</v>
      </c>
      <c r="C56" s="6">
        <v>49</v>
      </c>
      <c r="D56" s="4"/>
      <c r="E56" s="6">
        <f>E55+C56-D56</f>
      </c>
    </row>
    <row x14ac:dyDescent="0.25" r="57" customHeight="1" ht="17.25">
      <c r="A57" s="7">
        <v>45904</v>
      </c>
      <c r="B57" s="9" t="s">
        <v>46</v>
      </c>
      <c r="C57" s="6">
        <v>141</v>
      </c>
      <c r="D57" s="4"/>
      <c r="E57" s="6">
        <f>E56+C57-D57</f>
      </c>
    </row>
    <row x14ac:dyDescent="0.25" r="58" customHeight="1" ht="17.25">
      <c r="A58" s="7">
        <v>45906</v>
      </c>
      <c r="B58" s="9" t="s">
        <v>179</v>
      </c>
      <c r="C58" s="6">
        <v>13</v>
      </c>
      <c r="D58" s="4"/>
      <c r="E58" s="6">
        <f>E57+C58-D58</f>
      </c>
    </row>
    <row x14ac:dyDescent="0.25" r="59" customHeight="1" ht="17.25">
      <c r="A59" s="7">
        <v>45909</v>
      </c>
      <c r="B59" s="9" t="s">
        <v>28</v>
      </c>
      <c r="C59" s="4"/>
      <c r="D59" s="6">
        <v>6</v>
      </c>
      <c r="E59" s="6">
        <f>E58+C59-D59</f>
      </c>
    </row>
    <row x14ac:dyDescent="0.25" r="60" customHeight="1" ht="17.25">
      <c r="A60" s="7">
        <v>45909</v>
      </c>
      <c r="B60" s="9" t="s">
        <v>179</v>
      </c>
      <c r="C60" s="6">
        <v>27</v>
      </c>
      <c r="D60" s="4"/>
      <c r="E60" s="6">
        <f>E59+C60-D60</f>
      </c>
    </row>
    <row x14ac:dyDescent="0.25" r="61" customHeight="1" ht="17.25">
      <c r="A61" s="8">
        <v>45910</v>
      </c>
      <c r="B61" s="9" t="s">
        <v>46</v>
      </c>
      <c r="C61" s="6">
        <v>150</v>
      </c>
      <c r="D61" s="4"/>
      <c r="E61" s="6">
        <f>E60+C61-D61</f>
      </c>
    </row>
    <row x14ac:dyDescent="0.25" r="62" customHeight="1" ht="17.25">
      <c r="A62" s="7">
        <v>45912</v>
      </c>
      <c r="B62" s="9" t="s">
        <v>46</v>
      </c>
      <c r="C62" s="6">
        <v>228</v>
      </c>
      <c r="D62" s="4"/>
      <c r="E62" s="6">
        <f>E61+C62-D62</f>
      </c>
    </row>
    <row x14ac:dyDescent="0.25" r="63" customHeight="1" ht="17.25">
      <c r="A63" s="7">
        <v>45915</v>
      </c>
      <c r="B63" s="9" t="s">
        <v>179</v>
      </c>
      <c r="C63" s="6">
        <v>14</v>
      </c>
      <c r="D63" s="4"/>
      <c r="E63" s="6">
        <f>E62+C63-D63</f>
      </c>
    </row>
    <row x14ac:dyDescent="0.25" r="64" customHeight="1" ht="17.25">
      <c r="A64" s="7">
        <v>45919</v>
      </c>
      <c r="B64" s="9" t="s">
        <v>46</v>
      </c>
      <c r="C64" s="6">
        <v>16</v>
      </c>
      <c r="D64" s="4"/>
      <c r="E64" s="6">
        <f>E63+C64-D64</f>
      </c>
    </row>
    <row x14ac:dyDescent="0.25" r="65" customHeight="1" ht="17.25">
      <c r="A65" s="7">
        <v>45920</v>
      </c>
      <c r="B65" s="9" t="s">
        <v>46</v>
      </c>
      <c r="C65" s="6">
        <v>7</v>
      </c>
      <c r="D65" s="4"/>
      <c r="E65" s="6">
        <f>E64+C65-D65</f>
      </c>
    </row>
    <row x14ac:dyDescent="0.25" r="66" customHeight="1" ht="17.25">
      <c r="A66" s="7">
        <v>45922</v>
      </c>
      <c r="B66" s="9" t="s">
        <v>179</v>
      </c>
      <c r="C66" s="6">
        <v>13</v>
      </c>
      <c r="D66" s="4"/>
      <c r="E66" s="6">
        <f>E65+C66-D66</f>
      </c>
    </row>
    <row x14ac:dyDescent="0.25" r="67" customHeight="1" ht="17.25">
      <c r="A67" s="8">
        <v>45923</v>
      </c>
      <c r="B67" s="9" t="s">
        <v>26</v>
      </c>
      <c r="C67" s="6">
        <v>31</v>
      </c>
      <c r="D67" s="4"/>
      <c r="E67" s="6">
        <f>E66+C67-D67</f>
      </c>
    </row>
    <row x14ac:dyDescent="0.25" r="68" customHeight="1" ht="17.25">
      <c r="A68" s="7">
        <v>45930</v>
      </c>
      <c r="B68" s="9" t="s">
        <v>26</v>
      </c>
      <c r="C68" s="6">
        <v>121</v>
      </c>
      <c r="D68" s="4"/>
      <c r="E68" s="6">
        <f>E67+C68-D68</f>
      </c>
    </row>
    <row x14ac:dyDescent="0.25" r="69" customHeight="1" ht="17.25">
      <c r="A69" s="8">
        <v>45933</v>
      </c>
      <c r="B69" s="9" t="s">
        <v>26</v>
      </c>
      <c r="C69" s="6">
        <v>44</v>
      </c>
      <c r="D69" s="4"/>
      <c r="E69" s="6">
        <f>E68+C69-D69</f>
      </c>
    </row>
    <row x14ac:dyDescent="0.25" r="70" customHeight="1" ht="17.25">
      <c r="A70" s="8">
        <v>45947</v>
      </c>
      <c r="B70" s="9" t="s">
        <v>179</v>
      </c>
      <c r="C70" s="6">
        <v>6</v>
      </c>
      <c r="D70" s="4"/>
      <c r="E70" s="6">
        <f>E69+C70-D70</f>
      </c>
    </row>
    <row x14ac:dyDescent="0.25" r="71" customHeight="1" ht="17.25">
      <c r="A71" s="7">
        <v>45951</v>
      </c>
      <c r="B71" s="9" t="s">
        <v>181</v>
      </c>
      <c r="C71" s="6">
        <v>12</v>
      </c>
      <c r="D71" s="4"/>
      <c r="E71" s="6">
        <f>E70+C71-D71</f>
      </c>
    </row>
    <row x14ac:dyDescent="0.25" r="72" customHeight="1" ht="17.25">
      <c r="A72" s="7">
        <v>45978</v>
      </c>
      <c r="B72" s="9" t="s">
        <v>179</v>
      </c>
      <c r="C72" s="6">
        <v>10</v>
      </c>
      <c r="D72" s="4"/>
      <c r="E72" s="6">
        <f>E71+C72-D72</f>
      </c>
    </row>
    <row x14ac:dyDescent="0.25" r="73" customHeight="1" ht="17.25">
      <c r="A73" s="8">
        <v>45980</v>
      </c>
      <c r="B73" s="9" t="s">
        <v>26</v>
      </c>
      <c r="C73" s="6">
        <v>4</v>
      </c>
      <c r="D73" s="4"/>
      <c r="E73" s="6">
        <f>E72+C73-D73</f>
      </c>
    </row>
    <row x14ac:dyDescent="0.25" r="74" customHeight="1" ht="17.25">
      <c r="A74" s="7">
        <v>45988</v>
      </c>
      <c r="B74" s="9" t="s">
        <v>179</v>
      </c>
      <c r="C74" s="6">
        <v>25</v>
      </c>
      <c r="D74" s="4"/>
      <c r="E74" s="6">
        <f>E73+C74-D74</f>
      </c>
    </row>
    <row x14ac:dyDescent="0.25" r="75" customHeight="1" ht="17.25">
      <c r="A75" s="7">
        <v>45993</v>
      </c>
      <c r="B75" s="9" t="s">
        <v>179</v>
      </c>
      <c r="C75" s="6">
        <v>5</v>
      </c>
      <c r="D75" s="4"/>
      <c r="E75" s="6">
        <f>E74+C75-D75</f>
      </c>
    </row>
    <row x14ac:dyDescent="0.25" r="76" customHeight="1" ht="17.25">
      <c r="A76" s="7">
        <v>45995</v>
      </c>
      <c r="B76" s="9" t="s">
        <v>55</v>
      </c>
      <c r="C76" s="4"/>
      <c r="D76" s="6">
        <v>86</v>
      </c>
      <c r="E76" s="6">
        <f>E75+C76-D76</f>
      </c>
    </row>
    <row x14ac:dyDescent="0.25" r="77" customHeight="1" ht="17.25">
      <c r="A77" s="7">
        <v>45995</v>
      </c>
      <c r="B77" s="9" t="s">
        <v>180</v>
      </c>
      <c r="C77" s="6">
        <v>15</v>
      </c>
      <c r="D77" s="4"/>
      <c r="E77" s="6">
        <f>E76+C77-D77</f>
      </c>
    </row>
    <row x14ac:dyDescent="0.25" r="78" customHeight="1" ht="17.25">
      <c r="A78" s="7">
        <v>45996</v>
      </c>
      <c r="B78" s="9" t="s">
        <v>180</v>
      </c>
      <c r="C78" s="6">
        <v>33</v>
      </c>
      <c r="D78" s="4"/>
      <c r="E78" s="6">
        <f>E77+C78-D78</f>
      </c>
    </row>
    <row x14ac:dyDescent="0.25" r="79" customHeight="1" ht="17.25">
      <c r="A79" s="7">
        <v>46001</v>
      </c>
      <c r="B79" s="9" t="s">
        <v>55</v>
      </c>
      <c r="C79" s="4"/>
      <c r="D79" s="6">
        <v>40</v>
      </c>
      <c r="E79" s="6">
        <f>E78+C79-D79</f>
      </c>
    </row>
    <row x14ac:dyDescent="0.25" r="80" customHeight="1" ht="17.25">
      <c r="A80" s="7">
        <v>46001</v>
      </c>
      <c r="B80" s="9" t="s">
        <v>55</v>
      </c>
      <c r="C80" s="4"/>
      <c r="D80" s="6">
        <v>110</v>
      </c>
      <c r="E80" s="6">
        <f>E79+C80-D80</f>
      </c>
    </row>
    <row x14ac:dyDescent="0.25" r="81" customHeight="1" ht="17.25">
      <c r="A81" s="8">
        <v>46003</v>
      </c>
      <c r="B81" s="9" t="s">
        <v>46</v>
      </c>
      <c r="C81" s="4"/>
      <c r="D81" s="6">
        <v>450</v>
      </c>
      <c r="E81" s="6">
        <f>E80+C81-D81</f>
      </c>
    </row>
    <row x14ac:dyDescent="0.25" r="82" customHeight="1" ht="17.25">
      <c r="A82" s="7">
        <v>46003</v>
      </c>
      <c r="B82" s="9" t="s">
        <v>180</v>
      </c>
      <c r="C82" s="6">
        <v>1</v>
      </c>
      <c r="D82" s="4"/>
      <c r="E82" s="6">
        <f>E81+C82-D82</f>
      </c>
    </row>
    <row x14ac:dyDescent="0.25" r="83" customHeight="1" ht="17.25">
      <c r="A83" s="1"/>
      <c r="B83" s="2"/>
      <c r="C83" s="4"/>
      <c r="D83" s="4"/>
      <c r="E83" s="6">
        <f>E82+C83-D83</f>
      </c>
    </row>
    <row x14ac:dyDescent="0.25" r="84" customHeight="1" ht="17.25">
      <c r="A84" s="1"/>
      <c r="B84" s="2"/>
      <c r="C84" s="4"/>
      <c r="D84" s="4"/>
      <c r="E84" s="6">
        <f>E83+C84-D84</f>
      </c>
    </row>
    <row x14ac:dyDescent="0.25" r="85" customHeight="1" ht="17.25">
      <c r="A85" s="1"/>
      <c r="B85" s="2"/>
      <c r="C85" s="4"/>
      <c r="D85" s="4"/>
      <c r="E85" s="6">
        <f>E84+C85-D85</f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0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2.7192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186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14">
        <v>2550</v>
      </c>
    </row>
    <row x14ac:dyDescent="0.25" r="4" customHeight="1" ht="17.25">
      <c r="A4" s="7">
        <v>45660</v>
      </c>
      <c r="B4" s="2" t="s">
        <v>11</v>
      </c>
      <c r="C4" s="6">
        <v>3</v>
      </c>
      <c r="D4" s="4"/>
      <c r="E4" s="6">
        <f>E3+C4-D4</f>
      </c>
    </row>
    <row x14ac:dyDescent="0.25" r="5" customHeight="1" ht="17.25">
      <c r="A5" s="7">
        <v>45666</v>
      </c>
      <c r="B5" s="2" t="s">
        <v>177</v>
      </c>
      <c r="C5" s="6">
        <v>6</v>
      </c>
      <c r="D5" s="4"/>
      <c r="E5" s="6">
        <f>E4+C5-D5</f>
      </c>
    </row>
    <row x14ac:dyDescent="0.25" r="6" customHeight="1" ht="17.25">
      <c r="A6" s="8">
        <v>45670</v>
      </c>
      <c r="B6" s="9" t="s">
        <v>31</v>
      </c>
      <c r="C6" s="6">
        <v>4</v>
      </c>
      <c r="D6" s="4"/>
      <c r="E6" s="6">
        <f>E5+C6-D6</f>
      </c>
    </row>
    <row x14ac:dyDescent="0.25" r="7" customHeight="1" ht="17.25">
      <c r="A7" s="8">
        <v>45674</v>
      </c>
      <c r="B7" s="9" t="s">
        <v>179</v>
      </c>
      <c r="C7" s="3"/>
      <c r="D7" s="6">
        <v>11</v>
      </c>
      <c r="E7" s="6">
        <f>E6+C7-D7</f>
      </c>
    </row>
    <row x14ac:dyDescent="0.25" r="8" customHeight="1" ht="17.25">
      <c r="A8" s="8">
        <v>45686</v>
      </c>
      <c r="B8" s="9" t="s">
        <v>11</v>
      </c>
      <c r="C8" s="6">
        <v>34</v>
      </c>
      <c r="D8" s="4"/>
      <c r="E8" s="6">
        <f>E7+C8-D8</f>
      </c>
    </row>
    <row x14ac:dyDescent="0.25" r="9" customHeight="1" ht="17.25">
      <c r="A9" s="8">
        <v>45689</v>
      </c>
      <c r="B9" s="9" t="s">
        <v>11</v>
      </c>
      <c r="C9" s="6">
        <v>7</v>
      </c>
      <c r="D9" s="4"/>
      <c r="E9" s="6">
        <f>E8+C9-D9</f>
      </c>
    </row>
    <row x14ac:dyDescent="0.25" r="10" customHeight="1" ht="17.25">
      <c r="A10" s="7">
        <v>45691</v>
      </c>
      <c r="B10" s="9" t="s">
        <v>11</v>
      </c>
      <c r="C10" s="6">
        <v>1</v>
      </c>
      <c r="D10" s="4"/>
      <c r="E10" s="6">
        <f>E9+C10-D10</f>
      </c>
    </row>
    <row x14ac:dyDescent="0.25" r="11" customHeight="1" ht="17.25">
      <c r="A11" s="7">
        <v>45692</v>
      </c>
      <c r="B11" s="9" t="s">
        <v>173</v>
      </c>
      <c r="C11" s="6">
        <v>84</v>
      </c>
      <c r="D11" s="4"/>
      <c r="E11" s="6">
        <f>E10+C11-D11</f>
      </c>
    </row>
    <row x14ac:dyDescent="0.25" r="12" customHeight="1" ht="17.25">
      <c r="A12" s="8">
        <v>45698</v>
      </c>
      <c r="B12" s="9" t="s">
        <v>173</v>
      </c>
      <c r="C12" s="6">
        <v>4</v>
      </c>
      <c r="D12" s="4"/>
      <c r="E12" s="6">
        <f>E11+C12-D12</f>
      </c>
    </row>
    <row x14ac:dyDescent="0.25" r="13" customHeight="1" ht="17.25">
      <c r="A13" s="7">
        <v>45727</v>
      </c>
      <c r="B13" s="9" t="s">
        <v>173</v>
      </c>
      <c r="C13" s="6">
        <v>44</v>
      </c>
      <c r="D13" s="4"/>
      <c r="E13" s="6">
        <f>E12+C13-D13</f>
      </c>
    </row>
    <row x14ac:dyDescent="0.25" r="14" customHeight="1" ht="17.25">
      <c r="A14" s="8">
        <v>45733</v>
      </c>
      <c r="B14" s="9" t="s">
        <v>11</v>
      </c>
      <c r="C14" s="6">
        <v>4</v>
      </c>
      <c r="D14" s="4"/>
      <c r="E14" s="6">
        <f>E13+C14-D14</f>
      </c>
    </row>
    <row x14ac:dyDescent="0.25" r="15" customHeight="1" ht="17.25">
      <c r="A15" s="7">
        <v>45742</v>
      </c>
      <c r="B15" s="9" t="s">
        <v>173</v>
      </c>
      <c r="C15" s="6">
        <v>2</v>
      </c>
      <c r="D15" s="4"/>
      <c r="E15" s="6">
        <f>E14+C15-D15</f>
      </c>
    </row>
    <row x14ac:dyDescent="0.25" r="16" customHeight="1" ht="17.25">
      <c r="A16" s="7">
        <v>45792</v>
      </c>
      <c r="B16" s="9" t="s">
        <v>180</v>
      </c>
      <c r="C16" s="3"/>
      <c r="D16" s="6">
        <v>60</v>
      </c>
      <c r="E16" s="6">
        <f>E15+C16-D16</f>
      </c>
    </row>
    <row x14ac:dyDescent="0.25" r="17" customHeight="1" ht="17.25">
      <c r="A17" s="7">
        <v>45822</v>
      </c>
      <c r="B17" s="9" t="s">
        <v>181</v>
      </c>
      <c r="C17" s="3"/>
      <c r="D17" s="6">
        <v>8</v>
      </c>
      <c r="E17" s="6">
        <f>E16+C17-D17</f>
      </c>
    </row>
    <row x14ac:dyDescent="0.25" r="18" customHeight="1" ht="17.25">
      <c r="A18" s="7">
        <v>45843</v>
      </c>
      <c r="B18" s="9" t="s">
        <v>46</v>
      </c>
      <c r="C18" s="3"/>
      <c r="D18" s="6">
        <v>50</v>
      </c>
      <c r="E18" s="6">
        <f>E17+C18-D18</f>
      </c>
    </row>
    <row x14ac:dyDescent="0.25" r="19" customHeight="1" ht="17.25">
      <c r="A19" s="8">
        <v>45848</v>
      </c>
      <c r="B19" s="9" t="s">
        <v>46</v>
      </c>
      <c r="C19" s="3"/>
      <c r="D19" s="6">
        <v>50</v>
      </c>
      <c r="E19" s="6">
        <f>E18+C19-D19</f>
      </c>
    </row>
    <row x14ac:dyDescent="0.25" r="20" customHeight="1" ht="17.25">
      <c r="A20" s="7">
        <v>45853</v>
      </c>
      <c r="B20" s="9" t="s">
        <v>46</v>
      </c>
      <c r="C20" s="3"/>
      <c r="D20" s="6">
        <v>50</v>
      </c>
      <c r="E20" s="6">
        <f>E19+C20-D20</f>
      </c>
    </row>
    <row x14ac:dyDescent="0.25" r="21" customHeight="1" ht="17.25">
      <c r="A21" s="7">
        <v>45855</v>
      </c>
      <c r="B21" s="9" t="s">
        <v>46</v>
      </c>
      <c r="C21" s="3"/>
      <c r="D21" s="6">
        <v>100</v>
      </c>
      <c r="E21" s="6">
        <f>E20+C21-D21</f>
      </c>
    </row>
    <row x14ac:dyDescent="0.25" r="22" customHeight="1" ht="17.25">
      <c r="A22" s="7">
        <v>45879</v>
      </c>
      <c r="B22" s="2" t="s">
        <v>187</v>
      </c>
      <c r="C22" s="3"/>
      <c r="D22" s="6">
        <v>500</v>
      </c>
      <c r="E22" s="6">
        <f>E21+C22-D22</f>
      </c>
    </row>
    <row x14ac:dyDescent="0.25" r="23" customHeight="1" ht="17.25">
      <c r="A23" s="7">
        <v>45881</v>
      </c>
      <c r="B23" s="9" t="s">
        <v>187</v>
      </c>
      <c r="C23" s="3"/>
      <c r="D23" s="6">
        <v>500</v>
      </c>
      <c r="E23" s="6">
        <f>E22+C23-D23</f>
      </c>
    </row>
    <row x14ac:dyDescent="0.25" r="24" customHeight="1" ht="17.25">
      <c r="A24" s="7">
        <v>45882</v>
      </c>
      <c r="B24" s="9" t="s">
        <v>187</v>
      </c>
      <c r="C24" s="3"/>
      <c r="D24" s="6">
        <v>100</v>
      </c>
      <c r="E24" s="6">
        <f>E23+C24-D24</f>
      </c>
    </row>
    <row x14ac:dyDescent="0.25" r="25" customHeight="1" ht="17.25">
      <c r="A25" s="7">
        <v>45883</v>
      </c>
      <c r="B25" s="9" t="s">
        <v>187</v>
      </c>
      <c r="C25" s="3"/>
      <c r="D25" s="6">
        <v>300</v>
      </c>
      <c r="E25" s="6">
        <f>E24+C25-D25</f>
      </c>
    </row>
    <row x14ac:dyDescent="0.25" r="26" customHeight="1" ht="17.25">
      <c r="A26" s="7">
        <v>45889</v>
      </c>
      <c r="B26" s="9" t="s">
        <v>187</v>
      </c>
      <c r="C26" s="3"/>
      <c r="D26" s="6">
        <v>200</v>
      </c>
      <c r="E26" s="6">
        <f>E25+C26-D26</f>
      </c>
    </row>
    <row x14ac:dyDescent="0.25" r="27" customHeight="1" ht="17.25">
      <c r="A27" s="7">
        <v>45890</v>
      </c>
      <c r="B27" s="9" t="s">
        <v>187</v>
      </c>
      <c r="C27" s="3"/>
      <c r="D27" s="6">
        <v>270</v>
      </c>
      <c r="E27" s="6">
        <f>E26+C27-D27</f>
      </c>
    </row>
    <row x14ac:dyDescent="0.25" r="28" customHeight="1" ht="17.25">
      <c r="A28" s="7">
        <v>45890</v>
      </c>
      <c r="B28" s="9" t="s">
        <v>46</v>
      </c>
      <c r="C28" s="6">
        <v>33</v>
      </c>
      <c r="D28" s="4"/>
      <c r="E28" s="6">
        <f>E27+C28-D28</f>
      </c>
    </row>
    <row x14ac:dyDescent="0.25" r="29" customHeight="1" ht="17.25">
      <c r="A29" s="8">
        <v>45891</v>
      </c>
      <c r="B29" s="9" t="s">
        <v>26</v>
      </c>
      <c r="C29" s="3"/>
      <c r="D29" s="6">
        <v>140</v>
      </c>
      <c r="E29" s="6">
        <f>E28+C29-D29</f>
      </c>
    </row>
    <row x14ac:dyDescent="0.25" r="30" customHeight="1" ht="17.25">
      <c r="A30" s="7">
        <v>45895</v>
      </c>
      <c r="B30" s="9" t="s">
        <v>46</v>
      </c>
      <c r="C30" s="6">
        <v>45</v>
      </c>
      <c r="D30" s="4"/>
      <c r="E30" s="6">
        <f>E29+C30-D30</f>
      </c>
    </row>
    <row x14ac:dyDescent="0.25" r="31" customHeight="1" ht="17.25">
      <c r="A31" s="7">
        <v>45901</v>
      </c>
      <c r="B31" s="9" t="s">
        <v>28</v>
      </c>
      <c r="C31" s="6">
        <v>52</v>
      </c>
      <c r="D31" s="4"/>
      <c r="E31" s="6">
        <f>E30+C31-D31</f>
      </c>
    </row>
    <row x14ac:dyDescent="0.25" r="32" customHeight="1" ht="17.25">
      <c r="A32" s="7">
        <v>45904</v>
      </c>
      <c r="B32" s="9" t="s">
        <v>46</v>
      </c>
      <c r="C32" s="6">
        <v>9</v>
      </c>
      <c r="D32" s="4"/>
      <c r="E32" s="6">
        <f>E31+C32-D32</f>
      </c>
    </row>
    <row x14ac:dyDescent="0.25" r="33" customHeight="1" ht="17.25">
      <c r="A33" s="7">
        <v>45909</v>
      </c>
      <c r="B33" s="9" t="s">
        <v>179</v>
      </c>
      <c r="C33" s="6">
        <v>2</v>
      </c>
      <c r="D33" s="4"/>
      <c r="E33" s="6">
        <f>E32+C33-D33</f>
      </c>
    </row>
    <row x14ac:dyDescent="0.25" r="34" customHeight="1" ht="17.25">
      <c r="A34" s="8">
        <v>45910</v>
      </c>
      <c r="B34" s="9" t="s">
        <v>46</v>
      </c>
      <c r="C34" s="6">
        <v>38</v>
      </c>
      <c r="D34" s="4"/>
      <c r="E34" s="6">
        <f>E33+C34-D34</f>
      </c>
    </row>
    <row x14ac:dyDescent="0.25" r="35" customHeight="1" ht="17.25">
      <c r="A35" s="7">
        <v>45912</v>
      </c>
      <c r="B35" s="9" t="s">
        <v>46</v>
      </c>
      <c r="C35" s="6">
        <v>70</v>
      </c>
      <c r="D35" s="4"/>
      <c r="E35" s="6">
        <f>E34+C35-D35</f>
      </c>
    </row>
    <row x14ac:dyDescent="0.25" r="36" customHeight="1" ht="17.25">
      <c r="A36" s="8">
        <v>45913</v>
      </c>
      <c r="B36" s="9" t="s">
        <v>26</v>
      </c>
      <c r="C36" s="6">
        <v>21</v>
      </c>
      <c r="D36" s="4"/>
      <c r="E36" s="6">
        <f>E35+C36-D36</f>
      </c>
    </row>
    <row x14ac:dyDescent="0.25" r="37" customHeight="1" ht="17.25">
      <c r="A37" s="7">
        <v>45919</v>
      </c>
      <c r="B37" s="9" t="s">
        <v>46</v>
      </c>
      <c r="C37" s="6">
        <v>31</v>
      </c>
      <c r="D37" s="4"/>
      <c r="E37" s="6">
        <f>E36+C37-D37</f>
      </c>
    </row>
    <row x14ac:dyDescent="0.25" r="38" customHeight="1" ht="17.25">
      <c r="A38" s="7">
        <v>45920</v>
      </c>
      <c r="B38" s="9" t="s">
        <v>46</v>
      </c>
      <c r="C38" s="6">
        <v>2</v>
      </c>
      <c r="D38" s="4"/>
      <c r="E38" s="6">
        <f>E37+C38-D38</f>
      </c>
    </row>
    <row x14ac:dyDescent="0.25" r="39" customHeight="1" ht="17.25">
      <c r="A39" s="7">
        <v>45927</v>
      </c>
      <c r="B39" s="9" t="s">
        <v>26</v>
      </c>
      <c r="C39" s="6">
        <v>70</v>
      </c>
      <c r="D39" s="4"/>
      <c r="E39" s="6">
        <f>E38+C39-D39</f>
      </c>
    </row>
    <row x14ac:dyDescent="0.25" r="40" customHeight="1" ht="17.25">
      <c r="A40" s="7">
        <v>45930</v>
      </c>
      <c r="B40" s="9" t="s">
        <v>26</v>
      </c>
      <c r="C40" s="6">
        <v>137</v>
      </c>
      <c r="D40" s="4"/>
      <c r="E40" s="6">
        <f>E39+C40-D40</f>
      </c>
    </row>
    <row x14ac:dyDescent="0.25" r="41" customHeight="1" ht="17.25">
      <c r="A41" s="7">
        <v>45933</v>
      </c>
      <c r="B41" s="9" t="s">
        <v>26</v>
      </c>
      <c r="C41" s="6">
        <v>100</v>
      </c>
      <c r="D41" s="4"/>
      <c r="E41" s="6">
        <f>E40+C41-D41</f>
      </c>
    </row>
    <row x14ac:dyDescent="0.25" r="42" customHeight="1" ht="17.25">
      <c r="A42" s="7">
        <v>45937</v>
      </c>
      <c r="B42" s="9" t="s">
        <v>26</v>
      </c>
      <c r="C42" s="6">
        <v>480</v>
      </c>
      <c r="D42" s="4"/>
      <c r="E42" s="6">
        <f>E41+C42-D42</f>
      </c>
    </row>
    <row x14ac:dyDescent="0.25" r="43" customHeight="1" ht="17.25">
      <c r="A43" s="8">
        <v>45939</v>
      </c>
      <c r="B43" s="9" t="s">
        <v>26</v>
      </c>
      <c r="C43" s="6">
        <v>15</v>
      </c>
      <c r="D43" s="4"/>
      <c r="E43" s="6">
        <f>E42+C43-D43</f>
      </c>
    </row>
    <row x14ac:dyDescent="0.25" r="44" customHeight="1" ht="17.25">
      <c r="A44" s="7">
        <v>45941</v>
      </c>
      <c r="B44" s="9" t="s">
        <v>26</v>
      </c>
      <c r="C44" s="6">
        <v>23</v>
      </c>
      <c r="D44" s="4"/>
      <c r="E44" s="6">
        <f>E43+C44-D44</f>
      </c>
    </row>
    <row x14ac:dyDescent="0.25" r="45" customHeight="1" ht="17.25">
      <c r="A45" s="7">
        <v>45947</v>
      </c>
      <c r="B45" s="9" t="s">
        <v>179</v>
      </c>
      <c r="C45" s="6">
        <v>2</v>
      </c>
      <c r="D45" s="4"/>
      <c r="E45" s="6">
        <f>E44+C45-D45</f>
      </c>
    </row>
    <row x14ac:dyDescent="0.25" r="46" customHeight="1" ht="17.25">
      <c r="A46" s="8">
        <v>45948</v>
      </c>
      <c r="B46" s="9" t="s">
        <v>26</v>
      </c>
      <c r="C46" s="6">
        <v>344</v>
      </c>
      <c r="D46" s="4"/>
      <c r="E46" s="6">
        <f>E45+C46-D46</f>
      </c>
    </row>
    <row x14ac:dyDescent="0.25" r="47" customHeight="1" ht="17.25">
      <c r="A47" s="7">
        <v>45951</v>
      </c>
      <c r="B47" s="9" t="s">
        <v>181</v>
      </c>
      <c r="C47" s="6">
        <v>8</v>
      </c>
      <c r="D47" s="4"/>
      <c r="E47" s="6">
        <f>E46+C47-D47</f>
      </c>
    </row>
    <row x14ac:dyDescent="0.25" r="48" customHeight="1" ht="17.25">
      <c r="A48" s="7">
        <v>45951</v>
      </c>
      <c r="B48" s="9" t="s">
        <v>26</v>
      </c>
      <c r="C48" s="6">
        <v>79</v>
      </c>
      <c r="D48" s="4"/>
      <c r="E48" s="6">
        <f>E47+C48-D48</f>
      </c>
    </row>
    <row x14ac:dyDescent="0.25" r="49" customHeight="1" ht="17.25">
      <c r="A49" s="7">
        <v>45953</v>
      </c>
      <c r="B49" s="9" t="s">
        <v>26</v>
      </c>
      <c r="C49" s="6">
        <v>100</v>
      </c>
      <c r="D49" s="4"/>
      <c r="E49" s="6">
        <f>E48+C49-D49</f>
      </c>
    </row>
    <row x14ac:dyDescent="0.25" r="50" customHeight="1" ht="17.25">
      <c r="A50" s="8">
        <v>45954</v>
      </c>
      <c r="B50" s="9" t="s">
        <v>174</v>
      </c>
      <c r="C50" s="3"/>
      <c r="D50" s="6">
        <v>32</v>
      </c>
      <c r="E50" s="6">
        <f>E49+C50-D50</f>
      </c>
    </row>
    <row x14ac:dyDescent="0.25" r="51" customHeight="1" ht="17.25">
      <c r="A51" s="8">
        <v>45955</v>
      </c>
      <c r="B51" s="9" t="s">
        <v>26</v>
      </c>
      <c r="C51" s="6">
        <v>170</v>
      </c>
      <c r="D51" s="4"/>
      <c r="E51" s="6">
        <f>E50+C51-D51</f>
      </c>
    </row>
    <row x14ac:dyDescent="0.25" r="52" customHeight="1" ht="17.25">
      <c r="A52" s="8">
        <v>45958</v>
      </c>
      <c r="B52" s="9" t="s">
        <v>26</v>
      </c>
      <c r="C52" s="6">
        <v>209</v>
      </c>
      <c r="D52" s="4"/>
      <c r="E52" s="6">
        <f>E51+C52-D52</f>
      </c>
    </row>
    <row x14ac:dyDescent="0.25" r="53" customHeight="1" ht="17.25">
      <c r="A53" s="7">
        <v>45962</v>
      </c>
      <c r="B53" s="9" t="s">
        <v>26</v>
      </c>
      <c r="C53" s="6">
        <v>74</v>
      </c>
      <c r="D53" s="4"/>
      <c r="E53" s="6">
        <f>E52+C53-D53</f>
      </c>
    </row>
    <row x14ac:dyDescent="0.25" r="54" customHeight="1" ht="17.25">
      <c r="A54" s="8">
        <v>45980</v>
      </c>
      <c r="B54" s="9" t="s">
        <v>26</v>
      </c>
      <c r="C54" s="6">
        <v>136</v>
      </c>
      <c r="D54" s="4"/>
      <c r="E54" s="6">
        <f>E53+C54-D54</f>
      </c>
    </row>
    <row x14ac:dyDescent="0.25" r="55" customHeight="1" ht="17.25">
      <c r="A55" s="8">
        <v>45985</v>
      </c>
      <c r="B55" s="9" t="s">
        <v>26</v>
      </c>
      <c r="C55" s="6">
        <v>9</v>
      </c>
      <c r="D55" s="4"/>
      <c r="E55" s="6">
        <f>E54+C55-D55</f>
      </c>
    </row>
    <row x14ac:dyDescent="0.25" r="56" customHeight="1" ht="17.25">
      <c r="A56" s="7">
        <v>45988</v>
      </c>
      <c r="B56" s="9" t="s">
        <v>173</v>
      </c>
      <c r="C56" s="6">
        <v>11</v>
      </c>
      <c r="D56" s="4"/>
      <c r="E56" s="6">
        <f>E55+C56-D56</f>
      </c>
    </row>
    <row x14ac:dyDescent="0.25" r="57" customHeight="1" ht="17.25">
      <c r="A57" s="7">
        <v>45993</v>
      </c>
      <c r="B57" s="9" t="s">
        <v>179</v>
      </c>
      <c r="C57" s="6">
        <v>1</v>
      </c>
      <c r="D57" s="4"/>
      <c r="E57" s="6">
        <f>E56+C57-D57</f>
      </c>
    </row>
    <row x14ac:dyDescent="0.25" r="58" customHeight="1" ht="17.25">
      <c r="A58" s="7">
        <v>45995</v>
      </c>
      <c r="B58" s="9" t="s">
        <v>180</v>
      </c>
      <c r="C58" s="6">
        <v>22</v>
      </c>
      <c r="D58" s="4"/>
      <c r="E58" s="6">
        <f>E57+C58-D58</f>
      </c>
    </row>
    <row x14ac:dyDescent="0.25" r="59" customHeight="1" ht="17.25">
      <c r="A59" s="8">
        <v>46001</v>
      </c>
      <c r="B59" s="9" t="s">
        <v>46</v>
      </c>
      <c r="C59" s="3"/>
      <c r="D59" s="6">
        <v>150</v>
      </c>
      <c r="E59" s="4"/>
    </row>
    <row x14ac:dyDescent="0.25" r="60" customHeight="1" ht="17.25">
      <c r="A60" s="7">
        <v>46003</v>
      </c>
      <c r="B60" s="9" t="s">
        <v>180</v>
      </c>
      <c r="C60" s="6">
        <v>18</v>
      </c>
      <c r="D60" s="4"/>
      <c r="E60" s="4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6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576428571428572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176</v>
      </c>
      <c r="B1" s="2"/>
      <c r="C1" s="4"/>
      <c r="D1" s="4"/>
      <c r="E1" s="3"/>
      <c r="F1" s="2"/>
    </row>
    <row x14ac:dyDescent="0.25" r="2" customHeight="1" ht="17.25">
      <c r="A2" s="1"/>
      <c r="B2" s="2"/>
      <c r="C2" s="4"/>
      <c r="D2" s="4"/>
      <c r="E2" s="3"/>
      <c r="F2" s="2"/>
    </row>
    <row x14ac:dyDescent="0.25" r="3" customHeight="1" ht="17.25">
      <c r="A3" s="7">
        <v>45658</v>
      </c>
      <c r="B3" s="2" t="s">
        <v>1</v>
      </c>
      <c r="C3" s="4"/>
      <c r="D3" s="4"/>
      <c r="E3" s="14">
        <v>5771</v>
      </c>
      <c r="F3" s="2"/>
    </row>
    <row x14ac:dyDescent="0.25" r="4" customHeight="1" ht="17.25">
      <c r="A4" s="8">
        <v>45660</v>
      </c>
      <c r="B4" s="9" t="s">
        <v>11</v>
      </c>
      <c r="C4" s="6">
        <v>33</v>
      </c>
      <c r="D4" s="4"/>
      <c r="E4" s="6">
        <f>E3+C4</f>
      </c>
      <c r="F4" s="2"/>
    </row>
    <row x14ac:dyDescent="0.25" r="5" customHeight="1" ht="17.25">
      <c r="A5" s="7">
        <v>45666</v>
      </c>
      <c r="B5" s="2" t="s">
        <v>177</v>
      </c>
      <c r="C5" s="6">
        <v>7</v>
      </c>
      <c r="D5" s="4"/>
      <c r="E5" s="6">
        <f>E4+C5-D5</f>
      </c>
      <c r="F5" s="2"/>
    </row>
    <row x14ac:dyDescent="0.25" r="6" customHeight="1" ht="17.25">
      <c r="A6" s="7">
        <v>45666</v>
      </c>
      <c r="B6" s="2" t="s">
        <v>171</v>
      </c>
      <c r="C6" s="6">
        <v>278</v>
      </c>
      <c r="D6" s="4"/>
      <c r="E6" s="6">
        <f>E5+C6-D6</f>
      </c>
      <c r="F6" s="2"/>
    </row>
    <row x14ac:dyDescent="0.25" r="7" customHeight="1" ht="17.25">
      <c r="A7" s="34">
        <v>45666</v>
      </c>
      <c r="B7" s="31" t="s">
        <v>171</v>
      </c>
      <c r="C7" s="33">
        <v>10</v>
      </c>
      <c r="D7" s="32"/>
      <c r="E7" s="33">
        <f>E6+C7-D7</f>
      </c>
      <c r="F7" s="31" t="s">
        <v>178</v>
      </c>
    </row>
    <row x14ac:dyDescent="0.25" r="8" customHeight="1" ht="17.25">
      <c r="A8" s="8">
        <v>45670</v>
      </c>
      <c r="B8" s="9" t="s">
        <v>31</v>
      </c>
      <c r="C8" s="6">
        <v>7</v>
      </c>
      <c r="D8" s="4"/>
      <c r="E8" s="6">
        <f>E7+C8-D8</f>
      </c>
      <c r="F8" s="2"/>
    </row>
    <row x14ac:dyDescent="0.25" r="9" customHeight="1" ht="17.25">
      <c r="A9" s="8">
        <v>45674</v>
      </c>
      <c r="B9" s="9" t="s">
        <v>179</v>
      </c>
      <c r="C9" s="4"/>
      <c r="D9" s="6">
        <v>118</v>
      </c>
      <c r="E9" s="6">
        <f>E8+C9-D9</f>
      </c>
      <c r="F9" s="2"/>
    </row>
    <row x14ac:dyDescent="0.25" r="10" customHeight="1" ht="17.25">
      <c r="A10" s="7">
        <v>45686</v>
      </c>
      <c r="B10" s="9" t="s">
        <v>11</v>
      </c>
      <c r="C10" s="6">
        <v>37</v>
      </c>
      <c r="D10" s="4"/>
      <c r="E10" s="6">
        <f>E9+C10-D10</f>
      </c>
      <c r="F10" s="2"/>
    </row>
    <row x14ac:dyDescent="0.25" r="11" customHeight="1" ht="17.25">
      <c r="A11" s="7">
        <v>45689</v>
      </c>
      <c r="B11" s="9" t="s">
        <v>11</v>
      </c>
      <c r="C11" s="6">
        <v>78</v>
      </c>
      <c r="D11" s="4"/>
      <c r="E11" s="6">
        <f>E10+C11-D11</f>
      </c>
      <c r="F11" s="2"/>
    </row>
    <row x14ac:dyDescent="0.25" r="12" customHeight="1" ht="17.25">
      <c r="A12" s="7">
        <v>45692</v>
      </c>
      <c r="B12" s="9" t="s">
        <v>173</v>
      </c>
      <c r="C12" s="6">
        <v>111</v>
      </c>
      <c r="D12" s="4"/>
      <c r="E12" s="6">
        <f>E11+C12-D12</f>
      </c>
      <c r="F12" s="2"/>
    </row>
    <row x14ac:dyDescent="0.25" r="13" customHeight="1" ht="17.25">
      <c r="A13" s="8">
        <v>45698</v>
      </c>
      <c r="B13" s="9" t="s">
        <v>173</v>
      </c>
      <c r="C13" s="6">
        <v>12</v>
      </c>
      <c r="D13" s="4"/>
      <c r="E13" s="6">
        <f>E12+C13-D13</f>
      </c>
      <c r="F13" s="2"/>
    </row>
    <row x14ac:dyDescent="0.25" r="14" customHeight="1" ht="17.25">
      <c r="A14" s="7">
        <v>45702</v>
      </c>
      <c r="B14" s="9" t="s">
        <v>11</v>
      </c>
      <c r="C14" s="6">
        <v>107</v>
      </c>
      <c r="D14" s="4"/>
      <c r="E14" s="6">
        <f>E13+C14-D14</f>
      </c>
      <c r="F14" s="2"/>
    </row>
    <row x14ac:dyDescent="0.25" r="15" customHeight="1" ht="17.25">
      <c r="A15" s="8">
        <v>45705</v>
      </c>
      <c r="B15" s="9" t="s">
        <v>177</v>
      </c>
      <c r="C15" s="6">
        <v>6</v>
      </c>
      <c r="D15" s="4"/>
      <c r="E15" s="6">
        <f>E14+C15-D15</f>
      </c>
      <c r="F15" s="2"/>
    </row>
    <row x14ac:dyDescent="0.25" r="16" customHeight="1" ht="17.25">
      <c r="A16" s="7">
        <v>45710</v>
      </c>
      <c r="B16" s="9" t="s">
        <v>11</v>
      </c>
      <c r="C16" s="6">
        <v>40</v>
      </c>
      <c r="D16" s="4"/>
      <c r="E16" s="6">
        <f>E15+C16-D16</f>
      </c>
      <c r="F16" s="2"/>
    </row>
    <row x14ac:dyDescent="0.25" r="17" customHeight="1" ht="17.25">
      <c r="A17" s="7">
        <v>45714</v>
      </c>
      <c r="B17" s="9" t="s">
        <v>128</v>
      </c>
      <c r="C17" s="6">
        <v>93</v>
      </c>
      <c r="D17" s="4"/>
      <c r="E17" s="6">
        <f>E16+C17-D17</f>
      </c>
      <c r="F17" s="2"/>
    </row>
    <row x14ac:dyDescent="0.25" r="18" customHeight="1" ht="17.25">
      <c r="A18" s="7">
        <v>45727</v>
      </c>
      <c r="B18" s="9" t="s">
        <v>173</v>
      </c>
      <c r="C18" s="6">
        <v>41</v>
      </c>
      <c r="D18" s="4"/>
      <c r="E18" s="6">
        <f>E17+C18-D18</f>
      </c>
      <c r="F18" s="2"/>
    </row>
    <row x14ac:dyDescent="0.25" r="19" customHeight="1" ht="17.25">
      <c r="A19" s="8">
        <v>45729</v>
      </c>
      <c r="B19" s="9" t="s">
        <v>119</v>
      </c>
      <c r="C19" s="6">
        <v>1</v>
      </c>
      <c r="D19" s="4"/>
      <c r="E19" s="6">
        <f>E18+C19-D19</f>
      </c>
      <c r="F19" s="2"/>
    </row>
    <row x14ac:dyDescent="0.25" r="20" customHeight="1" ht="17.25">
      <c r="A20" s="8">
        <v>45733</v>
      </c>
      <c r="B20" s="9" t="s">
        <v>11</v>
      </c>
      <c r="C20" s="6">
        <v>6</v>
      </c>
      <c r="D20" s="4"/>
      <c r="E20" s="6">
        <f>E19+C20-D20</f>
      </c>
      <c r="F20" s="2"/>
    </row>
    <row x14ac:dyDescent="0.25" r="21" customHeight="1" ht="17.25">
      <c r="A21" s="7">
        <v>45734</v>
      </c>
      <c r="B21" s="9" t="s">
        <v>173</v>
      </c>
      <c r="C21" s="6">
        <v>1</v>
      </c>
      <c r="D21" s="4"/>
      <c r="E21" s="6">
        <f>E20+C21-D21</f>
      </c>
      <c r="F21" s="2"/>
    </row>
    <row x14ac:dyDescent="0.25" r="22" customHeight="1" ht="17.25">
      <c r="A22" s="7">
        <v>45740</v>
      </c>
      <c r="B22" s="9" t="s">
        <v>119</v>
      </c>
      <c r="C22" s="6">
        <v>81</v>
      </c>
      <c r="D22" s="4"/>
      <c r="E22" s="6">
        <f>E21+C22-D22</f>
      </c>
      <c r="F22" s="2"/>
    </row>
    <row x14ac:dyDescent="0.25" r="23" customHeight="1" ht="17.25">
      <c r="A23" s="7">
        <v>45741</v>
      </c>
      <c r="B23" s="9" t="s">
        <v>119</v>
      </c>
      <c r="C23" s="6">
        <v>61</v>
      </c>
      <c r="D23" s="4"/>
      <c r="E23" s="6">
        <f>E22+C23-D23</f>
      </c>
      <c r="F23" s="2"/>
    </row>
    <row x14ac:dyDescent="0.25" r="24" customHeight="1" ht="17.25">
      <c r="A24" s="7">
        <v>45742</v>
      </c>
      <c r="B24" s="9" t="s">
        <v>173</v>
      </c>
      <c r="C24" s="6">
        <v>4</v>
      </c>
      <c r="D24" s="4"/>
      <c r="E24" s="6">
        <f>E23+C24-D24</f>
      </c>
      <c r="F24" s="2"/>
    </row>
    <row x14ac:dyDescent="0.25" r="25" customHeight="1" ht="17.25">
      <c r="A25" s="7">
        <v>45772</v>
      </c>
      <c r="B25" s="9" t="s">
        <v>180</v>
      </c>
      <c r="C25" s="4"/>
      <c r="D25" s="6">
        <v>200</v>
      </c>
      <c r="E25" s="6">
        <f>E24+C25-D25</f>
      </c>
      <c r="F25" s="2"/>
    </row>
    <row x14ac:dyDescent="0.25" r="26" customHeight="1" ht="17.25">
      <c r="A26" s="7">
        <v>45773</v>
      </c>
      <c r="B26" s="9" t="s">
        <v>180</v>
      </c>
      <c r="C26" s="4"/>
      <c r="D26" s="6">
        <v>150</v>
      </c>
      <c r="E26" s="6">
        <f>E25+C26-D26</f>
      </c>
      <c r="F26" s="2"/>
    </row>
    <row x14ac:dyDescent="0.25" r="27" customHeight="1" ht="17.25">
      <c r="A27" s="7">
        <v>45775</v>
      </c>
      <c r="B27" s="9" t="s">
        <v>180</v>
      </c>
      <c r="C27" s="4"/>
      <c r="D27" s="6">
        <v>400</v>
      </c>
      <c r="E27" s="6">
        <f>E26+C27-D27</f>
      </c>
      <c r="F27" s="2"/>
    </row>
    <row x14ac:dyDescent="0.25" r="28" customHeight="1" ht="17.25">
      <c r="A28" s="7">
        <v>45776</v>
      </c>
      <c r="B28" s="9" t="s">
        <v>180</v>
      </c>
      <c r="C28" s="4"/>
      <c r="D28" s="6">
        <v>338</v>
      </c>
      <c r="E28" s="6">
        <f>E27+C28-D28</f>
      </c>
      <c r="F28" s="2"/>
    </row>
    <row x14ac:dyDescent="0.25" r="29" customHeight="1" ht="17.25">
      <c r="A29" s="7">
        <v>45786</v>
      </c>
      <c r="B29" s="9" t="s">
        <v>180</v>
      </c>
      <c r="C29" s="4"/>
      <c r="D29" s="6">
        <v>150</v>
      </c>
      <c r="E29" s="6">
        <f>E28+C29-D29</f>
      </c>
      <c r="F29" s="2"/>
    </row>
    <row x14ac:dyDescent="0.25" r="30" customHeight="1" ht="17.25">
      <c r="A30" s="7">
        <v>45787</v>
      </c>
      <c r="B30" s="9" t="s">
        <v>180</v>
      </c>
      <c r="C30" s="4"/>
      <c r="D30" s="6">
        <v>200</v>
      </c>
      <c r="E30" s="6">
        <f>E29+C30-D30</f>
      </c>
      <c r="F30" s="2"/>
    </row>
    <row x14ac:dyDescent="0.25" r="31" customHeight="1" ht="17.25">
      <c r="A31" s="7">
        <v>45792</v>
      </c>
      <c r="B31" s="9" t="s">
        <v>28</v>
      </c>
      <c r="C31" s="4"/>
      <c r="D31" s="6">
        <v>300</v>
      </c>
      <c r="E31" s="6">
        <f>E30+C31-D31</f>
      </c>
      <c r="F31" s="2"/>
    </row>
    <row x14ac:dyDescent="0.25" r="32" customHeight="1" ht="17.25">
      <c r="A32" s="7">
        <v>45812</v>
      </c>
      <c r="B32" s="9" t="s">
        <v>28</v>
      </c>
      <c r="C32" s="4"/>
      <c r="D32" s="6">
        <v>175</v>
      </c>
      <c r="E32" s="6">
        <f>E31+C32-D32</f>
      </c>
      <c r="F32" s="2"/>
    </row>
    <row x14ac:dyDescent="0.25" r="33" customHeight="1" ht="17.25">
      <c r="A33" s="7">
        <v>45812</v>
      </c>
      <c r="B33" s="9" t="s">
        <v>28</v>
      </c>
      <c r="C33" s="4"/>
      <c r="D33" s="6">
        <v>175</v>
      </c>
      <c r="E33" s="6">
        <f>E32+C33-D33</f>
      </c>
      <c r="F33" s="2"/>
    </row>
    <row x14ac:dyDescent="0.25" r="34" customHeight="1" ht="17.25">
      <c r="A34" s="7">
        <v>45820</v>
      </c>
      <c r="B34" s="9" t="s">
        <v>181</v>
      </c>
      <c r="C34" s="4"/>
      <c r="D34" s="6">
        <v>570</v>
      </c>
      <c r="E34" s="6">
        <f>E33+C34-D34</f>
      </c>
      <c r="F34" s="2"/>
    </row>
    <row x14ac:dyDescent="0.25" r="35" customHeight="1" ht="17.25">
      <c r="A35" s="7">
        <v>45821</v>
      </c>
      <c r="B35" s="9" t="s">
        <v>181</v>
      </c>
      <c r="C35" s="4"/>
      <c r="D35" s="6">
        <v>570</v>
      </c>
      <c r="E35" s="6">
        <f>E34+C35-D35</f>
      </c>
      <c r="F35" s="2"/>
    </row>
    <row x14ac:dyDescent="0.25" r="36" customHeight="1" ht="17.25">
      <c r="A36" s="7">
        <v>45822</v>
      </c>
      <c r="B36" s="9" t="s">
        <v>181</v>
      </c>
      <c r="C36" s="4"/>
      <c r="D36" s="6">
        <v>20</v>
      </c>
      <c r="E36" s="6">
        <f>E35+C36-D36</f>
      </c>
      <c r="F36" s="2"/>
    </row>
    <row x14ac:dyDescent="0.25" r="37" customHeight="1" ht="17.25">
      <c r="A37" s="7">
        <v>45824</v>
      </c>
      <c r="B37" s="9" t="s">
        <v>46</v>
      </c>
      <c r="C37" s="4"/>
      <c r="D37" s="6">
        <v>220</v>
      </c>
      <c r="E37" s="6">
        <f>E36+C37-D37</f>
      </c>
      <c r="F37" s="2"/>
    </row>
    <row x14ac:dyDescent="0.25" r="38" customHeight="1" ht="17.25">
      <c r="A38" s="7">
        <v>45826</v>
      </c>
      <c r="B38" s="9" t="s">
        <v>46</v>
      </c>
      <c r="C38" s="4"/>
      <c r="D38" s="6">
        <v>220</v>
      </c>
      <c r="E38" s="6">
        <f>E37+C38-D38</f>
      </c>
      <c r="F38" s="2"/>
    </row>
    <row x14ac:dyDescent="0.25" r="39" customHeight="1" ht="17.25">
      <c r="A39" s="7">
        <v>45830</v>
      </c>
      <c r="B39" s="9" t="s">
        <v>46</v>
      </c>
      <c r="C39" s="4"/>
      <c r="D39" s="6">
        <v>191</v>
      </c>
      <c r="E39" s="6">
        <f>E38+C39-D39</f>
      </c>
      <c r="F39" s="2"/>
    </row>
    <row x14ac:dyDescent="0.25" r="40" customHeight="1" ht="17.25">
      <c r="A40" s="7">
        <v>45832</v>
      </c>
      <c r="B40" s="9" t="s">
        <v>28</v>
      </c>
      <c r="C40" s="4"/>
      <c r="D40" s="6">
        <v>200</v>
      </c>
      <c r="E40" s="6">
        <f>E39+C40-D40</f>
      </c>
      <c r="F40" s="2"/>
    </row>
    <row x14ac:dyDescent="0.25" r="41" customHeight="1" ht="17.25">
      <c r="A41" s="7">
        <v>45832</v>
      </c>
      <c r="B41" s="9" t="s">
        <v>28</v>
      </c>
      <c r="C41" s="4"/>
      <c r="D41" s="6">
        <v>200</v>
      </c>
      <c r="E41" s="6">
        <f>E40+C41-D41</f>
      </c>
      <c r="F41" s="2"/>
    </row>
    <row x14ac:dyDescent="0.25" r="42" customHeight="1" ht="17.25">
      <c r="A42" s="7">
        <v>45834</v>
      </c>
      <c r="B42" s="9" t="s">
        <v>173</v>
      </c>
      <c r="C42" s="6">
        <v>6</v>
      </c>
      <c r="D42" s="4"/>
      <c r="E42" s="6">
        <f>E41+C42-D42</f>
      </c>
      <c r="F42" s="2"/>
    </row>
    <row x14ac:dyDescent="0.25" r="43" customHeight="1" ht="17.25">
      <c r="A43" s="7">
        <v>45839</v>
      </c>
      <c r="B43" s="9" t="s">
        <v>179</v>
      </c>
      <c r="C43" s="4"/>
      <c r="D43" s="6">
        <v>334</v>
      </c>
      <c r="E43" s="6">
        <f>E42+C43-D43</f>
      </c>
      <c r="F43" s="2"/>
    </row>
    <row x14ac:dyDescent="0.25" r="44" customHeight="1" ht="17.25">
      <c r="A44" s="8">
        <v>45840</v>
      </c>
      <c r="B44" s="9" t="s">
        <v>179</v>
      </c>
      <c r="C44" s="4"/>
      <c r="D44" s="6">
        <v>350</v>
      </c>
      <c r="E44" s="6">
        <f>E43+C44-D44</f>
      </c>
      <c r="F44" s="2"/>
    </row>
    <row x14ac:dyDescent="0.25" r="45" customHeight="1" ht="17.25">
      <c r="A45" s="7">
        <v>45840</v>
      </c>
      <c r="B45" s="9" t="s">
        <v>180</v>
      </c>
      <c r="C45" s="6">
        <v>124</v>
      </c>
      <c r="D45" s="4"/>
      <c r="E45" s="6">
        <f>E44+C45-D45</f>
      </c>
      <c r="F45" s="2"/>
    </row>
    <row x14ac:dyDescent="0.25" r="46" customHeight="1" ht="17.25">
      <c r="A46" s="7">
        <v>45841</v>
      </c>
      <c r="B46" s="9" t="s">
        <v>180</v>
      </c>
      <c r="C46" s="6">
        <v>102</v>
      </c>
      <c r="D46" s="4"/>
      <c r="E46" s="6">
        <f>E45+C46-D46</f>
      </c>
      <c r="F46" s="2"/>
    </row>
    <row x14ac:dyDescent="0.25" r="47" customHeight="1" ht="17.25">
      <c r="A47" s="7">
        <v>45842</v>
      </c>
      <c r="B47" s="9" t="s">
        <v>179</v>
      </c>
      <c r="C47" s="4"/>
      <c r="D47" s="6">
        <v>260</v>
      </c>
      <c r="E47" s="6">
        <f>E46+C47-D47</f>
      </c>
      <c r="F47" s="2"/>
    </row>
    <row x14ac:dyDescent="0.25" r="48" customHeight="1" ht="17.25">
      <c r="A48" s="7">
        <v>45843</v>
      </c>
      <c r="B48" s="9" t="s">
        <v>179</v>
      </c>
      <c r="C48" s="4"/>
      <c r="D48" s="6">
        <v>90</v>
      </c>
      <c r="E48" s="6">
        <f>E47+C48-D48</f>
      </c>
      <c r="F48" s="2"/>
    </row>
    <row x14ac:dyDescent="0.25" r="49" customHeight="1" ht="17.25">
      <c r="A49" s="7">
        <v>45843</v>
      </c>
      <c r="B49" s="9" t="s">
        <v>46</v>
      </c>
      <c r="C49" s="4"/>
      <c r="D49" s="6">
        <v>110</v>
      </c>
      <c r="E49" s="6">
        <f>E48+C49-D49</f>
      </c>
      <c r="F49" s="2"/>
    </row>
    <row x14ac:dyDescent="0.25" r="50" customHeight="1" ht="17.25">
      <c r="A50" s="7">
        <v>45845</v>
      </c>
      <c r="B50" s="9" t="s">
        <v>28</v>
      </c>
      <c r="C50" s="4"/>
      <c r="D50" s="6">
        <v>75</v>
      </c>
      <c r="E50" s="6">
        <f>E49+C50-D50</f>
      </c>
      <c r="F50" s="2"/>
    </row>
    <row x14ac:dyDescent="0.25" r="51" customHeight="1" ht="17.25">
      <c r="A51" s="7">
        <v>45845</v>
      </c>
      <c r="B51" s="9" t="s">
        <v>28</v>
      </c>
      <c r="C51" s="4"/>
      <c r="D51" s="6">
        <v>75</v>
      </c>
      <c r="E51" s="6">
        <f>E50+C51-D51</f>
      </c>
      <c r="F51" s="2"/>
    </row>
    <row x14ac:dyDescent="0.25" r="52" customHeight="1" ht="17.25">
      <c r="A52" s="8">
        <v>45848</v>
      </c>
      <c r="B52" s="9" t="s">
        <v>46</v>
      </c>
      <c r="C52" s="4"/>
      <c r="D52" s="6">
        <v>60</v>
      </c>
      <c r="E52" s="6">
        <f>E51+C52-D52</f>
      </c>
      <c r="F52" s="2"/>
    </row>
    <row x14ac:dyDescent="0.25" r="53" customHeight="1" ht="17.25">
      <c r="A53" s="7">
        <v>45848</v>
      </c>
      <c r="B53" s="9" t="s">
        <v>181</v>
      </c>
      <c r="C53" s="6">
        <v>282</v>
      </c>
      <c r="D53" s="4"/>
      <c r="E53" s="6">
        <f>E52+C53-D53</f>
      </c>
      <c r="F53" s="2"/>
    </row>
    <row x14ac:dyDescent="0.25" r="54" customHeight="1" ht="17.25">
      <c r="A54" s="7">
        <v>45849</v>
      </c>
      <c r="B54" s="9" t="s">
        <v>46</v>
      </c>
      <c r="C54" s="4"/>
      <c r="D54" s="6">
        <v>600</v>
      </c>
      <c r="E54" s="6">
        <f>E53+C54-D54</f>
      </c>
      <c r="F54" s="2"/>
    </row>
    <row x14ac:dyDescent="0.25" r="55" customHeight="1" ht="17.25">
      <c r="A55" s="7">
        <v>45853</v>
      </c>
      <c r="B55" s="9" t="s">
        <v>46</v>
      </c>
      <c r="C55" s="4"/>
      <c r="D55" s="6">
        <v>100</v>
      </c>
      <c r="E55" s="6">
        <f>E54+C55-D55</f>
      </c>
      <c r="F55" s="2"/>
    </row>
    <row x14ac:dyDescent="0.25" r="56" customHeight="1" ht="17.25">
      <c r="A56" s="7">
        <v>45853</v>
      </c>
      <c r="B56" s="9" t="s">
        <v>46</v>
      </c>
      <c r="C56" s="4"/>
      <c r="D56" s="6">
        <v>70</v>
      </c>
      <c r="E56" s="6">
        <f>E55+C56-D56</f>
      </c>
      <c r="F56" s="2"/>
    </row>
    <row x14ac:dyDescent="0.25" r="57" customHeight="1" ht="17.25">
      <c r="A57" s="7">
        <v>45859</v>
      </c>
      <c r="B57" s="9" t="s">
        <v>179</v>
      </c>
      <c r="C57" s="6">
        <v>13</v>
      </c>
      <c r="D57" s="4"/>
      <c r="E57" s="6">
        <f>E56+C57-D57</f>
      </c>
      <c r="F57" s="2"/>
    </row>
    <row x14ac:dyDescent="0.25" r="58" customHeight="1" ht="17.25">
      <c r="A58" s="7">
        <v>45869</v>
      </c>
      <c r="B58" s="2" t="s">
        <v>180</v>
      </c>
      <c r="C58" s="4"/>
      <c r="D58" s="6">
        <v>250</v>
      </c>
      <c r="E58" s="6">
        <f>E57+C58-D58</f>
      </c>
      <c r="F58" s="2"/>
    </row>
    <row x14ac:dyDescent="0.25" r="59" customHeight="1" ht="17.25">
      <c r="A59" s="7">
        <v>45874</v>
      </c>
      <c r="B59" s="9" t="s">
        <v>180</v>
      </c>
      <c r="C59" s="4"/>
      <c r="D59" s="6">
        <v>180</v>
      </c>
      <c r="E59" s="6">
        <f>E58+C59-D59</f>
      </c>
      <c r="F59" s="2"/>
    </row>
    <row x14ac:dyDescent="0.25" r="60" customHeight="1" ht="17.25">
      <c r="A60" s="7">
        <v>45877</v>
      </c>
      <c r="B60" s="9" t="s">
        <v>26</v>
      </c>
      <c r="C60" s="6">
        <v>388</v>
      </c>
      <c r="D60" s="4"/>
      <c r="E60" s="6">
        <f>E59+C60-D60</f>
      </c>
      <c r="F60" s="2"/>
    </row>
    <row x14ac:dyDescent="0.25" r="61" customHeight="1" ht="17.25">
      <c r="A61" s="7">
        <v>45877</v>
      </c>
      <c r="B61" s="9" t="s">
        <v>26</v>
      </c>
      <c r="C61" s="4"/>
      <c r="D61" s="6">
        <v>300</v>
      </c>
      <c r="E61" s="6">
        <f>E60+C61-D61</f>
      </c>
      <c r="F61" s="2"/>
    </row>
    <row x14ac:dyDescent="0.25" r="62" customHeight="1" ht="17.25">
      <c r="A62" s="7">
        <v>45878</v>
      </c>
      <c r="B62" s="9" t="s">
        <v>180</v>
      </c>
      <c r="C62" s="4"/>
      <c r="D62" s="6">
        <v>60</v>
      </c>
      <c r="E62" s="6">
        <f>E61+C62-D62</f>
      </c>
      <c r="F62" s="2"/>
    </row>
    <row x14ac:dyDescent="0.25" r="63" customHeight="1" ht="17.25">
      <c r="A63" s="7">
        <v>45880</v>
      </c>
      <c r="B63" s="9" t="s">
        <v>63</v>
      </c>
      <c r="C63" s="6">
        <v>500</v>
      </c>
      <c r="D63" s="4"/>
      <c r="E63" s="6">
        <f>E62+C63-D63</f>
      </c>
      <c r="F63" s="2"/>
    </row>
    <row x14ac:dyDescent="0.25" r="64" customHeight="1" ht="17.25">
      <c r="A64" s="7">
        <v>45880</v>
      </c>
      <c r="B64" s="9" t="s">
        <v>26</v>
      </c>
      <c r="C64" s="4"/>
      <c r="D64" s="6">
        <v>500</v>
      </c>
      <c r="E64" s="6">
        <f>E63+C64-D64</f>
      </c>
      <c r="F64" s="2"/>
    </row>
    <row x14ac:dyDescent="0.25" r="65" customHeight="1" ht="17.25">
      <c r="A65" s="7">
        <v>45880</v>
      </c>
      <c r="B65" s="9" t="s">
        <v>181</v>
      </c>
      <c r="C65" s="6">
        <v>25</v>
      </c>
      <c r="D65" s="4"/>
      <c r="E65" s="6">
        <f>E64+C65-D65</f>
      </c>
      <c r="F65" s="2"/>
    </row>
    <row x14ac:dyDescent="0.25" r="66" customHeight="1" ht="17.25">
      <c r="A66" s="8">
        <v>45881</v>
      </c>
      <c r="B66" s="9" t="s">
        <v>28</v>
      </c>
      <c r="C66" s="6">
        <v>139</v>
      </c>
      <c r="D66" s="4"/>
      <c r="E66" s="6">
        <f>E65+C66-D66</f>
      </c>
      <c r="F66" s="2"/>
    </row>
    <row x14ac:dyDescent="0.25" r="67" customHeight="1" ht="17.25">
      <c r="A67" s="7">
        <v>45882</v>
      </c>
      <c r="B67" s="9" t="s">
        <v>179</v>
      </c>
      <c r="C67" s="6">
        <v>191</v>
      </c>
      <c r="D67" s="4"/>
      <c r="E67" s="6">
        <f>E66+C67-D67</f>
      </c>
      <c r="F67" s="2"/>
    </row>
    <row x14ac:dyDescent="0.25" r="68" customHeight="1" ht="17.25">
      <c r="A68" s="7">
        <v>45882</v>
      </c>
      <c r="B68" s="9" t="s">
        <v>26</v>
      </c>
      <c r="C68" s="4"/>
      <c r="D68" s="6">
        <v>200</v>
      </c>
      <c r="E68" s="6">
        <f>E67+C68-D68</f>
      </c>
      <c r="F68" s="2"/>
    </row>
    <row x14ac:dyDescent="0.25" r="69" customHeight="1" ht="17.25">
      <c r="A69" s="7">
        <v>45883</v>
      </c>
      <c r="B69" s="9" t="s">
        <v>26</v>
      </c>
      <c r="C69" s="4"/>
      <c r="D69" s="6">
        <v>200</v>
      </c>
      <c r="E69" s="6">
        <f>E68+C69-D69</f>
      </c>
      <c r="F69" s="2"/>
    </row>
    <row x14ac:dyDescent="0.25" r="70" customHeight="1" ht="17.25">
      <c r="A70" s="7">
        <v>45883</v>
      </c>
      <c r="B70" s="9" t="s">
        <v>28</v>
      </c>
      <c r="C70" s="6">
        <v>30</v>
      </c>
      <c r="D70" s="4"/>
      <c r="E70" s="6">
        <f>E69+C70-D70</f>
      </c>
      <c r="F70" s="2"/>
    </row>
    <row x14ac:dyDescent="0.25" r="71" customHeight="1" ht="17.25">
      <c r="A71" s="8">
        <v>45885</v>
      </c>
      <c r="B71" s="9" t="s">
        <v>28</v>
      </c>
      <c r="C71" s="6">
        <v>25</v>
      </c>
      <c r="D71" s="4"/>
      <c r="E71" s="6">
        <f>E70+C71-D71</f>
      </c>
      <c r="F71" s="2"/>
    </row>
    <row x14ac:dyDescent="0.25" r="72" customHeight="1" ht="17.25">
      <c r="A72" s="7">
        <v>45888</v>
      </c>
      <c r="B72" s="9" t="s">
        <v>180</v>
      </c>
      <c r="C72" s="6">
        <v>155</v>
      </c>
      <c r="D72" s="4"/>
      <c r="E72" s="6">
        <f>E71+C72-D72</f>
      </c>
      <c r="F72" s="2"/>
    </row>
    <row x14ac:dyDescent="0.25" r="73" customHeight="1" ht="17.25">
      <c r="A73" s="7">
        <v>45888</v>
      </c>
      <c r="B73" s="9" t="s">
        <v>28</v>
      </c>
      <c r="C73" s="6">
        <v>36</v>
      </c>
      <c r="D73" s="4"/>
      <c r="E73" s="6">
        <f>E72+C73-D73</f>
      </c>
      <c r="F73" s="2"/>
    </row>
    <row x14ac:dyDescent="0.25" r="74" customHeight="1" ht="17.25">
      <c r="A74" s="7">
        <v>45889</v>
      </c>
      <c r="B74" s="9" t="s">
        <v>26</v>
      </c>
      <c r="C74" s="4"/>
      <c r="D74" s="6">
        <v>150</v>
      </c>
      <c r="E74" s="6">
        <f>E73+C74-D74</f>
      </c>
      <c r="F74" s="2"/>
    </row>
    <row x14ac:dyDescent="0.25" r="75" customHeight="1" ht="17.25">
      <c r="A75" s="7">
        <v>45890</v>
      </c>
      <c r="B75" s="9" t="s">
        <v>26</v>
      </c>
      <c r="C75" s="4"/>
      <c r="D75" s="6">
        <v>270</v>
      </c>
      <c r="E75" s="6">
        <f>E74+C75-D75</f>
      </c>
      <c r="F75" s="2"/>
    </row>
    <row x14ac:dyDescent="0.25" r="76" customHeight="1" ht="17.25">
      <c r="A76" s="7">
        <v>45890</v>
      </c>
      <c r="B76" s="9" t="s">
        <v>46</v>
      </c>
      <c r="C76" s="6">
        <v>80</v>
      </c>
      <c r="D76" s="4"/>
      <c r="E76" s="6">
        <f>E75+C76-D76</f>
      </c>
      <c r="F76" s="2"/>
    </row>
    <row x14ac:dyDescent="0.25" r="77" customHeight="1" ht="17.25">
      <c r="A77" s="7">
        <v>45890</v>
      </c>
      <c r="B77" s="9" t="s">
        <v>46</v>
      </c>
      <c r="C77" s="6">
        <v>406</v>
      </c>
      <c r="D77" s="4"/>
      <c r="E77" s="6">
        <f>E76+C77-D77</f>
      </c>
      <c r="F77" s="2"/>
    </row>
    <row x14ac:dyDescent="0.25" r="78" customHeight="1" ht="17.25">
      <c r="A78" s="7">
        <v>45891</v>
      </c>
      <c r="B78" s="9" t="s">
        <v>26</v>
      </c>
      <c r="C78" s="4"/>
      <c r="D78" s="6">
        <v>350</v>
      </c>
      <c r="E78" s="6">
        <f>E77+C78-D78</f>
      </c>
      <c r="F78" s="2"/>
    </row>
    <row x14ac:dyDescent="0.25" r="79" customHeight="1" ht="17.25">
      <c r="A79" s="8">
        <v>45891</v>
      </c>
      <c r="B79" s="9" t="s">
        <v>26</v>
      </c>
      <c r="C79" s="4"/>
      <c r="D79" s="6">
        <v>160</v>
      </c>
      <c r="E79" s="6">
        <f>E78+C79-D79</f>
      </c>
      <c r="F79" s="2"/>
    </row>
    <row x14ac:dyDescent="0.25" r="80" customHeight="1" ht="17.25">
      <c r="A80" s="8">
        <v>45891</v>
      </c>
      <c r="B80" s="9" t="s">
        <v>28</v>
      </c>
      <c r="C80" s="6">
        <v>66</v>
      </c>
      <c r="D80" s="4"/>
      <c r="E80" s="6">
        <f>E79+C80-D80</f>
      </c>
      <c r="F80" s="2"/>
    </row>
    <row x14ac:dyDescent="0.25" r="81" customHeight="1" ht="17.25">
      <c r="A81" s="7">
        <v>45891</v>
      </c>
      <c r="B81" s="9" t="s">
        <v>179</v>
      </c>
      <c r="C81" s="6">
        <v>22</v>
      </c>
      <c r="D81" s="4"/>
      <c r="E81" s="6">
        <f>E80+C81-D81</f>
      </c>
      <c r="F81" s="2"/>
    </row>
    <row x14ac:dyDescent="0.25" r="82" customHeight="1" ht="17.25">
      <c r="A82" s="7">
        <v>45894</v>
      </c>
      <c r="B82" s="9" t="s">
        <v>28</v>
      </c>
      <c r="C82" s="6">
        <v>94</v>
      </c>
      <c r="D82" s="4"/>
      <c r="E82" s="6">
        <f>E81+C82-D82</f>
      </c>
      <c r="F82" s="2"/>
    </row>
    <row x14ac:dyDescent="0.25" r="83" customHeight="1" ht="17.25">
      <c r="A83" s="7">
        <v>45895</v>
      </c>
      <c r="B83" s="9" t="s">
        <v>28</v>
      </c>
      <c r="C83" s="6">
        <v>27</v>
      </c>
      <c r="D83" s="4"/>
      <c r="E83" s="6">
        <f>E82+C83-D83</f>
      </c>
      <c r="F83" s="2"/>
    </row>
    <row x14ac:dyDescent="0.25" r="84" customHeight="1" ht="17.25">
      <c r="A84" s="7">
        <v>45895</v>
      </c>
      <c r="B84" s="9" t="s">
        <v>46</v>
      </c>
      <c r="C84" s="6">
        <v>50</v>
      </c>
      <c r="D84" s="4"/>
      <c r="E84" s="6">
        <f>E83+C84-D84</f>
      </c>
      <c r="F84" s="2"/>
    </row>
    <row x14ac:dyDescent="0.25" r="85" customHeight="1" ht="17.25">
      <c r="A85" s="8">
        <v>45897</v>
      </c>
      <c r="B85" s="9" t="s">
        <v>28</v>
      </c>
      <c r="C85" s="6">
        <v>41</v>
      </c>
      <c r="D85" s="4"/>
      <c r="E85" s="6">
        <f>E84+C85-D85</f>
      </c>
      <c r="F85" s="2"/>
    </row>
    <row x14ac:dyDescent="0.25" r="86" customHeight="1" ht="17.25">
      <c r="A86" s="7">
        <v>45899</v>
      </c>
      <c r="B86" s="9" t="s">
        <v>28</v>
      </c>
      <c r="C86" s="6">
        <v>16</v>
      </c>
      <c r="D86" s="4"/>
      <c r="E86" s="6">
        <f>E85+C86-D86</f>
      </c>
      <c r="F86" s="2"/>
    </row>
    <row x14ac:dyDescent="0.25" r="87" customHeight="1" ht="17.25">
      <c r="A87" s="7">
        <v>45901</v>
      </c>
      <c r="B87" s="9" t="s">
        <v>28</v>
      </c>
      <c r="C87" s="6">
        <v>434</v>
      </c>
      <c r="D87" s="4"/>
      <c r="E87" s="6">
        <f>E86+C87-D87</f>
      </c>
      <c r="F87" s="2"/>
    </row>
    <row x14ac:dyDescent="0.25" r="88" customHeight="1" ht="17.25">
      <c r="A88" s="7">
        <v>45903</v>
      </c>
      <c r="B88" s="9" t="s">
        <v>179</v>
      </c>
      <c r="C88" s="6">
        <v>130</v>
      </c>
      <c r="D88" s="4"/>
      <c r="E88" s="6">
        <f>E87+C88-D88</f>
      </c>
      <c r="F88" s="2"/>
    </row>
    <row x14ac:dyDescent="0.25" r="89" customHeight="1" ht="17.25">
      <c r="A89" s="7">
        <v>45903</v>
      </c>
      <c r="B89" s="9" t="s">
        <v>28</v>
      </c>
      <c r="C89" s="6">
        <v>38</v>
      </c>
      <c r="D89" s="4"/>
      <c r="E89" s="6">
        <f>E88+C89-D89</f>
      </c>
      <c r="F89" s="2"/>
    </row>
    <row x14ac:dyDescent="0.25" r="90" customHeight="1" ht="17.25">
      <c r="A90" s="8">
        <v>45904</v>
      </c>
      <c r="B90" s="9" t="s">
        <v>182</v>
      </c>
      <c r="C90" s="6">
        <v>31</v>
      </c>
      <c r="D90" s="4"/>
      <c r="E90" s="6">
        <f>E89+C90-D90</f>
      </c>
      <c r="F90" s="2"/>
    </row>
    <row x14ac:dyDescent="0.25" r="91" customHeight="1" ht="17.25">
      <c r="A91" s="7">
        <v>45904</v>
      </c>
      <c r="B91" s="9" t="s">
        <v>46</v>
      </c>
      <c r="C91" s="6">
        <v>22</v>
      </c>
      <c r="D91" s="4"/>
      <c r="E91" s="6">
        <f>E90+C91-D91</f>
      </c>
      <c r="F91" s="2"/>
    </row>
    <row x14ac:dyDescent="0.25" r="92" customHeight="1" ht="17.25">
      <c r="A92" s="7">
        <v>45906</v>
      </c>
      <c r="B92" s="9" t="s">
        <v>179</v>
      </c>
      <c r="C92" s="6">
        <v>105</v>
      </c>
      <c r="D92" s="4"/>
      <c r="E92" s="6">
        <f>E91+C92-D92</f>
      </c>
      <c r="F92" s="2"/>
    </row>
    <row x14ac:dyDescent="0.25" r="93" customHeight="1" ht="17.25">
      <c r="A93" s="7">
        <v>45909</v>
      </c>
      <c r="B93" s="9" t="s">
        <v>28</v>
      </c>
      <c r="C93" s="6">
        <v>23</v>
      </c>
      <c r="D93" s="4"/>
      <c r="E93" s="6">
        <f>E92+C93-D93</f>
      </c>
      <c r="F93" s="2"/>
    </row>
    <row x14ac:dyDescent="0.25" r="94" customHeight="1" ht="17.25">
      <c r="A94" s="7">
        <v>45909</v>
      </c>
      <c r="B94" s="9" t="s">
        <v>179</v>
      </c>
      <c r="C94" s="6">
        <v>12</v>
      </c>
      <c r="D94" s="4"/>
      <c r="E94" s="6">
        <f>E93+C94-D94</f>
      </c>
      <c r="F94" s="2"/>
    </row>
    <row x14ac:dyDescent="0.25" r="95" customHeight="1" ht="17.25">
      <c r="A95" s="8">
        <v>45910</v>
      </c>
      <c r="B95" s="9" t="s">
        <v>46</v>
      </c>
      <c r="C95" s="6">
        <v>125</v>
      </c>
      <c r="D95" s="4"/>
      <c r="E95" s="6">
        <f>E94+C95-D95</f>
      </c>
      <c r="F95" s="2"/>
    </row>
    <row x14ac:dyDescent="0.25" r="96" customHeight="1" ht="17.25">
      <c r="A96" s="7">
        <v>45911</v>
      </c>
      <c r="B96" s="9" t="s">
        <v>180</v>
      </c>
      <c r="C96" s="6">
        <v>213</v>
      </c>
      <c r="D96" s="4"/>
      <c r="E96" s="6">
        <f>E95+C96-D96</f>
      </c>
      <c r="F96" s="2"/>
    </row>
    <row x14ac:dyDescent="0.25" r="97" customHeight="1" ht="17.25">
      <c r="A97" s="7">
        <v>45912</v>
      </c>
      <c r="B97" s="9" t="s">
        <v>183</v>
      </c>
      <c r="C97" s="4"/>
      <c r="D97" s="6">
        <v>50</v>
      </c>
      <c r="E97" s="6">
        <f>E96+C97-D97</f>
      </c>
      <c r="F97" s="2"/>
    </row>
    <row x14ac:dyDescent="0.25" r="98" customHeight="1" ht="17.25">
      <c r="A98" s="7">
        <v>45912</v>
      </c>
      <c r="B98" s="9" t="s">
        <v>46</v>
      </c>
      <c r="C98" s="6">
        <v>146</v>
      </c>
      <c r="D98" s="4"/>
      <c r="E98" s="6">
        <f>E97+C98-D98</f>
      </c>
      <c r="F98" s="2"/>
    </row>
    <row x14ac:dyDescent="0.25" r="99" customHeight="1" ht="17.25">
      <c r="A99" s="7">
        <v>45915</v>
      </c>
      <c r="B99" s="9" t="s">
        <v>182</v>
      </c>
      <c r="C99" s="6">
        <v>9</v>
      </c>
      <c r="D99" s="4"/>
      <c r="E99" s="6">
        <f>E98+C99-D99</f>
      </c>
      <c r="F99" s="2"/>
    </row>
    <row x14ac:dyDescent="0.25" r="100" customHeight="1" ht="17.25">
      <c r="A100" s="7">
        <v>45915</v>
      </c>
      <c r="B100" s="9" t="s">
        <v>179</v>
      </c>
      <c r="C100" s="6">
        <v>59</v>
      </c>
      <c r="D100" s="4"/>
      <c r="E100" s="6">
        <f>E99+C100-D100</f>
      </c>
      <c r="F100" s="2"/>
    </row>
    <row x14ac:dyDescent="0.25" r="101" customHeight="1" ht="17.25">
      <c r="A101" s="7">
        <v>45917</v>
      </c>
      <c r="B101" s="9" t="s">
        <v>28</v>
      </c>
      <c r="C101" s="6">
        <v>13</v>
      </c>
      <c r="D101" s="4"/>
      <c r="E101" s="6">
        <f>E100+C101-D101</f>
      </c>
      <c r="F101" s="2"/>
    </row>
    <row x14ac:dyDescent="0.25" r="102" customHeight="1" ht="17.25">
      <c r="A102" s="7">
        <v>45919</v>
      </c>
      <c r="B102" s="9" t="s">
        <v>46</v>
      </c>
      <c r="C102" s="6">
        <v>52</v>
      </c>
      <c r="D102" s="4"/>
      <c r="E102" s="6">
        <f>E101+C102-D102</f>
      </c>
      <c r="F102" s="2"/>
    </row>
    <row x14ac:dyDescent="0.25" r="103" customHeight="1" ht="17.25">
      <c r="A103" s="7">
        <v>45920</v>
      </c>
      <c r="B103" s="9" t="s">
        <v>46</v>
      </c>
      <c r="C103" s="6">
        <v>177</v>
      </c>
      <c r="D103" s="4"/>
      <c r="E103" s="6">
        <f>E102+C103-D103</f>
      </c>
      <c r="F103" s="2"/>
    </row>
    <row x14ac:dyDescent="0.25" r="104" customHeight="1" ht="17.25">
      <c r="A104" s="7">
        <v>45922</v>
      </c>
      <c r="B104" s="9" t="s">
        <v>28</v>
      </c>
      <c r="C104" s="6">
        <v>2</v>
      </c>
      <c r="D104" s="4"/>
      <c r="E104" s="6">
        <f>E103+C104-D104</f>
      </c>
      <c r="F104" s="2"/>
    </row>
    <row x14ac:dyDescent="0.25" r="105" customHeight="1" ht="17.25">
      <c r="A105" s="7">
        <v>45922</v>
      </c>
      <c r="B105" s="9" t="s">
        <v>179</v>
      </c>
      <c r="C105" s="6">
        <v>51</v>
      </c>
      <c r="D105" s="4"/>
      <c r="E105" s="6">
        <f>E104+C105-D105</f>
      </c>
      <c r="F105" s="2"/>
    </row>
    <row x14ac:dyDescent="0.25" r="106" customHeight="1" ht="17.25">
      <c r="A106" s="7">
        <v>45923</v>
      </c>
      <c r="B106" s="9" t="s">
        <v>180</v>
      </c>
      <c r="C106" s="6">
        <v>147</v>
      </c>
      <c r="D106" s="4"/>
      <c r="E106" s="6">
        <f>E105+C106-D106</f>
      </c>
      <c r="F106" s="2"/>
    </row>
    <row x14ac:dyDescent="0.25" r="107" customHeight="1" ht="17.25">
      <c r="A107" s="7">
        <v>45923</v>
      </c>
      <c r="B107" s="9" t="s">
        <v>180</v>
      </c>
      <c r="C107" s="6">
        <v>200</v>
      </c>
      <c r="D107" s="4"/>
      <c r="E107" s="6">
        <f>E106+C107-D107</f>
      </c>
      <c r="F107" s="2"/>
    </row>
    <row x14ac:dyDescent="0.25" r="108" customHeight="1" ht="17.25">
      <c r="A108" s="7">
        <v>45927</v>
      </c>
      <c r="B108" s="9" t="s">
        <v>26</v>
      </c>
      <c r="C108" s="6">
        <v>272</v>
      </c>
      <c r="D108" s="4"/>
      <c r="E108" s="6">
        <f>E107+C108-D108</f>
      </c>
      <c r="F108" s="2"/>
    </row>
    <row x14ac:dyDescent="0.25" r="109" customHeight="1" ht="17.25">
      <c r="A109" s="7">
        <v>45930</v>
      </c>
      <c r="B109" s="9" t="s">
        <v>184</v>
      </c>
      <c r="C109" s="6">
        <v>87</v>
      </c>
      <c r="D109" s="4"/>
      <c r="E109" s="6">
        <f>E108+C109-D109</f>
      </c>
      <c r="F109" s="2"/>
    </row>
    <row x14ac:dyDescent="0.25" r="110" customHeight="1" ht="17.25">
      <c r="A110" s="7">
        <v>45933</v>
      </c>
      <c r="B110" s="9" t="s">
        <v>26</v>
      </c>
      <c r="C110" s="6">
        <v>218</v>
      </c>
      <c r="D110" s="4"/>
      <c r="E110" s="6">
        <f>E109+C110-D110</f>
      </c>
      <c r="F110" s="2"/>
    </row>
    <row x14ac:dyDescent="0.25" r="111" customHeight="1" ht="17.25">
      <c r="A111" s="7">
        <v>45937</v>
      </c>
      <c r="B111" s="9" t="s">
        <v>26</v>
      </c>
      <c r="C111" s="6">
        <v>151</v>
      </c>
      <c r="D111" s="4"/>
      <c r="E111" s="6">
        <f>E110+C111-D111</f>
      </c>
      <c r="F111" s="2"/>
    </row>
    <row x14ac:dyDescent="0.25" r="112" customHeight="1" ht="17.25">
      <c r="A112" s="8">
        <v>45939</v>
      </c>
      <c r="B112" s="9" t="s">
        <v>26</v>
      </c>
      <c r="C112" s="6">
        <v>97</v>
      </c>
      <c r="D112" s="4"/>
      <c r="E112" s="6">
        <f>E111+C112-D112</f>
      </c>
      <c r="F112" s="2"/>
    </row>
    <row x14ac:dyDescent="0.25" r="113" customHeight="1" ht="17.25">
      <c r="A113" s="7">
        <v>45941</v>
      </c>
      <c r="B113" s="9" t="s">
        <v>28</v>
      </c>
      <c r="C113" s="6">
        <v>29</v>
      </c>
      <c r="D113" s="4"/>
      <c r="E113" s="6">
        <f>E112+C113-D113</f>
      </c>
      <c r="F113" s="2"/>
    </row>
    <row x14ac:dyDescent="0.25" r="114" customHeight="1" ht="17.25">
      <c r="A114" s="7">
        <v>45941</v>
      </c>
      <c r="B114" s="9" t="s">
        <v>26</v>
      </c>
      <c r="C114" s="6">
        <v>60</v>
      </c>
      <c r="D114" s="4"/>
      <c r="E114" s="6">
        <f>E113+C114-D114</f>
      </c>
      <c r="F114" s="2"/>
    </row>
    <row x14ac:dyDescent="0.25" r="115" customHeight="1" ht="17.25">
      <c r="A115" s="7">
        <v>45945</v>
      </c>
      <c r="B115" s="9" t="s">
        <v>26</v>
      </c>
      <c r="C115" s="6">
        <v>217</v>
      </c>
      <c r="D115" s="4"/>
      <c r="E115" s="6">
        <f>E114+C115-D115</f>
      </c>
      <c r="F115" s="2"/>
    </row>
    <row x14ac:dyDescent="0.25" r="116" customHeight="1" ht="17.25">
      <c r="A116" s="7">
        <v>45947</v>
      </c>
      <c r="B116" s="9" t="s">
        <v>179</v>
      </c>
      <c r="C116" s="6">
        <v>47</v>
      </c>
      <c r="D116" s="4"/>
      <c r="E116" s="6">
        <f>E115+C116-D116</f>
      </c>
      <c r="F116" s="2"/>
    </row>
    <row x14ac:dyDescent="0.25" r="117" customHeight="1" ht="17.25">
      <c r="A117" s="7">
        <v>45948</v>
      </c>
      <c r="B117" s="9" t="s">
        <v>182</v>
      </c>
      <c r="C117" s="6">
        <v>494</v>
      </c>
      <c r="D117" s="4"/>
      <c r="E117" s="6">
        <f>E116+C117-D117</f>
      </c>
      <c r="F117" s="2"/>
    </row>
    <row x14ac:dyDescent="0.25" r="118" customHeight="1" ht="17.25">
      <c r="A118" s="8">
        <v>45948</v>
      </c>
      <c r="B118" s="9" t="s">
        <v>26</v>
      </c>
      <c r="C118" s="6">
        <v>354</v>
      </c>
      <c r="D118" s="4"/>
      <c r="E118" s="6">
        <f>E117+C118-D118</f>
      </c>
      <c r="F118" s="2"/>
    </row>
    <row x14ac:dyDescent="0.25" r="119" customHeight="1" ht="17.25">
      <c r="A119" s="7">
        <v>45951</v>
      </c>
      <c r="B119" s="9" t="s">
        <v>182</v>
      </c>
      <c r="C119" s="6">
        <v>319</v>
      </c>
      <c r="D119" s="4"/>
      <c r="E119" s="6">
        <f>E118+C119-D119</f>
      </c>
      <c r="F119" s="2"/>
    </row>
    <row x14ac:dyDescent="0.25" r="120" customHeight="1" ht="17.25">
      <c r="A120" s="7">
        <v>45953</v>
      </c>
      <c r="B120" s="9" t="s">
        <v>26</v>
      </c>
      <c r="C120" s="6">
        <v>100</v>
      </c>
      <c r="D120" s="4"/>
      <c r="E120" s="6">
        <f>E119+C120-D120</f>
      </c>
      <c r="F120" s="2"/>
    </row>
    <row x14ac:dyDescent="0.25" r="121" customHeight="1" ht="17.25">
      <c r="A121" s="7">
        <v>45954</v>
      </c>
      <c r="B121" s="9" t="s">
        <v>174</v>
      </c>
      <c r="C121" s="4"/>
      <c r="D121" s="6">
        <v>32</v>
      </c>
      <c r="E121" s="6">
        <f>E120+C121-D121</f>
      </c>
      <c r="F121" s="2"/>
    </row>
    <row x14ac:dyDescent="0.25" r="122" customHeight="1" ht="17.25">
      <c r="A122" s="8">
        <v>45955</v>
      </c>
      <c r="B122" s="9" t="s">
        <v>26</v>
      </c>
      <c r="C122" s="6">
        <v>182</v>
      </c>
      <c r="D122" s="4"/>
      <c r="E122" s="6">
        <f>E121+C122-D122</f>
      </c>
      <c r="F122" s="2"/>
    </row>
    <row x14ac:dyDescent="0.25" r="123" customHeight="1" ht="17.25">
      <c r="A123" s="8">
        <v>45958</v>
      </c>
      <c r="B123" s="9" t="s">
        <v>26</v>
      </c>
      <c r="C123" s="6">
        <v>153</v>
      </c>
      <c r="D123" s="4"/>
      <c r="E123" s="6">
        <f>E122+C123-D123</f>
      </c>
      <c r="F123" s="2"/>
    </row>
    <row x14ac:dyDescent="0.25" r="124" customHeight="1" ht="17.25">
      <c r="A124" s="7">
        <v>45958</v>
      </c>
      <c r="B124" s="9" t="s">
        <v>183</v>
      </c>
      <c r="C124" s="6">
        <v>50</v>
      </c>
      <c r="D124" s="4"/>
      <c r="E124" s="6">
        <f>E123+C124-D124</f>
      </c>
      <c r="F124" s="2"/>
    </row>
    <row x14ac:dyDescent="0.25" r="125" customHeight="1" ht="17.25">
      <c r="A125" s="7">
        <v>45962</v>
      </c>
      <c r="B125" s="9" t="s">
        <v>26</v>
      </c>
      <c r="C125" s="6">
        <v>8</v>
      </c>
      <c r="D125" s="4"/>
      <c r="E125" s="6">
        <f>E124+C125-D125</f>
      </c>
      <c r="F125" s="2"/>
    </row>
    <row x14ac:dyDescent="0.25" r="126" customHeight="1" ht="17.25">
      <c r="A126" s="7">
        <v>45974</v>
      </c>
      <c r="B126" s="9" t="s">
        <v>46</v>
      </c>
      <c r="C126" s="4"/>
      <c r="D126" s="6">
        <v>200</v>
      </c>
      <c r="E126" s="6">
        <f>E125+C126-D126</f>
      </c>
      <c r="F126" s="2"/>
    </row>
    <row x14ac:dyDescent="0.25" r="127" customHeight="1" ht="17.25">
      <c r="A127" s="8">
        <v>45978</v>
      </c>
      <c r="B127" s="9" t="s">
        <v>179</v>
      </c>
      <c r="C127" s="6">
        <v>25</v>
      </c>
      <c r="D127" s="4"/>
      <c r="E127" s="6">
        <f>E126+C127-D127</f>
      </c>
      <c r="F127" s="2"/>
    </row>
    <row x14ac:dyDescent="0.25" r="128" customHeight="1" ht="17.25">
      <c r="A128" s="8">
        <v>45980</v>
      </c>
      <c r="B128" s="9" t="s">
        <v>26</v>
      </c>
      <c r="C128" s="6">
        <v>160</v>
      </c>
      <c r="D128" s="4"/>
      <c r="E128" s="6">
        <f>E127+C128-D128</f>
      </c>
      <c r="F128" s="2"/>
    </row>
    <row x14ac:dyDescent="0.25" r="129" customHeight="1" ht="17.25">
      <c r="A129" s="8">
        <v>45985</v>
      </c>
      <c r="B129" s="9" t="s">
        <v>26</v>
      </c>
      <c r="C129" s="6">
        <v>9</v>
      </c>
      <c r="D129" s="4"/>
      <c r="E129" s="6">
        <f>E128+C129-D129</f>
      </c>
      <c r="F129" s="2"/>
    </row>
    <row x14ac:dyDescent="0.25" r="130" customHeight="1" ht="17.25">
      <c r="A130" s="7">
        <v>45988</v>
      </c>
      <c r="B130" s="9" t="s">
        <v>173</v>
      </c>
      <c r="C130" s="6">
        <v>9</v>
      </c>
      <c r="D130" s="4"/>
      <c r="E130" s="6">
        <f>E129+C130-D130</f>
      </c>
      <c r="F130" s="2"/>
    </row>
    <row x14ac:dyDescent="0.25" r="131" customHeight="1" ht="17.25">
      <c r="A131" s="7">
        <v>45988</v>
      </c>
      <c r="B131" s="9" t="s">
        <v>179</v>
      </c>
      <c r="C131" s="6">
        <v>4</v>
      </c>
      <c r="D131" s="4"/>
      <c r="E131" s="6">
        <f>E130+C131-D131</f>
      </c>
      <c r="F131" s="2"/>
    </row>
    <row x14ac:dyDescent="0.25" r="132" customHeight="1" ht="17.25">
      <c r="A132" s="8">
        <v>45992</v>
      </c>
      <c r="B132" s="9" t="s">
        <v>185</v>
      </c>
      <c r="C132" s="4"/>
      <c r="D132" s="6">
        <v>200</v>
      </c>
      <c r="E132" s="6">
        <f>E131+C132-D132</f>
      </c>
      <c r="F132" s="2"/>
    </row>
    <row x14ac:dyDescent="0.25" r="133" customHeight="1" ht="17.25">
      <c r="A133" s="8">
        <v>45992</v>
      </c>
      <c r="B133" s="9" t="s">
        <v>179</v>
      </c>
      <c r="C133" s="4"/>
      <c r="D133" s="6">
        <v>350</v>
      </c>
      <c r="E133" s="6">
        <f>E132+C133-D133</f>
      </c>
      <c r="F133" s="2"/>
    </row>
    <row x14ac:dyDescent="0.25" r="134" customHeight="1" ht="17.25">
      <c r="A134" s="7">
        <v>45993</v>
      </c>
      <c r="B134" s="9" t="s">
        <v>179</v>
      </c>
      <c r="C134" s="6">
        <v>44</v>
      </c>
      <c r="D134" s="4"/>
      <c r="E134" s="6">
        <f>E133+C134-D134</f>
      </c>
      <c r="F134" s="2"/>
    </row>
    <row x14ac:dyDescent="0.25" r="135" customHeight="1" ht="17.25">
      <c r="A135" s="7">
        <v>45995</v>
      </c>
      <c r="B135" s="9" t="s">
        <v>185</v>
      </c>
      <c r="C135" s="4"/>
      <c r="D135" s="6">
        <v>200</v>
      </c>
      <c r="E135" s="6">
        <f>E134+C135-D135</f>
      </c>
      <c r="F135" s="2"/>
    </row>
    <row x14ac:dyDescent="0.25" r="136" customHeight="1" ht="17.25">
      <c r="A136" s="7">
        <v>45995</v>
      </c>
      <c r="B136" s="9" t="s">
        <v>180</v>
      </c>
      <c r="C136" s="6">
        <v>96</v>
      </c>
      <c r="D136" s="4"/>
      <c r="E136" s="6">
        <f>E135+C136-D136</f>
      </c>
      <c r="F136" s="2"/>
    </row>
    <row x14ac:dyDescent="0.25" r="137" customHeight="1" ht="17.25">
      <c r="A137" s="7">
        <v>45996</v>
      </c>
      <c r="B137" s="9" t="s">
        <v>180</v>
      </c>
      <c r="C137" s="6">
        <v>21</v>
      </c>
      <c r="D137" s="4"/>
      <c r="E137" s="6">
        <f>E136+C137-D137</f>
      </c>
      <c r="F137" s="2"/>
    </row>
    <row x14ac:dyDescent="0.25" r="138" customHeight="1" ht="17.25">
      <c r="A138" s="30">
        <v>45078</v>
      </c>
      <c r="B138" s="9" t="s">
        <v>28</v>
      </c>
      <c r="C138" s="6">
        <v>8</v>
      </c>
      <c r="D138" s="4"/>
      <c r="E138" s="6">
        <f>E137+C138-D138</f>
      </c>
      <c r="F138" s="2"/>
    </row>
    <row x14ac:dyDescent="0.25" r="139" customHeight="1" ht="17.25">
      <c r="A139" s="7">
        <v>45999</v>
      </c>
      <c r="B139" s="9" t="s">
        <v>185</v>
      </c>
      <c r="C139" s="4"/>
      <c r="D139" s="6">
        <v>600</v>
      </c>
      <c r="E139" s="6">
        <f>E138+C139-D139</f>
      </c>
      <c r="F139" s="2"/>
    </row>
    <row x14ac:dyDescent="0.25" r="140" customHeight="1" ht="17.25">
      <c r="A140" s="7">
        <v>46000</v>
      </c>
      <c r="B140" s="9" t="s">
        <v>185</v>
      </c>
      <c r="C140" s="4"/>
      <c r="D140" s="6">
        <v>200</v>
      </c>
      <c r="E140" s="6">
        <f>E139+C140-D140</f>
      </c>
      <c r="F140" s="2"/>
    </row>
    <row x14ac:dyDescent="0.25" r="141" customHeight="1" ht="17.25">
      <c r="A141" s="7">
        <v>46003</v>
      </c>
      <c r="B141" s="9" t="s">
        <v>180</v>
      </c>
      <c r="C141" s="6">
        <v>60</v>
      </c>
      <c r="D141" s="4"/>
      <c r="E141" s="6">
        <f>E140+C141-D141</f>
      </c>
      <c r="F141" s="2"/>
    </row>
    <row x14ac:dyDescent="0.25" r="142" customHeight="1" ht="17.25">
      <c r="A142" s="7">
        <v>46007</v>
      </c>
      <c r="B142" s="9" t="s">
        <v>28</v>
      </c>
      <c r="C142" s="6">
        <v>9</v>
      </c>
      <c r="D142" s="4"/>
      <c r="E142" s="6">
        <f>E141+C142-D142</f>
      </c>
      <c r="F142" s="2"/>
    </row>
    <row x14ac:dyDescent="0.25" r="143" customHeight="1" ht="17.25">
      <c r="A143" s="1"/>
      <c r="B143" s="2"/>
      <c r="C143" s="4"/>
      <c r="D143" s="4"/>
      <c r="E143" s="6">
        <f>E142+C143-D143</f>
      </c>
      <c r="F143" s="2"/>
    </row>
    <row x14ac:dyDescent="0.25" r="144" customHeight="1" ht="17.25">
      <c r="A144" s="1"/>
      <c r="B144" s="2"/>
      <c r="C144" s="4"/>
      <c r="D144" s="4"/>
      <c r="E144" s="6">
        <f>E143+C144-D144</f>
      </c>
      <c r="F144" s="2"/>
    </row>
    <row x14ac:dyDescent="0.25" r="145" customHeight="1" ht="17.25">
      <c r="A145" s="1"/>
      <c r="B145" s="2"/>
      <c r="C145" s="4"/>
      <c r="D145" s="6">
        <v>4082</v>
      </c>
      <c r="E145" s="6">
        <f>E144+C145-D145</f>
      </c>
      <c r="F145" s="2"/>
    </row>
    <row x14ac:dyDescent="0.25" r="146" customHeight="1" ht="17.25">
      <c r="A146" s="1"/>
      <c r="B146" s="2"/>
      <c r="C146" s="4"/>
      <c r="D146" s="4"/>
      <c r="E146" s="6">
        <f>E145+C146-D146</f>
      </c>
      <c r="F146" s="2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2.576428571428572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170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1</v>
      </c>
      <c r="C3" s="3"/>
      <c r="D3" s="4"/>
      <c r="E3" s="6">
        <v>3</v>
      </c>
    </row>
    <row x14ac:dyDescent="0.25" r="4" customHeight="1" ht="17.25">
      <c r="A4" s="7">
        <v>45665</v>
      </c>
      <c r="B4" s="2" t="s">
        <v>171</v>
      </c>
      <c r="C4" s="6">
        <v>23</v>
      </c>
      <c r="D4" s="4"/>
      <c r="E4" s="6">
        <f>E3+C4-D4</f>
      </c>
    </row>
    <row x14ac:dyDescent="0.25" r="5" customHeight="1" ht="17.25">
      <c r="A5" s="7">
        <v>45666</v>
      </c>
      <c r="B5" s="2" t="s">
        <v>171</v>
      </c>
      <c r="C5" s="6">
        <v>25</v>
      </c>
      <c r="D5" s="4"/>
      <c r="E5" s="6">
        <f>E4+C5-D5</f>
      </c>
    </row>
    <row x14ac:dyDescent="0.25" r="6" customHeight="1" ht="17.25">
      <c r="A6" s="8">
        <v>45722</v>
      </c>
      <c r="B6" s="9" t="s">
        <v>172</v>
      </c>
      <c r="C6" s="6">
        <v>14</v>
      </c>
      <c r="D6" s="4"/>
      <c r="E6" s="6">
        <f>E5+C6-D6</f>
      </c>
    </row>
    <row x14ac:dyDescent="0.25" r="7" customHeight="1" ht="17.25">
      <c r="A7" s="8">
        <v>45727</v>
      </c>
      <c r="B7" s="9" t="s">
        <v>173</v>
      </c>
      <c r="C7" s="6">
        <v>13</v>
      </c>
      <c r="D7" s="4"/>
      <c r="E7" s="6">
        <f>E6+C7-D7</f>
      </c>
    </row>
    <row x14ac:dyDescent="0.25" r="8" customHeight="1" ht="17.25">
      <c r="A8" s="8">
        <v>45735</v>
      </c>
      <c r="B8" s="9" t="s">
        <v>172</v>
      </c>
      <c r="C8" s="6">
        <v>15</v>
      </c>
      <c r="D8" s="4"/>
      <c r="E8" s="6">
        <f>E7+C8-D8</f>
      </c>
    </row>
    <row x14ac:dyDescent="0.25" r="9" customHeight="1" ht="17.25">
      <c r="A9" s="8">
        <v>45740</v>
      </c>
      <c r="B9" s="9" t="s">
        <v>172</v>
      </c>
      <c r="C9" s="6">
        <v>2</v>
      </c>
      <c r="D9" s="4"/>
      <c r="E9" s="6">
        <f>E8+C9-D9</f>
      </c>
    </row>
    <row x14ac:dyDescent="0.25" r="10" customHeight="1" ht="17.25">
      <c r="A10" s="7">
        <v>45742</v>
      </c>
      <c r="B10" s="9" t="s">
        <v>172</v>
      </c>
      <c r="C10" s="6">
        <v>4</v>
      </c>
      <c r="D10" s="4"/>
      <c r="E10" s="6">
        <f>E9+C10-D10</f>
      </c>
    </row>
    <row x14ac:dyDescent="0.25" r="11" customHeight="1" ht="17.25">
      <c r="A11" s="7">
        <v>45828</v>
      </c>
      <c r="B11" s="9" t="s">
        <v>172</v>
      </c>
      <c r="C11" s="6">
        <v>6</v>
      </c>
      <c r="D11" s="4"/>
      <c r="E11" s="6">
        <f>E10+C11-D11</f>
      </c>
    </row>
    <row x14ac:dyDescent="0.25" r="12" customHeight="1" ht="17.25">
      <c r="A12" s="7">
        <v>45838</v>
      </c>
      <c r="B12" s="9" t="s">
        <v>172</v>
      </c>
      <c r="C12" s="6">
        <v>9</v>
      </c>
      <c r="D12" s="4"/>
      <c r="E12" s="6">
        <f>E11+C12-D12</f>
      </c>
    </row>
    <row x14ac:dyDescent="0.25" r="13" customHeight="1" ht="17.25">
      <c r="A13" s="7">
        <v>45890</v>
      </c>
      <c r="B13" s="9" t="s">
        <v>172</v>
      </c>
      <c r="C13" s="6">
        <v>1</v>
      </c>
      <c r="D13" s="4"/>
      <c r="E13" s="6">
        <f>E12+C13-D13</f>
      </c>
    </row>
    <row x14ac:dyDescent="0.25" r="14" customHeight="1" ht="17.25">
      <c r="A14" s="7">
        <v>45897</v>
      </c>
      <c r="B14" s="9" t="s">
        <v>172</v>
      </c>
      <c r="C14" s="6">
        <v>2</v>
      </c>
      <c r="D14" s="4"/>
      <c r="E14" s="6">
        <f>E13+C14-D14</f>
      </c>
    </row>
    <row x14ac:dyDescent="0.25" r="15" customHeight="1" ht="17.25">
      <c r="A15" s="7">
        <v>45901</v>
      </c>
      <c r="B15" s="9" t="s">
        <v>172</v>
      </c>
      <c r="C15" s="6">
        <v>2</v>
      </c>
      <c r="D15" s="4"/>
      <c r="E15" s="6">
        <f>E14+C15-D15</f>
      </c>
    </row>
    <row x14ac:dyDescent="0.25" r="16" customHeight="1" ht="17.25">
      <c r="A16" s="7">
        <v>45906</v>
      </c>
      <c r="B16" s="9" t="s">
        <v>172</v>
      </c>
      <c r="C16" s="6">
        <v>1</v>
      </c>
      <c r="D16" s="4"/>
      <c r="E16" s="6">
        <f>E15+C16-D16</f>
      </c>
    </row>
    <row x14ac:dyDescent="0.25" r="17" customHeight="1" ht="17.25">
      <c r="A17" s="7">
        <v>45913</v>
      </c>
      <c r="B17" s="9" t="s">
        <v>172</v>
      </c>
      <c r="C17" s="6">
        <v>3</v>
      </c>
      <c r="D17" s="4"/>
      <c r="E17" s="4"/>
    </row>
    <row x14ac:dyDescent="0.25" r="18" customHeight="1" ht="17.25">
      <c r="A18" s="7">
        <v>45954</v>
      </c>
      <c r="B18" s="9" t="s">
        <v>174</v>
      </c>
      <c r="C18" s="3"/>
      <c r="D18" s="6">
        <v>8</v>
      </c>
      <c r="E18" s="4"/>
    </row>
    <row x14ac:dyDescent="0.25" r="19" customHeight="1" ht="17.25">
      <c r="A19" s="8">
        <v>45987</v>
      </c>
      <c r="B19" s="9" t="s">
        <v>175</v>
      </c>
      <c r="C19" s="6">
        <v>3</v>
      </c>
      <c r="D19" s="4"/>
      <c r="E19" s="4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719285714285714" customWidth="1" bestFit="1"/>
    <col min="3" max="3" style="12" width="12.43357142857143" customWidth="1" bestFit="1"/>
  </cols>
  <sheetData>
    <row x14ac:dyDescent="0.25" r="1" customHeight="1" ht="17.25">
      <c r="A1" s="1" t="s">
        <v>169</v>
      </c>
      <c r="B1" s="2"/>
      <c r="C1" s="3"/>
    </row>
    <row x14ac:dyDescent="0.25" r="2" customHeight="1" ht="17.25">
      <c r="A2" s="1"/>
      <c r="B2" s="2"/>
      <c r="C2" s="3"/>
    </row>
    <row x14ac:dyDescent="0.25" r="3" customHeight="1" ht="17.25">
      <c r="A3" s="7">
        <v>45658</v>
      </c>
      <c r="B3" s="2" t="s">
        <v>1</v>
      </c>
      <c r="C3" s="3"/>
    </row>
    <row x14ac:dyDescent="0.25" r="4" customHeight="1" ht="17.25">
      <c r="A4" s="7">
        <v>45670</v>
      </c>
      <c r="B4" s="2" t="s">
        <v>31</v>
      </c>
      <c r="C4" s="6">
        <v>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6.576428571428572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167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14">
        <v>306</v>
      </c>
    </row>
    <row x14ac:dyDescent="0.25" r="4" customHeight="1" ht="17.25">
      <c r="A4" s="8">
        <v>45670</v>
      </c>
      <c r="B4" s="9" t="s">
        <v>31</v>
      </c>
      <c r="C4" s="6">
        <v>5</v>
      </c>
      <c r="D4" s="4"/>
      <c r="E4" s="6">
        <f>E3+C4-D4</f>
      </c>
    </row>
    <row x14ac:dyDescent="0.25" r="5" customHeight="1" ht="17.25">
      <c r="A5" s="7">
        <v>45696</v>
      </c>
      <c r="B5" s="9" t="s">
        <v>165</v>
      </c>
      <c r="C5" s="3"/>
      <c r="D5" s="6">
        <v>40</v>
      </c>
      <c r="E5" s="6">
        <f>E4+C5-D5</f>
      </c>
    </row>
    <row x14ac:dyDescent="0.25" r="6" customHeight="1" ht="17.25">
      <c r="A6" s="7">
        <v>45702</v>
      </c>
      <c r="B6" s="2" t="s">
        <v>11</v>
      </c>
      <c r="C6" s="6">
        <v>2</v>
      </c>
      <c r="D6" s="4"/>
      <c r="E6" s="6">
        <f>E5+C6-D6</f>
      </c>
    </row>
    <row x14ac:dyDescent="0.25" r="7" customHeight="1" ht="17.25">
      <c r="A7" s="8">
        <v>45735</v>
      </c>
      <c r="B7" s="9" t="s">
        <v>119</v>
      </c>
      <c r="C7" s="6">
        <v>25</v>
      </c>
      <c r="D7" s="4"/>
      <c r="E7" s="6">
        <f>E6+C7-D7</f>
      </c>
    </row>
    <row x14ac:dyDescent="0.25" r="8" customHeight="1" ht="17.25">
      <c r="A8" s="8">
        <v>45741</v>
      </c>
      <c r="B8" s="9" t="s">
        <v>119</v>
      </c>
      <c r="C8" s="6">
        <v>8</v>
      </c>
      <c r="D8" s="4"/>
      <c r="E8" s="6">
        <f>E7+C8-D8</f>
      </c>
    </row>
    <row x14ac:dyDescent="0.25" r="9" customHeight="1" ht="17.25">
      <c r="A9" s="8">
        <v>45843</v>
      </c>
      <c r="B9" s="9" t="s">
        <v>46</v>
      </c>
      <c r="C9" s="3"/>
      <c r="D9" s="6">
        <v>120</v>
      </c>
      <c r="E9" s="6">
        <f>E8+C9-D9</f>
      </c>
    </row>
    <row x14ac:dyDescent="0.25" r="10" customHeight="1" ht="17.25">
      <c r="A10" s="7">
        <v>45853</v>
      </c>
      <c r="B10" s="9" t="s">
        <v>46</v>
      </c>
      <c r="C10" s="3"/>
      <c r="D10" s="6">
        <v>50</v>
      </c>
      <c r="E10" s="4"/>
    </row>
    <row x14ac:dyDescent="0.25" r="11" customHeight="1" ht="17.25">
      <c r="A11" s="7">
        <v>45860</v>
      </c>
      <c r="B11" s="9" t="s">
        <v>168</v>
      </c>
      <c r="C11" s="3"/>
      <c r="D11" s="6">
        <f>97*2</f>
      </c>
      <c r="E11" s="6">
        <v>0</v>
      </c>
    </row>
    <row x14ac:dyDescent="0.25" r="12" customHeight="1" ht="17.25">
      <c r="A12" s="8">
        <v>45904</v>
      </c>
      <c r="B12" s="9" t="s">
        <v>46</v>
      </c>
      <c r="C12" s="6">
        <v>6</v>
      </c>
      <c r="D12" s="4"/>
      <c r="E12" s="4"/>
    </row>
    <row x14ac:dyDescent="0.25" r="13" customHeight="1" ht="17.25">
      <c r="A13" s="8">
        <v>45910</v>
      </c>
      <c r="B13" s="9" t="s">
        <v>46</v>
      </c>
      <c r="C13" s="6">
        <v>50</v>
      </c>
      <c r="D13" s="4"/>
      <c r="E13" s="4"/>
    </row>
    <row x14ac:dyDescent="0.25" r="14" customHeight="1" ht="17.25">
      <c r="A14" s="7">
        <v>45912</v>
      </c>
      <c r="B14" s="9" t="s">
        <v>46</v>
      </c>
      <c r="C14" s="6">
        <v>27</v>
      </c>
      <c r="D14" s="4"/>
      <c r="E14" s="4"/>
    </row>
    <row x14ac:dyDescent="0.25" r="15" customHeight="1" ht="17.25">
      <c r="A15" s="7">
        <v>45919</v>
      </c>
      <c r="B15" s="9" t="s">
        <v>46</v>
      </c>
      <c r="C15" s="6">
        <v>28</v>
      </c>
      <c r="D15" s="4"/>
      <c r="E15" s="4"/>
    </row>
    <row x14ac:dyDescent="0.25" r="16" customHeight="1" ht="17.25">
      <c r="A16" s="7">
        <v>45993</v>
      </c>
      <c r="B16" s="9" t="s">
        <v>26</v>
      </c>
      <c r="C16" s="6">
        <v>6</v>
      </c>
      <c r="D16" s="4"/>
      <c r="E16" s="4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7.862142857142857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166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14">
        <v>465</v>
      </c>
    </row>
    <row x14ac:dyDescent="0.25" r="4" customHeight="1" ht="17.25">
      <c r="A4" s="8">
        <v>45660</v>
      </c>
      <c r="B4" s="9" t="s">
        <v>11</v>
      </c>
      <c r="C4" s="6">
        <v>31</v>
      </c>
      <c r="D4" s="4"/>
      <c r="E4" s="6">
        <f>E3+C4-D4</f>
      </c>
    </row>
    <row x14ac:dyDescent="0.25" r="5" customHeight="1" ht="17.25">
      <c r="A5" s="8">
        <v>45678</v>
      </c>
      <c r="B5" s="9" t="s">
        <v>11</v>
      </c>
      <c r="C5" s="6">
        <v>60</v>
      </c>
      <c r="D5" s="4"/>
      <c r="E5" s="6">
        <f>E4+C5-D5</f>
      </c>
    </row>
    <row x14ac:dyDescent="0.25" r="6" customHeight="1" ht="17.25">
      <c r="A6" s="8">
        <v>45686</v>
      </c>
      <c r="B6" s="9" t="s">
        <v>11</v>
      </c>
      <c r="C6" s="6">
        <v>20</v>
      </c>
      <c r="D6" s="4"/>
      <c r="E6" s="6">
        <f>E5+C6-D6</f>
      </c>
    </row>
    <row x14ac:dyDescent="0.25" r="7" customHeight="1" ht="17.25">
      <c r="A7" s="7">
        <v>45702</v>
      </c>
      <c r="B7" s="9" t="s">
        <v>11</v>
      </c>
      <c r="C7" s="6">
        <v>33</v>
      </c>
      <c r="D7" s="4"/>
      <c r="E7" s="6">
        <f>E6+C7-D7</f>
      </c>
    </row>
    <row x14ac:dyDescent="0.25" r="8" customHeight="1" ht="17.25">
      <c r="A8" s="8">
        <v>45710</v>
      </c>
      <c r="B8" s="9" t="s">
        <v>11</v>
      </c>
      <c r="C8" s="6">
        <v>3</v>
      </c>
      <c r="D8" s="4"/>
      <c r="E8" s="6">
        <f>E7+C8-D8</f>
      </c>
    </row>
    <row x14ac:dyDescent="0.25" r="9" customHeight="1" ht="17.25">
      <c r="A9" s="8">
        <v>45733</v>
      </c>
      <c r="B9" s="9" t="s">
        <v>11</v>
      </c>
      <c r="C9" s="6">
        <v>15</v>
      </c>
      <c r="D9" s="4"/>
      <c r="E9" s="6">
        <f>E8+C9-D9</f>
      </c>
    </row>
    <row x14ac:dyDescent="0.25" r="10" customHeight="1" ht="17.25">
      <c r="A10" s="8">
        <v>45846</v>
      </c>
      <c r="B10" s="9" t="s">
        <v>42</v>
      </c>
      <c r="C10" s="6">
        <v>34</v>
      </c>
      <c r="D10" s="4"/>
      <c r="E10" s="6">
        <f>E9+C10-D10</f>
      </c>
    </row>
    <row x14ac:dyDescent="0.25" r="11" customHeight="1" ht="17.25">
      <c r="A11" s="8">
        <v>45852</v>
      </c>
      <c r="B11" s="9" t="s">
        <v>28</v>
      </c>
      <c r="C11" s="3"/>
      <c r="D11" s="6">
        <v>50</v>
      </c>
      <c r="E11" s="6">
        <f>E10+C11-D11</f>
      </c>
    </row>
    <row x14ac:dyDescent="0.25" r="12" customHeight="1" ht="17.25">
      <c r="A12" s="7">
        <v>45885</v>
      </c>
      <c r="B12" s="9" t="s">
        <v>28</v>
      </c>
      <c r="C12" s="6">
        <v>57</v>
      </c>
      <c r="D12" s="4"/>
      <c r="E12" s="6">
        <f>E11+C12-D12</f>
      </c>
    </row>
    <row x14ac:dyDescent="0.25" r="13" customHeight="1" ht="17.25">
      <c r="A13" s="7">
        <v>45892</v>
      </c>
      <c r="B13" s="9" t="s">
        <v>26</v>
      </c>
      <c r="C13" s="3"/>
      <c r="D13" s="6">
        <v>200</v>
      </c>
      <c r="E13" s="6">
        <f>E12+C13-D13</f>
      </c>
    </row>
    <row x14ac:dyDescent="0.25" r="14" customHeight="1" ht="17.25">
      <c r="A14" s="1"/>
      <c r="B14" s="9" t="s">
        <v>26</v>
      </c>
      <c r="C14" s="3"/>
      <c r="D14" s="6">
        <v>396</v>
      </c>
      <c r="E14" s="6">
        <f>E13+C14-D14</f>
      </c>
    </row>
    <row x14ac:dyDescent="0.25" r="15" customHeight="1" ht="17.25">
      <c r="A15" s="8">
        <v>45909</v>
      </c>
      <c r="B15" s="9" t="s">
        <v>28</v>
      </c>
      <c r="C15" s="3"/>
      <c r="D15" s="6">
        <v>7</v>
      </c>
      <c r="E15" s="6">
        <f>E14+C15-D15</f>
      </c>
    </row>
    <row x14ac:dyDescent="0.25" r="16" customHeight="1" ht="17.25">
      <c r="A16" s="1"/>
      <c r="B16" s="9" t="s">
        <v>73</v>
      </c>
      <c r="C16" s="3"/>
      <c r="D16" s="4"/>
      <c r="E16" s="6">
        <f>E15+C16-D16</f>
      </c>
    </row>
    <row x14ac:dyDescent="0.25" r="17" customHeight="1" ht="17.25">
      <c r="A17" s="8">
        <v>45913</v>
      </c>
      <c r="B17" s="9" t="s">
        <v>26</v>
      </c>
      <c r="C17" s="6">
        <v>17</v>
      </c>
      <c r="D17" s="4"/>
      <c r="E17" s="6">
        <f>E16+C17-D17</f>
      </c>
    </row>
    <row x14ac:dyDescent="0.25" r="18" customHeight="1" ht="17.25">
      <c r="A18" s="7">
        <v>45927</v>
      </c>
      <c r="B18" s="9" t="s">
        <v>26</v>
      </c>
      <c r="C18" s="6">
        <v>19</v>
      </c>
      <c r="D18" s="4"/>
      <c r="E18" s="4"/>
    </row>
    <row x14ac:dyDescent="0.25" r="19" customHeight="1" ht="17.25">
      <c r="A19" s="7">
        <v>45937</v>
      </c>
      <c r="B19" s="9" t="s">
        <v>26</v>
      </c>
      <c r="C19" s="6">
        <v>365</v>
      </c>
      <c r="D19" s="4"/>
      <c r="E19" s="4"/>
    </row>
    <row x14ac:dyDescent="0.25" r="20" customHeight="1" ht="17.25">
      <c r="A20" s="7">
        <v>45939</v>
      </c>
      <c r="B20" s="9" t="s">
        <v>26</v>
      </c>
      <c r="C20" s="6">
        <v>42</v>
      </c>
      <c r="D20" s="4"/>
      <c r="E20" s="4"/>
    </row>
    <row x14ac:dyDescent="0.25" r="21" customHeight="1" ht="17.25">
      <c r="A21" s="8">
        <v>45941</v>
      </c>
      <c r="B21" s="9" t="s">
        <v>26</v>
      </c>
      <c r="C21" s="6">
        <v>19</v>
      </c>
      <c r="D21" s="4"/>
      <c r="E21" s="4"/>
    </row>
    <row x14ac:dyDescent="0.25" r="22" customHeight="1" ht="17.25">
      <c r="A22" s="8">
        <v>45945</v>
      </c>
      <c r="B22" s="9" t="s">
        <v>26</v>
      </c>
      <c r="C22" s="6">
        <v>25</v>
      </c>
      <c r="D22" s="4"/>
      <c r="E22" s="4"/>
    </row>
    <row x14ac:dyDescent="0.25" r="23" customHeight="1" ht="17.25">
      <c r="A23" s="7">
        <v>45951</v>
      </c>
      <c r="B23" s="9" t="s">
        <v>26</v>
      </c>
      <c r="C23" s="6">
        <v>34</v>
      </c>
      <c r="D23" s="4"/>
      <c r="E23" s="4"/>
    </row>
    <row x14ac:dyDescent="0.25" r="24" customHeight="1" ht="17.25">
      <c r="A24" s="7">
        <v>45953</v>
      </c>
      <c r="B24" s="9" t="s">
        <v>26</v>
      </c>
      <c r="C24" s="6">
        <v>19</v>
      </c>
      <c r="D24" s="4"/>
      <c r="E24" s="4"/>
    </row>
    <row x14ac:dyDescent="0.25" r="25" customHeight="1" ht="17.25">
      <c r="A25" s="8">
        <v>45958</v>
      </c>
      <c r="B25" s="9" t="s">
        <v>26</v>
      </c>
      <c r="C25" s="6">
        <v>27</v>
      </c>
      <c r="D25" s="4"/>
      <c r="E25" s="4"/>
    </row>
    <row x14ac:dyDescent="0.25" r="26" customHeight="1" ht="17.25">
      <c r="A26" s="8">
        <v>45962</v>
      </c>
      <c r="B26" s="9" t="s">
        <v>26</v>
      </c>
      <c r="C26" s="6">
        <v>6</v>
      </c>
      <c r="D26" s="4"/>
      <c r="E26" s="4"/>
    </row>
    <row x14ac:dyDescent="0.25" r="27" customHeight="1" ht="17.25">
      <c r="A27" s="8">
        <v>45967</v>
      </c>
      <c r="B27" s="9" t="s">
        <v>23</v>
      </c>
      <c r="C27" s="3"/>
      <c r="D27" s="6">
        <v>36</v>
      </c>
      <c r="E27" s="4"/>
    </row>
    <row x14ac:dyDescent="0.25" r="28" customHeight="1" ht="17.25">
      <c r="A28" s="8">
        <v>45980</v>
      </c>
      <c r="B28" s="9" t="s">
        <v>26</v>
      </c>
      <c r="C28" s="6">
        <v>7</v>
      </c>
      <c r="D28" s="4"/>
      <c r="E28" s="4"/>
    </row>
    <row x14ac:dyDescent="0.25" r="29" customHeight="1" ht="17.25">
      <c r="A29" s="8">
        <v>45985</v>
      </c>
      <c r="B29" s="9" t="s">
        <v>26</v>
      </c>
      <c r="C29" s="6">
        <v>13</v>
      </c>
      <c r="D29" s="4"/>
      <c r="E29" s="4"/>
    </row>
    <row x14ac:dyDescent="0.25" r="30" customHeight="1" ht="17.25">
      <c r="A30" s="8">
        <v>45994</v>
      </c>
      <c r="B30" s="9" t="s">
        <v>23</v>
      </c>
      <c r="C30" s="6">
        <v>30</v>
      </c>
      <c r="D30" s="4"/>
      <c r="E30" s="4"/>
    </row>
    <row x14ac:dyDescent="0.25" r="31" customHeight="1" ht="17.25">
      <c r="A31" s="7">
        <v>46007</v>
      </c>
      <c r="B31" s="9" t="s">
        <v>26</v>
      </c>
      <c r="C31" s="6">
        <v>2</v>
      </c>
      <c r="D31" s="4"/>
      <c r="E31" s="4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0.576428571428572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164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14">
        <v>633</v>
      </c>
    </row>
    <row x14ac:dyDescent="0.25" r="4" customHeight="1" ht="17.25">
      <c r="A4" s="7">
        <v>45660</v>
      </c>
      <c r="B4" s="2" t="s">
        <v>127</v>
      </c>
      <c r="C4" s="6">
        <v>13</v>
      </c>
      <c r="D4" s="4"/>
      <c r="E4" s="6">
        <f>E3+C4-D4</f>
      </c>
    </row>
    <row x14ac:dyDescent="0.25" r="5" customHeight="1" ht="17.25">
      <c r="A5" s="8">
        <v>45660</v>
      </c>
      <c r="B5" s="9" t="s">
        <v>11</v>
      </c>
      <c r="C5" s="6">
        <v>12</v>
      </c>
      <c r="D5" s="4"/>
      <c r="E5" s="6">
        <f>E4+C5-D5</f>
      </c>
    </row>
    <row x14ac:dyDescent="0.25" r="6" customHeight="1" ht="17.25">
      <c r="A6" s="8">
        <v>45664</v>
      </c>
      <c r="B6" s="9" t="s">
        <v>127</v>
      </c>
      <c r="C6" s="6">
        <v>126</v>
      </c>
      <c r="D6" s="4"/>
      <c r="E6" s="6">
        <f>E5+C6-D6</f>
      </c>
    </row>
    <row x14ac:dyDescent="0.25" r="7" customHeight="1" ht="17.25">
      <c r="A7" s="8">
        <v>45670</v>
      </c>
      <c r="B7" s="9" t="s">
        <v>31</v>
      </c>
      <c r="C7" s="6">
        <v>1</v>
      </c>
      <c r="D7" s="4"/>
      <c r="E7" s="6">
        <f>E6+C7-D7</f>
      </c>
    </row>
    <row x14ac:dyDescent="0.25" r="8" customHeight="1" ht="17.25">
      <c r="A8" s="7">
        <v>45677</v>
      </c>
      <c r="B8" s="9" t="s">
        <v>127</v>
      </c>
      <c r="C8" s="6">
        <v>6</v>
      </c>
      <c r="D8" s="4"/>
      <c r="E8" s="6">
        <f>E7+C8-D8</f>
      </c>
    </row>
    <row x14ac:dyDescent="0.25" r="9" customHeight="1" ht="17.25">
      <c r="A9" s="8">
        <v>45678</v>
      </c>
      <c r="B9" s="9" t="s">
        <v>11</v>
      </c>
      <c r="C9" s="6">
        <v>48</v>
      </c>
      <c r="D9" s="4"/>
      <c r="E9" s="6">
        <f>E8+C9-D9</f>
      </c>
    </row>
    <row x14ac:dyDescent="0.25" r="10" customHeight="1" ht="17.25">
      <c r="A10" s="8">
        <v>45685</v>
      </c>
      <c r="B10" s="9" t="s">
        <v>127</v>
      </c>
      <c r="C10" s="6">
        <v>8</v>
      </c>
      <c r="D10" s="4"/>
      <c r="E10" s="6">
        <f>E9+C10-D10</f>
      </c>
    </row>
    <row x14ac:dyDescent="0.25" r="11" customHeight="1" ht="17.25">
      <c r="A11" s="8">
        <v>45688</v>
      </c>
      <c r="B11" s="9" t="s">
        <v>127</v>
      </c>
      <c r="C11" s="6">
        <v>26</v>
      </c>
      <c r="D11" s="4"/>
      <c r="E11" s="6">
        <f>E10+C11-D11</f>
      </c>
    </row>
    <row x14ac:dyDescent="0.25" r="12" customHeight="1" ht="17.25">
      <c r="A12" s="8">
        <v>45694</v>
      </c>
      <c r="B12" s="9" t="s">
        <v>127</v>
      </c>
      <c r="C12" s="6">
        <v>9</v>
      </c>
      <c r="D12" s="4"/>
      <c r="E12" s="6">
        <f>E11+C12-D12</f>
      </c>
    </row>
    <row x14ac:dyDescent="0.25" r="13" customHeight="1" ht="17.25">
      <c r="A13" s="7">
        <v>45696</v>
      </c>
      <c r="B13" s="9" t="s">
        <v>165</v>
      </c>
      <c r="C13" s="3"/>
      <c r="D13" s="6">
        <v>60</v>
      </c>
      <c r="E13" s="6">
        <f>E12+C13-D13</f>
      </c>
    </row>
    <row x14ac:dyDescent="0.25" r="14" customHeight="1" ht="17.25">
      <c r="A14" s="8">
        <v>45698</v>
      </c>
      <c r="B14" s="9" t="s">
        <v>123</v>
      </c>
      <c r="C14" s="6">
        <v>9</v>
      </c>
      <c r="D14" s="4"/>
      <c r="E14" s="6">
        <f>E13+C14-D14</f>
      </c>
    </row>
    <row x14ac:dyDescent="0.25" r="15" customHeight="1" ht="17.25">
      <c r="A15" s="7">
        <v>45702</v>
      </c>
      <c r="B15" s="9" t="s">
        <v>11</v>
      </c>
      <c r="C15" s="6">
        <v>41</v>
      </c>
      <c r="D15" s="4"/>
      <c r="E15" s="6">
        <f>E14+C15-D15</f>
      </c>
    </row>
    <row x14ac:dyDescent="0.25" r="16" customHeight="1" ht="17.25">
      <c r="A16" s="7">
        <v>45708</v>
      </c>
      <c r="B16" s="9" t="s">
        <v>141</v>
      </c>
      <c r="C16" s="3"/>
      <c r="D16" s="6">
        <v>100</v>
      </c>
      <c r="E16" s="6">
        <f>E15+C16-D16</f>
      </c>
    </row>
    <row x14ac:dyDescent="0.25" r="17" customHeight="1" ht="17.25">
      <c r="A17" s="8">
        <v>45710</v>
      </c>
      <c r="B17" s="9" t="s">
        <v>11</v>
      </c>
      <c r="C17" s="6">
        <v>7</v>
      </c>
      <c r="D17" s="4"/>
      <c r="E17" s="6">
        <f>E16+C17-D17</f>
      </c>
    </row>
    <row x14ac:dyDescent="0.25" r="18" customHeight="1" ht="17.25">
      <c r="A18" s="7">
        <v>45719</v>
      </c>
      <c r="B18" s="9" t="s">
        <v>118</v>
      </c>
      <c r="C18" s="6">
        <v>59</v>
      </c>
      <c r="D18" s="4"/>
      <c r="E18" s="6">
        <f>E17+C18-D18</f>
      </c>
    </row>
    <row x14ac:dyDescent="0.25" r="19" customHeight="1" ht="17.25">
      <c r="A19" s="8">
        <v>45729</v>
      </c>
      <c r="B19" s="9" t="s">
        <v>141</v>
      </c>
      <c r="C19" s="3"/>
      <c r="D19" s="6">
        <v>100</v>
      </c>
      <c r="E19" s="6">
        <f>E18+C19-D19</f>
      </c>
    </row>
    <row x14ac:dyDescent="0.25" r="20" customHeight="1" ht="17.25">
      <c r="A20" s="8">
        <v>45733</v>
      </c>
      <c r="B20" s="9" t="s">
        <v>11</v>
      </c>
      <c r="C20" s="6">
        <v>22</v>
      </c>
      <c r="D20" s="4"/>
      <c r="E20" s="6">
        <f>E19+C20-D20</f>
      </c>
    </row>
    <row x14ac:dyDescent="0.25" r="21" customHeight="1" ht="17.25">
      <c r="A21" s="8">
        <v>45769</v>
      </c>
      <c r="B21" s="9" t="s">
        <v>118</v>
      </c>
      <c r="C21" s="6">
        <v>2</v>
      </c>
      <c r="D21" s="4"/>
      <c r="E21" s="6">
        <f>E20+C21-D21</f>
      </c>
    </row>
    <row x14ac:dyDescent="0.25" r="22" customHeight="1" ht="17.25">
      <c r="A22" s="8">
        <v>45806</v>
      </c>
      <c r="B22" s="9" t="s">
        <v>42</v>
      </c>
      <c r="C22" s="3"/>
      <c r="D22" s="6">
        <v>125</v>
      </c>
      <c r="E22" s="6">
        <f>E21+C22-D22</f>
      </c>
    </row>
    <row x14ac:dyDescent="0.25" r="23" customHeight="1" ht="17.25">
      <c r="A23" s="7">
        <v>45838</v>
      </c>
      <c r="B23" s="9" t="s">
        <v>42</v>
      </c>
      <c r="C23" s="6">
        <v>68</v>
      </c>
      <c r="D23" s="4"/>
      <c r="E23" s="6">
        <f>E22+C23-D23</f>
      </c>
    </row>
    <row x14ac:dyDescent="0.25" r="24" customHeight="1" ht="17.25">
      <c r="A24" s="7">
        <v>45855</v>
      </c>
      <c r="B24" s="9" t="s">
        <v>42</v>
      </c>
      <c r="C24" s="6">
        <v>22</v>
      </c>
      <c r="D24" s="4"/>
      <c r="E24" s="6">
        <f>E23+C24-D24</f>
      </c>
    </row>
    <row x14ac:dyDescent="0.25" r="25" customHeight="1" ht="17.25">
      <c r="A25" s="7">
        <v>45860</v>
      </c>
      <c r="B25" s="9" t="s">
        <v>42</v>
      </c>
      <c r="C25" s="6">
        <v>1</v>
      </c>
      <c r="D25" s="4"/>
      <c r="E25" s="6">
        <f>E24+C25-D25</f>
      </c>
    </row>
    <row x14ac:dyDescent="0.25" r="26" customHeight="1" ht="17.25">
      <c r="A26" s="7">
        <v>45864</v>
      </c>
      <c r="B26" s="9" t="s">
        <v>141</v>
      </c>
      <c r="C26" s="6">
        <v>47</v>
      </c>
      <c r="D26" s="4"/>
      <c r="E26" s="6">
        <f>E25+C26-D26</f>
      </c>
    </row>
    <row x14ac:dyDescent="0.25" r="27" customHeight="1" ht="17.25">
      <c r="A27" s="7">
        <v>45868</v>
      </c>
      <c r="B27" s="9" t="s">
        <v>141</v>
      </c>
      <c r="C27" s="6">
        <v>15</v>
      </c>
      <c r="D27" s="4"/>
      <c r="E27" s="6">
        <f>E26+C27-D27</f>
      </c>
    </row>
    <row x14ac:dyDescent="0.25" r="28" customHeight="1" ht="17.25">
      <c r="A28" s="7">
        <v>45892</v>
      </c>
      <c r="B28" s="9" t="s">
        <v>26</v>
      </c>
      <c r="C28" s="3"/>
      <c r="D28" s="6">
        <v>650</v>
      </c>
      <c r="E28" s="6">
        <f>E27+C28-D28</f>
      </c>
    </row>
    <row x14ac:dyDescent="0.25" r="29" customHeight="1" ht="17.25">
      <c r="A29" s="7">
        <v>45898</v>
      </c>
      <c r="B29" s="9" t="s">
        <v>26</v>
      </c>
      <c r="C29" s="3"/>
      <c r="D29" s="6">
        <v>148</v>
      </c>
      <c r="E29" s="4"/>
    </row>
    <row x14ac:dyDescent="0.25" r="30" customHeight="1" ht="17.25">
      <c r="A30" s="8">
        <v>45913</v>
      </c>
      <c r="B30" s="9" t="s">
        <v>26</v>
      </c>
      <c r="C30" s="6">
        <v>53</v>
      </c>
      <c r="D30" s="4"/>
      <c r="E30" s="6">
        <v>53</v>
      </c>
    </row>
    <row x14ac:dyDescent="0.25" r="31" customHeight="1" ht="17.25">
      <c r="A31" s="8">
        <v>45915</v>
      </c>
      <c r="B31" s="9" t="s">
        <v>141</v>
      </c>
      <c r="C31" s="6">
        <v>10</v>
      </c>
      <c r="D31" s="4"/>
      <c r="E31" s="6">
        <f>E30+C31-D31</f>
      </c>
    </row>
    <row x14ac:dyDescent="0.25" r="32" customHeight="1" ht="17.25">
      <c r="A32" s="7">
        <v>45929</v>
      </c>
      <c r="B32" s="9" t="s">
        <v>141</v>
      </c>
      <c r="C32" s="6">
        <v>28</v>
      </c>
      <c r="D32" s="4"/>
      <c r="E32" s="6">
        <f>E31+C32-D32</f>
      </c>
    </row>
    <row x14ac:dyDescent="0.25" r="33" customHeight="1" ht="17.25">
      <c r="A33" s="7">
        <v>45937</v>
      </c>
      <c r="B33" s="9" t="s">
        <v>26</v>
      </c>
      <c r="C33" s="6">
        <v>100</v>
      </c>
      <c r="D33" s="4"/>
      <c r="E33" s="6">
        <f>E32+C33-D33</f>
      </c>
    </row>
    <row x14ac:dyDescent="0.25" r="34" customHeight="1" ht="17.25">
      <c r="A34" s="7">
        <v>45939</v>
      </c>
      <c r="B34" s="9" t="s">
        <v>26</v>
      </c>
      <c r="C34" s="6">
        <v>107</v>
      </c>
      <c r="D34" s="4"/>
      <c r="E34" s="6">
        <f>E33+C34-D34</f>
      </c>
    </row>
    <row x14ac:dyDescent="0.25" r="35" customHeight="1" ht="17.25">
      <c r="A35" s="8">
        <v>45941</v>
      </c>
      <c r="B35" s="9" t="s">
        <v>26</v>
      </c>
      <c r="C35" s="6">
        <v>24</v>
      </c>
      <c r="D35" s="4"/>
      <c r="E35" s="6">
        <f>E34+C35-D35</f>
      </c>
    </row>
    <row x14ac:dyDescent="0.25" r="36" customHeight="1" ht="17.25">
      <c r="A36" s="8">
        <v>45945</v>
      </c>
      <c r="B36" s="9" t="s">
        <v>26</v>
      </c>
      <c r="C36" s="6">
        <v>162</v>
      </c>
      <c r="D36" s="4"/>
      <c r="E36" s="6">
        <f>E35+C36-D36</f>
      </c>
    </row>
    <row x14ac:dyDescent="0.25" r="37" customHeight="1" ht="17.25">
      <c r="A37" s="7">
        <v>45951</v>
      </c>
      <c r="B37" s="9" t="s">
        <v>26</v>
      </c>
      <c r="C37" s="6">
        <v>96</v>
      </c>
      <c r="D37" s="4"/>
      <c r="E37" s="6">
        <f>E36+C37-D37</f>
      </c>
    </row>
    <row x14ac:dyDescent="0.25" r="38" customHeight="1" ht="17.25">
      <c r="A38" s="7">
        <v>45953</v>
      </c>
      <c r="B38" s="9" t="s">
        <v>26</v>
      </c>
      <c r="C38" s="6">
        <v>83</v>
      </c>
      <c r="D38" s="4"/>
      <c r="E38" s="6">
        <f>E37+C38-D38</f>
      </c>
    </row>
    <row x14ac:dyDescent="0.25" r="39" customHeight="1" ht="17.25">
      <c r="A39" s="8">
        <v>45955</v>
      </c>
      <c r="B39" s="9" t="s">
        <v>26</v>
      </c>
      <c r="C39" s="6">
        <v>21</v>
      </c>
      <c r="D39" s="4"/>
      <c r="E39" s="6">
        <f>E38+C39-D39</f>
      </c>
    </row>
    <row x14ac:dyDescent="0.25" r="40" customHeight="1" ht="17.25">
      <c r="A40" s="8">
        <v>45958</v>
      </c>
      <c r="B40" s="9" t="s">
        <v>26</v>
      </c>
      <c r="C40" s="6">
        <v>34</v>
      </c>
      <c r="D40" s="4"/>
      <c r="E40" s="6">
        <f>E39+C40-D40</f>
      </c>
    </row>
    <row x14ac:dyDescent="0.25" r="41" customHeight="1" ht="17.25">
      <c r="A41" s="8">
        <v>45962</v>
      </c>
      <c r="B41" s="9" t="s">
        <v>26</v>
      </c>
      <c r="C41" s="6">
        <v>15</v>
      </c>
      <c r="D41" s="4"/>
      <c r="E41" s="6">
        <f>E40+C41-D41</f>
      </c>
    </row>
    <row x14ac:dyDescent="0.25" r="42" customHeight="1" ht="17.25">
      <c r="A42" s="8">
        <v>45980</v>
      </c>
      <c r="B42" s="9" t="s">
        <v>26</v>
      </c>
      <c r="C42" s="6">
        <v>43</v>
      </c>
      <c r="D42" s="4"/>
      <c r="E42" s="6">
        <f>E41+C42-D42</f>
      </c>
    </row>
    <row x14ac:dyDescent="0.25" r="43" customHeight="1" ht="17.25">
      <c r="A43" s="8">
        <v>45985</v>
      </c>
      <c r="B43" s="9" t="s">
        <v>26</v>
      </c>
      <c r="C43" s="6">
        <v>42</v>
      </c>
      <c r="D43" s="4"/>
      <c r="E43" s="6">
        <f>E42+C43-D43</f>
      </c>
    </row>
    <row x14ac:dyDescent="0.25" r="44" customHeight="1" ht="17.25">
      <c r="A44" s="7">
        <v>45993</v>
      </c>
      <c r="B44" s="9" t="s">
        <v>26</v>
      </c>
      <c r="C44" s="6">
        <v>6</v>
      </c>
      <c r="D44" s="4"/>
      <c r="E44" s="6">
        <f>E43+C44-D44</f>
      </c>
    </row>
    <row x14ac:dyDescent="0.25" r="45" customHeight="1" ht="17.25">
      <c r="A45" s="7">
        <v>46007</v>
      </c>
      <c r="B45" s="9" t="s">
        <v>26</v>
      </c>
      <c r="C45" s="6">
        <v>6</v>
      </c>
      <c r="D45" s="4"/>
      <c r="E45" s="4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3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7.147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163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14">
        <v>2033</v>
      </c>
    </row>
    <row x14ac:dyDescent="0.25" r="4" customHeight="1" ht="17.25">
      <c r="A4" s="7">
        <v>45660</v>
      </c>
      <c r="B4" s="2" t="s">
        <v>127</v>
      </c>
      <c r="C4" s="6">
        <v>48</v>
      </c>
      <c r="D4" s="4"/>
      <c r="E4" s="6">
        <f>E3+C4-D4</f>
      </c>
    </row>
    <row x14ac:dyDescent="0.25" r="5" customHeight="1" ht="17.25">
      <c r="A5" s="8">
        <v>45660</v>
      </c>
      <c r="B5" s="9" t="s">
        <v>11</v>
      </c>
      <c r="C5" s="6">
        <v>22</v>
      </c>
      <c r="D5" s="4"/>
      <c r="E5" s="6">
        <f>E4+C5-D5</f>
      </c>
    </row>
    <row x14ac:dyDescent="0.25" r="6" customHeight="1" ht="17.25">
      <c r="A6" s="7">
        <v>45664</v>
      </c>
      <c r="B6" s="2" t="s">
        <v>127</v>
      </c>
      <c r="C6" s="6">
        <v>187</v>
      </c>
      <c r="D6" s="4"/>
      <c r="E6" s="6">
        <f>E5+C6-D6</f>
      </c>
    </row>
    <row x14ac:dyDescent="0.25" r="7" customHeight="1" ht="17.25">
      <c r="A7" s="7">
        <v>45677</v>
      </c>
      <c r="B7" s="2" t="s">
        <v>127</v>
      </c>
      <c r="C7" s="6">
        <v>32</v>
      </c>
      <c r="D7" s="4"/>
      <c r="E7" s="6">
        <f>E6+C7-D7</f>
      </c>
    </row>
    <row x14ac:dyDescent="0.25" r="8" customHeight="1" ht="17.25">
      <c r="A8" s="7">
        <v>45678</v>
      </c>
      <c r="B8" s="9" t="s">
        <v>11</v>
      </c>
      <c r="C8" s="6">
        <v>134</v>
      </c>
      <c r="D8" s="4"/>
      <c r="E8" s="6">
        <f>E7+C8-D8</f>
      </c>
    </row>
    <row x14ac:dyDescent="0.25" r="9" customHeight="1" ht="17.25">
      <c r="A9" s="8">
        <v>45685</v>
      </c>
      <c r="B9" s="9" t="s">
        <v>127</v>
      </c>
      <c r="C9" s="6">
        <v>19</v>
      </c>
      <c r="D9" s="4"/>
      <c r="E9" s="6">
        <f>E8+C9-D9</f>
      </c>
    </row>
    <row x14ac:dyDescent="0.25" r="10" customHeight="1" ht="17.25">
      <c r="A10" s="8">
        <v>45687</v>
      </c>
      <c r="B10" s="9" t="s">
        <v>11</v>
      </c>
      <c r="C10" s="6">
        <v>16</v>
      </c>
      <c r="D10" s="4"/>
      <c r="E10" s="6">
        <f>E9+C10-D10</f>
      </c>
    </row>
    <row x14ac:dyDescent="0.25" r="11" customHeight="1" ht="17.25">
      <c r="A11" s="8">
        <v>45688</v>
      </c>
      <c r="B11" s="9" t="s">
        <v>127</v>
      </c>
      <c r="C11" s="6">
        <v>61</v>
      </c>
      <c r="D11" s="4"/>
      <c r="E11" s="6">
        <f>E10+C11-D11</f>
      </c>
    </row>
    <row x14ac:dyDescent="0.25" r="12" customHeight="1" ht="17.25">
      <c r="A12" s="8">
        <v>45693</v>
      </c>
      <c r="B12" s="9" t="s">
        <v>118</v>
      </c>
      <c r="C12" s="3"/>
      <c r="D12" s="6">
        <v>100</v>
      </c>
      <c r="E12" s="6">
        <f>E11+C12-D12</f>
      </c>
    </row>
    <row x14ac:dyDescent="0.25" r="13" customHeight="1" ht="17.25">
      <c r="A13" s="7">
        <v>45694</v>
      </c>
      <c r="B13" s="9" t="s">
        <v>118</v>
      </c>
      <c r="C13" s="3"/>
      <c r="D13" s="6">
        <v>300</v>
      </c>
      <c r="E13" s="6">
        <f>E12+C13-D13</f>
      </c>
    </row>
    <row x14ac:dyDescent="0.25" r="14" customHeight="1" ht="17.25">
      <c r="A14" s="8">
        <v>45694</v>
      </c>
      <c r="B14" s="9" t="s">
        <v>127</v>
      </c>
      <c r="C14" s="6">
        <v>26</v>
      </c>
      <c r="D14" s="4"/>
      <c r="E14" s="6">
        <f>E13+C14-D14</f>
      </c>
    </row>
    <row x14ac:dyDescent="0.25" r="15" customHeight="1" ht="17.25">
      <c r="A15" s="8">
        <v>45698</v>
      </c>
      <c r="B15" s="9" t="s">
        <v>123</v>
      </c>
      <c r="C15" s="6">
        <v>18</v>
      </c>
      <c r="D15" s="4"/>
      <c r="E15" s="6">
        <f>E14+C15-D15</f>
      </c>
    </row>
    <row x14ac:dyDescent="0.25" r="16" customHeight="1" ht="17.25">
      <c r="A16" s="7">
        <v>45702</v>
      </c>
      <c r="B16" s="9" t="s">
        <v>11</v>
      </c>
      <c r="C16" s="6">
        <v>63</v>
      </c>
      <c r="D16" s="4"/>
      <c r="E16" s="6">
        <f>E15+C16-D16</f>
      </c>
    </row>
    <row x14ac:dyDescent="0.25" r="17" customHeight="1" ht="17.25">
      <c r="A17" s="8">
        <v>45710</v>
      </c>
      <c r="B17" s="9" t="s">
        <v>11</v>
      </c>
      <c r="C17" s="6">
        <v>14</v>
      </c>
      <c r="D17" s="4"/>
      <c r="E17" s="6">
        <f>E16+C17-D17</f>
      </c>
    </row>
    <row x14ac:dyDescent="0.25" r="18" customHeight="1" ht="17.25">
      <c r="A18" s="7">
        <v>45713</v>
      </c>
      <c r="B18" s="9" t="s">
        <v>118</v>
      </c>
      <c r="C18" s="6">
        <v>167</v>
      </c>
      <c r="D18" s="4"/>
      <c r="E18" s="6">
        <f>E17+C18-D18</f>
      </c>
    </row>
    <row x14ac:dyDescent="0.25" r="19" customHeight="1" ht="17.25">
      <c r="A19" s="7">
        <v>45719</v>
      </c>
      <c r="B19" s="9" t="s">
        <v>118</v>
      </c>
      <c r="C19" s="6">
        <v>63</v>
      </c>
      <c r="D19" s="4"/>
      <c r="E19" s="6">
        <f>E18+C19-D19</f>
      </c>
    </row>
    <row x14ac:dyDescent="0.25" r="20" customHeight="1" ht="17.25">
      <c r="A20" s="8">
        <v>45733</v>
      </c>
      <c r="B20" s="9" t="s">
        <v>11</v>
      </c>
      <c r="C20" s="6">
        <v>26</v>
      </c>
      <c r="D20" s="4"/>
      <c r="E20" s="6">
        <f>E19+C20-D20</f>
      </c>
    </row>
    <row x14ac:dyDescent="0.25" r="21" customHeight="1" ht="17.25">
      <c r="A21" s="7">
        <v>45735</v>
      </c>
      <c r="B21" s="9" t="s">
        <v>119</v>
      </c>
      <c r="C21" s="6">
        <v>30</v>
      </c>
      <c r="D21" s="4"/>
      <c r="E21" s="6">
        <f>E20+C21-D21</f>
      </c>
    </row>
    <row x14ac:dyDescent="0.25" r="22" customHeight="1" ht="17.25">
      <c r="A22" s="8">
        <v>45741</v>
      </c>
      <c r="B22" s="9" t="s">
        <v>119</v>
      </c>
      <c r="C22" s="6">
        <v>59</v>
      </c>
      <c r="D22" s="4"/>
      <c r="E22" s="6">
        <f>E21+C22-D22</f>
      </c>
    </row>
    <row x14ac:dyDescent="0.25" r="23" customHeight="1" ht="17.25">
      <c r="A23" s="8">
        <v>45769</v>
      </c>
      <c r="B23" s="9" t="s">
        <v>118</v>
      </c>
      <c r="C23" s="6">
        <v>25</v>
      </c>
      <c r="D23" s="4"/>
      <c r="E23" s="6">
        <f>E22+C23-D23</f>
      </c>
    </row>
    <row x14ac:dyDescent="0.25" r="24" customHeight="1" ht="17.25">
      <c r="A24" s="7">
        <v>45792</v>
      </c>
      <c r="B24" s="9" t="s">
        <v>119</v>
      </c>
      <c r="C24" s="6">
        <v>6</v>
      </c>
      <c r="D24" s="4"/>
      <c r="E24" s="6">
        <f>E23+C24-D24</f>
      </c>
    </row>
    <row x14ac:dyDescent="0.25" r="25" customHeight="1" ht="17.25">
      <c r="A25" s="7">
        <v>45807</v>
      </c>
      <c r="B25" s="9" t="s">
        <v>119</v>
      </c>
      <c r="C25" s="6">
        <v>40</v>
      </c>
      <c r="D25" s="4"/>
      <c r="E25" s="6">
        <f>E24+C25-D25</f>
      </c>
    </row>
    <row x14ac:dyDescent="0.25" r="26" customHeight="1" ht="17.25">
      <c r="A26" s="8">
        <v>45843</v>
      </c>
      <c r="B26" s="9" t="s">
        <v>46</v>
      </c>
      <c r="C26" s="3"/>
      <c r="D26" s="6">
        <v>50</v>
      </c>
      <c r="E26" s="6">
        <f>E25+C26-D26</f>
      </c>
    </row>
    <row x14ac:dyDescent="0.25" r="27" customHeight="1" ht="17.25">
      <c r="A27" s="7">
        <v>45892</v>
      </c>
      <c r="B27" s="9" t="s">
        <v>3</v>
      </c>
      <c r="C27" s="3"/>
      <c r="D27" s="6">
        <v>100</v>
      </c>
      <c r="E27" s="6">
        <f>E26+C27-D27</f>
      </c>
    </row>
    <row x14ac:dyDescent="0.25" r="28" customHeight="1" ht="17.25">
      <c r="A28" s="8">
        <v>45904</v>
      </c>
      <c r="B28" s="9" t="s">
        <v>46</v>
      </c>
      <c r="C28" s="6">
        <v>16</v>
      </c>
      <c r="D28" s="4"/>
      <c r="E28" s="6">
        <f>E27+C28-D28</f>
      </c>
    </row>
    <row x14ac:dyDescent="0.25" r="29" customHeight="1" ht="17.25">
      <c r="A29" s="8">
        <v>45910</v>
      </c>
      <c r="B29" s="9" t="s">
        <v>46</v>
      </c>
      <c r="C29" s="6">
        <v>2</v>
      </c>
      <c r="D29" s="4"/>
      <c r="E29" s="6">
        <f>E28+C29-D29</f>
      </c>
    </row>
    <row x14ac:dyDescent="0.25" r="30" customHeight="1" ht="17.25">
      <c r="A30" s="7">
        <v>45919</v>
      </c>
      <c r="B30" s="9" t="s">
        <v>46</v>
      </c>
      <c r="C30" s="6">
        <v>11</v>
      </c>
      <c r="D30" s="4"/>
      <c r="E30" s="6">
        <f>E29+C30-D30</f>
      </c>
    </row>
    <row x14ac:dyDescent="0.25" r="31" customHeight="1" ht="17.25">
      <c r="A31" s="8">
        <v>45947</v>
      </c>
      <c r="B31" s="9" t="s">
        <v>3</v>
      </c>
      <c r="C31" s="6">
        <v>86</v>
      </c>
      <c r="D31" s="4"/>
      <c r="E31" s="6">
        <f>E30+C31-D31</f>
      </c>
    </row>
    <row x14ac:dyDescent="0.25" r="32" customHeight="1" ht="17.25">
      <c r="A32" s="7">
        <v>45951</v>
      </c>
      <c r="B32" s="9" t="s">
        <v>3</v>
      </c>
      <c r="C32" s="6">
        <v>4</v>
      </c>
      <c r="D32" s="4"/>
      <c r="E32" s="4"/>
    </row>
    <row x14ac:dyDescent="0.25" r="33" customHeight="1" ht="17.25">
      <c r="A33" s="8">
        <v>45962</v>
      </c>
      <c r="B33" s="9" t="s">
        <v>3</v>
      </c>
      <c r="C33" s="6">
        <v>4</v>
      </c>
      <c r="D33" s="4"/>
      <c r="E33" s="4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"/>
  <sheetViews>
    <sheetView workbookViewId="0"/>
  </sheetViews>
  <sheetFormatPr defaultRowHeight="15" x14ac:dyDescent="0.25"/>
  <cols>
    <col min="1" max="1" style="10" width="12.43357142857143" customWidth="1" bestFit="1"/>
    <col min="2" max="2" style="11" width="31.29071428571428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161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14">
        <v>312</v>
      </c>
    </row>
    <row x14ac:dyDescent="0.25" r="4" customHeight="1" ht="17.25">
      <c r="A4" s="7">
        <v>45707</v>
      </c>
      <c r="B4" s="2" t="s">
        <v>141</v>
      </c>
      <c r="C4" s="3"/>
      <c r="D4" s="6">
        <v>80</v>
      </c>
      <c r="E4" s="6">
        <f>E3+C4-D4</f>
      </c>
    </row>
    <row x14ac:dyDescent="0.25" r="5" customHeight="1" ht="17.25">
      <c r="A5" s="7">
        <v>45720</v>
      </c>
      <c r="B5" s="2" t="s">
        <v>100</v>
      </c>
      <c r="C5" s="3"/>
      <c r="D5" s="6">
        <v>100</v>
      </c>
      <c r="E5" s="6">
        <f>E4+C5-D5</f>
      </c>
    </row>
    <row x14ac:dyDescent="0.25" r="6" customHeight="1" ht="17.25">
      <c r="A6" s="7">
        <v>45724</v>
      </c>
      <c r="B6" s="2" t="s">
        <v>100</v>
      </c>
      <c r="C6" s="3"/>
      <c r="D6" s="6">
        <v>90</v>
      </c>
      <c r="E6" s="6">
        <f>E5+C6-D6</f>
      </c>
    </row>
    <row x14ac:dyDescent="0.25" r="7" customHeight="1" ht="17.25">
      <c r="A7" s="7">
        <v>45783</v>
      </c>
      <c r="B7" s="2" t="s">
        <v>100</v>
      </c>
      <c r="C7" s="6">
        <v>53</v>
      </c>
      <c r="D7" s="4"/>
      <c r="E7" s="6">
        <f>E6+C7-D7</f>
      </c>
    </row>
    <row x14ac:dyDescent="0.25" r="8" customHeight="1" ht="17.25">
      <c r="A8" s="7">
        <v>45791</v>
      </c>
      <c r="B8" s="2" t="s">
        <v>100</v>
      </c>
      <c r="C8" s="6">
        <v>89</v>
      </c>
      <c r="D8" s="4"/>
      <c r="E8" s="6">
        <f>E7+C8-D8</f>
      </c>
    </row>
    <row x14ac:dyDescent="0.25" r="9" customHeight="1" ht="17.25">
      <c r="A9" s="7">
        <v>45812</v>
      </c>
      <c r="B9" s="2" t="s">
        <v>42</v>
      </c>
      <c r="C9" s="3"/>
      <c r="D9" s="6">
        <v>18</v>
      </c>
      <c r="E9" s="6">
        <f>E8+C9-D9</f>
      </c>
    </row>
    <row x14ac:dyDescent="0.25" r="10" customHeight="1" ht="17.25">
      <c r="A10" s="7">
        <v>45838</v>
      </c>
      <c r="B10" s="2" t="s">
        <v>42</v>
      </c>
      <c r="C10" s="6">
        <v>18</v>
      </c>
      <c r="D10" s="4"/>
      <c r="E10" s="6">
        <f>E9+C10-D10</f>
      </c>
    </row>
    <row x14ac:dyDescent="0.25" r="11" customHeight="1" ht="17.25">
      <c r="A11" s="8">
        <v>45843</v>
      </c>
      <c r="B11" s="9" t="s">
        <v>46</v>
      </c>
      <c r="C11" s="3"/>
      <c r="D11" s="6">
        <v>100</v>
      </c>
      <c r="E11" s="6">
        <f>E10+C11-D11</f>
      </c>
    </row>
    <row x14ac:dyDescent="0.25" r="12" customHeight="1" ht="17.25">
      <c r="A12" s="1"/>
      <c r="B12" s="31" t="s">
        <v>162</v>
      </c>
      <c r="C12" s="32"/>
      <c r="D12" s="32"/>
      <c r="E12" s="33">
        <f>E11+C12-D12</f>
      </c>
    </row>
    <row x14ac:dyDescent="0.25" r="13" customHeight="1" ht="17.25">
      <c r="A13" s="8">
        <v>45904</v>
      </c>
      <c r="B13" s="9" t="s">
        <v>46</v>
      </c>
      <c r="C13" s="6">
        <v>14</v>
      </c>
      <c r="D13" s="4"/>
      <c r="E13" s="6">
        <f>E12+C13-D13</f>
      </c>
    </row>
    <row x14ac:dyDescent="0.25" r="14" customHeight="1" ht="17.25">
      <c r="A14" s="8">
        <v>45910</v>
      </c>
      <c r="B14" s="9" t="s">
        <v>46</v>
      </c>
      <c r="C14" s="6">
        <v>10</v>
      </c>
      <c r="D14" s="4"/>
      <c r="E14" s="6">
        <f>E13+C14-D14</f>
      </c>
    </row>
    <row x14ac:dyDescent="0.25" r="15" customHeight="1" ht="17.25">
      <c r="A15" s="7">
        <v>45919</v>
      </c>
      <c r="B15" s="9" t="s">
        <v>46</v>
      </c>
      <c r="C15" s="6">
        <v>65</v>
      </c>
      <c r="D15" s="4"/>
      <c r="E15" s="6">
        <f>E14+C15-D15</f>
      </c>
    </row>
    <row x14ac:dyDescent="0.25" r="16" customHeight="1" ht="17.25">
      <c r="A16" s="7">
        <v>45920</v>
      </c>
      <c r="B16" s="9" t="s">
        <v>46</v>
      </c>
      <c r="C16" s="6">
        <v>5</v>
      </c>
      <c r="D16" s="4"/>
      <c r="E16" s="6">
        <f>E15+C16-D16</f>
      </c>
    </row>
    <row x14ac:dyDescent="0.25" r="17" customHeight="1" ht="17.25">
      <c r="A17" s="8">
        <v>45967</v>
      </c>
      <c r="B17" s="9" t="s">
        <v>23</v>
      </c>
      <c r="C17" s="3"/>
      <c r="D17" s="6">
        <v>86</v>
      </c>
      <c r="E17" s="4"/>
    </row>
    <row x14ac:dyDescent="0.25" r="18" customHeight="1" ht="17.25">
      <c r="A18" s="8">
        <v>45992</v>
      </c>
      <c r="B18" s="9" t="s">
        <v>54</v>
      </c>
      <c r="C18" s="3"/>
      <c r="D18" s="6">
        <v>53</v>
      </c>
      <c r="E18" s="4"/>
    </row>
    <row x14ac:dyDescent="0.25" r="19" customHeight="1" ht="17.25">
      <c r="A19" s="8">
        <v>45994</v>
      </c>
      <c r="B19" s="9" t="s">
        <v>23</v>
      </c>
      <c r="C19" s="6">
        <v>86</v>
      </c>
      <c r="D19" s="4"/>
      <c r="E19" s="4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0.862142857142857" customWidth="1" bestFit="1"/>
    <col min="3" max="3" style="11" width="12.43357142857143" customWidth="1" bestFit="1"/>
    <col min="4" max="4" style="11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160</v>
      </c>
      <c r="B1" s="2"/>
      <c r="C1" s="2"/>
      <c r="D1" s="2"/>
      <c r="E1" s="3"/>
    </row>
    <row x14ac:dyDescent="0.25" r="2" customHeight="1" ht="17.25">
      <c r="A2" s="1"/>
      <c r="B2" s="2"/>
      <c r="C2" s="2"/>
      <c r="D2" s="2"/>
      <c r="E2" s="3"/>
    </row>
    <row x14ac:dyDescent="0.25" r="3" customHeight="1" ht="17.25">
      <c r="A3" s="7">
        <v>45658</v>
      </c>
      <c r="B3" s="2" t="s">
        <v>1</v>
      </c>
      <c r="C3" s="2"/>
      <c r="D3" s="2"/>
      <c r="E3" s="14">
        <v>88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862142857142857" customWidth="1" bestFit="1"/>
    <col min="3" max="3" style="13" width="12.43357142857143" customWidth="1" bestFit="1"/>
    <col min="4" max="4" style="12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156</v>
      </c>
      <c r="B1" s="2"/>
      <c r="C1" s="4"/>
      <c r="D1" s="3"/>
      <c r="E1" s="4"/>
    </row>
    <row x14ac:dyDescent="0.25" r="2" customHeight="1" ht="17.25">
      <c r="A2" s="1"/>
      <c r="B2" s="2"/>
      <c r="C2" s="4"/>
      <c r="D2" s="3"/>
      <c r="E2" s="4"/>
    </row>
    <row x14ac:dyDescent="0.25" r="3" customHeight="1" ht="17.25">
      <c r="A3" s="7">
        <v>45658</v>
      </c>
      <c r="B3" s="2"/>
      <c r="C3" s="4"/>
      <c r="D3" s="3"/>
      <c r="E3" s="4"/>
    </row>
    <row x14ac:dyDescent="0.25" r="4" customHeight="1" ht="17.25">
      <c r="A4" s="7">
        <v>45857</v>
      </c>
      <c r="B4" s="2" t="s">
        <v>157</v>
      </c>
      <c r="C4" s="6">
        <v>55</v>
      </c>
      <c r="D4" s="3"/>
      <c r="E4" s="4"/>
    </row>
    <row x14ac:dyDescent="0.25" r="5" customHeight="1" ht="17.25">
      <c r="A5" s="7">
        <v>45857</v>
      </c>
      <c r="B5" s="2" t="s">
        <v>46</v>
      </c>
      <c r="C5" s="4"/>
      <c r="D5" s="6">
        <v>55</v>
      </c>
      <c r="E5" s="6">
        <v>0</v>
      </c>
    </row>
    <row x14ac:dyDescent="0.25" r="6" customHeight="1" ht="17.25">
      <c r="A6" s="8">
        <v>45904</v>
      </c>
      <c r="B6" s="9" t="s">
        <v>46</v>
      </c>
      <c r="C6" s="6">
        <v>1</v>
      </c>
      <c r="D6" s="3"/>
      <c r="E6" s="4"/>
    </row>
    <row x14ac:dyDescent="0.25" r="7" customHeight="1" ht="17.25">
      <c r="A7" s="8">
        <v>45910</v>
      </c>
      <c r="B7" s="9" t="s">
        <v>46</v>
      </c>
      <c r="C7" s="6">
        <v>14</v>
      </c>
      <c r="D7" s="3"/>
      <c r="E7" s="4"/>
    </row>
    <row x14ac:dyDescent="0.25" r="8" customHeight="1" ht="17.25">
      <c r="A8" s="7">
        <v>45912</v>
      </c>
      <c r="B8" s="2" t="s">
        <v>46</v>
      </c>
      <c r="C8" s="6">
        <v>14</v>
      </c>
      <c r="D8" s="3"/>
      <c r="E8" s="4"/>
    </row>
    <row x14ac:dyDescent="0.25" r="9" customHeight="1" ht="17.25">
      <c r="A9" s="7">
        <v>45919</v>
      </c>
      <c r="B9" s="2" t="s">
        <v>46</v>
      </c>
      <c r="C9" s="6">
        <v>8</v>
      </c>
      <c r="D9" s="3"/>
      <c r="E9" s="4"/>
    </row>
    <row x14ac:dyDescent="0.25" r="10" customHeight="1" ht="17.25">
      <c r="A10" s="7">
        <v>45951</v>
      </c>
      <c r="B10" s="2" t="s">
        <v>3</v>
      </c>
      <c r="C10" s="6">
        <v>1</v>
      </c>
      <c r="D10" s="3"/>
      <c r="E10" s="4"/>
    </row>
    <row x14ac:dyDescent="0.25" r="11" customHeight="1" ht="17.25">
      <c r="A11" s="8">
        <v>45974</v>
      </c>
      <c r="B11" s="9" t="s">
        <v>158</v>
      </c>
      <c r="C11" s="4"/>
      <c r="D11" s="3"/>
      <c r="E11" s="4"/>
    </row>
    <row x14ac:dyDescent="0.25" r="12" customHeight="1" ht="17.25">
      <c r="A12" s="7">
        <v>45974</v>
      </c>
      <c r="B12" s="2" t="s">
        <v>46</v>
      </c>
      <c r="C12" s="4"/>
      <c r="D12" s="6">
        <v>40</v>
      </c>
      <c r="E12" s="4"/>
    </row>
    <row x14ac:dyDescent="0.25" r="13" customHeight="1" ht="17.25">
      <c r="A13" s="1"/>
      <c r="B13" s="2" t="s">
        <v>159</v>
      </c>
      <c r="C13" s="6">
        <v>300</v>
      </c>
      <c r="D13" s="3"/>
      <c r="E13" s="4"/>
    </row>
    <row x14ac:dyDescent="0.25" r="14" customHeight="1" ht="17.25">
      <c r="A14" s="7">
        <v>46007</v>
      </c>
      <c r="B14" s="2" t="s">
        <v>46</v>
      </c>
      <c r="C14" s="4"/>
      <c r="D14" s="6">
        <v>300</v>
      </c>
      <c r="E14" s="4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1.14785714285714" customWidth="1" bestFit="1"/>
    <col min="3" max="3" style="13" width="12.43357142857143" customWidth="1" bestFit="1"/>
    <col min="4" max="4" style="12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154</v>
      </c>
      <c r="B1" s="2"/>
      <c r="C1" s="4"/>
      <c r="D1" s="3"/>
      <c r="E1" s="4"/>
    </row>
    <row x14ac:dyDescent="0.25" r="2" customHeight="1" ht="17.25">
      <c r="A2" s="1"/>
      <c r="B2" s="2"/>
      <c r="C2" s="4"/>
      <c r="D2" s="3"/>
      <c r="E2" s="4"/>
    </row>
    <row x14ac:dyDescent="0.25" r="3" customHeight="1" ht="17.25">
      <c r="A3" s="7">
        <v>45658</v>
      </c>
      <c r="B3" s="2" t="s">
        <v>1</v>
      </c>
      <c r="C3" s="4"/>
      <c r="D3" s="3"/>
      <c r="E3" s="6">
        <v>42</v>
      </c>
    </row>
    <row x14ac:dyDescent="0.25" r="4" customHeight="1" ht="17.25">
      <c r="A4" s="7">
        <v>45660</v>
      </c>
      <c r="B4" s="2" t="s">
        <v>11</v>
      </c>
      <c r="C4" s="6">
        <v>7</v>
      </c>
      <c r="D4" s="3"/>
      <c r="E4" s="4"/>
    </row>
    <row x14ac:dyDescent="0.25" r="5" customHeight="1" ht="17.25">
      <c r="A5" s="8">
        <v>45686</v>
      </c>
      <c r="B5" s="9" t="s">
        <v>11</v>
      </c>
      <c r="C5" s="6">
        <v>1</v>
      </c>
      <c r="D5" s="3"/>
      <c r="E5" s="4"/>
    </row>
    <row x14ac:dyDescent="0.25" r="6" customHeight="1" ht="17.25">
      <c r="A6" s="7">
        <v>45699</v>
      </c>
      <c r="B6" s="2" t="s">
        <v>155</v>
      </c>
      <c r="C6" s="4"/>
      <c r="D6" s="6">
        <v>8</v>
      </c>
      <c r="E6" s="4"/>
    </row>
    <row x14ac:dyDescent="0.25" r="7" customHeight="1" ht="17.25">
      <c r="A7" s="7">
        <v>45857</v>
      </c>
      <c r="B7" s="2" t="s">
        <v>46</v>
      </c>
      <c r="C7" s="4"/>
      <c r="D7" s="6">
        <v>45</v>
      </c>
      <c r="E7" s="6">
        <v>0</v>
      </c>
    </row>
    <row x14ac:dyDescent="0.25" r="8" customHeight="1" ht="17.25">
      <c r="A8" s="8">
        <v>45904</v>
      </c>
      <c r="B8" s="9" t="s">
        <v>46</v>
      </c>
      <c r="C8" s="6">
        <v>6</v>
      </c>
      <c r="D8" s="3"/>
      <c r="E8" s="4"/>
    </row>
    <row x14ac:dyDescent="0.25" r="9" customHeight="1" ht="17.25">
      <c r="A9" s="7">
        <v>45910</v>
      </c>
      <c r="B9" s="2" t="s">
        <v>46</v>
      </c>
      <c r="C9" s="6">
        <v>22</v>
      </c>
      <c r="D9" s="3"/>
      <c r="E9" s="4"/>
    </row>
    <row x14ac:dyDescent="0.25" r="10" customHeight="1" ht="17.25">
      <c r="A10" s="7">
        <v>45951</v>
      </c>
      <c r="B10" s="2" t="s">
        <v>3</v>
      </c>
      <c r="C10" s="6">
        <v>23</v>
      </c>
      <c r="D10" s="3"/>
      <c r="E10" s="4"/>
    </row>
    <row x14ac:dyDescent="0.25" r="11" customHeight="1" ht="17.25">
      <c r="A11" s="7">
        <v>45974</v>
      </c>
      <c r="B11" s="2" t="s">
        <v>46</v>
      </c>
      <c r="C11" s="4"/>
      <c r="D11" s="6">
        <v>39</v>
      </c>
      <c r="E11" s="4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1478571428571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153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14">
        <v>705</v>
      </c>
    </row>
    <row x14ac:dyDescent="0.25" r="4" customHeight="1" ht="17.25">
      <c r="A4" s="7">
        <v>45660</v>
      </c>
      <c r="B4" s="2" t="s">
        <v>11</v>
      </c>
      <c r="C4" s="6">
        <v>62</v>
      </c>
      <c r="D4" s="4"/>
      <c r="E4" s="6">
        <f>E3+C4-D4</f>
      </c>
    </row>
    <row x14ac:dyDescent="0.25" r="5" customHeight="1" ht="17.25">
      <c r="A5" s="8">
        <v>45670</v>
      </c>
      <c r="B5" s="9" t="s">
        <v>31</v>
      </c>
      <c r="C5" s="6">
        <v>5</v>
      </c>
      <c r="D5" s="4"/>
      <c r="E5" s="6">
        <f>E4+C5-D5</f>
      </c>
    </row>
    <row x14ac:dyDescent="0.25" r="6" customHeight="1" ht="17.25">
      <c r="A6" s="7">
        <v>45674</v>
      </c>
      <c r="B6" s="2" t="s">
        <v>139</v>
      </c>
      <c r="C6" s="6">
        <v>3</v>
      </c>
      <c r="D6" s="4"/>
      <c r="E6" s="6">
        <f>E5+C6-D6</f>
      </c>
    </row>
    <row x14ac:dyDescent="0.25" r="7" customHeight="1" ht="17.25">
      <c r="A7" s="8">
        <v>45686</v>
      </c>
      <c r="B7" s="9" t="s">
        <v>11</v>
      </c>
      <c r="C7" s="6">
        <v>54</v>
      </c>
      <c r="D7" s="4"/>
      <c r="E7" s="6">
        <f>E6+C7-D7</f>
      </c>
    </row>
    <row x14ac:dyDescent="0.25" r="8" customHeight="1" ht="17.25">
      <c r="A8" s="8">
        <v>45701</v>
      </c>
      <c r="B8" s="9" t="s">
        <v>3</v>
      </c>
      <c r="C8" s="4"/>
      <c r="D8" s="6">
        <v>150</v>
      </c>
      <c r="E8" s="6">
        <f>E7+C8-D8</f>
      </c>
    </row>
    <row x14ac:dyDescent="0.25" r="9" customHeight="1" ht="17.25">
      <c r="A9" s="7">
        <v>45702</v>
      </c>
      <c r="B9" s="9" t="s">
        <v>3</v>
      </c>
      <c r="C9" s="4"/>
      <c r="D9" s="6">
        <v>150</v>
      </c>
      <c r="E9" s="6">
        <f>E8+C9-D9</f>
      </c>
    </row>
    <row x14ac:dyDescent="0.25" r="10" customHeight="1" ht="17.25">
      <c r="A10" s="7">
        <v>45702</v>
      </c>
      <c r="B10" s="9" t="s">
        <v>3</v>
      </c>
      <c r="C10" s="4"/>
      <c r="D10" s="6">
        <v>250</v>
      </c>
      <c r="E10" s="6">
        <f>E9+C10-D10</f>
      </c>
    </row>
    <row x14ac:dyDescent="0.25" r="11" customHeight="1" ht="17.25">
      <c r="A11" s="7">
        <v>45710</v>
      </c>
      <c r="B11" s="9" t="s">
        <v>3</v>
      </c>
      <c r="C11" s="4"/>
      <c r="D11" s="6">
        <v>253</v>
      </c>
      <c r="E11" s="6">
        <v>0</v>
      </c>
    </row>
    <row x14ac:dyDescent="0.25" r="12" customHeight="1" ht="17.25">
      <c r="A12" s="8">
        <v>45710</v>
      </c>
      <c r="B12" s="9" t="s">
        <v>11</v>
      </c>
      <c r="C12" s="6">
        <v>45</v>
      </c>
      <c r="D12" s="4"/>
      <c r="E12" s="6">
        <v>45</v>
      </c>
    </row>
    <row x14ac:dyDescent="0.25" r="13" customHeight="1" ht="17.25">
      <c r="A13" s="8">
        <v>45734</v>
      </c>
      <c r="B13" s="9" t="s">
        <v>11</v>
      </c>
      <c r="C13" s="6">
        <v>37</v>
      </c>
      <c r="D13" s="4"/>
      <c r="E13" s="6">
        <f>E12+C13-D13</f>
      </c>
    </row>
    <row x14ac:dyDescent="0.25" r="14" customHeight="1" ht="17.25">
      <c r="A14" s="8">
        <v>45736</v>
      </c>
      <c r="B14" s="9" t="s">
        <v>11</v>
      </c>
      <c r="C14" s="6">
        <v>41</v>
      </c>
      <c r="D14" s="4"/>
      <c r="E14" s="6">
        <f>E13+C14-D14</f>
      </c>
    </row>
    <row x14ac:dyDescent="0.25" r="15" customHeight="1" ht="17.25">
      <c r="A15" s="7">
        <v>45810</v>
      </c>
      <c r="B15" s="9" t="s">
        <v>11</v>
      </c>
      <c r="C15" s="6">
        <v>145</v>
      </c>
      <c r="D15" s="4"/>
      <c r="E15" s="6">
        <f>E14+C15-D15</f>
      </c>
    </row>
    <row x14ac:dyDescent="0.25" r="16" customHeight="1" ht="17.25">
      <c r="A16" s="7">
        <v>45825</v>
      </c>
      <c r="B16" s="9" t="s">
        <v>3</v>
      </c>
      <c r="C16" s="6">
        <v>216</v>
      </c>
      <c r="D16" s="4"/>
      <c r="E16" s="6">
        <f>E15+C16-D16</f>
      </c>
    </row>
    <row x14ac:dyDescent="0.25" r="17" customHeight="1" ht="17.25">
      <c r="A17" s="8">
        <v>45827</v>
      </c>
      <c r="B17" s="9" t="s">
        <v>3</v>
      </c>
      <c r="C17" s="6">
        <v>352</v>
      </c>
      <c r="D17" s="4"/>
      <c r="E17" s="6">
        <f>E16+C17-D17</f>
      </c>
    </row>
    <row x14ac:dyDescent="0.25" r="18" customHeight="1" ht="17.25">
      <c r="A18" s="7">
        <v>45838</v>
      </c>
      <c r="B18" s="9" t="s">
        <v>3</v>
      </c>
      <c r="C18" s="6">
        <v>66</v>
      </c>
      <c r="D18" s="4"/>
      <c r="E18" s="6">
        <f>E17+C18-D18</f>
      </c>
    </row>
    <row x14ac:dyDescent="0.25" r="19" customHeight="1" ht="17.25">
      <c r="A19" s="7">
        <v>45839</v>
      </c>
      <c r="B19" s="9" t="s">
        <v>3</v>
      </c>
      <c r="C19" s="6">
        <v>73</v>
      </c>
      <c r="D19" s="4"/>
      <c r="E19" s="6">
        <f>E18+C19-D19</f>
      </c>
    </row>
    <row x14ac:dyDescent="0.25" r="20" customHeight="1" ht="17.25">
      <c r="A20" s="7">
        <v>45887</v>
      </c>
      <c r="B20" s="9" t="s">
        <v>26</v>
      </c>
      <c r="C20" s="4"/>
      <c r="D20" s="6">
        <v>548</v>
      </c>
      <c r="E20" s="6">
        <f>E19+C20-D20</f>
      </c>
    </row>
    <row x14ac:dyDescent="0.25" r="21" customHeight="1" ht="17.25">
      <c r="A21" s="7">
        <v>45902</v>
      </c>
      <c r="B21" s="9" t="s">
        <v>3</v>
      </c>
      <c r="C21" s="4"/>
      <c r="D21" s="6">
        <v>100</v>
      </c>
      <c r="E21" s="6">
        <f>E20+C21-D21</f>
      </c>
    </row>
    <row x14ac:dyDescent="0.25" r="22" customHeight="1" ht="17.25">
      <c r="A22" s="8">
        <v>45913</v>
      </c>
      <c r="B22" s="9" t="s">
        <v>26</v>
      </c>
      <c r="C22" s="6">
        <v>290</v>
      </c>
      <c r="D22" s="4"/>
      <c r="E22" s="6">
        <f>E21+C22-D22</f>
      </c>
    </row>
    <row x14ac:dyDescent="0.25" r="23" customHeight="1" ht="17.25">
      <c r="A23" s="7">
        <v>45927</v>
      </c>
      <c r="B23" s="9" t="s">
        <v>26</v>
      </c>
      <c r="C23" s="6">
        <v>80</v>
      </c>
      <c r="D23" s="4"/>
      <c r="E23" s="6">
        <f>E22+C23-D23</f>
      </c>
    </row>
    <row x14ac:dyDescent="0.25" r="24" customHeight="1" ht="17.25">
      <c r="A24" s="8">
        <v>45939</v>
      </c>
      <c r="B24" s="9" t="s">
        <v>26</v>
      </c>
      <c r="C24" s="6">
        <v>115</v>
      </c>
      <c r="D24" s="4"/>
      <c r="E24" s="6">
        <f>E23+C24-D24</f>
      </c>
    </row>
    <row x14ac:dyDescent="0.25" r="25" customHeight="1" ht="17.25">
      <c r="A25" s="8">
        <v>45947</v>
      </c>
      <c r="B25" s="9" t="s">
        <v>3</v>
      </c>
      <c r="C25" s="6">
        <v>74</v>
      </c>
      <c r="D25" s="4"/>
      <c r="E25" s="6">
        <f>E24+C25-D25</f>
      </c>
    </row>
    <row x14ac:dyDescent="0.25" r="26" customHeight="1" ht="17.25">
      <c r="A26" s="7">
        <v>45953</v>
      </c>
      <c r="B26" s="9" t="s">
        <v>26</v>
      </c>
      <c r="C26" s="6">
        <v>57</v>
      </c>
      <c r="D26" s="4"/>
      <c r="E26" s="6">
        <f>E25+C26-D26</f>
      </c>
    </row>
    <row x14ac:dyDescent="0.25" r="27" customHeight="1" ht="17.25">
      <c r="A27" s="7">
        <v>45959</v>
      </c>
      <c r="B27" s="9" t="s">
        <v>3</v>
      </c>
      <c r="C27" s="6">
        <v>13</v>
      </c>
      <c r="D27" s="4"/>
      <c r="E27" s="6">
        <f>E26+C27-D27</f>
      </c>
    </row>
    <row x14ac:dyDescent="0.25" r="28" customHeight="1" ht="17.25">
      <c r="A28" s="8">
        <v>45962</v>
      </c>
      <c r="B28" s="9" t="s">
        <v>26</v>
      </c>
      <c r="C28" s="6">
        <v>16</v>
      </c>
      <c r="D28" s="4"/>
      <c r="E28" s="6">
        <f>E27+C28-D28</f>
      </c>
    </row>
    <row x14ac:dyDescent="0.25" r="29" customHeight="1" ht="17.25">
      <c r="A29" s="7">
        <v>45993</v>
      </c>
      <c r="B29" s="9" t="s">
        <v>26</v>
      </c>
      <c r="C29" s="6">
        <v>14</v>
      </c>
      <c r="D29" s="4"/>
      <c r="E29" s="6">
        <f>E28+C29-D29</f>
      </c>
    </row>
    <row x14ac:dyDescent="0.25" r="30" customHeight="1" ht="17.25">
      <c r="A30" s="1"/>
      <c r="B30" s="2"/>
      <c r="C30" s="4"/>
      <c r="D30" s="4"/>
      <c r="E30" s="6">
        <f>E29+C30-D30</f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6"/>
  <sheetViews>
    <sheetView workbookViewId="0"/>
  </sheetViews>
  <sheetFormatPr defaultRowHeight="15" x14ac:dyDescent="0.25"/>
  <cols>
    <col min="1" max="1" style="10" width="9.147857142857141" customWidth="1" bestFit="1"/>
    <col min="2" max="2" style="11" width="29.862142857142857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/>
      <c r="B1" s="2"/>
      <c r="C1" s="3"/>
      <c r="D1" s="4"/>
      <c r="E1" s="4"/>
    </row>
    <row x14ac:dyDescent="0.25" r="2" customHeight="1" ht="17.25">
      <c r="A2" s="1" t="s">
        <v>146</v>
      </c>
      <c r="B2" s="2"/>
      <c r="C2" s="3"/>
      <c r="D2" s="4"/>
      <c r="E2" s="4"/>
    </row>
    <row x14ac:dyDescent="0.25" r="3" customHeight="1" ht="17.25">
      <c r="A3" s="1"/>
      <c r="B3" s="2"/>
      <c r="C3" s="3"/>
      <c r="D3" s="4"/>
      <c r="E3" s="4"/>
    </row>
    <row x14ac:dyDescent="0.25" r="4" customHeight="1" ht="17.25">
      <c r="A4" s="7">
        <v>45658</v>
      </c>
      <c r="B4" s="2" t="s">
        <v>147</v>
      </c>
      <c r="C4" s="3"/>
      <c r="D4" s="4"/>
      <c r="E4" s="14">
        <v>133</v>
      </c>
    </row>
    <row x14ac:dyDescent="0.25" r="5" customHeight="1" ht="17.25">
      <c r="A5" s="8">
        <v>45674</v>
      </c>
      <c r="B5" s="9" t="s">
        <v>148</v>
      </c>
      <c r="C5" s="6">
        <v>239</v>
      </c>
      <c r="D5" s="4"/>
      <c r="E5" s="6">
        <f>E4+C5-D5</f>
      </c>
    </row>
    <row x14ac:dyDescent="0.25" r="6" customHeight="1" ht="17.25">
      <c r="A6" s="7">
        <v>45675</v>
      </c>
      <c r="B6" s="2" t="s">
        <v>127</v>
      </c>
      <c r="C6" s="6">
        <v>6</v>
      </c>
      <c r="D6" s="4"/>
      <c r="E6" s="6">
        <f>E5+C6-D6</f>
      </c>
    </row>
    <row x14ac:dyDescent="0.25" r="7" customHeight="1" ht="17.25">
      <c r="A7" s="8">
        <v>45688</v>
      </c>
      <c r="B7" s="9" t="s">
        <v>127</v>
      </c>
      <c r="C7" s="6">
        <v>56</v>
      </c>
      <c r="D7" s="4"/>
      <c r="E7" s="6">
        <f>E6+C7-D7</f>
      </c>
    </row>
    <row x14ac:dyDescent="0.25" r="8" customHeight="1" ht="17.25">
      <c r="A8" s="8">
        <v>45694</v>
      </c>
      <c r="B8" s="9" t="s">
        <v>127</v>
      </c>
      <c r="C8" s="6">
        <v>5</v>
      </c>
      <c r="D8" s="4"/>
      <c r="E8" s="6">
        <f>E7+C8-D8</f>
      </c>
    </row>
    <row x14ac:dyDescent="0.25" r="9" customHeight="1" ht="17.25">
      <c r="A9" s="7">
        <v>45695</v>
      </c>
      <c r="B9" s="9" t="s">
        <v>148</v>
      </c>
      <c r="C9" s="6">
        <v>231</v>
      </c>
      <c r="D9" s="4"/>
      <c r="E9" s="6">
        <f>E8+C9-D9</f>
      </c>
    </row>
    <row x14ac:dyDescent="0.25" r="10" customHeight="1" ht="17.25">
      <c r="A10" s="8">
        <v>45698</v>
      </c>
      <c r="B10" s="9" t="s">
        <v>123</v>
      </c>
      <c r="C10" s="6">
        <v>5</v>
      </c>
      <c r="D10" s="4"/>
      <c r="E10" s="6">
        <f>E9+C10-D10</f>
      </c>
    </row>
    <row x14ac:dyDescent="0.25" r="11" customHeight="1" ht="17.25">
      <c r="A11" s="7">
        <v>45710</v>
      </c>
      <c r="B11" s="9" t="s">
        <v>11</v>
      </c>
      <c r="C11" s="6">
        <v>4</v>
      </c>
      <c r="D11" s="4"/>
      <c r="E11" s="6">
        <f>E10+C11-D11</f>
      </c>
    </row>
    <row x14ac:dyDescent="0.25" r="12" customHeight="1" ht="17.25">
      <c r="A12" s="8">
        <v>45713</v>
      </c>
      <c r="B12" s="9" t="s">
        <v>131</v>
      </c>
      <c r="C12" s="6">
        <v>15</v>
      </c>
      <c r="D12" s="4"/>
      <c r="E12" s="6">
        <f>E11+C12-D12</f>
      </c>
    </row>
    <row x14ac:dyDescent="0.25" r="13" customHeight="1" ht="17.25">
      <c r="A13" s="7">
        <v>45716</v>
      </c>
      <c r="B13" s="9" t="s">
        <v>7</v>
      </c>
      <c r="C13" s="6">
        <v>54</v>
      </c>
      <c r="D13" s="4"/>
      <c r="E13" s="6">
        <f>E12+C13-D13</f>
      </c>
    </row>
    <row x14ac:dyDescent="0.25" r="14" customHeight="1" ht="17.25">
      <c r="A14" s="7">
        <v>45717</v>
      </c>
      <c r="B14" s="9" t="s">
        <v>131</v>
      </c>
      <c r="C14" s="6">
        <v>2</v>
      </c>
      <c r="D14" s="4"/>
      <c r="E14" s="6">
        <f>E13+C14-D14</f>
      </c>
    </row>
    <row x14ac:dyDescent="0.25" r="15" customHeight="1" ht="17.25">
      <c r="A15" s="7">
        <v>45797</v>
      </c>
      <c r="B15" s="9" t="s">
        <v>28</v>
      </c>
      <c r="C15" s="3"/>
      <c r="D15" s="6">
        <v>100</v>
      </c>
      <c r="E15" s="6">
        <f>E14+C15-D15</f>
      </c>
    </row>
    <row x14ac:dyDescent="0.25" r="16" customHeight="1" ht="17.25">
      <c r="A16" s="7">
        <v>45812</v>
      </c>
      <c r="B16" s="9" t="s">
        <v>28</v>
      </c>
      <c r="C16" s="3"/>
      <c r="D16" s="6">
        <v>75</v>
      </c>
      <c r="E16" s="6">
        <f>E15+C16-D16</f>
      </c>
    </row>
    <row x14ac:dyDescent="0.25" r="17" customHeight="1" ht="17.25">
      <c r="A17" s="7">
        <v>45812</v>
      </c>
      <c r="B17" s="9" t="s">
        <v>28</v>
      </c>
      <c r="C17" s="3"/>
      <c r="D17" s="6">
        <v>75</v>
      </c>
      <c r="E17" s="6">
        <f>E16+C17-D17</f>
      </c>
    </row>
    <row x14ac:dyDescent="0.25" r="18" customHeight="1" ht="17.25">
      <c r="A18" s="7">
        <v>45825</v>
      </c>
      <c r="B18" s="9" t="s">
        <v>3</v>
      </c>
      <c r="C18" s="6">
        <v>20</v>
      </c>
      <c r="D18" s="4"/>
      <c r="E18" s="6">
        <f>E17+C18-D18</f>
      </c>
    </row>
    <row x14ac:dyDescent="0.25" r="19" customHeight="1" ht="17.25">
      <c r="A19" s="8">
        <v>45846</v>
      </c>
      <c r="B19" s="9" t="s">
        <v>42</v>
      </c>
      <c r="C19" s="6">
        <v>20</v>
      </c>
      <c r="D19" s="4"/>
      <c r="E19" s="6">
        <f>E18+C19-D19</f>
      </c>
    </row>
    <row x14ac:dyDescent="0.25" r="20" customHeight="1" ht="17.25">
      <c r="A20" s="7">
        <v>45852</v>
      </c>
      <c r="B20" s="9" t="s">
        <v>28</v>
      </c>
      <c r="C20" s="3"/>
      <c r="D20" s="6">
        <v>200</v>
      </c>
      <c r="E20" s="6">
        <f>E19+C20-D20</f>
      </c>
    </row>
    <row x14ac:dyDescent="0.25" r="21" customHeight="1" ht="17.25">
      <c r="A21" s="7">
        <v>45857</v>
      </c>
      <c r="B21" s="9" t="s">
        <v>106</v>
      </c>
      <c r="C21" s="6">
        <v>120</v>
      </c>
      <c r="D21" s="4"/>
      <c r="E21" s="6">
        <f>E20+C21-D21</f>
      </c>
    </row>
    <row x14ac:dyDescent="0.25" r="22" customHeight="1" ht="17.25">
      <c r="A22" s="7">
        <v>45876</v>
      </c>
      <c r="B22" s="9" t="s">
        <v>3</v>
      </c>
      <c r="C22" s="3"/>
      <c r="D22" s="6">
        <v>20</v>
      </c>
      <c r="E22" s="6">
        <f>E21+C22-D22</f>
      </c>
    </row>
    <row x14ac:dyDescent="0.25" r="23" customHeight="1" ht="17.25">
      <c r="A23" s="8">
        <v>45881</v>
      </c>
      <c r="B23" s="9" t="s">
        <v>28</v>
      </c>
      <c r="C23" s="6">
        <v>34</v>
      </c>
      <c r="D23" s="4"/>
      <c r="E23" s="6">
        <f>E22+C23-D23</f>
      </c>
    </row>
    <row x14ac:dyDescent="0.25" r="24" customHeight="1" ht="17.25">
      <c r="A24" s="7">
        <v>45885</v>
      </c>
      <c r="B24" s="9" t="s">
        <v>28</v>
      </c>
      <c r="C24" s="6">
        <v>7</v>
      </c>
      <c r="D24" s="4"/>
      <c r="E24" s="6">
        <f>E23+C24-D24</f>
      </c>
    </row>
    <row x14ac:dyDescent="0.25" r="25" customHeight="1" ht="17.25">
      <c r="A25" s="8">
        <v>45891</v>
      </c>
      <c r="B25" s="9" t="s">
        <v>28</v>
      </c>
      <c r="C25" s="6">
        <v>5</v>
      </c>
      <c r="D25" s="4"/>
      <c r="E25" s="6">
        <f>E24+C25-D25</f>
      </c>
    </row>
    <row x14ac:dyDescent="0.25" r="26" customHeight="1" ht="17.25">
      <c r="A26" s="7">
        <v>45894</v>
      </c>
      <c r="B26" s="9" t="s">
        <v>26</v>
      </c>
      <c r="C26" s="3"/>
      <c r="D26" s="6">
        <v>100</v>
      </c>
      <c r="E26" s="6">
        <f>E25+C26-D26</f>
      </c>
    </row>
    <row x14ac:dyDescent="0.25" r="27" customHeight="1" ht="17.25">
      <c r="A27" s="7">
        <v>45895</v>
      </c>
      <c r="B27" s="9" t="s">
        <v>26</v>
      </c>
      <c r="C27" s="3"/>
      <c r="D27" s="6">
        <v>310</v>
      </c>
      <c r="E27" s="6">
        <f>E26+C27-D27</f>
      </c>
    </row>
    <row x14ac:dyDescent="0.25" r="28" customHeight="1" ht="17.25">
      <c r="A28" s="7">
        <v>45897</v>
      </c>
      <c r="B28" s="9" t="s">
        <v>149</v>
      </c>
      <c r="C28" s="6">
        <f>37*3</f>
      </c>
      <c r="D28" s="4"/>
      <c r="E28" s="4"/>
    </row>
    <row x14ac:dyDescent="0.25" r="29" customHeight="1" ht="17.25">
      <c r="A29" s="1"/>
      <c r="B29" s="2" t="s">
        <v>150</v>
      </c>
      <c r="C29" s="6">
        <v>390</v>
      </c>
      <c r="D29" s="4"/>
      <c r="E29" s="4"/>
    </row>
    <row x14ac:dyDescent="0.25" r="30" customHeight="1" ht="17.25">
      <c r="A30" s="7">
        <v>45898</v>
      </c>
      <c r="B30" s="9" t="s">
        <v>26</v>
      </c>
      <c r="C30" s="3"/>
      <c r="D30" s="6">
        <v>596</v>
      </c>
      <c r="E30" s="6">
        <v>0</v>
      </c>
    </row>
    <row x14ac:dyDescent="0.25" r="31" customHeight="1" ht="17.25">
      <c r="A31" s="8">
        <v>45899</v>
      </c>
      <c r="B31" s="9" t="s">
        <v>28</v>
      </c>
      <c r="C31" s="6">
        <v>14</v>
      </c>
      <c r="D31" s="4"/>
      <c r="E31" s="6">
        <f>E30+C31-D31</f>
      </c>
    </row>
    <row x14ac:dyDescent="0.25" r="32" customHeight="1" ht="17.25">
      <c r="A32" s="1"/>
      <c r="B32" s="9" t="s">
        <v>151</v>
      </c>
      <c r="C32" s="6">
        <v>210</v>
      </c>
      <c r="D32" s="4"/>
      <c r="E32" s="6">
        <f>E31+C32-D32</f>
      </c>
    </row>
    <row x14ac:dyDescent="0.25" r="33" customHeight="1" ht="17.25">
      <c r="A33" s="8"/>
      <c r="B33" s="9"/>
      <c r="C33" s="3"/>
      <c r="D33" s="6">
        <v>224</v>
      </c>
      <c r="E33" s="6">
        <f>E32+C33-D33</f>
      </c>
    </row>
    <row x14ac:dyDescent="0.25" r="34" customHeight="1" ht="17.25">
      <c r="A34" s="8">
        <v>45903</v>
      </c>
      <c r="B34" s="9" t="s">
        <v>28</v>
      </c>
      <c r="C34" s="6">
        <v>32</v>
      </c>
      <c r="D34" s="4"/>
      <c r="E34" s="6">
        <f>E33+C34-D34</f>
      </c>
    </row>
    <row x14ac:dyDescent="0.25" r="35" customHeight="1" ht="17.25">
      <c r="A35" s="7">
        <v>45922</v>
      </c>
      <c r="B35" s="9" t="s">
        <v>28</v>
      </c>
      <c r="C35" s="6">
        <v>17</v>
      </c>
      <c r="D35" s="4"/>
      <c r="E35" s="6">
        <f>E34+C35-D35</f>
      </c>
    </row>
    <row x14ac:dyDescent="0.25" r="36" customHeight="1" ht="17.25">
      <c r="A36" s="7">
        <v>45934</v>
      </c>
      <c r="B36" s="9" t="s">
        <v>106</v>
      </c>
      <c r="C36" s="6">
        <v>80</v>
      </c>
      <c r="D36" s="4"/>
      <c r="E36" s="6">
        <f>E35+C36-D36</f>
      </c>
    </row>
    <row x14ac:dyDescent="0.25" r="37" customHeight="1" ht="17.25">
      <c r="A37" s="7">
        <v>45937</v>
      </c>
      <c r="B37" s="9" t="s">
        <v>26</v>
      </c>
      <c r="C37" s="6">
        <v>327</v>
      </c>
      <c r="D37" s="4"/>
      <c r="E37" s="6">
        <f>E36+C37-D37</f>
      </c>
    </row>
    <row x14ac:dyDescent="0.25" r="38" customHeight="1" ht="17.25">
      <c r="A38" s="7">
        <v>45939</v>
      </c>
      <c r="B38" s="9" t="s">
        <v>106</v>
      </c>
      <c r="C38" s="6">
        <v>26</v>
      </c>
      <c r="D38" s="4"/>
      <c r="E38" s="6">
        <f>E37+C38-D38</f>
      </c>
    </row>
    <row x14ac:dyDescent="0.25" r="39" customHeight="1" ht="17.25">
      <c r="A39" s="8">
        <v>45939</v>
      </c>
      <c r="B39" s="9" t="s">
        <v>26</v>
      </c>
      <c r="C39" s="6">
        <v>83</v>
      </c>
      <c r="D39" s="4"/>
      <c r="E39" s="6">
        <f>E38+C39-D39</f>
      </c>
    </row>
    <row x14ac:dyDescent="0.25" r="40" customHeight="1" ht="17.25">
      <c r="A40" s="8">
        <v>45940</v>
      </c>
      <c r="B40" s="9" t="s">
        <v>106</v>
      </c>
      <c r="C40" s="6">
        <v>17</v>
      </c>
      <c r="D40" s="4"/>
      <c r="E40" s="6">
        <f>E39+C40-D40</f>
      </c>
    </row>
    <row x14ac:dyDescent="0.25" r="41" customHeight="1" ht="17.25">
      <c r="A41" s="8">
        <v>45941</v>
      </c>
      <c r="B41" s="9" t="s">
        <v>26</v>
      </c>
      <c r="C41" s="6">
        <v>44</v>
      </c>
      <c r="D41" s="4"/>
      <c r="E41" s="6">
        <f>E40+C41-D41</f>
      </c>
    </row>
    <row x14ac:dyDescent="0.25" r="42" customHeight="1" ht="17.25">
      <c r="A42" s="7">
        <v>45944</v>
      </c>
      <c r="B42" s="9" t="s">
        <v>106</v>
      </c>
      <c r="C42" s="6">
        <v>41</v>
      </c>
      <c r="D42" s="4"/>
      <c r="E42" s="6">
        <f>E41+C42-D42</f>
      </c>
    </row>
    <row x14ac:dyDescent="0.25" r="43" customHeight="1" ht="17.25">
      <c r="A43" s="7">
        <v>45945</v>
      </c>
      <c r="B43" s="9" t="s">
        <v>106</v>
      </c>
      <c r="C43" s="6">
        <v>7</v>
      </c>
      <c r="D43" s="4"/>
      <c r="E43" s="6">
        <f>E42+C43-D43</f>
      </c>
    </row>
    <row x14ac:dyDescent="0.25" r="44" customHeight="1" ht="17.25">
      <c r="A44" s="7">
        <v>45945</v>
      </c>
      <c r="B44" s="9" t="s">
        <v>26</v>
      </c>
      <c r="C44" s="6">
        <v>5</v>
      </c>
      <c r="D44" s="4"/>
      <c r="E44" s="6">
        <f>E43+C44-D44</f>
      </c>
    </row>
    <row x14ac:dyDescent="0.25" r="45" customHeight="1" ht="17.25">
      <c r="A45" s="8">
        <v>45946</v>
      </c>
      <c r="B45" s="9" t="s">
        <v>106</v>
      </c>
      <c r="C45" s="6">
        <v>52</v>
      </c>
      <c r="D45" s="4"/>
      <c r="E45" s="6">
        <f>E44+C45-D45</f>
      </c>
    </row>
    <row x14ac:dyDescent="0.25" r="46" customHeight="1" ht="17.25">
      <c r="A46" s="8">
        <v>45948</v>
      </c>
      <c r="B46" s="9" t="s">
        <v>26</v>
      </c>
      <c r="C46" s="6">
        <v>135</v>
      </c>
      <c r="D46" s="4"/>
      <c r="E46" s="6">
        <f>E45+C46-D46</f>
      </c>
    </row>
    <row x14ac:dyDescent="0.25" r="47" customHeight="1" ht="17.25">
      <c r="A47" s="7">
        <v>45951</v>
      </c>
      <c r="B47" s="9" t="s">
        <v>3</v>
      </c>
      <c r="C47" s="6">
        <v>2</v>
      </c>
      <c r="D47" s="4"/>
      <c r="E47" s="6">
        <f>E46+C47-D47</f>
      </c>
    </row>
    <row x14ac:dyDescent="0.25" r="48" customHeight="1" ht="17.25">
      <c r="A48" s="7">
        <v>45951</v>
      </c>
      <c r="B48" s="9" t="s">
        <v>106</v>
      </c>
      <c r="C48" s="6">
        <v>15</v>
      </c>
      <c r="D48" s="4"/>
      <c r="E48" s="6">
        <f>E47+C48-D48</f>
      </c>
    </row>
    <row x14ac:dyDescent="0.25" r="49" customHeight="1" ht="17.25">
      <c r="A49" s="7">
        <v>45951</v>
      </c>
      <c r="B49" s="9" t="s">
        <v>26</v>
      </c>
      <c r="C49" s="6">
        <v>88</v>
      </c>
      <c r="D49" s="4"/>
      <c r="E49" s="6">
        <f>E48+C49-D49</f>
      </c>
    </row>
    <row x14ac:dyDescent="0.25" r="50" customHeight="1" ht="17.25">
      <c r="A50" s="7">
        <v>45955</v>
      </c>
      <c r="B50" s="9" t="s">
        <v>106</v>
      </c>
      <c r="C50" s="6">
        <v>60</v>
      </c>
      <c r="D50" s="4"/>
      <c r="E50" s="6">
        <f>E49+C50-D50</f>
      </c>
    </row>
    <row x14ac:dyDescent="0.25" r="51" customHeight="1" ht="17.25">
      <c r="A51" s="8">
        <v>45955</v>
      </c>
      <c r="B51" s="9" t="s">
        <v>26</v>
      </c>
      <c r="C51" s="6">
        <v>47</v>
      </c>
      <c r="D51" s="4"/>
      <c r="E51" s="6">
        <f>E50+C51-D51</f>
      </c>
    </row>
    <row x14ac:dyDescent="0.25" r="52" customHeight="1" ht="17.25">
      <c r="A52" s="7">
        <v>45958</v>
      </c>
      <c r="B52" s="9" t="s">
        <v>26</v>
      </c>
      <c r="C52" s="6">
        <v>14</v>
      </c>
      <c r="D52" s="4"/>
      <c r="E52" s="6">
        <f>E51+C52-D52</f>
      </c>
    </row>
    <row x14ac:dyDescent="0.25" r="53" customHeight="1" ht="17.25">
      <c r="A53" s="8">
        <v>45962</v>
      </c>
      <c r="B53" s="9" t="s">
        <v>26</v>
      </c>
      <c r="C53" s="6">
        <v>93</v>
      </c>
      <c r="D53" s="4"/>
      <c r="E53" s="6">
        <f>E52+C53-D53</f>
      </c>
    </row>
    <row x14ac:dyDescent="0.25" r="54" customHeight="1" ht="17.25">
      <c r="A54" s="7">
        <v>45964</v>
      </c>
      <c r="B54" s="9" t="s">
        <v>106</v>
      </c>
      <c r="C54" s="6">
        <v>25</v>
      </c>
      <c r="D54" s="4"/>
      <c r="E54" s="6">
        <f>E53+C54-D54</f>
      </c>
    </row>
    <row x14ac:dyDescent="0.25" r="55" customHeight="1" ht="17.25">
      <c r="A55" s="7">
        <v>45968</v>
      </c>
      <c r="B55" s="9" t="s">
        <v>106</v>
      </c>
      <c r="C55" s="6">
        <v>8</v>
      </c>
      <c r="D55" s="4"/>
      <c r="E55" s="6">
        <f>E54+C55-D55</f>
      </c>
    </row>
    <row x14ac:dyDescent="0.25" r="56" customHeight="1" ht="17.25">
      <c r="A56" s="8">
        <v>45980</v>
      </c>
      <c r="B56" s="9" t="s">
        <v>26</v>
      </c>
      <c r="C56" s="6">
        <v>246</v>
      </c>
      <c r="D56" s="4"/>
      <c r="E56" s="6">
        <f>E55+C56-D56</f>
      </c>
    </row>
    <row x14ac:dyDescent="0.25" r="57" customHeight="1" ht="17.25">
      <c r="A57" s="7">
        <v>45985</v>
      </c>
      <c r="B57" s="9" t="s">
        <v>26</v>
      </c>
      <c r="C57" s="6">
        <v>58</v>
      </c>
      <c r="D57" s="4"/>
      <c r="E57" s="6">
        <f>E56+C57-D57</f>
      </c>
    </row>
    <row x14ac:dyDescent="0.25" r="58" customHeight="1" ht="17.25">
      <c r="A58" s="7">
        <v>45993</v>
      </c>
      <c r="B58" s="9" t="s">
        <v>26</v>
      </c>
      <c r="C58" s="6">
        <v>17</v>
      </c>
      <c r="D58" s="4"/>
      <c r="E58" s="6">
        <f>E57+C58-D58</f>
      </c>
    </row>
    <row x14ac:dyDescent="0.25" r="59" customHeight="1" ht="17.25">
      <c r="A59" s="8">
        <v>45995</v>
      </c>
      <c r="B59" s="9" t="s">
        <v>55</v>
      </c>
      <c r="C59" s="3"/>
      <c r="D59" s="6">
        <v>44</v>
      </c>
      <c r="E59" s="6">
        <f>E58+C59-D59</f>
      </c>
    </row>
    <row x14ac:dyDescent="0.25" r="60" customHeight="1" ht="17.25">
      <c r="A60" s="7">
        <v>45999</v>
      </c>
      <c r="B60" s="9" t="s">
        <v>106</v>
      </c>
      <c r="C60" s="6">
        <v>14</v>
      </c>
      <c r="D60" s="4"/>
      <c r="E60" s="6">
        <f>E59+C60-D60</f>
      </c>
    </row>
    <row x14ac:dyDescent="0.25" r="61" customHeight="1" ht="17.25">
      <c r="A61" s="7">
        <v>45999</v>
      </c>
      <c r="B61" s="9" t="s">
        <v>106</v>
      </c>
      <c r="C61" s="6">
        <v>25</v>
      </c>
      <c r="D61" s="4"/>
      <c r="E61" s="6">
        <f>E60+C61-D61</f>
      </c>
    </row>
    <row x14ac:dyDescent="0.25" r="62" customHeight="1" ht="17.25">
      <c r="A62" s="7">
        <v>46001</v>
      </c>
      <c r="B62" s="9" t="s">
        <v>55</v>
      </c>
      <c r="C62" s="3"/>
      <c r="D62" s="6">
        <v>40</v>
      </c>
      <c r="E62" s="6">
        <f>E61+C62-D62</f>
      </c>
    </row>
    <row x14ac:dyDescent="0.25" r="63" customHeight="1" ht="17.25">
      <c r="A63" s="7">
        <v>46006</v>
      </c>
      <c r="B63" s="9" t="s">
        <v>55</v>
      </c>
      <c r="C63" s="3"/>
      <c r="D63" s="6">
        <v>60</v>
      </c>
      <c r="E63" s="4"/>
    </row>
    <row x14ac:dyDescent="0.25" r="64" customHeight="1" ht="17.25">
      <c r="A64" s="1"/>
      <c r="B64" s="9" t="s">
        <v>152</v>
      </c>
      <c r="C64" s="3"/>
      <c r="D64" s="6">
        <v>150</v>
      </c>
      <c r="E64" s="4"/>
    </row>
    <row x14ac:dyDescent="0.25" r="65" customHeight="1" ht="17.25">
      <c r="A65" s="7">
        <v>46007</v>
      </c>
      <c r="B65" s="9" t="s">
        <v>46</v>
      </c>
      <c r="C65" s="3"/>
      <c r="D65" s="6">
        <v>200</v>
      </c>
      <c r="E65" s="4"/>
    </row>
    <row x14ac:dyDescent="0.25" r="66" customHeight="1" ht="17.25">
      <c r="A66" s="7">
        <v>46007</v>
      </c>
      <c r="B66" s="9" t="s">
        <v>26</v>
      </c>
      <c r="C66" s="6">
        <v>7</v>
      </c>
      <c r="D66" s="4"/>
      <c r="E66" s="4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3.576428571428572" customWidth="1" bestFit="1"/>
    <col min="3" max="3" style="13" width="12.43357142857143" customWidth="1" bestFit="1"/>
    <col min="4" max="4" style="11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144</v>
      </c>
      <c r="B1" s="2"/>
      <c r="C1" s="4"/>
      <c r="D1" s="2"/>
      <c r="E1" s="4"/>
    </row>
    <row x14ac:dyDescent="0.25" r="2" customHeight="1" ht="17.25">
      <c r="A2" s="1"/>
      <c r="B2" s="2"/>
      <c r="C2" s="4"/>
      <c r="D2" s="2"/>
      <c r="E2" s="4"/>
    </row>
    <row x14ac:dyDescent="0.25" r="3" customHeight="1" ht="17.25">
      <c r="A3" s="7">
        <v>45658</v>
      </c>
      <c r="B3" s="2"/>
      <c r="C3" s="4"/>
      <c r="D3" s="2"/>
      <c r="E3" s="4"/>
    </row>
    <row x14ac:dyDescent="0.25" r="4" customHeight="1" ht="17.25">
      <c r="A4" s="7">
        <v>45857</v>
      </c>
      <c r="B4" s="2" t="s">
        <v>106</v>
      </c>
      <c r="C4" s="6">
        <v>35</v>
      </c>
      <c r="D4" s="2"/>
      <c r="E4" s="6">
        <v>35</v>
      </c>
    </row>
    <row x14ac:dyDescent="0.25" r="5" customHeight="1" ht="17.25">
      <c r="A5" s="1"/>
      <c r="B5" s="2" t="s">
        <v>145</v>
      </c>
      <c r="C5" s="4"/>
      <c r="D5" s="2"/>
      <c r="E5" s="4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29071428571428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143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14">
        <v>0</v>
      </c>
    </row>
    <row x14ac:dyDescent="0.25" r="4" customHeight="1" ht="17.25">
      <c r="A4" s="7">
        <v>45674</v>
      </c>
      <c r="B4" s="2" t="s">
        <v>139</v>
      </c>
      <c r="C4" s="6">
        <v>27</v>
      </c>
      <c r="D4" s="4"/>
      <c r="E4" s="6">
        <v>27</v>
      </c>
    </row>
    <row x14ac:dyDescent="0.25" r="5" customHeight="1" ht="17.25">
      <c r="A5" s="7">
        <v>45675</v>
      </c>
      <c r="B5" s="2" t="s">
        <v>127</v>
      </c>
      <c r="C5" s="6">
        <v>20</v>
      </c>
      <c r="D5" s="4"/>
      <c r="E5" s="6">
        <f>E4+C5-D5</f>
      </c>
    </row>
    <row x14ac:dyDescent="0.25" r="6" customHeight="1" ht="17.25">
      <c r="A6" s="8">
        <v>45678</v>
      </c>
      <c r="B6" s="9" t="s">
        <v>11</v>
      </c>
      <c r="C6" s="6">
        <v>3</v>
      </c>
      <c r="D6" s="4"/>
      <c r="E6" s="6">
        <f>E5+C6-D6</f>
      </c>
    </row>
    <row x14ac:dyDescent="0.25" r="7" customHeight="1" ht="17.25">
      <c r="A7" s="8">
        <v>45687</v>
      </c>
      <c r="B7" s="9" t="s">
        <v>11</v>
      </c>
      <c r="C7" s="6">
        <v>8</v>
      </c>
      <c r="D7" s="4"/>
      <c r="E7" s="6">
        <f>E6+C7-D7</f>
      </c>
    </row>
    <row x14ac:dyDescent="0.25" r="8" customHeight="1" ht="17.25">
      <c r="A8" s="8">
        <v>45688</v>
      </c>
      <c r="B8" s="9" t="s">
        <v>127</v>
      </c>
      <c r="C8" s="6">
        <v>24</v>
      </c>
      <c r="D8" s="4"/>
      <c r="E8" s="6">
        <f>E7+C8-D8</f>
      </c>
    </row>
    <row x14ac:dyDescent="0.25" r="9" customHeight="1" ht="17.25">
      <c r="A9" s="8">
        <v>45694</v>
      </c>
      <c r="B9" s="9" t="s">
        <v>127</v>
      </c>
      <c r="C9" s="6">
        <v>2</v>
      </c>
      <c r="D9" s="4"/>
      <c r="E9" s="6">
        <f>E8+C9-D9</f>
      </c>
    </row>
    <row x14ac:dyDescent="0.25" r="10" customHeight="1" ht="17.25">
      <c r="A10" s="7">
        <v>45695</v>
      </c>
      <c r="B10" s="9" t="s">
        <v>139</v>
      </c>
      <c r="C10" s="6">
        <v>27</v>
      </c>
      <c r="D10" s="4"/>
      <c r="E10" s="6">
        <f>E9+C10-D10</f>
      </c>
    </row>
    <row x14ac:dyDescent="0.25" r="11" customHeight="1" ht="17.25">
      <c r="A11" s="8">
        <v>45698</v>
      </c>
      <c r="B11" s="9" t="s">
        <v>123</v>
      </c>
      <c r="C11" s="6">
        <v>1</v>
      </c>
      <c r="D11" s="4"/>
      <c r="E11" s="6">
        <f>E10+C11-D11</f>
      </c>
    </row>
    <row x14ac:dyDescent="0.25" r="12" customHeight="1" ht="17.25">
      <c r="A12" s="8">
        <v>45710</v>
      </c>
      <c r="B12" s="9" t="s">
        <v>11</v>
      </c>
      <c r="C12" s="6">
        <v>16</v>
      </c>
      <c r="D12" s="4"/>
      <c r="E12" s="6">
        <f>E11+C12-D12</f>
      </c>
    </row>
    <row x14ac:dyDescent="0.25" r="13" customHeight="1" ht="17.25">
      <c r="A13" s="7">
        <v>45733</v>
      </c>
      <c r="B13" s="9" t="s">
        <v>139</v>
      </c>
      <c r="C13" s="6">
        <v>4</v>
      </c>
      <c r="D13" s="4"/>
      <c r="E13" s="6">
        <f>E12+C13-D13</f>
      </c>
    </row>
    <row x14ac:dyDescent="0.25" r="14" customHeight="1" ht="17.25">
      <c r="A14" s="8">
        <v>45733</v>
      </c>
      <c r="B14" s="9" t="s">
        <v>11</v>
      </c>
      <c r="C14" s="6">
        <v>4</v>
      </c>
      <c r="D14" s="4"/>
      <c r="E14" s="6">
        <f>E13+C14-D14</f>
      </c>
    </row>
    <row x14ac:dyDescent="0.25" r="15" customHeight="1" ht="17.25">
      <c r="A15" s="7">
        <v>45734</v>
      </c>
      <c r="B15" s="9" t="s">
        <v>139</v>
      </c>
      <c r="C15" s="6">
        <v>9</v>
      </c>
      <c r="D15" s="4"/>
      <c r="E15" s="6">
        <f>E14+C15-D15</f>
      </c>
    </row>
    <row x14ac:dyDescent="0.25" r="16" customHeight="1" ht="17.25">
      <c r="A16" s="8">
        <v>45806</v>
      </c>
      <c r="B16" s="9" t="s">
        <v>42</v>
      </c>
      <c r="C16" s="3"/>
      <c r="D16" s="6">
        <v>125</v>
      </c>
      <c r="E16" s="6">
        <f>E15+C16-D16</f>
      </c>
    </row>
    <row x14ac:dyDescent="0.25" r="17" customHeight="1" ht="17.25">
      <c r="A17" s="7">
        <v>45838</v>
      </c>
      <c r="B17" s="9" t="s">
        <v>42</v>
      </c>
      <c r="C17" s="6">
        <v>101</v>
      </c>
      <c r="D17" s="4"/>
      <c r="E17" s="6">
        <f>E16+C17-D17</f>
      </c>
    </row>
    <row x14ac:dyDescent="0.25" r="18" customHeight="1" ht="17.25">
      <c r="A18" s="8">
        <v>45855</v>
      </c>
      <c r="B18" s="9" t="s">
        <v>42</v>
      </c>
      <c r="C18" s="6">
        <v>4</v>
      </c>
      <c r="D18" s="4"/>
      <c r="E18" s="6">
        <f>E17+C18-D18</f>
      </c>
    </row>
    <row x14ac:dyDescent="0.25" r="19" customHeight="1" ht="17.25">
      <c r="A19" s="8">
        <v>45857</v>
      </c>
      <c r="B19" s="9" t="s">
        <v>106</v>
      </c>
      <c r="C19" s="6">
        <v>56</v>
      </c>
      <c r="D19" s="4"/>
      <c r="E19" s="6">
        <f>E18+C19-D19</f>
      </c>
    </row>
    <row x14ac:dyDescent="0.25" r="20" customHeight="1" ht="17.25">
      <c r="A20" s="7">
        <v>45879</v>
      </c>
      <c r="B20" s="9" t="s">
        <v>26</v>
      </c>
      <c r="C20" s="3"/>
      <c r="D20" s="6">
        <v>150</v>
      </c>
      <c r="E20" s="6">
        <f>E19+C20-D20</f>
      </c>
    </row>
    <row x14ac:dyDescent="0.25" r="21" customHeight="1" ht="17.25">
      <c r="A21" s="7">
        <v>45883</v>
      </c>
      <c r="B21" s="9" t="s">
        <v>26</v>
      </c>
      <c r="C21" s="3"/>
      <c r="D21" s="6">
        <v>135</v>
      </c>
      <c r="E21" s="6">
        <f>E20+C21-D21</f>
      </c>
    </row>
    <row x14ac:dyDescent="0.25" r="22" customHeight="1" ht="17.25">
      <c r="A22" s="7">
        <v>45887</v>
      </c>
      <c r="B22" s="9" t="s">
        <v>26</v>
      </c>
      <c r="C22" s="3"/>
      <c r="D22" s="6">
        <v>18</v>
      </c>
      <c r="E22" s="6">
        <f>E21+C22-D22</f>
      </c>
    </row>
    <row x14ac:dyDescent="0.25" r="23" customHeight="1" ht="17.25">
      <c r="A23" s="7">
        <v>45891</v>
      </c>
      <c r="B23" s="9" t="s">
        <v>26</v>
      </c>
      <c r="C23" s="3"/>
      <c r="D23" s="6">
        <v>16</v>
      </c>
      <c r="E23" s="4"/>
    </row>
    <row x14ac:dyDescent="0.25" r="24" customHeight="1" ht="17.25">
      <c r="A24" s="7">
        <v>45898</v>
      </c>
      <c r="B24" s="9" t="s">
        <v>26</v>
      </c>
      <c r="C24" s="3"/>
      <c r="D24" s="6">
        <v>32</v>
      </c>
      <c r="E24" s="4"/>
    </row>
    <row x14ac:dyDescent="0.25" r="25" customHeight="1" ht="17.25">
      <c r="A25" s="8">
        <v>45913</v>
      </c>
      <c r="B25" s="9" t="s">
        <v>26</v>
      </c>
      <c r="C25" s="6">
        <v>19</v>
      </c>
      <c r="D25" s="4"/>
      <c r="E25" s="6">
        <v>19</v>
      </c>
    </row>
    <row x14ac:dyDescent="0.25" r="26" customHeight="1" ht="17.25">
      <c r="A26" s="7">
        <v>45937</v>
      </c>
      <c r="B26" s="9" t="s">
        <v>26</v>
      </c>
      <c r="C26" s="6">
        <v>7</v>
      </c>
      <c r="D26" s="4"/>
      <c r="E26" s="6">
        <f>E25+C26-D26</f>
      </c>
    </row>
    <row x14ac:dyDescent="0.25" r="27" customHeight="1" ht="17.25">
      <c r="A27" s="8">
        <v>45945</v>
      </c>
      <c r="B27" s="9" t="s">
        <v>26</v>
      </c>
      <c r="C27" s="6">
        <v>59</v>
      </c>
      <c r="D27" s="4"/>
      <c r="E27" s="6">
        <f>E26+C27-D27</f>
      </c>
    </row>
    <row x14ac:dyDescent="0.25" r="28" customHeight="1" ht="17.25">
      <c r="A28" s="8">
        <v>45947</v>
      </c>
      <c r="B28" s="9" t="s">
        <v>3</v>
      </c>
      <c r="C28" s="6">
        <v>2</v>
      </c>
      <c r="D28" s="4"/>
      <c r="E28" s="6">
        <f>E27+C28-D28</f>
      </c>
    </row>
    <row x14ac:dyDescent="0.25" r="29" customHeight="1" ht="17.25">
      <c r="A29" s="7">
        <v>45948</v>
      </c>
      <c r="B29" s="9" t="s">
        <v>26</v>
      </c>
      <c r="C29" s="6">
        <v>17</v>
      </c>
      <c r="D29" s="4"/>
      <c r="E29" s="6">
        <f>E28+C29-D29</f>
      </c>
    </row>
    <row x14ac:dyDescent="0.25" r="30" customHeight="1" ht="17.25">
      <c r="A30" s="7">
        <v>45951</v>
      </c>
      <c r="B30" s="9" t="s">
        <v>26</v>
      </c>
      <c r="C30" s="6">
        <v>40</v>
      </c>
      <c r="D30" s="4"/>
      <c r="E30" s="6">
        <f>E29+C30-D30</f>
      </c>
    </row>
    <row x14ac:dyDescent="0.25" r="31" customHeight="1" ht="17.25">
      <c r="A31" s="7">
        <v>45953</v>
      </c>
      <c r="B31" s="9" t="s">
        <v>26</v>
      </c>
      <c r="C31" s="6">
        <v>20</v>
      </c>
      <c r="D31" s="4"/>
      <c r="E31" s="6">
        <f>E30+C31-D31</f>
      </c>
    </row>
    <row x14ac:dyDescent="0.25" r="32" customHeight="1" ht="17.25">
      <c r="A32" s="8">
        <v>45955</v>
      </c>
      <c r="B32" s="9" t="s">
        <v>26</v>
      </c>
      <c r="C32" s="6">
        <v>18</v>
      </c>
      <c r="D32" s="4"/>
      <c r="E32" s="6">
        <f>E31+C32-D32</f>
      </c>
    </row>
    <row x14ac:dyDescent="0.25" r="33" customHeight="1" ht="17.25">
      <c r="A33" s="7">
        <v>45958</v>
      </c>
      <c r="B33" s="9" t="s">
        <v>26</v>
      </c>
      <c r="C33" s="6">
        <v>35</v>
      </c>
      <c r="D33" s="4"/>
      <c r="E33" s="6">
        <f>E32+C33-D33</f>
      </c>
    </row>
    <row x14ac:dyDescent="0.25" r="34" customHeight="1" ht="17.25">
      <c r="A34" s="8">
        <v>45962</v>
      </c>
      <c r="B34" s="9" t="s">
        <v>26</v>
      </c>
      <c r="C34" s="6">
        <v>10</v>
      </c>
      <c r="D34" s="4"/>
      <c r="E34" s="6">
        <f>E33+C34-D34</f>
      </c>
    </row>
    <row x14ac:dyDescent="0.25" r="35" customHeight="1" ht="17.25">
      <c r="A35" s="8">
        <v>45980</v>
      </c>
      <c r="B35" s="9" t="s">
        <v>26</v>
      </c>
      <c r="C35" s="6">
        <v>82</v>
      </c>
      <c r="D35" s="4"/>
      <c r="E35" s="6">
        <f>E34+C35-D35</f>
      </c>
    </row>
    <row x14ac:dyDescent="0.25" r="36" customHeight="1" ht="17.25">
      <c r="A36" s="8">
        <v>45985</v>
      </c>
      <c r="B36" s="9" t="s">
        <v>26</v>
      </c>
      <c r="C36" s="6">
        <v>19</v>
      </c>
      <c r="D36" s="4"/>
      <c r="E36" s="6">
        <f>E35+C36-D36</f>
      </c>
    </row>
    <row x14ac:dyDescent="0.25" r="37" customHeight="1" ht="17.25">
      <c r="A37" s="7">
        <v>45993</v>
      </c>
      <c r="B37" s="9" t="s">
        <v>26</v>
      </c>
      <c r="C37" s="6">
        <v>14</v>
      </c>
      <c r="D37" s="4"/>
      <c r="E37" s="4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3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9.71928571428571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138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14">
        <v>1280</v>
      </c>
    </row>
    <row x14ac:dyDescent="0.25" r="4" customHeight="1" ht="17.25">
      <c r="A4" s="7">
        <v>45660</v>
      </c>
      <c r="B4" s="2" t="s">
        <v>127</v>
      </c>
      <c r="C4" s="6">
        <v>153</v>
      </c>
      <c r="D4" s="4"/>
      <c r="E4" s="6">
        <f>E3+C4-D4</f>
      </c>
    </row>
    <row x14ac:dyDescent="0.25" r="5" customHeight="1" ht="17.25">
      <c r="A5" s="8">
        <v>45660</v>
      </c>
      <c r="B5" s="9" t="s">
        <v>11</v>
      </c>
      <c r="C5" s="6">
        <v>7</v>
      </c>
      <c r="D5" s="4"/>
      <c r="E5" s="6">
        <f>E4+C5-D5</f>
      </c>
    </row>
    <row x14ac:dyDescent="0.25" r="6" customHeight="1" ht="17.25">
      <c r="A6" s="7">
        <v>45664</v>
      </c>
      <c r="B6" s="2" t="s">
        <v>127</v>
      </c>
      <c r="C6" s="6">
        <v>240</v>
      </c>
      <c r="D6" s="4"/>
      <c r="E6" s="6">
        <f>E5+C6-D6</f>
      </c>
    </row>
    <row x14ac:dyDescent="0.25" r="7" customHeight="1" ht="17.25">
      <c r="A7" s="7">
        <v>45671</v>
      </c>
      <c r="B7" s="2" t="s">
        <v>127</v>
      </c>
      <c r="C7" s="6">
        <v>69</v>
      </c>
      <c r="D7" s="4"/>
      <c r="E7" s="6">
        <f>E6+C7-D7</f>
      </c>
    </row>
    <row x14ac:dyDescent="0.25" r="8" customHeight="1" ht="17.25">
      <c r="A8" s="8">
        <v>45674</v>
      </c>
      <c r="B8" s="9" t="s">
        <v>139</v>
      </c>
      <c r="C8" s="6">
        <v>9</v>
      </c>
      <c r="D8" s="4"/>
      <c r="E8" s="6">
        <f>E7+C8-D8</f>
      </c>
    </row>
    <row x14ac:dyDescent="0.25" r="9" customHeight="1" ht="17.25">
      <c r="A9" s="7">
        <v>45675</v>
      </c>
      <c r="B9" s="2" t="s">
        <v>127</v>
      </c>
      <c r="C9" s="6">
        <v>22</v>
      </c>
      <c r="D9" s="4"/>
      <c r="E9" s="6">
        <f>E8+C9-D9</f>
      </c>
    </row>
    <row x14ac:dyDescent="0.25" r="10" customHeight="1" ht="17.25">
      <c r="A10" s="8">
        <v>45677</v>
      </c>
      <c r="B10" s="9" t="s">
        <v>35</v>
      </c>
      <c r="C10" s="6">
        <v>55</v>
      </c>
      <c r="D10" s="4"/>
      <c r="E10" s="6">
        <f>E9+C10-D10</f>
      </c>
    </row>
    <row x14ac:dyDescent="0.25" r="11" customHeight="1" ht="17.25">
      <c r="A11" s="7">
        <v>45677</v>
      </c>
      <c r="B11" s="2" t="s">
        <v>127</v>
      </c>
      <c r="C11" s="6">
        <v>69</v>
      </c>
      <c r="D11" s="4"/>
      <c r="E11" s="6">
        <f>E10+C11-D11</f>
      </c>
    </row>
    <row x14ac:dyDescent="0.25" r="12" customHeight="1" ht="17.25">
      <c r="A12" s="7">
        <v>45678</v>
      </c>
      <c r="B12" s="9" t="s">
        <v>11</v>
      </c>
      <c r="C12" s="6">
        <v>109</v>
      </c>
      <c r="D12" s="4"/>
      <c r="E12" s="6">
        <f>E11+C12-D12</f>
      </c>
    </row>
    <row x14ac:dyDescent="0.25" r="13" customHeight="1" ht="17.25">
      <c r="A13" s="8">
        <v>45685</v>
      </c>
      <c r="B13" s="9" t="s">
        <v>127</v>
      </c>
      <c r="C13" s="6">
        <v>28</v>
      </c>
      <c r="D13" s="4"/>
      <c r="E13" s="6">
        <f>E12+C13-D13</f>
      </c>
    </row>
    <row x14ac:dyDescent="0.25" r="14" customHeight="1" ht="17.25">
      <c r="A14" s="8">
        <v>45687</v>
      </c>
      <c r="B14" s="9" t="s">
        <v>11</v>
      </c>
      <c r="C14" s="6">
        <v>24</v>
      </c>
      <c r="D14" s="4"/>
      <c r="E14" s="6">
        <f>E13+C14-D14</f>
      </c>
    </row>
    <row x14ac:dyDescent="0.25" r="15" customHeight="1" ht="17.25">
      <c r="A15" s="8">
        <v>45688</v>
      </c>
      <c r="B15" s="9" t="s">
        <v>127</v>
      </c>
      <c r="C15" s="6">
        <v>86</v>
      </c>
      <c r="D15" s="4"/>
      <c r="E15" s="6">
        <f>E14+C15-D15</f>
      </c>
    </row>
    <row x14ac:dyDescent="0.25" r="16" customHeight="1" ht="17.25">
      <c r="A16" s="8">
        <v>45689</v>
      </c>
      <c r="B16" s="9" t="s">
        <v>35</v>
      </c>
      <c r="C16" s="6">
        <v>23</v>
      </c>
      <c r="D16" s="4"/>
      <c r="E16" s="6">
        <f>E15+C16-D16</f>
      </c>
    </row>
    <row x14ac:dyDescent="0.25" r="17" customHeight="1" ht="17.25">
      <c r="A17" s="7">
        <v>45693</v>
      </c>
      <c r="B17" s="9" t="s">
        <v>35</v>
      </c>
      <c r="C17" s="6">
        <v>67</v>
      </c>
      <c r="D17" s="4"/>
      <c r="E17" s="6">
        <f>E16+C17-D17</f>
      </c>
    </row>
    <row x14ac:dyDescent="0.25" r="18" customHeight="1" ht="17.25">
      <c r="A18" s="8">
        <v>45694</v>
      </c>
      <c r="B18" s="9" t="s">
        <v>127</v>
      </c>
      <c r="C18" s="6">
        <v>59</v>
      </c>
      <c r="D18" s="4"/>
      <c r="E18" s="6">
        <f>E17+C18-D18</f>
      </c>
    </row>
    <row x14ac:dyDescent="0.25" r="19" customHeight="1" ht="17.25">
      <c r="A19" s="8">
        <v>45696</v>
      </c>
      <c r="B19" s="9" t="s">
        <v>35</v>
      </c>
      <c r="C19" s="6">
        <v>30</v>
      </c>
      <c r="D19" s="4"/>
      <c r="E19" s="6">
        <f>E18+C19-D19</f>
      </c>
    </row>
    <row x14ac:dyDescent="0.25" r="20" customHeight="1" ht="17.25">
      <c r="A20" s="8">
        <v>45698</v>
      </c>
      <c r="B20" s="9" t="s">
        <v>123</v>
      </c>
      <c r="C20" s="6">
        <v>15</v>
      </c>
      <c r="D20" s="4"/>
      <c r="E20" s="6">
        <f>E19+C20-D20</f>
      </c>
    </row>
    <row x14ac:dyDescent="0.25" r="21" customHeight="1" ht="17.25">
      <c r="A21" s="7">
        <v>45701</v>
      </c>
      <c r="B21" s="9" t="s">
        <v>3</v>
      </c>
      <c r="C21" s="4"/>
      <c r="D21" s="6">
        <v>150</v>
      </c>
      <c r="E21" s="6">
        <f>E20+C21-D21</f>
      </c>
    </row>
    <row x14ac:dyDescent="0.25" r="22" customHeight="1" ht="17.25">
      <c r="A22" s="7">
        <v>45702</v>
      </c>
      <c r="B22" s="9" t="s">
        <v>3</v>
      </c>
      <c r="C22" s="4"/>
      <c r="D22" s="6">
        <v>150</v>
      </c>
      <c r="E22" s="6">
        <f>E21+C22-D22</f>
      </c>
    </row>
    <row x14ac:dyDescent="0.25" r="23" customHeight="1" ht="17.25">
      <c r="A23" s="7">
        <v>45702</v>
      </c>
      <c r="B23" s="9" t="s">
        <v>3</v>
      </c>
      <c r="C23" s="4"/>
      <c r="D23" s="6">
        <v>50</v>
      </c>
      <c r="E23" s="6">
        <f>E22+C23-D23</f>
      </c>
    </row>
    <row x14ac:dyDescent="0.25" r="24" customHeight="1" ht="17.25">
      <c r="A24" s="7">
        <v>45702</v>
      </c>
      <c r="B24" s="9" t="s">
        <v>140</v>
      </c>
      <c r="C24" s="6">
        <v>150</v>
      </c>
      <c r="D24" s="4"/>
      <c r="E24" s="6">
        <f>E23+C24-D24</f>
      </c>
    </row>
    <row x14ac:dyDescent="0.25" r="25" customHeight="1" ht="17.25">
      <c r="A25" s="7">
        <v>45702</v>
      </c>
      <c r="B25" s="9" t="s">
        <v>11</v>
      </c>
      <c r="C25" s="6">
        <v>63</v>
      </c>
      <c r="D25" s="4"/>
      <c r="E25" s="6">
        <f>E24+C25-D25</f>
      </c>
    </row>
    <row x14ac:dyDescent="0.25" r="26" customHeight="1" ht="17.25">
      <c r="A26" s="8">
        <v>45705</v>
      </c>
      <c r="B26" s="9" t="s">
        <v>3</v>
      </c>
      <c r="C26" s="4"/>
      <c r="D26" s="6">
        <v>150</v>
      </c>
      <c r="E26" s="6">
        <f>E25+C26-D26</f>
      </c>
    </row>
    <row x14ac:dyDescent="0.25" r="27" customHeight="1" ht="17.25">
      <c r="A27" s="7">
        <v>45709</v>
      </c>
      <c r="B27" s="9" t="s">
        <v>3</v>
      </c>
      <c r="C27" s="4"/>
      <c r="D27" s="6">
        <v>300</v>
      </c>
      <c r="E27" s="6">
        <f>E26+C27-D27</f>
      </c>
    </row>
    <row x14ac:dyDescent="0.25" r="28" customHeight="1" ht="17.25">
      <c r="A28" s="7">
        <v>45709</v>
      </c>
      <c r="B28" s="9" t="s">
        <v>35</v>
      </c>
      <c r="C28" s="6">
        <v>41</v>
      </c>
      <c r="D28" s="4"/>
      <c r="E28" s="6">
        <f>E27+C28-D28</f>
      </c>
    </row>
    <row x14ac:dyDescent="0.25" r="29" customHeight="1" ht="17.25">
      <c r="A29" s="7">
        <v>45710</v>
      </c>
      <c r="B29" s="9" t="s">
        <v>3</v>
      </c>
      <c r="C29" s="4"/>
      <c r="D29" s="6">
        <v>341</v>
      </c>
      <c r="E29" s="6">
        <f>E28+C29-D29</f>
      </c>
    </row>
    <row x14ac:dyDescent="0.25" r="30" customHeight="1" ht="17.25">
      <c r="A30" s="7">
        <v>45710</v>
      </c>
      <c r="B30" s="9" t="s">
        <v>11</v>
      </c>
      <c r="C30" s="6">
        <v>18</v>
      </c>
      <c r="D30" s="4"/>
      <c r="E30" s="6">
        <f>E29+C30-D30</f>
      </c>
    </row>
    <row x14ac:dyDescent="0.25" r="31" customHeight="1" ht="17.25">
      <c r="A31" s="7">
        <v>45712</v>
      </c>
      <c r="B31" s="9" t="s">
        <v>35</v>
      </c>
      <c r="C31" s="6">
        <v>12</v>
      </c>
      <c r="D31" s="4"/>
      <c r="E31" s="6">
        <f>E30+C31-D31</f>
      </c>
    </row>
    <row x14ac:dyDescent="0.25" r="32" customHeight="1" ht="17.25">
      <c r="A32" s="8">
        <v>45713</v>
      </c>
      <c r="B32" s="9" t="s">
        <v>131</v>
      </c>
      <c r="C32" s="6">
        <v>13</v>
      </c>
      <c r="D32" s="4"/>
      <c r="E32" s="6">
        <f>E31+C32-D32</f>
      </c>
    </row>
    <row x14ac:dyDescent="0.25" r="33" customHeight="1" ht="17.25">
      <c r="A33" s="7">
        <v>45716</v>
      </c>
      <c r="B33" s="9" t="s">
        <v>140</v>
      </c>
      <c r="C33" s="6">
        <v>141</v>
      </c>
      <c r="D33" s="4"/>
      <c r="E33" s="6">
        <f>E32+C33-D33</f>
      </c>
    </row>
    <row x14ac:dyDescent="0.25" r="34" customHeight="1" ht="17.25">
      <c r="A34" s="8">
        <v>45722</v>
      </c>
      <c r="B34" s="9" t="s">
        <v>35</v>
      </c>
      <c r="C34" s="6">
        <v>7</v>
      </c>
      <c r="D34" s="4"/>
      <c r="E34" s="6">
        <f>E33+C34-D34</f>
      </c>
    </row>
    <row x14ac:dyDescent="0.25" r="35" customHeight="1" ht="17.25">
      <c r="A35" s="7">
        <v>45723</v>
      </c>
      <c r="B35" s="9" t="s">
        <v>141</v>
      </c>
      <c r="C35" s="4"/>
      <c r="D35" s="6">
        <v>250</v>
      </c>
      <c r="E35" s="6">
        <f>E34+C35-D35</f>
      </c>
    </row>
    <row x14ac:dyDescent="0.25" r="36" customHeight="1" ht="17.25">
      <c r="A36" s="7">
        <v>45727</v>
      </c>
      <c r="B36" s="9" t="s">
        <v>35</v>
      </c>
      <c r="C36" s="6">
        <v>2</v>
      </c>
      <c r="D36" s="4"/>
      <c r="E36" s="6">
        <f>E35+C36-D36</f>
      </c>
    </row>
    <row x14ac:dyDescent="0.25" r="37" customHeight="1" ht="17.25">
      <c r="A37" s="8">
        <v>45728</v>
      </c>
      <c r="B37" s="9" t="s">
        <v>35</v>
      </c>
      <c r="C37" s="6">
        <v>1</v>
      </c>
      <c r="D37" s="4"/>
      <c r="E37" s="6">
        <f>E36+C37-D37</f>
      </c>
    </row>
    <row x14ac:dyDescent="0.25" r="38" customHeight="1" ht="17.25">
      <c r="A38" s="8">
        <v>45729</v>
      </c>
      <c r="B38" s="9" t="s">
        <v>141</v>
      </c>
      <c r="C38" s="4"/>
      <c r="D38" s="6">
        <v>250</v>
      </c>
      <c r="E38" s="6">
        <f>E37+C38-D38</f>
      </c>
    </row>
    <row x14ac:dyDescent="0.25" r="39" customHeight="1" ht="17.25">
      <c r="A39" s="8">
        <v>45730</v>
      </c>
      <c r="B39" s="9" t="s">
        <v>35</v>
      </c>
      <c r="C39" s="6">
        <v>5</v>
      </c>
      <c r="D39" s="4"/>
      <c r="E39" s="6">
        <f>E38+C39-D39</f>
      </c>
    </row>
    <row x14ac:dyDescent="0.25" r="40" customHeight="1" ht="17.25">
      <c r="A40" s="7">
        <v>45733</v>
      </c>
      <c r="B40" s="9" t="s">
        <v>139</v>
      </c>
      <c r="C40" s="6">
        <v>40</v>
      </c>
      <c r="D40" s="4"/>
      <c r="E40" s="6">
        <f>E39+C40-D40</f>
      </c>
    </row>
    <row x14ac:dyDescent="0.25" r="41" customHeight="1" ht="17.25">
      <c r="A41" s="8">
        <v>45733</v>
      </c>
      <c r="B41" s="9" t="s">
        <v>11</v>
      </c>
      <c r="C41" s="6">
        <v>59</v>
      </c>
      <c r="D41" s="4"/>
      <c r="E41" s="6">
        <f>E40+C41-D41</f>
      </c>
    </row>
    <row x14ac:dyDescent="0.25" r="42" customHeight="1" ht="17.25">
      <c r="A42" s="8">
        <v>45733</v>
      </c>
      <c r="B42" s="9" t="s">
        <v>11</v>
      </c>
      <c r="C42" s="6">
        <v>86</v>
      </c>
      <c r="D42" s="4"/>
      <c r="E42" s="6">
        <f>E41+C42-D42</f>
      </c>
    </row>
    <row x14ac:dyDescent="0.25" r="43" customHeight="1" ht="17.25">
      <c r="A43" s="8">
        <v>45734</v>
      </c>
      <c r="B43" s="9" t="s">
        <v>141</v>
      </c>
      <c r="C43" s="4"/>
      <c r="D43" s="6">
        <v>50</v>
      </c>
      <c r="E43" s="6">
        <f>E42+C43-D43</f>
      </c>
    </row>
    <row x14ac:dyDescent="0.25" r="44" customHeight="1" ht="17.25">
      <c r="A44" s="8">
        <v>45734</v>
      </c>
      <c r="B44" s="9" t="s">
        <v>141</v>
      </c>
      <c r="C44" s="4"/>
      <c r="D44" s="6">
        <v>200</v>
      </c>
      <c r="E44" s="6">
        <f>E43+C44-D44</f>
      </c>
    </row>
    <row x14ac:dyDescent="0.25" r="45" customHeight="1" ht="17.25">
      <c r="A45" s="7">
        <v>45734</v>
      </c>
      <c r="B45" s="9" t="s">
        <v>139</v>
      </c>
      <c r="C45" s="6">
        <v>5</v>
      </c>
      <c r="D45" s="4"/>
      <c r="E45" s="6">
        <f>E44+C45-D45</f>
      </c>
    </row>
    <row x14ac:dyDescent="0.25" r="46" customHeight="1" ht="17.25">
      <c r="A46" s="7">
        <v>45736</v>
      </c>
      <c r="B46" s="9" t="s">
        <v>139</v>
      </c>
      <c r="C46" s="6">
        <v>26</v>
      </c>
      <c r="D46" s="4"/>
      <c r="E46" s="6">
        <f>E45+C46-D46</f>
      </c>
    </row>
    <row x14ac:dyDescent="0.25" r="47" customHeight="1" ht="17.25">
      <c r="A47" s="8">
        <v>45736</v>
      </c>
      <c r="B47" s="9" t="s">
        <v>11</v>
      </c>
      <c r="C47" s="6">
        <v>31</v>
      </c>
      <c r="D47" s="4"/>
      <c r="E47" s="6">
        <f>E46+C47-D47</f>
      </c>
    </row>
    <row x14ac:dyDescent="0.25" r="48" customHeight="1" ht="17.25">
      <c r="A48" s="8">
        <v>45764</v>
      </c>
      <c r="B48" s="9" t="s">
        <v>35</v>
      </c>
      <c r="C48" s="6">
        <v>37</v>
      </c>
      <c r="D48" s="4"/>
      <c r="E48" s="6">
        <f>E47+C48-D48</f>
      </c>
    </row>
    <row x14ac:dyDescent="0.25" r="49" customHeight="1" ht="17.25">
      <c r="A49" s="7">
        <v>45797</v>
      </c>
      <c r="B49" s="9" t="s">
        <v>28</v>
      </c>
      <c r="C49" s="4"/>
      <c r="D49" s="6">
        <v>150</v>
      </c>
      <c r="E49" s="6">
        <f>E48+C49-D49</f>
      </c>
    </row>
    <row x14ac:dyDescent="0.25" r="50" customHeight="1" ht="17.25">
      <c r="A50" s="7">
        <v>45805</v>
      </c>
      <c r="B50" s="9" t="s">
        <v>141</v>
      </c>
      <c r="C50" s="4"/>
      <c r="D50" s="6">
        <v>40</v>
      </c>
      <c r="E50" s="6">
        <f>E49+C50-D50</f>
      </c>
    </row>
    <row x14ac:dyDescent="0.25" r="51" customHeight="1" ht="17.25">
      <c r="A51" s="7">
        <v>45810</v>
      </c>
      <c r="B51" s="9" t="s">
        <v>11</v>
      </c>
      <c r="C51" s="6">
        <v>159</v>
      </c>
      <c r="D51" s="4"/>
      <c r="E51" s="6">
        <f>E50+C51-D51</f>
      </c>
    </row>
    <row x14ac:dyDescent="0.25" r="52" customHeight="1" ht="17.25">
      <c r="A52" s="7">
        <v>45811</v>
      </c>
      <c r="B52" s="9" t="s">
        <v>11</v>
      </c>
      <c r="C52" s="6">
        <v>232</v>
      </c>
      <c r="D52" s="4"/>
      <c r="E52" s="6">
        <f>E51+C52-D52</f>
      </c>
    </row>
    <row x14ac:dyDescent="0.25" r="53" customHeight="1" ht="17.25">
      <c r="A53" s="7">
        <v>45821</v>
      </c>
      <c r="B53" s="9" t="s">
        <v>3</v>
      </c>
      <c r="C53" s="6">
        <v>299</v>
      </c>
      <c r="D53" s="4"/>
      <c r="E53" s="6">
        <f>E52+C53-D53</f>
      </c>
    </row>
    <row x14ac:dyDescent="0.25" r="54" customHeight="1" ht="17.25">
      <c r="A54" s="7">
        <v>45825</v>
      </c>
      <c r="B54" s="9" t="s">
        <v>3</v>
      </c>
      <c r="C54" s="6">
        <v>200</v>
      </c>
      <c r="D54" s="4"/>
      <c r="E54" s="6">
        <f>E53+C54-D54</f>
      </c>
    </row>
    <row x14ac:dyDescent="0.25" r="55" customHeight="1" ht="17.25">
      <c r="A55" s="7">
        <v>45827</v>
      </c>
      <c r="B55" s="9" t="s">
        <v>3</v>
      </c>
      <c r="C55" s="6">
        <v>299</v>
      </c>
      <c r="D55" s="4"/>
      <c r="E55" s="6">
        <f>E54+C55-D55</f>
      </c>
    </row>
    <row x14ac:dyDescent="0.25" r="56" customHeight="1" ht="17.25">
      <c r="A56" s="7">
        <v>45838</v>
      </c>
      <c r="B56" s="9" t="s">
        <v>3</v>
      </c>
      <c r="C56" s="6">
        <v>167</v>
      </c>
      <c r="D56" s="4"/>
      <c r="E56" s="6">
        <f>E55+C56-D56</f>
      </c>
    </row>
    <row x14ac:dyDescent="0.25" r="57" customHeight="1" ht="17.25">
      <c r="A57" s="7">
        <v>45839</v>
      </c>
      <c r="B57" s="9" t="s">
        <v>3</v>
      </c>
      <c r="C57" s="6">
        <v>80</v>
      </c>
      <c r="D57" s="4"/>
      <c r="E57" s="6">
        <f>E56+C57-D57</f>
      </c>
    </row>
    <row x14ac:dyDescent="0.25" r="58" customHeight="1" ht="17.25">
      <c r="A58" s="7">
        <v>45848</v>
      </c>
      <c r="B58" s="9" t="s">
        <v>46</v>
      </c>
      <c r="C58" s="4"/>
      <c r="D58" s="6">
        <v>200</v>
      </c>
      <c r="E58" s="6">
        <f>E57+C58-D58</f>
      </c>
    </row>
    <row x14ac:dyDescent="0.25" r="59" customHeight="1" ht="17.25">
      <c r="A59" s="7">
        <v>45849</v>
      </c>
      <c r="B59" s="9" t="s">
        <v>28</v>
      </c>
      <c r="C59" s="4"/>
      <c r="D59" s="6">
        <v>250</v>
      </c>
      <c r="E59" s="6">
        <f>E58+C59-D59</f>
      </c>
    </row>
    <row x14ac:dyDescent="0.25" r="60" customHeight="1" ht="17.25">
      <c r="A60" s="7">
        <v>45852</v>
      </c>
      <c r="B60" s="9" t="s">
        <v>28</v>
      </c>
      <c r="C60" s="4"/>
      <c r="D60" s="6">
        <v>200</v>
      </c>
      <c r="E60" s="6">
        <f>E59+C60-D60</f>
      </c>
    </row>
    <row x14ac:dyDescent="0.25" r="61" customHeight="1" ht="17.25">
      <c r="A61" s="7">
        <v>45853</v>
      </c>
      <c r="B61" s="9" t="s">
        <v>46</v>
      </c>
      <c r="C61" s="4"/>
      <c r="D61" s="6">
        <v>250</v>
      </c>
      <c r="E61" s="6">
        <f>E60+C61-D61</f>
      </c>
    </row>
    <row x14ac:dyDescent="0.25" r="62" customHeight="1" ht="17.25">
      <c r="A62" s="7">
        <v>45855</v>
      </c>
      <c r="B62" s="9" t="s">
        <v>46</v>
      </c>
      <c r="C62" s="4"/>
      <c r="D62" s="6">
        <v>100</v>
      </c>
      <c r="E62" s="6">
        <f>E61+C62-D62</f>
      </c>
    </row>
    <row x14ac:dyDescent="0.25" r="63" customHeight="1" ht="17.25">
      <c r="A63" s="7">
        <v>45860</v>
      </c>
      <c r="B63" s="9" t="s">
        <v>141</v>
      </c>
      <c r="C63" s="6">
        <v>49</v>
      </c>
      <c r="D63" s="4"/>
      <c r="E63" s="6">
        <f>E62+C63-D63</f>
      </c>
    </row>
    <row x14ac:dyDescent="0.25" r="64" customHeight="1" ht="17.25">
      <c r="A64" s="7">
        <v>45864</v>
      </c>
      <c r="B64" s="9" t="s">
        <v>141</v>
      </c>
      <c r="C64" s="6">
        <v>91</v>
      </c>
      <c r="D64" s="4"/>
      <c r="E64" s="6">
        <f>E63+C64-D64</f>
      </c>
    </row>
    <row x14ac:dyDescent="0.25" r="65" customHeight="1" ht="17.25">
      <c r="A65" s="7">
        <v>45868</v>
      </c>
      <c r="B65" s="9" t="s">
        <v>46</v>
      </c>
      <c r="C65" s="4"/>
      <c r="D65" s="6">
        <v>200</v>
      </c>
      <c r="E65" s="6">
        <f>E64+C65-D65</f>
      </c>
    </row>
    <row x14ac:dyDescent="0.25" r="66" customHeight="1" ht="17.25">
      <c r="A66" s="7">
        <v>45868</v>
      </c>
      <c r="B66" s="9" t="s">
        <v>141</v>
      </c>
      <c r="C66" s="6">
        <v>87</v>
      </c>
      <c r="D66" s="4"/>
      <c r="E66" s="6">
        <f>E65+C66-D66</f>
      </c>
    </row>
    <row x14ac:dyDescent="0.25" r="67" customHeight="1" ht="17.25">
      <c r="A67" s="7">
        <v>45876</v>
      </c>
      <c r="B67" s="9" t="s">
        <v>46</v>
      </c>
      <c r="C67" s="4"/>
      <c r="D67" s="6">
        <v>250</v>
      </c>
      <c r="E67" s="6">
        <f>E66+C67-D67</f>
      </c>
    </row>
    <row x14ac:dyDescent="0.25" r="68" customHeight="1" ht="17.25">
      <c r="A68" s="7">
        <v>45877</v>
      </c>
      <c r="B68" s="9" t="s">
        <v>26</v>
      </c>
      <c r="C68" s="4"/>
      <c r="D68" s="6">
        <v>50</v>
      </c>
      <c r="E68" s="6">
        <f>E67+C68-D68</f>
      </c>
    </row>
    <row x14ac:dyDescent="0.25" r="69" customHeight="1" ht="17.25">
      <c r="A69" s="7">
        <v>45879</v>
      </c>
      <c r="B69" s="9" t="s">
        <v>26</v>
      </c>
      <c r="C69" s="4"/>
      <c r="D69" s="6">
        <v>500</v>
      </c>
      <c r="E69" s="6">
        <f>E68+C69-D69</f>
      </c>
    </row>
    <row x14ac:dyDescent="0.25" r="70" customHeight="1" ht="17.25">
      <c r="A70" s="8">
        <v>45881</v>
      </c>
      <c r="B70" s="9" t="s">
        <v>28</v>
      </c>
      <c r="C70" s="6">
        <v>105</v>
      </c>
      <c r="D70" s="4"/>
      <c r="E70" s="6">
        <f>E69+C70-D70</f>
      </c>
    </row>
    <row x14ac:dyDescent="0.25" r="71" customHeight="1" ht="17.25">
      <c r="A71" s="7">
        <v>45883</v>
      </c>
      <c r="B71" s="9" t="s">
        <v>26</v>
      </c>
      <c r="C71" s="4"/>
      <c r="D71" s="6">
        <v>300</v>
      </c>
      <c r="E71" s="6">
        <f>E70+C71-D71</f>
      </c>
    </row>
    <row x14ac:dyDescent="0.25" r="72" customHeight="1" ht="17.25">
      <c r="A72" s="7">
        <v>45885</v>
      </c>
      <c r="B72" s="9" t="s">
        <v>28</v>
      </c>
      <c r="C72" s="6">
        <v>75</v>
      </c>
      <c r="D72" s="4"/>
      <c r="E72" s="6">
        <f>E71+C72-D72</f>
      </c>
    </row>
    <row x14ac:dyDescent="0.25" r="73" customHeight="1" ht="17.25">
      <c r="A73" s="7">
        <v>45889</v>
      </c>
      <c r="B73" s="9" t="s">
        <v>26</v>
      </c>
      <c r="C73" s="4"/>
      <c r="D73" s="6">
        <v>100</v>
      </c>
      <c r="E73" s="6">
        <f>E72+C73-D73</f>
      </c>
    </row>
    <row x14ac:dyDescent="0.25" r="74" customHeight="1" ht="17.25">
      <c r="A74" s="7">
        <v>45891</v>
      </c>
      <c r="B74" s="9" t="s">
        <v>26</v>
      </c>
      <c r="C74" s="4"/>
      <c r="D74" s="6">
        <v>196</v>
      </c>
      <c r="E74" s="6">
        <f>E73+C74-D74</f>
      </c>
    </row>
    <row x14ac:dyDescent="0.25" r="75" customHeight="1" ht="17.25">
      <c r="A75" s="8">
        <v>45891</v>
      </c>
      <c r="B75" s="9" t="s">
        <v>28</v>
      </c>
      <c r="C75" s="6">
        <v>62</v>
      </c>
      <c r="D75" s="4"/>
      <c r="E75" s="6">
        <f>E74+C75-D75</f>
      </c>
    </row>
    <row x14ac:dyDescent="0.25" r="76" customHeight="1" ht="17.25">
      <c r="A76" s="8">
        <v>45891</v>
      </c>
      <c r="B76" s="9" t="s">
        <v>35</v>
      </c>
      <c r="C76" s="6">
        <v>11</v>
      </c>
      <c r="D76" s="4"/>
      <c r="E76" s="6">
        <f>E75+C76-D76</f>
      </c>
    </row>
    <row x14ac:dyDescent="0.25" r="77" customHeight="1" ht="17.25">
      <c r="A77" s="7">
        <v>45895</v>
      </c>
      <c r="B77" s="9" t="s">
        <v>46</v>
      </c>
      <c r="C77" s="6">
        <v>50</v>
      </c>
      <c r="D77" s="4"/>
      <c r="E77" s="6">
        <f>E76+C77-D77</f>
      </c>
    </row>
    <row x14ac:dyDescent="0.25" r="78" customHeight="1" ht="17.25">
      <c r="A78" s="8">
        <v>45897</v>
      </c>
      <c r="B78" s="9" t="s">
        <v>28</v>
      </c>
      <c r="C78" s="6">
        <v>95</v>
      </c>
      <c r="D78" s="4"/>
      <c r="E78" s="6">
        <f>E77+C78-D78</f>
      </c>
    </row>
    <row x14ac:dyDescent="0.25" r="79" customHeight="1" ht="17.25">
      <c r="A79" s="8">
        <v>45899</v>
      </c>
      <c r="B79" s="9" t="s">
        <v>28</v>
      </c>
      <c r="C79" s="6">
        <v>88</v>
      </c>
      <c r="D79" s="4"/>
      <c r="E79" s="6">
        <f>E78+C79-D79</f>
      </c>
    </row>
    <row x14ac:dyDescent="0.25" r="80" customHeight="1" ht="17.25">
      <c r="A80" s="7">
        <v>45902</v>
      </c>
      <c r="B80" s="9" t="s">
        <v>141</v>
      </c>
      <c r="C80" s="6">
        <v>114</v>
      </c>
      <c r="D80" s="4"/>
      <c r="E80" s="6">
        <f>E79+C80-D80</f>
      </c>
    </row>
    <row x14ac:dyDescent="0.25" r="81" customHeight="1" ht="17.25">
      <c r="A81" s="8">
        <v>45903</v>
      </c>
      <c r="B81" s="9" t="s">
        <v>28</v>
      </c>
      <c r="C81" s="6">
        <v>44</v>
      </c>
      <c r="D81" s="4"/>
      <c r="E81" s="6">
        <f>E80+C81-D81</f>
      </c>
    </row>
    <row x14ac:dyDescent="0.25" r="82" customHeight="1" ht="17.25">
      <c r="A82" s="7">
        <v>45904</v>
      </c>
      <c r="B82" s="9" t="s">
        <v>46</v>
      </c>
      <c r="C82" s="6">
        <v>324</v>
      </c>
      <c r="D82" s="4"/>
      <c r="E82" s="6">
        <f>E81+C82-D82</f>
      </c>
    </row>
    <row x14ac:dyDescent="0.25" r="83" customHeight="1" ht="17.25">
      <c r="A83" s="7">
        <v>45908</v>
      </c>
      <c r="B83" s="9" t="s">
        <v>141</v>
      </c>
      <c r="C83" s="6">
        <v>54</v>
      </c>
      <c r="D83" s="4"/>
      <c r="E83" s="6">
        <f>E82+C83-D83</f>
      </c>
    </row>
    <row x14ac:dyDescent="0.25" r="84" customHeight="1" ht="17.25">
      <c r="A84" s="7">
        <v>45910</v>
      </c>
      <c r="B84" s="9" t="s">
        <v>46</v>
      </c>
      <c r="C84" s="6">
        <v>239</v>
      </c>
      <c r="D84" s="4"/>
      <c r="E84" s="6">
        <f>E83+C84-D84</f>
      </c>
    </row>
    <row x14ac:dyDescent="0.25" r="85" customHeight="1" ht="17.25">
      <c r="A85" s="7">
        <v>45911</v>
      </c>
      <c r="B85" s="9" t="s">
        <v>141</v>
      </c>
      <c r="C85" s="6">
        <v>60</v>
      </c>
      <c r="D85" s="4"/>
      <c r="E85" s="6">
        <f>E84+C85-D85</f>
      </c>
    </row>
    <row x14ac:dyDescent="0.25" r="86" customHeight="1" ht="17.25">
      <c r="A86" s="8">
        <v>45913</v>
      </c>
      <c r="B86" s="9" t="s">
        <v>26</v>
      </c>
      <c r="C86" s="6">
        <v>9</v>
      </c>
      <c r="D86" s="4"/>
      <c r="E86" s="6">
        <f>E85+C86-D86</f>
      </c>
    </row>
    <row x14ac:dyDescent="0.25" r="87" customHeight="1" ht="17.25">
      <c r="A87" s="8">
        <v>45915</v>
      </c>
      <c r="B87" s="9" t="s">
        <v>141</v>
      </c>
      <c r="C87" s="6">
        <v>13</v>
      </c>
      <c r="D87" s="4"/>
      <c r="E87" s="6">
        <f>E86+C87-D87</f>
      </c>
    </row>
    <row x14ac:dyDescent="0.25" r="88" customHeight="1" ht="17.25">
      <c r="A88" s="8">
        <v>45917</v>
      </c>
      <c r="B88" s="9" t="s">
        <v>141</v>
      </c>
      <c r="C88" s="6">
        <v>100</v>
      </c>
      <c r="D88" s="4"/>
      <c r="E88" s="6">
        <f>E87+C88-D88</f>
      </c>
    </row>
    <row x14ac:dyDescent="0.25" r="89" customHeight="1" ht="17.25">
      <c r="A89" s="7">
        <v>45919</v>
      </c>
      <c r="B89" s="9" t="s">
        <v>46</v>
      </c>
      <c r="C89" s="6">
        <v>67</v>
      </c>
      <c r="D89" s="4"/>
      <c r="E89" s="6">
        <f>E88+C89-D89</f>
      </c>
    </row>
    <row x14ac:dyDescent="0.25" r="90" customHeight="1" ht="17.25">
      <c r="A90" s="7">
        <v>45920</v>
      </c>
      <c r="B90" s="9" t="s">
        <v>46</v>
      </c>
      <c r="C90" s="6">
        <v>24</v>
      </c>
      <c r="D90" s="4"/>
      <c r="E90" s="6">
        <f>E89+C90-D90</f>
      </c>
    </row>
    <row x14ac:dyDescent="0.25" r="91" customHeight="1" ht="17.25">
      <c r="A91" s="7">
        <v>45922</v>
      </c>
      <c r="B91" s="9" t="s">
        <v>28</v>
      </c>
      <c r="C91" s="6">
        <v>20</v>
      </c>
      <c r="D91" s="4"/>
      <c r="E91" s="6">
        <f>E90+C91-D91</f>
      </c>
    </row>
    <row x14ac:dyDescent="0.25" r="92" customHeight="1" ht="17.25">
      <c r="A92" s="7">
        <v>45929</v>
      </c>
      <c r="B92" s="9" t="s">
        <v>106</v>
      </c>
      <c r="C92" s="6">
        <v>100</v>
      </c>
      <c r="D92" s="4"/>
      <c r="E92" s="6">
        <f>E91+C92-D92</f>
      </c>
    </row>
    <row x14ac:dyDescent="0.25" r="93" customHeight="1" ht="17.25">
      <c r="A93" s="7">
        <v>45929</v>
      </c>
      <c r="B93" s="9" t="s">
        <v>106</v>
      </c>
      <c r="C93" s="6">
        <v>22</v>
      </c>
      <c r="D93" s="4"/>
      <c r="E93" s="6">
        <f>E92+C93-D93</f>
      </c>
    </row>
    <row x14ac:dyDescent="0.25" r="94" customHeight="1" ht="17.25">
      <c r="A94" s="8">
        <v>45929</v>
      </c>
      <c r="B94" s="9" t="s">
        <v>141</v>
      </c>
      <c r="C94" s="6">
        <v>21</v>
      </c>
      <c r="D94" s="4"/>
      <c r="E94" s="6">
        <f>E93+C94-D94</f>
      </c>
    </row>
    <row x14ac:dyDescent="0.25" r="95" customHeight="1" ht="17.25">
      <c r="A95" s="7">
        <v>45931</v>
      </c>
      <c r="B95" s="9" t="s">
        <v>106</v>
      </c>
      <c r="C95" s="6">
        <v>138</v>
      </c>
      <c r="D95" s="4"/>
      <c r="E95" s="6">
        <f>E94+C95-D95</f>
      </c>
    </row>
    <row x14ac:dyDescent="0.25" r="96" customHeight="1" ht="17.25">
      <c r="A96" s="7">
        <v>45934</v>
      </c>
      <c r="B96" s="9" t="s">
        <v>106</v>
      </c>
      <c r="C96" s="6">
        <v>373</v>
      </c>
      <c r="D96" s="4"/>
      <c r="E96" s="6">
        <f>E95+C96-D96</f>
      </c>
    </row>
    <row x14ac:dyDescent="0.25" r="97" customHeight="1" ht="17.25">
      <c r="A97" s="7">
        <v>45937</v>
      </c>
      <c r="B97" s="9" t="s">
        <v>106</v>
      </c>
      <c r="C97" s="6">
        <v>102</v>
      </c>
      <c r="D97" s="4"/>
      <c r="E97" s="6">
        <f>E96+C97-D97</f>
      </c>
    </row>
    <row x14ac:dyDescent="0.25" r="98" customHeight="1" ht="17.25">
      <c r="A98" s="7">
        <v>45937</v>
      </c>
      <c r="B98" s="9" t="s">
        <v>26</v>
      </c>
      <c r="C98" s="6">
        <v>60</v>
      </c>
      <c r="D98" s="4"/>
      <c r="E98" s="6">
        <f>E97+C98-D98</f>
      </c>
    </row>
    <row x14ac:dyDescent="0.25" r="99" customHeight="1" ht="17.25">
      <c r="A99" s="7">
        <v>45939</v>
      </c>
      <c r="B99" s="9" t="s">
        <v>106</v>
      </c>
      <c r="C99" s="6">
        <v>12</v>
      </c>
      <c r="D99" s="4"/>
      <c r="E99" s="6">
        <f>E98+C99-D99</f>
      </c>
    </row>
    <row x14ac:dyDescent="0.25" r="100" customHeight="1" ht="17.25">
      <c r="A100" s="8">
        <v>45940</v>
      </c>
      <c r="B100" s="9" t="s">
        <v>141</v>
      </c>
      <c r="C100" s="6">
        <v>42</v>
      </c>
      <c r="D100" s="4"/>
      <c r="E100" s="6">
        <f>E99+C100-D100</f>
      </c>
    </row>
    <row x14ac:dyDescent="0.25" r="101" customHeight="1" ht="17.25">
      <c r="A101" s="8">
        <v>45940</v>
      </c>
      <c r="B101" s="9" t="s">
        <v>106</v>
      </c>
      <c r="C101" s="6">
        <v>6</v>
      </c>
      <c r="D101" s="4"/>
      <c r="E101" s="6">
        <f>E100+C101-D101</f>
      </c>
    </row>
    <row x14ac:dyDescent="0.25" r="102" customHeight="1" ht="17.25">
      <c r="A102" s="7">
        <v>45943</v>
      </c>
      <c r="B102" s="9" t="s">
        <v>106</v>
      </c>
      <c r="C102" s="6">
        <v>12</v>
      </c>
      <c r="D102" s="4"/>
      <c r="E102" s="6">
        <f>E101+C102-D102</f>
      </c>
    </row>
    <row x14ac:dyDescent="0.25" r="103" customHeight="1" ht="17.25">
      <c r="A103" s="7">
        <v>45944</v>
      </c>
      <c r="B103" s="9" t="s">
        <v>106</v>
      </c>
      <c r="C103" s="6">
        <v>41</v>
      </c>
      <c r="D103" s="4"/>
      <c r="E103" s="6">
        <f>E102+C103-D103</f>
      </c>
    </row>
    <row x14ac:dyDescent="0.25" r="104" customHeight="1" ht="17.25">
      <c r="A104" s="7">
        <v>45945</v>
      </c>
      <c r="B104" s="9" t="s">
        <v>46</v>
      </c>
      <c r="C104" s="4"/>
      <c r="D104" s="6">
        <v>300</v>
      </c>
      <c r="E104" s="6">
        <f>E103+C104-D104</f>
      </c>
    </row>
    <row x14ac:dyDescent="0.25" r="105" customHeight="1" ht="17.25">
      <c r="A105" s="7">
        <v>45945</v>
      </c>
      <c r="B105" s="9" t="s">
        <v>106</v>
      </c>
      <c r="C105" s="6">
        <v>13</v>
      </c>
      <c r="D105" s="4"/>
      <c r="E105" s="6">
        <f>E104+C105-D105</f>
      </c>
    </row>
    <row x14ac:dyDescent="0.25" r="106" customHeight="1" ht="17.25">
      <c r="A106" s="8">
        <v>45945</v>
      </c>
      <c r="B106" s="9" t="s">
        <v>26</v>
      </c>
      <c r="C106" s="6">
        <v>134</v>
      </c>
      <c r="D106" s="4"/>
      <c r="E106" s="6">
        <f>E105+C106-D106</f>
      </c>
    </row>
    <row x14ac:dyDescent="0.25" r="107" customHeight="1" ht="17.25">
      <c r="A107" s="8">
        <v>45946</v>
      </c>
      <c r="B107" s="9" t="s">
        <v>141</v>
      </c>
      <c r="C107" s="6">
        <v>22</v>
      </c>
      <c r="D107" s="4"/>
      <c r="E107" s="6">
        <f>E106+C107-D107</f>
      </c>
    </row>
    <row x14ac:dyDescent="0.25" r="108" customHeight="1" ht="17.25">
      <c r="A108" s="7">
        <v>45946</v>
      </c>
      <c r="B108" s="9" t="s">
        <v>106</v>
      </c>
      <c r="C108" s="6">
        <v>15</v>
      </c>
      <c r="D108" s="4"/>
      <c r="E108" s="6">
        <f>E107+C108-D108</f>
      </c>
    </row>
    <row x14ac:dyDescent="0.25" r="109" customHeight="1" ht="17.25">
      <c r="A109" s="7">
        <v>45947</v>
      </c>
      <c r="B109" s="9" t="s">
        <v>3</v>
      </c>
      <c r="C109" s="6">
        <v>44</v>
      </c>
      <c r="D109" s="4"/>
      <c r="E109" s="6">
        <f>E108+C109-D109</f>
      </c>
    </row>
    <row x14ac:dyDescent="0.25" r="110" customHeight="1" ht="17.25">
      <c r="A110" s="7">
        <v>45948</v>
      </c>
      <c r="B110" s="9" t="s">
        <v>26</v>
      </c>
      <c r="C110" s="6">
        <v>45</v>
      </c>
      <c r="D110" s="4"/>
      <c r="E110" s="6">
        <f>E109+C110-D110</f>
      </c>
    </row>
    <row x14ac:dyDescent="0.25" r="111" customHeight="1" ht="17.25">
      <c r="A111" s="7">
        <v>45951</v>
      </c>
      <c r="B111" s="9" t="s">
        <v>106</v>
      </c>
      <c r="C111" s="6">
        <v>1</v>
      </c>
      <c r="D111" s="4"/>
      <c r="E111" s="6">
        <f>E110+C111-D111</f>
      </c>
    </row>
    <row x14ac:dyDescent="0.25" r="112" customHeight="1" ht="17.25">
      <c r="A112" s="7">
        <v>45951</v>
      </c>
      <c r="B112" s="9" t="s">
        <v>26</v>
      </c>
      <c r="C112" s="6">
        <v>175</v>
      </c>
      <c r="D112" s="4"/>
      <c r="E112" s="6">
        <f>E111+C112-D112</f>
      </c>
    </row>
    <row x14ac:dyDescent="0.25" r="113" customHeight="1" ht="17.25">
      <c r="A113" s="7">
        <v>45952</v>
      </c>
      <c r="B113" s="9" t="s">
        <v>141</v>
      </c>
      <c r="C113" s="6">
        <v>4</v>
      </c>
      <c r="D113" s="4"/>
      <c r="E113" s="6">
        <f>E112+C113-D113</f>
      </c>
    </row>
    <row x14ac:dyDescent="0.25" r="114" customHeight="1" ht="17.25">
      <c r="A114" s="7">
        <v>45953</v>
      </c>
      <c r="B114" s="9" t="s">
        <v>26</v>
      </c>
      <c r="C114" s="6">
        <v>154</v>
      </c>
      <c r="D114" s="4"/>
      <c r="E114" s="6">
        <f>E113+C114-D114</f>
      </c>
    </row>
    <row x14ac:dyDescent="0.25" r="115" customHeight="1" ht="17.25">
      <c r="A115" s="7">
        <v>45955</v>
      </c>
      <c r="B115" s="9" t="s">
        <v>106</v>
      </c>
      <c r="C115" s="6">
        <v>33</v>
      </c>
      <c r="D115" s="4"/>
      <c r="E115" s="6">
        <f>E114+C115-D115</f>
      </c>
    </row>
    <row x14ac:dyDescent="0.25" r="116" customHeight="1" ht="17.25">
      <c r="A116" s="7">
        <v>45955</v>
      </c>
      <c r="B116" s="9" t="s">
        <v>26</v>
      </c>
      <c r="C116" s="6">
        <v>30</v>
      </c>
      <c r="D116" s="4"/>
      <c r="E116" s="6">
        <f>E115+C116-D116</f>
      </c>
    </row>
    <row x14ac:dyDescent="0.25" r="117" customHeight="1" ht="17.25">
      <c r="A117" s="7">
        <v>45958</v>
      </c>
      <c r="B117" s="9" t="s">
        <v>26</v>
      </c>
      <c r="C117" s="6">
        <v>82</v>
      </c>
      <c r="D117" s="4"/>
      <c r="E117" s="6">
        <f>E116+C117-D117</f>
      </c>
    </row>
    <row x14ac:dyDescent="0.25" r="118" customHeight="1" ht="17.25">
      <c r="A118" s="8">
        <v>45960</v>
      </c>
      <c r="B118" s="9" t="s">
        <v>141</v>
      </c>
      <c r="C118" s="6">
        <v>26</v>
      </c>
      <c r="D118" s="4"/>
      <c r="E118" s="6">
        <f>E117+C118-D118</f>
      </c>
    </row>
    <row x14ac:dyDescent="0.25" r="119" customHeight="1" ht="17.25">
      <c r="A119" s="8">
        <v>45962</v>
      </c>
      <c r="B119" s="9" t="s">
        <v>3</v>
      </c>
      <c r="C119" s="6">
        <v>7</v>
      </c>
      <c r="D119" s="4"/>
      <c r="E119" s="6">
        <f>E118+C119-D119</f>
      </c>
    </row>
    <row x14ac:dyDescent="0.25" r="120" customHeight="1" ht="17.25">
      <c r="A120" s="8">
        <v>45962</v>
      </c>
      <c r="B120" s="9" t="s">
        <v>26</v>
      </c>
      <c r="C120" s="6">
        <v>31</v>
      </c>
      <c r="D120" s="4"/>
      <c r="E120" s="6">
        <f>E119+C120-D120</f>
      </c>
    </row>
    <row x14ac:dyDescent="0.25" r="121" customHeight="1" ht="17.25">
      <c r="A121" s="7">
        <v>45964</v>
      </c>
      <c r="B121" s="9" t="s">
        <v>106</v>
      </c>
      <c r="C121" s="6">
        <v>70</v>
      </c>
      <c r="D121" s="4"/>
      <c r="E121" s="6">
        <f>E120+C121-D121</f>
      </c>
    </row>
    <row x14ac:dyDescent="0.25" r="122" customHeight="1" ht="17.25">
      <c r="A122" s="7">
        <v>45968</v>
      </c>
      <c r="B122" s="9" t="s">
        <v>106</v>
      </c>
      <c r="C122" s="6">
        <v>57</v>
      </c>
      <c r="D122" s="4"/>
      <c r="E122" s="6">
        <f>E121+C122-D122</f>
      </c>
    </row>
    <row x14ac:dyDescent="0.25" r="123" customHeight="1" ht="17.25">
      <c r="A123" s="7">
        <v>45971</v>
      </c>
      <c r="B123" s="9" t="s">
        <v>141</v>
      </c>
      <c r="C123" s="6">
        <v>5</v>
      </c>
      <c r="D123" s="4"/>
      <c r="E123" s="6">
        <f>E122+C123-D123</f>
      </c>
    </row>
    <row x14ac:dyDescent="0.25" r="124" customHeight="1" ht="17.25">
      <c r="A124" s="8">
        <v>45974</v>
      </c>
      <c r="B124" s="9" t="s">
        <v>46</v>
      </c>
      <c r="C124" s="4"/>
      <c r="D124" s="6">
        <v>200</v>
      </c>
      <c r="E124" s="6">
        <f>E123+C124-D124</f>
      </c>
    </row>
    <row x14ac:dyDescent="0.25" r="125" customHeight="1" ht="17.25">
      <c r="A125" s="7">
        <v>45974</v>
      </c>
      <c r="B125" s="9" t="s">
        <v>142</v>
      </c>
      <c r="C125" s="4"/>
      <c r="D125" s="4"/>
      <c r="E125" s="6">
        <f>E124+C125-D125</f>
      </c>
    </row>
    <row x14ac:dyDescent="0.25" r="126" customHeight="1" ht="17.25">
      <c r="A126" s="7">
        <v>45980</v>
      </c>
      <c r="B126" s="9" t="s">
        <v>26</v>
      </c>
      <c r="C126" s="6">
        <v>71</v>
      </c>
      <c r="D126" s="4"/>
      <c r="E126" s="6">
        <f>E125+C126-D126</f>
      </c>
    </row>
    <row x14ac:dyDescent="0.25" r="127" customHeight="1" ht="17.25">
      <c r="A127" s="8">
        <v>45981</v>
      </c>
      <c r="B127" s="9" t="s">
        <v>141</v>
      </c>
      <c r="C127" s="6">
        <v>38</v>
      </c>
      <c r="D127" s="4"/>
      <c r="E127" s="6">
        <f>E126+C127-D127</f>
      </c>
    </row>
    <row x14ac:dyDescent="0.25" r="128" customHeight="1" ht="17.25">
      <c r="A128" s="7">
        <v>45985</v>
      </c>
      <c r="B128" s="9" t="s">
        <v>26</v>
      </c>
      <c r="C128" s="6">
        <v>183</v>
      </c>
      <c r="D128" s="4"/>
      <c r="E128" s="6">
        <f>E127+C128-D128</f>
      </c>
    </row>
    <row x14ac:dyDescent="0.25" r="129" customHeight="1" ht="17.25">
      <c r="A129" s="8">
        <v>45996</v>
      </c>
      <c r="B129" s="9" t="s">
        <v>55</v>
      </c>
      <c r="C129" s="4"/>
      <c r="D129" s="6">
        <v>18</v>
      </c>
      <c r="E129" s="6">
        <f>E128+C129-D129</f>
      </c>
    </row>
    <row x14ac:dyDescent="0.25" r="130" customHeight="1" ht="17.25">
      <c r="A130" s="7">
        <v>45999</v>
      </c>
      <c r="B130" s="9" t="s">
        <v>106</v>
      </c>
      <c r="C130" s="6">
        <v>27</v>
      </c>
      <c r="D130" s="4"/>
      <c r="E130" s="6">
        <f>E129+C130-D130</f>
      </c>
    </row>
    <row x14ac:dyDescent="0.25" r="131" customHeight="1" ht="17.25">
      <c r="A131" s="7">
        <v>45999</v>
      </c>
      <c r="B131" s="9" t="s">
        <v>106</v>
      </c>
      <c r="C131" s="6">
        <v>93</v>
      </c>
      <c r="D131" s="4"/>
      <c r="E131" s="6">
        <f>E130+C131-D131</f>
      </c>
    </row>
    <row x14ac:dyDescent="0.25" r="132" customHeight="1" ht="17.25">
      <c r="A132" s="7">
        <v>46001</v>
      </c>
      <c r="B132" s="9" t="s">
        <v>46</v>
      </c>
      <c r="C132" s="4"/>
      <c r="D132" s="6">
        <v>400</v>
      </c>
      <c r="E132" s="6">
        <f>E131+C132-D132</f>
      </c>
    </row>
    <row x14ac:dyDescent="0.25" r="133" customHeight="1" ht="17.25">
      <c r="A133" s="7">
        <v>46001</v>
      </c>
      <c r="B133" s="9" t="s">
        <v>55</v>
      </c>
      <c r="C133" s="4"/>
      <c r="D133" s="6">
        <v>50</v>
      </c>
      <c r="E133" s="6">
        <f>E132+C133-D133</f>
      </c>
    </row>
    <row x14ac:dyDescent="0.25" r="134" customHeight="1" ht="17.25">
      <c r="A134" s="7">
        <v>46001</v>
      </c>
      <c r="B134" s="9" t="s">
        <v>106</v>
      </c>
      <c r="C134" s="6">
        <v>38</v>
      </c>
      <c r="D134" s="4"/>
      <c r="E134" s="6">
        <f>E133+C134-D134</f>
      </c>
    </row>
    <row x14ac:dyDescent="0.25" r="135" customHeight="1" ht="17.25">
      <c r="A135" s="7">
        <v>46006</v>
      </c>
      <c r="B135" s="9" t="s">
        <v>55</v>
      </c>
      <c r="C135" s="4"/>
      <c r="D135" s="6">
        <v>40</v>
      </c>
      <c r="E135" s="6">
        <f>E134+C135-D135</f>
      </c>
    </row>
    <row x14ac:dyDescent="0.25" r="136" customHeight="1" ht="17.25">
      <c r="A136" s="7">
        <v>46007</v>
      </c>
      <c r="B136" s="9" t="s">
        <v>26</v>
      </c>
      <c r="C136" s="6">
        <v>25</v>
      </c>
      <c r="D136" s="4"/>
      <c r="E136" s="6">
        <f>E135+C136-D136</f>
      </c>
    </row>
    <row x14ac:dyDescent="0.25" r="137" customHeight="1" ht="17.25">
      <c r="A137" s="1"/>
      <c r="B137" s="2"/>
      <c r="C137" s="4"/>
      <c r="D137" s="4"/>
      <c r="E137" s="6">
        <f>E136+C137-D137</f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/>
  </sheetViews>
  <sheetFormatPr defaultRowHeight="15" x14ac:dyDescent="0.25"/>
  <cols>
    <col min="1" max="1" style="11" width="12.43357142857143" customWidth="1" bestFit="1"/>
  </cols>
  <sheetData>
    <row x14ac:dyDescent="0.25" r="1" customHeight="1" ht="17.25">
      <c r="A1" s="2" t="s">
        <v>137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290714285714284" customWidth="1" bestFit="1"/>
    <col min="3" max="3" style="13" width="12.43357142857143" customWidth="1" bestFit="1"/>
    <col min="4" max="4" style="12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130</v>
      </c>
      <c r="B1" s="2"/>
      <c r="C1" s="4"/>
      <c r="D1" s="3"/>
      <c r="E1" s="4"/>
    </row>
    <row x14ac:dyDescent="0.25" r="2" customHeight="1" ht="17.25">
      <c r="A2" s="1"/>
      <c r="B2" s="2"/>
      <c r="C2" s="4"/>
      <c r="D2" s="3"/>
      <c r="E2" s="4"/>
    </row>
    <row x14ac:dyDescent="0.25" r="3" customHeight="1" ht="17.25">
      <c r="A3" s="5">
        <v>45658</v>
      </c>
      <c r="B3" s="2" t="s">
        <v>1</v>
      </c>
      <c r="C3" s="4"/>
      <c r="D3" s="3"/>
      <c r="E3" s="4"/>
    </row>
    <row x14ac:dyDescent="0.25" r="4" customHeight="1" ht="17.25">
      <c r="A4" s="7">
        <v>45667</v>
      </c>
      <c r="B4" s="2" t="s">
        <v>131</v>
      </c>
      <c r="C4" s="6">
        <v>20</v>
      </c>
      <c r="D4" s="3"/>
      <c r="E4" s="4"/>
    </row>
    <row x14ac:dyDescent="0.25" r="5" customHeight="1" ht="17.25">
      <c r="A5" s="8">
        <v>45680</v>
      </c>
      <c r="B5" s="9" t="s">
        <v>132</v>
      </c>
      <c r="C5" s="4"/>
      <c r="D5" s="6">
        <v>8</v>
      </c>
      <c r="E5" s="4"/>
    </row>
    <row x14ac:dyDescent="0.25" r="6" customHeight="1" ht="17.25">
      <c r="A6" s="7">
        <v>45717</v>
      </c>
      <c r="B6" s="2" t="s">
        <v>131</v>
      </c>
      <c r="C6" s="6">
        <v>7</v>
      </c>
      <c r="D6" s="3"/>
      <c r="E6" s="4"/>
    </row>
    <row x14ac:dyDescent="0.25" r="7" customHeight="1" ht="17.25">
      <c r="A7" s="7">
        <v>45728</v>
      </c>
      <c r="B7" s="2" t="s">
        <v>132</v>
      </c>
      <c r="C7" s="6">
        <v>8</v>
      </c>
      <c r="D7" s="3"/>
      <c r="E7" s="4"/>
    </row>
    <row x14ac:dyDescent="0.25" r="8" customHeight="1" ht="17.25">
      <c r="A8" s="1"/>
      <c r="B8" s="2" t="s">
        <v>133</v>
      </c>
      <c r="C8" s="4"/>
      <c r="D8" s="3"/>
      <c r="E8" s="4"/>
    </row>
    <row x14ac:dyDescent="0.25" r="9" customHeight="1" ht="17.25">
      <c r="A9" s="7">
        <v>45897</v>
      </c>
      <c r="B9" s="2" t="s">
        <v>134</v>
      </c>
      <c r="C9" s="4"/>
      <c r="D9" s="6">
        <v>37</v>
      </c>
      <c r="E9" s="6">
        <v>0</v>
      </c>
    </row>
    <row x14ac:dyDescent="0.25" r="10" customHeight="1" ht="17.25">
      <c r="A10" s="7">
        <v>45898</v>
      </c>
      <c r="B10" s="2" t="s">
        <v>135</v>
      </c>
      <c r="C10" s="6">
        <v>150</v>
      </c>
      <c r="D10" s="3"/>
      <c r="E10" s="4"/>
    </row>
    <row x14ac:dyDescent="0.25" r="11" customHeight="1" ht="17.25">
      <c r="A11" s="1"/>
      <c r="B11" s="2" t="s">
        <v>134</v>
      </c>
      <c r="C11" s="4"/>
      <c r="D11" s="6">
        <v>130</v>
      </c>
      <c r="E11" s="6">
        <v>20</v>
      </c>
    </row>
    <row x14ac:dyDescent="0.25" r="12" customHeight="1" ht="17.25">
      <c r="A12" s="1"/>
      <c r="B12" s="2" t="s">
        <v>135</v>
      </c>
      <c r="C12" s="6">
        <v>50</v>
      </c>
      <c r="D12" s="3"/>
      <c r="E12" s="4"/>
    </row>
    <row x14ac:dyDescent="0.25" r="13" customHeight="1" ht="17.25">
      <c r="A13" s="1"/>
      <c r="B13" s="9" t="s">
        <v>136</v>
      </c>
      <c r="C13" s="4"/>
      <c r="D13" s="6">
        <v>50</v>
      </c>
      <c r="E13" s="6">
        <v>0</v>
      </c>
    </row>
    <row x14ac:dyDescent="0.25" r="14" customHeight="1" ht="17.25">
      <c r="A14" s="7">
        <v>45982</v>
      </c>
      <c r="B14" s="2" t="s">
        <v>135</v>
      </c>
      <c r="C14" s="6">
        <v>36</v>
      </c>
      <c r="D14" s="3"/>
      <c r="E14" s="4"/>
    </row>
    <row x14ac:dyDescent="0.25" r="15" customHeight="1" ht="17.25">
      <c r="A15" s="7">
        <v>45982</v>
      </c>
      <c r="B15" s="2" t="s">
        <v>42</v>
      </c>
      <c r="C15" s="4"/>
      <c r="D15" s="6">
        <v>36</v>
      </c>
      <c r="E15" s="4"/>
    </row>
    <row x14ac:dyDescent="0.25" r="16" customHeight="1" ht="17.25">
      <c r="A16" s="1"/>
      <c r="B16" s="2"/>
      <c r="C16" s="4"/>
      <c r="D16" s="3"/>
      <c r="E16" s="4"/>
    </row>
    <row x14ac:dyDescent="0.25" r="17" customHeight="1" ht="17.25">
      <c r="A17" s="1"/>
      <c r="B17" s="2"/>
      <c r="C17" s="4"/>
      <c r="D17" s="3"/>
      <c r="E17" s="4"/>
    </row>
    <row x14ac:dyDescent="0.25" r="18" customHeight="1" ht="17.25">
      <c r="A18" s="8">
        <v>45992</v>
      </c>
      <c r="B18" s="9" t="s">
        <v>54</v>
      </c>
      <c r="C18" s="4"/>
      <c r="D18" s="6">
        <v>36</v>
      </c>
      <c r="E18" s="4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576428571428572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129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14">
        <v>389</v>
      </c>
    </row>
    <row x14ac:dyDescent="0.25" r="4" customHeight="1" ht="17.25">
      <c r="A4" s="8">
        <v>45660</v>
      </c>
      <c r="B4" s="9" t="s">
        <v>11</v>
      </c>
      <c r="C4" s="6">
        <v>1</v>
      </c>
      <c r="D4" s="4"/>
      <c r="E4" s="6">
        <f>E3+C4-D4</f>
      </c>
    </row>
    <row x14ac:dyDescent="0.25" r="5" customHeight="1" ht="17.25">
      <c r="A5" s="8">
        <v>45670</v>
      </c>
      <c r="B5" s="9" t="s">
        <v>31</v>
      </c>
      <c r="C5" s="6">
        <v>7</v>
      </c>
      <c r="D5" s="4"/>
      <c r="E5" s="6">
        <f>E4+C5-D5</f>
      </c>
    </row>
    <row x14ac:dyDescent="0.25" r="6" customHeight="1" ht="17.25">
      <c r="A6" s="7">
        <v>45695</v>
      </c>
      <c r="B6" s="2" t="s">
        <v>3</v>
      </c>
      <c r="C6" s="3"/>
      <c r="D6" s="6">
        <v>100</v>
      </c>
      <c r="E6" s="6">
        <f>E5+C6-D6</f>
      </c>
    </row>
    <row x14ac:dyDescent="0.25" r="7" customHeight="1" ht="17.25">
      <c r="A7" s="7">
        <v>45702</v>
      </c>
      <c r="B7" s="2" t="s">
        <v>11</v>
      </c>
      <c r="C7" s="6">
        <v>24</v>
      </c>
      <c r="D7" s="4"/>
      <c r="E7" s="6">
        <f>E6+C7-D7</f>
      </c>
    </row>
    <row x14ac:dyDescent="0.25" r="8" customHeight="1" ht="17.25">
      <c r="A8" s="8">
        <v>45733</v>
      </c>
      <c r="B8" s="9" t="s">
        <v>11</v>
      </c>
      <c r="C8" s="6">
        <v>3</v>
      </c>
      <c r="D8" s="4"/>
      <c r="E8" s="6">
        <f>E7+C8-D8</f>
      </c>
    </row>
    <row x14ac:dyDescent="0.25" r="9" customHeight="1" ht="17.25">
      <c r="A9" s="8">
        <v>45734</v>
      </c>
      <c r="B9" s="9" t="s">
        <v>11</v>
      </c>
      <c r="C9" s="6">
        <v>4</v>
      </c>
      <c r="D9" s="4"/>
      <c r="E9" s="6">
        <f>E8+C9-D9</f>
      </c>
    </row>
    <row x14ac:dyDescent="0.25" r="10" customHeight="1" ht="17.25">
      <c r="A10" s="8">
        <v>45736</v>
      </c>
      <c r="B10" s="9" t="s">
        <v>11</v>
      </c>
      <c r="C10" s="6">
        <v>19</v>
      </c>
      <c r="D10" s="4"/>
      <c r="E10" s="6">
        <f>E9+C10-D10</f>
      </c>
    </row>
    <row x14ac:dyDescent="0.25" r="11" customHeight="1" ht="17.25">
      <c r="A11" s="7">
        <v>45825</v>
      </c>
      <c r="B11" s="9" t="s">
        <v>3</v>
      </c>
      <c r="C11" s="6">
        <v>29</v>
      </c>
      <c r="D11" s="4"/>
      <c r="E11" s="6">
        <f>E10+C11-D11</f>
      </c>
    </row>
    <row x14ac:dyDescent="0.25" r="12" customHeight="1" ht="17.25">
      <c r="A12" s="8">
        <v>45827</v>
      </c>
      <c r="B12" s="9" t="s">
        <v>3</v>
      </c>
      <c r="C12" s="6">
        <v>16</v>
      </c>
      <c r="D12" s="4"/>
      <c r="E12" s="6">
        <f>E11+C12-D12</f>
      </c>
    </row>
    <row x14ac:dyDescent="0.25" r="13" customHeight="1" ht="17.25">
      <c r="A13" s="8">
        <v>45838</v>
      </c>
      <c r="B13" s="9" t="s">
        <v>3</v>
      </c>
      <c r="C13" s="6">
        <v>17</v>
      </c>
      <c r="D13" s="4"/>
      <c r="E13" s="6">
        <f>E12+C13-D13</f>
      </c>
    </row>
    <row x14ac:dyDescent="0.25" r="14" customHeight="1" ht="17.25">
      <c r="A14" s="7">
        <v>45839</v>
      </c>
      <c r="B14" s="9" t="s">
        <v>3</v>
      </c>
      <c r="C14" s="6">
        <v>19</v>
      </c>
      <c r="D14" s="4"/>
      <c r="E14" s="6">
        <f>E13+C14-D14</f>
      </c>
    </row>
    <row x14ac:dyDescent="0.25" r="15" customHeight="1" ht="17.25">
      <c r="A15" s="8">
        <v>45843</v>
      </c>
      <c r="B15" s="9" t="s">
        <v>46</v>
      </c>
      <c r="C15" s="3"/>
      <c r="D15" s="6">
        <v>20</v>
      </c>
      <c r="E15" s="6">
        <f>E14+C15-D15</f>
      </c>
    </row>
    <row x14ac:dyDescent="0.25" r="16" customHeight="1" ht="17.25">
      <c r="A16" s="7">
        <v>45912</v>
      </c>
      <c r="B16" s="9" t="s">
        <v>46</v>
      </c>
      <c r="C16" s="6">
        <v>3</v>
      </c>
      <c r="D16" s="4"/>
      <c r="E16" s="6">
        <f>E15+C16-D16</f>
      </c>
    </row>
    <row x14ac:dyDescent="0.25" r="17" customHeight="1" ht="17.25">
      <c r="A17" s="7">
        <v>45919</v>
      </c>
      <c r="B17" s="9" t="s">
        <v>46</v>
      </c>
      <c r="C17" s="6">
        <v>6</v>
      </c>
      <c r="D17" s="4"/>
      <c r="E17" s="6">
        <f>E16+C17-D17</f>
      </c>
    </row>
    <row x14ac:dyDescent="0.25" r="18" customHeight="1" ht="17.25">
      <c r="A18" s="8">
        <v>45941</v>
      </c>
      <c r="B18" s="9" t="s">
        <v>26</v>
      </c>
      <c r="C18" s="6">
        <v>17</v>
      </c>
      <c r="D18" s="4"/>
      <c r="E18" s="4"/>
    </row>
    <row x14ac:dyDescent="0.25" r="19" customHeight="1" ht="17.25">
      <c r="A19" s="7">
        <v>45945</v>
      </c>
      <c r="B19" s="9" t="s">
        <v>26</v>
      </c>
      <c r="C19" s="6">
        <v>1</v>
      </c>
      <c r="D19" s="4"/>
      <c r="E19" s="4"/>
    </row>
    <row x14ac:dyDescent="0.25" r="20" customHeight="1" ht="17.25">
      <c r="A20" s="7">
        <v>45959</v>
      </c>
      <c r="B20" s="9" t="s">
        <v>3</v>
      </c>
      <c r="C20" s="6">
        <v>13</v>
      </c>
      <c r="D20" s="4"/>
      <c r="E20" s="4"/>
    </row>
    <row x14ac:dyDescent="0.25" r="21" customHeight="1" ht="17.25">
      <c r="A21" s="7">
        <v>45993</v>
      </c>
      <c r="B21" s="9" t="s">
        <v>26</v>
      </c>
      <c r="C21" s="6">
        <v>1</v>
      </c>
      <c r="D21" s="4"/>
      <c r="E21" s="4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3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6.1478571428571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126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14">
        <v>591</v>
      </c>
    </row>
    <row x14ac:dyDescent="0.25" r="4" customHeight="1" ht="17.25">
      <c r="A4" s="7">
        <v>45660</v>
      </c>
      <c r="B4" s="2" t="s">
        <v>11</v>
      </c>
      <c r="C4" s="6">
        <v>7</v>
      </c>
      <c r="D4" s="4"/>
      <c r="E4" s="6">
        <v>598</v>
      </c>
    </row>
    <row x14ac:dyDescent="0.25" r="5" customHeight="1" ht="17.25">
      <c r="A5" s="8">
        <v>45670</v>
      </c>
      <c r="B5" s="9" t="s">
        <v>31</v>
      </c>
      <c r="C5" s="6">
        <v>10</v>
      </c>
      <c r="D5" s="4"/>
      <c r="E5" s="6">
        <f>E4+C5-D5</f>
      </c>
    </row>
    <row x14ac:dyDescent="0.25" r="6" customHeight="1" ht="17.25">
      <c r="A6" s="7">
        <v>45677</v>
      </c>
      <c r="B6" s="2" t="s">
        <v>127</v>
      </c>
      <c r="C6" s="6">
        <v>16</v>
      </c>
      <c r="D6" s="4"/>
      <c r="E6" s="6">
        <f>E5+C6-D6</f>
      </c>
    </row>
    <row x14ac:dyDescent="0.25" r="7" customHeight="1" ht="17.25">
      <c r="A7" s="8">
        <v>45688</v>
      </c>
      <c r="B7" s="9" t="s">
        <v>127</v>
      </c>
      <c r="C7" s="6">
        <v>13</v>
      </c>
      <c r="D7" s="4"/>
      <c r="E7" s="6">
        <f>E6+C7-D7</f>
      </c>
    </row>
    <row x14ac:dyDescent="0.25" r="8" customHeight="1" ht="17.25">
      <c r="A8" s="7">
        <v>45702</v>
      </c>
      <c r="B8" s="2" t="s">
        <v>11</v>
      </c>
      <c r="C8" s="6">
        <v>4</v>
      </c>
      <c r="D8" s="4"/>
      <c r="E8" s="6">
        <f>E7+C8-D8</f>
      </c>
    </row>
    <row x14ac:dyDescent="0.25" r="9" customHeight="1" ht="17.25">
      <c r="A9" s="7">
        <v>45702</v>
      </c>
      <c r="B9" s="9" t="s">
        <v>11</v>
      </c>
      <c r="C9" s="6">
        <v>25</v>
      </c>
      <c r="D9" s="4"/>
      <c r="E9" s="6">
        <f>E8+C9-D9</f>
      </c>
    </row>
    <row x14ac:dyDescent="0.25" r="10" customHeight="1" ht="17.25">
      <c r="A10" s="7">
        <v>45710</v>
      </c>
      <c r="B10" s="2" t="s">
        <v>11</v>
      </c>
      <c r="C10" s="6">
        <v>4</v>
      </c>
      <c r="D10" s="4"/>
      <c r="E10" s="6">
        <f>E9+C10-D10</f>
      </c>
    </row>
    <row x14ac:dyDescent="0.25" r="11" customHeight="1" ht="17.25">
      <c r="A11" s="7">
        <v>45714</v>
      </c>
      <c r="B11" s="9" t="s">
        <v>128</v>
      </c>
      <c r="C11" s="6">
        <v>6</v>
      </c>
      <c r="D11" s="4"/>
      <c r="E11" s="6">
        <f>E10+C11-D11</f>
      </c>
    </row>
    <row x14ac:dyDescent="0.25" r="12" customHeight="1" ht="17.25">
      <c r="A12" s="8">
        <v>45719</v>
      </c>
      <c r="B12" s="9" t="s">
        <v>118</v>
      </c>
      <c r="C12" s="6">
        <v>3</v>
      </c>
      <c r="D12" s="4"/>
      <c r="E12" s="6">
        <f>E11+C12-D12</f>
      </c>
    </row>
    <row x14ac:dyDescent="0.25" r="13" customHeight="1" ht="17.25">
      <c r="A13" s="8">
        <v>45729</v>
      </c>
      <c r="B13" s="9" t="s">
        <v>119</v>
      </c>
      <c r="C13" s="6">
        <v>11</v>
      </c>
      <c r="D13" s="4"/>
      <c r="E13" s="6">
        <f>E12+C13-D13</f>
      </c>
    </row>
    <row x14ac:dyDescent="0.25" r="14" customHeight="1" ht="17.25">
      <c r="A14" s="8">
        <v>45733</v>
      </c>
      <c r="B14" s="9" t="s">
        <v>11</v>
      </c>
      <c r="C14" s="6">
        <v>12</v>
      </c>
      <c r="D14" s="4"/>
      <c r="E14" s="6">
        <f>E13+C14-D14</f>
      </c>
    </row>
    <row x14ac:dyDescent="0.25" r="15" customHeight="1" ht="17.25">
      <c r="A15" s="8">
        <v>45734</v>
      </c>
      <c r="B15" s="9" t="s">
        <v>2</v>
      </c>
      <c r="C15" s="6">
        <v>11</v>
      </c>
      <c r="D15" s="4"/>
      <c r="E15" s="6">
        <f>E14+C15-D15</f>
      </c>
    </row>
    <row x14ac:dyDescent="0.25" r="16" customHeight="1" ht="17.25">
      <c r="A16" s="8">
        <v>45737</v>
      </c>
      <c r="B16" s="9" t="s">
        <v>2</v>
      </c>
      <c r="C16" s="6">
        <v>5</v>
      </c>
      <c r="D16" s="4"/>
      <c r="E16" s="6">
        <f>E15+C16-D16</f>
      </c>
    </row>
    <row x14ac:dyDescent="0.25" r="17" customHeight="1" ht="17.25">
      <c r="A17" s="7">
        <v>45765</v>
      </c>
      <c r="B17" s="9" t="s">
        <v>2</v>
      </c>
      <c r="C17" s="6">
        <v>5</v>
      </c>
      <c r="D17" s="4"/>
      <c r="E17" s="6">
        <f>E16+C17-D17</f>
      </c>
    </row>
    <row x14ac:dyDescent="0.25" r="18" customHeight="1" ht="17.25">
      <c r="A18" s="7">
        <v>45853</v>
      </c>
      <c r="B18" s="9" t="s">
        <v>46</v>
      </c>
      <c r="C18" s="4"/>
      <c r="D18" s="6">
        <v>30</v>
      </c>
      <c r="E18" s="6">
        <f>E17+C18-D18</f>
      </c>
    </row>
    <row x14ac:dyDescent="0.25" r="19" customHeight="1" ht="17.25">
      <c r="A19" s="7">
        <v>45867</v>
      </c>
      <c r="B19" s="9" t="s">
        <v>46</v>
      </c>
      <c r="C19" s="4"/>
      <c r="D19" s="6">
        <v>40</v>
      </c>
      <c r="E19" s="6">
        <f>E18+C19-D19</f>
      </c>
    </row>
    <row x14ac:dyDescent="0.25" r="20" customHeight="1" ht="17.25">
      <c r="A20" s="7">
        <v>45895</v>
      </c>
      <c r="B20" s="9" t="s">
        <v>26</v>
      </c>
      <c r="C20" s="4"/>
      <c r="D20" s="6">
        <v>117</v>
      </c>
      <c r="E20" s="6">
        <f>E19+C20-D20</f>
      </c>
    </row>
    <row x14ac:dyDescent="0.25" r="21" customHeight="1" ht="17.25">
      <c r="A21" s="7">
        <v>45895</v>
      </c>
      <c r="B21" s="9" t="s">
        <v>26</v>
      </c>
      <c r="C21" s="4"/>
      <c r="D21" s="6">
        <v>83</v>
      </c>
      <c r="E21" s="6">
        <f>E20+C21-D21</f>
      </c>
    </row>
    <row x14ac:dyDescent="0.25" r="22" customHeight="1" ht="17.25">
      <c r="A22" s="8">
        <v>45904</v>
      </c>
      <c r="B22" s="9" t="s">
        <v>46</v>
      </c>
      <c r="C22" s="6">
        <v>18</v>
      </c>
      <c r="D22" s="4"/>
      <c r="E22" s="6">
        <f>E21+C22-D22</f>
      </c>
    </row>
    <row x14ac:dyDescent="0.25" r="23" customHeight="1" ht="17.25">
      <c r="A23" s="8">
        <v>45910</v>
      </c>
      <c r="B23" s="9" t="s">
        <v>46</v>
      </c>
      <c r="C23" s="6">
        <v>22</v>
      </c>
      <c r="D23" s="4"/>
      <c r="E23" s="6">
        <f>E22+C23-D23</f>
      </c>
    </row>
    <row x14ac:dyDescent="0.25" r="24" customHeight="1" ht="17.25">
      <c r="A24" s="8">
        <v>45913</v>
      </c>
      <c r="B24" s="9" t="s">
        <v>26</v>
      </c>
      <c r="C24" s="6">
        <v>34</v>
      </c>
      <c r="D24" s="4"/>
      <c r="E24" s="6">
        <f>E23+C24-D24</f>
      </c>
    </row>
    <row x14ac:dyDescent="0.25" r="25" customHeight="1" ht="17.25">
      <c r="A25" s="7">
        <v>45919</v>
      </c>
      <c r="B25" s="9" t="s">
        <v>46</v>
      </c>
      <c r="C25" s="6">
        <v>16</v>
      </c>
      <c r="D25" s="4"/>
      <c r="E25" s="6">
        <f>E24+C25-D25</f>
      </c>
    </row>
    <row x14ac:dyDescent="0.25" r="26" customHeight="1" ht="17.25">
      <c r="A26" s="7">
        <v>45923</v>
      </c>
      <c r="B26" s="9" t="s">
        <v>26</v>
      </c>
      <c r="C26" s="6">
        <v>17</v>
      </c>
      <c r="D26" s="4"/>
      <c r="E26" s="6">
        <f>E25+C26-D26</f>
      </c>
    </row>
    <row x14ac:dyDescent="0.25" r="27" customHeight="1" ht="17.25">
      <c r="A27" s="7">
        <v>45924</v>
      </c>
      <c r="B27" s="9" t="s">
        <v>124</v>
      </c>
      <c r="C27" s="4"/>
      <c r="D27" s="6">
        <v>505</v>
      </c>
      <c r="E27" s="6">
        <f>E26+C27-D27</f>
      </c>
    </row>
    <row x14ac:dyDescent="0.25" r="28" customHeight="1" ht="17.25">
      <c r="A28" s="7">
        <v>45926</v>
      </c>
      <c r="B28" s="9" t="s">
        <v>124</v>
      </c>
      <c r="C28" s="4"/>
      <c r="D28" s="6">
        <v>24</v>
      </c>
      <c r="E28" s="6">
        <f>E27+C28-D28</f>
      </c>
    </row>
    <row x14ac:dyDescent="0.25" r="29" customHeight="1" ht="17.25">
      <c r="A29" s="7">
        <v>45927</v>
      </c>
      <c r="B29" s="9" t="s">
        <v>26</v>
      </c>
      <c r="C29" s="6">
        <v>15</v>
      </c>
      <c r="D29" s="4"/>
      <c r="E29" s="6">
        <f>E28+C29-D29</f>
      </c>
    </row>
    <row x14ac:dyDescent="0.25" r="30" customHeight="1" ht="17.25">
      <c r="A30" s="8">
        <v>45941</v>
      </c>
      <c r="B30" s="9" t="s">
        <v>26</v>
      </c>
      <c r="C30" s="6">
        <v>27</v>
      </c>
      <c r="D30" s="4"/>
      <c r="E30" s="6">
        <f>E29+C30-D30</f>
      </c>
    </row>
    <row x14ac:dyDescent="0.25" r="31" customHeight="1" ht="17.25">
      <c r="A31" s="8">
        <v>45945</v>
      </c>
      <c r="B31" s="9" t="s">
        <v>26</v>
      </c>
      <c r="C31" s="6">
        <v>32</v>
      </c>
      <c r="D31" s="4"/>
      <c r="E31" s="6">
        <f>E30+C31-D31</f>
      </c>
    </row>
    <row x14ac:dyDescent="0.25" r="32" customHeight="1" ht="17.25">
      <c r="A32" s="8">
        <v>45948</v>
      </c>
      <c r="B32" s="9" t="s">
        <v>26</v>
      </c>
      <c r="C32" s="6">
        <v>2</v>
      </c>
      <c r="D32" s="4"/>
      <c r="E32" s="6">
        <f>E31+C32-D32</f>
      </c>
    </row>
    <row x14ac:dyDescent="0.25" r="33" customHeight="1" ht="17.25">
      <c r="A33" s="7">
        <v>45951</v>
      </c>
      <c r="B33" s="9" t="s">
        <v>26</v>
      </c>
      <c r="C33" s="6">
        <v>34</v>
      </c>
      <c r="D33" s="4"/>
      <c r="E33" s="6">
        <f>E32+C33-D33</f>
      </c>
    </row>
    <row x14ac:dyDescent="0.25" r="34" customHeight="1" ht="17.25">
      <c r="A34" s="7">
        <v>45953</v>
      </c>
      <c r="B34" s="9" t="s">
        <v>26</v>
      </c>
      <c r="C34" s="6">
        <v>8</v>
      </c>
      <c r="D34" s="4"/>
      <c r="E34" s="6">
        <f>E33+C34-D34</f>
      </c>
    </row>
    <row x14ac:dyDescent="0.25" r="35" customHeight="1" ht="17.25">
      <c r="A35" s="8">
        <v>45955</v>
      </c>
      <c r="B35" s="9" t="s">
        <v>26</v>
      </c>
      <c r="C35" s="6">
        <v>11</v>
      </c>
      <c r="D35" s="4"/>
      <c r="E35" s="6">
        <f>E34+C35-D35</f>
      </c>
    </row>
    <row x14ac:dyDescent="0.25" r="36" customHeight="1" ht="17.25">
      <c r="A36" s="8">
        <v>45958</v>
      </c>
      <c r="B36" s="9" t="s">
        <v>26</v>
      </c>
      <c r="C36" s="6">
        <v>14</v>
      </c>
      <c r="D36" s="4"/>
      <c r="E36" s="6">
        <f>E35+C36-D36</f>
      </c>
    </row>
    <row x14ac:dyDescent="0.25" r="37" customHeight="1" ht="17.25">
      <c r="A37" s="8">
        <v>45962</v>
      </c>
      <c r="B37" s="9" t="s">
        <v>26</v>
      </c>
      <c r="C37" s="6">
        <v>2</v>
      </c>
      <c r="D37" s="4"/>
      <c r="E37" s="6">
        <f>E36+C37-D37</f>
      </c>
    </row>
    <row x14ac:dyDescent="0.25" r="38" customHeight="1" ht="17.25">
      <c r="A38" s="7">
        <v>45992</v>
      </c>
      <c r="B38" s="9" t="s">
        <v>2</v>
      </c>
      <c r="C38" s="6">
        <v>4</v>
      </c>
      <c r="D38" s="4"/>
      <c r="E38" s="6">
        <f>E37+C38-D38</f>
      </c>
    </row>
    <row x14ac:dyDescent="0.25" r="39" customHeight="1" ht="17.25">
      <c r="A39" s="7">
        <v>45993</v>
      </c>
      <c r="B39" s="9" t="s">
        <v>26</v>
      </c>
      <c r="C39" s="6">
        <v>11</v>
      </c>
      <c r="D39" s="4"/>
      <c r="E39" s="6">
        <f>E38+C39-D39</f>
      </c>
    </row>
    <row x14ac:dyDescent="0.25" r="40" customHeight="1" ht="17.25">
      <c r="A40" s="7">
        <v>45994</v>
      </c>
      <c r="B40" s="9" t="s">
        <v>127</v>
      </c>
      <c r="C40" s="6">
        <v>2</v>
      </c>
      <c r="D40" s="4"/>
      <c r="E40" s="6">
        <f>E39+C40-D40</f>
      </c>
    </row>
    <row x14ac:dyDescent="0.25" r="41" customHeight="1" ht="17.25">
      <c r="A41" s="8">
        <v>45995</v>
      </c>
      <c r="B41" s="9" t="s">
        <v>55</v>
      </c>
      <c r="C41" s="4"/>
      <c r="D41" s="6">
        <v>16</v>
      </c>
      <c r="E41" s="6">
        <f>E40+C41-D41</f>
      </c>
    </row>
    <row x14ac:dyDescent="0.25" r="42" customHeight="1" ht="17.25">
      <c r="A42" s="1"/>
      <c r="B42" s="2"/>
      <c r="C42" s="4"/>
      <c r="D42" s="4"/>
      <c r="E42" s="6">
        <f>E41+C42-D42</f>
      </c>
    </row>
    <row x14ac:dyDescent="0.25" r="43" customHeight="1" ht="17.25">
      <c r="A43" s="1"/>
      <c r="B43" s="2"/>
      <c r="C43" s="4"/>
      <c r="D43" s="4"/>
      <c r="E43" s="6">
        <f>E42+C43-D43</f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0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7192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125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14">
        <v>229</v>
      </c>
    </row>
    <row x14ac:dyDescent="0.25" r="4" customHeight="1" ht="17.25">
      <c r="A4" s="7">
        <v>45660</v>
      </c>
      <c r="B4" s="2" t="s">
        <v>11</v>
      </c>
      <c r="C4" s="6">
        <v>2</v>
      </c>
      <c r="D4" s="4"/>
      <c r="E4" s="6">
        <f>E3+C4-D4</f>
      </c>
    </row>
    <row x14ac:dyDescent="0.25" r="5" customHeight="1" ht="17.25">
      <c r="A5" s="7">
        <v>45702</v>
      </c>
      <c r="B5" s="2" t="s">
        <v>11</v>
      </c>
      <c r="C5" s="6">
        <v>21</v>
      </c>
      <c r="D5" s="4"/>
      <c r="E5" s="6">
        <f>E4+C5-D5</f>
      </c>
    </row>
    <row x14ac:dyDescent="0.25" r="6" customHeight="1" ht="17.25">
      <c r="A6" s="7">
        <v>45710</v>
      </c>
      <c r="B6" s="2" t="s">
        <v>11</v>
      </c>
      <c r="C6" s="6">
        <v>10</v>
      </c>
      <c r="D6" s="4"/>
      <c r="E6" s="6">
        <f>E5+C6-D6</f>
      </c>
    </row>
    <row x14ac:dyDescent="0.25" r="7" customHeight="1" ht="17.25">
      <c r="A7" s="8">
        <v>45733</v>
      </c>
      <c r="B7" s="9" t="s">
        <v>11</v>
      </c>
      <c r="C7" s="6">
        <v>5</v>
      </c>
      <c r="D7" s="4"/>
      <c r="E7" s="6">
        <f>E6+C7-D7</f>
      </c>
    </row>
    <row x14ac:dyDescent="0.25" r="8" customHeight="1" ht="17.25">
      <c r="A8" s="7">
        <v>45820</v>
      </c>
      <c r="B8" s="2" t="s">
        <v>11</v>
      </c>
      <c r="C8" s="6">
        <v>4</v>
      </c>
      <c r="D8" s="4"/>
      <c r="E8" s="6">
        <f>E7+C8-D8</f>
      </c>
    </row>
    <row x14ac:dyDescent="0.25" r="9" customHeight="1" ht="17.25">
      <c r="A9" s="7">
        <v>45879</v>
      </c>
      <c r="B9" s="2" t="s">
        <v>26</v>
      </c>
      <c r="C9" s="3"/>
      <c r="D9" s="6">
        <v>100</v>
      </c>
      <c r="E9" s="6">
        <f>E8+C9-D9</f>
      </c>
    </row>
    <row x14ac:dyDescent="0.25" r="10" customHeight="1" ht="17.25">
      <c r="A10" s="7">
        <v>45883</v>
      </c>
      <c r="B10" s="2" t="s">
        <v>26</v>
      </c>
      <c r="C10" s="3"/>
      <c r="D10" s="6">
        <v>60</v>
      </c>
      <c r="E10" s="6">
        <f>E9+C10-D10</f>
      </c>
    </row>
    <row x14ac:dyDescent="0.25" r="11" customHeight="1" ht="17.25">
      <c r="A11" s="8">
        <v>45891</v>
      </c>
      <c r="B11" s="9" t="s">
        <v>26</v>
      </c>
      <c r="C11" s="3"/>
      <c r="D11" s="6">
        <v>9</v>
      </c>
      <c r="E11" s="6">
        <f>E10+C11-D11</f>
      </c>
    </row>
    <row x14ac:dyDescent="0.25" r="12" customHeight="1" ht="17.25">
      <c r="A12" s="8">
        <v>45923</v>
      </c>
      <c r="B12" s="9" t="s">
        <v>26</v>
      </c>
      <c r="C12" s="6">
        <v>4</v>
      </c>
      <c r="D12" s="4"/>
      <c r="E12" s="6">
        <f>E11+C12-D12</f>
      </c>
    </row>
    <row x14ac:dyDescent="0.25" r="13" customHeight="1" ht="17.25">
      <c r="A13" s="7">
        <v>45945</v>
      </c>
      <c r="B13" s="9" t="s">
        <v>26</v>
      </c>
      <c r="C13" s="6">
        <v>41</v>
      </c>
      <c r="D13" s="4"/>
      <c r="E13" s="6">
        <f>E12+C13-D13</f>
      </c>
    </row>
    <row x14ac:dyDescent="0.25" r="14" customHeight="1" ht="17.25">
      <c r="A14" s="8">
        <v>45948</v>
      </c>
      <c r="B14" s="9" t="s">
        <v>26</v>
      </c>
      <c r="C14" s="6">
        <v>23</v>
      </c>
      <c r="D14" s="4"/>
      <c r="E14" s="6">
        <f>E13+C14-D14</f>
      </c>
    </row>
    <row x14ac:dyDescent="0.25" r="15" customHeight="1" ht="17.25">
      <c r="A15" s="7">
        <v>45953</v>
      </c>
      <c r="B15" s="9" t="s">
        <v>26</v>
      </c>
      <c r="C15" s="6">
        <v>2</v>
      </c>
      <c r="D15" s="4"/>
      <c r="E15" s="6">
        <f>E14+C15-D15</f>
      </c>
    </row>
    <row x14ac:dyDescent="0.25" r="16" customHeight="1" ht="17.25">
      <c r="A16" s="7">
        <v>45955</v>
      </c>
      <c r="B16" s="9" t="s">
        <v>26</v>
      </c>
      <c r="C16" s="6">
        <v>10</v>
      </c>
      <c r="D16" s="4"/>
      <c r="E16" s="4"/>
    </row>
    <row x14ac:dyDescent="0.25" r="17" customHeight="1" ht="17.25">
      <c r="A17" s="8">
        <v>45958</v>
      </c>
      <c r="B17" s="9" t="s">
        <v>26</v>
      </c>
      <c r="C17" s="6">
        <v>16</v>
      </c>
      <c r="D17" s="4"/>
      <c r="E17" s="4"/>
    </row>
    <row x14ac:dyDescent="0.25" r="18" customHeight="1" ht="17.25">
      <c r="A18" s="8">
        <v>45980</v>
      </c>
      <c r="B18" s="9" t="s">
        <v>26</v>
      </c>
      <c r="C18" s="6">
        <v>21</v>
      </c>
      <c r="D18" s="4"/>
      <c r="E18" s="4"/>
    </row>
    <row x14ac:dyDescent="0.25" r="19" customHeight="1" ht="17.25">
      <c r="A19" s="7">
        <v>45993</v>
      </c>
      <c r="B19" s="9" t="s">
        <v>26</v>
      </c>
      <c r="C19" s="6">
        <v>10</v>
      </c>
      <c r="D19" s="4"/>
      <c r="E19" s="4"/>
    </row>
    <row x14ac:dyDescent="0.25" r="20" customHeight="1" ht="17.25">
      <c r="A20" s="7">
        <v>46007</v>
      </c>
      <c r="B20" s="9" t="s">
        <v>26</v>
      </c>
      <c r="C20" s="6">
        <v>4</v>
      </c>
      <c r="D20" s="4"/>
      <c r="E20" s="4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71928571428571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122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14">
        <v>1649</v>
      </c>
    </row>
    <row x14ac:dyDescent="0.25" r="4" customHeight="1" ht="17.25">
      <c r="A4" s="7">
        <v>45660</v>
      </c>
      <c r="B4" s="2" t="s">
        <v>11</v>
      </c>
      <c r="C4" s="6">
        <v>11</v>
      </c>
      <c r="D4" s="4"/>
      <c r="E4" s="27">
        <f>E3+C4-D4</f>
      </c>
    </row>
    <row x14ac:dyDescent="0.25" r="5" customHeight="1" ht="17.25">
      <c r="A5" s="8">
        <v>45670</v>
      </c>
      <c r="B5" s="9" t="s">
        <v>31</v>
      </c>
      <c r="C5" s="6">
        <v>30</v>
      </c>
      <c r="D5" s="4"/>
      <c r="E5" s="27">
        <f>E4+C5-D5</f>
      </c>
    </row>
    <row x14ac:dyDescent="0.25" r="6" customHeight="1" ht="17.25">
      <c r="A6" s="7">
        <v>45680</v>
      </c>
      <c r="B6" s="2" t="s">
        <v>123</v>
      </c>
      <c r="C6" s="4"/>
      <c r="D6" s="6">
        <v>40</v>
      </c>
      <c r="E6" s="27">
        <f>E5+C6-D6</f>
      </c>
    </row>
    <row x14ac:dyDescent="0.25" r="7" customHeight="1" ht="17.25">
      <c r="A7" s="8">
        <v>45688</v>
      </c>
      <c r="B7" s="9" t="s">
        <v>31</v>
      </c>
      <c r="C7" s="6">
        <v>2</v>
      </c>
      <c r="D7" s="4"/>
      <c r="E7" s="27">
        <f>E6+C7-D7</f>
      </c>
    </row>
    <row x14ac:dyDescent="0.25" r="8" customHeight="1" ht="17.25">
      <c r="A8" s="7">
        <v>45695</v>
      </c>
      <c r="B8" s="2" t="s">
        <v>3</v>
      </c>
      <c r="C8" s="4"/>
      <c r="D8" s="6">
        <v>110</v>
      </c>
      <c r="E8" s="27">
        <f>E7+C8-D8</f>
      </c>
    </row>
    <row x14ac:dyDescent="0.25" r="9" customHeight="1" ht="17.25">
      <c r="A9" s="7">
        <v>45702</v>
      </c>
      <c r="B9" s="9" t="s">
        <v>11</v>
      </c>
      <c r="C9" s="6">
        <v>53</v>
      </c>
      <c r="D9" s="4"/>
      <c r="E9" s="27">
        <f>E8+C9-D9</f>
      </c>
    </row>
    <row x14ac:dyDescent="0.25" r="10" customHeight="1" ht="17.25">
      <c r="A10" s="7">
        <v>45710</v>
      </c>
      <c r="B10" s="2" t="s">
        <v>11</v>
      </c>
      <c r="C10" s="6">
        <v>16</v>
      </c>
      <c r="D10" s="4"/>
      <c r="E10" s="27">
        <f>E9+C10-D10</f>
      </c>
    </row>
    <row x14ac:dyDescent="0.25" r="11" customHeight="1" ht="17.25">
      <c r="A11" s="8">
        <v>45733</v>
      </c>
      <c r="B11" s="9" t="s">
        <v>11</v>
      </c>
      <c r="C11" s="6">
        <v>7</v>
      </c>
      <c r="D11" s="4"/>
      <c r="E11" s="27">
        <f>E10+C11-D11</f>
      </c>
    </row>
    <row x14ac:dyDescent="0.25" r="12" customHeight="1" ht="17.25">
      <c r="A12" s="8">
        <v>45736</v>
      </c>
      <c r="B12" s="9" t="s">
        <v>11</v>
      </c>
      <c r="C12" s="6">
        <v>1</v>
      </c>
      <c r="D12" s="4"/>
      <c r="E12" s="27">
        <f>E11+C12-D12</f>
      </c>
    </row>
    <row x14ac:dyDescent="0.25" r="13" customHeight="1" ht="17.25">
      <c r="A13" s="7">
        <v>45737</v>
      </c>
      <c r="B13" s="9" t="s">
        <v>3</v>
      </c>
      <c r="C13" s="6">
        <v>46</v>
      </c>
      <c r="D13" s="4"/>
      <c r="E13" s="27">
        <f>E12+C13-D13</f>
      </c>
    </row>
    <row x14ac:dyDescent="0.25" r="14" customHeight="1" ht="17.25">
      <c r="A14" s="7">
        <v>45810</v>
      </c>
      <c r="B14" s="9" t="s">
        <v>11</v>
      </c>
      <c r="C14" s="6">
        <v>150</v>
      </c>
      <c r="D14" s="4"/>
      <c r="E14" s="27">
        <f>E13+C14-D14</f>
      </c>
    </row>
    <row x14ac:dyDescent="0.25" r="15" customHeight="1" ht="17.25">
      <c r="A15" s="7">
        <v>45811</v>
      </c>
      <c r="B15" s="9" t="s">
        <v>11</v>
      </c>
      <c r="C15" s="6">
        <v>189</v>
      </c>
      <c r="D15" s="4"/>
      <c r="E15" s="27">
        <f>E14+C15-D15</f>
      </c>
    </row>
    <row x14ac:dyDescent="0.25" r="16" customHeight="1" ht="17.25">
      <c r="A16" s="7">
        <v>45813</v>
      </c>
      <c r="B16" s="9" t="s">
        <v>11</v>
      </c>
      <c r="C16" s="6">
        <v>38</v>
      </c>
      <c r="D16" s="4"/>
      <c r="E16" s="27">
        <f>E15+C16-D16</f>
      </c>
    </row>
    <row x14ac:dyDescent="0.25" r="17" customHeight="1" ht="17.25">
      <c r="A17" s="7">
        <v>45827</v>
      </c>
      <c r="B17" s="9" t="s">
        <v>3</v>
      </c>
      <c r="C17" s="6">
        <v>20</v>
      </c>
      <c r="D17" s="4"/>
      <c r="E17" s="27">
        <f>E16+C17-D17</f>
      </c>
    </row>
    <row x14ac:dyDescent="0.25" r="18" customHeight="1" ht="17.25">
      <c r="A18" s="8">
        <v>45840</v>
      </c>
      <c r="B18" s="9" t="s">
        <v>3</v>
      </c>
      <c r="C18" s="6">
        <v>10</v>
      </c>
      <c r="D18" s="4"/>
      <c r="E18" s="27">
        <f>E17+C18-D18</f>
      </c>
    </row>
    <row x14ac:dyDescent="0.25" r="19" customHeight="1" ht="17.25">
      <c r="A19" s="7">
        <v>45887</v>
      </c>
      <c r="B19" s="9" t="s">
        <v>26</v>
      </c>
      <c r="C19" s="4"/>
      <c r="D19" s="6">
        <v>126</v>
      </c>
      <c r="E19" s="27">
        <f>E18+C19-D19</f>
      </c>
    </row>
    <row x14ac:dyDescent="0.25" r="20" customHeight="1" ht="17.25">
      <c r="A20" s="8">
        <v>45913</v>
      </c>
      <c r="B20" s="9" t="s">
        <v>26</v>
      </c>
      <c r="C20" s="6">
        <v>50</v>
      </c>
      <c r="D20" s="4"/>
      <c r="E20" s="27">
        <f>E19+C20-D20</f>
      </c>
    </row>
    <row x14ac:dyDescent="0.25" r="21" customHeight="1" ht="17.25">
      <c r="A21" s="7">
        <v>45929</v>
      </c>
      <c r="B21" s="9" t="s">
        <v>124</v>
      </c>
      <c r="C21" s="4"/>
      <c r="D21" s="6">
        <v>300</v>
      </c>
      <c r="E21" s="27">
        <f>E20+C21-D21</f>
      </c>
    </row>
    <row x14ac:dyDescent="0.25" r="22" customHeight="1" ht="17.25">
      <c r="A22" s="8">
        <v>45941</v>
      </c>
      <c r="B22" s="9" t="s">
        <v>26</v>
      </c>
      <c r="C22" s="6">
        <v>4</v>
      </c>
      <c r="D22" s="4"/>
      <c r="E22" s="27">
        <f>E21+C22-D22</f>
      </c>
    </row>
    <row x14ac:dyDescent="0.25" r="23" customHeight="1" ht="17.25">
      <c r="A23" s="7">
        <v>45945</v>
      </c>
      <c r="B23" s="9" t="s">
        <v>26</v>
      </c>
      <c r="C23" s="6">
        <v>27</v>
      </c>
      <c r="D23" s="4"/>
      <c r="E23" s="27">
        <f>E22+C23-D23</f>
      </c>
    </row>
    <row x14ac:dyDescent="0.25" r="24" customHeight="1" ht="17.25">
      <c r="A24" s="8">
        <v>45947</v>
      </c>
      <c r="B24" s="9" t="s">
        <v>3</v>
      </c>
      <c r="C24" s="6">
        <v>21</v>
      </c>
      <c r="D24" s="4"/>
      <c r="E24" s="27">
        <f>E23+C24-D24</f>
      </c>
    </row>
    <row x14ac:dyDescent="0.25" r="25" customHeight="1" ht="17.25">
      <c r="A25" s="7">
        <v>45951</v>
      </c>
      <c r="B25" s="9" t="s">
        <v>3</v>
      </c>
      <c r="C25" s="6">
        <v>3</v>
      </c>
      <c r="D25" s="4"/>
      <c r="E25" s="27">
        <f>E24+C25-D25</f>
      </c>
    </row>
    <row x14ac:dyDescent="0.25" r="26" customHeight="1" ht="17.25">
      <c r="A26" s="7">
        <v>45951</v>
      </c>
      <c r="B26" s="9" t="s">
        <v>26</v>
      </c>
      <c r="C26" s="6">
        <v>12</v>
      </c>
      <c r="D26" s="4"/>
      <c r="E26" s="27">
        <f>E25+C26-D26</f>
      </c>
    </row>
    <row x14ac:dyDescent="0.25" r="27" customHeight="1" ht="17.25">
      <c r="A27" s="7">
        <v>45953</v>
      </c>
      <c r="B27" s="9" t="s">
        <v>26</v>
      </c>
      <c r="C27" s="6">
        <v>3</v>
      </c>
      <c r="D27" s="4"/>
      <c r="E27" s="27">
        <f>E26+C27-D27</f>
      </c>
    </row>
    <row x14ac:dyDescent="0.25" r="28" customHeight="1" ht="17.25">
      <c r="A28" s="8">
        <v>45958</v>
      </c>
      <c r="B28" s="9" t="s">
        <v>26</v>
      </c>
      <c r="C28" s="6">
        <v>17</v>
      </c>
      <c r="D28" s="4"/>
      <c r="E28" s="27">
        <f>E27+C28-D28</f>
      </c>
    </row>
    <row x14ac:dyDescent="0.25" r="29" customHeight="1" ht="17.25">
      <c r="A29" s="7">
        <v>45959</v>
      </c>
      <c r="B29" s="9" t="s">
        <v>3</v>
      </c>
      <c r="C29" s="6">
        <v>1</v>
      </c>
      <c r="D29" s="4"/>
      <c r="E29" s="27">
        <f>E28+C29-D29</f>
      </c>
    </row>
    <row x14ac:dyDescent="0.25" r="30" customHeight="1" ht="17.25">
      <c r="A30" s="7">
        <v>45980</v>
      </c>
      <c r="B30" s="9" t="s">
        <v>26</v>
      </c>
      <c r="C30" s="6">
        <v>2</v>
      </c>
      <c r="D30" s="4"/>
      <c r="E30" s="27">
        <f>E29+C30-D30</f>
      </c>
    </row>
    <row x14ac:dyDescent="0.25" r="31" customHeight="1" ht="17.25">
      <c r="A31" s="7">
        <v>45993</v>
      </c>
      <c r="B31" s="9" t="s">
        <v>26</v>
      </c>
      <c r="C31" s="6">
        <v>8</v>
      </c>
      <c r="D31" s="4"/>
      <c r="E31" s="27">
        <f>E30+C31-D31</f>
      </c>
    </row>
    <row x14ac:dyDescent="0.25" r="32" customHeight="1" ht="17.25">
      <c r="A32" s="7">
        <v>45993</v>
      </c>
      <c r="B32" s="9" t="s">
        <v>26</v>
      </c>
      <c r="C32" s="6">
        <v>62</v>
      </c>
      <c r="D32" s="4"/>
      <c r="E32" s="27">
        <f>E31+C32-D32</f>
      </c>
    </row>
    <row x14ac:dyDescent="0.25" r="33" customHeight="1" ht="17.25">
      <c r="A33" s="7">
        <v>45994</v>
      </c>
      <c r="B33" s="9" t="s">
        <v>123</v>
      </c>
      <c r="C33" s="6">
        <v>3</v>
      </c>
      <c r="D33" s="4"/>
      <c r="E33" s="27">
        <f>E32+C33-D33</f>
      </c>
    </row>
    <row x14ac:dyDescent="0.25" r="34" customHeight="1" ht="17.25">
      <c r="A34" s="7">
        <v>46007</v>
      </c>
      <c r="B34" s="9" t="s">
        <v>26</v>
      </c>
      <c r="C34" s="6">
        <v>2</v>
      </c>
      <c r="D34" s="4"/>
      <c r="E34" s="27">
        <f>E33+C34-D34</f>
      </c>
    </row>
    <row x14ac:dyDescent="0.25" r="35" customHeight="1" ht="17.25">
      <c r="A35" s="1"/>
      <c r="B35" s="2"/>
      <c r="C35" s="4"/>
      <c r="D35" s="4"/>
      <c r="E35" s="27">
        <f>E34+C35-D35</f>
      </c>
    </row>
    <row x14ac:dyDescent="0.25" r="36" customHeight="1" ht="17.25">
      <c r="A36" s="1"/>
      <c r="B36" s="2"/>
      <c r="C36" s="4"/>
      <c r="D36" s="4"/>
      <c r="E36" s="27">
        <f>E35+C36-D36</f>
      </c>
    </row>
    <row x14ac:dyDescent="0.25" r="37" customHeight="1" ht="17.25">
      <c r="A37" s="1"/>
      <c r="B37" s="2"/>
      <c r="C37" s="4"/>
      <c r="D37" s="4"/>
      <c r="E37" s="27">
        <f>E36+C37-D37</f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9.290714285714284" customWidth="1" bestFit="1"/>
    <col min="3" max="3" style="11" width="12.43357142857143" customWidth="1" bestFit="1"/>
    <col min="4" max="4" style="11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120</v>
      </c>
      <c r="B1" s="2"/>
      <c r="C1" s="2"/>
      <c r="D1" s="2"/>
      <c r="E1" s="3"/>
    </row>
    <row x14ac:dyDescent="0.25" r="2" customHeight="1" ht="17.25">
      <c r="A2" s="1"/>
      <c r="B2" s="2"/>
      <c r="C2" s="2"/>
      <c r="D2" s="2"/>
      <c r="E2" s="3"/>
    </row>
    <row x14ac:dyDescent="0.25" r="3" customHeight="1" ht="17.25">
      <c r="A3" s="7">
        <v>45658</v>
      </c>
      <c r="B3" s="2" t="s">
        <v>121</v>
      </c>
      <c r="C3" s="2"/>
      <c r="D3" s="2"/>
      <c r="E3" s="6">
        <v>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6.290714285714284" customWidth="1" bestFit="1"/>
    <col min="3" max="3" style="13" width="12.43357142857143" customWidth="1" bestFit="1"/>
    <col min="4" max="4" style="12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117</v>
      </c>
      <c r="B1" s="2"/>
      <c r="C1" s="4"/>
      <c r="D1" s="3"/>
      <c r="E1" s="4"/>
    </row>
    <row x14ac:dyDescent="0.25" r="2" customHeight="1" ht="17.25">
      <c r="A2" s="1"/>
      <c r="B2" s="2"/>
      <c r="C2" s="4"/>
      <c r="D2" s="3"/>
      <c r="E2" s="4"/>
    </row>
    <row x14ac:dyDescent="0.25" r="3" customHeight="1" ht="17.25">
      <c r="A3" s="7">
        <v>45658</v>
      </c>
      <c r="B3" s="2" t="s">
        <v>1</v>
      </c>
      <c r="C3" s="4"/>
      <c r="D3" s="3"/>
      <c r="E3" s="6">
        <v>1421</v>
      </c>
    </row>
    <row x14ac:dyDescent="0.25" r="4" customHeight="1" ht="17.25">
      <c r="A4" s="7">
        <v>45660</v>
      </c>
      <c r="B4" s="2" t="s">
        <v>11</v>
      </c>
      <c r="C4" s="6">
        <v>7</v>
      </c>
      <c r="D4" s="3"/>
      <c r="E4" s="6">
        <f>E3+C4-D4</f>
      </c>
    </row>
    <row x14ac:dyDescent="0.25" r="5" customHeight="1" ht="17.25">
      <c r="A5" s="7">
        <v>45670</v>
      </c>
      <c r="B5" s="2" t="s">
        <v>31</v>
      </c>
      <c r="C5" s="6">
        <v>32</v>
      </c>
      <c r="D5" s="3"/>
      <c r="E5" s="6">
        <f>E4+C5-D5</f>
      </c>
    </row>
    <row x14ac:dyDescent="0.25" r="6" customHeight="1" ht="17.25">
      <c r="A6" s="8">
        <v>45688</v>
      </c>
      <c r="B6" s="9" t="s">
        <v>31</v>
      </c>
      <c r="C6" s="6">
        <v>2</v>
      </c>
      <c r="D6" s="3"/>
      <c r="E6" s="6">
        <f>E5+C6-D6</f>
      </c>
    </row>
    <row x14ac:dyDescent="0.25" r="7" customHeight="1" ht="17.25">
      <c r="A7" s="7">
        <v>45695</v>
      </c>
      <c r="B7" s="2" t="s">
        <v>3</v>
      </c>
      <c r="C7" s="4"/>
      <c r="D7" s="6">
        <v>100</v>
      </c>
      <c r="E7" s="6">
        <f>E6+C7-D7</f>
      </c>
    </row>
    <row x14ac:dyDescent="0.25" r="8" customHeight="1" ht="17.25">
      <c r="A8" s="8">
        <v>45696</v>
      </c>
      <c r="B8" s="9" t="s">
        <v>35</v>
      </c>
      <c r="C8" s="6">
        <v>5</v>
      </c>
      <c r="D8" s="3"/>
      <c r="E8" s="6">
        <f>E7+C8-D8</f>
      </c>
    </row>
    <row x14ac:dyDescent="0.25" r="9" customHeight="1" ht="17.25">
      <c r="A9" s="7">
        <v>45702</v>
      </c>
      <c r="B9" s="2" t="s">
        <v>11</v>
      </c>
      <c r="C9" s="6">
        <v>26</v>
      </c>
      <c r="D9" s="3"/>
      <c r="E9" s="6">
        <f>E8+C9-D9</f>
      </c>
    </row>
    <row x14ac:dyDescent="0.25" r="10" customHeight="1" ht="17.25">
      <c r="A10" s="7">
        <v>45709</v>
      </c>
      <c r="B10" s="9" t="s">
        <v>35</v>
      </c>
      <c r="C10" s="6">
        <v>16</v>
      </c>
      <c r="D10" s="3"/>
      <c r="E10" s="6">
        <f>E9+C10-D10</f>
      </c>
    </row>
    <row x14ac:dyDescent="0.25" r="11" customHeight="1" ht="17.25">
      <c r="A11" s="7">
        <v>45710</v>
      </c>
      <c r="B11" s="2" t="s">
        <v>11</v>
      </c>
      <c r="C11" s="6">
        <v>15</v>
      </c>
      <c r="D11" s="3"/>
      <c r="E11" s="6">
        <f>E10+C11-D11</f>
      </c>
    </row>
    <row x14ac:dyDescent="0.25" r="12" customHeight="1" ht="17.25">
      <c r="A12" s="7">
        <v>45712</v>
      </c>
      <c r="B12" s="9" t="s">
        <v>35</v>
      </c>
      <c r="C12" s="6">
        <v>24</v>
      </c>
      <c r="D12" s="3"/>
      <c r="E12" s="6">
        <f>E11+C12-D12</f>
      </c>
    </row>
    <row x14ac:dyDescent="0.25" r="13" customHeight="1" ht="17.25">
      <c r="A13" s="8">
        <v>45719</v>
      </c>
      <c r="B13" s="9" t="s">
        <v>35</v>
      </c>
      <c r="C13" s="6">
        <v>2</v>
      </c>
      <c r="D13" s="3"/>
      <c r="E13" s="6">
        <f>E12+C13-D13</f>
      </c>
    </row>
    <row x14ac:dyDescent="0.25" r="14" customHeight="1" ht="17.25">
      <c r="A14" s="8">
        <v>45719</v>
      </c>
      <c r="B14" s="9" t="s">
        <v>118</v>
      </c>
      <c r="C14" s="6">
        <v>1</v>
      </c>
      <c r="D14" s="3"/>
      <c r="E14" s="6">
        <f>E13+C14-D14</f>
      </c>
    </row>
    <row x14ac:dyDescent="0.25" r="15" customHeight="1" ht="17.25">
      <c r="A15" s="8">
        <v>45722</v>
      </c>
      <c r="B15" s="9" t="s">
        <v>35</v>
      </c>
      <c r="C15" s="6">
        <v>10</v>
      </c>
      <c r="D15" s="3"/>
      <c r="E15" s="6">
        <f>E14+C15-D15</f>
      </c>
    </row>
    <row x14ac:dyDescent="0.25" r="16" customHeight="1" ht="17.25">
      <c r="A16" s="8">
        <v>45724</v>
      </c>
      <c r="B16" s="9" t="s">
        <v>35</v>
      </c>
      <c r="C16" s="6">
        <v>25</v>
      </c>
      <c r="D16" s="3"/>
      <c r="E16" s="6">
        <f>E15+C16-D16</f>
      </c>
    </row>
    <row x14ac:dyDescent="0.25" r="17" customHeight="1" ht="17.25">
      <c r="A17" s="7">
        <v>45726</v>
      </c>
      <c r="B17" s="9" t="s">
        <v>35</v>
      </c>
      <c r="C17" s="6">
        <v>1</v>
      </c>
      <c r="D17" s="3"/>
      <c r="E17" s="6">
        <f>E16+C17-D17</f>
      </c>
    </row>
    <row x14ac:dyDescent="0.25" r="18" customHeight="1" ht="17.25">
      <c r="A18" s="8">
        <v>45726</v>
      </c>
      <c r="B18" s="9" t="s">
        <v>35</v>
      </c>
      <c r="C18" s="6">
        <v>5</v>
      </c>
      <c r="D18" s="3"/>
      <c r="E18" s="6">
        <f>E17+C18-D18</f>
      </c>
    </row>
    <row x14ac:dyDescent="0.25" r="19" customHeight="1" ht="17.25">
      <c r="A19" s="7">
        <v>45727</v>
      </c>
      <c r="B19" s="9" t="s">
        <v>35</v>
      </c>
      <c r="C19" s="6">
        <v>4</v>
      </c>
      <c r="D19" s="3"/>
      <c r="E19" s="6">
        <f>E18+C19-D19</f>
      </c>
    </row>
    <row x14ac:dyDescent="0.25" r="20" customHeight="1" ht="17.25">
      <c r="A20" s="8">
        <v>45733</v>
      </c>
      <c r="B20" s="9" t="s">
        <v>11</v>
      </c>
      <c r="C20" s="6">
        <v>7</v>
      </c>
      <c r="D20" s="3"/>
      <c r="E20" s="6">
        <f>E19+C20-D20</f>
      </c>
    </row>
    <row x14ac:dyDescent="0.25" r="21" customHeight="1" ht="17.25">
      <c r="A21" s="8">
        <v>45735</v>
      </c>
      <c r="B21" s="9" t="s">
        <v>119</v>
      </c>
      <c r="C21" s="6">
        <v>11</v>
      </c>
      <c r="D21" s="3"/>
      <c r="E21" s="6">
        <f>E20+C21-D21</f>
      </c>
    </row>
    <row x14ac:dyDescent="0.25" r="22" customHeight="1" ht="17.25">
      <c r="A22" s="8">
        <v>45736</v>
      </c>
      <c r="B22" s="9" t="s">
        <v>11</v>
      </c>
      <c r="C22" s="6">
        <v>6</v>
      </c>
      <c r="D22" s="3"/>
      <c r="E22" s="6">
        <f>E21+C22-D22</f>
      </c>
    </row>
    <row x14ac:dyDescent="0.25" r="23" customHeight="1" ht="17.25">
      <c r="A23" s="7">
        <v>45738</v>
      </c>
      <c r="B23" s="9" t="s">
        <v>3</v>
      </c>
      <c r="C23" s="6">
        <v>24</v>
      </c>
      <c r="D23" s="3"/>
      <c r="E23" s="6">
        <f>E22+C23-D23</f>
      </c>
    </row>
    <row x14ac:dyDescent="0.25" r="24" customHeight="1" ht="17.25">
      <c r="A24" s="7">
        <v>45817</v>
      </c>
      <c r="B24" s="9" t="s">
        <v>41</v>
      </c>
      <c r="C24" s="4"/>
      <c r="D24" s="6">
        <v>220</v>
      </c>
      <c r="E24" s="6">
        <f>E23+C24-D24</f>
      </c>
    </row>
    <row x14ac:dyDescent="0.25" r="25" customHeight="1" ht="17.25">
      <c r="A25" s="7">
        <v>45825</v>
      </c>
      <c r="B25" s="9" t="s">
        <v>3</v>
      </c>
      <c r="C25" s="6">
        <v>13</v>
      </c>
      <c r="D25" s="3"/>
      <c r="E25" s="6">
        <f>E24+C25-D25</f>
      </c>
    </row>
    <row x14ac:dyDescent="0.25" r="26" customHeight="1" ht="17.25">
      <c r="A26" s="8">
        <v>45827</v>
      </c>
      <c r="B26" s="9" t="s">
        <v>3</v>
      </c>
      <c r="C26" s="6">
        <v>14</v>
      </c>
      <c r="D26" s="3"/>
      <c r="E26" s="6">
        <f>E25+C26-D26</f>
      </c>
    </row>
    <row x14ac:dyDescent="0.25" r="27" customHeight="1" ht="17.25">
      <c r="A27" s="8">
        <v>45840</v>
      </c>
      <c r="B27" s="9" t="s">
        <v>3</v>
      </c>
      <c r="C27" s="6">
        <v>7</v>
      </c>
      <c r="D27" s="3"/>
      <c r="E27" s="6">
        <f>E26+C27-D27</f>
      </c>
    </row>
    <row x14ac:dyDescent="0.25" r="28" customHeight="1" ht="17.25">
      <c r="A28" s="7">
        <v>45842</v>
      </c>
      <c r="B28" s="9" t="s">
        <v>41</v>
      </c>
      <c r="C28" s="4"/>
      <c r="D28" s="6">
        <v>80</v>
      </c>
      <c r="E28" s="6">
        <f>E27+C28-D28</f>
      </c>
    </row>
    <row x14ac:dyDescent="0.25" r="29" customHeight="1" ht="17.25">
      <c r="A29" s="8">
        <v>45867</v>
      </c>
      <c r="B29" s="9" t="s">
        <v>46</v>
      </c>
      <c r="C29" s="4"/>
      <c r="D29" s="6">
        <v>80</v>
      </c>
      <c r="E29" s="6">
        <f>E28+C29-D29</f>
      </c>
    </row>
    <row x14ac:dyDescent="0.25" r="30" customHeight="1" ht="17.25">
      <c r="A30" s="7">
        <v>45869</v>
      </c>
      <c r="B30" s="9" t="s">
        <v>41</v>
      </c>
      <c r="C30" s="6">
        <v>80</v>
      </c>
      <c r="D30" s="3"/>
      <c r="E30" s="6">
        <f>E29+C30-D30</f>
      </c>
    </row>
    <row x14ac:dyDescent="0.25" r="31" customHeight="1" ht="17.25">
      <c r="A31" s="7">
        <v>45873</v>
      </c>
      <c r="B31" s="9" t="s">
        <v>41</v>
      </c>
      <c r="C31" s="6">
        <v>50</v>
      </c>
      <c r="D31" s="3"/>
      <c r="E31" s="6">
        <f>E30+C31-D31</f>
      </c>
    </row>
    <row x14ac:dyDescent="0.25" r="32" customHeight="1" ht="17.25">
      <c r="A32" s="7">
        <v>45883</v>
      </c>
      <c r="B32" s="9" t="s">
        <v>41</v>
      </c>
      <c r="C32" s="6">
        <v>4</v>
      </c>
      <c r="D32" s="3"/>
      <c r="E32" s="6">
        <f>E31+C32-D32</f>
      </c>
    </row>
    <row x14ac:dyDescent="0.25" r="33" customHeight="1" ht="17.25">
      <c r="A33" s="8">
        <v>45904</v>
      </c>
      <c r="B33" s="9" t="s">
        <v>46</v>
      </c>
      <c r="C33" s="6">
        <v>3</v>
      </c>
      <c r="D33" s="3"/>
      <c r="E33" s="6">
        <f>E32+C33-D33</f>
      </c>
    </row>
    <row x14ac:dyDescent="0.25" r="34" customHeight="1" ht="17.25">
      <c r="A34" s="7">
        <v>45910</v>
      </c>
      <c r="B34" s="9" t="s">
        <v>46</v>
      </c>
      <c r="C34" s="6">
        <v>28</v>
      </c>
      <c r="D34" s="3"/>
      <c r="E34" s="6">
        <f>E33+C34-D34</f>
      </c>
    </row>
    <row x14ac:dyDescent="0.25" r="35" customHeight="1" ht="17.25">
      <c r="A35" s="7">
        <v>45919</v>
      </c>
      <c r="B35" s="9" t="s">
        <v>46</v>
      </c>
      <c r="C35" s="6">
        <v>34</v>
      </c>
      <c r="D35" s="3"/>
      <c r="E35" s="6">
        <f>E34+C35-D35</f>
      </c>
    </row>
    <row x14ac:dyDescent="0.25" r="36" customHeight="1" ht="17.25">
      <c r="A36" s="7">
        <v>45920</v>
      </c>
      <c r="B36" s="9" t="s">
        <v>46</v>
      </c>
      <c r="C36" s="6">
        <v>7</v>
      </c>
      <c r="D36" s="3"/>
      <c r="E36" s="6">
        <f>E35+C36-D36</f>
      </c>
    </row>
    <row x14ac:dyDescent="0.25" r="37" customHeight="1" ht="17.25">
      <c r="A37" s="7">
        <v>45927</v>
      </c>
      <c r="B37" s="9" t="s">
        <v>41</v>
      </c>
      <c r="C37" s="6">
        <v>2</v>
      </c>
      <c r="D37" s="3"/>
      <c r="E37" s="6">
        <f>E36+C37-D37</f>
      </c>
    </row>
    <row x14ac:dyDescent="0.25" r="38" customHeight="1" ht="17.25">
      <c r="A38" s="7">
        <v>45930</v>
      </c>
      <c r="B38" s="9" t="s">
        <v>41</v>
      </c>
      <c r="C38" s="6">
        <v>60</v>
      </c>
      <c r="D38" s="3"/>
      <c r="E38" s="6">
        <f>E37+C38-D38</f>
      </c>
    </row>
    <row x14ac:dyDescent="0.25" r="39" customHeight="1" ht="17.25">
      <c r="A39" s="7">
        <v>45931</v>
      </c>
      <c r="B39" s="9" t="s">
        <v>41</v>
      </c>
      <c r="C39" s="6">
        <v>60</v>
      </c>
      <c r="D39" s="3"/>
      <c r="E39" s="6">
        <f>E38+C39-D39</f>
      </c>
    </row>
    <row x14ac:dyDescent="0.25" r="40" customHeight="1" ht="17.25">
      <c r="A40" s="7">
        <v>45934</v>
      </c>
      <c r="B40" s="9" t="s">
        <v>41</v>
      </c>
      <c r="C40" s="6">
        <v>26</v>
      </c>
      <c r="D40" s="3"/>
      <c r="E40" s="6">
        <f>E39+C40-D40</f>
      </c>
    </row>
    <row x14ac:dyDescent="0.25" r="41" customHeight="1" ht="17.25">
      <c r="A41" s="8">
        <v>45947</v>
      </c>
      <c r="B41" s="9" t="s">
        <v>3</v>
      </c>
      <c r="C41" s="6">
        <v>30</v>
      </c>
      <c r="D41" s="3"/>
      <c r="E41" s="4"/>
    </row>
    <row x14ac:dyDescent="0.25" r="42" customHeight="1" ht="17.25">
      <c r="A42" s="7">
        <v>45951</v>
      </c>
      <c r="B42" s="9" t="s">
        <v>3</v>
      </c>
      <c r="C42" s="6">
        <v>4</v>
      </c>
      <c r="D42" s="3"/>
      <c r="E42" s="4"/>
    </row>
    <row x14ac:dyDescent="0.25" r="43" customHeight="1" ht="17.25">
      <c r="A43" s="8">
        <v>45962</v>
      </c>
      <c r="B43" s="9" t="s">
        <v>3</v>
      </c>
      <c r="C43" s="6">
        <v>3</v>
      </c>
      <c r="D43" s="3"/>
      <c r="E43" s="4"/>
    </row>
    <row x14ac:dyDescent="0.25" r="44" customHeight="1" ht="17.25">
      <c r="A44" s="8">
        <v>45988</v>
      </c>
      <c r="B44" s="9" t="s">
        <v>41</v>
      </c>
      <c r="C44" s="6">
        <v>16</v>
      </c>
      <c r="D44" s="3"/>
      <c r="E44" s="4"/>
    </row>
    <row x14ac:dyDescent="0.25" r="45" customHeight="1" ht="17.25">
      <c r="A45" s="7">
        <v>46001</v>
      </c>
      <c r="B45" s="9" t="s">
        <v>46</v>
      </c>
      <c r="C45" s="4"/>
      <c r="D45" s="6">
        <v>60</v>
      </c>
      <c r="E45" s="4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5.576428571428572" customWidth="1" bestFit="1"/>
    <col min="3" max="3" style="13" width="12.43357142857143" customWidth="1" bestFit="1"/>
    <col min="4" max="4" style="12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114</v>
      </c>
      <c r="B1" s="2"/>
      <c r="C1" s="4"/>
      <c r="D1" s="3"/>
      <c r="E1" s="3"/>
    </row>
    <row x14ac:dyDescent="0.25" r="2" customHeight="1" ht="17.25">
      <c r="A2" s="1" t="s">
        <v>115</v>
      </c>
      <c r="B2" s="2"/>
      <c r="C2" s="4"/>
      <c r="D2" s="3"/>
      <c r="E2" s="3"/>
    </row>
    <row x14ac:dyDescent="0.25" r="3" customHeight="1" ht="17.25">
      <c r="A3" s="1"/>
      <c r="B3" s="2"/>
      <c r="C3" s="4"/>
      <c r="D3" s="3"/>
      <c r="E3" s="3"/>
    </row>
    <row x14ac:dyDescent="0.25" r="4" customHeight="1" ht="17.25">
      <c r="A4" s="7">
        <v>45658</v>
      </c>
      <c r="B4" s="2" t="s">
        <v>116</v>
      </c>
      <c r="C4" s="4"/>
      <c r="D4" s="3"/>
      <c r="E4" s="3"/>
    </row>
    <row x14ac:dyDescent="0.25" r="5" customHeight="1" ht="17.25">
      <c r="A5" s="8">
        <v>45764</v>
      </c>
      <c r="B5" s="9" t="s">
        <v>35</v>
      </c>
      <c r="C5" s="6">
        <v>3</v>
      </c>
      <c r="D5" s="3"/>
      <c r="E5" s="3"/>
    </row>
    <row x14ac:dyDescent="0.25" r="6" customHeight="1" ht="17.25">
      <c r="A6" s="7">
        <v>45774</v>
      </c>
      <c r="B6" s="2" t="s">
        <v>41</v>
      </c>
      <c r="C6" s="4"/>
      <c r="D6" s="6">
        <v>300</v>
      </c>
      <c r="E6" s="3"/>
    </row>
    <row x14ac:dyDescent="0.25" r="7" customHeight="1" ht="17.25">
      <c r="A7" s="7">
        <v>45780</v>
      </c>
      <c r="B7" s="2" t="s">
        <v>41</v>
      </c>
      <c r="C7" s="4"/>
      <c r="D7" s="6">
        <v>100</v>
      </c>
      <c r="E7" s="3"/>
    </row>
    <row x14ac:dyDescent="0.25" r="8" customHeight="1" ht="17.25">
      <c r="A8" s="7">
        <v>45873</v>
      </c>
      <c r="B8" s="2" t="s">
        <v>41</v>
      </c>
      <c r="C8" s="6">
        <v>19</v>
      </c>
      <c r="D8" s="3"/>
      <c r="E8" s="6">
        <v>19</v>
      </c>
    </row>
    <row x14ac:dyDescent="0.25" r="9" customHeight="1" ht="17.25">
      <c r="A9" s="7">
        <v>45880</v>
      </c>
      <c r="B9" s="2" t="s">
        <v>41</v>
      </c>
      <c r="C9" s="6">
        <v>4</v>
      </c>
      <c r="D9" s="3"/>
      <c r="E9" s="6">
        <f>E8+C9-D9</f>
      </c>
    </row>
    <row x14ac:dyDescent="0.25" r="10" customHeight="1" ht="17.25">
      <c r="A10" s="7">
        <v>45881</v>
      </c>
      <c r="B10" s="2" t="s">
        <v>41</v>
      </c>
      <c r="C10" s="6">
        <v>38</v>
      </c>
      <c r="D10" s="3"/>
      <c r="E10" s="6">
        <f>E9+C10-D10</f>
      </c>
    </row>
    <row x14ac:dyDescent="0.25" r="11" customHeight="1" ht="17.25">
      <c r="A11" s="8">
        <v>45967</v>
      </c>
      <c r="B11" s="9" t="s">
        <v>23</v>
      </c>
      <c r="C11" s="4"/>
      <c r="D11" s="6">
        <v>10</v>
      </c>
      <c r="E11" s="6">
        <f>E10+C11-D11</f>
      </c>
    </row>
    <row x14ac:dyDescent="0.25" r="12" customHeight="1" ht="17.25">
      <c r="A12" s="7">
        <v>45975</v>
      </c>
      <c r="B12" s="2" t="s">
        <v>41</v>
      </c>
      <c r="C12" s="6">
        <v>160</v>
      </c>
      <c r="D12" s="3"/>
      <c r="E12" s="6">
        <f>E11+C12-D12</f>
      </c>
    </row>
    <row x14ac:dyDescent="0.25" r="13" customHeight="1" ht="17.25">
      <c r="A13" s="7">
        <v>45987</v>
      </c>
      <c r="B13" s="2" t="s">
        <v>54</v>
      </c>
      <c r="C13" s="4"/>
      <c r="D13" s="6">
        <v>130</v>
      </c>
      <c r="E13" s="6">
        <f>E12+C13-D13</f>
      </c>
    </row>
    <row x14ac:dyDescent="0.25" r="14" customHeight="1" ht="17.25">
      <c r="A14" s="8">
        <v>45988</v>
      </c>
      <c r="B14" s="9" t="s">
        <v>41</v>
      </c>
      <c r="C14" s="6">
        <v>22</v>
      </c>
      <c r="D14" s="3"/>
      <c r="E14" s="6">
        <f>E13+C14-D14</f>
      </c>
    </row>
    <row x14ac:dyDescent="0.25" r="15" customHeight="1" ht="17.25">
      <c r="A15" s="8">
        <v>45994</v>
      </c>
      <c r="B15" s="9" t="s">
        <v>23</v>
      </c>
      <c r="C15" s="6">
        <v>10</v>
      </c>
      <c r="D15" s="3"/>
      <c r="E15" s="6">
        <f>E14+C15-D15</f>
      </c>
    </row>
    <row x14ac:dyDescent="0.25" r="16" customHeight="1" ht="17.25">
      <c r="A16" s="7">
        <v>45999</v>
      </c>
      <c r="B16" s="2" t="s">
        <v>41</v>
      </c>
      <c r="C16" s="6">
        <v>6</v>
      </c>
      <c r="D16" s="3"/>
      <c r="E16" s="6">
        <f>E15+C16-D16</f>
      </c>
    </row>
    <row x14ac:dyDescent="0.25" r="17" customHeight="1" ht="17.25">
      <c r="A17" s="7">
        <v>46006</v>
      </c>
      <c r="B17" s="2" t="s">
        <v>55</v>
      </c>
      <c r="C17" s="4"/>
      <c r="D17" s="6">
        <v>40</v>
      </c>
      <c r="E17" s="6">
        <f>E16+C17-D17</f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1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0.862142857142857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109</v>
      </c>
      <c r="B1" s="2"/>
      <c r="C1" s="4"/>
      <c r="D1" s="4"/>
      <c r="E1" s="3"/>
      <c r="F1" s="2"/>
    </row>
    <row x14ac:dyDescent="0.25" r="2" customHeight="1" ht="17.25">
      <c r="A2" s="1"/>
      <c r="B2" s="2"/>
      <c r="C2" s="4"/>
      <c r="D2" s="4"/>
      <c r="E2" s="3"/>
      <c r="F2" s="2"/>
    </row>
    <row x14ac:dyDescent="0.25" r="3" customHeight="1" ht="17.25">
      <c r="A3" s="7">
        <v>45658</v>
      </c>
      <c r="B3" s="2" t="s">
        <v>1</v>
      </c>
      <c r="C3" s="4"/>
      <c r="D3" s="4"/>
      <c r="E3" s="14">
        <v>446</v>
      </c>
      <c r="F3" s="2"/>
    </row>
    <row x14ac:dyDescent="0.25" r="4" customHeight="1" ht="17.25">
      <c r="A4" s="8">
        <v>45660</v>
      </c>
      <c r="B4" s="9" t="s">
        <v>35</v>
      </c>
      <c r="C4" s="6">
        <v>11</v>
      </c>
      <c r="D4" s="4"/>
      <c r="E4" s="6">
        <f>E3+C4-D4</f>
      </c>
      <c r="F4" s="2"/>
    </row>
    <row x14ac:dyDescent="0.25" r="5" customHeight="1" ht="17.25">
      <c r="A5" s="7">
        <v>45660</v>
      </c>
      <c r="B5" s="2" t="s">
        <v>11</v>
      </c>
      <c r="C5" s="6">
        <v>9</v>
      </c>
      <c r="D5" s="4"/>
      <c r="E5" s="6">
        <f>E4+C5-D5</f>
      </c>
      <c r="F5" s="2"/>
    </row>
    <row x14ac:dyDescent="0.25" r="6" customHeight="1" ht="17.25">
      <c r="A6" s="7">
        <v>45666</v>
      </c>
      <c r="B6" s="2" t="s">
        <v>35</v>
      </c>
      <c r="C6" s="6">
        <v>37</v>
      </c>
      <c r="D6" s="4"/>
      <c r="E6" s="6">
        <f>E5+C6-D6</f>
      </c>
      <c r="F6" s="2"/>
    </row>
    <row x14ac:dyDescent="0.25" r="7" customHeight="1" ht="17.25">
      <c r="A7" s="8">
        <v>45670</v>
      </c>
      <c r="B7" s="9" t="s">
        <v>35</v>
      </c>
      <c r="C7" s="6">
        <v>44</v>
      </c>
      <c r="D7" s="4"/>
      <c r="E7" s="6">
        <f>E6+C7-D7</f>
      </c>
      <c r="F7" s="2"/>
    </row>
    <row x14ac:dyDescent="0.25" r="8" customHeight="1" ht="17.25">
      <c r="A8" s="8">
        <v>45678</v>
      </c>
      <c r="B8" s="9" t="s">
        <v>35</v>
      </c>
      <c r="C8" s="6">
        <v>15</v>
      </c>
      <c r="D8" s="4"/>
      <c r="E8" s="6">
        <f>E7+C8-D8</f>
      </c>
      <c r="F8" s="2"/>
    </row>
    <row x14ac:dyDescent="0.25" r="9" customHeight="1" ht="17.25">
      <c r="A9" s="8">
        <v>45689</v>
      </c>
      <c r="B9" s="9" t="s">
        <v>35</v>
      </c>
      <c r="C9" s="6">
        <v>6</v>
      </c>
      <c r="D9" s="4"/>
      <c r="E9" s="6">
        <f>E8+C9-D9</f>
      </c>
      <c r="F9" s="2"/>
    </row>
    <row x14ac:dyDescent="0.25" r="10" customHeight="1" ht="17.25">
      <c r="A10" s="8">
        <v>45689</v>
      </c>
      <c r="B10" s="9" t="s">
        <v>39</v>
      </c>
      <c r="C10" s="6">
        <v>50</v>
      </c>
      <c r="D10" s="4"/>
      <c r="E10" s="6">
        <f>E9+C10-D10</f>
      </c>
      <c r="F10" s="2"/>
    </row>
    <row x14ac:dyDescent="0.25" r="11" customHeight="1" ht="17.25">
      <c r="A11" s="8">
        <v>45691</v>
      </c>
      <c r="B11" s="9" t="s">
        <v>35</v>
      </c>
      <c r="C11" s="6">
        <v>30</v>
      </c>
      <c r="D11" s="4"/>
      <c r="E11" s="6">
        <f>E10+C11-D11</f>
      </c>
      <c r="F11" s="2"/>
    </row>
    <row x14ac:dyDescent="0.25" r="12" customHeight="1" ht="17.25">
      <c r="A12" s="8">
        <v>45695</v>
      </c>
      <c r="B12" s="9" t="s">
        <v>11</v>
      </c>
      <c r="C12" s="6">
        <v>27</v>
      </c>
      <c r="D12" s="4"/>
      <c r="E12" s="6">
        <f>E11+C12-D12</f>
      </c>
      <c r="F12" s="2"/>
    </row>
    <row x14ac:dyDescent="0.25" r="13" customHeight="1" ht="17.25">
      <c r="A13" s="8">
        <v>45696</v>
      </c>
      <c r="B13" s="9" t="s">
        <v>3</v>
      </c>
      <c r="C13" s="4"/>
      <c r="D13" s="6">
        <v>50</v>
      </c>
      <c r="E13" s="6">
        <f>E12+C13-D13</f>
      </c>
      <c r="F13" s="2"/>
    </row>
    <row x14ac:dyDescent="0.25" r="14" customHeight="1" ht="17.25">
      <c r="A14" s="8">
        <v>45696</v>
      </c>
      <c r="B14" s="9" t="s">
        <v>35</v>
      </c>
      <c r="C14" s="6">
        <v>5</v>
      </c>
      <c r="D14" s="4"/>
      <c r="E14" s="6">
        <f>E13+C14-D14</f>
      </c>
      <c r="F14" s="2"/>
    </row>
    <row x14ac:dyDescent="0.25" r="15" customHeight="1" ht="17.25">
      <c r="A15" s="7">
        <v>45698</v>
      </c>
      <c r="B15" s="9" t="s">
        <v>3</v>
      </c>
      <c r="C15" s="4"/>
      <c r="D15" s="6">
        <v>30</v>
      </c>
      <c r="E15" s="6">
        <f>E14+C15-D15</f>
      </c>
      <c r="F15" s="2"/>
    </row>
    <row x14ac:dyDescent="0.25" r="16" customHeight="1" ht="17.25">
      <c r="A16" s="7">
        <v>45698</v>
      </c>
      <c r="B16" s="9" t="s">
        <v>3</v>
      </c>
      <c r="C16" s="4"/>
      <c r="D16" s="6">
        <v>200</v>
      </c>
      <c r="E16" s="6">
        <f>E15+C16-D16</f>
      </c>
      <c r="F16" s="2"/>
    </row>
    <row x14ac:dyDescent="0.25" r="17" customHeight="1" ht="17.25">
      <c r="A17" s="8">
        <v>45702</v>
      </c>
      <c r="B17" s="9" t="s">
        <v>39</v>
      </c>
      <c r="C17" s="6">
        <v>19</v>
      </c>
      <c r="D17" s="4"/>
      <c r="E17" s="6">
        <f>E16+C17-D17</f>
      </c>
      <c r="F17" s="2"/>
    </row>
    <row x14ac:dyDescent="0.25" r="18" customHeight="1" ht="17.25">
      <c r="A18" s="7">
        <v>45703</v>
      </c>
      <c r="B18" s="9" t="s">
        <v>35</v>
      </c>
      <c r="C18" s="6">
        <v>9</v>
      </c>
      <c r="D18" s="4"/>
      <c r="E18" s="6">
        <f>E17+C18-D18</f>
      </c>
      <c r="F18" s="2"/>
    </row>
    <row x14ac:dyDescent="0.25" r="19" customHeight="1" ht="17.25">
      <c r="A19" s="8">
        <v>45705</v>
      </c>
      <c r="B19" s="9" t="s">
        <v>3</v>
      </c>
      <c r="C19" s="4"/>
      <c r="D19" s="6">
        <v>400</v>
      </c>
      <c r="E19" s="6">
        <f>E18+C19-D19</f>
      </c>
      <c r="F19" s="2"/>
    </row>
    <row x14ac:dyDescent="0.25" r="20" customHeight="1" ht="17.25">
      <c r="A20" s="7">
        <v>45706</v>
      </c>
      <c r="B20" s="9" t="s">
        <v>3</v>
      </c>
      <c r="C20" s="4"/>
      <c r="D20" s="6">
        <v>53</v>
      </c>
      <c r="E20" s="6">
        <f>E19+C20-D20</f>
      </c>
      <c r="F20" s="2"/>
    </row>
    <row x14ac:dyDescent="0.25" r="21" customHeight="1" ht="17.25">
      <c r="A21" s="8">
        <v>45707</v>
      </c>
      <c r="B21" s="9" t="s">
        <v>35</v>
      </c>
      <c r="C21" s="6">
        <v>1</v>
      </c>
      <c r="D21" s="4"/>
      <c r="E21" s="6">
        <f>E20+C21-D21</f>
      </c>
      <c r="F21" s="2"/>
    </row>
    <row x14ac:dyDescent="0.25" r="22" customHeight="1" ht="17.25">
      <c r="A22" s="8">
        <v>45709</v>
      </c>
      <c r="B22" s="9" t="s">
        <v>35</v>
      </c>
      <c r="C22" s="6">
        <v>5</v>
      </c>
      <c r="D22" s="4"/>
      <c r="E22" s="6">
        <f>E21+C22-D22</f>
      </c>
      <c r="F22" s="2"/>
    </row>
    <row x14ac:dyDescent="0.25" r="23" customHeight="1" ht="17.25">
      <c r="A23" s="7">
        <v>45710</v>
      </c>
      <c r="B23" s="9" t="s">
        <v>3</v>
      </c>
      <c r="C23" s="4"/>
      <c r="D23" s="6">
        <v>5</v>
      </c>
      <c r="E23" s="6">
        <f>E22+C23-D23</f>
      </c>
      <c r="F23" s="2"/>
    </row>
    <row x14ac:dyDescent="0.25" r="24" customHeight="1" ht="17.25">
      <c r="A24" s="7">
        <v>45710</v>
      </c>
      <c r="B24" s="9" t="s">
        <v>11</v>
      </c>
      <c r="C24" s="6">
        <v>10</v>
      </c>
      <c r="D24" s="4"/>
      <c r="E24" s="6">
        <f>E23+C24-D24</f>
      </c>
      <c r="F24" s="2"/>
    </row>
    <row x14ac:dyDescent="0.25" r="25" customHeight="1" ht="17.25">
      <c r="A25" s="7">
        <v>45712</v>
      </c>
      <c r="B25" s="9" t="s">
        <v>3</v>
      </c>
      <c r="C25" s="4"/>
      <c r="D25" s="6">
        <v>11</v>
      </c>
      <c r="E25" s="6">
        <f>E24+C25-D25</f>
      </c>
      <c r="F25" s="2"/>
    </row>
    <row x14ac:dyDescent="0.25" r="26" customHeight="1" ht="17.25">
      <c r="A26" s="7">
        <v>45712</v>
      </c>
      <c r="B26" s="9" t="s">
        <v>35</v>
      </c>
      <c r="C26" s="6">
        <v>4</v>
      </c>
      <c r="D26" s="4"/>
      <c r="E26" s="6">
        <f>E25+C26-D26</f>
      </c>
      <c r="F26" s="2"/>
    </row>
    <row x14ac:dyDescent="0.25" r="27" customHeight="1" ht="17.25">
      <c r="A27" s="7">
        <v>45719</v>
      </c>
      <c r="B27" s="9" t="s">
        <v>35</v>
      </c>
      <c r="C27" s="6">
        <v>2</v>
      </c>
      <c r="D27" s="4"/>
      <c r="E27" s="6">
        <f>E26+C27-D27</f>
      </c>
      <c r="F27" s="2"/>
    </row>
    <row x14ac:dyDescent="0.25" r="28" customHeight="1" ht="17.25">
      <c r="A28" s="8">
        <v>45721</v>
      </c>
      <c r="B28" s="9" t="s">
        <v>39</v>
      </c>
      <c r="C28" s="6">
        <v>8</v>
      </c>
      <c r="D28" s="4"/>
      <c r="E28" s="6">
        <f>E27+C28-D28</f>
      </c>
      <c r="F28" s="2"/>
    </row>
    <row x14ac:dyDescent="0.25" r="29" customHeight="1" ht="17.25">
      <c r="A29" s="7">
        <v>45722</v>
      </c>
      <c r="B29" s="9" t="s">
        <v>35</v>
      </c>
      <c r="C29" s="6">
        <v>1</v>
      </c>
      <c r="D29" s="4"/>
      <c r="E29" s="6">
        <f>E28+C29-D29</f>
      </c>
      <c r="F29" s="2"/>
    </row>
    <row x14ac:dyDescent="0.25" r="30" customHeight="1" ht="17.25">
      <c r="A30" s="7">
        <v>45724</v>
      </c>
      <c r="B30" s="9" t="s">
        <v>35</v>
      </c>
      <c r="C30" s="6">
        <v>21</v>
      </c>
      <c r="D30" s="4"/>
      <c r="E30" s="6">
        <f>E29+C30-D30</f>
      </c>
      <c r="F30" s="2"/>
    </row>
    <row x14ac:dyDescent="0.25" r="31" customHeight="1" ht="17.25">
      <c r="A31" s="7">
        <v>45727</v>
      </c>
      <c r="B31" s="9" t="s">
        <v>39</v>
      </c>
      <c r="C31" s="6">
        <v>6</v>
      </c>
      <c r="D31" s="4"/>
      <c r="E31" s="6">
        <f>E30+C31-D31</f>
      </c>
      <c r="F31" s="2"/>
    </row>
    <row x14ac:dyDescent="0.25" r="32" customHeight="1" ht="17.25">
      <c r="A32" s="8">
        <v>45730</v>
      </c>
      <c r="B32" s="9" t="s">
        <v>35</v>
      </c>
      <c r="C32" s="6">
        <v>14</v>
      </c>
      <c r="D32" s="4"/>
      <c r="E32" s="6">
        <f>E31+C32-D32</f>
      </c>
      <c r="F32" s="2"/>
    </row>
    <row x14ac:dyDescent="0.25" r="33" customHeight="1" ht="17.25">
      <c r="A33" s="8">
        <v>45738</v>
      </c>
      <c r="B33" s="9" t="s">
        <v>35</v>
      </c>
      <c r="C33" s="6">
        <v>5</v>
      </c>
      <c r="D33" s="4"/>
      <c r="E33" s="6">
        <f>E32+C33-D33</f>
      </c>
      <c r="F33" s="2"/>
    </row>
    <row x14ac:dyDescent="0.25" r="34" customHeight="1" ht="17.25">
      <c r="A34" s="7">
        <v>45757</v>
      </c>
      <c r="B34" s="9" t="s">
        <v>3</v>
      </c>
      <c r="C34" s="6">
        <v>323</v>
      </c>
      <c r="D34" s="4"/>
      <c r="E34" s="6">
        <f>E33+C34-D34</f>
      </c>
      <c r="F34" s="2"/>
    </row>
    <row x14ac:dyDescent="0.25" r="35" customHeight="1" ht="17.25">
      <c r="A35" s="8">
        <v>45764</v>
      </c>
      <c r="B35" s="9" t="s">
        <v>35</v>
      </c>
      <c r="C35" s="6">
        <v>1</v>
      </c>
      <c r="D35" s="4"/>
      <c r="E35" s="6">
        <f>E34+C35-D35</f>
      </c>
      <c r="F35" s="2"/>
    </row>
    <row x14ac:dyDescent="0.25" r="36" customHeight="1" ht="17.25">
      <c r="A36" s="7">
        <v>45766</v>
      </c>
      <c r="B36" s="9" t="s">
        <v>107</v>
      </c>
      <c r="C36" s="6">
        <v>80</v>
      </c>
      <c r="D36" s="4"/>
      <c r="E36" s="6">
        <f>E35+C36-D36</f>
      </c>
      <c r="F36" s="2"/>
    </row>
    <row x14ac:dyDescent="0.25" r="37" customHeight="1" ht="17.25">
      <c r="A37" s="7">
        <v>45791</v>
      </c>
      <c r="B37" s="9" t="s">
        <v>28</v>
      </c>
      <c r="C37" s="4"/>
      <c r="D37" s="6">
        <v>60</v>
      </c>
      <c r="E37" s="6">
        <f>E36+C37-D37</f>
      </c>
      <c r="F37" s="2"/>
    </row>
    <row x14ac:dyDescent="0.25" r="38" customHeight="1" ht="17.25">
      <c r="A38" s="7">
        <v>45791</v>
      </c>
      <c r="B38" s="9" t="s">
        <v>28</v>
      </c>
      <c r="C38" s="4"/>
      <c r="D38" s="6">
        <v>100</v>
      </c>
      <c r="E38" s="6">
        <f>E37+C38-D38</f>
      </c>
      <c r="F38" s="2"/>
    </row>
    <row x14ac:dyDescent="0.25" r="39" customHeight="1" ht="17.25">
      <c r="A39" s="7">
        <v>45792</v>
      </c>
      <c r="B39" s="9" t="s">
        <v>28</v>
      </c>
      <c r="C39" s="4"/>
      <c r="D39" s="6">
        <v>40</v>
      </c>
      <c r="E39" s="6">
        <f>E38+C39-D39</f>
      </c>
      <c r="F39" s="2"/>
    </row>
    <row x14ac:dyDescent="0.25" r="40" customHeight="1" ht="17.25">
      <c r="A40" s="7">
        <v>45821</v>
      </c>
      <c r="B40" s="9" t="s">
        <v>3</v>
      </c>
      <c r="C40" s="6">
        <v>97</v>
      </c>
      <c r="D40" s="4"/>
      <c r="E40" s="6">
        <f>E39+C40-D40</f>
      </c>
      <c r="F40" s="2"/>
    </row>
    <row x14ac:dyDescent="0.25" r="41" customHeight="1" ht="17.25">
      <c r="A41" s="7">
        <v>45825</v>
      </c>
      <c r="B41" s="9" t="s">
        <v>3</v>
      </c>
      <c r="C41" s="6">
        <v>168</v>
      </c>
      <c r="D41" s="4"/>
      <c r="E41" s="6">
        <f>E40+C41-D41</f>
      </c>
      <c r="F41" s="2"/>
    </row>
    <row x14ac:dyDescent="0.25" r="42" customHeight="1" ht="17.25">
      <c r="A42" s="8">
        <v>45827</v>
      </c>
      <c r="B42" s="9" t="s">
        <v>3</v>
      </c>
      <c r="C42" s="6">
        <v>51</v>
      </c>
      <c r="D42" s="4"/>
      <c r="E42" s="6">
        <f>E41+C42-D42</f>
      </c>
      <c r="F42" s="2"/>
    </row>
    <row x14ac:dyDescent="0.25" r="43" customHeight="1" ht="17.25">
      <c r="A43" s="8">
        <v>45832</v>
      </c>
      <c r="B43" s="9" t="s">
        <v>28</v>
      </c>
      <c r="C43" s="4"/>
      <c r="D43" s="6">
        <v>50</v>
      </c>
      <c r="E43" s="6">
        <f>E42+C43-D43</f>
      </c>
      <c r="F43" s="2"/>
    </row>
    <row x14ac:dyDescent="0.25" r="44" customHeight="1" ht="17.25">
      <c r="A44" s="8">
        <v>45832</v>
      </c>
      <c r="B44" s="9" t="s">
        <v>28</v>
      </c>
      <c r="C44" s="4"/>
      <c r="D44" s="6">
        <v>50</v>
      </c>
      <c r="E44" s="6">
        <f>E43+C44-D44</f>
      </c>
      <c r="F44" s="2"/>
    </row>
    <row x14ac:dyDescent="0.25" r="45" customHeight="1" ht="17.25">
      <c r="A45" s="8">
        <v>45832</v>
      </c>
      <c r="B45" s="9" t="s">
        <v>3</v>
      </c>
      <c r="C45" s="6">
        <v>10</v>
      </c>
      <c r="D45" s="4"/>
      <c r="E45" s="6">
        <f>E44+C45-D45</f>
      </c>
      <c r="F45" s="2"/>
    </row>
    <row x14ac:dyDescent="0.25" r="46" customHeight="1" ht="17.25">
      <c r="A46" s="7">
        <v>45839</v>
      </c>
      <c r="B46" s="9" t="s">
        <v>3</v>
      </c>
      <c r="C46" s="6">
        <v>7</v>
      </c>
      <c r="D46" s="4"/>
      <c r="E46" s="6">
        <f>E45+C46-D46</f>
      </c>
      <c r="F46" s="2"/>
    </row>
    <row x14ac:dyDescent="0.25" r="47" customHeight="1" ht="17.25">
      <c r="A47" s="8">
        <v>45840</v>
      </c>
      <c r="B47" s="9" t="s">
        <v>3</v>
      </c>
      <c r="C47" s="6">
        <v>3</v>
      </c>
      <c r="D47" s="4"/>
      <c r="E47" s="6">
        <f>E46+C47-D47</f>
      </c>
      <c r="F47" s="2"/>
    </row>
    <row x14ac:dyDescent="0.25" r="48" customHeight="1" ht="17.25">
      <c r="A48" s="8">
        <v>45843</v>
      </c>
      <c r="B48" s="9" t="s">
        <v>46</v>
      </c>
      <c r="C48" s="4"/>
      <c r="D48" s="6">
        <v>55</v>
      </c>
      <c r="E48" s="6">
        <f>E47+C48-D48</f>
      </c>
      <c r="F48" s="2"/>
    </row>
    <row x14ac:dyDescent="0.25" r="49" customHeight="1" ht="17.25">
      <c r="A49" s="8">
        <v>45848</v>
      </c>
      <c r="B49" s="9" t="s">
        <v>46</v>
      </c>
      <c r="C49" s="4"/>
      <c r="D49" s="6">
        <v>55</v>
      </c>
      <c r="E49" s="6">
        <f>E48+C49-D49</f>
      </c>
      <c r="F49" s="2" t="s">
        <v>110</v>
      </c>
    </row>
    <row x14ac:dyDescent="0.25" r="50" customHeight="1" ht="17.25">
      <c r="A50" s="1"/>
      <c r="B50" s="28" t="s">
        <v>68</v>
      </c>
      <c r="C50" s="29"/>
      <c r="D50" s="29"/>
      <c r="E50" s="14">
        <v>390</v>
      </c>
      <c r="F50" s="2"/>
    </row>
    <row x14ac:dyDescent="0.25" r="51" customHeight="1" ht="17.25">
      <c r="A51" s="1"/>
      <c r="B51" s="9" t="s">
        <v>111</v>
      </c>
      <c r="C51" s="4"/>
      <c r="D51" s="4"/>
      <c r="E51" s="6">
        <v>350</v>
      </c>
      <c r="F51" s="2"/>
    </row>
    <row x14ac:dyDescent="0.25" r="52" customHeight="1" ht="17.25">
      <c r="A52" s="7">
        <v>45856</v>
      </c>
      <c r="B52" s="9" t="s">
        <v>25</v>
      </c>
      <c r="C52" s="4"/>
      <c r="D52" s="6">
        <v>410</v>
      </c>
      <c r="E52" s="6">
        <v>0</v>
      </c>
      <c r="F52" s="2"/>
    </row>
    <row x14ac:dyDescent="0.25" r="53" customHeight="1" ht="17.25">
      <c r="A53" s="7">
        <v>45857</v>
      </c>
      <c r="B53" s="9" t="s">
        <v>106</v>
      </c>
      <c r="C53" s="6">
        <v>128</v>
      </c>
      <c r="D53" s="4"/>
      <c r="E53" s="6">
        <v>128</v>
      </c>
      <c r="F53" s="2"/>
    </row>
    <row x14ac:dyDescent="0.25" r="54" customHeight="1" ht="17.25">
      <c r="A54" s="7">
        <v>45860</v>
      </c>
      <c r="B54" s="9" t="s">
        <v>112</v>
      </c>
      <c r="C54" s="6">
        <v>97</v>
      </c>
      <c r="D54" s="4"/>
      <c r="E54" s="6">
        <f>E53+C54-D54</f>
      </c>
      <c r="F54" s="2"/>
    </row>
    <row x14ac:dyDescent="0.25" r="55" customHeight="1" ht="17.25">
      <c r="A55" s="7">
        <v>45860</v>
      </c>
      <c r="B55" s="9" t="s">
        <v>113</v>
      </c>
      <c r="C55" s="4"/>
      <c r="D55" s="6">
        <v>225</v>
      </c>
      <c r="E55" s="6">
        <v>0</v>
      </c>
      <c r="F55" s="2"/>
    </row>
    <row x14ac:dyDescent="0.25" r="56" customHeight="1" ht="17.25">
      <c r="A56" s="7">
        <v>45877</v>
      </c>
      <c r="B56" s="9" t="s">
        <v>28</v>
      </c>
      <c r="C56" s="6">
        <v>26</v>
      </c>
      <c r="D56" s="4"/>
      <c r="E56" s="6">
        <f>C56</f>
      </c>
      <c r="F56" s="2"/>
    </row>
    <row x14ac:dyDescent="0.25" r="57" customHeight="1" ht="17.25">
      <c r="A57" s="7">
        <v>45878</v>
      </c>
      <c r="B57" s="9" t="s">
        <v>28</v>
      </c>
      <c r="C57" s="6">
        <v>22</v>
      </c>
      <c r="D57" s="4"/>
      <c r="E57" s="6">
        <f>E56+C57-D57</f>
      </c>
      <c r="F57" s="2"/>
    </row>
    <row x14ac:dyDescent="0.25" r="58" customHeight="1" ht="17.25">
      <c r="A58" s="8">
        <v>45881</v>
      </c>
      <c r="B58" s="9" t="s">
        <v>28</v>
      </c>
      <c r="C58" s="6">
        <v>4</v>
      </c>
      <c r="D58" s="4"/>
      <c r="E58" s="6">
        <f>E57+C58-D58</f>
      </c>
      <c r="F58" s="2"/>
    </row>
    <row x14ac:dyDescent="0.25" r="59" customHeight="1" ht="17.25">
      <c r="A59" s="7">
        <v>45883</v>
      </c>
      <c r="B59" s="9" t="s">
        <v>28</v>
      </c>
      <c r="C59" s="6">
        <v>3</v>
      </c>
      <c r="D59" s="4"/>
      <c r="E59" s="6">
        <f>E58+C59-D59</f>
      </c>
      <c r="F59" s="2"/>
    </row>
    <row x14ac:dyDescent="0.25" r="60" customHeight="1" ht="17.25">
      <c r="A60" s="8">
        <v>45885</v>
      </c>
      <c r="B60" s="9" t="s">
        <v>28</v>
      </c>
      <c r="C60" s="6">
        <v>17</v>
      </c>
      <c r="D60" s="4"/>
      <c r="E60" s="6">
        <f>E59+C60-D60</f>
      </c>
      <c r="F60" s="2"/>
    </row>
    <row x14ac:dyDescent="0.25" r="61" customHeight="1" ht="17.25">
      <c r="A61" s="7">
        <v>45888</v>
      </c>
      <c r="B61" s="9" t="s">
        <v>28</v>
      </c>
      <c r="C61" s="6">
        <v>7</v>
      </c>
      <c r="D61" s="4"/>
      <c r="E61" s="6">
        <f>E60+C61-D61</f>
      </c>
      <c r="F61" s="2"/>
    </row>
    <row x14ac:dyDescent="0.25" r="62" customHeight="1" ht="17.25">
      <c r="A62" s="8">
        <v>45891</v>
      </c>
      <c r="B62" s="9" t="s">
        <v>28</v>
      </c>
      <c r="C62" s="6">
        <v>35</v>
      </c>
      <c r="D62" s="4"/>
      <c r="E62" s="6">
        <f>E61+C62-D62</f>
      </c>
      <c r="F62" s="2"/>
    </row>
    <row x14ac:dyDescent="0.25" r="63" customHeight="1" ht="17.25">
      <c r="A63" s="8">
        <v>45891</v>
      </c>
      <c r="B63" s="9" t="s">
        <v>28</v>
      </c>
      <c r="C63" s="6">
        <v>1</v>
      </c>
      <c r="D63" s="4"/>
      <c r="E63" s="6">
        <f>E62+C63-D63</f>
      </c>
      <c r="F63" s="2"/>
    </row>
    <row x14ac:dyDescent="0.25" r="64" customHeight="1" ht="17.25">
      <c r="A64" s="7">
        <v>45894</v>
      </c>
      <c r="B64" s="9" t="s">
        <v>28</v>
      </c>
      <c r="C64" s="6">
        <v>9</v>
      </c>
      <c r="D64" s="4"/>
      <c r="E64" s="6">
        <f>E63+C64-D64</f>
      </c>
      <c r="F64" s="2"/>
    </row>
    <row x14ac:dyDescent="0.25" r="65" customHeight="1" ht="17.25">
      <c r="A65" s="7">
        <v>45895</v>
      </c>
      <c r="B65" s="9" t="s">
        <v>28</v>
      </c>
      <c r="C65" s="6">
        <v>10</v>
      </c>
      <c r="D65" s="4"/>
      <c r="E65" s="6">
        <f>E64+C65-D65</f>
      </c>
      <c r="F65" s="2"/>
    </row>
    <row x14ac:dyDescent="0.25" r="66" customHeight="1" ht="17.25">
      <c r="A66" s="7">
        <v>45895</v>
      </c>
      <c r="B66" s="9" t="s">
        <v>46</v>
      </c>
      <c r="C66" s="6">
        <v>44</v>
      </c>
      <c r="D66" s="4"/>
      <c r="E66" s="6">
        <f>E65+C66-D66</f>
      </c>
      <c r="F66" s="2"/>
    </row>
    <row x14ac:dyDescent="0.25" r="67" customHeight="1" ht="17.25">
      <c r="A67" s="8">
        <v>45897</v>
      </c>
      <c r="B67" s="9" t="s">
        <v>28</v>
      </c>
      <c r="C67" s="6">
        <v>6</v>
      </c>
      <c r="D67" s="4"/>
      <c r="E67" s="6">
        <f>E66+C67-D67</f>
      </c>
      <c r="F67" s="2"/>
    </row>
    <row x14ac:dyDescent="0.25" r="68" customHeight="1" ht="17.25">
      <c r="A68" s="8">
        <v>45899</v>
      </c>
      <c r="B68" s="9" t="s">
        <v>28</v>
      </c>
      <c r="C68" s="6">
        <v>19</v>
      </c>
      <c r="D68" s="4"/>
      <c r="E68" s="6">
        <f>E67+C68-D68</f>
      </c>
      <c r="F68" s="2"/>
    </row>
    <row x14ac:dyDescent="0.25" r="69" customHeight="1" ht="17.25">
      <c r="A69" s="8">
        <v>45903</v>
      </c>
      <c r="B69" s="9" t="s">
        <v>28</v>
      </c>
      <c r="C69" s="6">
        <v>6</v>
      </c>
      <c r="D69" s="4"/>
      <c r="E69" s="6">
        <f>E68+C69-D69</f>
      </c>
      <c r="F69" s="2"/>
    </row>
    <row x14ac:dyDescent="0.25" r="70" customHeight="1" ht="17.25">
      <c r="A70" s="7">
        <v>45904</v>
      </c>
      <c r="B70" s="9" t="s">
        <v>46</v>
      </c>
      <c r="C70" s="6">
        <v>21</v>
      </c>
      <c r="D70" s="4"/>
      <c r="E70" s="6">
        <f>E69+C70-D70</f>
      </c>
      <c r="F70" s="2"/>
    </row>
    <row x14ac:dyDescent="0.25" r="71" customHeight="1" ht="17.25">
      <c r="A71" s="7">
        <v>45906</v>
      </c>
      <c r="B71" s="9" t="s">
        <v>28</v>
      </c>
      <c r="C71" s="6">
        <v>11</v>
      </c>
      <c r="D71" s="4"/>
      <c r="E71" s="6">
        <f>E70+C71-D71</f>
      </c>
      <c r="F71" s="2"/>
    </row>
    <row x14ac:dyDescent="0.25" r="72" customHeight="1" ht="17.25">
      <c r="A72" s="7">
        <v>45910</v>
      </c>
      <c r="B72" s="9" t="s">
        <v>46</v>
      </c>
      <c r="C72" s="6">
        <v>6</v>
      </c>
      <c r="D72" s="4"/>
      <c r="E72" s="6">
        <f>E71+C72-D72</f>
      </c>
      <c r="F72" s="2"/>
    </row>
    <row x14ac:dyDescent="0.25" r="73" customHeight="1" ht="17.25">
      <c r="A73" s="7">
        <v>45912</v>
      </c>
      <c r="B73" s="9" t="s">
        <v>46</v>
      </c>
      <c r="C73" s="6">
        <v>2</v>
      </c>
      <c r="D73" s="4"/>
      <c r="E73" s="6">
        <f>E72+C73-D73</f>
      </c>
      <c r="F73" s="2"/>
    </row>
    <row x14ac:dyDescent="0.25" r="74" customHeight="1" ht="17.25">
      <c r="A74" s="8">
        <v>45913</v>
      </c>
      <c r="B74" s="9" t="s">
        <v>26</v>
      </c>
      <c r="C74" s="6">
        <v>44</v>
      </c>
      <c r="D74" s="4"/>
      <c r="E74" s="6">
        <f>E73+C74-D74</f>
      </c>
      <c r="F74" s="2"/>
    </row>
    <row x14ac:dyDescent="0.25" r="75" customHeight="1" ht="17.25">
      <c r="A75" s="7">
        <v>45919</v>
      </c>
      <c r="B75" s="9" t="s">
        <v>46</v>
      </c>
      <c r="C75" s="6">
        <v>31</v>
      </c>
      <c r="D75" s="4"/>
      <c r="E75" s="6">
        <f>E74+C75-D75</f>
      </c>
      <c r="F75" s="2"/>
    </row>
    <row x14ac:dyDescent="0.25" r="76" customHeight="1" ht="17.25">
      <c r="A76" s="7">
        <v>45922</v>
      </c>
      <c r="B76" s="9" t="s">
        <v>28</v>
      </c>
      <c r="C76" s="6">
        <v>1</v>
      </c>
      <c r="D76" s="4"/>
      <c r="E76" s="6">
        <f>E75+C76-D76</f>
      </c>
      <c r="F76" s="2"/>
    </row>
    <row x14ac:dyDescent="0.25" r="77" customHeight="1" ht="17.25">
      <c r="A77" s="7">
        <v>45923</v>
      </c>
      <c r="B77" s="9" t="s">
        <v>26</v>
      </c>
      <c r="C77" s="6">
        <v>104</v>
      </c>
      <c r="D77" s="4"/>
      <c r="E77" s="6">
        <f>E76+C77-D77</f>
      </c>
      <c r="F77" s="2"/>
    </row>
    <row x14ac:dyDescent="0.25" r="78" customHeight="1" ht="17.25">
      <c r="A78" s="7">
        <v>45927</v>
      </c>
      <c r="B78" s="9" t="s">
        <v>26</v>
      </c>
      <c r="C78" s="6">
        <v>77</v>
      </c>
      <c r="D78" s="4"/>
      <c r="E78" s="6">
        <f>E77+C78-D78</f>
      </c>
      <c r="F78" s="2"/>
    </row>
    <row x14ac:dyDescent="0.25" r="79" customHeight="1" ht="17.25">
      <c r="A79" s="7">
        <v>45929</v>
      </c>
      <c r="B79" s="9" t="s">
        <v>106</v>
      </c>
      <c r="C79" s="6">
        <v>4</v>
      </c>
      <c r="D79" s="4"/>
      <c r="E79" s="6">
        <f>E78+C79-D79</f>
      </c>
      <c r="F79" s="2"/>
    </row>
    <row x14ac:dyDescent="0.25" r="80" customHeight="1" ht="17.25">
      <c r="A80" s="7">
        <v>45929</v>
      </c>
      <c r="B80" s="9" t="s">
        <v>106</v>
      </c>
      <c r="C80" s="6">
        <v>32</v>
      </c>
      <c r="D80" s="4"/>
      <c r="E80" s="6">
        <f>E79+C80-D80</f>
      </c>
      <c r="F80" s="2"/>
    </row>
    <row x14ac:dyDescent="0.25" r="81" customHeight="1" ht="17.25">
      <c r="A81" s="8">
        <v>45931</v>
      </c>
      <c r="B81" s="9" t="s">
        <v>106</v>
      </c>
      <c r="C81" s="6">
        <v>5</v>
      </c>
      <c r="D81" s="4"/>
      <c r="E81" s="6">
        <f>E80+C81-D81</f>
      </c>
      <c r="F81" s="2"/>
    </row>
    <row x14ac:dyDescent="0.25" r="82" customHeight="1" ht="17.25">
      <c r="A82" s="7">
        <v>45932</v>
      </c>
      <c r="B82" s="9" t="s">
        <v>106</v>
      </c>
      <c r="C82" s="6">
        <v>20</v>
      </c>
      <c r="D82" s="4"/>
      <c r="E82" s="6">
        <f>E81+C82-D82</f>
      </c>
      <c r="F82" s="2"/>
    </row>
    <row x14ac:dyDescent="0.25" r="83" customHeight="1" ht="17.25">
      <c r="A83" s="7">
        <v>45933</v>
      </c>
      <c r="B83" s="9" t="s">
        <v>26</v>
      </c>
      <c r="C83" s="6">
        <v>101</v>
      </c>
      <c r="D83" s="4"/>
      <c r="E83" s="6">
        <f>E82+C83-D83</f>
      </c>
      <c r="F83" s="2"/>
    </row>
    <row x14ac:dyDescent="0.25" r="84" customHeight="1" ht="17.25">
      <c r="A84" s="7">
        <v>45934</v>
      </c>
      <c r="B84" s="9" t="s">
        <v>106</v>
      </c>
      <c r="C84" s="6">
        <v>58</v>
      </c>
      <c r="D84" s="4"/>
      <c r="E84" s="6">
        <f>E83+C84-D84</f>
      </c>
      <c r="F84" s="2"/>
    </row>
    <row x14ac:dyDescent="0.25" r="85" customHeight="1" ht="17.25">
      <c r="A85" s="7">
        <v>45937</v>
      </c>
      <c r="B85" s="9" t="s">
        <v>106</v>
      </c>
      <c r="C85" s="6">
        <v>5</v>
      </c>
      <c r="D85" s="4"/>
      <c r="E85" s="6">
        <f>E84+C85-D85</f>
      </c>
      <c r="F85" s="2"/>
    </row>
    <row x14ac:dyDescent="0.25" r="86" customHeight="1" ht="17.25">
      <c r="A86" s="7">
        <v>45939</v>
      </c>
      <c r="B86" s="9" t="s">
        <v>106</v>
      </c>
      <c r="C86" s="6">
        <v>23</v>
      </c>
      <c r="D86" s="4"/>
      <c r="E86" s="6">
        <f>E85+C86-D86</f>
      </c>
      <c r="F86" s="2"/>
    </row>
    <row x14ac:dyDescent="0.25" r="87" customHeight="1" ht="17.25">
      <c r="A87" s="8">
        <v>45940</v>
      </c>
      <c r="B87" s="9" t="s">
        <v>106</v>
      </c>
      <c r="C87" s="6">
        <v>8</v>
      </c>
      <c r="D87" s="4"/>
      <c r="E87" s="6">
        <f>E86+C87-D87</f>
      </c>
      <c r="F87" s="2"/>
    </row>
    <row x14ac:dyDescent="0.25" r="88" customHeight="1" ht="17.25">
      <c r="A88" s="8">
        <v>45941</v>
      </c>
      <c r="B88" s="9" t="s">
        <v>26</v>
      </c>
      <c r="C88" s="6">
        <v>20</v>
      </c>
      <c r="D88" s="4"/>
      <c r="E88" s="6">
        <f>E87+C88-D88</f>
      </c>
      <c r="F88" s="2"/>
    </row>
    <row x14ac:dyDescent="0.25" r="89" customHeight="1" ht="17.25">
      <c r="A89" s="7">
        <v>45944</v>
      </c>
      <c r="B89" s="9" t="s">
        <v>106</v>
      </c>
      <c r="C89" s="6">
        <v>1</v>
      </c>
      <c r="D89" s="4"/>
      <c r="E89" s="6">
        <f>E88+C89-D89</f>
      </c>
      <c r="F89" s="2"/>
    </row>
    <row x14ac:dyDescent="0.25" r="90" customHeight="1" ht="17.25">
      <c r="A90" s="7">
        <v>45945</v>
      </c>
      <c r="B90" s="9" t="s">
        <v>106</v>
      </c>
      <c r="C90" s="6">
        <v>11</v>
      </c>
      <c r="D90" s="4"/>
      <c r="E90" s="6">
        <f>E89+C90-D90</f>
      </c>
      <c r="F90" s="2"/>
    </row>
    <row x14ac:dyDescent="0.25" r="91" customHeight="1" ht="17.25">
      <c r="A91" s="7">
        <v>45945</v>
      </c>
      <c r="B91" s="9" t="s">
        <v>26</v>
      </c>
      <c r="C91" s="6">
        <v>43</v>
      </c>
      <c r="D91" s="4"/>
      <c r="E91" s="6">
        <f>E90+C91-D91</f>
      </c>
      <c r="F91" s="2"/>
    </row>
    <row x14ac:dyDescent="0.25" r="92" customHeight="1" ht="17.25">
      <c r="A92" s="8">
        <v>45946</v>
      </c>
      <c r="B92" s="9" t="s">
        <v>106</v>
      </c>
      <c r="C92" s="6">
        <v>24</v>
      </c>
      <c r="D92" s="4"/>
      <c r="E92" s="6">
        <f>E91+C92-D92</f>
      </c>
      <c r="F92" s="2"/>
    </row>
    <row x14ac:dyDescent="0.25" r="93" customHeight="1" ht="17.25">
      <c r="A93" s="8">
        <v>45947</v>
      </c>
      <c r="B93" s="9" t="s">
        <v>3</v>
      </c>
      <c r="C93" s="6">
        <v>4</v>
      </c>
      <c r="D93" s="4"/>
      <c r="E93" s="6">
        <f>E92+C93-D93</f>
      </c>
      <c r="F93" s="2"/>
    </row>
    <row x14ac:dyDescent="0.25" r="94" customHeight="1" ht="17.25">
      <c r="A94" s="7">
        <v>45951</v>
      </c>
      <c r="B94" s="9" t="s">
        <v>106</v>
      </c>
      <c r="C94" s="6">
        <v>13</v>
      </c>
      <c r="D94" s="4"/>
      <c r="E94" s="6">
        <f>E93+C94-D94</f>
      </c>
      <c r="F94" s="2"/>
    </row>
    <row x14ac:dyDescent="0.25" r="95" customHeight="1" ht="17.25">
      <c r="A95" s="7">
        <v>45951</v>
      </c>
      <c r="B95" s="9" t="s">
        <v>26</v>
      </c>
      <c r="C95" s="6">
        <v>117</v>
      </c>
      <c r="D95" s="4"/>
      <c r="E95" s="6">
        <f>E94+C95-D95</f>
      </c>
      <c r="F95" s="2"/>
    </row>
    <row x14ac:dyDescent="0.25" r="96" customHeight="1" ht="17.25">
      <c r="A96" s="7">
        <v>45955</v>
      </c>
      <c r="B96" s="9" t="s">
        <v>106</v>
      </c>
      <c r="C96" s="6">
        <v>9</v>
      </c>
      <c r="D96" s="4"/>
      <c r="E96" s="6">
        <f>E95+C96-D96</f>
      </c>
      <c r="F96" s="2"/>
    </row>
    <row x14ac:dyDescent="0.25" r="97" customHeight="1" ht="17.25">
      <c r="A97" s="8">
        <v>45958</v>
      </c>
      <c r="B97" s="9" t="s">
        <v>26</v>
      </c>
      <c r="C97" s="6">
        <v>26</v>
      </c>
      <c r="D97" s="4"/>
      <c r="E97" s="6">
        <f>E96+C97-D97</f>
      </c>
      <c r="F97" s="2"/>
    </row>
    <row x14ac:dyDescent="0.25" r="98" customHeight="1" ht="17.25">
      <c r="A98" s="8">
        <v>45962</v>
      </c>
      <c r="B98" s="9" t="s">
        <v>26</v>
      </c>
      <c r="C98" s="6">
        <v>78</v>
      </c>
      <c r="D98" s="4"/>
      <c r="E98" s="6">
        <f>E97+C98-D98</f>
      </c>
      <c r="F98" s="2"/>
    </row>
    <row x14ac:dyDescent="0.25" r="99" customHeight="1" ht="17.25">
      <c r="A99" s="7">
        <v>45968</v>
      </c>
      <c r="B99" s="9" t="s">
        <v>106</v>
      </c>
      <c r="C99" s="6">
        <v>3</v>
      </c>
      <c r="D99" s="4"/>
      <c r="E99" s="6">
        <f>E98+C99-D99</f>
      </c>
      <c r="F99" s="2"/>
    </row>
    <row x14ac:dyDescent="0.25" r="100" customHeight="1" ht="17.25">
      <c r="A100" s="7">
        <v>45992</v>
      </c>
      <c r="B100" s="9" t="s">
        <v>28</v>
      </c>
      <c r="C100" s="6">
        <v>2</v>
      </c>
      <c r="D100" s="4"/>
      <c r="E100" s="6">
        <f>E99+C100-D100</f>
      </c>
      <c r="F100" s="2"/>
    </row>
    <row x14ac:dyDescent="0.25" r="101" customHeight="1" ht="17.25">
      <c r="A101" s="8">
        <v>45995</v>
      </c>
      <c r="B101" s="9" t="s">
        <v>55</v>
      </c>
      <c r="C101" s="4"/>
      <c r="D101" s="6">
        <v>43</v>
      </c>
      <c r="E101" s="6">
        <f>E100+C101-D101</f>
      </c>
      <c r="F101" s="2"/>
    </row>
    <row x14ac:dyDescent="0.25" r="102" customHeight="1" ht="17.25">
      <c r="A102" s="30">
        <v>45997</v>
      </c>
      <c r="B102" s="9" t="s">
        <v>28</v>
      </c>
      <c r="C102" s="6">
        <v>13</v>
      </c>
      <c r="D102" s="4"/>
      <c r="E102" s="6">
        <f>E101+C102-D102</f>
      </c>
      <c r="F102" s="2"/>
    </row>
    <row x14ac:dyDescent="0.25" r="103" customHeight="1" ht="17.25">
      <c r="A103" s="7">
        <v>45999</v>
      </c>
      <c r="B103" s="9" t="s">
        <v>106</v>
      </c>
      <c r="C103" s="6">
        <v>7</v>
      </c>
      <c r="D103" s="4"/>
      <c r="E103" s="6">
        <f>E102+C103-D103</f>
      </c>
      <c r="F103" s="2"/>
    </row>
    <row x14ac:dyDescent="0.25" r="104" customHeight="1" ht="17.25">
      <c r="A104" s="7">
        <v>45999</v>
      </c>
      <c r="B104" s="9" t="s">
        <v>106</v>
      </c>
      <c r="C104" s="6">
        <v>6</v>
      </c>
      <c r="D104" s="4"/>
      <c r="E104" s="6">
        <f>E103+C104-D104</f>
      </c>
      <c r="F104" s="2"/>
    </row>
    <row x14ac:dyDescent="0.25" r="105" customHeight="1" ht="17.25">
      <c r="A105" s="8">
        <v>46001</v>
      </c>
      <c r="B105" s="9" t="s">
        <v>46</v>
      </c>
      <c r="C105" s="4"/>
      <c r="D105" s="6">
        <v>150</v>
      </c>
      <c r="E105" s="6">
        <f>E104+C105-D105</f>
      </c>
      <c r="F105" s="2"/>
    </row>
    <row x14ac:dyDescent="0.25" r="106" customHeight="1" ht="17.25">
      <c r="A106" s="7">
        <v>46001</v>
      </c>
      <c r="B106" s="9" t="s">
        <v>106</v>
      </c>
      <c r="C106" s="6">
        <v>11</v>
      </c>
      <c r="D106" s="4"/>
      <c r="E106" s="6">
        <f>E105+C106-D106</f>
      </c>
      <c r="F106" s="2"/>
    </row>
    <row x14ac:dyDescent="0.25" r="107" customHeight="1" ht="17.25">
      <c r="A107" s="7">
        <v>46003</v>
      </c>
      <c r="B107" s="9" t="s">
        <v>46</v>
      </c>
      <c r="C107" s="4"/>
      <c r="D107" s="6">
        <v>150</v>
      </c>
      <c r="E107" s="6">
        <f>E106+C107-D107</f>
      </c>
      <c r="F107" s="2"/>
    </row>
    <row x14ac:dyDescent="0.25" r="108" customHeight="1" ht="17.25">
      <c r="A108" s="7">
        <v>46007</v>
      </c>
      <c r="B108" s="9" t="s">
        <v>26</v>
      </c>
      <c r="C108" s="6">
        <v>12</v>
      </c>
      <c r="D108" s="4"/>
      <c r="E108" s="6">
        <f>E107+C108-D108</f>
      </c>
      <c r="F108" s="2"/>
    </row>
    <row x14ac:dyDescent="0.25" r="109" customHeight="1" ht="17.25">
      <c r="A109" s="1"/>
      <c r="B109" s="2"/>
      <c r="C109" s="4"/>
      <c r="D109" s="4"/>
      <c r="E109" s="6">
        <f>E108+C109-D109</f>
      </c>
      <c r="F109" s="2"/>
    </row>
    <row x14ac:dyDescent="0.25" r="110" customHeight="1" ht="17.25">
      <c r="A110" s="1"/>
      <c r="B110" s="2"/>
      <c r="C110" s="4"/>
      <c r="D110" s="4"/>
      <c r="E110" s="6">
        <f>E109+C110-D110</f>
      </c>
      <c r="F110" s="2"/>
    </row>
    <row x14ac:dyDescent="0.25" r="111" customHeight="1" ht="17.25">
      <c r="A111" s="1"/>
      <c r="B111" s="2"/>
      <c r="C111" s="4"/>
      <c r="D111" s="4"/>
      <c r="E111" s="6">
        <f>E110+C111-D111</f>
      </c>
      <c r="F111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3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0.862142857142857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108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1</v>
      </c>
      <c r="C3" s="3"/>
      <c r="D3" s="4"/>
      <c r="E3" s="6">
        <v>112</v>
      </c>
    </row>
    <row x14ac:dyDescent="0.25" r="4" customHeight="1" ht="17.25">
      <c r="A4" s="7">
        <v>45666</v>
      </c>
      <c r="B4" s="2" t="s">
        <v>35</v>
      </c>
      <c r="C4" s="6">
        <v>23</v>
      </c>
      <c r="D4" s="4"/>
      <c r="E4" s="6">
        <f>E3+C4-D4</f>
      </c>
    </row>
    <row x14ac:dyDescent="0.25" r="5" customHeight="1" ht="17.25">
      <c r="A5" s="7">
        <v>45689</v>
      </c>
      <c r="B5" s="2" t="s">
        <v>35</v>
      </c>
      <c r="C5" s="6">
        <v>19</v>
      </c>
      <c r="D5" s="4"/>
      <c r="E5" s="6">
        <f>E4+C5-D5</f>
      </c>
    </row>
    <row x14ac:dyDescent="0.25" r="6" customHeight="1" ht="17.25">
      <c r="A6" s="8">
        <v>45691</v>
      </c>
      <c r="B6" s="9" t="s">
        <v>35</v>
      </c>
      <c r="C6" s="6">
        <v>3</v>
      </c>
      <c r="D6" s="4"/>
      <c r="E6" s="6">
        <f>E5+C6-D6</f>
      </c>
    </row>
    <row x14ac:dyDescent="0.25" r="7" customHeight="1" ht="17.25">
      <c r="A7" s="8">
        <v>45696</v>
      </c>
      <c r="B7" s="9" t="s">
        <v>35</v>
      </c>
      <c r="C7" s="6">
        <v>6</v>
      </c>
      <c r="D7" s="4"/>
      <c r="E7" s="6">
        <f>E6+C7-D7</f>
      </c>
    </row>
    <row x14ac:dyDescent="0.25" r="8" customHeight="1" ht="17.25">
      <c r="A8" s="8">
        <v>45705</v>
      </c>
      <c r="B8" s="9" t="s">
        <v>3</v>
      </c>
      <c r="C8" s="3"/>
      <c r="D8" s="6">
        <v>66</v>
      </c>
      <c r="E8" s="6">
        <f>E7+C8-D8</f>
      </c>
    </row>
    <row x14ac:dyDescent="0.25" r="9" customHeight="1" ht="17.25">
      <c r="A9" s="8">
        <v>45709</v>
      </c>
      <c r="B9" s="9" t="s">
        <v>35</v>
      </c>
      <c r="C9" s="6">
        <v>2</v>
      </c>
      <c r="D9" s="4"/>
      <c r="E9" s="6">
        <f>E8+C9-D9</f>
      </c>
    </row>
    <row x14ac:dyDescent="0.25" r="10" customHeight="1" ht="17.25">
      <c r="A10" s="8">
        <v>45724</v>
      </c>
      <c r="B10" s="9" t="s">
        <v>35</v>
      </c>
      <c r="C10" s="6">
        <v>5</v>
      </c>
      <c r="D10" s="4"/>
      <c r="E10" s="6">
        <f>E9+C10-D10</f>
      </c>
    </row>
    <row x14ac:dyDescent="0.25" r="11" customHeight="1" ht="17.25">
      <c r="A11" s="8">
        <v>45764</v>
      </c>
      <c r="B11" s="9" t="s">
        <v>35</v>
      </c>
      <c r="C11" s="6">
        <v>4</v>
      </c>
      <c r="D11" s="4"/>
      <c r="E11" s="6">
        <f>E10+C11-D11</f>
      </c>
    </row>
    <row x14ac:dyDescent="0.25" r="12" customHeight="1" ht="17.25">
      <c r="A12" s="7">
        <v>45791</v>
      </c>
      <c r="B12" s="9" t="s">
        <v>28</v>
      </c>
      <c r="C12" s="3"/>
      <c r="D12" s="6">
        <v>50</v>
      </c>
      <c r="E12" s="6">
        <f>E11+C12-D12</f>
      </c>
    </row>
    <row x14ac:dyDescent="0.25" r="13" customHeight="1" ht="17.25">
      <c r="A13" s="7">
        <v>45825</v>
      </c>
      <c r="B13" s="9" t="s">
        <v>3</v>
      </c>
      <c r="C13" s="6">
        <v>10</v>
      </c>
      <c r="D13" s="4"/>
      <c r="E13" s="6">
        <f>E12+C13-D13</f>
      </c>
    </row>
    <row x14ac:dyDescent="0.25" r="14" customHeight="1" ht="17.25">
      <c r="A14" s="8">
        <v>45827</v>
      </c>
      <c r="B14" s="9" t="s">
        <v>3</v>
      </c>
      <c r="C14" s="6">
        <v>42</v>
      </c>
      <c r="D14" s="4"/>
      <c r="E14" s="6">
        <f>E13+C14-D14</f>
      </c>
    </row>
    <row x14ac:dyDescent="0.25" r="15" customHeight="1" ht="17.25">
      <c r="A15" s="8">
        <v>45832</v>
      </c>
      <c r="B15" s="9" t="s">
        <v>3</v>
      </c>
      <c r="C15" s="6">
        <v>7</v>
      </c>
      <c r="D15" s="4"/>
      <c r="E15" s="6">
        <f>E14+C15-D15</f>
      </c>
    </row>
    <row x14ac:dyDescent="0.25" r="16" customHeight="1" ht="17.25">
      <c r="A16" s="7">
        <v>45833</v>
      </c>
      <c r="B16" s="9" t="s">
        <v>28</v>
      </c>
      <c r="C16" s="3"/>
      <c r="D16" s="6">
        <v>100</v>
      </c>
      <c r="E16" s="6">
        <f>E15+C16-D16</f>
      </c>
    </row>
    <row x14ac:dyDescent="0.25" r="17" customHeight="1" ht="17.25">
      <c r="A17" s="7">
        <v>45839</v>
      </c>
      <c r="B17" s="9" t="s">
        <v>3</v>
      </c>
      <c r="C17" s="6">
        <v>1</v>
      </c>
      <c r="D17" s="4"/>
      <c r="E17" s="6">
        <f>E16+C17-D17</f>
      </c>
    </row>
    <row x14ac:dyDescent="0.25" r="18" customHeight="1" ht="17.25">
      <c r="A18" s="8">
        <v>45840</v>
      </c>
      <c r="B18" s="9" t="s">
        <v>3</v>
      </c>
      <c r="C18" s="6">
        <v>2</v>
      </c>
      <c r="D18" s="4"/>
      <c r="E18" s="6">
        <f>E17+C18-D18</f>
      </c>
    </row>
    <row x14ac:dyDescent="0.25" r="19" customHeight="1" ht="17.25">
      <c r="A19" s="7">
        <v>45877</v>
      </c>
      <c r="B19" s="9" t="s">
        <v>28</v>
      </c>
      <c r="C19" s="6">
        <v>19</v>
      </c>
      <c r="D19" s="4"/>
      <c r="E19" s="6">
        <f>E18+C19-D19</f>
      </c>
    </row>
    <row x14ac:dyDescent="0.25" r="20" customHeight="1" ht="17.25">
      <c r="A20" s="7">
        <v>45878</v>
      </c>
      <c r="B20" s="9" t="s">
        <v>28</v>
      </c>
      <c r="C20" s="6">
        <v>5</v>
      </c>
      <c r="D20" s="4"/>
      <c r="E20" s="6">
        <f>E19+C20-D20</f>
      </c>
    </row>
    <row x14ac:dyDescent="0.25" r="21" customHeight="1" ht="17.25">
      <c r="A21" s="8">
        <v>45881</v>
      </c>
      <c r="B21" s="9" t="s">
        <v>28</v>
      </c>
      <c r="C21" s="6">
        <v>1</v>
      </c>
      <c r="D21" s="4"/>
      <c r="E21" s="6">
        <f>E20+C21-D21</f>
      </c>
    </row>
    <row x14ac:dyDescent="0.25" r="22" customHeight="1" ht="17.25">
      <c r="A22" s="7">
        <v>45885</v>
      </c>
      <c r="B22" s="9" t="s">
        <v>28</v>
      </c>
      <c r="C22" s="6">
        <v>6</v>
      </c>
      <c r="D22" s="4"/>
      <c r="E22" s="6">
        <f>E21+C22-D22</f>
      </c>
    </row>
    <row x14ac:dyDescent="0.25" r="23" customHeight="1" ht="17.25">
      <c r="A23" s="8">
        <v>45891</v>
      </c>
      <c r="B23" s="9" t="s">
        <v>28</v>
      </c>
      <c r="C23" s="6">
        <v>8</v>
      </c>
      <c r="D23" s="4"/>
      <c r="E23" s="6">
        <f>E22+C23-D23</f>
      </c>
    </row>
    <row x14ac:dyDescent="0.25" r="24" customHeight="1" ht="17.25">
      <c r="A24" s="7">
        <v>45894</v>
      </c>
      <c r="B24" s="9" t="s">
        <v>28</v>
      </c>
      <c r="C24" s="6">
        <v>4</v>
      </c>
      <c r="D24" s="4"/>
      <c r="E24" s="6">
        <f>E23+C24-D24</f>
      </c>
    </row>
    <row x14ac:dyDescent="0.25" r="25" customHeight="1" ht="17.25">
      <c r="A25" s="7">
        <v>45895</v>
      </c>
      <c r="B25" s="9" t="s">
        <v>28</v>
      </c>
      <c r="C25" s="6">
        <v>3</v>
      </c>
      <c r="D25" s="4"/>
      <c r="E25" s="6">
        <f>E24+C25-D25</f>
      </c>
    </row>
    <row x14ac:dyDescent="0.25" r="26" customHeight="1" ht="17.25">
      <c r="A26" s="8">
        <v>45897</v>
      </c>
      <c r="B26" s="9" t="s">
        <v>28</v>
      </c>
      <c r="C26" s="6">
        <v>17</v>
      </c>
      <c r="D26" s="4"/>
      <c r="E26" s="6">
        <f>E25+C26-D26</f>
      </c>
    </row>
    <row x14ac:dyDescent="0.25" r="27" customHeight="1" ht="17.25">
      <c r="A27" s="8">
        <v>45899</v>
      </c>
      <c r="B27" s="9" t="s">
        <v>28</v>
      </c>
      <c r="C27" s="6">
        <v>26</v>
      </c>
      <c r="D27" s="4"/>
      <c r="E27" s="6">
        <f>E26+C27-D27</f>
      </c>
    </row>
    <row x14ac:dyDescent="0.25" r="28" customHeight="1" ht="17.25">
      <c r="A28" s="8">
        <v>45903</v>
      </c>
      <c r="B28" s="9" t="s">
        <v>28</v>
      </c>
      <c r="C28" s="6">
        <v>3</v>
      </c>
      <c r="D28" s="4"/>
      <c r="E28" s="6">
        <f>E27+C28-D28</f>
      </c>
    </row>
    <row x14ac:dyDescent="0.25" r="29" customHeight="1" ht="17.25">
      <c r="A29" s="7">
        <v>45906</v>
      </c>
      <c r="B29" s="9" t="s">
        <v>28</v>
      </c>
      <c r="C29" s="6">
        <v>5</v>
      </c>
      <c r="D29" s="4"/>
      <c r="E29" s="6">
        <f>E28+C29-D29</f>
      </c>
    </row>
    <row x14ac:dyDescent="0.25" r="30" customHeight="1" ht="17.25">
      <c r="A30" s="7">
        <v>45922</v>
      </c>
      <c r="B30" s="9" t="s">
        <v>28</v>
      </c>
      <c r="C30" s="6">
        <v>3</v>
      </c>
      <c r="D30" s="4"/>
      <c r="E30" s="4"/>
    </row>
    <row x14ac:dyDescent="0.25" r="31" customHeight="1" ht="17.25">
      <c r="A31" s="8">
        <v>45947</v>
      </c>
      <c r="B31" s="9" t="s">
        <v>3</v>
      </c>
      <c r="C31" s="6">
        <v>2</v>
      </c>
      <c r="D31" s="4"/>
      <c r="E31" s="4"/>
    </row>
    <row x14ac:dyDescent="0.25" r="32" customHeight="1" ht="17.25">
      <c r="A32" s="7">
        <v>45992</v>
      </c>
      <c r="B32" s="9" t="s">
        <v>28</v>
      </c>
      <c r="C32" s="6">
        <v>2</v>
      </c>
      <c r="D32" s="4"/>
      <c r="E32" s="4"/>
    </row>
    <row x14ac:dyDescent="0.25" r="33" customHeight="1" ht="17.25">
      <c r="A33" s="7">
        <v>45997</v>
      </c>
      <c r="B33" s="9" t="s">
        <v>28</v>
      </c>
      <c r="C33" s="6">
        <v>9</v>
      </c>
      <c r="D33" s="4"/>
      <c r="E33" s="4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2.71928571428571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105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6">
        <v>1660</v>
      </c>
    </row>
    <row x14ac:dyDescent="0.25" r="4" customHeight="1" ht="17.25">
      <c r="A4" s="7">
        <v>45660</v>
      </c>
      <c r="B4" s="2" t="s">
        <v>35</v>
      </c>
      <c r="C4" s="6">
        <v>13</v>
      </c>
      <c r="D4" s="4"/>
      <c r="E4" s="6">
        <f>E3+C4-D4</f>
      </c>
    </row>
    <row x14ac:dyDescent="0.25" r="5" customHeight="1" ht="17.25">
      <c r="A5" s="8">
        <v>45660</v>
      </c>
      <c r="B5" s="9" t="s">
        <v>11</v>
      </c>
      <c r="C5" s="6">
        <v>1</v>
      </c>
      <c r="D5" s="4"/>
      <c r="E5" s="6">
        <f>E4+C5-D5</f>
      </c>
    </row>
    <row x14ac:dyDescent="0.25" r="6" customHeight="1" ht="17.25">
      <c r="A6" s="7">
        <v>45664</v>
      </c>
      <c r="B6" s="2" t="s">
        <v>106</v>
      </c>
      <c r="C6" s="6">
        <v>314</v>
      </c>
      <c r="D6" s="4"/>
      <c r="E6" s="6">
        <f>E5+C6-D6</f>
      </c>
    </row>
    <row x14ac:dyDescent="0.25" r="7" customHeight="1" ht="17.25">
      <c r="A7" s="7">
        <v>45666</v>
      </c>
      <c r="B7" s="2" t="s">
        <v>35</v>
      </c>
      <c r="C7" s="6">
        <v>25</v>
      </c>
      <c r="D7" s="4"/>
      <c r="E7" s="6">
        <f>E6+C7-D7</f>
      </c>
    </row>
    <row x14ac:dyDescent="0.25" r="8" customHeight="1" ht="17.25">
      <c r="A8" s="8">
        <v>45670</v>
      </c>
      <c r="B8" s="9" t="s">
        <v>35</v>
      </c>
      <c r="C8" s="6">
        <v>24</v>
      </c>
      <c r="D8" s="4"/>
      <c r="E8" s="6">
        <f>E7+C8-D8</f>
      </c>
    </row>
    <row x14ac:dyDescent="0.25" r="9" customHeight="1" ht="17.25">
      <c r="A9" s="8">
        <v>45678</v>
      </c>
      <c r="B9" s="9" t="s">
        <v>35</v>
      </c>
      <c r="C9" s="6">
        <v>9</v>
      </c>
      <c r="D9" s="4"/>
      <c r="E9" s="6">
        <f>E8+C9-D9</f>
      </c>
    </row>
    <row x14ac:dyDescent="0.25" r="10" customHeight="1" ht="17.25">
      <c r="A10" s="8">
        <v>45686</v>
      </c>
      <c r="B10" s="9" t="s">
        <v>11</v>
      </c>
      <c r="C10" s="6">
        <v>12</v>
      </c>
      <c r="D10" s="4"/>
      <c r="E10" s="6">
        <f>E9+C10-D10</f>
      </c>
    </row>
    <row x14ac:dyDescent="0.25" r="11" customHeight="1" ht="17.25">
      <c r="A11" s="8">
        <v>45689</v>
      </c>
      <c r="B11" s="9" t="s">
        <v>35</v>
      </c>
      <c r="C11" s="6">
        <v>4</v>
      </c>
      <c r="D11" s="4"/>
      <c r="E11" s="6">
        <f>E10+C11-D11</f>
      </c>
    </row>
    <row x14ac:dyDescent="0.25" r="12" customHeight="1" ht="17.25">
      <c r="A12" s="8">
        <v>45691</v>
      </c>
      <c r="B12" s="9" t="s">
        <v>35</v>
      </c>
      <c r="C12" s="6">
        <v>3</v>
      </c>
      <c r="D12" s="4"/>
      <c r="E12" s="6">
        <f>E11+C12-D12</f>
      </c>
    </row>
    <row x14ac:dyDescent="0.25" r="13" customHeight="1" ht="17.25">
      <c r="A13" s="8">
        <v>45696</v>
      </c>
      <c r="B13" s="9" t="s">
        <v>35</v>
      </c>
      <c r="C13" s="6">
        <v>1</v>
      </c>
      <c r="D13" s="4"/>
      <c r="E13" s="6">
        <f>E12+C13-D13</f>
      </c>
    </row>
    <row x14ac:dyDescent="0.25" r="14" customHeight="1" ht="17.25">
      <c r="A14" s="7">
        <v>45703</v>
      </c>
      <c r="B14" s="9" t="s">
        <v>35</v>
      </c>
      <c r="C14" s="6">
        <v>1</v>
      </c>
      <c r="D14" s="4"/>
      <c r="E14" s="6">
        <f>E13+C14-D14</f>
      </c>
    </row>
    <row x14ac:dyDescent="0.25" r="15" customHeight="1" ht="17.25">
      <c r="A15" s="8">
        <v>45707</v>
      </c>
      <c r="B15" s="9" t="s">
        <v>35</v>
      </c>
      <c r="C15" s="6">
        <v>2</v>
      </c>
      <c r="D15" s="4"/>
      <c r="E15" s="6">
        <f>E14+C15-D15</f>
      </c>
    </row>
    <row x14ac:dyDescent="0.25" r="16" customHeight="1" ht="17.25">
      <c r="A16" s="8">
        <v>45709</v>
      </c>
      <c r="B16" s="9" t="s">
        <v>35</v>
      </c>
      <c r="C16" s="6">
        <v>2</v>
      </c>
      <c r="D16" s="4"/>
      <c r="E16" s="6">
        <f>E15+C16-D16</f>
      </c>
    </row>
    <row x14ac:dyDescent="0.25" r="17" customHeight="1" ht="17.25">
      <c r="A17" s="8">
        <v>45709</v>
      </c>
      <c r="B17" s="9" t="s">
        <v>35</v>
      </c>
      <c r="C17" s="6">
        <v>12</v>
      </c>
      <c r="D17" s="4"/>
      <c r="E17" s="6">
        <f>E16+C17-D17</f>
      </c>
    </row>
    <row x14ac:dyDescent="0.25" r="18" customHeight="1" ht="17.25">
      <c r="A18" s="7">
        <v>45710</v>
      </c>
      <c r="B18" s="9" t="s">
        <v>106</v>
      </c>
      <c r="C18" s="6">
        <v>160</v>
      </c>
      <c r="D18" s="4"/>
      <c r="E18" s="6">
        <f>E17+C18-D18</f>
      </c>
    </row>
    <row x14ac:dyDescent="0.25" r="19" customHeight="1" ht="17.25">
      <c r="A19" s="7">
        <v>45710</v>
      </c>
      <c r="B19" s="9" t="s">
        <v>11</v>
      </c>
      <c r="C19" s="6">
        <v>6</v>
      </c>
      <c r="D19" s="4"/>
      <c r="E19" s="6">
        <f>E18+C19-D19</f>
      </c>
    </row>
    <row x14ac:dyDescent="0.25" r="20" customHeight="1" ht="17.25">
      <c r="A20" s="7">
        <v>45712</v>
      </c>
      <c r="B20" s="9" t="s">
        <v>3</v>
      </c>
      <c r="C20" s="4"/>
      <c r="D20" s="6">
        <v>100</v>
      </c>
      <c r="E20" s="6">
        <f>E19+C20-D20</f>
      </c>
    </row>
    <row x14ac:dyDescent="0.25" r="21" customHeight="1" ht="17.25">
      <c r="A21" s="8">
        <v>45719</v>
      </c>
      <c r="B21" s="9" t="s">
        <v>35</v>
      </c>
      <c r="C21" s="6">
        <v>4</v>
      </c>
      <c r="D21" s="4"/>
      <c r="E21" s="6">
        <f>E20+C21-D21</f>
      </c>
    </row>
    <row x14ac:dyDescent="0.25" r="22" customHeight="1" ht="17.25">
      <c r="A22" s="7">
        <v>45722</v>
      </c>
      <c r="B22" s="9" t="s">
        <v>35</v>
      </c>
      <c r="C22" s="6">
        <v>3</v>
      </c>
      <c r="D22" s="4"/>
      <c r="E22" s="6">
        <f>E21+C22-D22</f>
      </c>
    </row>
    <row x14ac:dyDescent="0.25" r="23" customHeight="1" ht="17.25">
      <c r="A23" s="7">
        <v>45724</v>
      </c>
      <c r="B23" s="9" t="s">
        <v>35</v>
      </c>
      <c r="C23" s="6">
        <v>18</v>
      </c>
      <c r="D23" s="4"/>
      <c r="E23" s="6">
        <f>E22+C23-D23</f>
      </c>
    </row>
    <row x14ac:dyDescent="0.25" r="24" customHeight="1" ht="17.25">
      <c r="A24" s="8">
        <v>45730</v>
      </c>
      <c r="B24" s="9" t="s">
        <v>35</v>
      </c>
      <c r="C24" s="6">
        <v>8</v>
      </c>
      <c r="D24" s="4"/>
      <c r="E24" s="6">
        <f>E23+C24-D24</f>
      </c>
    </row>
    <row x14ac:dyDescent="0.25" r="25" customHeight="1" ht="17.25">
      <c r="A25" s="7">
        <v>45730</v>
      </c>
      <c r="B25" s="9" t="s">
        <v>3</v>
      </c>
      <c r="C25" s="6">
        <v>37</v>
      </c>
      <c r="D25" s="4"/>
      <c r="E25" s="6">
        <f>E24+C25-D25</f>
      </c>
    </row>
    <row x14ac:dyDescent="0.25" r="26" customHeight="1" ht="17.25">
      <c r="A26" s="7">
        <v>45733</v>
      </c>
      <c r="B26" s="9" t="s">
        <v>11</v>
      </c>
      <c r="C26" s="6">
        <v>2</v>
      </c>
      <c r="D26" s="4"/>
      <c r="E26" s="6">
        <f>E25+C26-D26</f>
      </c>
    </row>
    <row x14ac:dyDescent="0.25" r="27" customHeight="1" ht="17.25">
      <c r="A27" s="8">
        <v>45738</v>
      </c>
      <c r="B27" s="9" t="s">
        <v>35</v>
      </c>
      <c r="C27" s="6">
        <v>2</v>
      </c>
      <c r="D27" s="4"/>
      <c r="E27" s="6">
        <f>E26+C27-D27</f>
      </c>
    </row>
    <row x14ac:dyDescent="0.25" r="28" customHeight="1" ht="17.25">
      <c r="A28" s="7">
        <v>45738</v>
      </c>
      <c r="B28" s="9" t="s">
        <v>3</v>
      </c>
      <c r="C28" s="6">
        <v>12</v>
      </c>
      <c r="D28" s="4"/>
      <c r="E28" s="6">
        <f>E27+C28-D28</f>
      </c>
    </row>
    <row x14ac:dyDescent="0.25" r="29" customHeight="1" ht="17.25">
      <c r="A29" s="8">
        <v>45740</v>
      </c>
      <c r="B29" s="9" t="s">
        <v>39</v>
      </c>
      <c r="C29" s="6">
        <v>1</v>
      </c>
      <c r="D29" s="4"/>
      <c r="E29" s="6">
        <f>E28+C29-D29</f>
      </c>
    </row>
    <row x14ac:dyDescent="0.25" r="30" customHeight="1" ht="17.25">
      <c r="A30" s="8">
        <v>45764</v>
      </c>
      <c r="B30" s="9" t="s">
        <v>35</v>
      </c>
      <c r="C30" s="6">
        <v>2</v>
      </c>
      <c r="D30" s="4"/>
      <c r="E30" s="6">
        <f>E29+C30-D30</f>
      </c>
    </row>
    <row x14ac:dyDescent="0.25" r="31" customHeight="1" ht="17.25">
      <c r="A31" s="7">
        <v>45766</v>
      </c>
      <c r="B31" s="9" t="s">
        <v>107</v>
      </c>
      <c r="C31" s="6">
        <v>29</v>
      </c>
      <c r="D31" s="4"/>
      <c r="E31" s="6">
        <f>E30+C31-D31</f>
      </c>
    </row>
    <row x14ac:dyDescent="0.25" r="32" customHeight="1" ht="17.25">
      <c r="A32" s="8">
        <v>45817</v>
      </c>
      <c r="B32" s="9" t="s">
        <v>4</v>
      </c>
      <c r="C32" s="4"/>
      <c r="D32" s="6">
        <v>20</v>
      </c>
      <c r="E32" s="6">
        <f>E31+C32-D32</f>
      </c>
    </row>
    <row x14ac:dyDescent="0.25" r="33" customHeight="1" ht="17.25">
      <c r="A33" s="8">
        <v>45817</v>
      </c>
      <c r="B33" s="9" t="s">
        <v>4</v>
      </c>
      <c r="C33" s="4"/>
      <c r="D33" s="6">
        <v>50</v>
      </c>
      <c r="E33" s="6">
        <f>E32+C33-D33</f>
      </c>
    </row>
    <row x14ac:dyDescent="0.25" r="34" customHeight="1" ht="17.25">
      <c r="A34" s="7">
        <v>45819</v>
      </c>
      <c r="B34" s="9" t="s">
        <v>4</v>
      </c>
      <c r="C34" s="4"/>
      <c r="D34" s="6">
        <v>80</v>
      </c>
      <c r="E34" s="6">
        <f>E33+C34-D34</f>
      </c>
    </row>
    <row x14ac:dyDescent="0.25" r="35" customHeight="1" ht="17.25">
      <c r="A35" s="8">
        <v>45832</v>
      </c>
      <c r="B35" s="9" t="s">
        <v>3</v>
      </c>
      <c r="C35" s="6">
        <v>22</v>
      </c>
      <c r="D35" s="4"/>
      <c r="E35" s="6">
        <f>E34+C35-D35</f>
      </c>
    </row>
    <row x14ac:dyDescent="0.25" r="36" customHeight="1" ht="17.25">
      <c r="A36" s="7">
        <v>45834</v>
      </c>
      <c r="B36" s="9" t="s">
        <v>4</v>
      </c>
      <c r="C36" s="4"/>
      <c r="D36" s="6">
        <v>90</v>
      </c>
      <c r="E36" s="6">
        <f>E35+C36-D36</f>
      </c>
    </row>
    <row x14ac:dyDescent="0.25" r="37" customHeight="1" ht="17.25">
      <c r="A37" s="8">
        <v>45853</v>
      </c>
      <c r="B37" s="9" t="s">
        <v>46</v>
      </c>
      <c r="C37" s="4"/>
      <c r="D37" s="6">
        <v>35</v>
      </c>
      <c r="E37" s="6">
        <f>E36+C37-D37</f>
      </c>
    </row>
    <row x14ac:dyDescent="0.25" r="38" customHeight="1" ht="17.25">
      <c r="A38" s="7">
        <v>45855</v>
      </c>
      <c r="B38" s="9" t="s">
        <v>46</v>
      </c>
      <c r="C38" s="4"/>
      <c r="D38" s="6">
        <v>40</v>
      </c>
      <c r="E38" s="6">
        <f>E37+C38-D38</f>
      </c>
    </row>
    <row x14ac:dyDescent="0.25" r="39" customHeight="1" ht="17.25">
      <c r="A39" s="8">
        <v>45860</v>
      </c>
      <c r="B39" s="9" t="s">
        <v>4</v>
      </c>
      <c r="C39" s="6">
        <v>130</v>
      </c>
      <c r="D39" s="4"/>
      <c r="E39" s="6">
        <f>E38+C39-D39</f>
      </c>
    </row>
    <row x14ac:dyDescent="0.25" r="40" customHeight="1" ht="17.25">
      <c r="A40" s="7">
        <v>45868</v>
      </c>
      <c r="B40" s="9" t="s">
        <v>46</v>
      </c>
      <c r="C40" s="4"/>
      <c r="D40" s="6">
        <v>50</v>
      </c>
      <c r="E40" s="6">
        <f>E39+C40-D40</f>
      </c>
    </row>
    <row x14ac:dyDescent="0.25" r="41" customHeight="1" ht="17.25">
      <c r="A41" s="7">
        <v>45870</v>
      </c>
      <c r="B41" s="9" t="s">
        <v>47</v>
      </c>
      <c r="C41" s="4"/>
      <c r="D41" s="6">
        <v>20</v>
      </c>
      <c r="E41" s="6">
        <f>E40+C41-D41</f>
      </c>
    </row>
    <row x14ac:dyDescent="0.25" r="42" customHeight="1" ht="17.25">
      <c r="A42" s="8">
        <v>45871</v>
      </c>
      <c r="B42" s="9" t="s">
        <v>47</v>
      </c>
      <c r="C42" s="4"/>
      <c r="D42" s="6">
        <v>20</v>
      </c>
      <c r="E42" s="6">
        <f>E41+C42-D42</f>
      </c>
    </row>
    <row x14ac:dyDescent="0.25" r="43" customHeight="1" ht="17.25">
      <c r="A43" s="8">
        <v>45871</v>
      </c>
      <c r="B43" s="9" t="s">
        <v>47</v>
      </c>
      <c r="C43" s="4"/>
      <c r="D43" s="6">
        <v>10</v>
      </c>
      <c r="E43" s="6">
        <f>E42+C43-D43</f>
      </c>
    </row>
    <row x14ac:dyDescent="0.25" r="44" customHeight="1" ht="17.25">
      <c r="A44" s="7">
        <v>45876</v>
      </c>
      <c r="B44" s="9" t="s">
        <v>46</v>
      </c>
      <c r="C44" s="4"/>
      <c r="D44" s="6">
        <v>80</v>
      </c>
      <c r="E44" s="6">
        <f>E43+C44-D44</f>
      </c>
    </row>
    <row x14ac:dyDescent="0.25" r="45" customHeight="1" ht="17.25">
      <c r="A45" s="7">
        <v>45877</v>
      </c>
      <c r="B45" s="9" t="s">
        <v>47</v>
      </c>
      <c r="C45" s="6">
        <v>49</v>
      </c>
      <c r="D45" s="4"/>
      <c r="E45" s="6">
        <f>E44+C45-D45</f>
      </c>
    </row>
    <row x14ac:dyDescent="0.25" r="46" customHeight="1" ht="17.25">
      <c r="A46" s="7">
        <v>45883</v>
      </c>
      <c r="B46" s="9" t="s">
        <v>26</v>
      </c>
      <c r="C46" s="4"/>
      <c r="D46" s="6">
        <v>250</v>
      </c>
      <c r="E46" s="6">
        <f>E45+C46-D46</f>
      </c>
    </row>
    <row x14ac:dyDescent="0.25" r="47" customHeight="1" ht="17.25">
      <c r="A47" s="7">
        <v>45887</v>
      </c>
      <c r="B47" s="9" t="s">
        <v>26</v>
      </c>
      <c r="C47" s="4"/>
      <c r="D47" s="6">
        <v>230</v>
      </c>
      <c r="E47" s="6">
        <f>E46+C47-D47</f>
      </c>
    </row>
    <row x14ac:dyDescent="0.25" r="48" customHeight="1" ht="17.25">
      <c r="A48" s="7">
        <v>45889</v>
      </c>
      <c r="B48" s="9" t="s">
        <v>26</v>
      </c>
      <c r="C48" s="4"/>
      <c r="D48" s="6">
        <v>100</v>
      </c>
      <c r="E48" s="6">
        <f>E47+C48-D48</f>
      </c>
    </row>
    <row x14ac:dyDescent="0.25" r="49" customHeight="1" ht="17.25">
      <c r="A49" s="8">
        <v>45891</v>
      </c>
      <c r="B49" s="9" t="s">
        <v>26</v>
      </c>
      <c r="C49" s="4"/>
      <c r="D49" s="6">
        <v>300</v>
      </c>
      <c r="E49" s="6">
        <f>E48+C49-D49</f>
      </c>
    </row>
    <row x14ac:dyDescent="0.25" r="50" customHeight="1" ht="17.25">
      <c r="A50" s="7">
        <v>45895</v>
      </c>
      <c r="B50" s="9" t="s">
        <v>46</v>
      </c>
      <c r="C50" s="6">
        <v>17</v>
      </c>
      <c r="D50" s="4"/>
      <c r="E50" s="6">
        <f>E49+C50-D50</f>
      </c>
    </row>
    <row x14ac:dyDescent="0.25" r="51" customHeight="1" ht="17.25">
      <c r="A51" s="7">
        <v>45901</v>
      </c>
      <c r="B51" s="9" t="s">
        <v>26</v>
      </c>
      <c r="C51" s="6">
        <v>99</v>
      </c>
      <c r="D51" s="4"/>
      <c r="E51" s="6">
        <f>E50+C51-D51</f>
      </c>
    </row>
    <row x14ac:dyDescent="0.25" r="52" customHeight="1" ht="17.25">
      <c r="A52" s="7">
        <v>45904</v>
      </c>
      <c r="B52" s="9" t="s">
        <v>46</v>
      </c>
      <c r="C52" s="6">
        <v>82</v>
      </c>
      <c r="D52" s="4"/>
      <c r="E52" s="6">
        <f>E51+C52-D52</f>
      </c>
    </row>
    <row x14ac:dyDescent="0.25" r="53" customHeight="1" ht="17.25">
      <c r="A53" s="7">
        <v>45910</v>
      </c>
      <c r="B53" s="9" t="s">
        <v>46</v>
      </c>
      <c r="C53" s="6">
        <v>20</v>
      </c>
      <c r="D53" s="4"/>
      <c r="E53" s="6">
        <f>E52+C53-D53</f>
      </c>
    </row>
    <row x14ac:dyDescent="0.25" r="54" customHeight="1" ht="17.25">
      <c r="A54" s="7">
        <v>45912</v>
      </c>
      <c r="B54" s="9" t="s">
        <v>46</v>
      </c>
      <c r="C54" s="6">
        <v>31</v>
      </c>
      <c r="D54" s="4"/>
      <c r="E54" s="6">
        <f>E53+C54-D54</f>
      </c>
    </row>
    <row x14ac:dyDescent="0.25" r="55" customHeight="1" ht="17.25">
      <c r="A55" s="8">
        <v>45913</v>
      </c>
      <c r="B55" s="9" t="s">
        <v>26</v>
      </c>
      <c r="C55" s="6">
        <v>63</v>
      </c>
      <c r="D55" s="4"/>
      <c r="E55" s="6">
        <f>E54+C55-D55</f>
      </c>
    </row>
    <row x14ac:dyDescent="0.25" r="56" customHeight="1" ht="17.25">
      <c r="A56" s="7">
        <v>45919</v>
      </c>
      <c r="B56" s="9" t="s">
        <v>46</v>
      </c>
      <c r="C56" s="6">
        <v>35</v>
      </c>
      <c r="D56" s="4"/>
      <c r="E56" s="6">
        <f>E55+C56-D56</f>
      </c>
    </row>
    <row x14ac:dyDescent="0.25" r="57" customHeight="1" ht="17.25">
      <c r="A57" s="7">
        <v>45923</v>
      </c>
      <c r="B57" s="9" t="s">
        <v>26</v>
      </c>
      <c r="C57" s="6">
        <v>219</v>
      </c>
      <c r="D57" s="4"/>
      <c r="E57" s="6">
        <f>E56+C57-D57</f>
      </c>
    </row>
    <row x14ac:dyDescent="0.25" r="58" customHeight="1" ht="17.25">
      <c r="A58" s="7">
        <v>45927</v>
      </c>
      <c r="B58" s="9" t="s">
        <v>26</v>
      </c>
      <c r="C58" s="6">
        <v>90</v>
      </c>
      <c r="D58" s="4"/>
      <c r="E58" s="6">
        <f>E57+C58-D58</f>
      </c>
    </row>
    <row x14ac:dyDescent="0.25" r="59" customHeight="1" ht="17.25">
      <c r="A59" s="7">
        <v>45929</v>
      </c>
      <c r="B59" s="9" t="s">
        <v>106</v>
      </c>
      <c r="C59" s="6">
        <v>3</v>
      </c>
      <c r="D59" s="4"/>
      <c r="E59" s="6">
        <f>E58+C59-D59</f>
      </c>
    </row>
    <row x14ac:dyDescent="0.25" r="60" customHeight="1" ht="17.25">
      <c r="A60" s="7">
        <v>45930</v>
      </c>
      <c r="B60" s="9" t="s">
        <v>26</v>
      </c>
      <c r="C60" s="6">
        <v>104</v>
      </c>
      <c r="D60" s="4"/>
      <c r="E60" s="6">
        <f>E59+C60-D60</f>
      </c>
    </row>
    <row x14ac:dyDescent="0.25" r="61" customHeight="1" ht="17.25">
      <c r="A61" s="7">
        <v>45932</v>
      </c>
      <c r="B61" s="9" t="s">
        <v>4</v>
      </c>
      <c r="C61" s="6">
        <v>16</v>
      </c>
      <c r="D61" s="4"/>
      <c r="E61" s="6">
        <f>E60+C61-D61</f>
      </c>
    </row>
    <row x14ac:dyDescent="0.25" r="62" customHeight="1" ht="17.25">
      <c r="A62" s="7">
        <v>45937</v>
      </c>
      <c r="B62" s="9" t="s">
        <v>26</v>
      </c>
      <c r="C62" s="6">
        <v>176</v>
      </c>
      <c r="D62" s="4"/>
      <c r="E62" s="6">
        <f>E61+C62-D62</f>
      </c>
    </row>
    <row x14ac:dyDescent="0.25" r="63" customHeight="1" ht="17.25">
      <c r="A63" s="8">
        <v>45941</v>
      </c>
      <c r="B63" s="9" t="s">
        <v>26</v>
      </c>
      <c r="C63" s="6">
        <v>24</v>
      </c>
      <c r="D63" s="4"/>
      <c r="E63" s="6">
        <f>E62+C63-D63</f>
      </c>
    </row>
    <row x14ac:dyDescent="0.25" r="64" customHeight="1" ht="17.25">
      <c r="A64" s="7">
        <v>45945</v>
      </c>
      <c r="B64" s="9" t="s">
        <v>106</v>
      </c>
      <c r="C64" s="6">
        <v>2</v>
      </c>
      <c r="D64" s="4"/>
      <c r="E64" s="6">
        <f>E63+C64-D64</f>
      </c>
    </row>
    <row x14ac:dyDescent="0.25" r="65" customHeight="1" ht="17.25">
      <c r="A65" s="8">
        <v>45946</v>
      </c>
      <c r="B65" s="9" t="s">
        <v>106</v>
      </c>
      <c r="C65" s="6">
        <v>3</v>
      </c>
      <c r="D65" s="4"/>
      <c r="E65" s="6">
        <f>E64+C65-D65</f>
      </c>
    </row>
    <row x14ac:dyDescent="0.25" r="66" customHeight="1" ht="17.25">
      <c r="A66" s="8">
        <v>45948</v>
      </c>
      <c r="B66" s="9" t="s">
        <v>26</v>
      </c>
      <c r="C66" s="6">
        <v>92</v>
      </c>
      <c r="D66" s="4"/>
      <c r="E66" s="6">
        <f>E65+C66-D66</f>
      </c>
    </row>
    <row x14ac:dyDescent="0.25" r="67" customHeight="1" ht="17.25">
      <c r="A67" s="7">
        <v>45951</v>
      </c>
      <c r="B67" s="9" t="s">
        <v>106</v>
      </c>
      <c r="C67" s="6">
        <v>3</v>
      </c>
      <c r="D67" s="4"/>
      <c r="E67" s="6">
        <f>E66+C67-D67</f>
      </c>
    </row>
    <row x14ac:dyDescent="0.25" r="68" customHeight="1" ht="17.25">
      <c r="A68" s="8">
        <v>45955</v>
      </c>
      <c r="B68" s="9" t="s">
        <v>26</v>
      </c>
      <c r="C68" s="6">
        <v>39</v>
      </c>
      <c r="D68" s="4"/>
      <c r="E68" s="6">
        <f>E67+C68-D68</f>
      </c>
    </row>
    <row x14ac:dyDescent="0.25" r="69" customHeight="1" ht="17.25">
      <c r="A69" s="8">
        <v>45962</v>
      </c>
      <c r="B69" s="9" t="s">
        <v>26</v>
      </c>
      <c r="C69" s="6">
        <v>34</v>
      </c>
      <c r="D69" s="4"/>
      <c r="E69" s="6">
        <f>E68+C69-D69</f>
      </c>
    </row>
    <row x14ac:dyDescent="0.25" r="70" customHeight="1" ht="17.25">
      <c r="A70" s="7">
        <v>45964</v>
      </c>
      <c r="B70" s="9" t="s">
        <v>106</v>
      </c>
      <c r="C70" s="6">
        <v>2</v>
      </c>
      <c r="D70" s="4"/>
      <c r="E70" s="6">
        <f>E69+C70-D70</f>
      </c>
    </row>
    <row x14ac:dyDescent="0.25" r="71" customHeight="1" ht="17.25">
      <c r="A71" s="8">
        <v>46002</v>
      </c>
      <c r="B71" s="9" t="s">
        <v>4</v>
      </c>
      <c r="C71" s="6">
        <v>28</v>
      </c>
      <c r="D71" s="4"/>
      <c r="E71" s="6">
        <f>E70+C71-D71</f>
      </c>
    </row>
    <row x14ac:dyDescent="0.25" r="72" customHeight="1" ht="17.25">
      <c r="A72" s="7">
        <v>46007</v>
      </c>
      <c r="B72" s="9" t="s">
        <v>26</v>
      </c>
      <c r="C72" s="6">
        <v>3</v>
      </c>
      <c r="D72" s="4"/>
      <c r="E72" s="6">
        <f>E71+C72-D72</f>
      </c>
    </row>
    <row x14ac:dyDescent="0.25" r="73" customHeight="1" ht="17.25">
      <c r="A73" s="1"/>
      <c r="B73" s="2"/>
      <c r="C73" s="4"/>
      <c r="D73" s="4"/>
      <c r="E73" s="6">
        <f>E72+C73-D73</f>
      </c>
    </row>
    <row x14ac:dyDescent="0.25" r="74" customHeight="1" ht="17.25">
      <c r="A74" s="1"/>
      <c r="B74" s="2"/>
      <c r="C74" s="4"/>
      <c r="D74" s="4"/>
      <c r="E74" s="6">
        <f>E73+C74-D74</f>
      </c>
    </row>
    <row x14ac:dyDescent="0.25" r="75" customHeight="1" ht="17.25">
      <c r="A75" s="1"/>
      <c r="B75" s="2"/>
      <c r="C75" s="4"/>
      <c r="D75" s="4"/>
      <c r="E75" s="6">
        <f>E74+C75-D75</f>
      </c>
    </row>
    <row x14ac:dyDescent="0.25" r="76" customHeight="1" ht="17.25">
      <c r="A76" s="1"/>
      <c r="B76" s="2"/>
      <c r="C76" s="4"/>
      <c r="D76" s="4"/>
      <c r="E76" s="6">
        <f>E75+C76-D76</f>
      </c>
    </row>
    <row x14ac:dyDescent="0.25" r="77" customHeight="1" ht="17.25">
      <c r="A77" s="1"/>
      <c r="B77" s="2"/>
      <c r="C77" s="4"/>
      <c r="D77" s="4"/>
      <c r="E77" s="6">
        <f>E76+C77-D77</f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862142857142857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104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6">
        <v>558</v>
      </c>
    </row>
    <row x14ac:dyDescent="0.25" r="4" customHeight="1" ht="17.25">
      <c r="A4" s="8">
        <v>45686</v>
      </c>
      <c r="B4" s="9" t="s">
        <v>11</v>
      </c>
      <c r="C4" s="6">
        <v>23</v>
      </c>
      <c r="D4" s="4"/>
      <c r="E4" s="4"/>
    </row>
    <row x14ac:dyDescent="0.25" r="5" customHeight="1" ht="17.25">
      <c r="A5" s="7">
        <v>45710</v>
      </c>
      <c r="B5" s="2" t="s">
        <v>11</v>
      </c>
      <c r="C5" s="6">
        <v>2</v>
      </c>
      <c r="D5" s="4"/>
      <c r="E5" s="4"/>
    </row>
    <row x14ac:dyDescent="0.25" r="6" customHeight="1" ht="17.25">
      <c r="A6" s="7">
        <v>45855</v>
      </c>
      <c r="B6" s="2" t="s">
        <v>46</v>
      </c>
      <c r="C6" s="3"/>
      <c r="D6" s="6">
        <v>60</v>
      </c>
      <c r="E6" s="4"/>
    </row>
    <row x14ac:dyDescent="0.25" r="7" customHeight="1" ht="17.25">
      <c r="A7" s="7">
        <v>45887</v>
      </c>
      <c r="B7" s="2" t="s">
        <v>26</v>
      </c>
      <c r="C7" s="3"/>
      <c r="D7" s="6">
        <v>33</v>
      </c>
      <c r="E7" s="4"/>
    </row>
    <row x14ac:dyDescent="0.25" r="8" customHeight="1" ht="17.25">
      <c r="A8" s="7">
        <v>45895</v>
      </c>
      <c r="B8" s="2" t="s">
        <v>46</v>
      </c>
      <c r="C8" s="6">
        <v>3</v>
      </c>
      <c r="D8" s="4"/>
      <c r="E8" s="4"/>
    </row>
    <row x14ac:dyDescent="0.25" r="9" customHeight="1" ht="17.25">
      <c r="A9" s="7">
        <v>45904</v>
      </c>
      <c r="B9" s="2" t="s">
        <v>46</v>
      </c>
      <c r="C9" s="6">
        <v>29</v>
      </c>
      <c r="D9" s="4"/>
      <c r="E9" s="4"/>
    </row>
    <row x14ac:dyDescent="0.25" r="10" customHeight="1" ht="17.25">
      <c r="A10" s="7">
        <v>45910</v>
      </c>
      <c r="B10" s="2" t="s">
        <v>46</v>
      </c>
      <c r="C10" s="6">
        <v>12</v>
      </c>
      <c r="D10" s="4"/>
      <c r="E10" s="4"/>
    </row>
    <row x14ac:dyDescent="0.25" r="11" customHeight="1" ht="17.25">
      <c r="A11" s="7">
        <v>45912</v>
      </c>
      <c r="B11" s="2" t="s">
        <v>46</v>
      </c>
      <c r="C11" s="6">
        <v>2</v>
      </c>
      <c r="D11" s="4"/>
      <c r="E11" s="4"/>
    </row>
    <row x14ac:dyDescent="0.25" r="12" customHeight="1" ht="17.25">
      <c r="A12" s="7">
        <v>45919</v>
      </c>
      <c r="B12" s="2" t="s">
        <v>46</v>
      </c>
      <c r="C12" s="6">
        <v>5</v>
      </c>
      <c r="D12" s="4"/>
      <c r="E12" s="4"/>
    </row>
    <row x14ac:dyDescent="0.25" r="13" customHeight="1" ht="17.25">
      <c r="A13" s="7">
        <v>45927</v>
      </c>
      <c r="B13" s="2" t="s">
        <v>26</v>
      </c>
      <c r="C13" s="6">
        <v>15</v>
      </c>
      <c r="D13" s="4"/>
      <c r="E13" s="4"/>
    </row>
    <row x14ac:dyDescent="0.25" r="14" customHeight="1" ht="17.25">
      <c r="A14" s="7">
        <v>45930</v>
      </c>
      <c r="B14" s="2" t="s">
        <v>26</v>
      </c>
      <c r="C14" s="6">
        <v>10</v>
      </c>
      <c r="D14" s="4"/>
      <c r="E14" s="4"/>
    </row>
    <row x14ac:dyDescent="0.25" r="15" customHeight="1" ht="17.25">
      <c r="A15" s="8">
        <v>45955</v>
      </c>
      <c r="B15" s="9" t="s">
        <v>26</v>
      </c>
      <c r="C15" s="6">
        <v>4</v>
      </c>
      <c r="D15" s="4"/>
      <c r="E15" s="4"/>
    </row>
    <row x14ac:dyDescent="0.25" r="16" customHeight="1" ht="17.25">
      <c r="A16" s="8">
        <v>45962</v>
      </c>
      <c r="B16" s="9" t="s">
        <v>26</v>
      </c>
      <c r="C16" s="6">
        <v>4</v>
      </c>
      <c r="D16" s="4"/>
      <c r="E16" s="4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2.147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103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4"/>
    </row>
    <row x14ac:dyDescent="0.25" r="4" customHeight="1" ht="17.25">
      <c r="A4" s="8">
        <v>45700</v>
      </c>
      <c r="B4" s="9" t="s">
        <v>11</v>
      </c>
      <c r="C4" s="6">
        <v>8</v>
      </c>
      <c r="D4" s="4"/>
      <c r="E4" s="4"/>
    </row>
    <row x14ac:dyDescent="0.25" r="5" customHeight="1" ht="17.25">
      <c r="A5" s="8">
        <v>45702</v>
      </c>
      <c r="B5" s="9" t="s">
        <v>3</v>
      </c>
      <c r="C5" s="3"/>
      <c r="D5" s="6">
        <v>185</v>
      </c>
      <c r="E5" s="4"/>
    </row>
    <row x14ac:dyDescent="0.25" r="6" customHeight="1" ht="17.25">
      <c r="A6" s="8">
        <v>45705</v>
      </c>
      <c r="B6" s="9" t="s">
        <v>3</v>
      </c>
      <c r="C6" s="3"/>
      <c r="D6" s="6">
        <v>4</v>
      </c>
      <c r="E6" s="4"/>
    </row>
    <row x14ac:dyDescent="0.25" r="7" customHeight="1" ht="17.25">
      <c r="A7" s="7">
        <v>45706</v>
      </c>
      <c r="B7" s="9" t="s">
        <v>3</v>
      </c>
      <c r="C7" s="3"/>
      <c r="D7" s="6">
        <v>5</v>
      </c>
      <c r="E7" s="4"/>
    </row>
    <row x14ac:dyDescent="0.25" r="8" customHeight="1" ht="17.25">
      <c r="A8" s="8">
        <v>45710</v>
      </c>
      <c r="B8" s="9" t="s">
        <v>11</v>
      </c>
      <c r="C8" s="6">
        <v>10</v>
      </c>
      <c r="D8" s="4"/>
      <c r="E8" s="4"/>
    </row>
    <row x14ac:dyDescent="0.25" r="9" customHeight="1" ht="17.25">
      <c r="A9" s="7">
        <v>45805</v>
      </c>
      <c r="B9" s="9" t="s">
        <v>3</v>
      </c>
      <c r="C9" s="6">
        <v>13</v>
      </c>
      <c r="D9" s="4"/>
      <c r="E9" s="6">
        <v>29</v>
      </c>
    </row>
    <row x14ac:dyDescent="0.25" r="10" customHeight="1" ht="17.25">
      <c r="A10" s="7">
        <v>45824</v>
      </c>
      <c r="B10" s="9" t="s">
        <v>3</v>
      </c>
      <c r="C10" s="6">
        <v>14</v>
      </c>
      <c r="D10" s="4"/>
      <c r="E10" s="6">
        <v>43</v>
      </c>
    </row>
    <row x14ac:dyDescent="0.25" r="11" customHeight="1" ht="17.25">
      <c r="A11" s="7">
        <v>45825</v>
      </c>
      <c r="B11" s="9" t="s">
        <v>4</v>
      </c>
      <c r="C11" s="3"/>
      <c r="D11" s="6">
        <v>43</v>
      </c>
      <c r="E11" s="4"/>
    </row>
    <row x14ac:dyDescent="0.25" r="12" customHeight="1" ht="17.25">
      <c r="A12" s="7">
        <v>45828</v>
      </c>
      <c r="B12" s="9" t="s">
        <v>3</v>
      </c>
      <c r="C12" s="6">
        <v>33</v>
      </c>
      <c r="D12" s="4"/>
      <c r="E12" s="6">
        <v>33</v>
      </c>
    </row>
    <row x14ac:dyDescent="0.25" r="13" customHeight="1" ht="17.25">
      <c r="A13" s="8">
        <v>45831</v>
      </c>
      <c r="B13" s="9" t="s">
        <v>3</v>
      </c>
      <c r="C13" s="6">
        <v>58</v>
      </c>
      <c r="D13" s="4"/>
      <c r="E13" s="6">
        <f>E12+C13-D13</f>
      </c>
    </row>
    <row x14ac:dyDescent="0.25" r="14" customHeight="1" ht="17.25">
      <c r="A14" s="7">
        <v>45832</v>
      </c>
      <c r="B14" s="9" t="s">
        <v>3</v>
      </c>
      <c r="C14" s="6">
        <v>68</v>
      </c>
      <c r="D14" s="4"/>
      <c r="E14" s="6">
        <f>E13+C14-D14</f>
      </c>
    </row>
    <row x14ac:dyDescent="0.25" r="15" customHeight="1" ht="17.25">
      <c r="A15" s="7">
        <v>45876</v>
      </c>
      <c r="B15" s="9" t="s">
        <v>3</v>
      </c>
      <c r="C15" s="3"/>
      <c r="D15" s="6">
        <v>1</v>
      </c>
      <c r="E15" s="4"/>
    </row>
    <row x14ac:dyDescent="0.25" r="16" customHeight="1" ht="17.25">
      <c r="A16" s="7">
        <v>45887</v>
      </c>
      <c r="B16" s="9" t="s">
        <v>26</v>
      </c>
      <c r="C16" s="3"/>
      <c r="D16" s="6">
        <v>100</v>
      </c>
      <c r="E16" s="4"/>
    </row>
    <row x14ac:dyDescent="0.25" r="17" customHeight="1" ht="17.25">
      <c r="A17" s="7">
        <v>45932</v>
      </c>
      <c r="B17" s="9" t="s">
        <v>4</v>
      </c>
      <c r="C17" s="6">
        <v>6</v>
      </c>
      <c r="D17" s="4"/>
      <c r="E17" s="4"/>
    </row>
    <row x14ac:dyDescent="0.25" r="18" customHeight="1" ht="17.25">
      <c r="A18" s="8">
        <v>45939</v>
      </c>
      <c r="B18" s="9" t="s">
        <v>26</v>
      </c>
      <c r="C18" s="6">
        <v>54</v>
      </c>
      <c r="D18" s="4"/>
      <c r="E18" s="4"/>
    </row>
    <row x14ac:dyDescent="0.25" r="19" customHeight="1" ht="17.25">
      <c r="A19" s="8">
        <v>45941</v>
      </c>
      <c r="B19" s="9" t="s">
        <v>26</v>
      </c>
      <c r="C19" s="6">
        <v>13</v>
      </c>
      <c r="D19" s="4"/>
      <c r="E19" s="4"/>
    </row>
    <row x14ac:dyDescent="0.25" r="20" customHeight="1" ht="17.25">
      <c r="A20" s="8">
        <v>45955</v>
      </c>
      <c r="B20" s="9" t="s">
        <v>26</v>
      </c>
      <c r="C20" s="6">
        <v>32</v>
      </c>
      <c r="D20" s="4"/>
      <c r="E20" s="4"/>
    </row>
    <row x14ac:dyDescent="0.25" r="21" customHeight="1" ht="17.25">
      <c r="A21" s="8">
        <v>45958</v>
      </c>
      <c r="B21" s="9" t="s">
        <v>26</v>
      </c>
      <c r="C21" s="6">
        <v>1</v>
      </c>
      <c r="D21" s="4"/>
      <c r="E21" s="4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6.29071428571428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102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4"/>
    </row>
    <row x14ac:dyDescent="0.25" r="4" customHeight="1" ht="17.25">
      <c r="A4" s="8">
        <v>45700</v>
      </c>
      <c r="B4" s="9" t="s">
        <v>11</v>
      </c>
      <c r="C4" s="6">
        <v>7</v>
      </c>
      <c r="D4" s="4"/>
      <c r="E4" s="4"/>
    </row>
    <row x14ac:dyDescent="0.25" r="5" customHeight="1" ht="17.25">
      <c r="A5" s="7">
        <v>45706</v>
      </c>
      <c r="B5" s="9" t="s">
        <v>3</v>
      </c>
      <c r="C5" s="3"/>
      <c r="D5" s="6">
        <v>211</v>
      </c>
      <c r="E5" s="4"/>
    </row>
    <row x14ac:dyDescent="0.25" r="6" customHeight="1" ht="17.25">
      <c r="A6" s="8">
        <v>45710</v>
      </c>
      <c r="B6" s="9" t="s">
        <v>11</v>
      </c>
      <c r="C6" s="6">
        <v>5</v>
      </c>
      <c r="D6" s="4"/>
      <c r="E6" s="4"/>
    </row>
    <row x14ac:dyDescent="0.25" r="7" customHeight="1" ht="17.25">
      <c r="A7" s="7">
        <v>45805</v>
      </c>
      <c r="B7" s="9" t="s">
        <v>3</v>
      </c>
      <c r="C7" s="6">
        <v>14</v>
      </c>
      <c r="D7" s="4"/>
      <c r="E7" s="6">
        <v>27</v>
      </c>
    </row>
    <row x14ac:dyDescent="0.25" r="8" customHeight="1" ht="17.25">
      <c r="A8" s="7">
        <v>45824</v>
      </c>
      <c r="B8" s="9" t="s">
        <v>3</v>
      </c>
      <c r="C8" s="6">
        <v>20</v>
      </c>
      <c r="D8" s="4"/>
      <c r="E8" s="6">
        <v>47</v>
      </c>
    </row>
    <row x14ac:dyDescent="0.25" r="9" customHeight="1" ht="17.25">
      <c r="A9" s="7">
        <v>45825</v>
      </c>
      <c r="B9" s="9" t="s">
        <v>4</v>
      </c>
      <c r="C9" s="3"/>
      <c r="D9" s="6">
        <v>27</v>
      </c>
      <c r="E9" s="6">
        <f>E8+C9-D9</f>
      </c>
    </row>
    <row x14ac:dyDescent="0.25" r="10" customHeight="1" ht="17.25">
      <c r="A10" s="7">
        <v>45828</v>
      </c>
      <c r="B10" s="9" t="s">
        <v>3</v>
      </c>
      <c r="C10" s="6">
        <v>33</v>
      </c>
      <c r="D10" s="4"/>
      <c r="E10" s="6">
        <f>E9+C10-D10</f>
      </c>
    </row>
    <row x14ac:dyDescent="0.25" r="11" customHeight="1" ht="17.25">
      <c r="A11" s="7">
        <v>45831</v>
      </c>
      <c r="B11" s="9" t="s">
        <v>3</v>
      </c>
      <c r="C11" s="6">
        <v>71</v>
      </c>
      <c r="D11" s="4"/>
      <c r="E11" s="6">
        <f>E10+C11-D11</f>
      </c>
    </row>
    <row x14ac:dyDescent="0.25" r="12" customHeight="1" ht="17.25">
      <c r="A12" s="8">
        <v>45832</v>
      </c>
      <c r="B12" s="9" t="s">
        <v>3</v>
      </c>
      <c r="C12" s="6">
        <v>61</v>
      </c>
      <c r="D12" s="4"/>
      <c r="E12" s="6">
        <f>E11+C12-D12</f>
      </c>
    </row>
    <row x14ac:dyDescent="0.25" r="13" customHeight="1" ht="17.25">
      <c r="A13" s="7">
        <v>45932</v>
      </c>
      <c r="B13" s="9" t="s">
        <v>4</v>
      </c>
      <c r="C13" s="6">
        <v>9</v>
      </c>
      <c r="D13" s="4"/>
      <c r="E13" s="6">
        <f>E12+C13-D13</f>
      </c>
    </row>
    <row x14ac:dyDescent="0.25" r="14" customHeight="1" ht="17.25">
      <c r="A14" s="8">
        <v>45939</v>
      </c>
      <c r="B14" s="9" t="s">
        <v>26</v>
      </c>
      <c r="C14" s="6">
        <v>140</v>
      </c>
      <c r="D14" s="4"/>
      <c r="E14" s="4"/>
    </row>
    <row x14ac:dyDescent="0.25" r="15" customHeight="1" ht="17.25">
      <c r="A15" s="8">
        <v>45941</v>
      </c>
      <c r="B15" s="9" t="s">
        <v>26</v>
      </c>
      <c r="C15" s="6">
        <v>49</v>
      </c>
      <c r="D15" s="4"/>
      <c r="E15" s="4"/>
    </row>
    <row x14ac:dyDescent="0.25" r="16" customHeight="1" ht="17.25">
      <c r="A16" s="8">
        <v>45955</v>
      </c>
      <c r="B16" s="9" t="s">
        <v>26</v>
      </c>
      <c r="C16" s="6">
        <v>18</v>
      </c>
      <c r="D16" s="4"/>
      <c r="E16" s="4"/>
    </row>
    <row x14ac:dyDescent="0.25" r="17" customHeight="1" ht="17.25">
      <c r="A17" s="8">
        <v>45958</v>
      </c>
      <c r="B17" s="9" t="s">
        <v>26</v>
      </c>
      <c r="C17" s="6">
        <v>4</v>
      </c>
      <c r="D17" s="4"/>
      <c r="E17" s="4"/>
    </row>
    <row x14ac:dyDescent="0.25" r="18" customHeight="1" ht="17.25">
      <c r="A18" s="8">
        <v>45962</v>
      </c>
      <c r="B18" s="9" t="s">
        <v>26</v>
      </c>
      <c r="C18" s="6">
        <v>3</v>
      </c>
      <c r="D18" s="4"/>
      <c r="E18" s="4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2.862142857142857" customWidth="1" bestFit="1"/>
    <col min="3" max="3" style="12" width="12.43357142857143" customWidth="1" bestFit="1"/>
    <col min="4" max="4" style="13" width="12.43357142857143" customWidth="1" bestFit="1"/>
  </cols>
  <sheetData>
    <row x14ac:dyDescent="0.25" r="1" customHeight="1" ht="17.25">
      <c r="A1" s="1" t="s">
        <v>101</v>
      </c>
      <c r="B1" s="2"/>
      <c r="C1" s="3"/>
      <c r="D1" s="4"/>
    </row>
    <row x14ac:dyDescent="0.25" r="2" customHeight="1" ht="17.25">
      <c r="A2" s="1"/>
      <c r="B2" s="2"/>
      <c r="C2" s="3"/>
      <c r="D2" s="4"/>
    </row>
    <row x14ac:dyDescent="0.25" r="3" customHeight="1" ht="17.25">
      <c r="A3" s="7">
        <v>45658</v>
      </c>
      <c r="B3" s="2" t="s">
        <v>1</v>
      </c>
      <c r="C3" s="3"/>
      <c r="D3" s="4"/>
    </row>
    <row x14ac:dyDescent="0.25" r="4" customHeight="1" ht="17.25">
      <c r="A4" s="7">
        <v>45702</v>
      </c>
      <c r="B4" s="2" t="s">
        <v>3</v>
      </c>
      <c r="C4" s="3"/>
      <c r="D4" s="6">
        <v>313</v>
      </c>
    </row>
    <row x14ac:dyDescent="0.25" r="5" customHeight="1" ht="17.25">
      <c r="A5" s="8">
        <v>45705</v>
      </c>
      <c r="B5" s="9" t="s">
        <v>3</v>
      </c>
      <c r="C5" s="3"/>
      <c r="D5" s="6">
        <v>87</v>
      </c>
    </row>
    <row x14ac:dyDescent="0.25" r="6" customHeight="1" ht="17.25">
      <c r="A6" s="7">
        <v>45828</v>
      </c>
      <c r="B6" s="2" t="s">
        <v>3</v>
      </c>
      <c r="C6" s="6">
        <v>67</v>
      </c>
      <c r="D6" s="4"/>
    </row>
    <row x14ac:dyDescent="0.25" r="7" customHeight="1" ht="17.25">
      <c r="A7" s="7">
        <v>45831</v>
      </c>
      <c r="B7" s="9" t="s">
        <v>3</v>
      </c>
      <c r="C7" s="6">
        <v>158</v>
      </c>
      <c r="D7" s="4"/>
    </row>
    <row x14ac:dyDescent="0.25" r="8" customHeight="1" ht="17.25">
      <c r="A8" s="8">
        <v>45832</v>
      </c>
      <c r="B8" s="9" t="s">
        <v>3</v>
      </c>
      <c r="C8" s="6">
        <v>135</v>
      </c>
      <c r="D8" s="4"/>
    </row>
    <row x14ac:dyDescent="0.25" r="9" customHeight="1" ht="17.25">
      <c r="A9" s="8">
        <v>45939</v>
      </c>
      <c r="B9" s="9" t="s">
        <v>26</v>
      </c>
      <c r="C9" s="6">
        <v>154</v>
      </c>
      <c r="D9" s="4"/>
    </row>
    <row x14ac:dyDescent="0.25" r="10" customHeight="1" ht="17.25">
      <c r="A10" s="8">
        <v>45941</v>
      </c>
      <c r="B10" s="9" t="s">
        <v>26</v>
      </c>
      <c r="C10" s="6">
        <v>36</v>
      </c>
      <c r="D10" s="4"/>
    </row>
    <row x14ac:dyDescent="0.25" r="11" customHeight="1" ht="17.25">
      <c r="A11" s="8">
        <v>45955</v>
      </c>
      <c r="B11" s="9" t="s">
        <v>26</v>
      </c>
      <c r="C11" s="6">
        <v>50</v>
      </c>
      <c r="D11" s="4"/>
    </row>
    <row x14ac:dyDescent="0.25" r="12" customHeight="1" ht="17.25">
      <c r="A12" s="8">
        <v>45958</v>
      </c>
      <c r="B12" s="9" t="s">
        <v>26</v>
      </c>
      <c r="C12" s="6">
        <v>10</v>
      </c>
      <c r="D12" s="4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6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14785714285714" customWidth="1" bestFit="1"/>
    <col min="3" max="3" style="12" width="12.43357142857143" customWidth="1" bestFit="1"/>
    <col min="4" max="4" style="13" width="12.43357142857143" customWidth="1" bestFit="1"/>
  </cols>
  <sheetData>
    <row x14ac:dyDescent="0.25" r="1" customHeight="1" ht="17.25">
      <c r="A1" s="1" t="s">
        <v>99</v>
      </c>
      <c r="B1" s="2"/>
      <c r="C1" s="3"/>
      <c r="D1" s="4"/>
    </row>
    <row x14ac:dyDescent="0.25" r="2" customHeight="1" ht="17.25">
      <c r="A2" s="1"/>
      <c r="B2" s="2"/>
      <c r="C2" s="3"/>
      <c r="D2" s="4"/>
    </row>
    <row x14ac:dyDescent="0.25" r="3" customHeight="1" ht="17.25">
      <c r="A3" s="7">
        <v>45658</v>
      </c>
      <c r="B3" s="2" t="s">
        <v>1</v>
      </c>
      <c r="C3" s="3"/>
      <c r="D3" s="4"/>
    </row>
    <row x14ac:dyDescent="0.25" r="4" customHeight="1" ht="17.25">
      <c r="A4" s="8">
        <v>45660</v>
      </c>
      <c r="B4" s="9" t="s">
        <v>11</v>
      </c>
      <c r="C4" s="6">
        <v>1</v>
      </c>
      <c r="D4" s="4"/>
    </row>
    <row x14ac:dyDescent="0.25" r="5" customHeight="1" ht="17.25">
      <c r="A5" s="7">
        <v>45700</v>
      </c>
      <c r="B5" s="2" t="s">
        <v>11</v>
      </c>
      <c r="C5" s="6">
        <v>24</v>
      </c>
      <c r="D5" s="4"/>
    </row>
    <row x14ac:dyDescent="0.25" r="6" customHeight="1" ht="17.25">
      <c r="A6" s="8">
        <v>45710</v>
      </c>
      <c r="B6" s="9" t="s">
        <v>11</v>
      </c>
      <c r="C6" s="6">
        <v>29</v>
      </c>
      <c r="D6" s="4"/>
    </row>
    <row x14ac:dyDescent="0.25" r="7" customHeight="1" ht="17.25">
      <c r="A7" s="7">
        <v>45720</v>
      </c>
      <c r="B7" s="2" t="s">
        <v>100</v>
      </c>
      <c r="C7" s="3"/>
      <c r="D7" s="6">
        <v>100</v>
      </c>
    </row>
    <row x14ac:dyDescent="0.25" r="8" customHeight="1" ht="17.25">
      <c r="A8" s="7">
        <v>45724</v>
      </c>
      <c r="B8" s="2" t="s">
        <v>100</v>
      </c>
      <c r="C8" s="3"/>
      <c r="D8" s="6">
        <v>194</v>
      </c>
    </row>
    <row x14ac:dyDescent="0.25" r="9" customHeight="1" ht="17.25">
      <c r="A9" s="7">
        <v>45783</v>
      </c>
      <c r="B9" s="2" t="s">
        <v>100</v>
      </c>
      <c r="C9" s="6">
        <v>168</v>
      </c>
      <c r="D9" s="4"/>
    </row>
    <row x14ac:dyDescent="0.25" r="10" customHeight="1" ht="17.25">
      <c r="A10" s="7">
        <v>45791</v>
      </c>
      <c r="B10" s="2" t="s">
        <v>100</v>
      </c>
      <c r="C10" s="6">
        <v>115</v>
      </c>
      <c r="D10" s="4"/>
    </row>
    <row x14ac:dyDescent="0.25" r="11" customHeight="1" ht="17.25">
      <c r="A11" s="8">
        <v>45843</v>
      </c>
      <c r="B11" s="9" t="s">
        <v>46</v>
      </c>
      <c r="C11" s="3"/>
      <c r="D11" s="6">
        <v>110</v>
      </c>
    </row>
    <row x14ac:dyDescent="0.25" r="12" customHeight="1" ht="17.25">
      <c r="A12" s="8">
        <v>45853</v>
      </c>
      <c r="B12" s="9" t="s">
        <v>46</v>
      </c>
      <c r="C12" s="3"/>
      <c r="D12" s="6">
        <v>70</v>
      </c>
    </row>
    <row x14ac:dyDescent="0.25" r="13" customHeight="1" ht="17.25">
      <c r="A13" s="7">
        <v>45855</v>
      </c>
      <c r="B13" s="2" t="s">
        <v>46</v>
      </c>
      <c r="C13" s="3"/>
      <c r="D13" s="6">
        <v>130</v>
      </c>
    </row>
    <row x14ac:dyDescent="0.25" r="14" customHeight="1" ht="17.25">
      <c r="A14" s="7">
        <v>45895</v>
      </c>
      <c r="B14" s="2" t="s">
        <v>46</v>
      </c>
      <c r="C14" s="6">
        <v>129</v>
      </c>
      <c r="D14" s="4"/>
    </row>
    <row x14ac:dyDescent="0.25" r="15" customHeight="1" ht="17.25">
      <c r="A15" s="7">
        <v>45904</v>
      </c>
      <c r="B15" s="2" t="s">
        <v>46</v>
      </c>
      <c r="C15" s="6">
        <v>104</v>
      </c>
      <c r="D15" s="4"/>
    </row>
    <row x14ac:dyDescent="0.25" r="16" customHeight="1" ht="17.25">
      <c r="A16" s="7">
        <v>45919</v>
      </c>
      <c r="B16" s="2" t="s">
        <v>46</v>
      </c>
      <c r="C16" s="6">
        <v>45</v>
      </c>
      <c r="D16" s="4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8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290714285714284" customWidth="1" bestFit="1"/>
    <col min="3" max="3" style="12" width="12.43357142857143" customWidth="1" bestFit="1"/>
    <col min="4" max="4" style="13" width="12.43357142857143" customWidth="1" bestFit="1"/>
  </cols>
  <sheetData>
    <row x14ac:dyDescent="0.25" r="1" customHeight="1" ht="17.25">
      <c r="A1" s="1" t="s">
        <v>98</v>
      </c>
      <c r="B1" s="2"/>
      <c r="C1" s="3"/>
      <c r="D1" s="4"/>
    </row>
    <row x14ac:dyDescent="0.25" r="2" customHeight="1" ht="17.25">
      <c r="A2" s="1"/>
      <c r="B2" s="2"/>
      <c r="C2" s="3"/>
      <c r="D2" s="4"/>
    </row>
    <row x14ac:dyDescent="0.25" r="3" customHeight="1" ht="17.25">
      <c r="A3" s="7">
        <v>45658</v>
      </c>
      <c r="B3" s="2" t="s">
        <v>1</v>
      </c>
      <c r="C3" s="3"/>
      <c r="D3" s="4"/>
    </row>
    <row x14ac:dyDescent="0.25" r="4" customHeight="1" ht="17.25">
      <c r="A4" s="8">
        <v>45660</v>
      </c>
      <c r="B4" s="9" t="s">
        <v>11</v>
      </c>
      <c r="C4" s="6">
        <v>10</v>
      </c>
      <c r="D4" s="4"/>
    </row>
    <row x14ac:dyDescent="0.25" r="5" customHeight="1" ht="17.25">
      <c r="A5" s="7">
        <v>45677</v>
      </c>
      <c r="B5" s="9" t="s">
        <v>35</v>
      </c>
      <c r="C5" s="3"/>
      <c r="D5" s="6">
        <v>2</v>
      </c>
    </row>
    <row x14ac:dyDescent="0.25" r="6" customHeight="1" ht="17.25">
      <c r="A6" s="8">
        <v>45700</v>
      </c>
      <c r="B6" s="9" t="s">
        <v>11</v>
      </c>
      <c r="C6" s="6">
        <v>3</v>
      </c>
      <c r="D6" s="4"/>
    </row>
    <row x14ac:dyDescent="0.25" r="7" customHeight="1" ht="17.25">
      <c r="A7" s="7">
        <v>45709</v>
      </c>
      <c r="B7" s="9" t="s">
        <v>3</v>
      </c>
      <c r="C7" s="3"/>
      <c r="D7" s="6">
        <v>71</v>
      </c>
    </row>
    <row x14ac:dyDescent="0.25" r="8" customHeight="1" ht="17.25">
      <c r="A8" s="8">
        <v>45710</v>
      </c>
      <c r="B8" s="9" t="s">
        <v>11</v>
      </c>
      <c r="C8" s="6">
        <v>6</v>
      </c>
      <c r="D8" s="4"/>
    </row>
    <row x14ac:dyDescent="0.25" r="9" customHeight="1" ht="17.25">
      <c r="A9" s="7">
        <v>45828</v>
      </c>
      <c r="B9" s="9" t="s">
        <v>3</v>
      </c>
      <c r="C9" s="6">
        <v>20</v>
      </c>
      <c r="D9" s="4"/>
    </row>
    <row x14ac:dyDescent="0.25" r="10" customHeight="1" ht="17.25">
      <c r="A10" s="8">
        <v>45831</v>
      </c>
      <c r="B10" s="9" t="s">
        <v>3</v>
      </c>
      <c r="C10" s="6">
        <v>35</v>
      </c>
      <c r="D10" s="4"/>
    </row>
    <row x14ac:dyDescent="0.25" r="11" customHeight="1" ht="17.25">
      <c r="A11" s="8">
        <v>45832</v>
      </c>
      <c r="B11" s="9" t="s">
        <v>3</v>
      </c>
      <c r="C11" s="6">
        <v>12</v>
      </c>
      <c r="D11" s="4"/>
    </row>
    <row x14ac:dyDescent="0.25" r="12" customHeight="1" ht="17.25">
      <c r="A12" s="7">
        <v>45839</v>
      </c>
      <c r="B12" s="9" t="s">
        <v>3</v>
      </c>
      <c r="C12" s="6">
        <v>1</v>
      </c>
      <c r="D12" s="4"/>
    </row>
    <row x14ac:dyDescent="0.25" r="13" customHeight="1" ht="17.25">
      <c r="A13" s="7">
        <v>45887</v>
      </c>
      <c r="B13" s="9" t="s">
        <v>26</v>
      </c>
      <c r="C13" s="3"/>
      <c r="D13" s="6">
        <v>100</v>
      </c>
    </row>
    <row x14ac:dyDescent="0.25" r="14" customHeight="1" ht="17.25">
      <c r="A14" s="8">
        <v>45939</v>
      </c>
      <c r="B14" s="9" t="s">
        <v>26</v>
      </c>
      <c r="C14" s="6">
        <v>8</v>
      </c>
      <c r="D14" s="4"/>
    </row>
    <row x14ac:dyDescent="0.25" r="15" customHeight="1" ht="17.25">
      <c r="A15" s="8">
        <v>45941</v>
      </c>
      <c r="B15" s="9" t="s">
        <v>26</v>
      </c>
      <c r="C15" s="6">
        <v>33</v>
      </c>
      <c r="D15" s="4"/>
    </row>
    <row x14ac:dyDescent="0.25" r="16" customHeight="1" ht="17.25">
      <c r="A16" s="7">
        <v>45945</v>
      </c>
      <c r="B16" s="9" t="s">
        <v>26</v>
      </c>
      <c r="C16" s="6">
        <v>31</v>
      </c>
      <c r="D16" s="4"/>
    </row>
    <row x14ac:dyDescent="0.25" r="17" customHeight="1" ht="17.25">
      <c r="A17" s="8">
        <v>45955</v>
      </c>
      <c r="B17" s="9" t="s">
        <v>26</v>
      </c>
      <c r="C17" s="6">
        <v>24</v>
      </c>
      <c r="D17" s="4"/>
    </row>
    <row x14ac:dyDescent="0.25" r="18" customHeight="1" ht="17.25">
      <c r="A18" s="8">
        <v>45958</v>
      </c>
      <c r="B18" s="9" t="s">
        <v>26</v>
      </c>
      <c r="C18" s="6">
        <v>5</v>
      </c>
      <c r="D18" s="4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1.290714285714284" customWidth="1" bestFit="1"/>
    <col min="3" max="3" style="12" width="12.43357142857143" customWidth="1" bestFit="1"/>
    <col min="4" max="4" style="13" width="12.43357142857143" customWidth="1" bestFit="1"/>
  </cols>
  <sheetData>
    <row x14ac:dyDescent="0.25" r="1" customHeight="1" ht="17.25">
      <c r="A1" s="1" t="s">
        <v>97</v>
      </c>
      <c r="B1" s="2"/>
      <c r="C1" s="3"/>
      <c r="D1" s="4"/>
    </row>
    <row x14ac:dyDescent="0.25" r="2" customHeight="1" ht="17.25">
      <c r="A2" s="1"/>
      <c r="B2" s="2"/>
      <c r="C2" s="3"/>
      <c r="D2" s="4"/>
    </row>
    <row x14ac:dyDescent="0.25" r="3" customHeight="1" ht="17.25">
      <c r="A3" s="7">
        <v>45658</v>
      </c>
      <c r="B3" s="2" t="s">
        <v>1</v>
      </c>
      <c r="C3" s="3"/>
      <c r="D3" s="4"/>
    </row>
    <row x14ac:dyDescent="0.25" r="4" customHeight="1" ht="17.25">
      <c r="A4" s="7">
        <v>45702</v>
      </c>
      <c r="B4" s="2" t="s">
        <v>3</v>
      </c>
      <c r="C4" s="3"/>
      <c r="D4" s="6">
        <v>102</v>
      </c>
    </row>
    <row x14ac:dyDescent="0.25" r="5" customHeight="1" ht="17.25">
      <c r="A5" s="8">
        <v>45705</v>
      </c>
      <c r="B5" s="9" t="s">
        <v>3</v>
      </c>
      <c r="C5" s="3"/>
      <c r="D5" s="6">
        <v>27</v>
      </c>
    </row>
    <row x14ac:dyDescent="0.25" r="6" customHeight="1" ht="17.25">
      <c r="A6" s="7">
        <v>45805</v>
      </c>
      <c r="B6" s="2" t="s">
        <v>3</v>
      </c>
      <c r="C6" s="6">
        <v>12</v>
      </c>
      <c r="D6" s="4"/>
    </row>
    <row x14ac:dyDescent="0.25" r="7" customHeight="1" ht="17.25">
      <c r="A7" s="7">
        <v>45828</v>
      </c>
      <c r="B7" s="2" t="s">
        <v>3</v>
      </c>
      <c r="C7" s="6">
        <v>28</v>
      </c>
      <c r="D7" s="4"/>
    </row>
    <row x14ac:dyDescent="0.25" r="8" customHeight="1" ht="17.25">
      <c r="A8" s="8">
        <v>45831</v>
      </c>
      <c r="B8" s="9" t="s">
        <v>3</v>
      </c>
      <c r="C8" s="6">
        <v>24</v>
      </c>
      <c r="D8" s="4"/>
    </row>
    <row x14ac:dyDescent="0.25" r="9" customHeight="1" ht="17.25">
      <c r="A9" s="8">
        <v>45832</v>
      </c>
      <c r="B9" s="9" t="s">
        <v>3</v>
      </c>
      <c r="C9" s="6">
        <v>56</v>
      </c>
      <c r="D9" s="4"/>
    </row>
    <row x14ac:dyDescent="0.25" r="10" customHeight="1" ht="17.25">
      <c r="A10" s="7">
        <v>45839</v>
      </c>
      <c r="B10" s="9" t="s">
        <v>3</v>
      </c>
      <c r="C10" s="6">
        <v>7</v>
      </c>
      <c r="D10" s="4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719285714285714" customWidth="1" bestFit="1"/>
    <col min="3" max="3" style="13" width="12.43357142857143" customWidth="1" bestFit="1"/>
    <col min="4" max="4" style="12" width="12.43357142857143" customWidth="1" bestFit="1"/>
  </cols>
  <sheetData>
    <row x14ac:dyDescent="0.25" r="1" customHeight="1" ht="17.25">
      <c r="A1" s="1" t="s">
        <v>96</v>
      </c>
      <c r="B1" s="2"/>
      <c r="C1" s="4"/>
      <c r="D1" s="3"/>
    </row>
    <row x14ac:dyDescent="0.25" r="2" customHeight="1" ht="17.25">
      <c r="A2" s="1"/>
      <c r="B2" s="2"/>
      <c r="C2" s="4"/>
      <c r="D2" s="3"/>
    </row>
    <row x14ac:dyDescent="0.25" r="3" customHeight="1" ht="17.25">
      <c r="A3" s="7">
        <v>45658</v>
      </c>
      <c r="B3" s="2" t="s">
        <v>1</v>
      </c>
      <c r="C3" s="4"/>
      <c r="D3" s="3"/>
    </row>
    <row x14ac:dyDescent="0.25" r="4" customHeight="1" ht="17.25">
      <c r="A4" s="7">
        <v>45660</v>
      </c>
      <c r="B4" s="2" t="s">
        <v>11</v>
      </c>
      <c r="C4" s="6">
        <v>5</v>
      </c>
      <c r="D4" s="3"/>
    </row>
    <row x14ac:dyDescent="0.25" r="5" customHeight="1" ht="17.25">
      <c r="A5" s="8">
        <v>45677</v>
      </c>
      <c r="B5" s="9" t="s">
        <v>35</v>
      </c>
      <c r="C5" s="4"/>
      <c r="D5" s="6">
        <v>1</v>
      </c>
    </row>
    <row x14ac:dyDescent="0.25" r="6" customHeight="1" ht="17.25">
      <c r="A6" s="8">
        <v>45700</v>
      </c>
      <c r="B6" s="9" t="s">
        <v>11</v>
      </c>
      <c r="C6" s="6">
        <v>1</v>
      </c>
      <c r="D6" s="3"/>
    </row>
    <row x14ac:dyDescent="0.25" r="7" customHeight="1" ht="17.25">
      <c r="A7" s="8">
        <v>45710</v>
      </c>
      <c r="B7" s="9" t="s">
        <v>11</v>
      </c>
      <c r="C7" s="6">
        <v>1</v>
      </c>
      <c r="D7" s="3"/>
    </row>
    <row x14ac:dyDescent="0.25" r="8" customHeight="1" ht="17.25">
      <c r="A8" s="7">
        <v>45887</v>
      </c>
      <c r="B8" s="9" t="s">
        <v>26</v>
      </c>
      <c r="C8" s="4"/>
      <c r="D8" s="6">
        <v>100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0.14785714285714" customWidth="1" bestFit="1"/>
    <col min="3" max="3" style="12" width="12.43357142857143" customWidth="1" bestFit="1"/>
    <col min="4" max="4" style="13" width="12.43357142857143" customWidth="1" bestFit="1"/>
  </cols>
  <sheetData>
    <row x14ac:dyDescent="0.25" r="1" customHeight="1" ht="17.25">
      <c r="A1" s="1" t="s">
        <v>94</v>
      </c>
      <c r="B1" s="2"/>
      <c r="C1" s="3"/>
      <c r="D1" s="4"/>
    </row>
    <row x14ac:dyDescent="0.25" r="2" customHeight="1" ht="17.25">
      <c r="A2" s="1"/>
      <c r="B2" s="2"/>
      <c r="C2" s="3"/>
      <c r="D2" s="4"/>
    </row>
    <row x14ac:dyDescent="0.25" r="3" customHeight="1" ht="17.25">
      <c r="A3" s="7">
        <v>45658</v>
      </c>
      <c r="B3" s="2" t="s">
        <v>1</v>
      </c>
      <c r="C3" s="3"/>
      <c r="D3" s="4"/>
    </row>
    <row x14ac:dyDescent="0.25" r="4" customHeight="1" ht="17.25">
      <c r="A4" s="7">
        <v>45660</v>
      </c>
      <c r="B4" s="2" t="s">
        <v>95</v>
      </c>
      <c r="C4" s="6">
        <v>11</v>
      </c>
      <c r="D4" s="4"/>
    </row>
    <row x14ac:dyDescent="0.25" r="5" customHeight="1" ht="17.25">
      <c r="A5" s="8">
        <v>45660</v>
      </c>
      <c r="B5" s="9" t="s">
        <v>11</v>
      </c>
      <c r="C5" s="6">
        <v>11</v>
      </c>
      <c r="D5" s="4"/>
    </row>
    <row x14ac:dyDescent="0.25" r="6" customHeight="1" ht="17.25">
      <c r="A6" s="8">
        <v>45696</v>
      </c>
      <c r="B6" s="9" t="s">
        <v>35</v>
      </c>
      <c r="C6" s="6">
        <v>13</v>
      </c>
      <c r="D6" s="4"/>
    </row>
    <row x14ac:dyDescent="0.25" r="7" customHeight="1" ht="17.25">
      <c r="A7" s="7">
        <v>45696</v>
      </c>
      <c r="B7" s="2" t="s">
        <v>35</v>
      </c>
      <c r="C7" s="6">
        <v>1</v>
      </c>
      <c r="D7" s="4"/>
    </row>
    <row x14ac:dyDescent="0.25" r="8" customHeight="1" ht="17.25">
      <c r="A8" s="7">
        <v>45700</v>
      </c>
      <c r="B8" s="2" t="s">
        <v>11</v>
      </c>
      <c r="C8" s="6">
        <v>1</v>
      </c>
      <c r="D8" s="4"/>
    </row>
    <row x14ac:dyDescent="0.25" r="9" customHeight="1" ht="17.25">
      <c r="A9" s="8">
        <v>45710</v>
      </c>
      <c r="B9" s="9" t="s">
        <v>11</v>
      </c>
      <c r="C9" s="6">
        <v>1</v>
      </c>
      <c r="D9" s="4"/>
    </row>
    <row x14ac:dyDescent="0.25" r="10" customHeight="1" ht="17.25">
      <c r="A10" s="8">
        <v>45758</v>
      </c>
      <c r="B10" s="9" t="s">
        <v>35</v>
      </c>
      <c r="C10" s="3"/>
      <c r="D10" s="6">
        <v>1</v>
      </c>
    </row>
    <row x14ac:dyDescent="0.25" r="11" customHeight="1" ht="17.25">
      <c r="A11" s="7">
        <v>45889</v>
      </c>
      <c r="B11" s="9" t="s">
        <v>26</v>
      </c>
      <c r="C11" s="3"/>
      <c r="D11" s="6">
        <v>40</v>
      </c>
    </row>
    <row x14ac:dyDescent="0.25" r="12" customHeight="1" ht="17.25">
      <c r="A12" s="8">
        <v>45932</v>
      </c>
      <c r="B12" s="9" t="s">
        <v>4</v>
      </c>
      <c r="C12" s="6">
        <v>2</v>
      </c>
      <c r="D12" s="4"/>
    </row>
    <row x14ac:dyDescent="0.25" r="13" customHeight="1" ht="17.25">
      <c r="A13" s="7">
        <v>45945</v>
      </c>
      <c r="B13" s="9" t="s">
        <v>26</v>
      </c>
      <c r="C13" s="6">
        <v>32</v>
      </c>
      <c r="D13" s="4"/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0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1.14785714285714" customWidth="1" bestFit="1"/>
    <col min="3" max="3" style="13" width="12.43357142857143" customWidth="1" bestFit="1"/>
    <col min="4" max="4" style="12" width="12.43357142857143" customWidth="1" bestFit="1"/>
  </cols>
  <sheetData>
    <row x14ac:dyDescent="0.25" r="1" customHeight="1" ht="17.25">
      <c r="A1" s="1" t="s">
        <v>93</v>
      </c>
      <c r="B1" s="2"/>
      <c r="C1" s="4"/>
      <c r="D1" s="3"/>
    </row>
    <row x14ac:dyDescent="0.25" r="2" customHeight="1" ht="17.25">
      <c r="A2" s="1"/>
      <c r="B2" s="2"/>
      <c r="C2" s="4"/>
      <c r="D2" s="3"/>
    </row>
    <row x14ac:dyDescent="0.25" r="3" customHeight="1" ht="17.25">
      <c r="A3" s="7">
        <v>45658</v>
      </c>
      <c r="B3" s="2" t="s">
        <v>1</v>
      </c>
      <c r="C3" s="4"/>
      <c r="D3" s="3"/>
    </row>
    <row x14ac:dyDescent="0.25" r="4" customHeight="1" ht="17.25">
      <c r="A4" s="7">
        <v>45660</v>
      </c>
      <c r="B4" s="2" t="s">
        <v>35</v>
      </c>
      <c r="C4" s="6">
        <v>92</v>
      </c>
      <c r="D4" s="3"/>
    </row>
    <row x14ac:dyDescent="0.25" r="5" customHeight="1" ht="17.25">
      <c r="A5" s="8">
        <v>45660</v>
      </c>
      <c r="B5" s="9" t="s">
        <v>11</v>
      </c>
      <c r="C5" s="6">
        <v>27</v>
      </c>
      <c r="D5" s="3"/>
    </row>
    <row x14ac:dyDescent="0.25" r="6" customHeight="1" ht="17.25">
      <c r="A6" s="8">
        <v>45696</v>
      </c>
      <c r="B6" s="9" t="s">
        <v>35</v>
      </c>
      <c r="C6" s="6">
        <v>41</v>
      </c>
      <c r="D6" s="3"/>
    </row>
    <row x14ac:dyDescent="0.25" r="7" customHeight="1" ht="17.25">
      <c r="A7" s="7">
        <v>45696</v>
      </c>
      <c r="B7" s="2" t="s">
        <v>35</v>
      </c>
      <c r="C7" s="6">
        <v>5</v>
      </c>
      <c r="D7" s="3"/>
    </row>
    <row x14ac:dyDescent="0.25" r="8" customHeight="1" ht="17.25">
      <c r="A8" s="8">
        <v>45700</v>
      </c>
      <c r="B8" s="9" t="s">
        <v>11</v>
      </c>
      <c r="C8" s="6">
        <v>3</v>
      </c>
      <c r="D8" s="3"/>
    </row>
    <row x14ac:dyDescent="0.25" r="9" customHeight="1" ht="17.25">
      <c r="A9" s="8">
        <v>45710</v>
      </c>
      <c r="B9" s="9" t="s">
        <v>11</v>
      </c>
      <c r="C9" s="6">
        <v>5</v>
      </c>
      <c r="D9" s="3"/>
    </row>
    <row x14ac:dyDescent="0.25" r="10" customHeight="1" ht="17.25">
      <c r="A10" s="8">
        <v>45817</v>
      </c>
      <c r="B10" s="9" t="s">
        <v>4</v>
      </c>
      <c r="C10" s="4"/>
      <c r="D10" s="6">
        <v>32</v>
      </c>
    </row>
    <row x14ac:dyDescent="0.25" r="11" customHeight="1" ht="17.25">
      <c r="A11" s="7">
        <v>45819</v>
      </c>
      <c r="B11" s="9" t="s">
        <v>4</v>
      </c>
      <c r="C11" s="4"/>
      <c r="D11" s="6">
        <v>38</v>
      </c>
    </row>
    <row x14ac:dyDescent="0.25" r="12" customHeight="1" ht="17.25">
      <c r="A12" s="7">
        <v>45825</v>
      </c>
      <c r="B12" s="9" t="s">
        <v>4</v>
      </c>
      <c r="C12" s="4"/>
      <c r="D12" s="6">
        <v>40</v>
      </c>
    </row>
    <row x14ac:dyDescent="0.25" r="13" customHeight="1" ht="17.25">
      <c r="A13" s="7">
        <v>45887</v>
      </c>
      <c r="B13" s="9" t="s">
        <v>26</v>
      </c>
      <c r="C13" s="4"/>
      <c r="D13" s="6">
        <v>100</v>
      </c>
    </row>
    <row x14ac:dyDescent="0.25" r="14" customHeight="1" ht="17.25">
      <c r="A14" s="7">
        <v>45889</v>
      </c>
      <c r="B14" s="9" t="s">
        <v>26</v>
      </c>
      <c r="C14" s="4"/>
      <c r="D14" s="6">
        <v>125</v>
      </c>
    </row>
    <row x14ac:dyDescent="0.25" r="15" customHeight="1" ht="17.25">
      <c r="A15" s="7">
        <v>45932</v>
      </c>
      <c r="B15" s="9" t="s">
        <v>4</v>
      </c>
      <c r="C15" s="6">
        <v>75</v>
      </c>
      <c r="D15" s="3"/>
    </row>
    <row x14ac:dyDescent="0.25" r="16" customHeight="1" ht="17.25">
      <c r="A16" s="8">
        <v>45939</v>
      </c>
      <c r="B16" s="9" t="s">
        <v>26</v>
      </c>
      <c r="C16" s="6">
        <v>65</v>
      </c>
      <c r="D16" s="3"/>
    </row>
    <row x14ac:dyDescent="0.25" r="17" customHeight="1" ht="17.25">
      <c r="A17" s="7">
        <v>45945</v>
      </c>
      <c r="B17" s="9" t="s">
        <v>26</v>
      </c>
      <c r="C17" s="6">
        <v>122</v>
      </c>
      <c r="D17" s="3"/>
    </row>
    <row x14ac:dyDescent="0.25" r="18" customHeight="1" ht="17.25">
      <c r="A18" s="8">
        <v>45955</v>
      </c>
      <c r="B18" s="9" t="s">
        <v>26</v>
      </c>
      <c r="C18" s="6">
        <v>41</v>
      </c>
      <c r="D18" s="3"/>
    </row>
    <row x14ac:dyDescent="0.25" r="19" customHeight="1" ht="17.25">
      <c r="A19" s="8">
        <v>45962</v>
      </c>
      <c r="B19" s="9" t="s">
        <v>26</v>
      </c>
      <c r="C19" s="6">
        <v>2</v>
      </c>
      <c r="D19" s="3"/>
    </row>
    <row x14ac:dyDescent="0.25" r="20" customHeight="1" ht="17.25">
      <c r="A20" s="7">
        <v>46007</v>
      </c>
      <c r="B20" s="9" t="s">
        <v>46</v>
      </c>
      <c r="C20" s="4"/>
      <c r="D20" s="6">
        <v>400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2.43357142857143" customWidth="1" bestFit="1"/>
    <col min="3" max="3" style="12" width="12.43357142857143" customWidth="1" bestFit="1"/>
    <col min="4" max="4" style="11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92</v>
      </c>
      <c r="B1" s="2"/>
      <c r="C1" s="3"/>
      <c r="D1" s="2"/>
      <c r="E1" s="3"/>
    </row>
    <row x14ac:dyDescent="0.25" r="2" customHeight="1" ht="17.25">
      <c r="A2" s="1"/>
      <c r="B2" s="2"/>
      <c r="C2" s="3"/>
      <c r="D2" s="2"/>
      <c r="E2" s="3"/>
    </row>
    <row x14ac:dyDescent="0.25" r="3" customHeight="1" ht="17.25">
      <c r="A3" s="7">
        <v>45658</v>
      </c>
      <c r="B3" s="2" t="s">
        <v>1</v>
      </c>
      <c r="C3" s="3"/>
      <c r="D3" s="2"/>
      <c r="E3" s="6">
        <v>374</v>
      </c>
    </row>
    <row x14ac:dyDescent="0.25" r="4" customHeight="1" ht="17.25">
      <c r="A4" s="8">
        <v>45660</v>
      </c>
      <c r="B4" s="9" t="s">
        <v>11</v>
      </c>
      <c r="C4" s="6">
        <v>5</v>
      </c>
      <c r="D4" s="2"/>
      <c r="E4" s="6">
        <v>379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1" width="22.719285714285714" customWidth="1" bestFit="1"/>
    <col min="3" max="3" style="12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91</v>
      </c>
      <c r="B1" s="2"/>
      <c r="C1" s="3"/>
      <c r="D1" s="4"/>
      <c r="E1" s="3"/>
    </row>
    <row x14ac:dyDescent="0.25" r="2" customHeight="1" ht="17.25">
      <c r="A2" s="1"/>
      <c r="B2" s="2"/>
      <c r="C2" s="3"/>
      <c r="D2" s="4"/>
      <c r="E2" s="3"/>
    </row>
    <row x14ac:dyDescent="0.25" r="3" customHeight="1" ht="17.25">
      <c r="A3" s="7">
        <v>45658</v>
      </c>
      <c r="B3" s="2" t="s">
        <v>1</v>
      </c>
      <c r="C3" s="3"/>
      <c r="D3" s="4"/>
      <c r="E3" s="6">
        <v>102</v>
      </c>
    </row>
    <row x14ac:dyDescent="0.25" r="4" customHeight="1" ht="17.25">
      <c r="A4" s="7">
        <v>45660</v>
      </c>
      <c r="B4" s="2" t="s">
        <v>35</v>
      </c>
      <c r="C4" s="6">
        <v>4</v>
      </c>
      <c r="D4" s="4"/>
      <c r="E4" s="6">
        <f>E3+C4-D4</f>
      </c>
    </row>
    <row x14ac:dyDescent="0.25" r="5" customHeight="1" ht="17.25">
      <c r="A5" s="8">
        <v>45696</v>
      </c>
      <c r="B5" s="9" t="s">
        <v>35</v>
      </c>
      <c r="C5" s="6">
        <v>9</v>
      </c>
      <c r="D5" s="4"/>
      <c r="E5" s="6">
        <f>E4+C5-D5</f>
      </c>
    </row>
    <row x14ac:dyDescent="0.25" r="6" customHeight="1" ht="17.25">
      <c r="A6" s="7">
        <v>45712</v>
      </c>
      <c r="B6" s="2" t="s">
        <v>35</v>
      </c>
      <c r="C6" s="6">
        <v>2</v>
      </c>
      <c r="D6" s="4"/>
      <c r="E6" s="6">
        <f>E5+C6-D6</f>
      </c>
    </row>
    <row x14ac:dyDescent="0.25" r="7" customHeight="1" ht="17.25">
      <c r="A7" s="8">
        <v>45817</v>
      </c>
      <c r="B7" s="9" t="s">
        <v>4</v>
      </c>
      <c r="C7" s="3"/>
      <c r="D7" s="6">
        <v>16</v>
      </c>
      <c r="E7" s="6">
        <f>E6+C7-D7</f>
      </c>
    </row>
    <row x14ac:dyDescent="0.25" r="8" customHeight="1" ht="17.25">
      <c r="A8" s="8">
        <v>45817</v>
      </c>
      <c r="B8" s="9" t="s">
        <v>4</v>
      </c>
      <c r="C8" s="3"/>
      <c r="D8" s="6">
        <v>32</v>
      </c>
      <c r="E8" s="6">
        <f>E7+C8-D8</f>
      </c>
    </row>
    <row x14ac:dyDescent="0.25" r="9" customHeight="1" ht="17.25">
      <c r="A9" s="7">
        <v>45819</v>
      </c>
      <c r="B9" s="9" t="s">
        <v>4</v>
      </c>
      <c r="C9" s="3"/>
      <c r="D9" s="6">
        <v>60</v>
      </c>
      <c r="E9" s="6">
        <f>E8+C9-D9</f>
      </c>
    </row>
    <row x14ac:dyDescent="0.25" r="10" customHeight="1" ht="17.25">
      <c r="A10" s="7">
        <v>45825</v>
      </c>
      <c r="B10" s="9" t="s">
        <v>4</v>
      </c>
      <c r="C10" s="6">
        <v>108</v>
      </c>
      <c r="D10" s="4"/>
      <c r="E10" s="6">
        <f>E9+C10-D10</f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5.147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87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6">
        <v>942</v>
      </c>
    </row>
    <row x14ac:dyDescent="0.25" r="4" customHeight="1" ht="17.25">
      <c r="A4" s="7">
        <v>45709</v>
      </c>
      <c r="B4" s="2" t="s">
        <v>3</v>
      </c>
      <c r="C4" s="3"/>
      <c r="D4" s="6">
        <v>50</v>
      </c>
      <c r="E4" s="6">
        <f>E3+C4-D4</f>
      </c>
    </row>
    <row x14ac:dyDescent="0.25" r="5" customHeight="1" ht="17.25">
      <c r="A5" s="7">
        <v>45710</v>
      </c>
      <c r="B5" s="2" t="s">
        <v>3</v>
      </c>
      <c r="C5" s="3"/>
      <c r="D5" s="6">
        <v>500</v>
      </c>
      <c r="E5" s="6">
        <f>E4+C5-D5</f>
      </c>
    </row>
    <row x14ac:dyDescent="0.25" r="6" customHeight="1" ht="17.25">
      <c r="A6" s="7">
        <v>45730</v>
      </c>
      <c r="B6" s="2" t="s">
        <v>3</v>
      </c>
      <c r="C6" s="6">
        <v>325</v>
      </c>
      <c r="D6" s="4"/>
      <c r="E6" s="6">
        <f>E5+C6-D6</f>
      </c>
    </row>
    <row x14ac:dyDescent="0.25" r="7" customHeight="1" ht="17.25">
      <c r="A7" s="8">
        <v>45734</v>
      </c>
      <c r="B7" s="9" t="s">
        <v>11</v>
      </c>
      <c r="C7" s="6">
        <v>126</v>
      </c>
      <c r="D7" s="4"/>
      <c r="E7" s="6">
        <f>E6+C7-D7</f>
      </c>
    </row>
    <row x14ac:dyDescent="0.25" r="8" customHeight="1" ht="17.25">
      <c r="A8" s="7">
        <v>45737</v>
      </c>
      <c r="B8" s="2" t="s">
        <v>3</v>
      </c>
      <c r="C8" s="6">
        <v>73</v>
      </c>
      <c r="D8" s="4"/>
      <c r="E8" s="6">
        <f>E7+C8-D8</f>
      </c>
    </row>
    <row x14ac:dyDescent="0.25" r="9" customHeight="1" ht="17.25">
      <c r="A9" s="8">
        <v>45817</v>
      </c>
      <c r="B9" s="9" t="s">
        <v>4</v>
      </c>
      <c r="C9" s="3"/>
      <c r="D9" s="6">
        <v>50</v>
      </c>
      <c r="E9" s="6">
        <f>E8+C9-D9</f>
      </c>
    </row>
    <row x14ac:dyDescent="0.25" r="10" customHeight="1" ht="17.25">
      <c r="A10" s="7">
        <v>45819</v>
      </c>
      <c r="B10" s="2" t="s">
        <v>4</v>
      </c>
      <c r="C10" s="3"/>
      <c r="D10" s="6">
        <v>130</v>
      </c>
      <c r="E10" s="6">
        <f>E9+C10-D10</f>
      </c>
    </row>
    <row x14ac:dyDescent="0.25" r="11" customHeight="1" ht="17.25">
      <c r="A11" s="7">
        <v>45825</v>
      </c>
      <c r="B11" s="9" t="s">
        <v>4</v>
      </c>
      <c r="C11" s="3"/>
      <c r="D11" s="6">
        <v>110</v>
      </c>
      <c r="E11" s="6">
        <f>E10+C11-D11</f>
      </c>
    </row>
    <row x14ac:dyDescent="0.25" r="12" customHeight="1" ht="17.25">
      <c r="A12" s="7">
        <v>45838</v>
      </c>
      <c r="B12" s="2" t="s">
        <v>3</v>
      </c>
      <c r="C12" s="6">
        <v>120</v>
      </c>
      <c r="D12" s="4"/>
      <c r="E12" s="6">
        <f>E11+C12-D12</f>
      </c>
    </row>
    <row x14ac:dyDescent="0.25" r="13" customHeight="1" ht="17.25">
      <c r="A13" s="8">
        <v>45843</v>
      </c>
      <c r="B13" s="9" t="s">
        <v>46</v>
      </c>
      <c r="C13" s="3"/>
      <c r="D13" s="6">
        <v>150</v>
      </c>
      <c r="E13" s="6">
        <f>E12+C13-D13</f>
      </c>
    </row>
    <row x14ac:dyDescent="0.25" r="14" customHeight="1" ht="17.25">
      <c r="A14" s="7">
        <v>45853</v>
      </c>
      <c r="B14" s="2" t="s">
        <v>88</v>
      </c>
      <c r="C14" s="6">
        <v>258</v>
      </c>
      <c r="D14" s="4"/>
      <c r="E14" s="6">
        <f>E13+C14-D14</f>
      </c>
    </row>
    <row x14ac:dyDescent="0.25" r="15" customHeight="1" ht="17.25">
      <c r="A15" s="8">
        <v>45859</v>
      </c>
      <c r="B15" s="9" t="s">
        <v>89</v>
      </c>
      <c r="C15" s="6">
        <v>240</v>
      </c>
      <c r="D15" s="4"/>
      <c r="E15" s="6">
        <f>E14+C15-D15</f>
      </c>
    </row>
    <row x14ac:dyDescent="0.25" r="16" customHeight="1" ht="17.25">
      <c r="A16" s="8">
        <v>45860</v>
      </c>
      <c r="B16" s="9" t="s">
        <v>4</v>
      </c>
      <c r="C16" s="6">
        <v>30</v>
      </c>
      <c r="D16" s="4"/>
      <c r="E16" s="6">
        <f>E15+C16-D16</f>
      </c>
    </row>
    <row x14ac:dyDescent="0.25" r="17" customHeight="1" ht="17.25">
      <c r="A17" s="7">
        <v>45879</v>
      </c>
      <c r="B17" s="2" t="s">
        <v>26</v>
      </c>
      <c r="C17" s="3"/>
      <c r="D17" s="6">
        <v>700</v>
      </c>
      <c r="E17" s="4"/>
    </row>
    <row x14ac:dyDescent="0.25" r="18" customHeight="1" ht="17.25">
      <c r="A18" s="8">
        <v>45879</v>
      </c>
      <c r="B18" s="9" t="s">
        <v>26</v>
      </c>
      <c r="C18" s="26"/>
      <c r="D18" s="27">
        <v>500</v>
      </c>
      <c r="E18" s="4"/>
    </row>
    <row x14ac:dyDescent="0.25" r="19" customHeight="1" ht="17.25">
      <c r="A19" s="1"/>
      <c r="B19" s="9" t="s">
        <v>90</v>
      </c>
      <c r="C19" s="6">
        <v>443</v>
      </c>
      <c r="D19" s="4"/>
      <c r="E19" s="4"/>
    </row>
    <row x14ac:dyDescent="0.25" r="20" customHeight="1" ht="17.25">
      <c r="A20" s="7">
        <v>45898</v>
      </c>
      <c r="B20" s="9" t="s">
        <v>26</v>
      </c>
      <c r="C20" s="3"/>
      <c r="D20" s="6">
        <v>443</v>
      </c>
      <c r="E20" s="4"/>
    </row>
    <row x14ac:dyDescent="0.25" r="21" customHeight="1" ht="17.25">
      <c r="A21" s="1"/>
      <c r="B21" s="9" t="s">
        <v>90</v>
      </c>
      <c r="C21" s="6">
        <v>120</v>
      </c>
      <c r="D21" s="4"/>
      <c r="E21" s="4"/>
    </row>
    <row x14ac:dyDescent="0.25" r="22" customHeight="1" ht="17.25">
      <c r="A22" s="1"/>
      <c r="B22" s="9" t="s">
        <v>26</v>
      </c>
      <c r="C22" s="3"/>
      <c r="D22" s="6">
        <v>168</v>
      </c>
      <c r="E22" s="6">
        <v>0</v>
      </c>
    </row>
    <row x14ac:dyDescent="0.25" r="23" customHeight="1" ht="17.25">
      <c r="A23" s="7">
        <v>45919</v>
      </c>
      <c r="B23" s="9" t="s">
        <v>46</v>
      </c>
      <c r="C23" s="6">
        <v>88</v>
      </c>
      <c r="D23" s="4"/>
      <c r="E23" s="4"/>
    </row>
    <row x14ac:dyDescent="0.25" r="24" customHeight="1" ht="17.25">
      <c r="A24" s="7">
        <v>45930</v>
      </c>
      <c r="B24" s="9" t="s">
        <v>26</v>
      </c>
      <c r="C24" s="6">
        <v>842</v>
      </c>
      <c r="D24" s="4"/>
      <c r="E24" s="4"/>
    </row>
    <row x14ac:dyDescent="0.25" r="25" customHeight="1" ht="17.25">
      <c r="A25" s="7">
        <v>45945</v>
      </c>
      <c r="B25" s="9" t="s">
        <v>26</v>
      </c>
      <c r="C25" s="6">
        <v>133</v>
      </c>
      <c r="D25" s="4"/>
      <c r="E25" s="4"/>
    </row>
    <row x14ac:dyDescent="0.25" r="26" customHeight="1" ht="17.25">
      <c r="A26" s="8">
        <v>45955</v>
      </c>
      <c r="B26" s="9" t="s">
        <v>26</v>
      </c>
      <c r="C26" s="6">
        <v>125</v>
      </c>
      <c r="D26" s="4"/>
      <c r="E26" s="4"/>
    </row>
    <row x14ac:dyDescent="0.25" r="27" customHeight="1" ht="17.25">
      <c r="A27" s="8">
        <v>45958</v>
      </c>
      <c r="B27" s="9" t="s">
        <v>26</v>
      </c>
      <c r="C27" s="6">
        <v>300</v>
      </c>
      <c r="D27" s="4"/>
      <c r="E27" s="4"/>
    </row>
    <row x14ac:dyDescent="0.25" r="28" customHeight="1" ht="17.25">
      <c r="A28" s="7">
        <v>45960</v>
      </c>
      <c r="B28" s="9" t="s">
        <v>3</v>
      </c>
      <c r="C28" s="6">
        <v>26</v>
      </c>
      <c r="D28" s="4"/>
      <c r="E28" s="4"/>
    </row>
    <row x14ac:dyDescent="0.25" r="29" customHeight="1" ht="17.25">
      <c r="A29" s="8">
        <v>45962</v>
      </c>
      <c r="B29" s="9" t="s">
        <v>26</v>
      </c>
      <c r="C29" s="6">
        <v>59</v>
      </c>
      <c r="D29" s="4"/>
      <c r="E29" s="4"/>
    </row>
    <row x14ac:dyDescent="0.25" r="30" customHeight="1" ht="17.25">
      <c r="A30" s="8">
        <v>45980</v>
      </c>
      <c r="B30" s="9" t="s">
        <v>26</v>
      </c>
      <c r="C30" s="6">
        <v>140</v>
      </c>
      <c r="D30" s="4"/>
      <c r="E30" s="4"/>
    </row>
    <row x14ac:dyDescent="0.25" r="31" customHeight="1" ht="17.25">
      <c r="A31" s="7">
        <v>45993</v>
      </c>
      <c r="B31" s="9" t="s">
        <v>26</v>
      </c>
      <c r="C31" s="6">
        <v>75</v>
      </c>
      <c r="D31" s="4"/>
      <c r="E31" s="4"/>
    </row>
    <row x14ac:dyDescent="0.25" r="32" customHeight="1" ht="17.25">
      <c r="A32" s="7">
        <v>46007</v>
      </c>
      <c r="B32" s="9" t="s">
        <v>26</v>
      </c>
      <c r="C32" s="6">
        <v>73</v>
      </c>
      <c r="D32" s="4"/>
      <c r="E32" s="4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576428571428572" customWidth="1" bestFit="1"/>
    <col min="3" max="3" style="12" width="12.43357142857143" customWidth="1" bestFit="1"/>
  </cols>
  <sheetData>
    <row x14ac:dyDescent="0.25" r="1" customHeight="1" ht="17.25">
      <c r="A1" s="1" t="s">
        <v>86</v>
      </c>
      <c r="B1" s="2"/>
      <c r="C1" s="3"/>
    </row>
    <row x14ac:dyDescent="0.25" r="2" customHeight="1" ht="17.25">
      <c r="A2" s="1"/>
      <c r="B2" s="2"/>
      <c r="C2" s="3"/>
    </row>
    <row x14ac:dyDescent="0.25" r="3" customHeight="1" ht="17.25">
      <c r="A3" s="7">
        <v>45658</v>
      </c>
      <c r="B3" s="2" t="s">
        <v>1</v>
      </c>
      <c r="C3" s="3"/>
    </row>
    <row x14ac:dyDescent="0.25" r="4" customHeight="1" ht="17.25">
      <c r="A4" s="7">
        <v>45696</v>
      </c>
      <c r="B4" s="2" t="s">
        <v>35</v>
      </c>
      <c r="C4" s="6">
        <v>3</v>
      </c>
    </row>
    <row x14ac:dyDescent="0.25" r="5" customHeight="1" ht="17.25">
      <c r="A5" s="7">
        <v>45696</v>
      </c>
      <c r="B5" s="2" t="s">
        <v>35</v>
      </c>
      <c r="C5" s="6">
        <v>2</v>
      </c>
    </row>
    <row x14ac:dyDescent="0.25" r="6" customHeight="1" ht="17.25">
      <c r="A6" s="7">
        <v>45726</v>
      </c>
      <c r="B6" s="2" t="s">
        <v>35</v>
      </c>
      <c r="C6" s="6">
        <v>14</v>
      </c>
    </row>
    <row x14ac:dyDescent="0.25" r="7" customHeight="1" ht="20.25">
      <c r="A7" s="8">
        <v>45733</v>
      </c>
      <c r="B7" s="9" t="s">
        <v>11</v>
      </c>
      <c r="C7" s="6">
        <v>20</v>
      </c>
    </row>
    <row x14ac:dyDescent="0.25" r="8" customHeight="1" ht="20.25">
      <c r="A8" s="8">
        <v>45734</v>
      </c>
      <c r="B8" s="9" t="s">
        <v>11</v>
      </c>
      <c r="C8" s="6">
        <v>33</v>
      </c>
    </row>
    <row x14ac:dyDescent="0.25" r="9" customHeight="1" ht="20.25">
      <c r="A9" s="8">
        <v>45764</v>
      </c>
      <c r="B9" s="9" t="s">
        <v>35</v>
      </c>
      <c r="C9" s="6">
        <v>9</v>
      </c>
    </row>
    <row x14ac:dyDescent="0.25" r="10" customHeight="1" ht="20.25">
      <c r="A10" s="8">
        <v>45891</v>
      </c>
      <c r="B10" s="9" t="s">
        <v>35</v>
      </c>
      <c r="C10" s="6">
        <v>5</v>
      </c>
    </row>
    <row x14ac:dyDescent="0.25" r="11" customHeight="1" ht="20.25">
      <c r="A11" s="7">
        <v>45919</v>
      </c>
      <c r="B11" s="9" t="s">
        <v>46</v>
      </c>
      <c r="C11" s="6">
        <v>9</v>
      </c>
    </row>
    <row x14ac:dyDescent="0.25" r="12" customHeight="1" ht="20.25">
      <c r="A12" s="7">
        <v>46007</v>
      </c>
      <c r="B12" s="9" t="s">
        <v>26</v>
      </c>
      <c r="C12" s="6">
        <v>20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6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862142857142857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85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4"/>
    </row>
    <row x14ac:dyDescent="0.25" r="4" customHeight="1" ht="17.25">
      <c r="A4" s="7">
        <v>45696</v>
      </c>
      <c r="B4" s="2" t="s">
        <v>35</v>
      </c>
      <c r="C4" s="6">
        <v>39</v>
      </c>
      <c r="D4" s="4"/>
      <c r="E4" s="6">
        <v>39</v>
      </c>
    </row>
    <row x14ac:dyDescent="0.25" r="5" customHeight="1" ht="17.25">
      <c r="A5" s="7">
        <v>45696</v>
      </c>
      <c r="B5" s="2" t="s">
        <v>35</v>
      </c>
      <c r="C5" s="6">
        <v>7</v>
      </c>
      <c r="D5" s="4"/>
      <c r="E5" s="6">
        <f>E4+C5-D5</f>
      </c>
    </row>
    <row x14ac:dyDescent="0.25" r="6" customHeight="1" ht="17.25">
      <c r="A6" s="8">
        <v>45706</v>
      </c>
      <c r="B6" s="9" t="s">
        <v>3</v>
      </c>
      <c r="C6" s="3"/>
      <c r="D6" s="6">
        <v>170</v>
      </c>
      <c r="E6" s="6">
        <f>E5+C6-D6</f>
      </c>
    </row>
    <row x14ac:dyDescent="0.25" r="7" customHeight="1" ht="17.25">
      <c r="A7" s="7">
        <v>45726</v>
      </c>
      <c r="B7" s="2" t="s">
        <v>35</v>
      </c>
      <c r="C7" s="6">
        <v>20</v>
      </c>
      <c r="D7" s="4"/>
      <c r="E7" s="6">
        <f>E6+C7-D7</f>
      </c>
    </row>
    <row x14ac:dyDescent="0.25" r="8" customHeight="1" ht="17.25">
      <c r="A8" s="8">
        <v>45733</v>
      </c>
      <c r="B8" s="9" t="s">
        <v>11</v>
      </c>
      <c r="C8" s="6">
        <v>28</v>
      </c>
      <c r="D8" s="4"/>
      <c r="E8" s="6">
        <f>E7+C8-D8</f>
      </c>
    </row>
    <row x14ac:dyDescent="0.25" r="9" customHeight="1" ht="17.25">
      <c r="A9" s="7">
        <v>45734</v>
      </c>
      <c r="B9" s="2" t="s">
        <v>11</v>
      </c>
      <c r="C9" s="6">
        <v>115</v>
      </c>
      <c r="D9" s="4"/>
      <c r="E9" s="6">
        <f>E8+C9-D9</f>
      </c>
    </row>
    <row x14ac:dyDescent="0.25" r="10" customHeight="1" ht="17.25">
      <c r="A10" s="8">
        <v>45764</v>
      </c>
      <c r="B10" s="9" t="s">
        <v>35</v>
      </c>
      <c r="C10" s="6">
        <v>22</v>
      </c>
      <c r="D10" s="4"/>
      <c r="E10" s="6">
        <f>E9+C10-D10</f>
      </c>
    </row>
    <row x14ac:dyDescent="0.25" r="11" customHeight="1" ht="17.25">
      <c r="A11" s="8">
        <v>45817</v>
      </c>
      <c r="B11" s="9" t="s">
        <v>4</v>
      </c>
      <c r="C11" s="3"/>
      <c r="D11" s="6">
        <v>40</v>
      </c>
      <c r="E11" s="6">
        <f>E10+C11-D11</f>
      </c>
    </row>
    <row x14ac:dyDescent="0.25" r="12" customHeight="1" ht="17.25">
      <c r="A12" s="8">
        <v>45817</v>
      </c>
      <c r="B12" s="9" t="s">
        <v>4</v>
      </c>
      <c r="C12" s="3"/>
      <c r="D12" s="6">
        <v>30</v>
      </c>
      <c r="E12" s="6">
        <f>E11+C12-D12</f>
      </c>
    </row>
    <row x14ac:dyDescent="0.25" r="13" customHeight="1" ht="17.25">
      <c r="A13" s="7">
        <v>45826</v>
      </c>
      <c r="B13" s="9" t="s">
        <v>4</v>
      </c>
      <c r="C13" s="3"/>
      <c r="D13" s="6">
        <v>110</v>
      </c>
      <c r="E13" s="6">
        <f>E12+C13-D13</f>
      </c>
    </row>
    <row x14ac:dyDescent="0.25" r="14" customHeight="1" ht="17.25">
      <c r="A14" s="8">
        <v>45832</v>
      </c>
      <c r="B14" s="9" t="s">
        <v>3</v>
      </c>
      <c r="C14" s="6">
        <v>95</v>
      </c>
      <c r="D14" s="4"/>
      <c r="E14" s="6">
        <f>E13+C14-D14</f>
      </c>
    </row>
    <row x14ac:dyDescent="0.25" r="15" customHeight="1" ht="17.25">
      <c r="A15" s="7">
        <v>45836</v>
      </c>
      <c r="B15" s="9" t="s">
        <v>3</v>
      </c>
      <c r="C15" s="6">
        <v>69</v>
      </c>
      <c r="D15" s="4"/>
      <c r="E15" s="6">
        <f>E14+C15-D15</f>
      </c>
    </row>
    <row x14ac:dyDescent="0.25" r="16" customHeight="1" ht="17.25">
      <c r="A16" s="8">
        <v>45853</v>
      </c>
      <c r="B16" s="9" t="s">
        <v>46</v>
      </c>
      <c r="C16" s="3"/>
      <c r="D16" s="6">
        <v>50</v>
      </c>
      <c r="E16" s="6">
        <f>E15+C16-D16</f>
      </c>
    </row>
    <row x14ac:dyDescent="0.25" r="17" customHeight="1" ht="17.25">
      <c r="A17" s="8">
        <v>45860</v>
      </c>
      <c r="B17" s="9" t="s">
        <v>4</v>
      </c>
      <c r="C17" s="6">
        <v>142</v>
      </c>
      <c r="D17" s="4"/>
      <c r="E17" s="6">
        <f>E16+C17-D17</f>
      </c>
    </row>
    <row x14ac:dyDescent="0.25" r="18" customHeight="1" ht="17.25">
      <c r="A18" s="8">
        <v>45891</v>
      </c>
      <c r="B18" s="9" t="s">
        <v>35</v>
      </c>
      <c r="C18" s="6">
        <v>155</v>
      </c>
      <c r="D18" s="4"/>
      <c r="E18" s="6">
        <f>E17+C18-D18</f>
      </c>
    </row>
    <row x14ac:dyDescent="0.25" r="19" customHeight="1" ht="17.25">
      <c r="A19" s="7">
        <v>45895</v>
      </c>
      <c r="B19" s="9" t="s">
        <v>26</v>
      </c>
      <c r="C19" s="3"/>
      <c r="D19" s="6">
        <v>350</v>
      </c>
      <c r="E19" s="6">
        <f>E18+C19-D19</f>
      </c>
    </row>
    <row x14ac:dyDescent="0.25" r="20" customHeight="1" ht="17.25">
      <c r="A20" s="7">
        <v>45919</v>
      </c>
      <c r="B20" s="9" t="s">
        <v>46</v>
      </c>
      <c r="C20" s="6">
        <v>115</v>
      </c>
      <c r="D20" s="4"/>
      <c r="E20" s="6">
        <f>E19+C20-D20</f>
      </c>
    </row>
    <row x14ac:dyDescent="0.25" r="21" customHeight="1" ht="17.25">
      <c r="A21" s="7">
        <v>45945</v>
      </c>
      <c r="B21" s="9" t="s">
        <v>26</v>
      </c>
      <c r="C21" s="6">
        <v>40</v>
      </c>
      <c r="D21" s="4"/>
      <c r="E21" s="6">
        <f>E20+C21-D21</f>
      </c>
    </row>
    <row x14ac:dyDescent="0.25" r="22" customHeight="1" ht="17.25">
      <c r="A22" s="8">
        <v>45955</v>
      </c>
      <c r="B22" s="9" t="s">
        <v>26</v>
      </c>
      <c r="C22" s="6">
        <v>109</v>
      </c>
      <c r="D22" s="4"/>
      <c r="E22" s="6">
        <f>E21+C22-D22</f>
      </c>
    </row>
    <row x14ac:dyDescent="0.25" r="23" customHeight="1" ht="17.25">
      <c r="A23" s="8">
        <v>45958</v>
      </c>
      <c r="B23" s="9" t="s">
        <v>26</v>
      </c>
      <c r="C23" s="6">
        <v>50</v>
      </c>
      <c r="D23" s="4"/>
      <c r="E23" s="6">
        <f>E22+C23-D23</f>
      </c>
    </row>
    <row x14ac:dyDescent="0.25" r="24" customHeight="1" ht="17.25">
      <c r="A24" s="7">
        <v>45993</v>
      </c>
      <c r="B24" s="9" t="s">
        <v>26</v>
      </c>
      <c r="C24" s="6">
        <v>60</v>
      </c>
      <c r="D24" s="4"/>
      <c r="E24" s="6">
        <f>E23+C24-D24</f>
      </c>
    </row>
    <row x14ac:dyDescent="0.25" r="25" customHeight="1" ht="17.25">
      <c r="A25" s="7">
        <v>46007</v>
      </c>
      <c r="B25" s="9" t="s">
        <v>46</v>
      </c>
      <c r="C25" s="3"/>
      <c r="D25" s="6">
        <v>400</v>
      </c>
      <c r="E25" s="6">
        <f>E24+C25-D25</f>
      </c>
    </row>
    <row x14ac:dyDescent="0.25" r="26" customHeight="1" ht="17.25">
      <c r="A26" s="7">
        <v>46007</v>
      </c>
      <c r="B26" s="9" t="s">
        <v>26</v>
      </c>
      <c r="C26" s="6">
        <v>21</v>
      </c>
      <c r="D26" s="4"/>
      <c r="E26" s="4"/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29071428571428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84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3"/>
    </row>
    <row x14ac:dyDescent="0.25" r="4" customHeight="1" ht="17.25">
      <c r="A4" s="7">
        <v>45696</v>
      </c>
      <c r="B4" s="2" t="s">
        <v>35</v>
      </c>
      <c r="C4" s="6">
        <v>214</v>
      </c>
      <c r="D4" s="4"/>
      <c r="E4" s="6">
        <f>E3+C4-D4</f>
      </c>
    </row>
    <row x14ac:dyDescent="0.25" r="5" customHeight="1" ht="17.25">
      <c r="A5" s="7">
        <v>45696</v>
      </c>
      <c r="B5" s="2" t="s">
        <v>35</v>
      </c>
      <c r="C5" s="6">
        <v>82</v>
      </c>
      <c r="D5" s="4"/>
      <c r="E5" s="6">
        <f>E4+C5-D5</f>
      </c>
    </row>
    <row x14ac:dyDescent="0.25" r="6" customHeight="1" ht="17.25">
      <c r="A6" s="7">
        <v>45702</v>
      </c>
      <c r="B6" s="2" t="s">
        <v>3</v>
      </c>
      <c r="C6" s="4"/>
      <c r="D6" s="6">
        <v>600</v>
      </c>
      <c r="E6" s="6">
        <f>E5+C6-D6</f>
      </c>
    </row>
    <row x14ac:dyDescent="0.25" r="7" customHeight="1" ht="17.25">
      <c r="A7" s="8">
        <v>45706</v>
      </c>
      <c r="B7" s="9" t="s">
        <v>3</v>
      </c>
      <c r="C7" s="4"/>
      <c r="D7" s="6">
        <v>46</v>
      </c>
      <c r="E7" s="6">
        <f>E6+C7-D7</f>
      </c>
    </row>
    <row x14ac:dyDescent="0.25" r="8" customHeight="1" ht="17.25">
      <c r="A8" s="7">
        <v>45708</v>
      </c>
      <c r="B8" s="2" t="s">
        <v>3</v>
      </c>
      <c r="C8" s="4"/>
      <c r="D8" s="6">
        <v>160</v>
      </c>
      <c r="E8" s="6">
        <f>E7+C8-D8</f>
      </c>
    </row>
    <row x14ac:dyDescent="0.25" r="9" customHeight="1" ht="17.25">
      <c r="A9" s="7">
        <v>45712</v>
      </c>
      <c r="B9" s="2" t="s">
        <v>3</v>
      </c>
      <c r="C9" s="4"/>
      <c r="D9" s="6">
        <v>10</v>
      </c>
      <c r="E9" s="6">
        <f>E8+C9-D9</f>
      </c>
    </row>
    <row x14ac:dyDescent="0.25" r="10" customHeight="1" ht="17.25">
      <c r="A10" s="7">
        <v>45726</v>
      </c>
      <c r="B10" s="2" t="s">
        <v>35</v>
      </c>
      <c r="C10" s="6">
        <v>107</v>
      </c>
      <c r="D10" s="4"/>
      <c r="E10" s="6">
        <f>E9+C10-D10</f>
      </c>
    </row>
    <row x14ac:dyDescent="0.25" r="11" customHeight="1" ht="17.25">
      <c r="A11" s="8">
        <v>45733</v>
      </c>
      <c r="B11" s="9" t="s">
        <v>11</v>
      </c>
      <c r="C11" s="6">
        <v>10</v>
      </c>
      <c r="D11" s="4"/>
      <c r="E11" s="6">
        <f>E10+C11-D11</f>
      </c>
    </row>
    <row x14ac:dyDescent="0.25" r="12" customHeight="1" ht="17.25">
      <c r="A12" s="8">
        <v>45734</v>
      </c>
      <c r="B12" s="9" t="s">
        <v>11</v>
      </c>
      <c r="C12" s="6">
        <v>32</v>
      </c>
      <c r="D12" s="4"/>
      <c r="E12" s="6">
        <f>E11+C12-D12</f>
      </c>
    </row>
    <row x14ac:dyDescent="0.25" r="13" customHeight="1" ht="17.25">
      <c r="A13" s="8">
        <v>45738</v>
      </c>
      <c r="B13" s="9" t="s">
        <v>35</v>
      </c>
      <c r="C13" s="6">
        <v>2</v>
      </c>
      <c r="D13" s="4"/>
      <c r="E13" s="6">
        <f>E12+C13-D13</f>
      </c>
    </row>
    <row x14ac:dyDescent="0.25" r="14" customHeight="1" ht="17.25">
      <c r="A14" s="8">
        <v>45764</v>
      </c>
      <c r="B14" s="9" t="s">
        <v>35</v>
      </c>
      <c r="C14" s="6">
        <v>38</v>
      </c>
      <c r="D14" s="4"/>
      <c r="E14" s="6">
        <f>E13+C14-D14</f>
      </c>
    </row>
    <row x14ac:dyDescent="0.25" r="15" customHeight="1" ht="17.25">
      <c r="A15" s="7">
        <v>45819</v>
      </c>
      <c r="B15" s="9" t="s">
        <v>4</v>
      </c>
      <c r="C15" s="4"/>
      <c r="D15" s="6">
        <v>60</v>
      </c>
      <c r="E15" s="6">
        <f>E14+C15-D15</f>
      </c>
    </row>
    <row x14ac:dyDescent="0.25" r="16" customHeight="1" ht="17.25">
      <c r="A16" s="7">
        <v>45825</v>
      </c>
      <c r="B16" s="9" t="s">
        <v>4</v>
      </c>
      <c r="C16" s="6">
        <v>60</v>
      </c>
      <c r="D16" s="4"/>
      <c r="E16" s="6">
        <f>E15+C16-D16</f>
      </c>
    </row>
    <row x14ac:dyDescent="0.25" r="17" customHeight="1" ht="17.25">
      <c r="A17" s="8">
        <v>45832</v>
      </c>
      <c r="B17" s="9" t="s">
        <v>3</v>
      </c>
      <c r="C17" s="6">
        <v>358</v>
      </c>
      <c r="D17" s="4"/>
      <c r="E17" s="6">
        <f>E16+C17-D17</f>
      </c>
    </row>
    <row x14ac:dyDescent="0.25" r="18" customHeight="1" ht="17.25">
      <c r="A18" s="7">
        <v>45836</v>
      </c>
      <c r="B18" s="9" t="s">
        <v>3</v>
      </c>
      <c r="C18" s="6">
        <v>376</v>
      </c>
      <c r="D18" s="4"/>
      <c r="E18" s="6">
        <f>E17+C18-D18</f>
      </c>
    </row>
    <row x14ac:dyDescent="0.25" r="19" customHeight="1" ht="17.25">
      <c r="A19" s="7">
        <v>45855</v>
      </c>
      <c r="B19" s="9" t="s">
        <v>46</v>
      </c>
      <c r="C19" s="4"/>
      <c r="D19" s="6">
        <v>150</v>
      </c>
      <c r="E19" s="6">
        <f>E18+C19-D19</f>
      </c>
    </row>
    <row x14ac:dyDescent="0.25" r="20" customHeight="1" ht="17.25">
      <c r="A20" s="7">
        <v>45889</v>
      </c>
      <c r="B20" s="9" t="s">
        <v>26</v>
      </c>
      <c r="C20" s="4"/>
      <c r="D20" s="6">
        <v>170</v>
      </c>
      <c r="E20" s="6">
        <f>E19+C20-D20</f>
      </c>
    </row>
    <row x14ac:dyDescent="0.25" r="21" customHeight="1" ht="17.25">
      <c r="A21" s="8">
        <v>45891</v>
      </c>
      <c r="B21" s="9" t="s">
        <v>35</v>
      </c>
      <c r="C21" s="6">
        <v>113</v>
      </c>
      <c r="D21" s="4"/>
      <c r="E21" s="6">
        <f>E20+C21-D21</f>
      </c>
    </row>
    <row x14ac:dyDescent="0.25" r="22" customHeight="1" ht="17.25">
      <c r="A22" s="7">
        <v>45892</v>
      </c>
      <c r="B22" s="9" t="s">
        <v>26</v>
      </c>
      <c r="C22" s="4"/>
      <c r="D22" s="6">
        <v>200</v>
      </c>
      <c r="E22" s="6">
        <f>E21+C22-D22</f>
      </c>
    </row>
    <row x14ac:dyDescent="0.25" r="23" customHeight="1" ht="17.25">
      <c r="A23" s="7">
        <v>45894</v>
      </c>
      <c r="B23" s="9" t="s">
        <v>26</v>
      </c>
      <c r="C23" s="4"/>
      <c r="D23" s="6">
        <v>100</v>
      </c>
      <c r="E23" s="6">
        <f>E22+C23-D23</f>
      </c>
    </row>
    <row x14ac:dyDescent="0.25" r="24" customHeight="1" ht="17.25">
      <c r="A24" s="7">
        <v>45895</v>
      </c>
      <c r="B24" s="9" t="s">
        <v>26</v>
      </c>
      <c r="C24" s="4"/>
      <c r="D24" s="6">
        <v>100</v>
      </c>
      <c r="E24" s="3"/>
    </row>
    <row x14ac:dyDescent="0.25" r="25" customHeight="1" ht="17.25">
      <c r="A25" s="7">
        <v>45919</v>
      </c>
      <c r="B25" s="9" t="s">
        <v>46</v>
      </c>
      <c r="C25" s="6">
        <v>110</v>
      </c>
      <c r="D25" s="4"/>
      <c r="E25" s="6">
        <v>110</v>
      </c>
    </row>
    <row x14ac:dyDescent="0.25" r="26" customHeight="1" ht="17.25">
      <c r="A26" s="7">
        <v>45923</v>
      </c>
      <c r="B26" s="9" t="s">
        <v>4</v>
      </c>
      <c r="C26" s="4"/>
      <c r="D26" s="6">
        <v>100</v>
      </c>
      <c r="E26" s="6">
        <f>E25+C26-D26</f>
      </c>
    </row>
    <row x14ac:dyDescent="0.25" r="27" customHeight="1" ht="17.25">
      <c r="A27" s="8">
        <v>45939</v>
      </c>
      <c r="B27" s="9" t="s">
        <v>26</v>
      </c>
      <c r="C27" s="6">
        <v>94</v>
      </c>
      <c r="D27" s="4"/>
      <c r="E27" s="6">
        <f>E26+C27-D27</f>
      </c>
    </row>
    <row x14ac:dyDescent="0.25" r="28" customHeight="1" ht="17.25">
      <c r="A28" s="7">
        <v>45945</v>
      </c>
      <c r="B28" s="9" t="s">
        <v>26</v>
      </c>
      <c r="C28" s="6">
        <v>210</v>
      </c>
      <c r="D28" s="4"/>
      <c r="E28" s="6">
        <f>E27+C28-D28</f>
      </c>
    </row>
    <row x14ac:dyDescent="0.25" r="29" customHeight="1" ht="17.25">
      <c r="A29" s="8">
        <v>45955</v>
      </c>
      <c r="B29" s="9" t="s">
        <v>26</v>
      </c>
      <c r="C29" s="6">
        <v>108</v>
      </c>
      <c r="D29" s="4"/>
      <c r="E29" s="6">
        <f>E28+C29-D29</f>
      </c>
    </row>
    <row x14ac:dyDescent="0.25" r="30" customHeight="1" ht="17.25">
      <c r="A30" s="8">
        <v>45958</v>
      </c>
      <c r="B30" s="9" t="s">
        <v>26</v>
      </c>
      <c r="C30" s="6">
        <v>220</v>
      </c>
      <c r="D30" s="4"/>
      <c r="E30" s="6">
        <f>E29+C30-D30</f>
      </c>
    </row>
    <row x14ac:dyDescent="0.25" r="31" customHeight="1" ht="17.25">
      <c r="A31" s="7">
        <v>45993</v>
      </c>
      <c r="B31" s="9" t="s">
        <v>26</v>
      </c>
      <c r="C31" s="6">
        <v>150</v>
      </c>
      <c r="D31" s="4"/>
      <c r="E31" s="6">
        <f>E30+C31-D31</f>
      </c>
    </row>
    <row x14ac:dyDescent="0.25" r="32" customHeight="1" ht="17.25">
      <c r="A32" s="7">
        <v>46007</v>
      </c>
      <c r="B32" s="9" t="s">
        <v>26</v>
      </c>
      <c r="C32" s="6">
        <v>78</v>
      </c>
      <c r="D32" s="4"/>
      <c r="E32" s="6">
        <f>E31+C32-D32</f>
      </c>
    </row>
    <row x14ac:dyDescent="0.25" r="33" customHeight="1" ht="17.25">
      <c r="A33" s="1"/>
      <c r="B33" s="2"/>
      <c r="C33" s="4"/>
      <c r="D33" s="4"/>
      <c r="E33" s="6">
        <f>E32+C33-D33</f>
      </c>
    </row>
    <row x14ac:dyDescent="0.25" r="34" customHeight="1" ht="17.25">
      <c r="A34" s="1"/>
      <c r="B34" s="2"/>
      <c r="C34" s="4"/>
      <c r="D34" s="4"/>
      <c r="E34" s="6">
        <f>E33+C34-D34</f>
      </c>
    </row>
    <row x14ac:dyDescent="0.25" r="35" customHeight="1" ht="17.25">
      <c r="A35" s="1"/>
      <c r="B35" s="2"/>
      <c r="C35" s="4"/>
      <c r="D35" s="4"/>
      <c r="E35" s="6">
        <f>E34+C35-D35</f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5.719285714285714" customWidth="1" bestFit="1"/>
    <col min="3" max="3" style="12" width="12.43357142857143" customWidth="1" bestFit="1"/>
    <col min="4" max="4" style="13" width="12.43357142857143" customWidth="1" bestFit="1"/>
  </cols>
  <sheetData>
    <row x14ac:dyDescent="0.25" r="1" customHeight="1" ht="17.25">
      <c r="A1" s="1" t="s">
        <v>83</v>
      </c>
      <c r="B1" s="2"/>
      <c r="C1" s="3"/>
      <c r="D1" s="4"/>
    </row>
    <row x14ac:dyDescent="0.25" r="2" customHeight="1" ht="17.25">
      <c r="A2" s="1"/>
      <c r="B2" s="2"/>
      <c r="C2" s="3"/>
      <c r="D2" s="4"/>
    </row>
    <row x14ac:dyDescent="0.25" r="3" customHeight="1" ht="17.25">
      <c r="A3" s="8">
        <v>45658</v>
      </c>
      <c r="B3" s="9" t="s">
        <v>1</v>
      </c>
      <c r="C3" s="3"/>
      <c r="D3" s="4"/>
    </row>
    <row x14ac:dyDescent="0.25" r="4" customHeight="1" ht="17.25">
      <c r="A4" s="8">
        <v>45696</v>
      </c>
      <c r="B4" s="9" t="s">
        <v>35</v>
      </c>
      <c r="C4" s="6">
        <v>6</v>
      </c>
      <c r="D4" s="4"/>
    </row>
    <row x14ac:dyDescent="0.25" r="5" customHeight="1" ht="17.25">
      <c r="A5" s="7">
        <v>45712</v>
      </c>
      <c r="B5" s="2" t="s">
        <v>3</v>
      </c>
      <c r="C5" s="3"/>
      <c r="D5" s="6">
        <v>10</v>
      </c>
    </row>
    <row x14ac:dyDescent="0.25" r="6" customHeight="1" ht="17.25">
      <c r="A6" s="7">
        <v>45726</v>
      </c>
      <c r="B6" s="2" t="s">
        <v>35</v>
      </c>
      <c r="C6" s="6">
        <v>8</v>
      </c>
      <c r="D6" s="4"/>
    </row>
    <row x14ac:dyDescent="0.25" r="7" customHeight="1" ht="17.25">
      <c r="A7" s="7">
        <v>45734</v>
      </c>
      <c r="B7" s="2" t="s">
        <v>11</v>
      </c>
      <c r="C7" s="6">
        <v>7</v>
      </c>
      <c r="D7" s="4"/>
    </row>
    <row x14ac:dyDescent="0.25" r="8" customHeight="1" ht="17.25">
      <c r="A8" s="7">
        <v>45764</v>
      </c>
      <c r="B8" s="2" t="s">
        <v>35</v>
      </c>
      <c r="C8" s="6">
        <v>31</v>
      </c>
      <c r="D8" s="4"/>
    </row>
    <row x14ac:dyDescent="0.25" r="9" customHeight="1" ht="17.25">
      <c r="A9" s="8">
        <v>45817</v>
      </c>
      <c r="B9" s="9" t="s">
        <v>4</v>
      </c>
      <c r="C9" s="3"/>
      <c r="D9" s="6">
        <v>20</v>
      </c>
    </row>
    <row x14ac:dyDescent="0.25" r="10" customHeight="1" ht="17.25">
      <c r="A10" s="8">
        <v>45817</v>
      </c>
      <c r="B10" s="9" t="s">
        <v>4</v>
      </c>
      <c r="C10" s="3"/>
      <c r="D10" s="6">
        <v>20</v>
      </c>
    </row>
    <row x14ac:dyDescent="0.25" r="11" customHeight="1" ht="17.25">
      <c r="A11" s="7">
        <v>45819</v>
      </c>
      <c r="B11" s="2" t="s">
        <v>4</v>
      </c>
      <c r="C11" s="3"/>
      <c r="D11" s="6">
        <v>10</v>
      </c>
    </row>
    <row x14ac:dyDescent="0.25" r="12" customHeight="1" ht="17.25">
      <c r="A12" s="7">
        <v>45825</v>
      </c>
      <c r="B12" s="2" t="s">
        <v>4</v>
      </c>
      <c r="C12" s="6">
        <v>49</v>
      </c>
      <c r="D12" s="4"/>
    </row>
    <row x14ac:dyDescent="0.25" r="13" customHeight="1" ht="17.25">
      <c r="A13" s="7">
        <v>45836</v>
      </c>
      <c r="B13" s="2" t="s">
        <v>3</v>
      </c>
      <c r="C13" s="6">
        <v>8</v>
      </c>
      <c r="D13" s="4"/>
    </row>
    <row x14ac:dyDescent="0.25" r="14" customHeight="1" ht="17.25">
      <c r="A14" s="8">
        <v>45860</v>
      </c>
      <c r="B14" s="9" t="s">
        <v>4</v>
      </c>
      <c r="C14" s="6">
        <v>1</v>
      </c>
      <c r="D14" s="4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8.862142857142857" customWidth="1" bestFit="1"/>
    <col min="3" max="3" style="12" width="12.43357142857143" customWidth="1" bestFit="1"/>
    <col min="4" max="4" style="13" width="12.43357142857143" customWidth="1" bestFit="1"/>
  </cols>
  <sheetData>
    <row x14ac:dyDescent="0.25" r="1" customHeight="1" ht="17.25">
      <c r="A1" s="1" t="s">
        <v>82</v>
      </c>
      <c r="B1" s="2"/>
      <c r="C1" s="3"/>
      <c r="D1" s="4"/>
    </row>
    <row x14ac:dyDescent="0.25" r="2" customHeight="1" ht="17.25">
      <c r="A2" s="1"/>
      <c r="B2" s="2"/>
      <c r="C2" s="3"/>
      <c r="D2" s="4"/>
    </row>
    <row x14ac:dyDescent="0.25" r="3" customHeight="1" ht="17.25">
      <c r="A3" s="7">
        <v>45658</v>
      </c>
      <c r="B3" s="2" t="s">
        <v>1</v>
      </c>
      <c r="C3" s="3"/>
      <c r="D3" s="4"/>
    </row>
    <row x14ac:dyDescent="0.25" r="4" customHeight="1" ht="17.25">
      <c r="A4" s="7">
        <v>45712</v>
      </c>
      <c r="B4" s="2" t="s">
        <v>3</v>
      </c>
      <c r="C4" s="3"/>
      <c r="D4" s="6">
        <v>13</v>
      </c>
    </row>
    <row x14ac:dyDescent="0.25" r="5" customHeight="1" ht="17.25">
      <c r="A5" s="7">
        <v>45836</v>
      </c>
      <c r="B5" s="2" t="s">
        <v>3</v>
      </c>
      <c r="C5" s="6">
        <v>10</v>
      </c>
      <c r="D5" s="4"/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9.14785714285714" customWidth="1" bestFit="1"/>
    <col min="3" max="3" style="13" width="12.43357142857143" customWidth="1" bestFit="1"/>
    <col min="4" max="4" style="12" width="12.43357142857143" customWidth="1" bestFit="1"/>
  </cols>
  <sheetData>
    <row x14ac:dyDescent="0.25" r="1" customHeight="1" ht="17.25">
      <c r="A1" s="1" t="s">
        <v>81</v>
      </c>
      <c r="B1" s="2"/>
      <c r="C1" s="4"/>
      <c r="D1" s="3"/>
    </row>
    <row x14ac:dyDescent="0.25" r="2" customHeight="1" ht="17.25">
      <c r="A2" s="1"/>
      <c r="B2" s="2"/>
      <c r="C2" s="4"/>
      <c r="D2" s="3"/>
    </row>
    <row x14ac:dyDescent="0.25" r="3" customHeight="1" ht="17.25">
      <c r="A3" s="7">
        <v>45658</v>
      </c>
      <c r="B3" s="2" t="s">
        <v>1</v>
      </c>
      <c r="C3" s="4"/>
      <c r="D3" s="3"/>
    </row>
    <row x14ac:dyDescent="0.25" r="4" customHeight="1" ht="17.25">
      <c r="A4" s="7">
        <v>45727</v>
      </c>
      <c r="B4" s="2" t="s">
        <v>35</v>
      </c>
      <c r="C4" s="6">
        <v>9</v>
      </c>
      <c r="D4" s="3"/>
    </row>
    <row x14ac:dyDescent="0.25" r="5" customHeight="1" ht="17.25">
      <c r="A5" s="8">
        <v>45758</v>
      </c>
      <c r="B5" s="9" t="s">
        <v>35</v>
      </c>
      <c r="C5" s="4"/>
      <c r="D5" s="6">
        <v>9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290714285714284" customWidth="1" bestFit="1"/>
    <col min="3" max="3" style="12" width="12.43357142857143" customWidth="1" bestFit="1"/>
    <col min="4" max="4" style="13" width="12.43357142857143" customWidth="1" bestFit="1"/>
  </cols>
  <sheetData>
    <row x14ac:dyDescent="0.25" r="1" customHeight="1" ht="17.25">
      <c r="A1" s="1" t="s">
        <v>79</v>
      </c>
      <c r="B1" s="2"/>
      <c r="C1" s="3"/>
      <c r="D1" s="4"/>
    </row>
    <row x14ac:dyDescent="0.25" r="2" customHeight="1" ht="17.25">
      <c r="A2" s="1"/>
      <c r="B2" s="2"/>
      <c r="C2" s="3"/>
      <c r="D2" s="4"/>
    </row>
    <row x14ac:dyDescent="0.25" r="3" customHeight="1" ht="17.25">
      <c r="A3" s="7">
        <v>45658</v>
      </c>
      <c r="B3" s="2" t="s">
        <v>1</v>
      </c>
      <c r="C3" s="3"/>
      <c r="D3" s="4"/>
    </row>
    <row x14ac:dyDescent="0.25" r="4" customHeight="1" ht="17.25">
      <c r="A4" s="7">
        <v>45727</v>
      </c>
      <c r="B4" s="2" t="s">
        <v>35</v>
      </c>
      <c r="C4" s="6">
        <v>19</v>
      </c>
      <c r="D4" s="4"/>
    </row>
    <row x14ac:dyDescent="0.25" r="5" customHeight="1" ht="17.25">
      <c r="A5" s="8">
        <v>45758</v>
      </c>
      <c r="B5" s="9" t="s">
        <v>35</v>
      </c>
      <c r="C5" s="3"/>
      <c r="D5" s="6">
        <v>19</v>
      </c>
    </row>
    <row x14ac:dyDescent="0.25" r="6" customHeight="1" ht="17.25">
      <c r="A6" s="8">
        <v>45891</v>
      </c>
      <c r="B6" s="9" t="s">
        <v>35</v>
      </c>
      <c r="C6" s="6">
        <v>4</v>
      </c>
      <c r="D6" s="4"/>
    </row>
    <row x14ac:dyDescent="0.25" r="7" customHeight="1" ht="17.25">
      <c r="A7" s="7">
        <v>45943</v>
      </c>
      <c r="B7" s="2" t="s">
        <v>80</v>
      </c>
      <c r="C7" s="6">
        <v>28</v>
      </c>
      <c r="D7" s="4"/>
    </row>
    <row x14ac:dyDescent="0.25" r="8" customHeight="1" ht="17.25">
      <c r="A8" s="8">
        <v>45962</v>
      </c>
      <c r="B8" s="9" t="s">
        <v>26</v>
      </c>
      <c r="C8" s="6">
        <v>10</v>
      </c>
      <c r="D8" s="4"/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1.005" customWidth="1" bestFit="1"/>
    <col min="3" max="3" style="12" width="12.43357142857143" customWidth="1" bestFit="1"/>
    <col min="4" max="4" style="13" width="12.43357142857143" customWidth="1" bestFit="1"/>
  </cols>
  <sheetData>
    <row x14ac:dyDescent="0.25" r="1" customHeight="1" ht="17.25">
      <c r="A1" s="1" t="s">
        <v>78</v>
      </c>
      <c r="B1" s="2"/>
      <c r="C1" s="3"/>
      <c r="D1" s="4"/>
    </row>
    <row x14ac:dyDescent="0.25" r="2" customHeight="1" ht="17.25">
      <c r="A2" s="1"/>
      <c r="B2" s="2"/>
      <c r="C2" s="3"/>
      <c r="D2" s="4"/>
    </row>
    <row x14ac:dyDescent="0.25" r="3" customHeight="1" ht="17.25">
      <c r="A3" s="7">
        <v>45658</v>
      </c>
      <c r="B3" s="2" t="s">
        <v>1</v>
      </c>
      <c r="C3" s="3"/>
      <c r="D3" s="4"/>
    </row>
    <row x14ac:dyDescent="0.25" r="4" customHeight="1" ht="17.25">
      <c r="A4" s="7">
        <v>45727</v>
      </c>
      <c r="B4" s="2" t="s">
        <v>35</v>
      </c>
      <c r="C4" s="6">
        <v>96</v>
      </c>
      <c r="D4" s="4"/>
    </row>
    <row x14ac:dyDescent="0.25" r="5" customHeight="1" ht="17.25">
      <c r="A5" s="8">
        <v>45758</v>
      </c>
      <c r="B5" s="9" t="s">
        <v>35</v>
      </c>
      <c r="C5" s="3"/>
      <c r="D5" s="6">
        <v>14</v>
      </c>
    </row>
    <row x14ac:dyDescent="0.25" r="6" customHeight="1" ht="17.25">
      <c r="A6" s="7">
        <v>45760</v>
      </c>
      <c r="B6" s="9" t="s">
        <v>40</v>
      </c>
      <c r="C6" s="6">
        <v>237</v>
      </c>
      <c r="D6" s="4"/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0.14785714285714" customWidth="1" bestFit="1"/>
    <col min="3" max="3" style="12" width="12.43357142857143" customWidth="1" bestFit="1"/>
    <col min="4" max="4" style="13" width="12.43357142857143" customWidth="1" bestFit="1"/>
  </cols>
  <sheetData>
    <row x14ac:dyDescent="0.25" r="1" customHeight="1" ht="17.25">
      <c r="A1" s="1" t="s">
        <v>77</v>
      </c>
      <c r="B1" s="2"/>
      <c r="C1" s="3"/>
      <c r="D1" s="4"/>
    </row>
    <row x14ac:dyDescent="0.25" r="2" customHeight="1" ht="17.25">
      <c r="A2" s="1"/>
      <c r="B2" s="2"/>
      <c r="C2" s="3"/>
      <c r="D2" s="4"/>
    </row>
    <row x14ac:dyDescent="0.25" r="3" customHeight="1" ht="17.25">
      <c r="A3" s="7">
        <v>45658</v>
      </c>
      <c r="B3" s="2" t="s">
        <v>1</v>
      </c>
      <c r="C3" s="3"/>
      <c r="D3" s="4"/>
    </row>
    <row x14ac:dyDescent="0.25" r="4" customHeight="1" ht="17.25">
      <c r="A4" s="7">
        <v>45696</v>
      </c>
      <c r="B4" s="2" t="s">
        <v>35</v>
      </c>
      <c r="C4" s="6">
        <v>3</v>
      </c>
      <c r="D4" s="4"/>
    </row>
    <row x14ac:dyDescent="0.25" r="5" customHeight="1" ht="17.25">
      <c r="A5" s="8">
        <v>45758</v>
      </c>
      <c r="B5" s="9" t="s">
        <v>35</v>
      </c>
      <c r="C5" s="3"/>
      <c r="D5" s="6">
        <v>3</v>
      </c>
    </row>
    <row x14ac:dyDescent="0.25" r="6" customHeight="1" ht="17.25">
      <c r="A6" s="8">
        <v>45891</v>
      </c>
      <c r="B6" s="9" t="s">
        <v>35</v>
      </c>
      <c r="C6" s="6">
        <v>11</v>
      </c>
      <c r="D6" s="4"/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7.005" customWidth="1" bestFit="1"/>
    <col min="3" max="3" style="12" width="12.43357142857143" customWidth="1" bestFit="1"/>
    <col min="4" max="4" style="11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76</v>
      </c>
      <c r="B1" s="2"/>
      <c r="C1" s="3"/>
      <c r="D1" s="2"/>
      <c r="E1" s="4"/>
    </row>
    <row x14ac:dyDescent="0.25" r="2" customHeight="1" ht="17.25">
      <c r="A2" s="1"/>
      <c r="B2" s="2"/>
      <c r="C2" s="3"/>
      <c r="D2" s="2"/>
      <c r="E2" s="4"/>
    </row>
    <row x14ac:dyDescent="0.25" r="3" customHeight="1" ht="17.25">
      <c r="A3" s="7">
        <v>45658</v>
      </c>
      <c r="B3" s="2" t="s">
        <v>1</v>
      </c>
      <c r="C3" s="3"/>
      <c r="D3" s="2"/>
      <c r="E3" s="6">
        <v>4</v>
      </c>
    </row>
    <row x14ac:dyDescent="0.25" r="4" customHeight="1" ht="17.25">
      <c r="A4" s="7">
        <v>45670</v>
      </c>
      <c r="B4" s="2" t="s">
        <v>31</v>
      </c>
      <c r="C4" s="6">
        <v>3</v>
      </c>
      <c r="D4" s="2"/>
      <c r="E4" s="4"/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2.43357142857143" customWidth="1" bestFit="1"/>
    <col min="3" max="3" style="12" width="12.43357142857143" customWidth="1" bestFit="1"/>
  </cols>
  <sheetData>
    <row x14ac:dyDescent="0.25" r="1" customHeight="1" ht="17.25">
      <c r="A1" s="1" t="s">
        <v>75</v>
      </c>
      <c r="B1" s="2"/>
      <c r="C1" s="3"/>
    </row>
    <row x14ac:dyDescent="0.25" r="2" customHeight="1" ht="17.25">
      <c r="A2" s="1"/>
      <c r="B2" s="2"/>
      <c r="C2" s="3"/>
    </row>
    <row x14ac:dyDescent="0.25" r="3" customHeight="1" ht="17.25">
      <c r="A3" s="1"/>
      <c r="B3" s="2"/>
      <c r="C3" s="3"/>
    </row>
    <row x14ac:dyDescent="0.25" r="4" customHeight="1" ht="17.25">
      <c r="A4" s="7">
        <v>45760</v>
      </c>
      <c r="B4" s="2" t="s">
        <v>40</v>
      </c>
      <c r="C4" s="6">
        <v>4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1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1478571428571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70</v>
      </c>
      <c r="B1" s="2"/>
      <c r="C1" s="4"/>
      <c r="D1" s="4"/>
      <c r="E1" s="3"/>
      <c r="F1" s="2"/>
    </row>
    <row x14ac:dyDescent="0.25" r="2" customHeight="1" ht="17.25">
      <c r="A2" s="1"/>
      <c r="B2" s="2"/>
      <c r="C2" s="4"/>
      <c r="D2" s="4"/>
      <c r="E2" s="3"/>
      <c r="F2" s="2"/>
    </row>
    <row x14ac:dyDescent="0.25" r="3" customHeight="1" ht="17.25">
      <c r="A3" s="7">
        <v>45658</v>
      </c>
      <c r="B3" s="2" t="s">
        <v>1</v>
      </c>
      <c r="C3" s="4"/>
      <c r="D3" s="4"/>
      <c r="E3" s="6">
        <v>376</v>
      </c>
      <c r="F3" s="2"/>
    </row>
    <row x14ac:dyDescent="0.25" r="4" customHeight="1" ht="17.25">
      <c r="A4" s="8">
        <v>45664</v>
      </c>
      <c r="B4" s="9" t="s">
        <v>31</v>
      </c>
      <c r="C4" s="6">
        <v>93</v>
      </c>
      <c r="D4" s="4"/>
      <c r="E4" s="6">
        <f>E3+C4-D4</f>
      </c>
      <c r="F4" s="2"/>
    </row>
    <row x14ac:dyDescent="0.25" r="5" customHeight="1" ht="17.25">
      <c r="A5" s="8">
        <v>45670</v>
      </c>
      <c r="B5" s="9" t="s">
        <v>31</v>
      </c>
      <c r="C5" s="6">
        <v>124</v>
      </c>
      <c r="D5" s="4"/>
      <c r="E5" s="6">
        <f>E4+C5-D5</f>
      </c>
      <c r="F5" s="2"/>
    </row>
    <row x14ac:dyDescent="0.25" r="6" customHeight="1" ht="17.25">
      <c r="A6" s="8">
        <v>45689</v>
      </c>
      <c r="B6" s="9" t="s">
        <v>39</v>
      </c>
      <c r="C6" s="6">
        <v>106</v>
      </c>
      <c r="D6" s="4"/>
      <c r="E6" s="6">
        <f>E5+C6-D6</f>
      </c>
      <c r="F6" s="2"/>
    </row>
    <row x14ac:dyDescent="0.25" r="7" customHeight="1" ht="17.25">
      <c r="A7" s="7">
        <v>45700</v>
      </c>
      <c r="B7" s="2" t="s">
        <v>34</v>
      </c>
      <c r="C7" s="4"/>
      <c r="D7" s="6">
        <v>100</v>
      </c>
      <c r="E7" s="6">
        <f>E6+C7-D7</f>
      </c>
      <c r="F7" s="2"/>
    </row>
    <row x14ac:dyDescent="0.25" r="8" customHeight="1" ht="17.25">
      <c r="A8" s="8">
        <v>45701</v>
      </c>
      <c r="B8" s="9" t="s">
        <v>3</v>
      </c>
      <c r="C8" s="4"/>
      <c r="D8" s="6">
        <v>496</v>
      </c>
      <c r="E8" s="6">
        <f>E7+C8-D8</f>
      </c>
      <c r="F8" s="2"/>
    </row>
    <row x14ac:dyDescent="0.25" r="9" customHeight="1" ht="17.25">
      <c r="A9" s="7">
        <v>45712</v>
      </c>
      <c r="B9" s="9" t="s">
        <v>3</v>
      </c>
      <c r="C9" s="4"/>
      <c r="D9" s="6">
        <v>173</v>
      </c>
      <c r="E9" s="6">
        <v>0</v>
      </c>
      <c r="F9" s="2"/>
    </row>
    <row x14ac:dyDescent="0.25" r="10" customHeight="1" ht="17.25">
      <c r="A10" s="7">
        <v>45714</v>
      </c>
      <c r="B10" s="9" t="s">
        <v>39</v>
      </c>
      <c r="C10" s="4"/>
      <c r="D10" s="6">
        <v>110</v>
      </c>
      <c r="E10" s="3"/>
      <c r="F10" s="2"/>
    </row>
    <row x14ac:dyDescent="0.25" r="11" customHeight="1" ht="17.25">
      <c r="A11" s="8">
        <v>45721</v>
      </c>
      <c r="B11" s="9" t="s">
        <v>39</v>
      </c>
      <c r="C11" s="6">
        <v>40</v>
      </c>
      <c r="D11" s="4"/>
      <c r="E11" s="6">
        <v>40</v>
      </c>
      <c r="F11" s="2"/>
    </row>
    <row x14ac:dyDescent="0.25" r="12" customHeight="1" ht="17.25">
      <c r="A12" s="7">
        <v>45730</v>
      </c>
      <c r="B12" s="9" t="s">
        <v>3</v>
      </c>
      <c r="C12" s="6">
        <v>130</v>
      </c>
      <c r="D12" s="4"/>
      <c r="E12" s="6">
        <f>E11+C12-D12</f>
      </c>
      <c r="F12" s="2"/>
    </row>
    <row x14ac:dyDescent="0.25" r="13" customHeight="1" ht="17.25">
      <c r="A13" s="7">
        <v>45733</v>
      </c>
      <c r="B13" s="2" t="s">
        <v>39</v>
      </c>
      <c r="C13" s="6">
        <v>44</v>
      </c>
      <c r="D13" s="4"/>
      <c r="E13" s="6">
        <f>E12+C13-D13</f>
      </c>
      <c r="F13" s="2"/>
    </row>
    <row x14ac:dyDescent="0.25" r="14" customHeight="1" ht="17.25">
      <c r="A14" s="7">
        <v>45737</v>
      </c>
      <c r="B14" s="9" t="s">
        <v>3</v>
      </c>
      <c r="C14" s="6">
        <v>460</v>
      </c>
      <c r="D14" s="4"/>
      <c r="E14" s="6">
        <f>E13+C14-D14</f>
      </c>
      <c r="F14" s="2"/>
    </row>
    <row x14ac:dyDescent="0.25" r="15" customHeight="1" ht="17.25">
      <c r="A15" s="8">
        <v>45760</v>
      </c>
      <c r="B15" s="9" t="s">
        <v>40</v>
      </c>
      <c r="C15" s="6">
        <v>146</v>
      </c>
      <c r="D15" s="4"/>
      <c r="E15" s="6">
        <f>E14+C15-D15</f>
      </c>
      <c r="F15" s="2"/>
    </row>
    <row x14ac:dyDescent="0.25" r="16" customHeight="1" ht="17.25">
      <c r="A16" s="8">
        <v>45774</v>
      </c>
      <c r="B16" s="9" t="s">
        <v>41</v>
      </c>
      <c r="C16" s="4"/>
      <c r="D16" s="6">
        <v>200</v>
      </c>
      <c r="E16" s="6">
        <f>E15+C16-D16</f>
      </c>
      <c r="F16" s="2"/>
    </row>
    <row x14ac:dyDescent="0.25" r="17" customHeight="1" ht="17.25">
      <c r="A17" s="7">
        <v>45780</v>
      </c>
      <c r="B17" s="2" t="s">
        <v>41</v>
      </c>
      <c r="C17" s="4"/>
      <c r="D17" s="6">
        <v>100</v>
      </c>
      <c r="E17" s="6">
        <f>E16+C17-D17</f>
      </c>
      <c r="F17" s="2"/>
    </row>
    <row x14ac:dyDescent="0.25" r="18" customHeight="1" ht="17.25">
      <c r="A18" s="7">
        <v>45795</v>
      </c>
      <c r="B18" s="9" t="s">
        <v>41</v>
      </c>
      <c r="C18" s="4"/>
      <c r="D18" s="6">
        <v>100</v>
      </c>
      <c r="E18" s="6">
        <f>E17+C18-D18</f>
      </c>
      <c r="F18" s="2"/>
    </row>
    <row x14ac:dyDescent="0.25" r="19" customHeight="1" ht="17.25">
      <c r="A19" s="8">
        <v>45797</v>
      </c>
      <c r="B19" s="9" t="s">
        <v>42</v>
      </c>
      <c r="C19" s="4"/>
      <c r="D19" s="6">
        <v>100</v>
      </c>
      <c r="E19" s="6">
        <f>E18+C19-D19</f>
      </c>
      <c r="F19" s="2"/>
    </row>
    <row x14ac:dyDescent="0.25" r="20" customHeight="1" ht="17.25">
      <c r="A20" s="8">
        <v>45800</v>
      </c>
      <c r="B20" s="9" t="s">
        <v>43</v>
      </c>
      <c r="C20" s="6">
        <v>28</v>
      </c>
      <c r="D20" s="4"/>
      <c r="E20" s="6">
        <f>E19+C20-D20</f>
      </c>
      <c r="F20" s="2"/>
    </row>
    <row x14ac:dyDescent="0.25" r="21" customHeight="1" ht="17.25">
      <c r="A21" s="7">
        <v>45805</v>
      </c>
      <c r="B21" s="9" t="s">
        <v>44</v>
      </c>
      <c r="C21" s="6">
        <v>218</v>
      </c>
      <c r="D21" s="4"/>
      <c r="E21" s="6">
        <f>E20+C21-D21</f>
      </c>
      <c r="F21" s="2"/>
    </row>
    <row x14ac:dyDescent="0.25" r="22" customHeight="1" ht="17.25">
      <c r="A22" s="7">
        <v>45824</v>
      </c>
      <c r="B22" s="9" t="s">
        <v>42</v>
      </c>
      <c r="C22" s="4"/>
      <c r="D22" s="6">
        <v>50</v>
      </c>
      <c r="E22" s="6">
        <f>E21+C22-D22</f>
      </c>
      <c r="F22" s="2"/>
    </row>
    <row x14ac:dyDescent="0.25" r="23" customHeight="1" ht="17.25">
      <c r="A23" s="7">
        <v>45829</v>
      </c>
      <c r="B23" s="9" t="s">
        <v>41</v>
      </c>
      <c r="C23" s="4"/>
      <c r="D23" s="6">
        <v>100</v>
      </c>
      <c r="E23" s="6">
        <f>E22+C23-D23</f>
      </c>
      <c r="F23" s="2"/>
    </row>
    <row x14ac:dyDescent="0.25" r="24" customHeight="1" ht="17.25">
      <c r="A24" s="8">
        <v>45832</v>
      </c>
      <c r="B24" s="9" t="s">
        <v>3</v>
      </c>
      <c r="C24" s="6">
        <v>36</v>
      </c>
      <c r="D24" s="4"/>
      <c r="E24" s="6">
        <f>E23+C24-D24</f>
      </c>
      <c r="F24" s="2"/>
    </row>
    <row x14ac:dyDescent="0.25" r="25" customHeight="1" ht="17.25">
      <c r="A25" s="7">
        <v>45838</v>
      </c>
      <c r="B25" s="9" t="s">
        <v>42</v>
      </c>
      <c r="C25" s="6">
        <v>89</v>
      </c>
      <c r="D25" s="4"/>
      <c r="E25" s="6">
        <f>E24+C25-D25</f>
      </c>
      <c r="F25" s="2"/>
    </row>
    <row x14ac:dyDescent="0.25" r="26" customHeight="1" ht="17.25">
      <c r="A26" s="7">
        <v>45839</v>
      </c>
      <c r="B26" s="9" t="s">
        <v>3</v>
      </c>
      <c r="C26" s="6">
        <v>169</v>
      </c>
      <c r="D26" s="4"/>
      <c r="E26" s="6">
        <f>E25+C26-D26</f>
      </c>
      <c r="F26" s="2"/>
    </row>
    <row x14ac:dyDescent="0.25" r="27" customHeight="1" ht="17.25">
      <c r="A27" s="8">
        <v>45846</v>
      </c>
      <c r="B27" s="9" t="s">
        <v>42</v>
      </c>
      <c r="C27" s="6">
        <v>61</v>
      </c>
      <c r="D27" s="4"/>
      <c r="E27" s="6">
        <f>E26+C27-D27</f>
      </c>
      <c r="F27" s="2"/>
    </row>
    <row x14ac:dyDescent="0.25" r="28" customHeight="1" ht="17.25">
      <c r="A28" s="7">
        <v>45848</v>
      </c>
      <c r="B28" s="9" t="s">
        <v>46</v>
      </c>
      <c r="C28" s="4"/>
      <c r="D28" s="6">
        <v>55</v>
      </c>
      <c r="E28" s="6">
        <f>E27+C28-D28</f>
      </c>
      <c r="F28" s="2"/>
    </row>
    <row x14ac:dyDescent="0.25" r="29" customHeight="1" ht="17.25">
      <c r="A29" s="8">
        <v>45853</v>
      </c>
      <c r="B29" s="9" t="s">
        <v>46</v>
      </c>
      <c r="C29" s="4"/>
      <c r="D29" s="6">
        <v>30</v>
      </c>
      <c r="E29" s="6">
        <f>E28+C29-D29</f>
      </c>
      <c r="F29" s="2"/>
    </row>
    <row x14ac:dyDescent="0.25" r="30" customHeight="1" ht="17.25">
      <c r="A30" s="7">
        <v>45855</v>
      </c>
      <c r="B30" s="9" t="s">
        <v>46</v>
      </c>
      <c r="C30" s="4"/>
      <c r="D30" s="6">
        <v>20</v>
      </c>
      <c r="E30" s="6">
        <f>E29+C30-D30</f>
      </c>
      <c r="F30" s="2"/>
    </row>
    <row x14ac:dyDescent="0.25" r="31" customHeight="1" ht="17.25">
      <c r="A31" s="7">
        <v>45856</v>
      </c>
      <c r="B31" s="9" t="s">
        <v>41</v>
      </c>
      <c r="C31" s="6">
        <v>20</v>
      </c>
      <c r="D31" s="4"/>
      <c r="E31" s="6">
        <f>E30+C31-D31</f>
      </c>
      <c r="F31" s="2"/>
    </row>
    <row x14ac:dyDescent="0.25" r="32" customHeight="1" ht="17.25">
      <c r="A32" s="7">
        <v>45857</v>
      </c>
      <c r="B32" s="9" t="s">
        <v>28</v>
      </c>
      <c r="C32" s="4"/>
      <c r="D32" s="6">
        <v>80</v>
      </c>
      <c r="E32" s="6">
        <f>E31+C32-D32</f>
      </c>
      <c r="F32" s="2"/>
    </row>
    <row x14ac:dyDescent="0.25" r="33" customHeight="1" ht="17.25">
      <c r="A33" s="8">
        <v>45866</v>
      </c>
      <c r="B33" s="9" t="s">
        <v>48</v>
      </c>
      <c r="C33" s="4"/>
      <c r="D33" s="6">
        <v>100</v>
      </c>
      <c r="E33" s="6">
        <f>E32+C33-D33</f>
      </c>
      <c r="F33" s="2"/>
    </row>
    <row x14ac:dyDescent="0.25" r="34" customHeight="1" ht="17.25">
      <c r="A34" s="7">
        <v>45867</v>
      </c>
      <c r="B34" s="9" t="s">
        <v>28</v>
      </c>
      <c r="C34" s="4"/>
      <c r="D34" s="6">
        <v>80</v>
      </c>
      <c r="E34" s="6">
        <f>E33+C34-D34</f>
      </c>
      <c r="F34" s="2"/>
    </row>
    <row x14ac:dyDescent="0.25" r="35" customHeight="1" ht="17.25">
      <c r="A35" s="7">
        <v>45876</v>
      </c>
      <c r="B35" s="9" t="s">
        <v>3</v>
      </c>
      <c r="C35" s="4"/>
      <c r="D35" s="6">
        <v>126</v>
      </c>
      <c r="E35" s="6">
        <f>E34+C35-D35</f>
      </c>
      <c r="F35" s="2"/>
    </row>
    <row x14ac:dyDescent="0.25" r="36" customHeight="1" ht="17.25">
      <c r="A36" s="7">
        <v>45881</v>
      </c>
      <c r="B36" s="9" t="s">
        <v>41</v>
      </c>
      <c r="C36" s="6">
        <v>39</v>
      </c>
      <c r="D36" s="4"/>
      <c r="E36" s="6">
        <f>E35+C36-D36</f>
      </c>
      <c r="F36" s="2"/>
    </row>
    <row x14ac:dyDescent="0.25" r="37" customHeight="1" ht="17.25">
      <c r="A37" s="7">
        <v>45883</v>
      </c>
      <c r="B37" s="9" t="s">
        <v>48</v>
      </c>
      <c r="C37" s="4"/>
      <c r="D37" s="6">
        <v>100</v>
      </c>
      <c r="E37" s="6">
        <f>E36+C37-D37</f>
      </c>
      <c r="F37" s="2"/>
    </row>
    <row x14ac:dyDescent="0.25" r="38" customHeight="1" ht="17.25">
      <c r="A38" s="7">
        <v>45887</v>
      </c>
      <c r="B38" s="9" t="s">
        <v>26</v>
      </c>
      <c r="C38" s="4"/>
      <c r="D38" s="6">
        <v>200</v>
      </c>
      <c r="E38" s="6">
        <f>E37+C38-D38</f>
      </c>
      <c r="F38" s="2"/>
    </row>
    <row x14ac:dyDescent="0.25" r="39" customHeight="1" ht="17.25">
      <c r="A39" s="8">
        <v>45891</v>
      </c>
      <c r="B39" s="9" t="s">
        <v>35</v>
      </c>
      <c r="C39" s="6">
        <v>5</v>
      </c>
      <c r="D39" s="4"/>
      <c r="E39" s="6">
        <f>E38+C39-D39</f>
      </c>
      <c r="F39" s="2"/>
    </row>
    <row x14ac:dyDescent="0.25" r="40" customHeight="1" ht="17.25">
      <c r="A40" s="8">
        <v>45906</v>
      </c>
      <c r="B40" s="9" t="s">
        <v>71</v>
      </c>
      <c r="C40" s="6">
        <v>10</v>
      </c>
      <c r="D40" s="4"/>
      <c r="E40" s="6">
        <f>E39+C40-D40</f>
      </c>
      <c r="F40" s="2"/>
    </row>
    <row x14ac:dyDescent="0.25" r="41" customHeight="1" ht="17.25">
      <c r="A41" s="7">
        <v>45919</v>
      </c>
      <c r="B41" s="9" t="s">
        <v>46</v>
      </c>
      <c r="C41" s="6">
        <v>83</v>
      </c>
      <c r="D41" s="4"/>
      <c r="E41" s="6">
        <f>E40+C41-D41</f>
      </c>
      <c r="F41" s="2"/>
    </row>
    <row x14ac:dyDescent="0.25" r="42" customHeight="1" ht="17.25">
      <c r="A42" s="8">
        <v>45931</v>
      </c>
      <c r="B42" s="9" t="s">
        <v>44</v>
      </c>
      <c r="C42" s="6">
        <v>42</v>
      </c>
      <c r="D42" s="4"/>
      <c r="E42" s="6">
        <f>E41+C42-D42</f>
      </c>
      <c r="F42" s="2"/>
    </row>
    <row x14ac:dyDescent="0.25" r="43" customHeight="1" ht="17.25">
      <c r="A43" s="7">
        <v>45943</v>
      </c>
      <c r="B43" s="9" t="s">
        <v>72</v>
      </c>
      <c r="C43" s="6">
        <v>28</v>
      </c>
      <c r="D43" s="4"/>
      <c r="E43" s="6">
        <f>E42+C43-D43</f>
      </c>
      <c r="F43" s="2"/>
    </row>
    <row x14ac:dyDescent="0.25" r="44" customHeight="1" ht="17.25">
      <c r="A44" s="7">
        <v>45943</v>
      </c>
      <c r="B44" s="9" t="s">
        <v>29</v>
      </c>
      <c r="C44" s="4"/>
      <c r="D44" s="6">
        <v>180</v>
      </c>
      <c r="E44" s="6">
        <f>E43+C44-D44</f>
      </c>
      <c r="F44" s="2"/>
    </row>
    <row x14ac:dyDescent="0.25" r="45" customHeight="1" ht="17.25">
      <c r="A45" s="1"/>
      <c r="B45" s="9" t="s">
        <v>73</v>
      </c>
      <c r="C45" s="4"/>
      <c r="D45" s="4"/>
      <c r="E45" s="6">
        <f>E44+C45-D45</f>
      </c>
      <c r="F45" s="2"/>
    </row>
    <row x14ac:dyDescent="0.25" r="46" customHeight="1" ht="17.25">
      <c r="A46" s="7">
        <v>45947</v>
      </c>
      <c r="B46" s="9" t="s">
        <v>33</v>
      </c>
      <c r="C46" s="6">
        <v>174</v>
      </c>
      <c r="D46" s="4"/>
      <c r="E46" s="6">
        <f>E45+C46-D46</f>
      </c>
      <c r="F46" s="2"/>
    </row>
    <row x14ac:dyDescent="0.25" r="47" customHeight="1" ht="17.25">
      <c r="A47" s="7">
        <v>45947</v>
      </c>
      <c r="B47" s="9" t="s">
        <v>49</v>
      </c>
      <c r="C47" s="4"/>
      <c r="D47" s="6">
        <v>170</v>
      </c>
      <c r="E47" s="6">
        <f>E46+C47-D47</f>
      </c>
      <c r="F47" s="2"/>
    </row>
    <row x14ac:dyDescent="0.25" r="48" customHeight="1" ht="17.25">
      <c r="A48" s="8">
        <v>45955</v>
      </c>
      <c r="B48" s="9" t="s">
        <v>26</v>
      </c>
      <c r="C48" s="6">
        <v>60</v>
      </c>
      <c r="D48" s="4"/>
      <c r="E48" s="6">
        <f>E47+C48-D48</f>
      </c>
      <c r="F48" s="2"/>
    </row>
    <row x14ac:dyDescent="0.25" r="49" customHeight="1" ht="17.25">
      <c r="A49" s="8">
        <v>45962</v>
      </c>
      <c r="B49" s="9" t="s">
        <v>26</v>
      </c>
      <c r="C49" s="6">
        <v>40</v>
      </c>
      <c r="D49" s="4"/>
      <c r="E49" s="6">
        <f>E48+C49-D49</f>
      </c>
      <c r="F49" s="2"/>
    </row>
    <row x14ac:dyDescent="0.25" r="50" customHeight="1" ht="17.25">
      <c r="A50" s="7">
        <v>45975</v>
      </c>
      <c r="B50" s="9" t="s">
        <v>41</v>
      </c>
      <c r="C50" s="6">
        <v>236</v>
      </c>
      <c r="D50" s="4"/>
      <c r="E50" s="6">
        <f>E49+C50-D50</f>
      </c>
      <c r="F50" s="2"/>
    </row>
    <row x14ac:dyDescent="0.25" r="51" customHeight="1" ht="17.25">
      <c r="A51" s="8">
        <v>45988</v>
      </c>
      <c r="B51" s="9" t="s">
        <v>41</v>
      </c>
      <c r="C51" s="6">
        <v>40</v>
      </c>
      <c r="D51" s="4"/>
      <c r="E51" s="6">
        <f>E50+C51-D51</f>
      </c>
      <c r="F51" s="2"/>
    </row>
    <row x14ac:dyDescent="0.25" r="52" customHeight="1" ht="17.25">
      <c r="A52" s="8">
        <v>45992</v>
      </c>
      <c r="B52" s="9" t="s">
        <v>54</v>
      </c>
      <c r="C52" s="4"/>
      <c r="D52" s="6">
        <v>128</v>
      </c>
      <c r="E52" s="6">
        <f>E51+C52-D52</f>
      </c>
      <c r="F52" s="2"/>
    </row>
    <row x14ac:dyDescent="0.25" r="53" customHeight="1" ht="17.25">
      <c r="A53" s="7">
        <v>45993</v>
      </c>
      <c r="B53" s="9" t="s">
        <v>26</v>
      </c>
      <c r="C53" s="6">
        <v>40</v>
      </c>
      <c r="D53" s="4"/>
      <c r="E53" s="6">
        <f>E52+C53-D53</f>
      </c>
      <c r="F53" s="2"/>
    </row>
    <row x14ac:dyDescent="0.25" r="54" customHeight="1" ht="17.25">
      <c r="A54" s="8">
        <v>45996</v>
      </c>
      <c r="B54" s="9" t="s">
        <v>55</v>
      </c>
      <c r="C54" s="4"/>
      <c r="D54" s="6">
        <v>43</v>
      </c>
      <c r="E54" s="6">
        <f>E53+C54-D54</f>
      </c>
      <c r="F54" s="2"/>
    </row>
    <row x14ac:dyDescent="0.25" r="55" customHeight="1" ht="17.25">
      <c r="A55" s="7">
        <v>46000</v>
      </c>
      <c r="B55" s="9" t="s">
        <v>53</v>
      </c>
      <c r="C55" s="4"/>
      <c r="D55" s="6">
        <v>100</v>
      </c>
      <c r="E55" s="6">
        <f>E54+C55-D55</f>
      </c>
      <c r="F55" s="2"/>
    </row>
    <row x14ac:dyDescent="0.25" r="56" customHeight="1" ht="17.25">
      <c r="A56" s="7">
        <v>46002</v>
      </c>
      <c r="B56" s="9" t="s">
        <v>56</v>
      </c>
      <c r="C56" s="4"/>
      <c r="D56" s="6">
        <v>152</v>
      </c>
      <c r="E56" s="6">
        <f>E55+C56-D56</f>
      </c>
      <c r="F56" s="2" t="s">
        <v>74</v>
      </c>
    </row>
    <row x14ac:dyDescent="0.25" r="57" customHeight="1" ht="17.25">
      <c r="A57" s="7">
        <v>46003</v>
      </c>
      <c r="B57" s="9" t="s">
        <v>58</v>
      </c>
      <c r="C57" s="6">
        <v>300</v>
      </c>
      <c r="D57" s="4"/>
      <c r="E57" s="6">
        <f>E56+C57-D57</f>
      </c>
      <c r="F57" s="2"/>
    </row>
    <row x14ac:dyDescent="0.25" r="58" customHeight="1" ht="17.25">
      <c r="A58" s="7">
        <v>46003</v>
      </c>
      <c r="B58" s="9" t="s">
        <v>56</v>
      </c>
      <c r="C58" s="4"/>
      <c r="D58" s="6">
        <v>48</v>
      </c>
      <c r="E58" s="6">
        <f>E57+C58-D58</f>
      </c>
      <c r="F58" s="2"/>
    </row>
    <row x14ac:dyDescent="0.25" r="59" customHeight="1" ht="17.25">
      <c r="A59" s="7">
        <v>46003</v>
      </c>
      <c r="B59" s="9" t="s">
        <v>42</v>
      </c>
      <c r="C59" s="4"/>
      <c r="D59" s="6">
        <v>250</v>
      </c>
      <c r="E59" s="6">
        <f>E58+C59-D59</f>
      </c>
      <c r="F59" s="2"/>
    </row>
    <row x14ac:dyDescent="0.25" r="60" customHeight="1" ht="17.25">
      <c r="A60" s="7">
        <v>46007</v>
      </c>
      <c r="B60" s="9" t="s">
        <v>26</v>
      </c>
      <c r="C60" s="6">
        <v>30</v>
      </c>
      <c r="D60" s="4"/>
      <c r="E60" s="6">
        <f>E59+C60-D60</f>
      </c>
      <c r="F60" s="2"/>
    </row>
    <row x14ac:dyDescent="0.25" r="61" customHeight="1" ht="17.25">
      <c r="A61" s="1"/>
      <c r="B61" s="2"/>
      <c r="C61" s="4"/>
      <c r="D61" s="4"/>
      <c r="E61" s="6">
        <f>E60+C61-D61</f>
      </c>
      <c r="F61" s="2"/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1.7192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67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7">
        <v>45658</v>
      </c>
      <c r="B3" s="2" t="s">
        <v>1</v>
      </c>
      <c r="C3" s="3"/>
      <c r="D3" s="4"/>
      <c r="E3" s="4"/>
    </row>
    <row x14ac:dyDescent="0.25" r="4" customHeight="1" ht="17.25">
      <c r="A4" s="7">
        <v>45681</v>
      </c>
      <c r="B4" s="2" t="s">
        <v>58</v>
      </c>
      <c r="C4" s="6">
        <v>150</v>
      </c>
      <c r="D4" s="4"/>
      <c r="E4" s="4"/>
    </row>
    <row x14ac:dyDescent="0.25" r="5" customHeight="1" ht="17.25">
      <c r="A5" s="7">
        <v>45681</v>
      </c>
      <c r="B5" s="2" t="s">
        <v>32</v>
      </c>
      <c r="C5" s="3"/>
      <c r="D5" s="6">
        <v>150</v>
      </c>
      <c r="E5" s="4"/>
    </row>
    <row x14ac:dyDescent="0.25" r="6" customHeight="1" ht="17.25">
      <c r="A6" s="8">
        <v>45689</v>
      </c>
      <c r="B6" s="9" t="s">
        <v>39</v>
      </c>
      <c r="C6" s="6">
        <v>86</v>
      </c>
      <c r="D6" s="4"/>
      <c r="E6" s="6">
        <v>86</v>
      </c>
    </row>
    <row x14ac:dyDescent="0.25" r="7" customHeight="1" ht="17.25">
      <c r="A7" s="7">
        <v>45696</v>
      </c>
      <c r="B7" s="2" t="s">
        <v>58</v>
      </c>
      <c r="C7" s="6">
        <v>100</v>
      </c>
      <c r="D7" s="4"/>
      <c r="E7" s="6">
        <f>E6+C7-D7</f>
      </c>
    </row>
    <row x14ac:dyDescent="0.25" r="8" customHeight="1" ht="17.25">
      <c r="A8" s="7">
        <v>45702</v>
      </c>
      <c r="B8" s="2" t="s">
        <v>3</v>
      </c>
      <c r="C8" s="3"/>
      <c r="D8" s="6">
        <v>150</v>
      </c>
      <c r="E8" s="6">
        <f>E7+C8-D8</f>
      </c>
    </row>
    <row x14ac:dyDescent="0.25" r="9" customHeight="1" ht="17.25">
      <c r="A9" s="8">
        <v>45705</v>
      </c>
      <c r="B9" s="9" t="s">
        <v>3</v>
      </c>
      <c r="C9" s="3"/>
      <c r="D9" s="6">
        <v>42</v>
      </c>
      <c r="E9" s="6">
        <f>E8+C9-D9</f>
      </c>
    </row>
    <row x14ac:dyDescent="0.25" r="10" customHeight="1" ht="17.25">
      <c r="A10" s="7">
        <v>45714</v>
      </c>
      <c r="B10" s="9" t="s">
        <v>39</v>
      </c>
      <c r="C10" s="6">
        <v>20</v>
      </c>
      <c r="D10" s="4"/>
      <c r="E10" s="6">
        <f>E9+C10-D10</f>
      </c>
    </row>
    <row x14ac:dyDescent="0.25" r="11" customHeight="1" ht="17.25">
      <c r="A11" s="7">
        <v>45727</v>
      </c>
      <c r="B11" s="9" t="s">
        <v>39</v>
      </c>
      <c r="C11" s="3"/>
      <c r="D11" s="6">
        <v>6</v>
      </c>
      <c r="E11" s="6">
        <f>E10+C11-D11</f>
      </c>
    </row>
    <row x14ac:dyDescent="0.25" r="12" customHeight="1" ht="17.25">
      <c r="A12" s="8">
        <v>45758</v>
      </c>
      <c r="B12" s="9" t="s">
        <v>35</v>
      </c>
      <c r="C12" s="3"/>
      <c r="D12" s="6">
        <v>20</v>
      </c>
      <c r="E12" s="6">
        <f>E11+C12-D12</f>
      </c>
    </row>
    <row x14ac:dyDescent="0.25" r="13" customHeight="1" ht="17.25">
      <c r="A13" s="8">
        <v>45832</v>
      </c>
      <c r="B13" s="9" t="s">
        <v>3</v>
      </c>
      <c r="C13" s="6">
        <v>110</v>
      </c>
      <c r="D13" s="4"/>
      <c r="E13" s="6">
        <f>E12+C13-D13</f>
      </c>
    </row>
    <row x14ac:dyDescent="0.25" r="14" customHeight="1" ht="17.25">
      <c r="A14" s="7">
        <v>45839</v>
      </c>
      <c r="B14" s="9" t="s">
        <v>3</v>
      </c>
      <c r="C14" s="6">
        <v>75</v>
      </c>
      <c r="D14" s="4"/>
      <c r="E14" s="6">
        <f>E13+C14-D14</f>
      </c>
    </row>
    <row x14ac:dyDescent="0.25" r="15" customHeight="1" ht="17.25">
      <c r="A15" s="8">
        <v>45847</v>
      </c>
      <c r="B15" s="9" t="s">
        <v>25</v>
      </c>
      <c r="C15" s="3"/>
      <c r="D15" s="6">
        <v>108</v>
      </c>
      <c r="E15" s="6">
        <f>E14+C15-D15</f>
      </c>
    </row>
    <row x14ac:dyDescent="0.25" r="16" customHeight="1" ht="17.25">
      <c r="A16" s="1"/>
      <c r="B16" s="9" t="s">
        <v>68</v>
      </c>
      <c r="C16" s="3"/>
      <c r="D16" s="4"/>
      <c r="E16" s="25">
        <v>68</v>
      </c>
    </row>
    <row x14ac:dyDescent="0.25" r="17" customHeight="1" ht="17.25">
      <c r="A17" s="7">
        <v>45856</v>
      </c>
      <c r="B17" s="9" t="s">
        <v>33</v>
      </c>
      <c r="C17" s="6">
        <v>400</v>
      </c>
      <c r="D17" s="4"/>
      <c r="E17" s="6">
        <v>468</v>
      </c>
    </row>
    <row x14ac:dyDescent="0.25" r="18" customHeight="1" ht="17.25">
      <c r="A18" s="8">
        <v>45856</v>
      </c>
      <c r="B18" s="9" t="s">
        <v>25</v>
      </c>
      <c r="C18" s="3"/>
      <c r="D18" s="6">
        <v>328</v>
      </c>
      <c r="E18" s="4"/>
    </row>
    <row x14ac:dyDescent="0.25" r="19" customHeight="1" ht="17.25">
      <c r="A19" s="7">
        <v>45860</v>
      </c>
      <c r="B19" s="9" t="s">
        <v>25</v>
      </c>
      <c r="C19" s="3"/>
      <c r="D19" s="6">
        <v>140</v>
      </c>
      <c r="E19" s="6">
        <v>0</v>
      </c>
    </row>
    <row x14ac:dyDescent="0.25" r="20" customHeight="1" ht="17.25">
      <c r="A20" s="7">
        <v>45870</v>
      </c>
      <c r="B20" s="9" t="s">
        <v>58</v>
      </c>
      <c r="C20" s="6">
        <v>260</v>
      </c>
      <c r="D20" s="4"/>
      <c r="E20" s="4"/>
    </row>
    <row x14ac:dyDescent="0.25" r="21" customHeight="1" ht="17.25">
      <c r="A21" s="7">
        <v>45870</v>
      </c>
      <c r="B21" s="9" t="s">
        <v>47</v>
      </c>
      <c r="C21" s="3"/>
      <c r="D21" s="6">
        <v>260</v>
      </c>
      <c r="E21" s="6">
        <v>0</v>
      </c>
    </row>
    <row x14ac:dyDescent="0.25" r="22" customHeight="1" ht="17.25">
      <c r="A22" s="8">
        <v>45871</v>
      </c>
      <c r="B22" s="9" t="s">
        <v>47</v>
      </c>
      <c r="C22" s="3"/>
      <c r="D22" s="6">
        <v>10</v>
      </c>
      <c r="E22" s="4"/>
    </row>
    <row x14ac:dyDescent="0.25" r="23" customHeight="1" ht="17.25">
      <c r="A23" s="7">
        <v>45901</v>
      </c>
      <c r="B23" s="9" t="s">
        <v>47</v>
      </c>
      <c r="C23" s="6">
        <v>225</v>
      </c>
      <c r="D23" s="4"/>
      <c r="E23" s="4"/>
    </row>
    <row x14ac:dyDescent="0.25" r="24" customHeight="1" ht="17.25">
      <c r="A24" s="7">
        <v>45918</v>
      </c>
      <c r="B24" s="9" t="s">
        <v>47</v>
      </c>
      <c r="C24" s="6">
        <v>43</v>
      </c>
      <c r="D24" s="4"/>
      <c r="E24" s="4"/>
    </row>
    <row x14ac:dyDescent="0.25" r="25" customHeight="1" ht="17.25">
      <c r="A25" s="8">
        <v>45939</v>
      </c>
      <c r="B25" s="9" t="s">
        <v>26</v>
      </c>
      <c r="C25" s="6">
        <v>30</v>
      </c>
      <c r="D25" s="4"/>
      <c r="E25" s="4"/>
    </row>
    <row x14ac:dyDescent="0.25" r="26" customHeight="1" ht="17.25">
      <c r="A26" s="7">
        <v>45953</v>
      </c>
      <c r="B26" s="9" t="s">
        <v>47</v>
      </c>
      <c r="C26" s="6">
        <v>2</v>
      </c>
      <c r="D26" s="4"/>
      <c r="E26" s="4"/>
    </row>
    <row x14ac:dyDescent="0.25" r="27" customHeight="1" ht="17.25">
      <c r="A27" s="8">
        <v>45958</v>
      </c>
      <c r="B27" s="9" t="s">
        <v>26</v>
      </c>
      <c r="C27" s="6">
        <v>119</v>
      </c>
      <c r="D27" s="4"/>
      <c r="E27" s="4"/>
    </row>
    <row x14ac:dyDescent="0.25" r="28" customHeight="1" ht="17.25">
      <c r="A28" s="7">
        <v>45962</v>
      </c>
      <c r="B28" s="9" t="s">
        <v>69</v>
      </c>
      <c r="C28" s="3"/>
      <c r="D28" s="6">
        <v>300</v>
      </c>
      <c r="E28" s="6">
        <v>119</v>
      </c>
    </row>
    <row x14ac:dyDescent="0.25" r="29" customHeight="1" ht="17.25">
      <c r="A29" s="8">
        <v>45962</v>
      </c>
      <c r="B29" s="9" t="s">
        <v>26</v>
      </c>
      <c r="C29" s="6">
        <v>270</v>
      </c>
      <c r="D29" s="4"/>
      <c r="E29" s="4"/>
    </row>
    <row x14ac:dyDescent="0.25" r="30" customHeight="1" ht="17.25">
      <c r="A30" s="8">
        <v>45990</v>
      </c>
      <c r="B30" s="9" t="s">
        <v>53</v>
      </c>
      <c r="C30" s="3"/>
      <c r="D30" s="6">
        <v>200</v>
      </c>
      <c r="E30" s="4"/>
    </row>
    <row x14ac:dyDescent="0.25" r="31" customHeight="1" ht="17.25">
      <c r="A31" s="7">
        <v>45993</v>
      </c>
      <c r="B31" s="9" t="s">
        <v>26</v>
      </c>
      <c r="C31" s="6">
        <v>60</v>
      </c>
      <c r="D31" s="4"/>
      <c r="E31" s="4"/>
    </row>
    <row x14ac:dyDescent="0.25" r="32" customHeight="1" ht="17.25">
      <c r="A32" s="7">
        <v>46007</v>
      </c>
      <c r="B32" s="9" t="s">
        <v>26</v>
      </c>
      <c r="C32" s="6">
        <v>50</v>
      </c>
      <c r="D32" s="4"/>
      <c r="E32" s="4"/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3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7.576428571428572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  <col min="6" max="6" style="11" width="12.43357142857143" customWidth="1" bestFit="1"/>
  </cols>
  <sheetData>
    <row x14ac:dyDescent="0.25" r="1" customHeight="1" ht="17.25">
      <c r="A1" s="1" t="s">
        <v>62</v>
      </c>
      <c r="B1" s="2"/>
      <c r="C1" s="3"/>
      <c r="D1" s="4"/>
      <c r="E1" s="4"/>
      <c r="F1" s="2"/>
    </row>
    <row x14ac:dyDescent="0.25" r="2" customHeight="1" ht="17.25">
      <c r="A2" s="1"/>
      <c r="B2" s="2"/>
      <c r="C2" s="3"/>
      <c r="D2" s="4"/>
      <c r="E2" s="4"/>
      <c r="F2" s="2"/>
    </row>
    <row x14ac:dyDescent="0.25" r="3" customHeight="1" ht="17.25">
      <c r="A3" s="7">
        <v>45658</v>
      </c>
      <c r="B3" s="2" t="s">
        <v>1</v>
      </c>
      <c r="C3" s="3"/>
      <c r="D3" s="4"/>
      <c r="E3" s="4"/>
      <c r="F3" s="2"/>
    </row>
    <row x14ac:dyDescent="0.25" r="4" customHeight="1" ht="17.25">
      <c r="A4" s="8">
        <v>45689</v>
      </c>
      <c r="B4" s="9" t="s">
        <v>39</v>
      </c>
      <c r="C4" s="6">
        <v>86</v>
      </c>
      <c r="D4" s="4"/>
      <c r="E4" s="4"/>
      <c r="F4" s="2"/>
    </row>
    <row x14ac:dyDescent="0.25" r="5" customHeight="1" ht="17.25">
      <c r="A5" s="7">
        <v>45694</v>
      </c>
      <c r="B5" s="2" t="s">
        <v>63</v>
      </c>
      <c r="C5" s="6">
        <v>300</v>
      </c>
      <c r="D5" s="4"/>
      <c r="E5" s="4"/>
      <c r="F5" s="2"/>
    </row>
    <row x14ac:dyDescent="0.25" r="6" customHeight="1" ht="17.25">
      <c r="A6" s="7">
        <v>45694</v>
      </c>
      <c r="B6" s="2" t="s">
        <v>64</v>
      </c>
      <c r="C6" s="3"/>
      <c r="D6" s="6">
        <v>300</v>
      </c>
      <c r="E6" s="4"/>
      <c r="F6" s="2"/>
    </row>
    <row x14ac:dyDescent="0.25" r="7" customHeight="1" ht="17.25">
      <c r="A7" s="8">
        <v>45701</v>
      </c>
      <c r="B7" s="9" t="s">
        <v>3</v>
      </c>
      <c r="C7" s="3"/>
      <c r="D7" s="6">
        <v>4</v>
      </c>
      <c r="E7" s="4"/>
      <c r="F7" s="2"/>
    </row>
    <row x14ac:dyDescent="0.25" r="8" customHeight="1" ht="17.25">
      <c r="A8" s="7">
        <v>45702</v>
      </c>
      <c r="B8" s="2" t="s">
        <v>3</v>
      </c>
      <c r="C8" s="3"/>
      <c r="D8" s="6">
        <v>46</v>
      </c>
      <c r="E8" s="4"/>
      <c r="F8" s="2"/>
    </row>
    <row x14ac:dyDescent="0.25" r="9" customHeight="1" ht="17.25">
      <c r="A9" s="7">
        <v>45712</v>
      </c>
      <c r="B9" s="2" t="s">
        <v>3</v>
      </c>
      <c r="C9" s="3"/>
      <c r="D9" s="6">
        <v>37</v>
      </c>
      <c r="E9" s="6">
        <v>0</v>
      </c>
      <c r="F9" s="2"/>
    </row>
    <row x14ac:dyDescent="0.25" r="10" customHeight="1" ht="17.25">
      <c r="A10" s="15">
        <v>45714</v>
      </c>
      <c r="B10" s="16" t="s">
        <v>39</v>
      </c>
      <c r="C10" s="17">
        <v>16</v>
      </c>
      <c r="D10" s="18"/>
      <c r="E10" s="17">
        <f>C10</f>
      </c>
      <c r="F10" s="2"/>
    </row>
    <row x14ac:dyDescent="0.25" r="11" customHeight="1" ht="17.25">
      <c r="A11" s="19">
        <v>45727</v>
      </c>
      <c r="B11" s="20" t="s">
        <v>39</v>
      </c>
      <c r="C11" s="18"/>
      <c r="D11" s="17">
        <v>2</v>
      </c>
      <c r="E11" s="17">
        <f>E10+C11-D11</f>
      </c>
      <c r="F11" s="2"/>
    </row>
    <row x14ac:dyDescent="0.25" r="12" customHeight="1" ht="17.25">
      <c r="A12" s="15">
        <v>45738</v>
      </c>
      <c r="B12" s="16" t="s">
        <v>35</v>
      </c>
      <c r="C12" s="17">
        <v>34</v>
      </c>
      <c r="D12" s="18"/>
      <c r="E12" s="17">
        <f>E11+C12-D12</f>
      </c>
      <c r="F12" s="2"/>
    </row>
    <row x14ac:dyDescent="0.25" r="13" customHeight="1" ht="17.25">
      <c r="A13" s="19">
        <v>45784</v>
      </c>
      <c r="B13" s="20" t="s">
        <v>58</v>
      </c>
      <c r="C13" s="17">
        <v>52</v>
      </c>
      <c r="D13" s="18"/>
      <c r="E13" s="17">
        <f>E12+C13-D13</f>
      </c>
      <c r="F13" s="2"/>
    </row>
    <row x14ac:dyDescent="0.25" r="14" customHeight="1" ht="17.25">
      <c r="A14" s="19">
        <v>45784</v>
      </c>
      <c r="B14" s="16" t="s">
        <v>41</v>
      </c>
      <c r="C14" s="18"/>
      <c r="D14" s="17">
        <v>100</v>
      </c>
      <c r="E14" s="17">
        <f>E13+C14-D14</f>
      </c>
      <c r="F14" s="2"/>
    </row>
    <row x14ac:dyDescent="0.25" r="15" customHeight="1" ht="17.25">
      <c r="A15" s="15">
        <v>45800</v>
      </c>
      <c r="B15" s="16" t="s">
        <v>43</v>
      </c>
      <c r="C15" s="17">
        <v>68</v>
      </c>
      <c r="D15" s="18"/>
      <c r="E15" s="17">
        <f>E14+C15-D15</f>
      </c>
      <c r="F15" s="2"/>
    </row>
    <row x14ac:dyDescent="0.25" r="16" customHeight="1" ht="17.25">
      <c r="A16" s="19">
        <v>45815</v>
      </c>
      <c r="B16" s="20" t="s">
        <v>45</v>
      </c>
      <c r="C16" s="17">
        <v>12</v>
      </c>
      <c r="D16" s="18"/>
      <c r="E16" s="17">
        <f>E15+C16-D16</f>
      </c>
      <c r="F16" s="2"/>
    </row>
    <row x14ac:dyDescent="0.25" r="17" customHeight="1" ht="17.25">
      <c r="A17" s="15">
        <v>45832</v>
      </c>
      <c r="B17" s="16" t="s">
        <v>3</v>
      </c>
      <c r="C17" s="17">
        <v>51</v>
      </c>
      <c r="D17" s="18"/>
      <c r="E17" s="17">
        <f>E16+C17-D17</f>
      </c>
      <c r="F17" s="2"/>
    </row>
    <row x14ac:dyDescent="0.25" r="18" customHeight="1" ht="17.25">
      <c r="A18" s="19">
        <v>45839</v>
      </c>
      <c r="B18" s="20" t="s">
        <v>3</v>
      </c>
      <c r="C18" s="17">
        <v>30</v>
      </c>
      <c r="D18" s="18"/>
      <c r="E18" s="21">
        <f>E17+C18-D18</f>
      </c>
      <c r="F18" s="2" t="s">
        <v>65</v>
      </c>
    </row>
    <row x14ac:dyDescent="0.25" r="19" customHeight="1" ht="17.25">
      <c r="A19" s="7">
        <v>45856</v>
      </c>
      <c r="B19" s="22" t="s">
        <v>33</v>
      </c>
      <c r="C19" s="23">
        <v>398</v>
      </c>
      <c r="D19" s="4"/>
      <c r="E19" s="23">
        <f>E18+C19-D19</f>
      </c>
      <c r="F19" s="2"/>
    </row>
    <row x14ac:dyDescent="0.25" r="20" customHeight="1" ht="17.25">
      <c r="A20" s="7">
        <v>45856</v>
      </c>
      <c r="B20" s="24" t="s">
        <v>25</v>
      </c>
      <c r="C20" s="3"/>
      <c r="D20" s="6">
        <v>468</v>
      </c>
      <c r="E20" s="23">
        <f>E19+C20-D20</f>
      </c>
      <c r="F20" s="2"/>
    </row>
    <row x14ac:dyDescent="0.25" r="21" customHeight="1" ht="17.25">
      <c r="A21" s="8">
        <v>45891</v>
      </c>
      <c r="B21" s="9" t="s">
        <v>35</v>
      </c>
      <c r="C21" s="6">
        <v>10</v>
      </c>
      <c r="D21" s="4"/>
      <c r="E21" s="4"/>
      <c r="F21" s="2"/>
    </row>
    <row x14ac:dyDescent="0.25" r="22" customHeight="1" ht="17.25">
      <c r="A22" s="1"/>
      <c r="B22" s="2" t="s">
        <v>66</v>
      </c>
      <c r="C22" s="3"/>
      <c r="D22" s="6">
        <v>28</v>
      </c>
      <c r="E22" s="4"/>
      <c r="F22" s="2"/>
    </row>
    <row x14ac:dyDescent="0.25" r="23" customHeight="1" ht="17.25">
      <c r="A23" s="15">
        <v>45939</v>
      </c>
      <c r="B23" s="16" t="s">
        <v>26</v>
      </c>
      <c r="C23" s="17">
        <v>40</v>
      </c>
      <c r="D23" s="18"/>
      <c r="E23" s="17">
        <v>40</v>
      </c>
      <c r="F23" s="2"/>
    </row>
    <row x14ac:dyDescent="0.25" r="24" customHeight="1" ht="17.25">
      <c r="A24" s="19">
        <v>45946</v>
      </c>
      <c r="B24" s="20" t="s">
        <v>45</v>
      </c>
      <c r="C24" s="17">
        <v>11</v>
      </c>
      <c r="D24" s="18"/>
      <c r="E24" s="17">
        <f>E23+C24-D24</f>
      </c>
      <c r="F24" s="2"/>
    </row>
    <row x14ac:dyDescent="0.25" r="25" customHeight="1" ht="17.25">
      <c r="A25" s="15">
        <v>45958</v>
      </c>
      <c r="B25" s="16" t="s">
        <v>26</v>
      </c>
      <c r="C25" s="17">
        <v>309</v>
      </c>
      <c r="D25" s="18"/>
      <c r="E25" s="17">
        <f>E24+C25-D25</f>
      </c>
      <c r="F25" s="2"/>
    </row>
    <row x14ac:dyDescent="0.25" r="26" customHeight="1" ht="17.25">
      <c r="A26" s="19">
        <v>45962</v>
      </c>
      <c r="B26" s="20" t="s">
        <v>51</v>
      </c>
      <c r="C26" s="18"/>
      <c r="D26" s="17">
        <v>300</v>
      </c>
      <c r="E26" s="17">
        <f>E25+C26-D26</f>
      </c>
      <c r="F26" s="2"/>
    </row>
    <row x14ac:dyDescent="0.25" r="27" customHeight="1" ht="17.25">
      <c r="A27" s="15">
        <v>45962</v>
      </c>
      <c r="B27" s="16" t="s">
        <v>26</v>
      </c>
      <c r="C27" s="17">
        <v>50</v>
      </c>
      <c r="D27" s="18"/>
      <c r="E27" s="17">
        <f>E26+C27-D27</f>
      </c>
      <c r="F27" s="2"/>
    </row>
    <row x14ac:dyDescent="0.25" r="28" customHeight="1" ht="17.25">
      <c r="A28" s="15">
        <v>45988</v>
      </c>
      <c r="B28" s="16" t="s">
        <v>41</v>
      </c>
      <c r="C28" s="17">
        <v>47</v>
      </c>
      <c r="D28" s="18"/>
      <c r="E28" s="17">
        <f>E27+C28-D28</f>
      </c>
      <c r="F28" s="2"/>
    </row>
    <row x14ac:dyDescent="0.25" r="29" customHeight="1" ht="17.25">
      <c r="A29" s="15">
        <v>45990</v>
      </c>
      <c r="B29" s="16" t="s">
        <v>53</v>
      </c>
      <c r="C29" s="18"/>
      <c r="D29" s="17">
        <v>130</v>
      </c>
      <c r="E29" s="17">
        <f>E28+C29-D29</f>
      </c>
      <c r="F29" s="2"/>
    </row>
    <row x14ac:dyDescent="0.25" r="30" customHeight="1" ht="17.25">
      <c r="A30" s="19">
        <v>45992</v>
      </c>
      <c r="B30" s="20" t="s">
        <v>33</v>
      </c>
      <c r="C30" s="17">
        <v>62</v>
      </c>
      <c r="D30" s="18"/>
      <c r="E30" s="17">
        <f>E29+C30-D30</f>
      </c>
      <c r="F30" s="2"/>
    </row>
    <row x14ac:dyDescent="0.25" r="31" customHeight="1" ht="17.25">
      <c r="A31" s="7">
        <v>45993</v>
      </c>
      <c r="B31" s="22" t="s">
        <v>53</v>
      </c>
      <c r="C31" s="3"/>
      <c r="D31" s="6">
        <v>70</v>
      </c>
      <c r="E31" s="4"/>
      <c r="F31" s="2"/>
    </row>
    <row x14ac:dyDescent="0.25" r="32" customHeight="1" ht="17.25">
      <c r="A32" s="7">
        <v>45993</v>
      </c>
      <c r="B32" s="22" t="s">
        <v>26</v>
      </c>
      <c r="C32" s="6">
        <v>20</v>
      </c>
      <c r="D32" s="4"/>
      <c r="E32" s="4"/>
      <c r="F32" s="2"/>
    </row>
    <row x14ac:dyDescent="0.25" r="33" customHeight="1" ht="17.25">
      <c r="A33" s="7">
        <v>46007</v>
      </c>
      <c r="B33" s="22" t="s">
        <v>26</v>
      </c>
      <c r="C33" s="6">
        <v>14</v>
      </c>
      <c r="D33" s="4"/>
      <c r="E33" s="4"/>
      <c r="F33" s="2"/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6.862142857142857" customWidth="1" bestFit="1"/>
  </cols>
  <sheetData>
    <row x14ac:dyDescent="0.25" r="1" customHeight="1" ht="17.25">
      <c r="A1" s="1" t="s">
        <v>61</v>
      </c>
      <c r="B1" s="2"/>
    </row>
    <row x14ac:dyDescent="0.25" r="2" customHeight="1" ht="17.25">
      <c r="A2" s="1"/>
      <c r="B2" s="2"/>
    </row>
    <row x14ac:dyDescent="0.25" r="3" customHeight="1" ht="17.25">
      <c r="A3" s="7">
        <v>45658</v>
      </c>
      <c r="B3" s="2" t="s">
        <v>1</v>
      </c>
    </row>
    <row x14ac:dyDescent="0.25" r="4" customHeight="1" ht="17.25">
      <c r="A4" s="7"/>
      <c r="B4" s="2"/>
    </row>
    <row x14ac:dyDescent="0.25" r="5" customHeight="1" ht="17.25">
      <c r="A5" s="7"/>
      <c r="B5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005" customWidth="1" bestFit="1"/>
    <col min="3" max="3" style="13" width="12.43357142857143" customWidth="1" bestFit="1"/>
    <col min="4" max="4" style="12" width="12.43357142857143" customWidth="1" bestFit="1"/>
  </cols>
  <sheetData>
    <row x14ac:dyDescent="0.25" r="1" customHeight="1" ht="17.25">
      <c r="A1" s="1" t="s">
        <v>60</v>
      </c>
      <c r="B1" s="2"/>
      <c r="C1" s="4"/>
      <c r="D1" s="3"/>
    </row>
    <row x14ac:dyDescent="0.25" r="2" customHeight="1" ht="17.25">
      <c r="A2" s="1"/>
      <c r="B2" s="2"/>
      <c r="C2" s="4"/>
      <c r="D2" s="3"/>
    </row>
    <row x14ac:dyDescent="0.25" r="3" customHeight="1" ht="17.25">
      <c r="A3" s="7">
        <v>45658</v>
      </c>
      <c r="B3" s="2" t="s">
        <v>1</v>
      </c>
      <c r="C3" s="4"/>
      <c r="D3" s="3"/>
    </row>
    <row x14ac:dyDescent="0.25" r="4" customHeight="1" ht="17.25">
      <c r="A4" s="7">
        <v>45702</v>
      </c>
      <c r="B4" s="2" t="s">
        <v>58</v>
      </c>
      <c r="C4" s="6">
        <v>400</v>
      </c>
      <c r="D4" s="3"/>
    </row>
    <row x14ac:dyDescent="0.25" r="5" customHeight="1" ht="17.25">
      <c r="A5" s="7">
        <v>45703</v>
      </c>
      <c r="B5" s="2" t="s">
        <v>59</v>
      </c>
      <c r="C5" s="4"/>
      <c r="D5" s="6">
        <v>400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576428571428572" customWidth="1" bestFit="1"/>
    <col min="3" max="3" style="13" width="12.43357142857143" customWidth="1" bestFit="1"/>
    <col min="4" max="4" style="12" width="12.43357142857143" customWidth="1" bestFit="1"/>
  </cols>
  <sheetData>
    <row x14ac:dyDescent="0.25" r="1" customHeight="1" ht="17.25">
      <c r="A1" s="1" t="s">
        <v>57</v>
      </c>
      <c r="B1" s="2"/>
      <c r="C1" s="4"/>
      <c r="D1" s="3"/>
    </row>
    <row x14ac:dyDescent="0.25" r="2" customHeight="1" ht="17.25">
      <c r="A2" s="1"/>
      <c r="B2" s="2"/>
      <c r="C2" s="4"/>
      <c r="D2" s="3"/>
    </row>
    <row x14ac:dyDescent="0.25" r="3" customHeight="1" ht="17.25">
      <c r="A3" s="7">
        <v>45658</v>
      </c>
      <c r="B3" s="2" t="s">
        <v>1</v>
      </c>
      <c r="C3" s="4"/>
      <c r="D3" s="3"/>
    </row>
    <row x14ac:dyDescent="0.25" r="4" customHeight="1" ht="17.25">
      <c r="A4" s="8">
        <v>45702</v>
      </c>
      <c r="B4" s="9" t="s">
        <v>58</v>
      </c>
      <c r="C4" s="6">
        <v>200</v>
      </c>
      <c r="D4" s="3"/>
    </row>
    <row x14ac:dyDescent="0.25" r="5" customHeight="1" ht="17.25">
      <c r="A5" s="8">
        <v>45703</v>
      </c>
      <c r="B5" s="9" t="s">
        <v>59</v>
      </c>
      <c r="C5" s="4"/>
      <c r="D5" s="6">
        <v>200</v>
      </c>
    </row>
    <row x14ac:dyDescent="0.25" r="6" customHeight="1" ht="17.25">
      <c r="A6" s="7">
        <v>45733</v>
      </c>
      <c r="B6" s="2" t="s">
        <v>58</v>
      </c>
      <c r="C6" s="6">
        <v>200</v>
      </c>
      <c r="D6" s="3"/>
    </row>
    <row x14ac:dyDescent="0.25" r="7" customHeight="1" ht="17.25">
      <c r="A7" s="7">
        <v>45733</v>
      </c>
      <c r="B7" s="2" t="s">
        <v>59</v>
      </c>
      <c r="C7" s="4"/>
      <c r="D7" s="6">
        <v>200</v>
      </c>
    </row>
    <row x14ac:dyDescent="0.25" r="8" customHeight="1" ht="17.25">
      <c r="A8" s="7">
        <v>238</v>
      </c>
      <c r="B8" s="2" t="s">
        <v>26</v>
      </c>
      <c r="C8" s="4"/>
      <c r="D8" s="6">
        <v>50</v>
      </c>
    </row>
    <row x14ac:dyDescent="0.25" r="9" customHeight="1" ht="17.25">
      <c r="A9" s="7">
        <v>45954</v>
      </c>
      <c r="B9" s="2" t="s">
        <v>33</v>
      </c>
      <c r="C9" s="6">
        <v>10</v>
      </c>
      <c r="D9" s="3"/>
    </row>
    <row x14ac:dyDescent="0.25" r="10" customHeight="1" ht="17.25">
      <c r="A10" s="7">
        <v>45958</v>
      </c>
      <c r="B10" s="2" t="s">
        <v>50</v>
      </c>
      <c r="C10" s="4"/>
      <c r="D10" s="6">
        <v>10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7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719285714285714" customWidth="1" bestFit="1"/>
    <col min="3" max="3" style="13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30</v>
      </c>
      <c r="B1" s="2"/>
      <c r="C1" s="4"/>
      <c r="D1" s="4"/>
      <c r="E1" s="3"/>
    </row>
    <row x14ac:dyDescent="0.25" r="2" customHeight="1" ht="17.25">
      <c r="A2" s="1"/>
      <c r="B2" s="2"/>
      <c r="C2" s="4"/>
      <c r="D2" s="4"/>
      <c r="E2" s="3"/>
    </row>
    <row x14ac:dyDescent="0.25" r="3" customHeight="1" ht="17.25">
      <c r="A3" s="7">
        <v>45658</v>
      </c>
      <c r="B3" s="2" t="s">
        <v>1</v>
      </c>
      <c r="C3" s="4"/>
      <c r="D3" s="4"/>
      <c r="E3" s="6">
        <v>753</v>
      </c>
    </row>
    <row x14ac:dyDescent="0.25" r="4" customHeight="1" ht="17.25">
      <c r="A4" s="7">
        <v>45664</v>
      </c>
      <c r="B4" s="2" t="s">
        <v>31</v>
      </c>
      <c r="C4" s="6">
        <v>185</v>
      </c>
      <c r="D4" s="4"/>
      <c r="E4" s="6">
        <f>E3+C4-D4</f>
      </c>
    </row>
    <row x14ac:dyDescent="0.25" r="5" customHeight="1" ht="17.25">
      <c r="A5" s="7">
        <v>45667</v>
      </c>
      <c r="B5" s="2" t="s">
        <v>2</v>
      </c>
      <c r="C5" s="4"/>
      <c r="D5" s="6">
        <v>280</v>
      </c>
      <c r="E5" s="6">
        <f>E4+C5-D5</f>
      </c>
    </row>
    <row x14ac:dyDescent="0.25" r="6" customHeight="1" ht="17.25">
      <c r="A6" s="7">
        <v>45668</v>
      </c>
      <c r="B6" s="2" t="s">
        <v>2</v>
      </c>
      <c r="C6" s="4"/>
      <c r="D6" s="6">
        <v>240</v>
      </c>
      <c r="E6" s="6">
        <f>E5+C6-D6</f>
      </c>
    </row>
    <row x14ac:dyDescent="0.25" r="7" customHeight="1" ht="17.25">
      <c r="A7" s="8">
        <v>45678</v>
      </c>
      <c r="B7" s="9" t="s">
        <v>11</v>
      </c>
      <c r="C7" s="6">
        <v>482</v>
      </c>
      <c r="D7" s="4"/>
      <c r="E7" s="6">
        <f>E6+C7-D7</f>
      </c>
    </row>
    <row x14ac:dyDescent="0.25" r="8" customHeight="1" ht="17.25">
      <c r="A8" s="7">
        <v>45681</v>
      </c>
      <c r="B8" s="2" t="s">
        <v>32</v>
      </c>
      <c r="C8" s="4"/>
      <c r="D8" s="6">
        <v>400</v>
      </c>
      <c r="E8" s="6">
        <f>E7+C8-D8</f>
      </c>
    </row>
    <row x14ac:dyDescent="0.25" r="9" customHeight="1" ht="17.25">
      <c r="A9" s="7">
        <v>45698</v>
      </c>
      <c r="B9" s="2" t="s">
        <v>33</v>
      </c>
      <c r="C9" s="6">
        <v>300</v>
      </c>
      <c r="D9" s="4"/>
      <c r="E9" s="6">
        <f>E8+C9-D9</f>
      </c>
    </row>
    <row x14ac:dyDescent="0.25" r="10" customHeight="1" ht="17.25">
      <c r="A10" s="7">
        <v>45700</v>
      </c>
      <c r="B10" s="2" t="s">
        <v>34</v>
      </c>
      <c r="C10" s="4"/>
      <c r="D10" s="6">
        <v>300</v>
      </c>
      <c r="E10" s="6">
        <f>E9+C10-D10</f>
      </c>
    </row>
    <row x14ac:dyDescent="0.25" r="11" customHeight="1" ht="17.25">
      <c r="A11" s="8">
        <v>45701</v>
      </c>
      <c r="B11" s="9" t="s">
        <v>3</v>
      </c>
      <c r="C11" s="4"/>
      <c r="D11" s="6">
        <v>1000</v>
      </c>
      <c r="E11" s="6">
        <f>E10+C11-D11</f>
      </c>
    </row>
    <row x14ac:dyDescent="0.25" r="12" customHeight="1" ht="17.25">
      <c r="A12" s="7">
        <v>45702</v>
      </c>
      <c r="B12" s="2" t="s">
        <v>3</v>
      </c>
      <c r="C12" s="4"/>
      <c r="D12" s="6">
        <v>3</v>
      </c>
      <c r="E12" s="6">
        <v>0</v>
      </c>
    </row>
    <row x14ac:dyDescent="0.25" r="13" customHeight="1" ht="17.25">
      <c r="A13" s="7">
        <v>45703</v>
      </c>
      <c r="B13" s="2" t="s">
        <v>35</v>
      </c>
      <c r="C13" s="6">
        <v>230</v>
      </c>
      <c r="D13" s="4"/>
      <c r="E13" s="6">
        <f>E12+C13-D13</f>
      </c>
    </row>
    <row x14ac:dyDescent="0.25" r="14" customHeight="1" ht="17.25">
      <c r="A14" s="8">
        <v>45705</v>
      </c>
      <c r="B14" s="9" t="s">
        <v>3</v>
      </c>
      <c r="C14" s="4"/>
      <c r="D14" s="6">
        <v>237</v>
      </c>
      <c r="E14" s="6">
        <f>E13+C14-D14</f>
      </c>
    </row>
    <row x14ac:dyDescent="0.25" r="15" customHeight="1" ht="17.25">
      <c r="A15" s="7">
        <v>45710</v>
      </c>
      <c r="B15" s="2" t="s">
        <v>36</v>
      </c>
      <c r="C15" s="6">
        <v>650</v>
      </c>
      <c r="D15" s="4"/>
      <c r="E15" s="3"/>
    </row>
    <row x14ac:dyDescent="0.25" r="16" customHeight="1" ht="17.25">
      <c r="A16" s="7">
        <v>45710</v>
      </c>
      <c r="B16" s="2" t="s">
        <v>3</v>
      </c>
      <c r="C16" s="4"/>
      <c r="D16" s="6">
        <v>500</v>
      </c>
      <c r="E16" s="3"/>
    </row>
    <row x14ac:dyDescent="0.25" r="17" customHeight="1" ht="17.25">
      <c r="A17" s="7">
        <v>45710</v>
      </c>
      <c r="B17" s="2" t="s">
        <v>37</v>
      </c>
      <c r="C17" s="4"/>
      <c r="D17" s="6">
        <v>150</v>
      </c>
      <c r="E17" s="3"/>
    </row>
    <row x14ac:dyDescent="0.25" r="18" customHeight="1" ht="17.25">
      <c r="A18" s="7">
        <v>45713</v>
      </c>
      <c r="B18" s="2" t="s">
        <v>38</v>
      </c>
      <c r="C18" s="6">
        <v>783</v>
      </c>
      <c r="D18" s="4"/>
      <c r="E18" s="3"/>
    </row>
    <row x14ac:dyDescent="0.25" r="19" customHeight="1" ht="17.25">
      <c r="A19" s="7">
        <v>45713</v>
      </c>
      <c r="B19" s="2" t="s">
        <v>3</v>
      </c>
      <c r="C19" s="4"/>
      <c r="D19" s="6">
        <v>783</v>
      </c>
      <c r="E19" s="3"/>
    </row>
    <row x14ac:dyDescent="0.25" r="20" customHeight="1" ht="17.25">
      <c r="A20" s="8">
        <v>45714</v>
      </c>
      <c r="B20" s="9" t="s">
        <v>39</v>
      </c>
      <c r="C20" s="6">
        <v>200</v>
      </c>
      <c r="D20" s="4"/>
      <c r="E20" s="6">
        <v>200</v>
      </c>
    </row>
    <row x14ac:dyDescent="0.25" r="21" customHeight="1" ht="17.25">
      <c r="A21" s="7">
        <v>45723</v>
      </c>
      <c r="B21" s="2" t="s">
        <v>39</v>
      </c>
      <c r="C21" s="6">
        <v>150</v>
      </c>
      <c r="D21" s="4"/>
      <c r="E21" s="6">
        <f>E20+C21-D21</f>
      </c>
    </row>
    <row x14ac:dyDescent="0.25" r="22" customHeight="1" ht="17.25">
      <c r="A22" s="7">
        <v>45724</v>
      </c>
      <c r="B22" s="2" t="s">
        <v>2</v>
      </c>
      <c r="C22" s="6">
        <v>227</v>
      </c>
      <c r="D22" s="4"/>
      <c r="E22" s="6">
        <f>E21+C22-D22</f>
      </c>
    </row>
    <row x14ac:dyDescent="0.25" r="23" customHeight="1" ht="17.25">
      <c r="A23" s="8">
        <v>45727</v>
      </c>
      <c r="B23" s="9" t="s">
        <v>39</v>
      </c>
      <c r="C23" s="6">
        <v>46</v>
      </c>
      <c r="D23" s="4"/>
      <c r="E23" s="6">
        <f>E22+C23-D23</f>
      </c>
    </row>
    <row x14ac:dyDescent="0.25" r="24" customHeight="1" ht="17.25">
      <c r="A24" s="7">
        <v>45733</v>
      </c>
      <c r="B24" s="2" t="s">
        <v>39</v>
      </c>
      <c r="C24" s="6">
        <v>30</v>
      </c>
      <c r="D24" s="4"/>
      <c r="E24" s="6">
        <f>E23+C24-D24</f>
      </c>
    </row>
    <row x14ac:dyDescent="0.25" r="25" customHeight="1" ht="17.25">
      <c r="A25" s="8">
        <v>45734</v>
      </c>
      <c r="B25" s="9" t="s">
        <v>11</v>
      </c>
      <c r="C25" s="6">
        <v>489</v>
      </c>
      <c r="D25" s="4"/>
      <c r="E25" s="6">
        <f>E24+C25-D25</f>
      </c>
    </row>
    <row x14ac:dyDescent="0.25" r="26" customHeight="1" ht="17.25">
      <c r="A26" s="8">
        <v>45734</v>
      </c>
      <c r="B26" s="9" t="s">
        <v>2</v>
      </c>
      <c r="C26" s="6">
        <v>130</v>
      </c>
      <c r="D26" s="4"/>
      <c r="E26" s="6">
        <f>E25+C26-D26</f>
      </c>
    </row>
    <row x14ac:dyDescent="0.25" r="27" customHeight="1" ht="17.25">
      <c r="A27" s="8">
        <v>45737</v>
      </c>
      <c r="B27" s="9" t="s">
        <v>2</v>
      </c>
      <c r="C27" s="6">
        <v>241</v>
      </c>
      <c r="D27" s="4"/>
      <c r="E27" s="6">
        <f>E26+C27-D27</f>
      </c>
    </row>
    <row x14ac:dyDescent="0.25" r="28" customHeight="1" ht="17.25">
      <c r="A28" s="7">
        <v>45741</v>
      </c>
      <c r="B28" s="9" t="s">
        <v>37</v>
      </c>
      <c r="C28" s="6">
        <v>149</v>
      </c>
      <c r="D28" s="4"/>
      <c r="E28" s="6">
        <f>E27+C28-D28</f>
      </c>
    </row>
    <row x14ac:dyDescent="0.25" r="29" customHeight="1" ht="17.25">
      <c r="A29" s="7">
        <v>45760</v>
      </c>
      <c r="B29" s="9" t="s">
        <v>40</v>
      </c>
      <c r="C29" s="6">
        <v>780</v>
      </c>
      <c r="D29" s="4"/>
      <c r="E29" s="6">
        <f>E28+C29-D29</f>
      </c>
    </row>
    <row x14ac:dyDescent="0.25" r="30" customHeight="1" ht="17.25">
      <c r="A30" s="7">
        <v>45774</v>
      </c>
      <c r="B30" s="2" t="s">
        <v>41</v>
      </c>
      <c r="C30" s="4"/>
      <c r="D30" s="6">
        <v>400</v>
      </c>
      <c r="E30" s="6">
        <f>E29+C30-D30</f>
      </c>
    </row>
    <row x14ac:dyDescent="0.25" r="31" customHeight="1" ht="17.25">
      <c r="A31" s="8">
        <v>45780</v>
      </c>
      <c r="B31" s="9" t="s">
        <v>41</v>
      </c>
      <c r="C31" s="4"/>
      <c r="D31" s="6">
        <v>200</v>
      </c>
      <c r="E31" s="6">
        <f>E30+C31-D31</f>
      </c>
    </row>
    <row x14ac:dyDescent="0.25" r="32" customHeight="1" ht="17.25">
      <c r="A32" s="7">
        <v>45784</v>
      </c>
      <c r="B32" s="9" t="s">
        <v>41</v>
      </c>
      <c r="C32" s="4"/>
      <c r="D32" s="6">
        <v>200</v>
      </c>
      <c r="E32" s="6">
        <f>E31+C32-D32</f>
      </c>
    </row>
    <row x14ac:dyDescent="0.25" r="33" customHeight="1" ht="17.25">
      <c r="A33" s="7">
        <v>45795</v>
      </c>
      <c r="B33" s="9" t="s">
        <v>41</v>
      </c>
      <c r="C33" s="4"/>
      <c r="D33" s="6">
        <v>200</v>
      </c>
      <c r="E33" s="6">
        <f>E32+C33-D33</f>
      </c>
    </row>
    <row x14ac:dyDescent="0.25" r="34" customHeight="1" ht="17.25">
      <c r="A34" s="8">
        <v>45797</v>
      </c>
      <c r="B34" s="9" t="s">
        <v>42</v>
      </c>
      <c r="C34" s="4"/>
      <c r="D34" s="6">
        <v>200</v>
      </c>
      <c r="E34" s="6">
        <f>E33+C34-D34</f>
      </c>
    </row>
    <row x14ac:dyDescent="0.25" r="35" customHeight="1" ht="17.25">
      <c r="A35" s="8">
        <v>45800</v>
      </c>
      <c r="B35" s="9" t="s">
        <v>43</v>
      </c>
      <c r="C35" s="6">
        <v>170</v>
      </c>
      <c r="D35" s="4"/>
      <c r="E35" s="6">
        <f>E34+C35-D35</f>
      </c>
    </row>
    <row x14ac:dyDescent="0.25" r="36" customHeight="1" ht="17.25">
      <c r="A36" s="7">
        <v>45805</v>
      </c>
      <c r="B36" s="9" t="s">
        <v>44</v>
      </c>
      <c r="C36" s="6">
        <v>440</v>
      </c>
      <c r="D36" s="4"/>
      <c r="E36" s="6">
        <f>E35+C36-D36</f>
      </c>
    </row>
    <row x14ac:dyDescent="0.25" r="37" customHeight="1" ht="17.25">
      <c r="A37" s="7">
        <v>45807</v>
      </c>
      <c r="B37" s="9" t="s">
        <v>41</v>
      </c>
      <c r="C37" s="4"/>
      <c r="D37" s="6">
        <v>400</v>
      </c>
      <c r="E37" s="6">
        <f>E36+C37-D37</f>
      </c>
    </row>
    <row x14ac:dyDescent="0.25" r="38" customHeight="1" ht="17.25">
      <c r="A38" s="7">
        <v>45807</v>
      </c>
      <c r="B38" s="9" t="s">
        <v>3</v>
      </c>
      <c r="C38" s="6">
        <v>588</v>
      </c>
      <c r="D38" s="4"/>
      <c r="E38" s="6">
        <f>E37+C38-D38</f>
      </c>
    </row>
    <row x14ac:dyDescent="0.25" r="39" customHeight="1" ht="17.25">
      <c r="A39" s="7">
        <v>45810</v>
      </c>
      <c r="B39" s="9" t="s">
        <v>41</v>
      </c>
      <c r="C39" s="4"/>
      <c r="D39" s="6">
        <v>400</v>
      </c>
      <c r="E39" s="6">
        <v>1640</v>
      </c>
    </row>
    <row x14ac:dyDescent="0.25" r="40" customHeight="1" ht="17.25">
      <c r="A40" s="7">
        <v>45812</v>
      </c>
      <c r="B40" s="9" t="s">
        <v>3</v>
      </c>
      <c r="C40" s="6">
        <v>244</v>
      </c>
      <c r="D40" s="4"/>
      <c r="E40" s="6">
        <f>E39+C40-D40</f>
      </c>
    </row>
    <row x14ac:dyDescent="0.25" r="41" customHeight="1" ht="17.25">
      <c r="A41" s="7">
        <v>45813</v>
      </c>
      <c r="B41" s="9" t="s">
        <v>11</v>
      </c>
      <c r="C41" s="6">
        <v>134</v>
      </c>
      <c r="D41" s="4"/>
      <c r="E41" s="6">
        <f>E40+C41-D41</f>
      </c>
    </row>
    <row x14ac:dyDescent="0.25" r="42" customHeight="1" ht="17.25">
      <c r="A42" s="7">
        <v>45815</v>
      </c>
      <c r="B42" s="9" t="s">
        <v>45</v>
      </c>
      <c r="C42" s="6">
        <v>340</v>
      </c>
      <c r="D42" s="4"/>
      <c r="E42" s="6">
        <f>E41+C42-D42</f>
      </c>
    </row>
    <row x14ac:dyDescent="0.25" r="43" customHeight="1" ht="17.25">
      <c r="A43" s="8">
        <v>45817</v>
      </c>
      <c r="B43" s="9" t="s">
        <v>4</v>
      </c>
      <c r="C43" s="4"/>
      <c r="D43" s="6">
        <v>50</v>
      </c>
      <c r="E43" s="6">
        <f>E42+C43-D43</f>
      </c>
    </row>
    <row x14ac:dyDescent="0.25" r="44" customHeight="1" ht="17.25">
      <c r="A44" s="8">
        <v>45817</v>
      </c>
      <c r="B44" s="9" t="s">
        <v>4</v>
      </c>
      <c r="C44" s="4"/>
      <c r="D44" s="6">
        <v>50</v>
      </c>
      <c r="E44" s="6">
        <f>E43+C44-D44</f>
      </c>
    </row>
    <row x14ac:dyDescent="0.25" r="45" customHeight="1" ht="17.25">
      <c r="A45" s="7">
        <v>45819</v>
      </c>
      <c r="B45" s="9" t="s">
        <v>4</v>
      </c>
      <c r="C45" s="4"/>
      <c r="D45" s="6">
        <v>80</v>
      </c>
      <c r="E45" s="6">
        <f>E44+C45-D45</f>
      </c>
    </row>
    <row x14ac:dyDescent="0.25" r="46" customHeight="1" ht="17.25">
      <c r="A46" s="7">
        <v>45824</v>
      </c>
      <c r="B46" s="9" t="s">
        <v>42</v>
      </c>
      <c r="C46" s="4"/>
      <c r="D46" s="6">
        <v>100</v>
      </c>
      <c r="E46" s="6">
        <f>E45+C46-D46</f>
      </c>
    </row>
    <row x14ac:dyDescent="0.25" r="47" customHeight="1" ht="17.25">
      <c r="A47" s="7">
        <v>45826</v>
      </c>
      <c r="B47" s="9" t="s">
        <v>28</v>
      </c>
      <c r="C47" s="4"/>
      <c r="D47" s="6">
        <v>300</v>
      </c>
      <c r="E47" s="6">
        <f>E46+C47-D47</f>
      </c>
    </row>
    <row x14ac:dyDescent="0.25" r="48" customHeight="1" ht="17.25">
      <c r="A48" s="7">
        <v>45829</v>
      </c>
      <c r="B48" s="9" t="s">
        <v>41</v>
      </c>
      <c r="C48" s="4"/>
      <c r="D48" s="6">
        <v>200</v>
      </c>
      <c r="E48" s="6">
        <f>E47+C48-D48</f>
      </c>
    </row>
    <row x14ac:dyDescent="0.25" r="49" customHeight="1" ht="17.25">
      <c r="A49" s="8">
        <v>45832</v>
      </c>
      <c r="B49" s="9" t="s">
        <v>3</v>
      </c>
      <c r="C49" s="6">
        <v>750</v>
      </c>
      <c r="D49" s="4"/>
      <c r="E49" s="6">
        <f>E48+C49-D49</f>
      </c>
    </row>
    <row x14ac:dyDescent="0.25" r="50" customHeight="1" ht="17.25">
      <c r="A50" s="7">
        <v>45836</v>
      </c>
      <c r="B50" s="9" t="s">
        <v>28</v>
      </c>
      <c r="C50" s="4"/>
      <c r="D50" s="6">
        <v>500</v>
      </c>
      <c r="E50" s="6">
        <f>E49+C50-D50</f>
      </c>
    </row>
    <row x14ac:dyDescent="0.25" r="51" customHeight="1" ht="17.25">
      <c r="A51" s="7">
        <v>45836</v>
      </c>
      <c r="B51" s="9" t="s">
        <v>3</v>
      </c>
      <c r="C51" s="6">
        <v>994</v>
      </c>
      <c r="D51" s="4"/>
      <c r="E51" s="6">
        <f>E50+C51-D51</f>
      </c>
    </row>
    <row x14ac:dyDescent="0.25" r="52" customHeight="1" ht="17.25">
      <c r="A52" s="7">
        <v>45838</v>
      </c>
      <c r="B52" s="9" t="s">
        <v>42</v>
      </c>
      <c r="C52" s="6">
        <v>164</v>
      </c>
      <c r="D52" s="4"/>
      <c r="E52" s="6">
        <f>E51+C52-D52</f>
      </c>
    </row>
    <row x14ac:dyDescent="0.25" r="53" customHeight="1" ht="17.25">
      <c r="A53" s="8">
        <v>45843</v>
      </c>
      <c r="B53" s="9" t="s">
        <v>46</v>
      </c>
      <c r="C53" s="4"/>
      <c r="D53" s="6">
        <v>110</v>
      </c>
      <c r="E53" s="6">
        <f>E52+C53-D53</f>
      </c>
    </row>
    <row x14ac:dyDescent="0.25" r="54" customHeight="1" ht="17.25">
      <c r="A54" s="8">
        <v>45846</v>
      </c>
      <c r="B54" s="9" t="s">
        <v>42</v>
      </c>
      <c r="C54" s="6">
        <v>136</v>
      </c>
      <c r="D54" s="4"/>
      <c r="E54" s="6">
        <f>E53+C54-D54</f>
      </c>
    </row>
    <row x14ac:dyDescent="0.25" r="55" customHeight="1" ht="17.25">
      <c r="A55" s="8">
        <v>45848</v>
      </c>
      <c r="B55" s="9" t="s">
        <v>46</v>
      </c>
      <c r="C55" s="4"/>
      <c r="D55" s="6">
        <v>110</v>
      </c>
      <c r="E55" s="6">
        <f>E54+C55-D55</f>
      </c>
    </row>
    <row x14ac:dyDescent="0.25" r="56" customHeight="1" ht="17.25">
      <c r="A56" s="8">
        <v>45853</v>
      </c>
      <c r="B56" s="9" t="s">
        <v>46</v>
      </c>
      <c r="C56" s="4"/>
      <c r="D56" s="6">
        <v>150</v>
      </c>
      <c r="E56" s="6">
        <f>E55+C56-D56</f>
      </c>
    </row>
    <row x14ac:dyDescent="0.25" r="57" customHeight="1" ht="17.25">
      <c r="A57" s="7">
        <v>45855</v>
      </c>
      <c r="B57" s="9" t="s">
        <v>46</v>
      </c>
      <c r="C57" s="4"/>
      <c r="D57" s="6">
        <v>150</v>
      </c>
      <c r="E57" s="6">
        <f>E56+C57-D57</f>
      </c>
    </row>
    <row x14ac:dyDescent="0.25" r="58" customHeight="1" ht="17.25">
      <c r="A58" s="7">
        <v>45856</v>
      </c>
      <c r="B58" s="9" t="s">
        <v>25</v>
      </c>
      <c r="C58" s="4"/>
      <c r="D58" s="6">
        <v>1872</v>
      </c>
      <c r="E58" s="6">
        <f>E57+C58-D58</f>
      </c>
    </row>
    <row x14ac:dyDescent="0.25" r="59" customHeight="1" ht="17.25">
      <c r="A59" s="7">
        <v>45860</v>
      </c>
      <c r="B59" s="9" t="s">
        <v>47</v>
      </c>
      <c r="C59" s="4"/>
      <c r="D59" s="6">
        <v>300</v>
      </c>
      <c r="E59" s="6">
        <f>E58+C59-D59</f>
      </c>
    </row>
    <row x14ac:dyDescent="0.25" r="60" customHeight="1" ht="17.25">
      <c r="A60" s="8">
        <v>45860</v>
      </c>
      <c r="B60" s="9" t="s">
        <v>4</v>
      </c>
      <c r="C60" s="6">
        <v>178</v>
      </c>
      <c r="D60" s="4"/>
      <c r="E60" s="6">
        <f>E59+C60-D60</f>
      </c>
    </row>
    <row x14ac:dyDescent="0.25" r="61" customHeight="1" ht="17.25">
      <c r="A61" s="8">
        <v>45866</v>
      </c>
      <c r="B61" s="9" t="s">
        <v>48</v>
      </c>
      <c r="C61" s="4"/>
      <c r="D61" s="6">
        <v>100</v>
      </c>
      <c r="E61" s="6">
        <f>E60+C61-D61</f>
      </c>
    </row>
    <row x14ac:dyDescent="0.25" r="62" customHeight="1" ht="17.25">
      <c r="A62" s="7">
        <v>45873</v>
      </c>
      <c r="B62" s="9" t="s">
        <v>47</v>
      </c>
      <c r="C62" s="4"/>
      <c r="D62" s="6">
        <v>200</v>
      </c>
      <c r="E62" s="6">
        <f>E61+C62-D62</f>
      </c>
    </row>
    <row x14ac:dyDescent="0.25" r="63" customHeight="1" ht="17.25">
      <c r="A63" s="7">
        <v>45876</v>
      </c>
      <c r="B63" s="9" t="s">
        <v>3</v>
      </c>
      <c r="C63" s="4"/>
      <c r="D63" s="6">
        <v>53</v>
      </c>
      <c r="E63" s="6">
        <f>E62+C63-D63</f>
      </c>
    </row>
    <row x14ac:dyDescent="0.25" r="64" customHeight="1" ht="17.25">
      <c r="A64" s="7">
        <v>45881</v>
      </c>
      <c r="B64" s="9" t="s">
        <v>41</v>
      </c>
      <c r="C64" s="6">
        <v>94</v>
      </c>
      <c r="D64" s="4"/>
      <c r="E64" s="6">
        <f>E63+C64-D64</f>
      </c>
    </row>
    <row x14ac:dyDescent="0.25" r="65" customHeight="1" ht="17.25">
      <c r="A65" s="7">
        <v>45883</v>
      </c>
      <c r="B65" s="9" t="s">
        <v>48</v>
      </c>
      <c r="C65" s="4"/>
      <c r="D65" s="6">
        <v>170</v>
      </c>
      <c r="E65" s="6">
        <f>E64+C65-D65</f>
      </c>
    </row>
    <row x14ac:dyDescent="0.25" r="66" customHeight="1" ht="17.25">
      <c r="A66" s="7">
        <v>45884</v>
      </c>
      <c r="B66" s="9" t="s">
        <v>48</v>
      </c>
      <c r="C66" s="4"/>
      <c r="D66" s="6">
        <v>130</v>
      </c>
      <c r="E66" s="6">
        <f>E65+C66-D66</f>
      </c>
    </row>
    <row x14ac:dyDescent="0.25" r="67" customHeight="1" ht="17.25">
      <c r="A67" s="7">
        <v>45884</v>
      </c>
      <c r="B67" s="9" t="s">
        <v>33</v>
      </c>
      <c r="C67" s="6">
        <v>1000</v>
      </c>
      <c r="D67" s="4"/>
      <c r="E67" s="6">
        <f>E66+C67-D67</f>
      </c>
    </row>
    <row x14ac:dyDescent="0.25" r="68" customHeight="1" ht="17.25">
      <c r="A68" s="8">
        <v>45885</v>
      </c>
      <c r="B68" s="9" t="s">
        <v>28</v>
      </c>
      <c r="C68" s="6">
        <v>231</v>
      </c>
      <c r="D68" s="4"/>
      <c r="E68" s="6">
        <f>E67+C68-D68</f>
      </c>
    </row>
    <row x14ac:dyDescent="0.25" r="69" customHeight="1" ht="17.25">
      <c r="A69" s="7">
        <v>45887</v>
      </c>
      <c r="B69" s="9" t="s">
        <v>26</v>
      </c>
      <c r="C69" s="4"/>
      <c r="D69" s="6">
        <v>800</v>
      </c>
      <c r="E69" s="6">
        <f>E68+C69-D69</f>
      </c>
    </row>
    <row x14ac:dyDescent="0.25" r="70" customHeight="1" ht="17.25">
      <c r="A70" s="7">
        <v>45889</v>
      </c>
      <c r="B70" s="9" t="s">
        <v>26</v>
      </c>
      <c r="C70" s="4"/>
      <c r="D70" s="6">
        <v>200</v>
      </c>
      <c r="E70" s="6">
        <f>E69+C70-D70</f>
      </c>
    </row>
    <row x14ac:dyDescent="0.25" r="71" customHeight="1" ht="17.25">
      <c r="A71" s="7">
        <v>45889</v>
      </c>
      <c r="B71" s="9" t="s">
        <v>33</v>
      </c>
      <c r="C71" s="6">
        <v>1000</v>
      </c>
      <c r="D71" s="4"/>
      <c r="E71" s="6">
        <f>E70+C71-D71</f>
      </c>
    </row>
    <row x14ac:dyDescent="0.25" r="72" customHeight="1" ht="17.25">
      <c r="A72" s="8">
        <v>45891</v>
      </c>
      <c r="B72" s="9" t="s">
        <v>28</v>
      </c>
      <c r="C72" s="6">
        <v>18</v>
      </c>
      <c r="D72" s="4"/>
      <c r="E72" s="6">
        <f>E71+C72-D72</f>
      </c>
    </row>
    <row x14ac:dyDescent="0.25" r="73" customHeight="1" ht="17.25">
      <c r="A73" s="7">
        <v>45892</v>
      </c>
      <c r="B73" s="9" t="s">
        <v>3</v>
      </c>
      <c r="C73" s="4"/>
      <c r="D73" s="6">
        <v>200</v>
      </c>
      <c r="E73" s="6">
        <f>E72+C73-D73</f>
      </c>
    </row>
    <row x14ac:dyDescent="0.25" r="74" customHeight="1" ht="17.25">
      <c r="A74" s="8">
        <v>45897</v>
      </c>
      <c r="B74" s="9" t="s">
        <v>47</v>
      </c>
      <c r="C74" s="6">
        <v>250</v>
      </c>
      <c r="D74" s="4"/>
      <c r="E74" s="6">
        <f>E73+C74-D74</f>
      </c>
    </row>
    <row x14ac:dyDescent="0.25" r="75" customHeight="1" ht="17.25">
      <c r="A75" s="8">
        <v>45897</v>
      </c>
      <c r="B75" s="9" t="s">
        <v>28</v>
      </c>
      <c r="C75" s="6">
        <v>152</v>
      </c>
      <c r="D75" s="4"/>
      <c r="E75" s="6">
        <f>E74+C75-D75</f>
      </c>
    </row>
    <row x14ac:dyDescent="0.25" r="76" customHeight="1" ht="17.25">
      <c r="A76" s="8">
        <v>45899</v>
      </c>
      <c r="B76" s="9" t="s">
        <v>28</v>
      </c>
      <c r="C76" s="6">
        <v>71</v>
      </c>
      <c r="D76" s="4"/>
      <c r="E76" s="6">
        <f>E75+C76-D76</f>
      </c>
    </row>
    <row x14ac:dyDescent="0.25" r="77" customHeight="1" ht="17.25">
      <c r="A77" s="7">
        <v>45902</v>
      </c>
      <c r="B77" s="9" t="s">
        <v>47</v>
      </c>
      <c r="C77" s="6">
        <v>100</v>
      </c>
      <c r="D77" s="4"/>
      <c r="E77" s="6">
        <f>E76+C77-D77</f>
      </c>
    </row>
    <row x14ac:dyDescent="0.25" r="78" customHeight="1" ht="17.25">
      <c r="A78" s="7">
        <v>45906</v>
      </c>
      <c r="B78" s="9" t="s">
        <v>28</v>
      </c>
      <c r="C78" s="6">
        <v>61</v>
      </c>
      <c r="D78" s="4"/>
      <c r="E78" s="6">
        <f>E77+C78-D78</f>
      </c>
    </row>
    <row x14ac:dyDescent="0.25" r="79" customHeight="1" ht="17.25">
      <c r="A79" s="7">
        <v>45911</v>
      </c>
      <c r="B79" s="9" t="s">
        <v>28</v>
      </c>
      <c r="C79" s="6">
        <v>196</v>
      </c>
      <c r="D79" s="4"/>
      <c r="E79" s="6">
        <f>E78+C79-D79</f>
      </c>
    </row>
    <row x14ac:dyDescent="0.25" r="80" customHeight="1" ht="17.25">
      <c r="A80" s="7">
        <v>45918</v>
      </c>
      <c r="B80" s="9" t="s">
        <v>47</v>
      </c>
      <c r="C80" s="6">
        <v>132</v>
      </c>
      <c r="D80" s="4"/>
      <c r="E80" s="6">
        <f>E79+C80-D80</f>
      </c>
    </row>
    <row x14ac:dyDescent="0.25" r="81" customHeight="1" ht="17.25">
      <c r="A81" s="7">
        <v>45919</v>
      </c>
      <c r="B81" s="9" t="s">
        <v>46</v>
      </c>
      <c r="C81" s="6">
        <v>376</v>
      </c>
      <c r="D81" s="4"/>
      <c r="E81" s="6">
        <f>E80+C81-D81</f>
      </c>
    </row>
    <row x14ac:dyDescent="0.25" r="82" customHeight="1" ht="17.25">
      <c r="A82" s="8">
        <v>45924</v>
      </c>
      <c r="B82" s="9" t="s">
        <v>42</v>
      </c>
      <c r="C82" s="6">
        <v>32</v>
      </c>
      <c r="D82" s="4"/>
      <c r="E82" s="6">
        <f>E81+C82-D82</f>
      </c>
    </row>
    <row x14ac:dyDescent="0.25" r="83" customHeight="1" ht="17.25">
      <c r="A83" s="7">
        <v>45931</v>
      </c>
      <c r="B83" s="9" t="s">
        <v>2</v>
      </c>
      <c r="C83" s="4"/>
      <c r="D83" s="6">
        <v>78</v>
      </c>
      <c r="E83" s="6">
        <f>E82+C83-D83</f>
      </c>
    </row>
    <row x14ac:dyDescent="0.25" r="84" customHeight="1" ht="17.25">
      <c r="A84" s="8">
        <v>45931</v>
      </c>
      <c r="B84" s="9" t="s">
        <v>44</v>
      </c>
      <c r="C84" s="6">
        <v>84</v>
      </c>
      <c r="D84" s="4"/>
      <c r="E84" s="6">
        <f>E83+C84-D84</f>
      </c>
    </row>
    <row x14ac:dyDescent="0.25" r="85" customHeight="1" ht="17.25">
      <c r="A85" s="7">
        <v>45932</v>
      </c>
      <c r="B85" s="9" t="s">
        <v>3</v>
      </c>
      <c r="C85" s="6">
        <v>147</v>
      </c>
      <c r="D85" s="4"/>
      <c r="E85" s="6">
        <f>E84+C85-D85</f>
      </c>
    </row>
    <row x14ac:dyDescent="0.25" r="86" customHeight="1" ht="17.25">
      <c r="A86" s="8">
        <v>45941</v>
      </c>
      <c r="B86" s="9" t="s">
        <v>26</v>
      </c>
      <c r="C86" s="6">
        <v>200</v>
      </c>
      <c r="D86" s="4"/>
      <c r="E86" s="6">
        <f>E85+C86-D86</f>
      </c>
    </row>
    <row x14ac:dyDescent="0.25" r="87" customHeight="1" ht="17.25">
      <c r="A87" s="7">
        <v>45943</v>
      </c>
      <c r="B87" s="9" t="s">
        <v>29</v>
      </c>
      <c r="C87" s="4"/>
      <c r="D87" s="6">
        <v>440</v>
      </c>
      <c r="E87" s="6">
        <f>E86+C87-D87</f>
      </c>
    </row>
    <row x14ac:dyDescent="0.25" r="88" customHeight="1" ht="17.25">
      <c r="A88" s="7">
        <v>45945</v>
      </c>
      <c r="B88" s="9" t="s">
        <v>26</v>
      </c>
      <c r="C88" s="6">
        <v>356</v>
      </c>
      <c r="D88" s="4"/>
      <c r="E88" s="6">
        <f>E87+C88-D88</f>
      </c>
    </row>
    <row x14ac:dyDescent="0.25" r="89" customHeight="1" ht="17.25">
      <c r="A89" s="7">
        <v>45946</v>
      </c>
      <c r="B89" s="9" t="s">
        <v>45</v>
      </c>
      <c r="C89" s="6">
        <v>200</v>
      </c>
      <c r="D89" s="4"/>
      <c r="E89" s="6">
        <f>E88+C89-D89</f>
      </c>
    </row>
    <row x14ac:dyDescent="0.25" r="90" customHeight="1" ht="17.25">
      <c r="A90" s="7">
        <v>45947</v>
      </c>
      <c r="B90" s="9" t="s">
        <v>49</v>
      </c>
      <c r="C90" s="4"/>
      <c r="D90" s="6">
        <v>340</v>
      </c>
      <c r="E90" s="6">
        <f>E89+C90-D90</f>
      </c>
    </row>
    <row x14ac:dyDescent="0.25" r="91" customHeight="1" ht="17.25">
      <c r="A91" s="8">
        <v>45955</v>
      </c>
      <c r="B91" s="9" t="s">
        <v>26</v>
      </c>
      <c r="C91" s="6">
        <v>300</v>
      </c>
      <c r="D91" s="4"/>
      <c r="E91" s="6">
        <f>E90+C91-D91</f>
      </c>
    </row>
    <row x14ac:dyDescent="0.25" r="92" customHeight="1" ht="17.25">
      <c r="A92" s="7">
        <v>45957</v>
      </c>
      <c r="B92" s="9" t="s">
        <v>33</v>
      </c>
      <c r="C92" s="6">
        <v>40</v>
      </c>
      <c r="D92" s="4"/>
      <c r="E92" s="6">
        <f>E91+C92-D92</f>
      </c>
    </row>
    <row x14ac:dyDescent="0.25" r="93" customHeight="1" ht="17.25">
      <c r="A93" s="7">
        <v>45958</v>
      </c>
      <c r="B93" s="9" t="s">
        <v>50</v>
      </c>
      <c r="C93" s="4"/>
      <c r="D93" s="6">
        <v>300</v>
      </c>
      <c r="E93" s="6">
        <f>E92+C93-D93</f>
      </c>
    </row>
    <row x14ac:dyDescent="0.25" r="94" customHeight="1" ht="17.25">
      <c r="A94" s="8">
        <v>45958</v>
      </c>
      <c r="B94" s="9" t="s">
        <v>26</v>
      </c>
      <c r="C94" s="6">
        <v>347</v>
      </c>
      <c r="D94" s="4"/>
      <c r="E94" s="6">
        <f>E93+C94-D94</f>
      </c>
    </row>
    <row x14ac:dyDescent="0.25" r="95" customHeight="1" ht="17.25">
      <c r="A95" s="7">
        <v>45960</v>
      </c>
      <c r="B95" s="9" t="s">
        <v>3</v>
      </c>
      <c r="C95" s="6">
        <v>7</v>
      </c>
      <c r="D95" s="4"/>
      <c r="E95" s="6">
        <f>E94+C95-D95</f>
      </c>
    </row>
    <row x14ac:dyDescent="0.25" r="96" customHeight="1" ht="17.25">
      <c r="A96" s="7">
        <v>45962</v>
      </c>
      <c r="B96" s="9" t="s">
        <v>51</v>
      </c>
      <c r="C96" s="4"/>
      <c r="D96" s="6">
        <v>800</v>
      </c>
      <c r="E96" s="6">
        <f>E95+C96-D96</f>
      </c>
    </row>
    <row x14ac:dyDescent="0.25" r="97" customHeight="1" ht="17.25">
      <c r="A97" s="8">
        <v>45962</v>
      </c>
      <c r="B97" s="9" t="s">
        <v>26</v>
      </c>
      <c r="C97" s="6">
        <v>1564</v>
      </c>
      <c r="D97" s="4"/>
      <c r="E97" s="6">
        <f>E96+C97-D97</f>
      </c>
    </row>
    <row x14ac:dyDescent="0.25" r="98" customHeight="1" ht="17.25">
      <c r="A98" s="8">
        <v>45964</v>
      </c>
      <c r="B98" s="9" t="s">
        <v>51</v>
      </c>
      <c r="C98" s="4"/>
      <c r="D98" s="6">
        <v>400</v>
      </c>
      <c r="E98" s="6">
        <f>E97+C98-D98</f>
      </c>
    </row>
    <row x14ac:dyDescent="0.25" r="99" customHeight="1" ht="17.25">
      <c r="A99" s="7">
        <v>45968</v>
      </c>
      <c r="B99" s="9" t="s">
        <v>52</v>
      </c>
      <c r="C99" s="6">
        <v>120</v>
      </c>
      <c r="D99" s="4"/>
      <c r="E99" s="6">
        <f>E98+C99-D99</f>
      </c>
    </row>
    <row x14ac:dyDescent="0.25" r="100" customHeight="1" ht="17.25">
      <c r="A100" s="7">
        <v>45972</v>
      </c>
      <c r="B100" s="9" t="s">
        <v>44</v>
      </c>
      <c r="C100" s="4"/>
      <c r="D100" s="6">
        <v>4</v>
      </c>
      <c r="E100" s="6">
        <f>E99+C100-D100</f>
      </c>
    </row>
    <row x14ac:dyDescent="0.25" r="101" customHeight="1" ht="17.25">
      <c r="A101" s="7">
        <v>45973</v>
      </c>
      <c r="B101" s="9" t="s">
        <v>23</v>
      </c>
      <c r="C101" s="4"/>
      <c r="D101" s="6">
        <v>150</v>
      </c>
      <c r="E101" s="6">
        <f>E100+C101-D101</f>
      </c>
    </row>
    <row x14ac:dyDescent="0.25" r="102" customHeight="1" ht="17.25">
      <c r="A102" s="7">
        <v>45975</v>
      </c>
      <c r="B102" s="9" t="s">
        <v>41</v>
      </c>
      <c r="C102" s="6">
        <v>472</v>
      </c>
      <c r="D102" s="4"/>
      <c r="E102" s="6">
        <f>E101+C102-D102</f>
      </c>
    </row>
    <row x14ac:dyDescent="0.25" r="103" customHeight="1" ht="17.25">
      <c r="A103" s="8">
        <v>45988</v>
      </c>
      <c r="B103" s="9" t="s">
        <v>41</v>
      </c>
      <c r="C103" s="6">
        <v>94</v>
      </c>
      <c r="D103" s="4"/>
      <c r="E103" s="6">
        <f>E102+C103-D103</f>
      </c>
    </row>
    <row x14ac:dyDescent="0.25" r="104" customHeight="1" ht="17.25">
      <c r="A104" s="7">
        <v>45990</v>
      </c>
      <c r="B104" s="9" t="s">
        <v>53</v>
      </c>
      <c r="C104" s="4"/>
      <c r="D104" s="6">
        <v>800</v>
      </c>
      <c r="E104" s="6">
        <f>E103+C104-D104</f>
      </c>
    </row>
    <row x14ac:dyDescent="0.25" r="105" customHeight="1" ht="17.25">
      <c r="A105" s="8">
        <v>45992</v>
      </c>
      <c r="B105" s="9" t="s">
        <v>54</v>
      </c>
      <c r="C105" s="4"/>
      <c r="D105" s="6">
        <v>246</v>
      </c>
      <c r="E105" s="6">
        <f>E104+C105-D105</f>
      </c>
    </row>
    <row x14ac:dyDescent="0.25" r="106" customHeight="1" ht="17.25">
      <c r="A106" s="7">
        <v>45992</v>
      </c>
      <c r="B106" s="9" t="s">
        <v>28</v>
      </c>
      <c r="C106" s="6">
        <v>2</v>
      </c>
      <c r="D106" s="4"/>
      <c r="E106" s="6">
        <f>E105+C106-D106</f>
      </c>
    </row>
    <row x14ac:dyDescent="0.25" r="107" customHeight="1" ht="17.25">
      <c r="A107" s="8">
        <v>45994</v>
      </c>
      <c r="B107" s="9" t="s">
        <v>23</v>
      </c>
      <c r="C107" s="6">
        <v>150</v>
      </c>
      <c r="D107" s="4"/>
      <c r="E107" s="6">
        <f>E106+C107-D107</f>
      </c>
    </row>
    <row x14ac:dyDescent="0.25" r="108" customHeight="1" ht="17.25">
      <c r="A108" s="8">
        <v>45996</v>
      </c>
      <c r="B108" s="9" t="s">
        <v>55</v>
      </c>
      <c r="C108" s="4"/>
      <c r="D108" s="6">
        <v>86</v>
      </c>
      <c r="E108" s="6">
        <f>E107+C108-D108</f>
      </c>
    </row>
    <row x14ac:dyDescent="0.25" r="109" customHeight="1" ht="17.25">
      <c r="A109" s="8">
        <v>45999</v>
      </c>
      <c r="B109" s="9" t="s">
        <v>41</v>
      </c>
      <c r="C109" s="6">
        <v>350</v>
      </c>
      <c r="D109" s="4"/>
      <c r="E109" s="6">
        <f>E108+C109-D109</f>
      </c>
    </row>
    <row x14ac:dyDescent="0.25" r="110" customHeight="1" ht="17.25">
      <c r="A110" s="8">
        <v>46000</v>
      </c>
      <c r="B110" s="9" t="s">
        <v>53</v>
      </c>
      <c r="C110" s="4"/>
      <c r="D110" s="6">
        <v>200</v>
      </c>
      <c r="E110" s="6">
        <f>E109+C110-D110</f>
      </c>
    </row>
    <row x14ac:dyDescent="0.25" r="111" customHeight="1" ht="17.25">
      <c r="A111" s="7">
        <v>46002</v>
      </c>
      <c r="B111" s="9" t="s">
        <v>56</v>
      </c>
      <c r="C111" s="4"/>
      <c r="D111" s="6">
        <v>400</v>
      </c>
      <c r="E111" s="6">
        <f>E110+C111-D111</f>
      </c>
    </row>
    <row x14ac:dyDescent="0.25" r="112" customHeight="1" ht="17.25">
      <c r="A112" s="8">
        <v>46002</v>
      </c>
      <c r="B112" s="9" t="s">
        <v>4</v>
      </c>
      <c r="C112" s="6">
        <v>2</v>
      </c>
      <c r="D112" s="4"/>
      <c r="E112" s="6">
        <f>E111+C112-D112</f>
      </c>
    </row>
    <row x14ac:dyDescent="0.25" r="113" customHeight="1" ht="17.25">
      <c r="A113" s="7">
        <v>46003</v>
      </c>
      <c r="B113" s="9" t="s">
        <v>42</v>
      </c>
      <c r="C113" s="4"/>
      <c r="D113" s="6">
        <v>500</v>
      </c>
      <c r="E113" s="6">
        <f>E112+C113-D113</f>
      </c>
    </row>
    <row x14ac:dyDescent="0.25" r="114" customHeight="1" ht="17.25">
      <c r="A114" s="7">
        <v>46007</v>
      </c>
      <c r="B114" s="9" t="s">
        <v>46</v>
      </c>
      <c r="C114" s="4"/>
      <c r="D114" s="6">
        <v>400</v>
      </c>
      <c r="E114" s="6">
        <f>E113+C114-D114</f>
      </c>
    </row>
    <row x14ac:dyDescent="0.25" r="115" customHeight="1" ht="17.25">
      <c r="A115" s="7">
        <v>46007</v>
      </c>
      <c r="B115" s="9" t="s">
        <v>26</v>
      </c>
      <c r="C115" s="6">
        <v>466</v>
      </c>
      <c r="D115" s="4"/>
      <c r="E115" s="6">
        <f>E114+C115-D115</f>
      </c>
    </row>
    <row x14ac:dyDescent="0.25" r="116" customHeight="1" ht="17.25">
      <c r="A116" s="1"/>
      <c r="B116" s="2"/>
      <c r="C116" s="4"/>
      <c r="D116" s="4"/>
      <c r="E116" s="6">
        <f>E115+C116-D116</f>
      </c>
    </row>
    <row x14ac:dyDescent="0.25" r="117" customHeight="1" ht="17.25">
      <c r="A117" s="1"/>
      <c r="B117" s="2"/>
      <c r="C117" s="4"/>
      <c r="D117" s="4"/>
      <c r="E117" s="6">
        <f>E116+C117-D117</f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8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7192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27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1</v>
      </c>
      <c r="C3" s="3"/>
      <c r="D3" s="4"/>
      <c r="E3" s="14">
        <v>82</v>
      </c>
    </row>
    <row x14ac:dyDescent="0.25" r="4" customHeight="1" ht="17.25">
      <c r="A4" s="7">
        <v>45667</v>
      </c>
      <c r="B4" s="2" t="s">
        <v>2</v>
      </c>
      <c r="C4" s="3"/>
      <c r="D4" s="6">
        <v>32</v>
      </c>
      <c r="E4" s="6">
        <f>E3+C4-D4</f>
      </c>
    </row>
    <row x14ac:dyDescent="0.25" r="5" customHeight="1" ht="17.25">
      <c r="A5" s="7">
        <v>45667</v>
      </c>
      <c r="B5" s="2" t="s">
        <v>2</v>
      </c>
      <c r="C5" s="3"/>
      <c r="D5" s="6">
        <v>34</v>
      </c>
      <c r="E5" s="6">
        <f>E4+C5-D5</f>
      </c>
    </row>
    <row x14ac:dyDescent="0.25" r="6" customHeight="1" ht="17.25">
      <c r="A6" s="8">
        <v>45705</v>
      </c>
      <c r="B6" s="9" t="s">
        <v>3</v>
      </c>
      <c r="C6" s="3"/>
      <c r="D6" s="6">
        <v>5</v>
      </c>
      <c r="E6" s="6">
        <f>E5+C6-D6</f>
      </c>
    </row>
    <row x14ac:dyDescent="0.25" r="7" customHeight="1" ht="17.25">
      <c r="A7" s="7">
        <v>45709</v>
      </c>
      <c r="B7" s="2" t="s">
        <v>2</v>
      </c>
      <c r="C7" s="6">
        <v>17</v>
      </c>
      <c r="D7" s="4"/>
      <c r="E7" s="6">
        <f>E6+C7-D7</f>
      </c>
    </row>
    <row x14ac:dyDescent="0.25" r="8" customHeight="1" ht="17.25">
      <c r="A8" s="7">
        <v>45710</v>
      </c>
      <c r="B8" s="2" t="s">
        <v>3</v>
      </c>
      <c r="C8" s="3"/>
      <c r="D8" s="6">
        <v>11</v>
      </c>
      <c r="E8" s="6">
        <f>E7+C8-D8</f>
      </c>
    </row>
    <row x14ac:dyDescent="0.25" r="9" customHeight="1" ht="17.25">
      <c r="A9" s="7">
        <v>45712</v>
      </c>
      <c r="B9" s="2" t="s">
        <v>3</v>
      </c>
      <c r="C9" s="3"/>
      <c r="D9" s="6">
        <v>5</v>
      </c>
      <c r="E9" s="6">
        <f>E8+C9-D9</f>
      </c>
    </row>
    <row x14ac:dyDescent="0.25" r="10" customHeight="1" ht="17.25">
      <c r="A10" s="7">
        <v>45714</v>
      </c>
      <c r="B10" s="2" t="s">
        <v>2</v>
      </c>
      <c r="C10" s="6">
        <v>22</v>
      </c>
      <c r="D10" s="4"/>
      <c r="E10" s="6">
        <f>E9+C10-D10</f>
      </c>
    </row>
    <row x14ac:dyDescent="0.25" r="11" customHeight="1" ht="17.25">
      <c r="A11" s="8">
        <v>45717</v>
      </c>
      <c r="B11" s="9" t="s">
        <v>3</v>
      </c>
      <c r="C11" s="3"/>
      <c r="D11" s="6">
        <v>23</v>
      </c>
      <c r="E11" s="6">
        <f>E10+C11-D11</f>
      </c>
    </row>
    <row x14ac:dyDescent="0.25" r="12" customHeight="1" ht="17.25">
      <c r="A12" s="7">
        <v>45719</v>
      </c>
      <c r="B12" s="2" t="s">
        <v>2</v>
      </c>
      <c r="C12" s="6">
        <v>17</v>
      </c>
      <c r="D12" s="4"/>
      <c r="E12" s="6">
        <f>E11+C12-D12</f>
      </c>
    </row>
    <row x14ac:dyDescent="0.25" r="13" customHeight="1" ht="17.25">
      <c r="A13" s="8">
        <v>45724</v>
      </c>
      <c r="B13" s="9" t="s">
        <v>2</v>
      </c>
      <c r="C13" s="6">
        <v>2</v>
      </c>
      <c r="D13" s="4"/>
      <c r="E13" s="6">
        <f>E12+C13-D13</f>
      </c>
    </row>
    <row x14ac:dyDescent="0.25" r="14" customHeight="1" ht="17.25">
      <c r="A14" s="7">
        <v>45730</v>
      </c>
      <c r="B14" s="2" t="s">
        <v>3</v>
      </c>
      <c r="C14" s="6">
        <v>37</v>
      </c>
      <c r="D14" s="4"/>
      <c r="E14" s="6">
        <f>E13+C14-D14</f>
      </c>
    </row>
    <row x14ac:dyDescent="0.25" r="15" customHeight="1" ht="17.25">
      <c r="A15" s="8">
        <v>45734</v>
      </c>
      <c r="B15" s="9" t="s">
        <v>2</v>
      </c>
      <c r="C15" s="6">
        <v>5</v>
      </c>
      <c r="D15" s="4"/>
      <c r="E15" s="6">
        <f>E14+C15-D15</f>
      </c>
    </row>
    <row x14ac:dyDescent="0.25" r="16" customHeight="1" ht="17.25">
      <c r="A16" s="8">
        <v>45734</v>
      </c>
      <c r="B16" s="9" t="s">
        <v>2</v>
      </c>
      <c r="C16" s="6">
        <v>5</v>
      </c>
      <c r="D16" s="4"/>
      <c r="E16" s="6">
        <f>E15+C16-D16</f>
      </c>
    </row>
    <row x14ac:dyDescent="0.25" r="17" customHeight="1" ht="17.25">
      <c r="A17" s="7">
        <v>45737</v>
      </c>
      <c r="B17" s="9" t="s">
        <v>3</v>
      </c>
      <c r="C17" s="6">
        <v>5</v>
      </c>
      <c r="D17" s="4"/>
      <c r="E17" s="6">
        <f>E16+C17-D17</f>
      </c>
    </row>
    <row x14ac:dyDescent="0.25" r="18" customHeight="1" ht="17.25">
      <c r="A18" s="7">
        <v>45764</v>
      </c>
      <c r="B18" s="9" t="s">
        <v>4</v>
      </c>
      <c r="C18" s="3"/>
      <c r="D18" s="6">
        <v>1</v>
      </c>
      <c r="E18" s="6">
        <f>E17+C18-D18</f>
      </c>
    </row>
    <row x14ac:dyDescent="0.25" r="19" customHeight="1" ht="17.25">
      <c r="A19" s="7">
        <v>45765</v>
      </c>
      <c r="B19" s="9" t="s">
        <v>4</v>
      </c>
      <c r="C19" s="3"/>
      <c r="D19" s="6">
        <v>11</v>
      </c>
      <c r="E19" s="6">
        <f>E18+C19-D19</f>
      </c>
    </row>
    <row x14ac:dyDescent="0.25" r="20" customHeight="1" ht="17.25">
      <c r="A20" s="7">
        <v>45792</v>
      </c>
      <c r="B20" s="9" t="s">
        <v>28</v>
      </c>
      <c r="C20" s="3"/>
      <c r="D20" s="6">
        <v>20</v>
      </c>
      <c r="E20" s="6">
        <f>E19+C20-D20</f>
      </c>
    </row>
    <row x14ac:dyDescent="0.25" r="21" customHeight="1" ht="17.25">
      <c r="A21" s="7">
        <v>45840</v>
      </c>
      <c r="B21" s="9" t="s">
        <v>4</v>
      </c>
      <c r="C21" s="6">
        <v>12</v>
      </c>
      <c r="D21" s="4"/>
      <c r="E21" s="6">
        <f>E20+C21-D21</f>
      </c>
    </row>
    <row x14ac:dyDescent="0.25" r="22" customHeight="1" ht="17.25">
      <c r="A22" s="7">
        <v>45883</v>
      </c>
      <c r="B22" s="9" t="s">
        <v>28</v>
      </c>
      <c r="C22" s="6">
        <v>20</v>
      </c>
      <c r="D22" s="4"/>
      <c r="E22" s="4"/>
    </row>
    <row x14ac:dyDescent="0.25" r="23" customHeight="1" ht="17.25">
      <c r="A23" s="8">
        <v>45947</v>
      </c>
      <c r="B23" s="9" t="s">
        <v>3</v>
      </c>
      <c r="C23" s="6">
        <v>1</v>
      </c>
      <c r="D23" s="4"/>
      <c r="E23" s="4"/>
    </row>
    <row x14ac:dyDescent="0.25" r="24" customHeight="1" ht="17.25">
      <c r="A24" s="7">
        <v>45967</v>
      </c>
      <c r="B24" s="9" t="s">
        <v>23</v>
      </c>
      <c r="C24" s="3"/>
      <c r="D24" s="6">
        <v>30</v>
      </c>
      <c r="E24" s="4"/>
    </row>
    <row x14ac:dyDescent="0.25" r="25" customHeight="1" ht="17.25">
      <c r="A25" s="7">
        <v>45973</v>
      </c>
      <c r="B25" s="9" t="s">
        <v>23</v>
      </c>
      <c r="C25" s="6">
        <v>14</v>
      </c>
      <c r="D25" s="4"/>
      <c r="E25" s="4"/>
    </row>
    <row x14ac:dyDescent="0.25" r="26" customHeight="1" ht="17.25">
      <c r="A26" s="7">
        <v>45973</v>
      </c>
      <c r="B26" s="9" t="s">
        <v>23</v>
      </c>
      <c r="C26" s="3"/>
      <c r="D26" s="6">
        <v>4</v>
      </c>
      <c r="E26" s="4"/>
    </row>
    <row x14ac:dyDescent="0.25" r="27" customHeight="1" ht="17.25">
      <c r="A27" s="8">
        <v>45974</v>
      </c>
      <c r="B27" s="9" t="s">
        <v>29</v>
      </c>
      <c r="C27" s="6">
        <v>53</v>
      </c>
      <c r="D27" s="4"/>
      <c r="E27" s="4"/>
    </row>
    <row x14ac:dyDescent="0.25" r="28" customHeight="1" ht="17.25">
      <c r="A28" s="7">
        <v>45994</v>
      </c>
      <c r="B28" s="9" t="s">
        <v>23</v>
      </c>
      <c r="C28" s="6">
        <v>30</v>
      </c>
      <c r="D28" s="4"/>
      <c r="E28" s="4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5.862142857142857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24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1</v>
      </c>
      <c r="C3" s="3"/>
      <c r="D3" s="4"/>
      <c r="E3" s="14">
        <v>115</v>
      </c>
    </row>
    <row x14ac:dyDescent="0.25" r="4" customHeight="1" ht="17.25">
      <c r="A4" s="7">
        <v>45667</v>
      </c>
      <c r="B4" s="2" t="s">
        <v>2</v>
      </c>
      <c r="C4" s="3"/>
      <c r="D4" s="6">
        <v>34</v>
      </c>
      <c r="E4" s="6">
        <f>E3+C4-D4</f>
      </c>
    </row>
    <row x14ac:dyDescent="0.25" r="5" customHeight="1" ht="17.25">
      <c r="A5" s="7">
        <v>45667</v>
      </c>
      <c r="B5" s="2" t="s">
        <v>2</v>
      </c>
      <c r="C5" s="3"/>
      <c r="D5" s="6">
        <v>15</v>
      </c>
      <c r="E5" s="6">
        <f>E4+C5-D5</f>
      </c>
    </row>
    <row x14ac:dyDescent="0.25" r="6" customHeight="1" ht="17.25">
      <c r="A6" s="7">
        <v>45702</v>
      </c>
      <c r="B6" s="2" t="s">
        <v>3</v>
      </c>
      <c r="C6" s="3"/>
      <c r="D6" s="6">
        <v>61</v>
      </c>
      <c r="E6" s="4"/>
    </row>
    <row x14ac:dyDescent="0.25" r="7" customHeight="1" ht="17.25">
      <c r="A7" s="8">
        <v>45705</v>
      </c>
      <c r="B7" s="9" t="s">
        <v>3</v>
      </c>
      <c r="C7" s="3"/>
      <c r="D7" s="6">
        <v>5</v>
      </c>
      <c r="E7" s="6">
        <v>0</v>
      </c>
    </row>
    <row x14ac:dyDescent="0.25" r="8" customHeight="1" ht="17.25">
      <c r="A8" s="8">
        <v>45709</v>
      </c>
      <c r="B8" s="9" t="s">
        <v>2</v>
      </c>
      <c r="C8" s="6">
        <v>29</v>
      </c>
      <c r="D8" s="4"/>
      <c r="E8" s="6">
        <f>E7+C8-D8</f>
      </c>
    </row>
    <row x14ac:dyDescent="0.25" r="9" customHeight="1" ht="17.25">
      <c r="A9" s="7">
        <v>45712</v>
      </c>
      <c r="B9" s="2" t="s">
        <v>3</v>
      </c>
      <c r="C9" s="3"/>
      <c r="D9" s="6">
        <v>20</v>
      </c>
      <c r="E9" s="6">
        <f>E8+C9-D9</f>
      </c>
    </row>
    <row x14ac:dyDescent="0.25" r="10" customHeight="1" ht="17.25">
      <c r="A10" s="7">
        <v>45714</v>
      </c>
      <c r="B10" s="2" t="s">
        <v>2</v>
      </c>
      <c r="C10" s="6">
        <v>15</v>
      </c>
      <c r="D10" s="4"/>
      <c r="E10" s="6">
        <f>E9+C10-D10</f>
      </c>
    </row>
    <row x14ac:dyDescent="0.25" r="11" customHeight="1" ht="17.25">
      <c r="A11" s="8">
        <v>45717</v>
      </c>
      <c r="B11" s="9" t="s">
        <v>3</v>
      </c>
      <c r="C11" s="3"/>
      <c r="D11" s="6">
        <v>37</v>
      </c>
      <c r="E11" s="6">
        <f>E10+C11-D11</f>
      </c>
    </row>
    <row x14ac:dyDescent="0.25" r="12" customHeight="1" ht="17.25">
      <c r="A12" s="7">
        <v>45719</v>
      </c>
      <c r="B12" s="9" t="s">
        <v>2</v>
      </c>
      <c r="C12" s="6">
        <v>5</v>
      </c>
      <c r="D12" s="4"/>
      <c r="E12" s="6">
        <f>E11+C12-D12</f>
      </c>
    </row>
    <row x14ac:dyDescent="0.25" r="13" customHeight="1" ht="17.25">
      <c r="A13" s="8">
        <v>45724</v>
      </c>
      <c r="B13" s="9" t="s">
        <v>2</v>
      </c>
      <c r="C13" s="6">
        <v>3</v>
      </c>
      <c r="D13" s="4"/>
      <c r="E13" s="6">
        <f>E12+C13-D13</f>
      </c>
    </row>
    <row x14ac:dyDescent="0.25" r="14" customHeight="1" ht="17.25">
      <c r="A14" s="7">
        <v>45730</v>
      </c>
      <c r="B14" s="9" t="s">
        <v>3</v>
      </c>
      <c r="C14" s="6">
        <v>52</v>
      </c>
      <c r="D14" s="4"/>
      <c r="E14" s="6">
        <f>E13+C14-D14</f>
      </c>
    </row>
    <row x14ac:dyDescent="0.25" r="15" customHeight="1" ht="17.25">
      <c r="A15" s="7">
        <v>45737</v>
      </c>
      <c r="B15" s="9" t="s">
        <v>3</v>
      </c>
      <c r="C15" s="6">
        <v>69</v>
      </c>
      <c r="D15" s="4"/>
      <c r="E15" s="6">
        <f>E14+C15-D15</f>
      </c>
    </row>
    <row x14ac:dyDescent="0.25" r="16" customHeight="1" ht="17.25">
      <c r="A16" s="7">
        <v>45764</v>
      </c>
      <c r="B16" s="9" t="s">
        <v>4</v>
      </c>
      <c r="C16" s="3"/>
      <c r="D16" s="6">
        <v>1</v>
      </c>
      <c r="E16" s="6">
        <f>E15+C16-D16</f>
      </c>
    </row>
    <row x14ac:dyDescent="0.25" r="17" customHeight="1" ht="17.25">
      <c r="A17" s="7">
        <v>45765</v>
      </c>
      <c r="B17" s="9" t="s">
        <v>4</v>
      </c>
      <c r="C17" s="3"/>
      <c r="D17" s="6">
        <v>11</v>
      </c>
      <c r="E17" s="4"/>
    </row>
    <row x14ac:dyDescent="0.25" r="18" customHeight="1" ht="17.25">
      <c r="A18" s="7">
        <v>45776</v>
      </c>
      <c r="B18" s="9" t="s">
        <v>4</v>
      </c>
      <c r="C18" s="3"/>
      <c r="D18" s="6">
        <v>27</v>
      </c>
      <c r="E18" s="4"/>
    </row>
    <row x14ac:dyDescent="0.25" r="19" customHeight="1" ht="17.25">
      <c r="A19" s="8">
        <v>45840</v>
      </c>
      <c r="B19" s="9" t="s">
        <v>3</v>
      </c>
      <c r="C19" s="6">
        <v>1</v>
      </c>
      <c r="D19" s="4"/>
      <c r="E19" s="4"/>
    </row>
    <row x14ac:dyDescent="0.25" r="20" customHeight="1" ht="17.25">
      <c r="A20" s="7">
        <v>45840</v>
      </c>
      <c r="B20" s="9" t="s">
        <v>4</v>
      </c>
      <c r="C20" s="6">
        <v>12</v>
      </c>
      <c r="D20" s="4"/>
      <c r="E20" s="4"/>
    </row>
    <row x14ac:dyDescent="0.25" r="21" customHeight="1" ht="17.25">
      <c r="A21" s="8">
        <v>45847</v>
      </c>
      <c r="B21" s="9" t="s">
        <v>25</v>
      </c>
      <c r="C21" s="3"/>
      <c r="D21" s="6">
        <v>36</v>
      </c>
      <c r="E21" s="4"/>
    </row>
    <row x14ac:dyDescent="0.25" r="22" customHeight="1" ht="17.25">
      <c r="A22" s="7">
        <v>45892</v>
      </c>
      <c r="B22" s="9" t="s">
        <v>3</v>
      </c>
      <c r="C22" s="3"/>
      <c r="D22" s="6">
        <v>20</v>
      </c>
      <c r="E22" s="4"/>
    </row>
    <row x14ac:dyDescent="0.25" r="23" customHeight="1" ht="17.25">
      <c r="A23" s="7">
        <v>45926</v>
      </c>
      <c r="B23" s="9" t="s">
        <v>2</v>
      </c>
      <c r="C23" s="6">
        <v>1</v>
      </c>
      <c r="D23" s="4"/>
      <c r="E23" s="4"/>
    </row>
    <row x14ac:dyDescent="0.25" r="24" customHeight="1" ht="17.25">
      <c r="A24" s="7">
        <v>45930</v>
      </c>
      <c r="B24" s="9" t="s">
        <v>4</v>
      </c>
      <c r="C24" s="6">
        <v>2</v>
      </c>
      <c r="D24" s="4"/>
      <c r="E24" s="4"/>
    </row>
    <row x14ac:dyDescent="0.25" r="25" customHeight="1" ht="17.25">
      <c r="A25" s="8">
        <v>45947</v>
      </c>
      <c r="B25" s="9" t="s">
        <v>3</v>
      </c>
      <c r="C25" s="6">
        <v>20</v>
      </c>
      <c r="D25" s="4"/>
      <c r="E25" s="4"/>
    </row>
    <row x14ac:dyDescent="0.25" r="26" customHeight="1" ht="17.25">
      <c r="A26" s="8">
        <v>45958</v>
      </c>
      <c r="B26" s="9" t="s">
        <v>26</v>
      </c>
      <c r="C26" s="6">
        <v>4</v>
      </c>
      <c r="D26" s="4"/>
      <c r="E26" s="4"/>
    </row>
    <row x14ac:dyDescent="0.25" r="27" customHeight="1" ht="17.25">
      <c r="A27" s="7">
        <v>45967</v>
      </c>
      <c r="B27" s="9" t="s">
        <v>23</v>
      </c>
      <c r="C27" s="3"/>
      <c r="D27" s="6">
        <v>30</v>
      </c>
      <c r="E27" s="4"/>
    </row>
    <row x14ac:dyDescent="0.25" r="28" customHeight="1" ht="17.25">
      <c r="A28" s="7">
        <v>45973</v>
      </c>
      <c r="B28" s="9" t="s">
        <v>23</v>
      </c>
      <c r="C28" s="6">
        <v>19</v>
      </c>
      <c r="D28" s="4"/>
      <c r="E28" s="4"/>
    </row>
    <row x14ac:dyDescent="0.25" r="29" customHeight="1" ht="17.25">
      <c r="A29" s="7">
        <v>45973</v>
      </c>
      <c r="B29" s="9" t="s">
        <v>23</v>
      </c>
      <c r="C29" s="3"/>
      <c r="D29" s="6">
        <v>19</v>
      </c>
      <c r="E29" s="4"/>
    </row>
    <row x14ac:dyDescent="0.25" r="30" customHeight="1" ht="17.25">
      <c r="A30" s="7">
        <v>45994</v>
      </c>
      <c r="B30" s="9" t="s">
        <v>23</v>
      </c>
      <c r="C30" s="6">
        <v>30</v>
      </c>
      <c r="D30" s="4"/>
      <c r="E30" s="4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1.7192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21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22</v>
      </c>
      <c r="C3" s="3"/>
      <c r="D3" s="4"/>
      <c r="E3" s="4"/>
    </row>
    <row x14ac:dyDescent="0.25" r="4" customHeight="1" ht="17.25">
      <c r="A4" s="7">
        <v>45667</v>
      </c>
      <c r="B4" s="2" t="s">
        <v>2</v>
      </c>
      <c r="C4" s="3"/>
      <c r="D4" s="14">
        <v>15</v>
      </c>
      <c r="E4" s="4"/>
    </row>
    <row x14ac:dyDescent="0.25" r="5" customHeight="1" ht="17.25">
      <c r="A5" s="8">
        <v>45709</v>
      </c>
      <c r="B5" s="9" t="s">
        <v>2</v>
      </c>
      <c r="C5" s="6">
        <v>2</v>
      </c>
      <c r="D5" s="4"/>
      <c r="E5" s="4"/>
    </row>
    <row x14ac:dyDescent="0.25" r="6" customHeight="1" ht="17.25">
      <c r="A6" s="7">
        <v>45714</v>
      </c>
      <c r="B6" s="2" t="s">
        <v>2</v>
      </c>
      <c r="C6" s="6">
        <v>7</v>
      </c>
      <c r="D6" s="4"/>
      <c r="E6" s="4"/>
    </row>
    <row x14ac:dyDescent="0.25" r="7" customHeight="1" ht="17.25">
      <c r="A7" s="8">
        <v>45737</v>
      </c>
      <c r="B7" s="9" t="s">
        <v>2</v>
      </c>
      <c r="C7" s="6">
        <v>2</v>
      </c>
      <c r="D7" s="4"/>
      <c r="E7" s="4"/>
    </row>
    <row x14ac:dyDescent="0.25" r="8" customHeight="1" ht="17.25">
      <c r="A8" s="7">
        <v>45768</v>
      </c>
      <c r="B8" s="2" t="s">
        <v>4</v>
      </c>
      <c r="C8" s="3"/>
      <c r="D8" s="6">
        <v>12</v>
      </c>
      <c r="E8" s="4"/>
    </row>
    <row x14ac:dyDescent="0.25" r="9" customHeight="1" ht="17.25">
      <c r="A9" s="7">
        <v>45973</v>
      </c>
      <c r="B9" s="9" t="s">
        <v>23</v>
      </c>
      <c r="C9" s="3"/>
      <c r="D9" s="6">
        <v>2</v>
      </c>
      <c r="E9" s="6">
        <v>0</v>
      </c>
    </row>
    <row x14ac:dyDescent="0.25" r="10" customHeight="1" ht="17.25">
      <c r="A10" s="8">
        <v>45994</v>
      </c>
      <c r="B10" s="9" t="s">
        <v>23</v>
      </c>
      <c r="C10" s="6">
        <v>2</v>
      </c>
      <c r="D10" s="4"/>
      <c r="E10" s="4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3.862142857142857" customWidth="1" bestFit="1"/>
    <col min="3" max="3" style="12" width="12.43357142857143" customWidth="1" bestFit="1"/>
    <col min="4" max="4" style="13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20</v>
      </c>
      <c r="B1" s="2"/>
      <c r="C1" s="3"/>
      <c r="D1" s="4"/>
      <c r="E1" s="3"/>
    </row>
    <row x14ac:dyDescent="0.25" r="2" customHeight="1" ht="17.25">
      <c r="A2" s="1"/>
      <c r="B2" s="2"/>
      <c r="C2" s="3"/>
      <c r="D2" s="4"/>
      <c r="E2" s="3"/>
    </row>
    <row x14ac:dyDescent="0.25" r="3" customHeight="1" ht="17.25">
      <c r="A3" s="5">
        <v>45658</v>
      </c>
      <c r="B3" s="2" t="s">
        <v>1</v>
      </c>
      <c r="C3" s="3"/>
      <c r="D3" s="4"/>
      <c r="E3" s="6">
        <v>16</v>
      </c>
    </row>
    <row x14ac:dyDescent="0.25" r="4" customHeight="1" ht="17.25">
      <c r="A4" s="5">
        <v>45667</v>
      </c>
      <c r="B4" s="2" t="s">
        <v>2</v>
      </c>
      <c r="C4" s="3"/>
      <c r="D4" s="6">
        <v>6</v>
      </c>
      <c r="E4" s="3"/>
    </row>
    <row x14ac:dyDescent="0.25" r="5" customHeight="1" ht="17.25">
      <c r="A5" s="7">
        <v>45667</v>
      </c>
      <c r="B5" s="2" t="s">
        <v>2</v>
      </c>
      <c r="C5" s="3"/>
      <c r="D5" s="6">
        <v>8</v>
      </c>
      <c r="E5" s="3"/>
    </row>
    <row x14ac:dyDescent="0.25" r="6" customHeight="1" ht="17.25">
      <c r="A6" s="8">
        <v>45709</v>
      </c>
      <c r="B6" s="9" t="s">
        <v>2</v>
      </c>
      <c r="C6" s="6">
        <v>2</v>
      </c>
      <c r="D6" s="4"/>
      <c r="E6" s="3"/>
    </row>
    <row x14ac:dyDescent="0.25" r="7" customHeight="1" ht="17.25">
      <c r="A7" s="8">
        <v>45722</v>
      </c>
      <c r="B7" s="9" t="s">
        <v>2</v>
      </c>
      <c r="C7" s="6">
        <v>1</v>
      </c>
      <c r="D7" s="4"/>
      <c r="E7" s="6">
        <v>5</v>
      </c>
    </row>
    <row x14ac:dyDescent="0.25" r="8" customHeight="1" ht="17.25">
      <c r="A8" s="7">
        <v>45734</v>
      </c>
      <c r="B8" s="2" t="s">
        <v>2</v>
      </c>
      <c r="C8" s="6">
        <v>5</v>
      </c>
      <c r="D8" s="4"/>
      <c r="E8" s="3"/>
    </row>
    <row x14ac:dyDescent="0.25" r="9" customHeight="1" ht="17.25">
      <c r="A9" s="8">
        <v>45737</v>
      </c>
      <c r="B9" s="9" t="s">
        <v>2</v>
      </c>
      <c r="C9" s="6">
        <v>3</v>
      </c>
      <c r="D9" s="4"/>
      <c r="E9" s="6">
        <v>13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0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1.147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19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1</v>
      </c>
      <c r="C3" s="3"/>
      <c r="D3" s="4"/>
      <c r="E3" s="6">
        <v>27</v>
      </c>
    </row>
    <row x14ac:dyDescent="0.25" r="4" customHeight="1" ht="17.25">
      <c r="A4" s="7">
        <v>45667</v>
      </c>
      <c r="B4" s="2" t="s">
        <v>16</v>
      </c>
      <c r="C4" s="3"/>
      <c r="D4" s="6">
        <v>20</v>
      </c>
      <c r="E4" s="4"/>
    </row>
    <row x14ac:dyDescent="0.25" r="5" customHeight="1" ht="17.25">
      <c r="A5" s="7">
        <v>45667</v>
      </c>
      <c r="B5" s="2" t="s">
        <v>2</v>
      </c>
      <c r="C5" s="3"/>
      <c r="D5" s="6">
        <v>6</v>
      </c>
      <c r="E5" s="4"/>
    </row>
    <row x14ac:dyDescent="0.25" r="6" customHeight="1" ht="17.25">
      <c r="A6" s="7">
        <v>45670</v>
      </c>
      <c r="B6" s="2" t="s">
        <v>2</v>
      </c>
      <c r="C6" s="3"/>
      <c r="D6" s="6">
        <v>1</v>
      </c>
      <c r="E6" s="4"/>
    </row>
    <row x14ac:dyDescent="0.25" r="7" customHeight="1" ht="17.25">
      <c r="A7" s="7">
        <v>45670</v>
      </c>
      <c r="B7" s="2" t="s">
        <v>2</v>
      </c>
      <c r="C7" s="3"/>
      <c r="D7" s="6">
        <v>1</v>
      </c>
      <c r="E7" s="6">
        <v>0</v>
      </c>
    </row>
    <row x14ac:dyDescent="0.25" r="8" customHeight="1" ht="17.25">
      <c r="A8" s="7">
        <v>45708</v>
      </c>
      <c r="B8" s="2" t="s">
        <v>2</v>
      </c>
      <c r="C8" s="6">
        <v>1</v>
      </c>
      <c r="D8" s="4"/>
      <c r="E8" s="6">
        <f>E7+C8-D8</f>
      </c>
    </row>
    <row x14ac:dyDescent="0.25" r="9" customHeight="1" ht="17.25">
      <c r="A9" s="8">
        <v>45709</v>
      </c>
      <c r="B9" s="9" t="s">
        <v>2</v>
      </c>
      <c r="C9" s="6">
        <v>8</v>
      </c>
      <c r="D9" s="4"/>
      <c r="E9" s="6">
        <f>E8+C9-D9</f>
      </c>
    </row>
    <row x14ac:dyDescent="0.25" r="10" customHeight="1" ht="17.25">
      <c r="A10" s="7">
        <v>45710</v>
      </c>
      <c r="B10" s="2" t="s">
        <v>16</v>
      </c>
      <c r="C10" s="6">
        <v>2</v>
      </c>
      <c r="D10" s="4"/>
      <c r="E10" s="6">
        <f>E9+C10-D10</f>
      </c>
    </row>
    <row x14ac:dyDescent="0.25" r="11" customHeight="1" ht="17.25">
      <c r="A11" s="7">
        <v>45714</v>
      </c>
      <c r="B11" s="2" t="s">
        <v>2</v>
      </c>
      <c r="C11" s="6">
        <v>5</v>
      </c>
      <c r="D11" s="4"/>
      <c r="E11" s="6">
        <f>E10+C11-D11</f>
      </c>
    </row>
    <row x14ac:dyDescent="0.25" r="12" customHeight="1" ht="17.25">
      <c r="A12" s="7">
        <v>45719</v>
      </c>
      <c r="B12" s="2" t="s">
        <v>2</v>
      </c>
      <c r="C12" s="6">
        <v>3</v>
      </c>
      <c r="D12" s="4"/>
      <c r="E12" s="6">
        <f>E11+C12-D12</f>
      </c>
    </row>
    <row x14ac:dyDescent="0.25" r="13" customHeight="1" ht="17.25">
      <c r="A13" s="8">
        <v>45722</v>
      </c>
      <c r="B13" s="9" t="s">
        <v>2</v>
      </c>
      <c r="C13" s="6">
        <v>5</v>
      </c>
      <c r="D13" s="4"/>
      <c r="E13" s="6">
        <f>E12+C13-D13</f>
      </c>
    </row>
    <row x14ac:dyDescent="0.25" r="14" customHeight="1" ht="17.25">
      <c r="A14" s="7">
        <v>45734</v>
      </c>
      <c r="B14" s="2" t="s">
        <v>2</v>
      </c>
      <c r="C14" s="6">
        <v>2</v>
      </c>
      <c r="D14" s="4"/>
      <c r="E14" s="6">
        <f>E13+C14-D14</f>
      </c>
    </row>
    <row x14ac:dyDescent="0.25" r="15" customHeight="1" ht="17.25">
      <c r="A15" s="8">
        <v>45737</v>
      </c>
      <c r="B15" s="9" t="s">
        <v>2</v>
      </c>
      <c r="C15" s="6">
        <v>1</v>
      </c>
      <c r="D15" s="4"/>
      <c r="E15" s="4"/>
    </row>
    <row x14ac:dyDescent="0.25" r="16" customHeight="1" ht="17.25">
      <c r="A16" s="7">
        <v>45764</v>
      </c>
      <c r="B16" s="2" t="s">
        <v>4</v>
      </c>
      <c r="C16" s="3"/>
      <c r="D16" s="6">
        <v>1</v>
      </c>
      <c r="E16" s="4"/>
    </row>
    <row x14ac:dyDescent="0.25" r="17" customHeight="1" ht="17.25">
      <c r="A17" s="7">
        <v>45765</v>
      </c>
      <c r="B17" s="9" t="s">
        <v>4</v>
      </c>
      <c r="C17" s="3"/>
      <c r="D17" s="6">
        <v>26</v>
      </c>
      <c r="E17" s="4"/>
    </row>
    <row x14ac:dyDescent="0.25" r="18" customHeight="1" ht="17.25">
      <c r="A18" s="8">
        <v>45840</v>
      </c>
      <c r="B18" s="9" t="s">
        <v>4</v>
      </c>
      <c r="C18" s="6">
        <v>23</v>
      </c>
      <c r="D18" s="4"/>
      <c r="E18" s="4"/>
    </row>
    <row x14ac:dyDescent="0.25" r="19" customHeight="1" ht="17.25">
      <c r="A19" s="8">
        <v>45860</v>
      </c>
      <c r="B19" s="9" t="s">
        <v>4</v>
      </c>
      <c r="C19" s="6">
        <v>2</v>
      </c>
      <c r="D19" s="4"/>
      <c r="E19" s="4"/>
    </row>
    <row x14ac:dyDescent="0.25" r="20" customHeight="1" ht="17.25">
      <c r="A20" s="7">
        <v>45932</v>
      </c>
      <c r="B20" s="9" t="s">
        <v>4</v>
      </c>
      <c r="C20" s="6">
        <v>2</v>
      </c>
      <c r="D20" s="4"/>
      <c r="E20" s="4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3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8.29071428571428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18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1</v>
      </c>
      <c r="C3" s="3"/>
      <c r="D3" s="4"/>
      <c r="E3" s="6">
        <v>18</v>
      </c>
    </row>
    <row x14ac:dyDescent="0.25" r="4" customHeight="1" ht="17.25">
      <c r="A4" s="7">
        <v>45667</v>
      </c>
      <c r="B4" s="2" t="s">
        <v>2</v>
      </c>
      <c r="C4" s="3"/>
      <c r="D4" s="6">
        <v>6</v>
      </c>
      <c r="E4" s="6">
        <f>E3+C4-D4</f>
      </c>
    </row>
    <row x14ac:dyDescent="0.25" r="5" customHeight="1" ht="17.25">
      <c r="A5" s="7">
        <v>45667</v>
      </c>
      <c r="B5" s="2" t="s">
        <v>2</v>
      </c>
      <c r="C5" s="3"/>
      <c r="D5" s="6">
        <v>10</v>
      </c>
      <c r="E5" s="6">
        <f>E4+C5-D5</f>
      </c>
    </row>
    <row x14ac:dyDescent="0.25" r="6" customHeight="1" ht="17.25">
      <c r="A6" s="8">
        <v>45709</v>
      </c>
      <c r="B6" s="9" t="s">
        <v>2</v>
      </c>
      <c r="C6" s="6">
        <v>5</v>
      </c>
      <c r="D6" s="4"/>
      <c r="E6" s="6">
        <f>E5+C6-D6</f>
      </c>
    </row>
    <row x14ac:dyDescent="0.25" r="7" customHeight="1" ht="17.25">
      <c r="A7" s="7">
        <v>45710</v>
      </c>
      <c r="B7" s="2" t="s">
        <v>2</v>
      </c>
      <c r="C7" s="6">
        <v>3</v>
      </c>
      <c r="D7" s="4"/>
      <c r="E7" s="6">
        <f>E6+C7-D7</f>
      </c>
    </row>
    <row x14ac:dyDescent="0.25" r="8" customHeight="1" ht="17.25">
      <c r="A8" s="7">
        <v>45719</v>
      </c>
      <c r="B8" s="2" t="s">
        <v>2</v>
      </c>
      <c r="C8" s="6">
        <v>3</v>
      </c>
      <c r="D8" s="4"/>
      <c r="E8" s="6">
        <f>E7+C8-D8</f>
      </c>
    </row>
    <row x14ac:dyDescent="0.25" r="9" customHeight="1" ht="17.25">
      <c r="A9" s="8">
        <v>45722</v>
      </c>
      <c r="B9" s="9" t="s">
        <v>2</v>
      </c>
      <c r="C9" s="6">
        <v>5</v>
      </c>
      <c r="D9" s="4"/>
      <c r="E9" s="6">
        <f>E8+C9-D9</f>
      </c>
    </row>
    <row x14ac:dyDescent="0.25" r="10" customHeight="1" ht="17.25">
      <c r="A10" s="7">
        <v>45765</v>
      </c>
      <c r="B10" s="2" t="s">
        <v>4</v>
      </c>
      <c r="C10" s="3"/>
      <c r="D10" s="6">
        <v>18</v>
      </c>
      <c r="E10" s="4"/>
    </row>
    <row x14ac:dyDescent="0.25" r="11" customHeight="1" ht="17.25">
      <c r="A11" s="8">
        <v>45840</v>
      </c>
      <c r="B11" s="9" t="s">
        <v>4</v>
      </c>
      <c r="C11" s="6">
        <v>2</v>
      </c>
      <c r="D11" s="4"/>
      <c r="E11" s="4"/>
    </row>
    <row x14ac:dyDescent="0.25" r="12" customHeight="1" ht="17.25">
      <c r="A12" s="8">
        <v>45860</v>
      </c>
      <c r="B12" s="9" t="s">
        <v>4</v>
      </c>
      <c r="C12" s="6">
        <v>10</v>
      </c>
      <c r="D12" s="4"/>
      <c r="E12" s="4"/>
    </row>
    <row x14ac:dyDescent="0.25" r="13" customHeight="1" ht="17.25">
      <c r="A13" s="7">
        <v>45930</v>
      </c>
      <c r="B13" s="9" t="s">
        <v>4</v>
      </c>
      <c r="C13" s="6">
        <v>5</v>
      </c>
      <c r="D13" s="4"/>
      <c r="E13" s="4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2.005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17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1</v>
      </c>
      <c r="C3" s="3"/>
      <c r="D3" s="4"/>
      <c r="E3" s="6">
        <v>22</v>
      </c>
    </row>
    <row x14ac:dyDescent="0.25" r="4" customHeight="1" ht="17.25">
      <c r="A4" s="7">
        <v>45667</v>
      </c>
      <c r="B4" s="2" t="s">
        <v>2</v>
      </c>
      <c r="C4" s="3"/>
      <c r="D4" s="6">
        <v>17</v>
      </c>
      <c r="E4" s="6">
        <f>E3+C4-D4</f>
      </c>
    </row>
    <row x14ac:dyDescent="0.25" r="5" customHeight="1" ht="17.25">
      <c r="A5" s="7">
        <v>45667</v>
      </c>
      <c r="B5" s="2" t="s">
        <v>2</v>
      </c>
      <c r="C5" s="3"/>
      <c r="D5" s="6">
        <v>4</v>
      </c>
      <c r="E5" s="6">
        <f>E4+C5-D5</f>
      </c>
    </row>
    <row x14ac:dyDescent="0.25" r="6" customHeight="1" ht="17.25">
      <c r="A6" s="7">
        <v>45708</v>
      </c>
      <c r="B6" s="2" t="s">
        <v>2</v>
      </c>
      <c r="C6" s="6">
        <v>4</v>
      </c>
      <c r="D6" s="4"/>
      <c r="E6" s="6">
        <f>E5+C6-D6</f>
      </c>
    </row>
    <row x14ac:dyDescent="0.25" r="7" customHeight="1" ht="17.25">
      <c r="A7" s="7">
        <v>45714</v>
      </c>
      <c r="B7" s="2" t="s">
        <v>2</v>
      </c>
      <c r="C7" s="6">
        <v>5</v>
      </c>
      <c r="D7" s="4"/>
      <c r="E7" s="6">
        <f>E6+C7-D7</f>
      </c>
    </row>
    <row x14ac:dyDescent="0.25" r="8" customHeight="1" ht="17.25">
      <c r="A8" s="8">
        <v>45722</v>
      </c>
      <c r="B8" s="9" t="s">
        <v>2</v>
      </c>
      <c r="C8" s="6">
        <v>8</v>
      </c>
      <c r="D8" s="4"/>
      <c r="E8" s="6">
        <f>E7+C8-D8</f>
      </c>
    </row>
    <row x14ac:dyDescent="0.25" r="9" customHeight="1" ht="17.25">
      <c r="A9" s="8">
        <v>45734</v>
      </c>
      <c r="B9" s="9" t="s">
        <v>2</v>
      </c>
      <c r="C9" s="6">
        <v>1</v>
      </c>
      <c r="D9" s="4"/>
      <c r="E9" s="4"/>
    </row>
    <row x14ac:dyDescent="0.25" r="10" customHeight="1" ht="17.25">
      <c r="A10" s="7">
        <v>45776</v>
      </c>
      <c r="B10" s="2" t="s">
        <v>4</v>
      </c>
      <c r="C10" s="3"/>
      <c r="D10" s="6">
        <v>18</v>
      </c>
      <c r="E10" s="6">
        <v>1</v>
      </c>
    </row>
    <row x14ac:dyDescent="0.25" r="11" customHeight="1" ht="17.25">
      <c r="A11" s="8">
        <v>45840</v>
      </c>
      <c r="B11" s="9" t="s">
        <v>4</v>
      </c>
      <c r="C11" s="6">
        <v>17</v>
      </c>
      <c r="D11" s="4"/>
      <c r="E11" s="4"/>
    </row>
    <row x14ac:dyDescent="0.25" r="12" customHeight="1" ht="17.25">
      <c r="A12" s="7">
        <v>45930</v>
      </c>
      <c r="B12" s="9" t="s">
        <v>4</v>
      </c>
      <c r="C12" s="6">
        <v>1</v>
      </c>
      <c r="D12" s="4"/>
      <c r="E12" s="4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0.862142857142857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15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1</v>
      </c>
      <c r="C3" s="3"/>
      <c r="D3" s="4"/>
      <c r="E3" s="4"/>
    </row>
    <row x14ac:dyDescent="0.25" r="4" customHeight="1" ht="17.25">
      <c r="A4" s="5">
        <v>45667</v>
      </c>
      <c r="B4" s="2" t="s">
        <v>2</v>
      </c>
      <c r="C4" s="3"/>
      <c r="D4" s="6">
        <v>11</v>
      </c>
      <c r="E4" s="4"/>
    </row>
    <row x14ac:dyDescent="0.25" r="5" customHeight="1" ht="17.25">
      <c r="A5" s="7">
        <v>45668</v>
      </c>
      <c r="B5" s="2" t="s">
        <v>2</v>
      </c>
      <c r="C5" s="3"/>
      <c r="D5" s="6">
        <v>8</v>
      </c>
      <c r="E5" s="4"/>
    </row>
    <row x14ac:dyDescent="0.25" r="6" customHeight="1" ht="17.25">
      <c r="A6" s="7">
        <v>45670</v>
      </c>
      <c r="B6" s="2" t="s">
        <v>2</v>
      </c>
      <c r="C6" s="3"/>
      <c r="D6" s="6">
        <v>8</v>
      </c>
      <c r="E6" s="4"/>
    </row>
    <row x14ac:dyDescent="0.25" r="7" customHeight="1" ht="17.25">
      <c r="A7" s="7">
        <v>45708</v>
      </c>
      <c r="B7" s="2" t="s">
        <v>16</v>
      </c>
      <c r="C7" s="6">
        <v>8</v>
      </c>
      <c r="D7" s="4"/>
      <c r="E7" s="4"/>
    </row>
    <row x14ac:dyDescent="0.25" r="8" customHeight="1" ht="17.25">
      <c r="A8" s="7">
        <v>45710</v>
      </c>
      <c r="B8" s="2" t="s">
        <v>2</v>
      </c>
      <c r="C8" s="6">
        <v>8</v>
      </c>
      <c r="D8" s="4"/>
      <c r="E8" s="4"/>
    </row>
    <row x14ac:dyDescent="0.25" r="9" customHeight="1" ht="17.25">
      <c r="A9" s="7">
        <v>45714</v>
      </c>
      <c r="B9" s="2" t="s">
        <v>2</v>
      </c>
      <c r="C9" s="6">
        <v>2</v>
      </c>
      <c r="D9" s="4"/>
      <c r="E9" s="4"/>
    </row>
    <row x14ac:dyDescent="0.25" r="10" customHeight="1" ht="17.25">
      <c r="A10" s="7">
        <v>45719</v>
      </c>
      <c r="B10" s="2" t="s">
        <v>2</v>
      </c>
      <c r="C10" s="6">
        <v>1</v>
      </c>
      <c r="D10" s="4"/>
      <c r="E10" s="6">
        <v>19</v>
      </c>
    </row>
    <row x14ac:dyDescent="0.25" r="11" customHeight="1" ht="17.25">
      <c r="A11" s="7">
        <v>45776</v>
      </c>
      <c r="B11" s="2" t="s">
        <v>4</v>
      </c>
      <c r="C11" s="3"/>
      <c r="D11" s="6">
        <v>18</v>
      </c>
      <c r="E11" s="6">
        <v>1</v>
      </c>
    </row>
    <row x14ac:dyDescent="0.25" r="12" customHeight="1" ht="17.25">
      <c r="A12" s="8">
        <v>45840</v>
      </c>
      <c r="B12" s="9" t="s">
        <v>4</v>
      </c>
      <c r="C12" s="6">
        <v>18</v>
      </c>
      <c r="D12" s="4"/>
      <c r="E12" s="4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/>
  </sheetViews>
  <sheetFormatPr defaultRowHeight="15" x14ac:dyDescent="0.25"/>
  <cols>
    <col min="1" max="1" style="10" width="12.43357142857143" customWidth="1" bestFit="1"/>
    <col min="2" max="2" style="11" width="19.7192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14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1</v>
      </c>
      <c r="C3" s="3"/>
      <c r="D3" s="4"/>
      <c r="E3" s="6">
        <v>90</v>
      </c>
    </row>
    <row x14ac:dyDescent="0.25" r="4" customHeight="1" ht="17.25">
      <c r="A4" s="7">
        <v>45667</v>
      </c>
      <c r="B4" s="2" t="s">
        <v>2</v>
      </c>
      <c r="C4" s="3"/>
      <c r="D4" s="6">
        <v>60</v>
      </c>
      <c r="E4" s="4"/>
    </row>
    <row x14ac:dyDescent="0.25" r="5" customHeight="1" ht="17.25">
      <c r="A5" s="7">
        <v>45667</v>
      </c>
      <c r="B5" s="2" t="s">
        <v>2</v>
      </c>
      <c r="C5" s="3"/>
      <c r="D5" s="6">
        <v>10</v>
      </c>
      <c r="E5" s="4"/>
    </row>
    <row x14ac:dyDescent="0.25" r="6" customHeight="1" ht="17.25">
      <c r="A6" s="7">
        <v>45714</v>
      </c>
      <c r="B6" s="9" t="s">
        <v>2</v>
      </c>
      <c r="C6" s="6">
        <v>3</v>
      </c>
      <c r="D6" s="4"/>
      <c r="E6" s="4"/>
    </row>
    <row x14ac:dyDescent="0.25" r="7" customHeight="1" ht="17.25">
      <c r="A7" s="7">
        <v>45719</v>
      </c>
      <c r="B7" s="2" t="s">
        <v>2</v>
      </c>
      <c r="C7" s="6">
        <v>23</v>
      </c>
      <c r="D7" s="4"/>
      <c r="E7" s="4"/>
    </row>
    <row x14ac:dyDescent="0.25" r="8" customHeight="1" ht="17.25">
      <c r="A8" s="8">
        <v>45724</v>
      </c>
      <c r="B8" s="9" t="s">
        <v>2</v>
      </c>
      <c r="C8" s="6">
        <v>14</v>
      </c>
      <c r="D8" s="4"/>
      <c r="E8" s="4"/>
    </row>
    <row x14ac:dyDescent="0.25" r="9" customHeight="1" ht="17.25">
      <c r="A9" s="8">
        <v>45734</v>
      </c>
      <c r="B9" s="9" t="s">
        <v>2</v>
      </c>
      <c r="C9" s="6">
        <v>1</v>
      </c>
      <c r="D9" s="4"/>
      <c r="E9" s="4"/>
    </row>
    <row x14ac:dyDescent="0.25" r="10" customHeight="1" ht="17.25">
      <c r="A10" s="8">
        <v>45737</v>
      </c>
      <c r="B10" s="9" t="s">
        <v>2</v>
      </c>
      <c r="C10" s="6">
        <v>9</v>
      </c>
      <c r="D10" s="4"/>
      <c r="E10" s="4"/>
    </row>
    <row x14ac:dyDescent="0.25" r="11" customHeight="1" ht="17.25">
      <c r="A11" s="7">
        <v>45765</v>
      </c>
      <c r="B11" s="9" t="s">
        <v>2</v>
      </c>
      <c r="C11" s="6">
        <v>3</v>
      </c>
      <c r="D11" s="4"/>
      <c r="E11" s="4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7.29071428571428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13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1</v>
      </c>
      <c r="C3" s="3"/>
      <c r="D3" s="4"/>
      <c r="E3" s="6">
        <v>117</v>
      </c>
    </row>
    <row x14ac:dyDescent="0.25" r="4" customHeight="1" ht="17.25">
      <c r="A4" s="7">
        <v>45668</v>
      </c>
      <c r="B4" s="2" t="s">
        <v>2</v>
      </c>
      <c r="C4" s="3"/>
      <c r="D4" s="6">
        <v>117</v>
      </c>
      <c r="E4" s="6">
        <v>0</v>
      </c>
    </row>
    <row x14ac:dyDescent="0.25" r="5" customHeight="1" ht="17.25">
      <c r="A5" s="7">
        <v>45670</v>
      </c>
      <c r="B5" s="2" t="s">
        <v>2</v>
      </c>
      <c r="C5" s="3"/>
      <c r="D5" s="6">
        <v>315</v>
      </c>
      <c r="E5" s="4"/>
    </row>
    <row x14ac:dyDescent="0.25" r="6" customHeight="1" ht="17.25">
      <c r="A6" s="7">
        <v>45708</v>
      </c>
      <c r="B6" s="2" t="s">
        <v>2</v>
      </c>
      <c r="C6" s="6">
        <v>16</v>
      </c>
      <c r="D6" s="4"/>
      <c r="E6" s="4"/>
    </row>
    <row x14ac:dyDescent="0.25" r="7" customHeight="1" ht="17.25">
      <c r="A7" s="8">
        <v>45709</v>
      </c>
      <c r="B7" s="9" t="s">
        <v>2</v>
      </c>
      <c r="C7" s="6">
        <v>6</v>
      </c>
      <c r="D7" s="4"/>
      <c r="E7" s="4"/>
    </row>
    <row x14ac:dyDescent="0.25" r="8" customHeight="1" ht="17.25">
      <c r="A8" s="7">
        <v>45710</v>
      </c>
      <c r="B8" s="2" t="s">
        <v>2</v>
      </c>
      <c r="C8" s="6">
        <v>23</v>
      </c>
      <c r="D8" s="4"/>
      <c r="E8" s="4"/>
    </row>
    <row x14ac:dyDescent="0.25" r="9" customHeight="1" ht="17.25">
      <c r="A9" s="7">
        <v>45714</v>
      </c>
      <c r="B9" s="2" t="s">
        <v>2</v>
      </c>
      <c r="C9" s="6">
        <v>7</v>
      </c>
      <c r="D9" s="4"/>
      <c r="E9" s="4"/>
    </row>
    <row x14ac:dyDescent="0.25" r="10" customHeight="1" ht="17.25">
      <c r="A10" s="7">
        <v>45722</v>
      </c>
      <c r="B10" s="2" t="s">
        <v>2</v>
      </c>
      <c r="C10" s="6">
        <v>46</v>
      </c>
      <c r="D10" s="4"/>
      <c r="E10" s="4"/>
    </row>
    <row x14ac:dyDescent="0.25" r="11" customHeight="1" ht="17.25">
      <c r="A11" s="8">
        <v>45724</v>
      </c>
      <c r="B11" s="9" t="s">
        <v>2</v>
      </c>
      <c r="C11" s="6">
        <v>6</v>
      </c>
      <c r="D11" s="4"/>
      <c r="E11" s="4"/>
    </row>
    <row x14ac:dyDescent="0.25" r="12" customHeight="1" ht="17.25">
      <c r="A12" s="8">
        <v>45733</v>
      </c>
      <c r="B12" s="9" t="s">
        <v>11</v>
      </c>
      <c r="C12" s="6">
        <v>1</v>
      </c>
      <c r="D12" s="4"/>
      <c r="E12" s="4"/>
    </row>
    <row x14ac:dyDescent="0.25" r="13" customHeight="1" ht="17.25">
      <c r="A13" s="8">
        <v>45734</v>
      </c>
      <c r="B13" s="9" t="s">
        <v>2</v>
      </c>
      <c r="C13" s="6">
        <v>6</v>
      </c>
      <c r="D13" s="4"/>
      <c r="E13" s="4"/>
    </row>
    <row x14ac:dyDescent="0.25" r="14" customHeight="1" ht="17.25">
      <c r="A14" s="8">
        <v>45737</v>
      </c>
      <c r="B14" s="9" t="s">
        <v>2</v>
      </c>
      <c r="C14" s="6">
        <v>3</v>
      </c>
      <c r="D14" s="4"/>
      <c r="E14" s="4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3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005" customWidth="1" bestFit="1"/>
    <col min="3" max="3" style="12" width="12.43357142857143" customWidth="1" bestFit="1"/>
  </cols>
  <sheetData>
    <row x14ac:dyDescent="0.25" r="1" customHeight="1" ht="17.25">
      <c r="A1" s="1" t="s">
        <v>12</v>
      </c>
      <c r="B1" s="2"/>
      <c r="C1" s="3"/>
    </row>
    <row x14ac:dyDescent="0.25" r="2" customHeight="1" ht="17.25">
      <c r="A2" s="1"/>
      <c r="B2" s="2"/>
      <c r="C2" s="3"/>
    </row>
    <row x14ac:dyDescent="0.25" r="3" customHeight="1" ht="17.25">
      <c r="A3" s="5">
        <v>45658</v>
      </c>
      <c r="B3" s="2" t="s">
        <v>1</v>
      </c>
      <c r="C3" s="3"/>
    </row>
    <row x14ac:dyDescent="0.25" r="4" customHeight="1" ht="17.25">
      <c r="A4" s="5">
        <v>45667</v>
      </c>
      <c r="B4" s="2" t="s">
        <v>2</v>
      </c>
      <c r="C4" s="3"/>
    </row>
    <row x14ac:dyDescent="0.25" r="5" customHeight="1" ht="17.25">
      <c r="A5" s="7">
        <v>45708</v>
      </c>
      <c r="B5" s="2" t="s">
        <v>2</v>
      </c>
      <c r="C5" s="6">
        <v>89</v>
      </c>
    </row>
    <row x14ac:dyDescent="0.25" r="6" customHeight="1" ht="17.25">
      <c r="A6" s="8">
        <v>45709</v>
      </c>
      <c r="B6" s="9" t="s">
        <v>2</v>
      </c>
      <c r="C6" s="6">
        <v>46</v>
      </c>
    </row>
    <row x14ac:dyDescent="0.25" r="7" customHeight="1" ht="17.25">
      <c r="A7" s="7">
        <v>45710</v>
      </c>
      <c r="B7" s="2" t="s">
        <v>2</v>
      </c>
      <c r="C7" s="6">
        <v>58</v>
      </c>
    </row>
    <row x14ac:dyDescent="0.25" r="8" customHeight="1" ht="17.25">
      <c r="A8" s="7">
        <v>45714</v>
      </c>
      <c r="B8" s="2" t="s">
        <v>2</v>
      </c>
      <c r="C8" s="6">
        <v>30</v>
      </c>
    </row>
    <row x14ac:dyDescent="0.25" r="9" customHeight="1" ht="17.25">
      <c r="A9" s="8">
        <v>45722</v>
      </c>
      <c r="B9" s="9" t="s">
        <v>2</v>
      </c>
      <c r="C9" s="6">
        <v>49</v>
      </c>
    </row>
    <row x14ac:dyDescent="0.25" r="10" customHeight="1" ht="17.25">
      <c r="A10" s="8">
        <v>45724</v>
      </c>
      <c r="B10" s="9" t="s">
        <v>2</v>
      </c>
      <c r="C10" s="6">
        <v>16</v>
      </c>
    </row>
    <row x14ac:dyDescent="0.25" r="11" customHeight="1" ht="17.25">
      <c r="A11" s="8">
        <v>45734</v>
      </c>
      <c r="B11" s="9" t="s">
        <v>2</v>
      </c>
      <c r="C11" s="6">
        <v>18</v>
      </c>
    </row>
    <row x14ac:dyDescent="0.25" r="12" customHeight="1" ht="17.25">
      <c r="A12" s="8">
        <v>45737</v>
      </c>
      <c r="B12" s="9" t="s">
        <v>2</v>
      </c>
      <c r="C12" s="6">
        <v>4</v>
      </c>
    </row>
    <row x14ac:dyDescent="0.25" r="13" customHeight="1" ht="17.25">
      <c r="A13" s="7">
        <v>45926</v>
      </c>
      <c r="B13" s="9" t="s">
        <v>2</v>
      </c>
      <c r="C13" s="6">
        <v>1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6.147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10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1</v>
      </c>
      <c r="C3" s="3"/>
      <c r="D3" s="4"/>
      <c r="E3" s="6">
        <v>47</v>
      </c>
    </row>
    <row x14ac:dyDescent="0.25" r="4" customHeight="1" ht="17.25">
      <c r="A4" s="7">
        <v>45667</v>
      </c>
      <c r="B4" s="2" t="s">
        <v>2</v>
      </c>
      <c r="C4" s="3"/>
      <c r="D4" s="6">
        <v>27</v>
      </c>
      <c r="E4" s="4"/>
    </row>
    <row x14ac:dyDescent="0.25" r="5" customHeight="1" ht="17.25">
      <c r="A5" s="7">
        <v>45667</v>
      </c>
      <c r="B5" s="2" t="s">
        <v>2</v>
      </c>
      <c r="C5" s="3"/>
      <c r="D5" s="6">
        <v>10</v>
      </c>
      <c r="E5" s="4"/>
    </row>
    <row x14ac:dyDescent="0.25" r="6" customHeight="1" ht="17.25">
      <c r="A6" s="8">
        <v>45714</v>
      </c>
      <c r="B6" s="9" t="s">
        <v>2</v>
      </c>
      <c r="C6" s="6">
        <v>27</v>
      </c>
      <c r="D6" s="4"/>
      <c r="E6" s="4"/>
    </row>
    <row x14ac:dyDescent="0.25" r="7" customHeight="1" ht="17.25">
      <c r="A7" s="7">
        <v>45719</v>
      </c>
      <c r="B7" s="2" t="s">
        <v>2</v>
      </c>
      <c r="C7" s="6">
        <v>10</v>
      </c>
      <c r="D7" s="4"/>
      <c r="E7" s="4"/>
    </row>
    <row x14ac:dyDescent="0.25" r="8" customHeight="1" ht="17.25">
      <c r="A8" s="8">
        <v>45734</v>
      </c>
      <c r="B8" s="9" t="s">
        <v>11</v>
      </c>
      <c r="C8" s="6">
        <v>2</v>
      </c>
      <c r="D8" s="4"/>
      <c r="E8" s="4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0.290714285714284" customWidth="1" bestFit="1"/>
    <col min="3" max="3" style="12" width="12.43357142857143" customWidth="1" bestFit="1"/>
    <col min="4" max="4" style="13" width="12.43357142857143" customWidth="1" bestFit="1"/>
  </cols>
  <sheetData>
    <row x14ac:dyDescent="0.25" r="1" customHeight="1" ht="17.25">
      <c r="A1" s="1" t="s">
        <v>9</v>
      </c>
      <c r="B1" s="2"/>
      <c r="C1" s="3"/>
      <c r="D1" s="4"/>
    </row>
    <row x14ac:dyDescent="0.25" r="2" customHeight="1" ht="17.25">
      <c r="A2" s="1"/>
      <c r="B2" s="2"/>
      <c r="C2" s="3"/>
      <c r="D2" s="4"/>
    </row>
    <row x14ac:dyDescent="0.25" r="3" customHeight="1" ht="17.25">
      <c r="A3" s="7">
        <v>45658</v>
      </c>
      <c r="B3" s="2" t="s">
        <v>1</v>
      </c>
      <c r="C3" s="3"/>
      <c r="D3" s="4"/>
    </row>
    <row x14ac:dyDescent="0.25" r="4" customHeight="1" ht="17.25">
      <c r="A4" s="7">
        <v>45765</v>
      </c>
      <c r="B4" s="2" t="s">
        <v>4</v>
      </c>
      <c r="C4" s="3"/>
      <c r="D4" s="6">
        <v>4</v>
      </c>
    </row>
    <row x14ac:dyDescent="0.25" r="5" customHeight="1" ht="17.25">
      <c r="A5" s="8">
        <v>45840</v>
      </c>
      <c r="B5" s="9" t="s">
        <v>4</v>
      </c>
      <c r="C5" s="6">
        <v>4</v>
      </c>
      <c r="D5" s="4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0.576428571428572" customWidth="1" bestFit="1"/>
    <col min="3" max="3" style="13" width="12.43357142857143" customWidth="1" bestFit="1"/>
    <col min="4" max="4" style="12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8</v>
      </c>
      <c r="B1" s="2"/>
      <c r="C1" s="4"/>
      <c r="D1" s="3"/>
      <c r="E1" s="4"/>
    </row>
    <row x14ac:dyDescent="0.25" r="2" customHeight="1" ht="17.25">
      <c r="A2" s="1"/>
      <c r="B2" s="2"/>
      <c r="C2" s="4"/>
      <c r="D2" s="3"/>
      <c r="E2" s="4"/>
    </row>
    <row x14ac:dyDescent="0.25" r="3" customHeight="1" ht="17.25">
      <c r="A3" s="5">
        <v>45658</v>
      </c>
      <c r="B3" s="2" t="s">
        <v>1</v>
      </c>
      <c r="C3" s="4"/>
      <c r="D3" s="3"/>
      <c r="E3" s="4"/>
    </row>
    <row x14ac:dyDescent="0.25" r="4" customHeight="1" ht="17.25">
      <c r="A4" s="7">
        <v>45667</v>
      </c>
      <c r="B4" s="2" t="s">
        <v>2</v>
      </c>
      <c r="C4" s="4"/>
      <c r="D4" s="6">
        <v>64</v>
      </c>
      <c r="E4" s="4"/>
    </row>
    <row x14ac:dyDescent="0.25" r="5" customHeight="1" ht="17.25">
      <c r="A5" s="7">
        <v>45667</v>
      </c>
      <c r="B5" s="2" t="s">
        <v>2</v>
      </c>
      <c r="C5" s="4"/>
      <c r="D5" s="6">
        <v>68</v>
      </c>
      <c r="E5" s="4"/>
    </row>
    <row x14ac:dyDescent="0.25" r="6" customHeight="1" ht="17.25">
      <c r="A6" s="7">
        <v>45710</v>
      </c>
      <c r="B6" s="2" t="s">
        <v>2</v>
      </c>
      <c r="C6" s="6">
        <v>1</v>
      </c>
      <c r="D6" s="3"/>
      <c r="E6" s="4"/>
    </row>
    <row x14ac:dyDescent="0.25" r="7" customHeight="1" ht="17.25">
      <c r="A7" s="7">
        <v>45712</v>
      </c>
      <c r="B7" s="2" t="s">
        <v>3</v>
      </c>
      <c r="C7" s="4"/>
      <c r="D7" s="6">
        <v>1</v>
      </c>
      <c r="E7" s="6">
        <v>0</v>
      </c>
    </row>
    <row x14ac:dyDescent="0.25" r="8" customHeight="1" ht="17.25">
      <c r="A8" s="7">
        <v>45714</v>
      </c>
      <c r="B8" s="2" t="s">
        <v>2</v>
      </c>
      <c r="C8" s="6">
        <v>14</v>
      </c>
      <c r="D8" s="3"/>
      <c r="E8" s="4"/>
    </row>
    <row x14ac:dyDescent="0.25" r="9" customHeight="1" ht="17.25">
      <c r="A9" s="8">
        <v>45724</v>
      </c>
      <c r="B9" s="9" t="s">
        <v>2</v>
      </c>
      <c r="C9" s="6">
        <v>69</v>
      </c>
      <c r="D9" s="3"/>
      <c r="E9" s="4"/>
    </row>
    <row x14ac:dyDescent="0.25" r="10" customHeight="1" ht="17.25">
      <c r="A10" s="7">
        <v>45764</v>
      </c>
      <c r="B10" s="2" t="s">
        <v>4</v>
      </c>
      <c r="C10" s="4"/>
      <c r="D10" s="6">
        <v>2</v>
      </c>
      <c r="E10" s="4"/>
    </row>
    <row x14ac:dyDescent="0.25" r="11" customHeight="1" ht="17.25">
      <c r="A11" s="7">
        <v>45765</v>
      </c>
      <c r="B11" s="2" t="s">
        <v>4</v>
      </c>
      <c r="C11" s="4"/>
      <c r="D11" s="6">
        <v>22</v>
      </c>
      <c r="E11" s="4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29071428571428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5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1</v>
      </c>
      <c r="C3" s="3"/>
      <c r="D3" s="4"/>
      <c r="E3" s="6">
        <v>0</v>
      </c>
    </row>
    <row x14ac:dyDescent="0.25" r="4" customHeight="1" ht="17.25">
      <c r="A4" s="7">
        <v>45674</v>
      </c>
      <c r="B4" s="2" t="s">
        <v>6</v>
      </c>
      <c r="C4" s="6">
        <v>200</v>
      </c>
      <c r="D4" s="4"/>
      <c r="E4" s="4"/>
    </row>
    <row x14ac:dyDescent="0.25" r="5" customHeight="1" ht="17.25">
      <c r="A5" s="7">
        <v>45675</v>
      </c>
      <c r="B5" s="2" t="s">
        <v>2</v>
      </c>
      <c r="C5" s="3"/>
      <c r="D5" s="6">
        <v>200</v>
      </c>
      <c r="E5" s="4"/>
    </row>
    <row x14ac:dyDescent="0.25" r="6" customHeight="1" ht="17.25">
      <c r="A6" s="7">
        <v>45714</v>
      </c>
      <c r="B6" s="2" t="s">
        <v>2</v>
      </c>
      <c r="C6" s="6">
        <v>141</v>
      </c>
      <c r="D6" s="4"/>
      <c r="E6" s="4"/>
    </row>
    <row x14ac:dyDescent="0.25" r="7" customHeight="1" ht="17.25">
      <c r="A7" s="8">
        <v>45724</v>
      </c>
      <c r="B7" s="9" t="s">
        <v>2</v>
      </c>
      <c r="C7" s="6">
        <v>63</v>
      </c>
      <c r="D7" s="4"/>
      <c r="E7" s="4"/>
    </row>
    <row x14ac:dyDescent="0.25" r="8" customHeight="1" ht="17.25">
      <c r="A8" s="7">
        <v>45737</v>
      </c>
      <c r="B8" s="2" t="s">
        <v>2</v>
      </c>
      <c r="C8" s="6">
        <v>12</v>
      </c>
      <c r="D8" s="4"/>
      <c r="E8" s="4"/>
    </row>
    <row x14ac:dyDescent="0.25" r="9" customHeight="1" ht="17.25">
      <c r="A9" s="7">
        <v>45765</v>
      </c>
      <c r="B9" s="2" t="s">
        <v>2</v>
      </c>
      <c r="C9" s="6">
        <v>5</v>
      </c>
      <c r="D9" s="4"/>
      <c r="E9" s="4"/>
    </row>
    <row x14ac:dyDescent="0.25" r="10" customHeight="1" ht="17.25">
      <c r="A10" s="7">
        <v>45930</v>
      </c>
      <c r="B10" s="2" t="s">
        <v>2</v>
      </c>
      <c r="C10" s="3"/>
      <c r="D10" s="6">
        <v>21</v>
      </c>
      <c r="E10" s="4"/>
    </row>
    <row x14ac:dyDescent="0.25" r="11" customHeight="1" ht="17.25">
      <c r="A11" s="7">
        <v>45943</v>
      </c>
      <c r="B11" s="2" t="s">
        <v>7</v>
      </c>
      <c r="C11" s="6">
        <v>296</v>
      </c>
      <c r="D11" s="4"/>
      <c r="E11" s="4"/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1.14785714285714" customWidth="1" bestFit="1"/>
    <col min="3" max="3" style="12" width="12.43357142857143" customWidth="1" bestFit="1"/>
    <col min="4" max="4" style="13" width="12.43357142857143" customWidth="1" bestFit="1"/>
    <col min="5" max="5" style="13" width="12.43357142857143" customWidth="1" bestFit="1"/>
  </cols>
  <sheetData>
    <row x14ac:dyDescent="0.25" r="1" customHeight="1" ht="17.25">
      <c r="A1" s="1" t="s">
        <v>0</v>
      </c>
      <c r="B1" s="2"/>
      <c r="C1" s="3"/>
      <c r="D1" s="4"/>
      <c r="E1" s="4"/>
    </row>
    <row x14ac:dyDescent="0.25" r="2" customHeight="1" ht="17.25">
      <c r="A2" s="1"/>
      <c r="B2" s="2"/>
      <c r="C2" s="3"/>
      <c r="D2" s="4"/>
      <c r="E2" s="4"/>
    </row>
    <row x14ac:dyDescent="0.25" r="3" customHeight="1" ht="17.25">
      <c r="A3" s="5">
        <v>45658</v>
      </c>
      <c r="B3" s="2" t="s">
        <v>1</v>
      </c>
      <c r="C3" s="3"/>
      <c r="D3" s="4"/>
      <c r="E3" s="4"/>
    </row>
    <row x14ac:dyDescent="0.25" r="4" customHeight="1" ht="17.25">
      <c r="A4" s="5">
        <v>45667</v>
      </c>
      <c r="B4" s="2" t="s">
        <v>2</v>
      </c>
      <c r="C4" s="3"/>
      <c r="D4" s="6">
        <v>64</v>
      </c>
      <c r="E4" s="4"/>
    </row>
    <row x14ac:dyDescent="0.25" r="5" customHeight="1" ht="17.25">
      <c r="A5" s="7">
        <v>45667</v>
      </c>
      <c r="B5" s="2" t="s">
        <v>2</v>
      </c>
      <c r="C5" s="3"/>
      <c r="D5" s="6">
        <v>68</v>
      </c>
      <c r="E5" s="4"/>
    </row>
    <row x14ac:dyDescent="0.25" r="6" customHeight="1" ht="17.25">
      <c r="A6" s="7">
        <v>45702</v>
      </c>
      <c r="B6" s="2" t="s">
        <v>3</v>
      </c>
      <c r="C6" s="3"/>
      <c r="D6" s="6">
        <v>188</v>
      </c>
      <c r="E6" s="4"/>
    </row>
    <row x14ac:dyDescent="0.25" r="7" customHeight="1" ht="17.25">
      <c r="A7" s="8">
        <v>45705</v>
      </c>
      <c r="B7" s="9" t="s">
        <v>3</v>
      </c>
      <c r="C7" s="3"/>
      <c r="D7" s="6">
        <v>9</v>
      </c>
      <c r="E7" s="6">
        <v>0</v>
      </c>
    </row>
    <row x14ac:dyDescent="0.25" r="8" customHeight="1" ht="17.25">
      <c r="A8" s="7">
        <v>45710</v>
      </c>
      <c r="B8" s="2" t="s">
        <v>2</v>
      </c>
      <c r="C8" s="6">
        <v>1</v>
      </c>
      <c r="D8" s="4"/>
      <c r="E8" s="4"/>
    </row>
    <row x14ac:dyDescent="0.25" r="9" customHeight="1" ht="17.25">
      <c r="A9" s="7">
        <v>45712</v>
      </c>
      <c r="B9" s="2" t="s">
        <v>3</v>
      </c>
      <c r="C9" s="3"/>
      <c r="D9" s="6">
        <v>1</v>
      </c>
      <c r="E9" s="4"/>
    </row>
    <row x14ac:dyDescent="0.25" r="10" customHeight="1" ht="17.25">
      <c r="A10" s="7">
        <v>45714</v>
      </c>
      <c r="B10" s="2" t="s">
        <v>2</v>
      </c>
      <c r="C10" s="6">
        <v>39</v>
      </c>
      <c r="D10" s="4"/>
      <c r="E10" s="4"/>
    </row>
    <row x14ac:dyDescent="0.25" r="11" customHeight="1" ht="17.25">
      <c r="A11" s="8">
        <v>45717</v>
      </c>
      <c r="B11" s="9" t="s">
        <v>3</v>
      </c>
      <c r="C11" s="3"/>
      <c r="D11" s="6">
        <v>39</v>
      </c>
      <c r="E11" s="4"/>
    </row>
    <row x14ac:dyDescent="0.25" r="12" customHeight="1" ht="17.25">
      <c r="A12" s="8">
        <v>45724</v>
      </c>
      <c r="B12" s="9" t="s">
        <v>2</v>
      </c>
      <c r="C12" s="6">
        <v>77</v>
      </c>
      <c r="D12" s="4"/>
      <c r="E12" s="4"/>
    </row>
    <row x14ac:dyDescent="0.25" r="13" customHeight="1" ht="17.25">
      <c r="A13" s="7">
        <v>45730</v>
      </c>
      <c r="B13" s="2" t="s">
        <v>3</v>
      </c>
      <c r="C13" s="6">
        <v>140</v>
      </c>
      <c r="D13" s="4"/>
      <c r="E13" s="4"/>
    </row>
    <row x14ac:dyDescent="0.25" r="14" customHeight="1" ht="17.25">
      <c r="A14" s="7">
        <v>45737</v>
      </c>
      <c r="B14" s="2" t="s">
        <v>2</v>
      </c>
      <c r="C14" s="6">
        <v>5</v>
      </c>
      <c r="D14" s="4"/>
      <c r="E14" s="4"/>
    </row>
    <row x14ac:dyDescent="0.25" r="15" customHeight="1" ht="17.25">
      <c r="A15" s="7">
        <v>45737</v>
      </c>
      <c r="B15" s="2" t="s">
        <v>3</v>
      </c>
      <c r="C15" s="6">
        <v>90</v>
      </c>
      <c r="D15" s="4"/>
      <c r="E15" s="4"/>
    </row>
    <row x14ac:dyDescent="0.25" r="16" customHeight="1" ht="17.25">
      <c r="A16" s="7">
        <v>45764</v>
      </c>
      <c r="B16" s="2" t="s">
        <v>4</v>
      </c>
      <c r="C16" s="3"/>
      <c r="D16" s="6">
        <v>2</v>
      </c>
      <c r="E16" s="4"/>
    </row>
    <row x14ac:dyDescent="0.25" r="17" customHeight="1" ht="17.25">
      <c r="A17" s="7">
        <v>45765</v>
      </c>
      <c r="B17" s="2" t="s">
        <v>4</v>
      </c>
      <c r="C17" s="3"/>
      <c r="D17" s="6">
        <v>22</v>
      </c>
      <c r="E17" s="4"/>
    </row>
    <row x14ac:dyDescent="0.25" r="18" customHeight="1" ht="17.25">
      <c r="A18" s="8">
        <v>45840</v>
      </c>
      <c r="B18" s="9" t="s">
        <v>4</v>
      </c>
      <c r="C18" s="6">
        <v>8</v>
      </c>
      <c r="D18" s="4"/>
      <c r="E18" s="4"/>
    </row>
    <row x14ac:dyDescent="0.25" r="19" customHeight="1" ht="17.25">
      <c r="A19" s="7">
        <v>45960</v>
      </c>
      <c r="B19" s="2" t="s">
        <v>3</v>
      </c>
      <c r="C19" s="6">
        <v>5</v>
      </c>
      <c r="D19" s="4"/>
      <c r="E19" s="4"/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148</vt:i4>
      </vt:variant>
    </vt:vector>
  </HeadingPairs>
  <TitlesOfParts>
    <vt:vector baseType="lpstr" size="148">
      <vt:lpstr>MF 190</vt:lpstr>
      <vt:lpstr>MF 170</vt:lpstr>
      <vt:lpstr>MF 150</vt:lpstr>
      <vt:lpstr>LF 120</vt:lpstr>
      <vt:lpstr>LF 90</vt:lpstr>
      <vt:lpstr>LF 50</vt:lpstr>
      <vt:lpstr>CB 220</vt:lpstr>
      <vt:lpstr>CB 205</vt:lpstr>
      <vt:lpstr>CB 193</vt:lpstr>
      <vt:lpstr>CB 185</vt:lpstr>
      <vt:lpstr>JOINPIN</vt:lpstr>
      <vt:lpstr>JB 60</vt:lpstr>
      <vt:lpstr>UH 60</vt:lpstr>
      <vt:lpstr>JB 40</vt:lpstr>
      <vt:lpstr>UH 40</vt:lpstr>
      <vt:lpstr>JB 55 PCH</vt:lpstr>
      <vt:lpstr>UH 55 PCH</vt:lpstr>
      <vt:lpstr>JB 60 PCH</vt:lpstr>
      <vt:lpstr>UH 60 PCH</vt:lpstr>
      <vt:lpstr>JB 70 PCH</vt:lpstr>
      <vt:lpstr>UH 70 PCH</vt:lpstr>
      <vt:lpstr>JB 85</vt:lpstr>
      <vt:lpstr>UH 85</vt:lpstr>
      <vt:lpstr>CATWALK</vt:lpstr>
      <vt:lpstr>TANGGA 170</vt:lpstr>
      <vt:lpstr>TANGGA 190</vt:lpstr>
      <vt:lpstr>FIXED CLAMP</vt:lpstr>
      <vt:lpstr>SWIVEL CLAMP</vt:lpstr>
      <vt:lpstr>BEAM CLAMP</vt:lpstr>
      <vt:lpstr>SLEEVE COUPLER</vt:lpstr>
      <vt:lpstr>PIPE SUPPORT</vt:lpstr>
      <vt:lpstr>PIPA 1</vt:lpstr>
      <vt:lpstr>PIPA 1.2</vt:lpstr>
      <vt:lpstr>PIPA 1.5</vt:lpstr>
      <vt:lpstr>PIPA 2</vt:lpstr>
      <vt:lpstr>PIPA 3</vt:lpstr>
      <vt:lpstr>PIPA 4</vt:lpstr>
      <vt:lpstr>PIPA 6</vt:lpstr>
      <vt:lpstr>RODA</vt:lpstr>
      <vt:lpstr>HORRY BEAM</vt:lpstr>
      <vt:lpstr>BASE PLATE</vt:lpstr>
      <vt:lpstr>JOINER</vt:lpstr>
      <vt:lpstr>CANTILEVER 0.9</vt:lpstr>
      <vt:lpstr>ASIBA 1</vt:lpstr>
      <vt:lpstr>ASIBA 1.6</vt:lpstr>
      <vt:lpstr>ASIBA 2</vt:lpstr>
      <vt:lpstr>ASIBA 3</vt:lpstr>
      <vt:lpstr>ASIBA 4</vt:lpstr>
      <vt:lpstr>LEDGER 0.6 RL</vt:lpstr>
      <vt:lpstr>LEDGER 0.9 RL</vt:lpstr>
      <vt:lpstr>LEDGER 1.2 RL</vt:lpstr>
      <vt:lpstr>LEDGER 1.5 RL</vt:lpstr>
      <vt:lpstr>LEDGER 1.8 RL</vt:lpstr>
      <vt:lpstr>V BEAM BRACKET</vt:lpstr>
      <vt:lpstr>VERTICAL 1 RL</vt:lpstr>
      <vt:lpstr>VERTICAL 2 RL</vt:lpstr>
      <vt:lpstr>LEDGER 0.6 PCH</vt:lpstr>
      <vt:lpstr>LEDGER 0.9 PCH</vt:lpstr>
      <vt:lpstr>LEDGER 1.2 PCH</vt:lpstr>
      <vt:lpstr>LEDGER 1.5 PCH</vt:lpstr>
      <vt:lpstr>LEDGER 1.8 PCH</vt:lpstr>
      <vt:lpstr>VERTICAL 0.5 PCH</vt:lpstr>
      <vt:lpstr>VERTICAL 1 PCH</vt:lpstr>
      <vt:lpstr>VERTICAL 1.5 PCH</vt:lpstr>
      <vt:lpstr>VERTICAL 2 PCH</vt:lpstr>
      <vt:lpstr>TANGGA PCH</vt:lpstr>
      <vt:lpstr>H 4X6X1</vt:lpstr>
      <vt:lpstr>H 4X6X1.5</vt:lpstr>
      <vt:lpstr>H 4X6X2</vt:lpstr>
      <vt:lpstr>H 4X6X2.5</vt:lpstr>
      <vt:lpstr>H 4X6X3</vt:lpstr>
      <vt:lpstr>H 4X6X3.5</vt:lpstr>
      <vt:lpstr>H 4X6X4</vt:lpstr>
      <vt:lpstr>H 4X6X6</vt:lpstr>
      <vt:lpstr>H 5X5X1</vt:lpstr>
      <vt:lpstr>H 5X5X1.2</vt:lpstr>
      <vt:lpstr>H 5X5X1.5</vt:lpstr>
      <vt:lpstr>H 5X5X2</vt:lpstr>
      <vt:lpstr>H 5X5X2.4</vt:lpstr>
      <vt:lpstr>H 5X5X2.5</vt:lpstr>
      <vt:lpstr>H 5X5X3</vt:lpstr>
      <vt:lpstr>H 5X5X4</vt:lpstr>
      <vt:lpstr>H 5X5X6</vt:lpstr>
      <vt:lpstr>H 5X10X1.5</vt:lpstr>
      <vt:lpstr>H 5X10X2</vt:lpstr>
      <vt:lpstr>H 5X10X2.5</vt:lpstr>
      <vt:lpstr>H 5X10X3</vt:lpstr>
      <vt:lpstr>H 5X10X3.5</vt:lpstr>
      <vt:lpstr>H 5X10X4</vt:lpstr>
      <vt:lpstr>SURI 4X6X1</vt:lpstr>
      <vt:lpstr>SURI 4X6X1.5</vt:lpstr>
      <vt:lpstr>SURI 4X6X2</vt:lpstr>
      <vt:lpstr>SURI 5X10X1.5</vt:lpstr>
      <vt:lpstr>SURI 5X10X2</vt:lpstr>
      <vt:lpstr>SIKU 25X25</vt:lpstr>
      <vt:lpstr>SIKU 30X30</vt:lpstr>
      <vt:lpstr>SIKU 30X35</vt:lpstr>
      <vt:lpstr>SIKU 35X35</vt:lpstr>
      <vt:lpstr>SIKU 35X40</vt:lpstr>
      <vt:lpstr>SIKU 40X40</vt:lpstr>
      <vt:lpstr>SIKU 45X40</vt:lpstr>
      <vt:lpstr>SIKU 40X50</vt:lpstr>
      <vt:lpstr>SIKU 45X45</vt:lpstr>
      <vt:lpstr>SIKU 45X50</vt:lpstr>
      <vt:lpstr>SIKU 50X50</vt:lpstr>
      <vt:lpstr>SIKU 60X60</vt:lpstr>
      <vt:lpstr>SIKU 70X70</vt:lpstr>
      <vt:lpstr>KAWEL</vt:lpstr>
      <vt:lpstr>TIEBAR 40</vt:lpstr>
      <vt:lpstr>TIEBAR 50</vt:lpstr>
      <vt:lpstr>TIEBAR 60</vt:lpstr>
      <vt:lpstr>TIEBAR 70</vt:lpstr>
      <vt:lpstr>TIEBAR 80</vt:lpstr>
      <vt:lpstr>TIEROD 0.4</vt:lpstr>
      <vt:lpstr>TIEROD 0.5</vt:lpstr>
      <vt:lpstr>TIEROD 0.6</vt:lpstr>
      <vt:lpstr>TIEROD 0.7</vt:lpstr>
      <vt:lpstr>TIEROD 0.8</vt:lpstr>
      <vt:lpstr>TIEROD 0.95</vt:lpstr>
      <vt:lpstr>TIEROD 1</vt:lpstr>
      <vt:lpstr>TIEROD 1.2</vt:lpstr>
      <vt:lpstr>TIEROD 1.5</vt:lpstr>
      <vt:lpstr>TIEROD 2</vt:lpstr>
      <vt:lpstr>TIEROD 3</vt:lpstr>
      <vt:lpstr>TIEROD 6</vt:lpstr>
      <vt:lpstr>WINGNUT</vt:lpstr>
      <vt:lpstr>PUSH PULL 1</vt:lpstr>
      <vt:lpstr>PUSH PULL 2</vt:lpstr>
      <vt:lpstr>PUSH PULL 3</vt:lpstr>
      <vt:lpstr>SW 1170</vt:lpstr>
      <vt:lpstr>SW 1730</vt:lpstr>
      <vt:lpstr>SW 2340</vt:lpstr>
      <vt:lpstr>SW 3560</vt:lpstr>
      <vt:lpstr>SW 4780</vt:lpstr>
      <vt:lpstr>COUPLING 1M</vt:lpstr>
      <vt:lpstr>CNP 125X3.5M</vt:lpstr>
      <vt:lpstr>CNP 125 X 4 M</vt:lpstr>
      <vt:lpstr>CC 640X640</vt:lpstr>
      <vt:lpstr>CC 640X780</vt:lpstr>
      <vt:lpstr>WEDGE K</vt:lpstr>
      <vt:lpstr>WEDGE KZ</vt:lpstr>
      <vt:lpstr>WEDGE HEAD PIECE</vt:lpstr>
      <vt:lpstr>Sheet8</vt:lpstr>
      <vt:lpstr>Sheet9</vt:lpstr>
      <vt:lpstr>Sheet10</vt:lpstr>
      <vt:lpstr>Sheet11</vt:lpstr>
      <vt:lpstr>Sheet13</vt:lpstr>
      <vt:lpstr>Sheet14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2025-12-22T09:19:27.821Z</dcterms:created>
  <dcterms:modified xsi:type="dcterms:W3CDTF">2025-12-22T09:19:27.821Z</dcterms:modified>
</cp:coreProperties>
</file>