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PA 2022\"/>
    </mc:Choice>
  </mc:AlternateContent>
  <bookViews>
    <workbookView xWindow="0" yWindow="0" windowWidth="20490" windowHeight="7755" firstSheet="3" activeTab="3"/>
  </bookViews>
  <sheets>
    <sheet name="MF 170 (DTF101)" sheetId="1" r:id="rId1"/>
    <sheet name="MF 190 (DTF101A)" sheetId="2" r:id="rId2"/>
    <sheet name="MF 150" sheetId="3" r:id="rId3"/>
    <sheet name="CB 220" sheetId="4" r:id="rId4"/>
    <sheet name="CB 193" sheetId="5" r:id="rId5"/>
    <sheet name="CB 205" sheetId="8" r:id="rId6"/>
    <sheet name="CB 136" sheetId="9" r:id="rId7"/>
    <sheet name="CB 185" sheetId="82" r:id="rId8"/>
    <sheet name="CB 172(173)" sheetId="95" r:id="rId9"/>
    <sheet name="LD.90" sheetId="7" r:id="rId10"/>
    <sheet name="LD 50" sheetId="11" r:id="rId11"/>
    <sheet name="LD 120" sheetId="12" r:id="rId12"/>
    <sheet name="JOIN PIN" sheetId="45" r:id="rId13"/>
    <sheet name="JB 60" sheetId="13" r:id="rId14"/>
    <sheet name="UH 60" sheetId="14" r:id="rId15"/>
    <sheet name="JB 40" sheetId="15" r:id="rId16"/>
    <sheet name="UH 40" sheetId="16" r:id="rId17"/>
    <sheet name="TANGGA 170" sheetId="17" r:id="rId18"/>
    <sheet name="TANGGA 190" sheetId="18" r:id="rId19"/>
    <sheet name="CATWALK" sheetId="19" r:id="rId20"/>
    <sheet name="CATWALK-PCH" sheetId="21" r:id="rId21"/>
    <sheet name="TANGGA-PCH" sheetId="41" r:id="rId22"/>
    <sheet name="CATWALK-CONEL" sheetId="22" r:id="rId23"/>
    <sheet name="PIPA SUPORT" sheetId="23" r:id="rId24"/>
    <sheet name="SWIVELCLAMP" sheetId="24" r:id="rId25"/>
    <sheet name="FIXED CLAMP" sheetId="20" r:id="rId26"/>
    <sheet name="BEAM CLAMP" sheetId="25" r:id="rId27"/>
    <sheet name="DOUBLE SWIVEL" sheetId="131" r:id="rId28"/>
    <sheet name="HB" sheetId="26" r:id="rId29"/>
    <sheet name="RODA" sheetId="27" r:id="rId30"/>
    <sheet name="PIPA 1M" sheetId="28" r:id="rId31"/>
    <sheet name="PIPA 1.5M" sheetId="96" r:id="rId32"/>
    <sheet name="PIPA 2M" sheetId="29" r:id="rId33"/>
    <sheet name="PIPA 2.5 M" sheetId="40" r:id="rId34"/>
    <sheet name="PIPA 3M" sheetId="30" r:id="rId35"/>
    <sheet name="PIPA 4M" sheetId="31" r:id="rId36"/>
    <sheet name="PIPA 5M" sheetId="32" r:id="rId37"/>
    <sheet name="PIPA 6 M" sheetId="39" r:id="rId38"/>
    <sheet name="UH 85" sheetId="33" r:id="rId39"/>
    <sheet name="JB 85" sheetId="34" r:id="rId40"/>
    <sheet name="UH 55" sheetId="35" r:id="rId41"/>
    <sheet name="JB 55" sheetId="36" r:id="rId42"/>
    <sheet name="JB 60 PCH" sheetId="37" r:id="rId43"/>
    <sheet name="UH 60 PCH" sheetId="38" r:id="rId44"/>
    <sheet name="TANGGA KOLOM" sheetId="42" r:id="rId45"/>
    <sheet name="HOLLOW.4X6X1" sheetId="46" r:id="rId46"/>
    <sheet name="HOLLOW.4X6X1.2" sheetId="47" r:id="rId47"/>
    <sheet name="HOLLOW.4X6X1.5" sheetId="49" r:id="rId48"/>
    <sheet name="HOLLOW.4X6X2" sheetId="43" r:id="rId49"/>
    <sheet name="HOLLOW.4X6X2.5" sheetId="51" r:id="rId50"/>
    <sheet name="HOLLOW.4X6X3" sheetId="52" r:id="rId51"/>
    <sheet name="HOLLOW.4X6X3.5" sheetId="54" r:id="rId52"/>
    <sheet name="HOLLOW.4X6X4" sheetId="56" r:id="rId53"/>
    <sheet name="HOLLOW.4X6X6" sheetId="57" r:id="rId54"/>
    <sheet name="HOLLOW.5X10X1,5" sheetId="55" r:id="rId55"/>
    <sheet name="HOLLOW.5X10X2" sheetId="53" r:id="rId56"/>
    <sheet name="HOLLOW.5X10X2.5" sheetId="58" r:id="rId57"/>
    <sheet name="HOLLOW.5X10X3" sheetId="59" r:id="rId58"/>
    <sheet name="HOLLOW.5X10X4" sheetId="60" r:id="rId59"/>
    <sheet name="HOLLOW.5X10X6" sheetId="61" r:id="rId60"/>
    <sheet name="HOLLOW 5X5X2" sheetId="65" r:id="rId61"/>
    <sheet name="HOLLOW. 5X5X2.5" sheetId="66" r:id="rId62"/>
    <sheet name="HOLLOW.5X5X3" sheetId="63" r:id="rId63"/>
    <sheet name="VERTICAL 0.5" sheetId="81" r:id="rId64"/>
    <sheet name="VERTICAL 1 M" sheetId="86" r:id="rId65"/>
    <sheet name="VERTICAL 1.5" sheetId="74" r:id="rId66"/>
    <sheet name="VERTICAL 2" sheetId="73" r:id="rId67"/>
    <sheet name="LEDGER 0.6" sheetId="141" r:id="rId68"/>
    <sheet name="LEDGER 0.9" sheetId="88" r:id="rId69"/>
    <sheet name="LEDGER 1.2" sheetId="75" r:id="rId70"/>
    <sheet name="LEDGER 1.5" sheetId="79" r:id="rId71"/>
    <sheet name="LEDGER 1,8PCH" sheetId="87" r:id="rId72"/>
    <sheet name="TRIGGER BRACE 2.75" sheetId="140" r:id="rId73"/>
    <sheet name="TIE ROD 50" sheetId="139" r:id="rId74"/>
    <sheet name="TIEROD 40" sheetId="126" r:id="rId75"/>
    <sheet name="TIEROD-16" sheetId="136" r:id="rId76"/>
    <sheet name="TIEROD 0.6 M" sheetId="67" r:id="rId77"/>
    <sheet name="TIEROD 0.7 M" sheetId="68" r:id="rId78"/>
    <sheet name="TIEROD 0.8 M" sheetId="69" r:id="rId79"/>
    <sheet name="TIEROD 1 M" sheetId="70" r:id="rId80"/>
    <sheet name="TIEROD 1.2 M " sheetId="71" r:id="rId81"/>
    <sheet name="TIEROD 1.5 M" sheetId="85" r:id="rId82"/>
    <sheet name="TIEROD 2 M" sheetId="72" r:id="rId83"/>
    <sheet name="TIE BAR 1 M" sheetId="83" r:id="rId84"/>
    <sheet name="TIE BAR 40" sheetId="120" r:id="rId85"/>
    <sheet name="BASE PLAT" sheetId="106" r:id="rId86"/>
    <sheet name="TIEBAR 60" sheetId="84" r:id="rId87"/>
    <sheet name="TIE-YORK" sheetId="134" r:id="rId88"/>
    <sheet name="SBB.30X35" sheetId="103" r:id="rId89"/>
    <sheet name="SBB.40X35" sheetId="104" r:id="rId90"/>
    <sheet name="SBB.40X50" sheetId="125" r:id="rId91"/>
    <sheet name="SBB.40X45" sheetId="124" r:id="rId92"/>
    <sheet name="SBB.45X45" sheetId="123" r:id="rId93"/>
    <sheet name="SBB.40X40" sheetId="105" r:id="rId94"/>
    <sheet name="SBB 50X50" sheetId="121" r:id="rId95"/>
    <sheet name="SBB 50X45" sheetId="122" r:id="rId96"/>
    <sheet name="SURI&quot; 4X6X1" sheetId="100" r:id="rId97"/>
    <sheet name="SURI&quot;4X6X1.5" sheetId="89" r:id="rId98"/>
    <sheet name="SURI&quot;4X6X2" sheetId="90" r:id="rId99"/>
    <sheet name="SURI&quot;5X10X1.5" sheetId="78" r:id="rId100"/>
    <sheet name="SURI&quot;5X10X2" sheetId="91" r:id="rId101"/>
    <sheet name="WING NUT" sheetId="80" r:id="rId102"/>
    <sheet name="WADGE HP" sheetId="117" r:id="rId103"/>
    <sheet name="WADGE KZ" sheetId="118" r:id="rId104"/>
    <sheet name="WADGE K" sheetId="119" r:id="rId105"/>
    <sheet name="METAL PLANK 4 M" sheetId="101" r:id="rId106"/>
    <sheet name="METALPLANK 2M" sheetId="93" r:id="rId107"/>
    <sheet name="METALPLANK-1.6" sheetId="94" r:id="rId108"/>
    <sheet name="CANTILEVER " sheetId="92" r:id="rId109"/>
    <sheet name="COUPLING 1M" sheetId="108" r:id="rId110"/>
    <sheet name="COUPLING 1.5M" sheetId="113" r:id="rId111"/>
    <sheet name="C.COUPLING.760X760" sheetId="109" r:id="rId112"/>
    <sheet name="C.WELLER.500X700" sheetId="132" r:id="rId113"/>
    <sheet name="C.WELLER.650X700" sheetId="135" r:id="rId114"/>
    <sheet name="PUSHPULL.1M" sheetId="111" r:id="rId115"/>
    <sheet name="PUSHPULL.2M" sheetId="112" r:id="rId116"/>
    <sheet name="PUSHPULL.3M" sheetId="127" r:id="rId117"/>
    <sheet name="CNP 420" sheetId="76" r:id="rId118"/>
    <sheet name="S.WELLER 117" sheetId="128" r:id="rId119"/>
    <sheet name="S.WELLER 173" sheetId="129" r:id="rId120"/>
    <sheet name="S.WELLER 224" sheetId="130" r:id="rId121"/>
    <sheet name="S.WELLER 234" sheetId="114" r:id="rId122"/>
    <sheet name="S.WELLER 4780" sheetId="115" r:id="rId123"/>
    <sheet name="S.WELLER 356" sheetId="116" r:id="rId124"/>
    <sheet name="MUR JB-UH60" sheetId="107" r:id="rId125"/>
    <sheet name="MUR+BAUT.19M" sheetId="133" r:id="rId126"/>
    <sheet name="SIKU L" sheetId="77" r:id="rId127"/>
    <sheet name="RING LOK" sheetId="110" r:id="rId128"/>
    <sheet name="DIAGONAL BRACE 2M" sheetId="137" r:id="rId129"/>
    <sheet name="DIAGONAL BRACE 2.5" sheetId="138" r:id="rId130"/>
    <sheet name="PIN CB" sheetId="142" r:id="rId131"/>
    <sheet name="BEHEL 19 MM" sheetId="143" r:id="rId132"/>
    <sheet name="TNUT" sheetId="144" r:id="rId133"/>
  </sheets>
  <definedNames>
    <definedName name="_xlnm.Print_Area" localSheetId="19">CATWALK!$A$1:$W$4</definedName>
  </definedNames>
  <calcPr calcId="152511"/>
</workbook>
</file>

<file path=xl/calcChain.xml><?xml version="1.0" encoding="utf-8"?>
<calcChain xmlns="http://schemas.openxmlformats.org/spreadsheetml/2006/main">
  <c r="E321" i="4" l="1"/>
  <c r="E322" i="4" s="1"/>
  <c r="E323" i="4" s="1"/>
  <c r="E58" i="17"/>
  <c r="E247" i="45"/>
  <c r="E248" i="45" s="1"/>
  <c r="E183" i="2"/>
  <c r="E184" i="2"/>
  <c r="E13" i="94" l="1"/>
  <c r="E144" i="13"/>
  <c r="E145" i="13"/>
  <c r="E146" i="13" s="1"/>
  <c r="E213" i="19"/>
  <c r="E214" i="19"/>
  <c r="E246" i="45"/>
  <c r="E82" i="39"/>
  <c r="E83" i="39" s="1"/>
  <c r="E71" i="30"/>
  <c r="E72" i="30" s="1"/>
  <c r="E99" i="24"/>
  <c r="E100" i="24" s="1"/>
  <c r="E57" i="17"/>
  <c r="E97" i="24"/>
  <c r="E98" i="24" s="1"/>
  <c r="E115" i="14"/>
  <c r="E116" i="14" s="1"/>
  <c r="E117" i="14" s="1"/>
  <c r="E118" i="14" s="1"/>
  <c r="E7" i="26"/>
  <c r="E13" i="53"/>
  <c r="E14" i="53"/>
  <c r="E15" i="53" s="1"/>
  <c r="E16" i="53" s="1"/>
  <c r="E212" i="19"/>
  <c r="E320" i="4"/>
  <c r="E158" i="1"/>
  <c r="E159" i="1" s="1"/>
  <c r="E211" i="19" l="1"/>
  <c r="E319" i="4"/>
  <c r="E156" i="1"/>
  <c r="E157" i="1" s="1"/>
  <c r="E126" i="5"/>
  <c r="E127" i="5" s="1"/>
  <c r="E128" i="5" s="1"/>
  <c r="E244" i="45"/>
  <c r="E245" i="45" s="1"/>
  <c r="E318" i="4"/>
  <c r="E143" i="13"/>
  <c r="E209" i="19"/>
  <c r="E210" i="19" s="1"/>
  <c r="E181" i="2"/>
  <c r="E182" i="2" s="1"/>
  <c r="E243" i="45"/>
  <c r="E316" i="4"/>
  <c r="E317" i="4" s="1"/>
  <c r="E208" i="19"/>
  <c r="E9" i="87"/>
  <c r="E10" i="87" s="1"/>
  <c r="E11" i="87" s="1"/>
  <c r="E10" i="75"/>
  <c r="E11" i="86"/>
  <c r="E12" i="86" s="1"/>
  <c r="E9" i="74"/>
  <c r="E18" i="73"/>
  <c r="E19" i="73"/>
  <c r="E242" i="45"/>
  <c r="E241" i="45"/>
  <c r="E315" i="4"/>
  <c r="E155" i="1"/>
  <c r="E114" i="14"/>
  <c r="E207" i="19"/>
  <c r="E96" i="24"/>
  <c r="E80" i="39"/>
  <c r="E81" i="39" s="1"/>
  <c r="E205" i="19"/>
  <c r="E206" i="19" s="1"/>
  <c r="E142" i="13"/>
  <c r="E239" i="45"/>
  <c r="E240" i="45" s="1"/>
  <c r="E314" i="4"/>
  <c r="E313" i="4"/>
  <c r="E91" i="7"/>
  <c r="E92" i="7"/>
  <c r="E93" i="7" s="1"/>
  <c r="E180" i="2"/>
  <c r="E238" i="45"/>
  <c r="E311" i="4"/>
  <c r="E312" i="4" s="1"/>
  <c r="E204" i="19"/>
  <c r="E177" i="2"/>
  <c r="E178" i="2"/>
  <c r="E179" i="2" s="1"/>
  <c r="E79" i="39"/>
  <c r="E37" i="31"/>
  <c r="E38" i="31" s="1"/>
  <c r="E70" i="30"/>
  <c r="E55" i="29"/>
  <c r="E56" i="29" s="1"/>
  <c r="E203" i="19"/>
  <c r="E154" i="1"/>
  <c r="E95" i="24"/>
  <c r="E59" i="18"/>
  <c r="E94" i="24"/>
  <c r="E93" i="24"/>
  <c r="E140" i="13"/>
  <c r="E141" i="13" s="1"/>
  <c r="E310" i="4"/>
  <c r="E237" i="45"/>
  <c r="E153" i="1"/>
  <c r="E236" i="45"/>
  <c r="E309" i="4"/>
  <c r="E152" i="1"/>
  <c r="E21" i="52" l="1"/>
  <c r="E22" i="52" s="1"/>
  <c r="E90" i="7"/>
  <c r="E235" i="45"/>
  <c r="E202" i="19"/>
  <c r="E308" i="4"/>
  <c r="E176" i="2"/>
  <c r="E234" i="45"/>
  <c r="E175" i="2"/>
  <c r="E307" i="4"/>
  <c r="E201" i="19"/>
  <c r="E306" i="4"/>
  <c r="E174" i="2"/>
  <c r="E233" i="45"/>
  <c r="E200" i="19"/>
  <c r="E88" i="7"/>
  <c r="E89" i="7" s="1"/>
  <c r="E303" i="4"/>
  <c r="E304" i="4" s="1"/>
  <c r="E305" i="4" s="1"/>
  <c r="E151" i="1"/>
  <c r="E232" i="45"/>
  <c r="E78" i="39"/>
  <c r="E69" i="30"/>
  <c r="E54" i="29"/>
  <c r="E139" i="13"/>
  <c r="E199" i="19"/>
  <c r="E172" i="2"/>
  <c r="E173" i="2" s="1"/>
  <c r="E231" i="45"/>
  <c r="E302" i="4"/>
  <c r="E198" i="19"/>
  <c r="E113" i="14"/>
  <c r="E229" i="45"/>
  <c r="E230" i="45" s="1"/>
  <c r="E301" i="4"/>
  <c r="E149" i="1"/>
  <c r="E150" i="1"/>
  <c r="E196" i="19"/>
  <c r="E197" i="19" s="1"/>
  <c r="E137" i="13"/>
  <c r="E138" i="13"/>
  <c r="E169" i="2"/>
  <c r="E170" i="2" s="1"/>
  <c r="E171" i="2" s="1"/>
  <c r="E13" i="70"/>
  <c r="E14" i="70" s="1"/>
  <c r="E12" i="70"/>
  <c r="E20" i="52"/>
  <c r="E21" i="80"/>
  <c r="E23" i="80"/>
  <c r="E112" i="14"/>
  <c r="E228" i="45"/>
  <c r="E299" i="4"/>
  <c r="E300" i="4" s="1"/>
  <c r="E19" i="52"/>
  <c r="E28" i="59"/>
  <c r="E27" i="59"/>
  <c r="E110" i="14"/>
  <c r="E111" i="14" s="1"/>
  <c r="E147" i="1"/>
  <c r="E148" i="1"/>
  <c r="E194" i="19"/>
  <c r="E195" i="19" s="1"/>
  <c r="E136" i="13"/>
  <c r="E298" i="4"/>
  <c r="E12" i="57"/>
  <c r="E13" i="57" s="1"/>
  <c r="E134" i="13"/>
  <c r="E135" i="13" s="1"/>
  <c r="E91" i="24"/>
  <c r="E92" i="24" s="1"/>
  <c r="E226" i="45"/>
  <c r="E227" i="45" s="1"/>
  <c r="E68" i="30"/>
  <c r="E51" i="29"/>
  <c r="E52" i="29"/>
  <c r="E53" i="29" s="1"/>
  <c r="E54" i="18"/>
  <c r="E55" i="18" s="1"/>
  <c r="E56" i="18" s="1"/>
  <c r="E57" i="18" s="1"/>
  <c r="E58" i="18" s="1"/>
  <c r="E54" i="17"/>
  <c r="E55" i="17" s="1"/>
  <c r="E56" i="17" s="1"/>
  <c r="E53" i="18"/>
  <c r="E52" i="18"/>
  <c r="E47" i="18"/>
  <c r="E48" i="18" s="1"/>
  <c r="E49" i="18" s="1"/>
  <c r="E50" i="18" s="1"/>
  <c r="E51" i="18" s="1"/>
  <c r="E49" i="17"/>
  <c r="E50" i="17" s="1"/>
  <c r="E51" i="17" s="1"/>
  <c r="E52" i="17" s="1"/>
  <c r="E53" i="17" s="1"/>
  <c r="E76" i="39"/>
  <c r="E77" i="39" s="1"/>
  <c r="E225" i="45"/>
  <c r="E297" i="4"/>
  <c r="E87" i="7"/>
  <c r="E146" i="1"/>
  <c r="E26" i="59"/>
  <c r="E18" i="52"/>
  <c r="E17" i="52"/>
  <c r="E85" i="7"/>
  <c r="E86" i="7" s="1"/>
  <c r="E295" i="4"/>
  <c r="E296" i="4"/>
  <c r="E166" i="2"/>
  <c r="E167" i="2"/>
  <c r="E168" i="2" s="1"/>
  <c r="E108" i="14"/>
  <c r="E109" i="14" s="1"/>
  <c r="E224" i="45"/>
  <c r="E294" i="4"/>
  <c r="E144" i="1"/>
  <c r="E145" i="1" s="1"/>
  <c r="E75" i="39"/>
  <c r="E50" i="29"/>
  <c r="E107" i="14"/>
  <c r="E132" i="13"/>
  <c r="E133" i="13"/>
  <c r="E84" i="7"/>
  <c r="E67" i="30"/>
  <c r="E293" i="4"/>
  <c r="E129" i="13"/>
  <c r="E130" i="13" s="1"/>
  <c r="E131" i="13" s="1"/>
  <c r="E191" i="19"/>
  <c r="E192" i="19" s="1"/>
  <c r="E193" i="19" s="1"/>
  <c r="E74" i="39"/>
  <c r="E105" i="14"/>
  <c r="E106" i="14"/>
  <c r="E223" i="45"/>
  <c r="E288" i="4"/>
  <c r="E289" i="4" s="1"/>
  <c r="E290" i="4" s="1"/>
  <c r="E291" i="4" s="1"/>
  <c r="E292" i="4" s="1"/>
  <c r="E142" i="1"/>
  <c r="E143" i="1" s="1"/>
  <c r="E30" i="20"/>
  <c r="E31" i="20"/>
  <c r="E16" i="52" l="1"/>
  <c r="E25" i="59"/>
  <c r="E82" i="7" l="1"/>
  <c r="E83" i="7"/>
  <c r="E217" i="45"/>
  <c r="E218" i="45"/>
  <c r="E219" i="45" s="1"/>
  <c r="E220" i="45" s="1"/>
  <c r="E221" i="45" s="1"/>
  <c r="E222" i="45" s="1"/>
  <c r="E65" i="30" l="1"/>
  <c r="E66" i="30" s="1"/>
  <c r="E49" i="29"/>
  <c r="E7" i="25" l="1"/>
  <c r="E47" i="29"/>
  <c r="E48" i="29" s="1"/>
  <c r="E139" i="1"/>
  <c r="E140" i="1" s="1"/>
  <c r="E141" i="1" s="1"/>
  <c r="E23" i="59" l="1"/>
  <c r="E24" i="59" s="1"/>
  <c r="E104" i="14"/>
  <c r="E216" i="45"/>
  <c r="E287" i="4"/>
  <c r="E138" i="1"/>
  <c r="E137" i="1"/>
  <c r="E286" i="4"/>
  <c r="E102" i="14"/>
  <c r="E103" i="14"/>
  <c r="E190" i="19"/>
  <c r="E215" i="45"/>
  <c r="E285" i="4"/>
  <c r="E128" i="13"/>
  <c r="E214" i="45"/>
  <c r="E64" i="30"/>
  <c r="E46" i="29"/>
  <c r="E19" i="23"/>
  <c r="E20" i="23"/>
  <c r="E284" i="4"/>
  <c r="E136" i="1"/>
  <c r="E213" i="45"/>
  <c r="E188" i="19"/>
  <c r="E189" i="19"/>
  <c r="E81" i="7"/>
  <c r="E212" i="45"/>
  <c r="E282" i="4"/>
  <c r="E283" i="4"/>
  <c r="E187" i="19"/>
  <c r="E80" i="7"/>
  <c r="E165" i="2"/>
  <c r="E22" i="59"/>
  <c r="E135" i="1"/>
  <c r="E281" i="4"/>
  <c r="E211" i="45"/>
  <c r="E100" i="14"/>
  <c r="E101" i="14"/>
  <c r="E126" i="13"/>
  <c r="E127" i="13"/>
  <c r="E210" i="45"/>
  <c r="E280" i="4"/>
  <c r="E134" i="1"/>
  <c r="E132" i="1"/>
  <c r="E133" i="1"/>
  <c r="E279" i="4"/>
  <c r="E209" i="45"/>
  <c r="E63" i="30"/>
  <c r="E183" i="19" l="1"/>
  <c r="E184" i="19" s="1"/>
  <c r="E185" i="19" s="1"/>
  <c r="E186" i="19" s="1"/>
  <c r="E203" i="45"/>
  <c r="E204" i="45" s="1"/>
  <c r="E205" i="45" s="1"/>
  <c r="E206" i="45" s="1"/>
  <c r="E207" i="45" s="1"/>
  <c r="E208" i="45" s="1"/>
  <c r="E272" i="4"/>
  <c r="E273" i="4" s="1"/>
  <c r="E274" i="4" s="1"/>
  <c r="E275" i="4" s="1"/>
  <c r="E276" i="4" s="1"/>
  <c r="E277" i="4" s="1"/>
  <c r="E278" i="4" s="1"/>
  <c r="E77" i="7"/>
  <c r="E78" i="7"/>
  <c r="E79" i="7" s="1"/>
  <c r="E99" i="14" l="1"/>
  <c r="E45" i="29"/>
  <c r="E62" i="30"/>
  <c r="E73" i="39"/>
  <c r="E125" i="13"/>
  <c r="E129" i="1"/>
  <c r="E130" i="1" s="1"/>
  <c r="E131" i="1" s="1"/>
  <c r="E11" i="57"/>
  <c r="E18" i="23"/>
  <c r="E124" i="13"/>
  <c r="E98" i="14"/>
  <c r="E97" i="14"/>
  <c r="E128" i="1"/>
  <c r="E9" i="88"/>
  <c r="E10" i="88"/>
  <c r="E8" i="74"/>
  <c r="E10" i="86"/>
  <c r="E96" i="14"/>
  <c r="E122" i="13"/>
  <c r="E123" i="13"/>
  <c r="E127" i="1"/>
  <c r="E126" i="1"/>
  <c r="E95" i="14"/>
  <c r="E121" i="13"/>
  <c r="E17" i="23"/>
  <c r="E271" i="4"/>
  <c r="E125" i="1"/>
  <c r="E10" i="57"/>
  <c r="E124" i="1"/>
  <c r="E182" i="19"/>
  <c r="E94" i="14"/>
  <c r="E202" i="45"/>
  <c r="E270" i="4"/>
  <c r="E123" i="1"/>
  <c r="E93" i="14"/>
  <c r="E201" i="45"/>
  <c r="E269" i="4"/>
  <c r="E122" i="1"/>
  <c r="E15" i="52"/>
  <c r="E200" i="45"/>
  <c r="E181" i="19"/>
  <c r="E268" i="4"/>
  <c r="E76" i="7"/>
  <c r="E121" i="1"/>
  <c r="E10" i="27"/>
  <c r="E119" i="13"/>
  <c r="E120" i="13" s="1"/>
  <c r="E72" i="39"/>
  <c r="E92" i="14"/>
  <c r="E16" i="23"/>
  <c r="E267" i="4"/>
  <c r="E119" i="1"/>
  <c r="E120" i="1" s="1"/>
  <c r="E75" i="7"/>
  <c r="E199" i="45"/>
  <c r="E118" i="13"/>
  <c r="E265" i="4"/>
  <c r="E266" i="4" s="1"/>
  <c r="E90" i="14"/>
  <c r="E91" i="14"/>
  <c r="E197" i="45"/>
  <c r="E198" i="45"/>
  <c r="E74" i="7"/>
  <c r="E44" i="29"/>
  <c r="E71" i="39"/>
  <c r="E180" i="19"/>
  <c r="E264" i="4" l="1"/>
  <c r="E196" i="45"/>
  <c r="E117" i="1"/>
  <c r="E118" i="1" s="1"/>
  <c r="E263" i="4"/>
  <c r="E262" i="4"/>
  <c r="E89" i="14"/>
  <c r="E261" i="4"/>
  <c r="E179" i="19"/>
  <c r="E117" i="13"/>
  <c r="E260" i="4"/>
  <c r="E11" i="70"/>
  <c r="E88" i="14"/>
  <c r="E194" i="45" l="1"/>
  <c r="E195" i="45" s="1"/>
  <c r="E61" i="30"/>
  <c r="E70" i="39"/>
  <c r="E86" i="14"/>
  <c r="E87" i="14" s="1"/>
  <c r="E72" i="7"/>
  <c r="E73" i="7" s="1"/>
  <c r="E116" i="1"/>
  <c r="E84" i="14" l="1"/>
  <c r="E85" i="14" s="1"/>
  <c r="E258" i="4"/>
  <c r="E259" i="4" s="1"/>
  <c r="E115" i="1"/>
  <c r="E193" i="45"/>
  <c r="E257" i="4"/>
  <c r="E178" i="19"/>
  <c r="E71" i="7"/>
  <c r="E13" i="52"/>
  <c r="E14" i="52" s="1"/>
  <c r="E12" i="52"/>
  <c r="E192" i="45"/>
  <c r="E20" i="80"/>
  <c r="E10" i="70"/>
  <c r="E70" i="7"/>
  <c r="E21" i="59"/>
  <c r="E83" i="14"/>
  <c r="E191" i="45"/>
  <c r="E256" i="4"/>
  <c r="E114" i="1"/>
  <c r="E190" i="45"/>
  <c r="E82" i="14"/>
  <c r="E255" i="4"/>
  <c r="E113" i="1"/>
  <c r="E189" i="45"/>
  <c r="E254" i="4"/>
  <c r="E177" i="19"/>
  <c r="E115" i="13"/>
  <c r="E116" i="13" s="1"/>
  <c r="E252" i="4"/>
  <c r="E253" i="4"/>
  <c r="E176" i="19"/>
  <c r="E188" i="45"/>
  <c r="E112" i="1"/>
  <c r="E114" i="13"/>
  <c r="E81" i="14"/>
  <c r="E69" i="7"/>
  <c r="E175" i="19"/>
  <c r="E80" i="14"/>
  <c r="E186" i="45"/>
  <c r="E187" i="45" s="1"/>
  <c r="E110" i="1"/>
  <c r="E111" i="1" s="1"/>
  <c r="E251" i="4"/>
  <c r="E113" i="13"/>
  <c r="E79" i="14"/>
  <c r="E112" i="13"/>
  <c r="E185" i="45"/>
  <c r="E68" i="7"/>
  <c r="E250" i="4"/>
  <c r="E69" i="39" l="1"/>
  <c r="E111" i="13"/>
  <c r="E249" i="4"/>
  <c r="E110" i="13"/>
  <c r="E67" i="39"/>
  <c r="E68" i="39" s="1"/>
  <c r="E247" i="4"/>
  <c r="E248" i="4" s="1"/>
  <c r="E173" i="19"/>
  <c r="E174" i="19" s="1"/>
  <c r="E184" i="45"/>
  <c r="E78" i="14"/>
  <c r="E108" i="1"/>
  <c r="E109" i="1"/>
  <c r="E182" i="45"/>
  <c r="E183" i="45" s="1"/>
  <c r="E76" i="14"/>
  <c r="E77" i="14" s="1"/>
  <c r="E245" i="4"/>
  <c r="E246" i="4" s="1"/>
  <c r="E107" i="1"/>
  <c r="E67" i="7"/>
  <c r="E181" i="45" l="1"/>
  <c r="E75" i="14"/>
  <c r="E105" i="1"/>
  <c r="E106" i="1"/>
  <c r="E180" i="45"/>
  <c r="E109" i="13"/>
  <c r="E66" i="7"/>
  <c r="E172" i="19"/>
  <c r="E29" i="20"/>
  <c r="E43" i="29"/>
  <c r="E60" i="30"/>
  <c r="E108" i="13"/>
  <c r="E62" i="7"/>
  <c r="E63" i="7" s="1"/>
  <c r="E64" i="7" s="1"/>
  <c r="E65" i="7" s="1"/>
  <c r="E65" i="39"/>
  <c r="E66" i="39"/>
  <c r="E179" i="45"/>
  <c r="E107" i="13"/>
  <c r="E74" i="14"/>
  <c r="E177" i="45"/>
  <c r="E178" i="45" s="1"/>
  <c r="E104" i="1"/>
  <c r="E73" i="14" l="1"/>
  <c r="E103" i="1"/>
  <c r="E106" i="13"/>
  <c r="E8" i="57"/>
  <c r="E9" i="57" s="1"/>
  <c r="E71" i="14"/>
  <c r="E72" i="14"/>
  <c r="E237" i="4"/>
  <c r="E238" i="4" s="1"/>
  <c r="E239" i="4" s="1"/>
  <c r="E240" i="4" s="1"/>
  <c r="E241" i="4" s="1"/>
  <c r="E242" i="4" s="1"/>
  <c r="E243" i="4" s="1"/>
  <c r="E244" i="4" s="1"/>
  <c r="E102" i="1"/>
  <c r="E104" i="13"/>
  <c r="E105" i="13"/>
  <c r="E101" i="1"/>
  <c r="E234" i="4"/>
  <c r="E235" i="4" s="1"/>
  <c r="E236" i="4" s="1"/>
  <c r="E70" i="14"/>
  <c r="E99" i="1"/>
  <c r="E100" i="1"/>
  <c r="E69" i="14"/>
  <c r="E68" i="14"/>
  <c r="E17" i="73"/>
  <c r="E171" i="19" l="1"/>
  <c r="E58" i="30"/>
  <c r="E59" i="30" s="1"/>
  <c r="E168" i="19"/>
  <c r="E169" i="19" s="1"/>
  <c r="E170" i="19" s="1"/>
  <c r="E16" i="73"/>
  <c r="E15" i="73"/>
  <c r="E12" i="94"/>
  <c r="E19" i="80" l="1"/>
  <c r="E167" i="19"/>
  <c r="E61" i="7"/>
  <c r="E41" i="29"/>
  <c r="E42" i="29" s="1"/>
  <c r="E57" i="30"/>
  <c r="E35" i="31"/>
  <c r="E36" i="31" s="1"/>
  <c r="E64" i="39"/>
  <c r="E103" i="13"/>
  <c r="E27" i="20"/>
  <c r="E28" i="20" s="1"/>
  <c r="E71" i="24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166" i="19"/>
  <c r="E60" i="7"/>
  <c r="E165" i="19"/>
  <c r="E163" i="19" l="1"/>
  <c r="E164" i="19"/>
  <c r="E102" i="13"/>
  <c r="E59" i="7"/>
  <c r="E63" i="39"/>
  <c r="E67" i="14"/>
  <c r="E57" i="7"/>
  <c r="E58" i="7" s="1"/>
  <c r="E55" i="30"/>
  <c r="E56" i="30"/>
  <c r="E61" i="39"/>
  <c r="E62" i="39"/>
  <c r="E66" i="14"/>
  <c r="E101" i="13"/>
  <c r="E161" i="19"/>
  <c r="E162" i="19" s="1"/>
  <c r="E65" i="14"/>
  <c r="E100" i="13"/>
  <c r="E26" i="20"/>
  <c r="E99" i="13"/>
  <c r="E69" i="24"/>
  <c r="E70" i="24" s="1"/>
  <c r="E159" i="19"/>
  <c r="E160" i="19"/>
  <c r="E98" i="13"/>
  <c r="E60" i="39"/>
  <c r="E157" i="19"/>
  <c r="E158" i="19" s="1"/>
  <c r="E18" i="80"/>
  <c r="E58" i="39"/>
  <c r="E59" i="39"/>
  <c r="E156" i="19"/>
  <c r="E8" i="88"/>
  <c r="E9" i="70"/>
  <c r="E57" i="39" l="1"/>
  <c r="E97" i="13"/>
  <c r="E155" i="19"/>
  <c r="E17" i="80"/>
  <c r="E40" i="29"/>
  <c r="E54" i="30"/>
  <c r="E96" i="13"/>
  <c r="E154" i="19"/>
  <c r="E55" i="7"/>
  <c r="E56" i="7" s="1"/>
  <c r="E153" i="19"/>
  <c r="E68" i="24"/>
  <c r="E53" i="30"/>
  <c r="E95" i="13"/>
  <c r="E151" i="19"/>
  <c r="E152" i="19" s="1"/>
  <c r="E150" i="19"/>
  <c r="E64" i="14" l="1"/>
  <c r="E94" i="13"/>
  <c r="E15" i="23"/>
  <c r="E93" i="13" l="1"/>
  <c r="E149" i="19"/>
  <c r="E20" i="59"/>
  <c r="E19" i="59"/>
  <c r="E67" i="24"/>
  <c r="E8" i="70"/>
  <c r="E148" i="19"/>
  <c r="E147" i="19"/>
  <c r="E92" i="13"/>
  <c r="E146" i="19"/>
  <c r="E33" i="31"/>
  <c r="E34" i="31" s="1"/>
  <c r="E56" i="39"/>
  <c r="E55" i="39"/>
  <c r="E53" i="39"/>
  <c r="E54" i="39"/>
  <c r="E10" i="52"/>
  <c r="E11" i="52" s="1"/>
  <c r="E91" i="13"/>
  <c r="E61" i="14"/>
  <c r="E62" i="14" s="1"/>
  <c r="E63" i="14" s="1"/>
  <c r="E145" i="19"/>
  <c r="E144" i="19"/>
  <c r="E88" i="13"/>
  <c r="E89" i="13"/>
  <c r="E90" i="13" s="1"/>
  <c r="E143" i="19"/>
  <c r="E18" i="59"/>
  <c r="E87" i="13"/>
  <c r="E142" i="19"/>
  <c r="E17" i="59"/>
  <c r="E86" i="13"/>
  <c r="E141" i="19"/>
  <c r="E16" i="59"/>
  <c r="E84" i="13"/>
  <c r="E85" i="13" s="1"/>
  <c r="E60" i="14"/>
  <c r="E59" i="14"/>
  <c r="E13" i="23"/>
  <c r="E14" i="23" s="1"/>
  <c r="E82" i="13"/>
  <c r="E83" i="13"/>
  <c r="E139" i="19"/>
  <c r="E140" i="19"/>
  <c r="E15" i="59"/>
  <c r="E137" i="19"/>
  <c r="E138" i="19"/>
  <c r="E9" i="86" l="1"/>
  <c r="E9" i="75"/>
  <c r="E66" i="24"/>
  <c r="E52" i="30"/>
  <c r="E65" i="24"/>
  <c r="E136" i="19"/>
  <c r="E25" i="20"/>
  <c r="E64" i="24"/>
  <c r="E135" i="19"/>
  <c r="E32" i="31"/>
  <c r="E8" i="56"/>
  <c r="E39" i="29"/>
  <c r="E49" i="30"/>
  <c r="E50" i="30"/>
  <c r="E51" i="30"/>
  <c r="E31" i="31"/>
  <c r="E58" i="14"/>
  <c r="E81" i="13"/>
  <c r="E134" i="19"/>
  <c r="E24" i="20"/>
  <c r="E62" i="24"/>
  <c r="E63" i="24"/>
  <c r="E80" i="13"/>
  <c r="E133" i="19"/>
  <c r="E57" i="14"/>
  <c r="E79" i="13"/>
  <c r="E52" i="39"/>
  <c r="E78" i="13"/>
  <c r="E56" i="14"/>
  <c r="E77" i="13"/>
  <c r="E13" i="73"/>
  <c r="E14" i="73"/>
  <c r="E132" i="19"/>
  <c r="E61" i="24"/>
  <c r="E54" i="14"/>
  <c r="E55" i="14"/>
  <c r="E76" i="13"/>
  <c r="E131" i="19"/>
  <c r="E60" i="24"/>
  <c r="E16" i="28"/>
  <c r="E17" i="28"/>
  <c r="E38" i="29"/>
  <c r="E30" i="31"/>
  <c r="E51" i="39"/>
  <c r="E130" i="19"/>
  <c r="E74" i="13"/>
  <c r="E75" i="13"/>
  <c r="E12" i="73"/>
  <c r="E128" i="19"/>
  <c r="E129" i="19"/>
  <c r="E11" i="73"/>
  <c r="E10" i="73"/>
  <c r="E9" i="73"/>
  <c r="E8" i="73"/>
  <c r="E13" i="59"/>
  <c r="E14" i="59"/>
  <c r="E8" i="52"/>
  <c r="E9" i="52"/>
  <c r="E7" i="52"/>
  <c r="E23" i="20"/>
  <c r="E59" i="24"/>
  <c r="E29" i="31"/>
  <c r="E127" i="19"/>
  <c r="E37" i="29"/>
  <c r="E28" i="31"/>
  <c r="E50" i="39"/>
  <c r="E126" i="19"/>
  <c r="E7" i="18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58" i="24"/>
  <c r="E54" i="7"/>
  <c r="E15" i="80"/>
  <c r="E16" i="80"/>
  <c r="E57" i="24"/>
  <c r="E48" i="30"/>
  <c r="E55" i="24"/>
  <c r="E56" i="24"/>
  <c r="E52" i="7"/>
  <c r="E53" i="7"/>
  <c r="E22" i="20"/>
  <c r="E52" i="14"/>
  <c r="E53" i="14"/>
  <c r="E27" i="31"/>
  <c r="E47" i="30"/>
  <c r="E36" i="29"/>
  <c r="E15" i="28"/>
  <c r="E10" i="60"/>
  <c r="E11" i="60"/>
  <c r="E125" i="19"/>
  <c r="E73" i="13"/>
  <c r="E51" i="7"/>
  <c r="E46" i="30"/>
  <c r="E48" i="39"/>
  <c r="E49" i="39"/>
  <c r="E124" i="19"/>
  <c r="E123" i="19"/>
  <c r="E49" i="7"/>
  <c r="E50" i="7"/>
  <c r="E49" i="14"/>
  <c r="E50" i="14"/>
  <c r="E51" i="14"/>
  <c r="E48" i="7"/>
  <c r="E47" i="7"/>
  <c r="E46" i="7"/>
  <c r="E47" i="39"/>
  <c r="E26" i="31"/>
  <c r="E121" i="19"/>
  <c r="E122" i="19"/>
  <c r="E35" i="29"/>
  <c r="E120" i="19"/>
  <c r="E72" i="13"/>
  <c r="E12" i="59"/>
  <c r="E9" i="60"/>
  <c r="E9" i="61"/>
  <c r="E10" i="61"/>
  <c r="E12" i="53"/>
  <c r="E71" i="13"/>
  <c r="E45" i="30"/>
  <c r="E70" i="13"/>
  <c r="E119" i="19"/>
  <c r="E25" i="31"/>
  <c r="E45" i="39"/>
  <c r="E46" i="39"/>
  <c r="E33" i="29"/>
  <c r="E34" i="29"/>
  <c r="E44" i="30"/>
  <c r="E69" i="13"/>
  <c r="E117" i="19"/>
  <c r="E118" i="19"/>
  <c r="E115" i="19"/>
  <c r="E116" i="19"/>
  <c r="E68" i="13"/>
  <c r="E66" i="13"/>
  <c r="E67" i="13"/>
  <c r="E21" i="20"/>
  <c r="E53" i="24"/>
  <c r="E54" i="24"/>
  <c r="E45" i="7"/>
  <c r="E13" i="80"/>
  <c r="E14" i="80"/>
  <c r="E114" i="19"/>
  <c r="E65" i="13"/>
  <c r="E44" i="7"/>
  <c r="E52" i="24"/>
  <c r="E9" i="27"/>
  <c r="E43" i="39"/>
  <c r="E44" i="39"/>
  <c r="E111" i="19"/>
  <c r="E112" i="19"/>
  <c r="E113" i="19"/>
  <c r="E64" i="13"/>
  <c r="E43" i="7"/>
  <c r="E50" i="24"/>
  <c r="E51" i="24"/>
  <c r="E42" i="39"/>
  <c r="E43" i="30"/>
  <c r="E32" i="29"/>
  <c r="E42" i="7"/>
  <c r="E109" i="19"/>
  <c r="E110" i="19"/>
  <c r="E108" i="19"/>
  <c r="E41" i="39"/>
  <c r="E29" i="29"/>
  <c r="E30" i="29"/>
  <c r="E31" i="29"/>
  <c r="E13" i="28"/>
  <c r="E14" i="28"/>
  <c r="E7" i="88"/>
  <c r="E40" i="39"/>
  <c r="E107" i="19"/>
  <c r="E37" i="39"/>
  <c r="E38" i="39"/>
  <c r="E39" i="39"/>
  <c r="E40" i="30"/>
  <c r="E41" i="30"/>
  <c r="E42" i="30"/>
  <c r="E63" i="13"/>
  <c r="E106" i="19"/>
  <c r="E22" i="31"/>
  <c r="E23" i="31"/>
  <c r="E24" i="31"/>
  <c r="E105" i="19"/>
  <c r="E20" i="20"/>
  <c r="E49" i="24"/>
  <c r="E62" i="13"/>
  <c r="E47" i="24"/>
  <c r="E48" i="24"/>
  <c r="E39" i="30"/>
  <c r="E104" i="19"/>
  <c r="E61" i="13"/>
  <c r="E38" i="30"/>
  <c r="E19" i="20"/>
  <c r="E45" i="24"/>
  <c r="E46" i="24"/>
  <c r="E102" i="19"/>
  <c r="E103" i="19"/>
  <c r="E60" i="13"/>
  <c r="E41" i="7"/>
  <c r="E58" i="13"/>
  <c r="E59" i="13"/>
  <c r="E101" i="19"/>
  <c r="E18" i="20"/>
  <c r="E27" i="29"/>
  <c r="E28" i="29"/>
  <c r="E37" i="30"/>
  <c r="E99" i="19"/>
  <c r="E100" i="19"/>
  <c r="E13" i="118"/>
  <c r="E8" i="38"/>
  <c r="E9" i="38"/>
  <c r="E8" i="33"/>
  <c r="E15" i="111"/>
  <c r="E16" i="111"/>
  <c r="E98" i="19"/>
  <c r="E39" i="7"/>
  <c r="E40" i="7"/>
  <c r="E36" i="39"/>
  <c r="E21" i="31"/>
  <c r="E36" i="30"/>
  <c r="E7" i="56"/>
  <c r="E6" i="56"/>
  <c r="E7" i="57"/>
  <c r="E6" i="57"/>
  <c r="E20" i="31"/>
  <c r="E35" i="39"/>
  <c r="E56" i="13"/>
  <c r="E57" i="13"/>
  <c r="E15" i="20"/>
  <c r="E16" i="20"/>
  <c r="E17" i="20"/>
  <c r="E97" i="19"/>
  <c r="E35" i="30"/>
  <c r="E55" i="13"/>
  <c r="E11" i="59"/>
  <c r="E8" i="60"/>
  <c r="E96" i="19"/>
  <c r="E95" i="19"/>
  <c r="E54" i="13"/>
  <c r="E12" i="23"/>
  <c r="E34" i="30"/>
  <c r="E18" i="31"/>
  <c r="E19" i="31"/>
  <c r="E34" i="39"/>
  <c r="E94" i="19"/>
  <c r="E53" i="13"/>
  <c r="E38" i="7"/>
  <c r="E52" i="13"/>
  <c r="E100" i="45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37" i="7"/>
  <c r="E93" i="19"/>
  <c r="E42" i="24"/>
  <c r="E43" i="24"/>
  <c r="E44" i="24"/>
  <c r="E51" i="13"/>
  <c r="E91" i="19"/>
  <c r="E92" i="19"/>
  <c r="E7" i="85"/>
  <c r="E8" i="85"/>
  <c r="E9" i="85"/>
  <c r="E11" i="80"/>
  <c r="E12" i="80"/>
  <c r="E90" i="19"/>
  <c r="E41" i="24"/>
  <c r="E33" i="30"/>
  <c r="E26" i="29"/>
  <c r="E12" i="28"/>
  <c r="E49" i="13"/>
  <c r="E50" i="13"/>
  <c r="E36" i="7"/>
  <c r="E89" i="19"/>
  <c r="E88" i="19"/>
  <c r="E48" i="13"/>
  <c r="E40" i="24"/>
  <c r="E47" i="13"/>
  <c r="E39" i="24"/>
  <c r="E87" i="19"/>
  <c r="E33" i="39"/>
  <c r="E86" i="19"/>
  <c r="E94" i="45"/>
  <c r="E95" i="45" s="1"/>
  <c r="E96" i="45" s="1"/>
  <c r="E97" i="45" s="1"/>
  <c r="E11" i="136"/>
  <c r="E85" i="19"/>
  <c r="E83" i="19"/>
  <c r="E84" i="19"/>
  <c r="E31" i="30"/>
  <c r="E32" i="30"/>
  <c r="E8" i="87"/>
  <c r="E7" i="87"/>
  <c r="E8" i="75"/>
  <c r="E7" i="75"/>
  <c r="E8" i="86"/>
  <c r="E7" i="86"/>
  <c r="E7" i="41"/>
  <c r="E6" i="41"/>
  <c r="E82" i="19"/>
  <c r="E10" i="136"/>
  <c r="E81" i="19"/>
  <c r="E79" i="19"/>
  <c r="E80" i="19"/>
  <c r="E78" i="19"/>
  <c r="E37" i="24"/>
  <c r="E38" i="24"/>
  <c r="E25" i="29"/>
  <c r="E32" i="39"/>
  <c r="E46" i="13"/>
  <c r="E35" i="7"/>
  <c r="E9" i="112"/>
  <c r="E7" i="106"/>
  <c r="E8" i="106"/>
  <c r="E6" i="106"/>
  <c r="E14" i="111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5" i="108"/>
  <c r="E14" i="108"/>
  <c r="E8" i="35"/>
  <c r="E10" i="53"/>
  <c r="E11" i="53"/>
  <c r="E76" i="19"/>
  <c r="E77" i="19"/>
  <c r="E75" i="19"/>
  <c r="E12" i="118"/>
  <c r="E11" i="118"/>
  <c r="E10" i="59"/>
  <c r="E24" i="29"/>
  <c r="E29" i="30"/>
  <c r="E30" i="30"/>
  <c r="E31" i="39"/>
  <c r="E44" i="13"/>
  <c r="E45" i="13"/>
  <c r="E74" i="19"/>
  <c r="E34" i="7"/>
  <c r="E73" i="19"/>
  <c r="E35" i="24"/>
  <c r="E36" i="24"/>
  <c r="E28" i="30"/>
  <c r="E30" i="39"/>
  <c r="E71" i="19"/>
  <c r="E72" i="19"/>
  <c r="E42" i="13"/>
  <c r="E43" i="13"/>
  <c r="E33" i="7"/>
  <c r="E27" i="30"/>
  <c r="E41" i="13"/>
  <c r="E8" i="59"/>
  <c r="E9" i="59"/>
  <c r="E34" i="24"/>
  <c r="E31" i="7"/>
  <c r="E32" i="7"/>
  <c r="E11" i="23"/>
  <c r="E70" i="19"/>
  <c r="E23" i="29"/>
  <c r="E26" i="30"/>
  <c r="E17" i="31"/>
  <c r="E29" i="39"/>
  <c r="E33" i="24"/>
  <c r="E69" i="19"/>
  <c r="E25" i="30"/>
  <c r="E28" i="39"/>
  <c r="E16" i="31"/>
  <c r="E27" i="39"/>
  <c r="E68" i="19"/>
  <c r="E30" i="7"/>
  <c r="E40" i="13"/>
  <c r="E22" i="29"/>
  <c r="E24" i="30"/>
  <c r="E15" i="31"/>
  <c r="E26" i="39"/>
  <c r="E67" i="19"/>
  <c r="E39" i="13"/>
  <c r="E32" i="24"/>
  <c r="E66" i="19"/>
  <c r="E65" i="19"/>
  <c r="E64" i="19"/>
  <c r="E25" i="39"/>
  <c r="E23" i="30"/>
  <c r="E21" i="29"/>
  <c r="E31" i="24"/>
  <c r="E38" i="13"/>
  <c r="E24" i="39"/>
  <c r="E14" i="31"/>
  <c r="E21" i="30"/>
  <c r="E22" i="30"/>
  <c r="E37" i="13"/>
  <c r="E30" i="24"/>
  <c r="E63" i="19"/>
  <c r="E23" i="39"/>
  <c r="E62" i="19"/>
  <c r="E29" i="7"/>
  <c r="E12" i="31"/>
  <c r="E13" i="31"/>
  <c r="E20" i="30"/>
  <c r="E19" i="29"/>
  <c r="E20" i="29"/>
  <c r="E22" i="39"/>
  <c r="E35" i="13"/>
  <c r="E36" i="13"/>
  <c r="E28" i="24"/>
  <c r="E29" i="24"/>
  <c r="E61" i="19"/>
  <c r="E28" i="7"/>
  <c r="E11" i="28"/>
  <c r="E27" i="7"/>
  <c r="E8" i="61"/>
  <c r="E8" i="53"/>
  <c r="E9" i="53"/>
  <c r="E7" i="53"/>
  <c r="E60" i="19"/>
  <c r="E26" i="7"/>
  <c r="E34" i="13"/>
  <c r="E30" i="5"/>
  <c r="E31" i="5" s="1"/>
  <c r="E32" i="5" s="1"/>
  <c r="E33" i="5" s="1"/>
  <c r="E34" i="5" s="1"/>
  <c r="E35" i="5" s="1"/>
  <c r="E36" i="5" s="1"/>
  <c r="E37" i="5" s="1"/>
  <c r="E38" i="5" s="1"/>
  <c r="E25" i="7"/>
  <c r="E24" i="7"/>
  <c r="E33" i="13"/>
  <c r="E58" i="19"/>
  <c r="E59" i="19"/>
  <c r="E32" i="13"/>
  <c r="E23" i="7"/>
  <c r="E10" i="23"/>
  <c r="E9" i="23"/>
  <c r="E27" i="24"/>
  <c r="E8" i="96"/>
  <c r="E56" i="19"/>
  <c r="E57" i="19"/>
  <c r="E31" i="13"/>
  <c r="E22" i="7"/>
  <c r="E26" i="24"/>
  <c r="E20" i="39"/>
  <c r="E21" i="39"/>
  <c r="E11" i="31"/>
  <c r="E18" i="29"/>
  <c r="E10" i="28"/>
  <c r="E30" i="13"/>
  <c r="E55" i="19"/>
  <c r="E6" i="85"/>
  <c r="E10" i="31"/>
  <c r="E19" i="30"/>
  <c r="E53" i="19"/>
  <c r="E54" i="19"/>
  <c r="E25" i="24"/>
  <c r="E21" i="7"/>
  <c r="E7" i="33"/>
  <c r="E7" i="38"/>
  <c r="E13" i="111"/>
  <c r="E18" i="127"/>
  <c r="E7" i="61"/>
  <c r="E7" i="60"/>
  <c r="E7" i="59"/>
  <c r="E29" i="13"/>
  <c r="E20" i="7"/>
  <c r="E28" i="13"/>
  <c r="E19" i="7"/>
  <c r="E27" i="13"/>
  <c r="E9" i="126"/>
  <c r="E26" i="13"/>
  <c r="E23" i="24"/>
  <c r="E24" i="24"/>
  <c r="E9" i="28"/>
  <c r="E17" i="29"/>
  <c r="E9" i="31"/>
  <c r="E19" i="39"/>
  <c r="E7" i="35"/>
  <c r="E17" i="30"/>
  <c r="E18" i="30"/>
  <c r="E17" i="39"/>
  <c r="E18" i="39"/>
  <c r="E25" i="13"/>
  <c r="E21" i="24"/>
  <c r="E22" i="24"/>
  <c r="E15" i="29"/>
  <c r="E16" i="29"/>
  <c r="E16" i="39"/>
  <c r="E16" i="30"/>
  <c r="E14" i="29"/>
  <c r="E13" i="29"/>
  <c r="E15" i="30"/>
  <c r="E23" i="13"/>
  <c r="E24" i="13"/>
  <c r="E8" i="20"/>
  <c r="E9" i="20"/>
  <c r="E10" i="20"/>
  <c r="E11" i="20"/>
  <c r="E12" i="20"/>
  <c r="E13" i="20"/>
  <c r="E14" i="20"/>
  <c r="E20" i="24"/>
  <c r="E9" i="136"/>
  <c r="E7" i="80"/>
  <c r="E8" i="80"/>
  <c r="E9" i="80"/>
  <c r="E10" i="80"/>
  <c r="E8" i="136"/>
  <c r="E18" i="7"/>
  <c r="E17" i="7"/>
  <c r="E15" i="39"/>
  <c r="E8" i="28"/>
  <c r="E17" i="24"/>
  <c r="E18" i="24"/>
  <c r="E19" i="24"/>
  <c r="E14" i="39"/>
  <c r="E21" i="13"/>
  <c r="E22" i="13"/>
  <c r="E19" i="13"/>
  <c r="E20" i="13"/>
  <c r="E16" i="24"/>
  <c r="E12" i="29"/>
  <c r="E11" i="29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7" i="28"/>
  <c r="E7" i="96"/>
  <c r="E16" i="7"/>
  <c r="E7" i="70"/>
  <c r="E7" i="65"/>
  <c r="E7" i="63"/>
  <c r="E8" i="126"/>
  <c r="E7" i="79"/>
  <c r="E24" i="133"/>
  <c r="E17" i="127"/>
  <c r="E12" i="134"/>
  <c r="E10" i="117"/>
  <c r="E7" i="21"/>
  <c r="E8" i="23"/>
  <c r="E7" i="23"/>
  <c r="E15" i="7"/>
  <c r="E8" i="14"/>
  <c r="E7" i="14"/>
  <c r="E6" i="47"/>
  <c r="E7" i="27"/>
  <c r="E8" i="27"/>
  <c r="E13" i="39"/>
  <c r="E13" i="24"/>
  <c r="E14" i="24"/>
  <c r="E15" i="24"/>
  <c r="E13" i="7"/>
  <c r="E14" i="7"/>
  <c r="E11" i="39"/>
  <c r="E12" i="39"/>
  <c r="E13" i="30"/>
  <c r="E14" i="30"/>
  <c r="E7" i="74"/>
  <c r="E7" i="73"/>
  <c r="E7" i="20"/>
  <c r="E12" i="30"/>
  <c r="E9" i="39"/>
  <c r="E10" i="39"/>
  <c r="E18" i="13"/>
  <c r="E12" i="7"/>
  <c r="E11" i="24"/>
  <c r="E12" i="24"/>
  <c r="E8" i="39"/>
  <c r="E8" i="31"/>
  <c r="E7" i="31"/>
  <c r="E9" i="30"/>
  <c r="E10" i="30"/>
  <c r="E11" i="30"/>
  <c r="E8" i="29"/>
  <c r="E9" i="29"/>
  <c r="E10" i="29"/>
  <c r="E7" i="29"/>
  <c r="E9" i="24"/>
  <c r="E10" i="24"/>
  <c r="E15" i="13"/>
  <c r="E16" i="13"/>
  <c r="E17" i="13"/>
  <c r="E10" i="7"/>
  <c r="E11" i="7"/>
  <c r="E14" i="13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9" i="7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8" i="30"/>
  <c r="E7" i="30"/>
  <c r="E11" i="13"/>
  <c r="E12" i="13"/>
  <c r="E13" i="13"/>
  <c r="E7" i="39"/>
  <c r="E8" i="24"/>
  <c r="E7" i="24"/>
  <c r="E8" i="7"/>
  <c r="E7" i="7"/>
  <c r="E8" i="17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7" i="17"/>
  <c r="E7" i="45"/>
  <c r="E8" i="45" s="1"/>
  <c r="E9" i="45" s="1"/>
  <c r="E10" i="45" s="1"/>
  <c r="E11" i="45" s="1"/>
  <c r="E12" i="45" s="1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8" i="13"/>
  <c r="E9" i="13"/>
  <c r="E10" i="13"/>
  <c r="E7" i="13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7" i="4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5" i="135"/>
  <c r="E9" i="109"/>
  <c r="E14" i="127"/>
  <c r="E6" i="134"/>
  <c r="E7" i="134"/>
  <c r="E8" i="134"/>
  <c r="E9" i="134"/>
  <c r="E19" i="133"/>
  <c r="E20" i="133"/>
  <c r="E21" i="133"/>
  <c r="E22" i="133"/>
  <c r="E17" i="133"/>
  <c r="E7" i="111"/>
  <c r="E8" i="111"/>
  <c r="E9" i="111"/>
  <c r="E10" i="111"/>
  <c r="E6" i="132"/>
  <c r="E6" i="3"/>
  <c r="E7" i="3"/>
  <c r="E8" i="3"/>
  <c r="E9" i="3"/>
  <c r="E9" i="129"/>
  <c r="E10" i="128"/>
  <c r="E13" i="127"/>
  <c r="E6" i="129"/>
  <c r="E7" i="129"/>
  <c r="E8" i="128"/>
  <c r="E5" i="126"/>
  <c r="E6" i="123"/>
  <c r="E7" i="123"/>
  <c r="E8" i="123"/>
  <c r="E9" i="123"/>
  <c r="E10" i="123"/>
  <c r="E6" i="122"/>
  <c r="E7" i="122"/>
  <c r="E8" i="122"/>
  <c r="E9" i="122"/>
  <c r="E10" i="122"/>
  <c r="E11" i="122"/>
  <c r="E12" i="122"/>
  <c r="E13" i="122"/>
  <c r="E5" i="121"/>
  <c r="E6" i="121"/>
  <c r="E7" i="121"/>
  <c r="E8" i="121"/>
  <c r="E9" i="121"/>
  <c r="E10" i="121"/>
  <c r="E11" i="121"/>
  <c r="E12" i="121"/>
  <c r="E8" i="92"/>
  <c r="E6" i="119"/>
  <c r="E7" i="119"/>
  <c r="E6" i="118"/>
  <c r="E7" i="118"/>
  <c r="E8" i="118"/>
  <c r="E9" i="118"/>
  <c r="E6" i="117"/>
  <c r="E7" i="117"/>
  <c r="E8" i="117"/>
  <c r="E6" i="55"/>
  <c r="E6" i="116"/>
  <c r="E7" i="116"/>
  <c r="E8" i="116"/>
  <c r="E9" i="116"/>
  <c r="E10" i="116"/>
  <c r="E5" i="115"/>
  <c r="E6" i="115"/>
  <c r="E7" i="115"/>
  <c r="E8" i="115"/>
  <c r="E6" i="114"/>
  <c r="E5" i="76"/>
  <c r="E6" i="76"/>
  <c r="E7" i="76"/>
  <c r="E8" i="76"/>
  <c r="E9" i="76"/>
  <c r="E10" i="76"/>
  <c r="E11" i="76"/>
  <c r="E12" i="76"/>
  <c r="E13" i="76"/>
  <c r="E14" i="76"/>
  <c r="E6" i="111"/>
  <c r="E6" i="112"/>
  <c r="E6" i="49"/>
  <c r="F5" i="110"/>
  <c r="F6" i="110"/>
  <c r="F7" i="110"/>
  <c r="F8" i="110"/>
  <c r="F9" i="110"/>
  <c r="F10" i="110"/>
  <c r="E6" i="108"/>
  <c r="E7" i="108"/>
  <c r="E8" i="108"/>
  <c r="E9" i="108"/>
  <c r="E10" i="108"/>
  <c r="E11" i="108"/>
  <c r="E7" i="92"/>
  <c r="E6" i="92"/>
  <c r="E6" i="93"/>
  <c r="E7" i="93"/>
  <c r="E8" i="93"/>
  <c r="E9" i="93"/>
  <c r="E6" i="94"/>
  <c r="E7" i="94"/>
  <c r="E8" i="94"/>
  <c r="E9" i="94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</calcChain>
</file>

<file path=xl/sharedStrings.xml><?xml version="1.0" encoding="utf-8"?>
<sst xmlns="http://schemas.openxmlformats.org/spreadsheetml/2006/main" count="6934" uniqueCount="920">
  <si>
    <t>INDONAKANO-NISSIN</t>
  </si>
  <si>
    <t>NAMA BARANG : MF 170 (DTF101)</t>
  </si>
  <si>
    <t>TGL</t>
  </si>
  <si>
    <t>NAMA PT-PROYEK</t>
  </si>
  <si>
    <t>MASUK</t>
  </si>
  <si>
    <t>KELUAR</t>
  </si>
  <si>
    <t>SISA</t>
  </si>
  <si>
    <t>KETERANGAN</t>
  </si>
  <si>
    <t>STOK GUDANG WARDI</t>
  </si>
  <si>
    <t>NAMA BARANG : MF 190 (DTF101 A)</t>
  </si>
  <si>
    <t xml:space="preserve">NAMA BARANG : MF 150  </t>
  </si>
  <si>
    <t>NAMA BARANG : CB 220</t>
  </si>
  <si>
    <t>NAMA BARANG : CB 193</t>
  </si>
  <si>
    <t>NAMA BARANG : CB 205</t>
  </si>
  <si>
    <t>NAMA BARANG : PIPA 6 M</t>
  </si>
  <si>
    <t>NAMA BARANG : PIPA 3 M</t>
  </si>
  <si>
    <t>NAMA BARANG : RODA</t>
  </si>
  <si>
    <t>TPPN</t>
  </si>
  <si>
    <t>NAMA BARANG : CAT WALK</t>
  </si>
  <si>
    <t>NAMA BARANG : JOIN PIN</t>
  </si>
  <si>
    <t>SISA STOK 2020</t>
  </si>
  <si>
    <t>NAMA BARANG : TANGGA 170</t>
  </si>
  <si>
    <t>NAMA BARANG : JB 60</t>
  </si>
  <si>
    <t>NAMA BARANG : LEADER FRAME 90</t>
  </si>
  <si>
    <t>NAMA BARANG : SWIVEL CLAMP</t>
  </si>
  <si>
    <t>SISA ALAT 2020</t>
  </si>
  <si>
    <t>NAMA BARANG : JB 85</t>
  </si>
  <si>
    <t>NAMA BARANG : UH 85</t>
  </si>
  <si>
    <t>INDONAKANO-ITSP</t>
  </si>
  <si>
    <t>NAMA BARANG : HORRY BEAM</t>
  </si>
  <si>
    <t>NAMA BARANG : UH 55</t>
  </si>
  <si>
    <t>NAMA BARANG : JB 55</t>
  </si>
  <si>
    <t>NAMA BARANG : JB 60 PCH</t>
  </si>
  <si>
    <t>NAMA BARANG : UH 60 PCH</t>
  </si>
  <si>
    <t>NAMA BARANG : TANGGA KOLOM</t>
  </si>
  <si>
    <t>NAMA BARANG : HOLLOW 40x60x2M</t>
  </si>
  <si>
    <t>NAMA BARANG : HOLLOW 40x60x1M</t>
  </si>
  <si>
    <t>NAMA BARANG : HOLLOW 40x60x2.5 M</t>
  </si>
  <si>
    <t>NAMA BARANG : HOLLOW 40x60x3 M</t>
  </si>
  <si>
    <t>NAMA BARANG : HOLLOW 40x60x3.5 M</t>
  </si>
  <si>
    <t>NAMA BARANG : HOLLOW 5x10x2 M</t>
  </si>
  <si>
    <t>NAMA BARANG : HOLLOW 5x10x3 M</t>
  </si>
  <si>
    <t>NAMA BARANG : CB 136</t>
  </si>
  <si>
    <t xml:space="preserve">NAMA BARANG : LD 50  </t>
  </si>
  <si>
    <t>NAMA BARANG :UH 60</t>
  </si>
  <si>
    <t>NAMA BARANG : JB 40</t>
  </si>
  <si>
    <t>NAMA BARANG : UH 40</t>
  </si>
  <si>
    <t>NAMA BARANG : TANGGA 190</t>
  </si>
  <si>
    <t>NAMA BARANG : CAT WALK PCH</t>
  </si>
  <si>
    <t>NAMA BARANG : CAT WALKCONEL</t>
  </si>
  <si>
    <t>NAMA BARANG : PIPA SUPPORT</t>
  </si>
  <si>
    <t>NAMA BARANG :FIXED CLAMP</t>
  </si>
  <si>
    <t>NAMA BARANG :BEAM CLAMP</t>
  </si>
  <si>
    <t>NAMA BARANG : PIPA 2 M</t>
  </si>
  <si>
    <t>NAMA BARANG : PIPA 4 M</t>
  </si>
  <si>
    <t>NAMA BARANG : PIPA 5 M</t>
  </si>
  <si>
    <t>NAMA BARANG : HOLLOW 40x60x1,2M</t>
  </si>
  <si>
    <t>NAMA BARANG : HOLLOW 40x60x1,5M</t>
  </si>
  <si>
    <t>NAMA BARANG : HOLLOW 40x60x4 M</t>
  </si>
  <si>
    <t>NAMA BARANG : HOLLOW 40x60x6 M</t>
  </si>
  <si>
    <t>NAMA BARANG : HOLLOW 50x10x1.5 M</t>
  </si>
  <si>
    <t>NAMA BARANG : HOLLOW 50x10x2.5 M</t>
  </si>
  <si>
    <t>NAMA BARANG : HOLLOW 50x10x4 M</t>
  </si>
  <si>
    <t>NAMA BARANG : HOLLOW 50x10x6 M</t>
  </si>
  <si>
    <t>NAMA BARANG : HOLLOW 50x50x2 M</t>
  </si>
  <si>
    <t>NAMA BARANG : HOLLOW 50x50x2.5 M</t>
  </si>
  <si>
    <t>NAMA BARANG : HOLLOW 50x50x3 M</t>
  </si>
  <si>
    <t>NAMA BARANG : TIE ROD 0.6 M</t>
  </si>
  <si>
    <t>STOK AWAL</t>
  </si>
  <si>
    <t xml:space="preserve"> 8/1/2021</t>
  </si>
  <si>
    <t>NAMA BARANG : TIE ROD 0.7 M</t>
  </si>
  <si>
    <t>NAMA BARANG : TIE ROD 0.8 M</t>
  </si>
  <si>
    <t xml:space="preserve"> TGL 8/1/2021</t>
  </si>
  <si>
    <t>NAMA BARANG : TIE ROD  1  M</t>
  </si>
  <si>
    <t>NAMA BARANG : TIE ROD  1.2  M</t>
  </si>
  <si>
    <t>NAMA BARANG : TIE ROD  2  M</t>
  </si>
  <si>
    <t>ACSET - THAMRIN9</t>
  </si>
  <si>
    <t>INTERDESIGN - BEKASI</t>
  </si>
  <si>
    <t>NAMA BARANG : VERTICAL 2M PCH</t>
  </si>
  <si>
    <t>ACSET-THAMRIN 9</t>
  </si>
  <si>
    <t>NAMA BARANG : SIKU L</t>
  </si>
  <si>
    <t>TBP-THAMRIN9</t>
  </si>
  <si>
    <t>NAMA BARANG : SURI" 5X10X1.5 M</t>
  </si>
  <si>
    <t>INDONAKANO-HEINZ ABC</t>
  </si>
  <si>
    <t xml:space="preserve">NAMA BARANG : VERTICAL 1.5 M  </t>
  </si>
  <si>
    <t>RETURE</t>
  </si>
  <si>
    <t>NAMA ALAT : WING NUT</t>
  </si>
  <si>
    <t>NAMA BARANG : VERTICAL 0,5M</t>
  </si>
  <si>
    <t>NAMA BARANG : LEDGER 1.2 M PCH</t>
  </si>
  <si>
    <t>NAMA BARANG : LEDGER 1.5 M PCH</t>
  </si>
  <si>
    <t>NAMA BARANG : CB185</t>
  </si>
  <si>
    <t>NAMA BARANG</t>
  </si>
  <si>
    <t>; TIE BAR 1 M</t>
  </si>
  <si>
    <t>; TIE BAR 60</t>
  </si>
  <si>
    <t>STOK WARDI PER TGL 5/4/2019</t>
  </si>
  <si>
    <t>NAMA BARANG :     TIE ROD 1.5M (150CM)</t>
  </si>
  <si>
    <t xml:space="preserve">NAMA BARANG : VERTICAL 1 M  </t>
  </si>
  <si>
    <t>NAMA BARANG : LEDGER 1829 PCH</t>
  </si>
  <si>
    <t>NAMA BARANG : LEDGER 0.9 M PCH</t>
  </si>
  <si>
    <t>NAMA BARANG : SURI-SURI 40X60X2M</t>
  </si>
  <si>
    <t>NAMA BARANG : SURI" 5X10X2M</t>
  </si>
  <si>
    <t>23/1/2021</t>
  </si>
  <si>
    <t>NAMA ALAT : CANTILEVER</t>
  </si>
  <si>
    <t>WIKA-TIM</t>
  </si>
  <si>
    <t>7298/I/2021</t>
  </si>
  <si>
    <t>EVI JAYA</t>
  </si>
  <si>
    <t>PEMBELIAN</t>
  </si>
  <si>
    <t>NAMA BARANG : LD120 (STF 110)</t>
  </si>
  <si>
    <t>NAMA BARANG : PIPA 2.5 M</t>
  </si>
  <si>
    <t>19/2/2021</t>
  </si>
  <si>
    <t>NAMA BARANG :  METAL PLANK/PAPAN ASHIBA 2 M</t>
  </si>
  <si>
    <t>NAMA BARANG : CB172/173</t>
  </si>
  <si>
    <t>SISA STOK 2019</t>
  </si>
  <si>
    <t>NAMA BARANG :  METAL PLANK/PAPAN ASHIBA 1.6 M</t>
  </si>
  <si>
    <t>NAMA BARANG  : P 1,5 M</t>
  </si>
  <si>
    <t>NAMA BARANG :  METAL PLANK/PAPAN ASHIBA 4 M</t>
  </si>
  <si>
    <t>NAMA BARANG : SIDE BEAM BRACKET 30 X 35 (SBB)</t>
  </si>
  <si>
    <t>NAMA BARANG : SIDE BEAM BRACKET 40 X 35 (SBB)</t>
  </si>
  <si>
    <t xml:space="preserve"> BASE PLAT</t>
  </si>
  <si>
    <t>23/2/2021</t>
  </si>
  <si>
    <t>TBP-THAMRIN 9</t>
  </si>
  <si>
    <t>25/2/2021</t>
  </si>
  <si>
    <t>BPK ANDRE</t>
  </si>
  <si>
    <t>NAMA BARANG : MUR JB-UH 60</t>
  </si>
  <si>
    <t>TBP-ONE TOWER</t>
  </si>
  <si>
    <t>NAMA ALAT : COUPLING 1M</t>
  </si>
  <si>
    <t>Tgl</t>
  </si>
  <si>
    <t>Nama PT/Proyek</t>
  </si>
  <si>
    <t>Masuk</t>
  </si>
  <si>
    <t>Keluar</t>
  </si>
  <si>
    <t>Sisa</t>
  </si>
  <si>
    <t>KET</t>
  </si>
  <si>
    <t>7327/III/2021</t>
  </si>
  <si>
    <t>; CORNER COUPLING 760 X 760</t>
  </si>
  <si>
    <t>7330/III/2021</t>
  </si>
  <si>
    <t>INDONAKANO-PPLI</t>
  </si>
  <si>
    <t>18/3/2021</t>
  </si>
  <si>
    <t>19/3/2021</t>
  </si>
  <si>
    <t>20/3/2021</t>
  </si>
  <si>
    <t>22/3/2021</t>
  </si>
  <si>
    <t>TBP-IKEA BANDUNG</t>
  </si>
  <si>
    <t>26/3/2021</t>
  </si>
  <si>
    <t xml:space="preserve">NAMA BARANG : RING LOCK </t>
  </si>
  <si>
    <t>27/3/2021</t>
  </si>
  <si>
    <t>DIKEMBALIKAN</t>
  </si>
  <si>
    <t>EVI JAYA 2361</t>
  </si>
  <si>
    <t>CV GRITON</t>
  </si>
  <si>
    <t>16/4/2021</t>
  </si>
  <si>
    <t>19/4/2021</t>
  </si>
  <si>
    <t>7377/IV/2021</t>
  </si>
  <si>
    <t>TBP-ONE TOWER (1.5)</t>
  </si>
  <si>
    <t>NAMA BARANG  : PUSH PULL 1 M (ADJUSTABLE BRACE 1000)</t>
  </si>
  <si>
    <t>NAMA BARANG  : PUSH PULL 2 M (ADJUSTABLE BRACE 1000)</t>
  </si>
  <si>
    <t>NAMA ALAT : COUPLING 1.5 M</t>
  </si>
  <si>
    <t>31/5/2021</t>
  </si>
  <si>
    <t>NAMA BARANG  : STILL WALLER 234 CM</t>
  </si>
  <si>
    <t>31/5/21</t>
  </si>
  <si>
    <t>ACSET - THAMRIN 9</t>
  </si>
  <si>
    <t xml:space="preserve">NAMA BARANG  : STEEL WALLER 4780 </t>
  </si>
  <si>
    <t>NAMA BARANG  : STILL WALLER 356 CM</t>
  </si>
  <si>
    <t>NAMA BARANG :  CNP125X50X32X4000 (420)</t>
  </si>
  <si>
    <t>28/6/2021</t>
  </si>
  <si>
    <t>7425/VI/2021</t>
  </si>
  <si>
    <t>7426/VI/2021</t>
  </si>
  <si>
    <t>NRC-PINDO DELI</t>
  </si>
  <si>
    <t>7431/VII/2021</t>
  </si>
  <si>
    <t>NAMA BARANG : WEDGE HEAD PICCE</t>
  </si>
  <si>
    <t>DATA STOK EMAIL PER TGL  20/2/2020</t>
  </si>
  <si>
    <t>22/2/2020</t>
  </si>
  <si>
    <t>ACSET-THAMRIN9</t>
  </si>
  <si>
    <t>6530/II/20</t>
  </si>
  <si>
    <t>24/2/2020</t>
  </si>
  <si>
    <t>6541/II/20</t>
  </si>
  <si>
    <t xml:space="preserve">NAMA BARANG : WEDGE KZ </t>
  </si>
  <si>
    <t>25/2/2020</t>
  </si>
  <si>
    <t>6549/II/20</t>
  </si>
  <si>
    <t xml:space="preserve">NAMA BARANG : WEDGE K </t>
  </si>
  <si>
    <t>7433/VII/2021</t>
  </si>
  <si>
    <t>14/7/2021</t>
  </si>
  <si>
    <t>15/7/2021</t>
  </si>
  <si>
    <t>MURINDA-PLTU</t>
  </si>
  <si>
    <t>7435/VII/2021</t>
  </si>
  <si>
    <t>WIKA-UT</t>
  </si>
  <si>
    <t>; TIE BAR 40</t>
  </si>
  <si>
    <t>SISA ALAT 2017</t>
  </si>
  <si>
    <t>NKE-WCT</t>
  </si>
  <si>
    <t>NAMA BARANG : P 1 M</t>
  </si>
  <si>
    <t>CDT - MENTENG</t>
  </si>
  <si>
    <t>NAMA BARANG : SBB - 50X50</t>
  </si>
  <si>
    <t>NAMA BARANG : SIKU- 45X50</t>
  </si>
  <si>
    <t>7466/VIII/2021</t>
  </si>
  <si>
    <t>; SIDE BEAM BRACKET 45/45</t>
  </si>
  <si>
    <t>7467/VIII/2021</t>
  </si>
  <si>
    <t>; SIDE BEAM BRACKET 40/45</t>
  </si>
  <si>
    <t>7472/VIII/2021</t>
  </si>
  <si>
    <t>; SIDE BEAM BRACKET 40/50</t>
  </si>
  <si>
    <t>7468/VIII/2021</t>
  </si>
  <si>
    <t>23/8/2021</t>
  </si>
  <si>
    <t>28/8/2021</t>
  </si>
  <si>
    <t>NAMA BARANG :     TIE ROD 40 M</t>
  </si>
  <si>
    <t>PEN CROS BRACE 193/220</t>
  </si>
  <si>
    <t>+ RING PIN 1200</t>
  </si>
  <si>
    <t>ACSET-THAMRIN</t>
  </si>
  <si>
    <t>NAMA BARANG  : PUSHPULL 3 M (ADJ BEAM BRAKET 3)</t>
  </si>
  <si>
    <t>27/1/2020</t>
  </si>
  <si>
    <t>6544/II/20</t>
  </si>
  <si>
    <t>13/3/2020</t>
  </si>
  <si>
    <t>19/3/2020</t>
  </si>
  <si>
    <t>TBP-POINT SQUARE</t>
  </si>
  <si>
    <t xml:space="preserve">NAMA BARANG  : STEEL WALLER 1170 </t>
  </si>
  <si>
    <t>28/1/2020</t>
  </si>
  <si>
    <t>21/2/2020</t>
  </si>
  <si>
    <t>6526/II/20</t>
  </si>
  <si>
    <t>NAMA BARANG  : STILL WALLER 173 CM</t>
  </si>
  <si>
    <t>6528/II/20</t>
  </si>
  <si>
    <t>6535/II/20</t>
  </si>
  <si>
    <t>SISA STOK</t>
  </si>
  <si>
    <t>NAMA BARANG  : STILL WALLER 224 CM</t>
  </si>
  <si>
    <t>NAMA BARANG : DOUBLE SWIVEL</t>
  </si>
  <si>
    <t>CONTOH</t>
  </si>
  <si>
    <t>INTERDESIGN - JIS</t>
  </si>
  <si>
    <t>JBP-MITSUBISHI</t>
  </si>
  <si>
    <t>NAMA BARANG  : KOLOM WALLER 700X500</t>
  </si>
  <si>
    <t xml:space="preserve">ACSET - THAMRIN </t>
  </si>
  <si>
    <t>29/9/21</t>
  </si>
  <si>
    <t>29/11/21</t>
  </si>
  <si>
    <t>26/11/21</t>
  </si>
  <si>
    <t>NAMA BARANG  : BAUT  19 MM  + MUR JACK</t>
  </si>
  <si>
    <t>20/2/2018</t>
  </si>
  <si>
    <t>23/2/2020</t>
  </si>
  <si>
    <t>26/2/2020</t>
  </si>
  <si>
    <t>27/2/2020</t>
  </si>
  <si>
    <t>29/7/2020</t>
  </si>
  <si>
    <t>TBP-SAKURA GARDEN</t>
  </si>
  <si>
    <t>6983/VII/20</t>
  </si>
  <si>
    <t>27/11/21</t>
  </si>
  <si>
    <t>NAMA BARANG  : TIE YORK</t>
  </si>
  <si>
    <t>ACSET THAMRIN9</t>
  </si>
  <si>
    <t>3/12/2021</t>
  </si>
  <si>
    <t>6/12/2021</t>
  </si>
  <si>
    <t>NAMA ALAT :  COLUMN WALLER  650x700</t>
  </si>
  <si>
    <t>8/12/2021</t>
  </si>
  <si>
    <t>17/12/2021</t>
  </si>
  <si>
    <t>SISA STOK 2021</t>
  </si>
  <si>
    <t>sisa alat 2020</t>
  </si>
  <si>
    <t>sisa alat 2021</t>
  </si>
  <si>
    <t>Sisa Stok 2021</t>
  </si>
  <si>
    <t>TBP-Sekolah Cikal</t>
  </si>
  <si>
    <t>7600/I/2022</t>
  </si>
  <si>
    <t>3/1/2022</t>
  </si>
  <si>
    <t>ICO-Margo City</t>
  </si>
  <si>
    <t>IDN-OFURO</t>
  </si>
  <si>
    <t>3/01/2022</t>
  </si>
  <si>
    <t>IDN-Ofuro</t>
  </si>
  <si>
    <t>4/01/2022</t>
  </si>
  <si>
    <t>7601/I/2022</t>
  </si>
  <si>
    <t>5/01/2022</t>
  </si>
  <si>
    <t>TBP-One Satrio</t>
  </si>
  <si>
    <t>7604/I/2022</t>
  </si>
  <si>
    <t>7605/I/2022</t>
  </si>
  <si>
    <t>7602/I/2022</t>
  </si>
  <si>
    <t>TBP-Innopharm</t>
  </si>
  <si>
    <t>JKA-SUMMERECON BANDUNG</t>
  </si>
  <si>
    <t>7603/I/2022</t>
  </si>
  <si>
    <t>KARMELINDO-GKSL Bpk Rudy</t>
  </si>
  <si>
    <t>TBP-Paramita 27+1</t>
  </si>
  <si>
    <t xml:space="preserve">TBP-Paramita </t>
  </si>
  <si>
    <t>6/01/2022</t>
  </si>
  <si>
    <t>IDN-PANASONIC GOBEL</t>
  </si>
  <si>
    <t>7612/I/2022</t>
  </si>
  <si>
    <t>UNTUK TANGGA 190</t>
  </si>
  <si>
    <t>PANASONIC,CLEON,CAPITOL</t>
  </si>
  <si>
    <t>6/01/2021</t>
  </si>
  <si>
    <t>IDN-Panasonic Gobel</t>
  </si>
  <si>
    <t>7610/I/2022</t>
  </si>
  <si>
    <t>ACSET - CLEON</t>
  </si>
  <si>
    <t>7608/I/2022</t>
  </si>
  <si>
    <t>TBP-Capitol Square</t>
  </si>
  <si>
    <t>7607/I/2022</t>
  </si>
  <si>
    <t>7606/I/2022</t>
  </si>
  <si>
    <t>PRAJA-KARAWANG</t>
  </si>
  <si>
    <t>7611/I/2022</t>
  </si>
  <si>
    <t>7613/I/2022</t>
  </si>
  <si>
    <t>IDN-STEP</t>
  </si>
  <si>
    <t>7609/I/2022</t>
  </si>
  <si>
    <t>7/01/2022</t>
  </si>
  <si>
    <t>IDN - SANKO</t>
  </si>
  <si>
    <t>7614/I/2022</t>
  </si>
  <si>
    <t>7615/I/2022</t>
  </si>
  <si>
    <t>Tangga u/ IDN-Panasonic</t>
  </si>
  <si>
    <t>KE Tangga 190</t>
  </si>
  <si>
    <t>7616/I/2022</t>
  </si>
  <si>
    <t>7617/I/2022</t>
  </si>
  <si>
    <t>TBP-Living world CBB</t>
  </si>
  <si>
    <t>IDN - HITACHI</t>
  </si>
  <si>
    <t>8/01/2022</t>
  </si>
  <si>
    <t>7618/I/2022</t>
  </si>
  <si>
    <t>IDN - KRESTEK</t>
  </si>
  <si>
    <t>TANGGA DARI 170 U/ Tangga 190</t>
  </si>
  <si>
    <t>IDN - STEP</t>
  </si>
  <si>
    <t>7619/I/2022</t>
  </si>
  <si>
    <t>10/1/2022</t>
  </si>
  <si>
    <t>7621/I/2022</t>
  </si>
  <si>
    <t>PRAJA-Summarecon</t>
  </si>
  <si>
    <t>7620/I/2022</t>
  </si>
  <si>
    <t>IDN - HEMPEL</t>
  </si>
  <si>
    <t>10/01/2022</t>
  </si>
  <si>
    <t>12/01/2022</t>
  </si>
  <si>
    <t>7622/I/2022</t>
  </si>
  <si>
    <t>TBP - Sekolah Cikal</t>
  </si>
  <si>
    <t>7623/I/2022</t>
  </si>
  <si>
    <t>13/01/2022</t>
  </si>
  <si>
    <t>IDS - Sekolah Cikal</t>
  </si>
  <si>
    <t>7624/I/2022</t>
  </si>
  <si>
    <t xml:space="preserve">Sisa Alat 2021  </t>
  </si>
  <si>
    <t>14/1/2022</t>
  </si>
  <si>
    <t>ICO - Danareksa</t>
  </si>
  <si>
    <t>7625/I/2022</t>
  </si>
  <si>
    <t>Sisa Alat 2021</t>
  </si>
  <si>
    <t>14/01/2022</t>
  </si>
  <si>
    <t>IDN - Tokai Rika</t>
  </si>
  <si>
    <t>TBP - One Tower</t>
  </si>
  <si>
    <t>15/01/2022</t>
  </si>
  <si>
    <t>TBP - Butterfly Ashley</t>
  </si>
  <si>
    <t>7631/I/2022</t>
  </si>
  <si>
    <t>7627/I/2022</t>
  </si>
  <si>
    <t>IDN - Step</t>
  </si>
  <si>
    <t>7628/I/2022</t>
  </si>
  <si>
    <t>JBP - MITSUBISHI</t>
  </si>
  <si>
    <t>7632/I/2022</t>
  </si>
  <si>
    <t>TBP-Sakura</t>
  </si>
  <si>
    <t>76526/I/2022</t>
  </si>
  <si>
    <t xml:space="preserve">EVI JAYA CAT WALK  </t>
  </si>
  <si>
    <t>Sisa alat 2021</t>
  </si>
  <si>
    <t>SISA ALAT 2021</t>
  </si>
  <si>
    <t>7630/I/2022</t>
  </si>
  <si>
    <t>STOK AWAL 2021</t>
  </si>
  <si>
    <t>Sisa Alat 2022</t>
  </si>
  <si>
    <t>NAMA PT/PROYEK</t>
  </si>
  <si>
    <t>NAMA BARANG : SURI-SURI 40x60x1.5M</t>
  </si>
  <si>
    <t>SISA Alat  2021</t>
  </si>
  <si>
    <t>TBP-Butterfly Ashley</t>
  </si>
  <si>
    <t>7635/I/2022</t>
  </si>
  <si>
    <t>17/01/2022</t>
  </si>
  <si>
    <t>PRAJA-Summ.Emerald karawang</t>
  </si>
  <si>
    <t>7633/I/2022</t>
  </si>
  <si>
    <t>CAA - Katamaran Indah PIK</t>
  </si>
  <si>
    <t>PRAJA - Summ.Emerald Karawang</t>
  </si>
  <si>
    <t>7634/I/2022</t>
  </si>
  <si>
    <t>Acset - TH 9</t>
  </si>
  <si>
    <t>IDM - MARULLOH</t>
  </si>
  <si>
    <t>7636/I/2022</t>
  </si>
  <si>
    <t>18/01/2022</t>
  </si>
  <si>
    <t>19/01/2022</t>
  </si>
  <si>
    <t>7637/I/2022</t>
  </si>
  <si>
    <t>7638/I/2022</t>
  </si>
  <si>
    <t>7639/I/2022</t>
  </si>
  <si>
    <t>7641/I/2022</t>
  </si>
  <si>
    <t>P 1.2M di SJ</t>
  </si>
  <si>
    <t xml:space="preserve">ICO-Margo City </t>
  </si>
  <si>
    <t xml:space="preserve">NAMA BARANG : TIE ROD D-16 </t>
  </si>
  <si>
    <t>20/01/2022</t>
  </si>
  <si>
    <t>WIKA-RSUP FATMAWATI</t>
  </si>
  <si>
    <t>7644/I/2022</t>
  </si>
  <si>
    <t>7643/I/2022</t>
  </si>
  <si>
    <t>7646/I/2022</t>
  </si>
  <si>
    <t>20/1/2022</t>
  </si>
  <si>
    <t>7645/I/2022</t>
  </si>
  <si>
    <t xml:space="preserve">Tangga 170 u/ IDN-Panasonic </t>
  </si>
  <si>
    <t>SJ TIE ROD NO. 019/01</t>
  </si>
  <si>
    <t>ICO-Keb.Jeruk</t>
  </si>
  <si>
    <t>21/1/2022</t>
  </si>
  <si>
    <t>7651/I/2022</t>
  </si>
  <si>
    <t>7648/I/2022</t>
  </si>
  <si>
    <t>TBP-SAKURA</t>
  </si>
  <si>
    <t>7650/I/2022</t>
  </si>
  <si>
    <t>7649/I/2022</t>
  </si>
  <si>
    <t>21/01/2022</t>
  </si>
  <si>
    <t>7647/I/2022</t>
  </si>
  <si>
    <t>IDN - SANCO</t>
  </si>
  <si>
    <t>7642/I/2022</t>
  </si>
  <si>
    <t>TPI-INDOFOOD LAMPUNG</t>
  </si>
  <si>
    <t>HARTAM - GJ.Tunggal</t>
  </si>
  <si>
    <t>BPK.YAKUB - St. URSULA</t>
  </si>
  <si>
    <t>22/1/2022</t>
  </si>
  <si>
    <t>TBP - Living World</t>
  </si>
  <si>
    <t>7654/I/2022</t>
  </si>
  <si>
    <t>7652/I/2022</t>
  </si>
  <si>
    <t>TBP - SAKURA</t>
  </si>
  <si>
    <t>7653/I/2022</t>
  </si>
  <si>
    <t>TBP - Paramita</t>
  </si>
  <si>
    <t>INTERDESIGN - DANAREKSA</t>
  </si>
  <si>
    <t>NAMA BARANG : DIAGONAL BRACE 2 M</t>
  </si>
  <si>
    <t>NAMA BARANG : DIAGONAL BRACE 2,5 M</t>
  </si>
  <si>
    <t>24/1/2022</t>
  </si>
  <si>
    <t>CAA - Katamaran .PIK</t>
  </si>
  <si>
    <t xml:space="preserve">IDN - STEP </t>
  </si>
  <si>
    <t>25/1/2022</t>
  </si>
  <si>
    <t>PT.TANGGA UTAMA</t>
  </si>
  <si>
    <t>SJ KIRIM TIE ROD</t>
  </si>
  <si>
    <t>26/1/2022</t>
  </si>
  <si>
    <t>7656/I/2022</t>
  </si>
  <si>
    <t>PVM-EMERALD</t>
  </si>
  <si>
    <t>7657/I/2022</t>
  </si>
  <si>
    <t>26/01/2022</t>
  </si>
  <si>
    <t>IDN-HEINZ ABC</t>
  </si>
  <si>
    <t>27/01/2022</t>
  </si>
  <si>
    <t>7658/I/2022</t>
  </si>
  <si>
    <t>27/1/2022</t>
  </si>
  <si>
    <t>NAMA BARANG :     TIE ROD 50 M</t>
  </si>
  <si>
    <t>28/1/2022</t>
  </si>
  <si>
    <t>7662/I/2022</t>
  </si>
  <si>
    <t>7661/I/2022</t>
  </si>
  <si>
    <t>7659/I/2022</t>
  </si>
  <si>
    <t>IDN-DE HEUS</t>
  </si>
  <si>
    <t>7660/I/2022</t>
  </si>
  <si>
    <t>29/1/2022</t>
  </si>
  <si>
    <t>JKA-RESEVOIR</t>
  </si>
  <si>
    <t>7666/I/2022</t>
  </si>
  <si>
    <t>7663/I/2022</t>
  </si>
  <si>
    <t>7664/I/2022</t>
  </si>
  <si>
    <t>7665/I/2022</t>
  </si>
  <si>
    <t>ACSET - TN</t>
  </si>
  <si>
    <t>31/1/2022</t>
  </si>
  <si>
    <t xml:space="preserve">JKA-SUMMARECON  </t>
  </si>
  <si>
    <t>7667/I/2022</t>
  </si>
  <si>
    <t>3/2/2022</t>
  </si>
  <si>
    <t>7670/II/2022</t>
  </si>
  <si>
    <t>7671/II/2022</t>
  </si>
  <si>
    <t>CAA - TEUKU CIK DITIRO</t>
  </si>
  <si>
    <t>2/2/2022</t>
  </si>
  <si>
    <t>Tangga Utama</t>
  </si>
  <si>
    <t>Pembelian TPPN</t>
  </si>
  <si>
    <t>pt wahana</t>
  </si>
  <si>
    <t>02/02/2022</t>
  </si>
  <si>
    <t>7668/II/2022</t>
  </si>
  <si>
    <t>( 4 set ) 16 pcs</t>
  </si>
  <si>
    <t>( 3 set ) 12 pcs</t>
  </si>
  <si>
    <t>4/2/2022</t>
  </si>
  <si>
    <t>JKA-ST.PERSITA</t>
  </si>
  <si>
    <t>7673/I/2022</t>
  </si>
  <si>
    <t>5/2/2022</t>
  </si>
  <si>
    <t>IMP</t>
  </si>
  <si>
    <t>009/IMP/II/22</t>
  </si>
  <si>
    <t>7672/II/2022</t>
  </si>
  <si>
    <t>7675/II/2022</t>
  </si>
  <si>
    <t>7674/II/2022</t>
  </si>
  <si>
    <t>JKA - ST.PERSITA</t>
  </si>
  <si>
    <t>TBP-Ashley Butterfly</t>
  </si>
  <si>
    <t>7876/II/2022</t>
  </si>
  <si>
    <t>WIKA - TENJO</t>
  </si>
  <si>
    <t>7677/II/2022</t>
  </si>
  <si>
    <t>CAA-Teuku Cik Ditiro</t>
  </si>
  <si>
    <t>07/02/2022</t>
  </si>
  <si>
    <t>WIKA-TENJO</t>
  </si>
  <si>
    <t>7682/II/2022</t>
  </si>
  <si>
    <t>7/2/2022</t>
  </si>
  <si>
    <t>JKA-ST.PERSIJA</t>
  </si>
  <si>
    <t>7681/II/2022</t>
  </si>
  <si>
    <t>7/1/2022</t>
  </si>
  <si>
    <t>7679/II/2022</t>
  </si>
  <si>
    <t>7680/II/2022</t>
  </si>
  <si>
    <t>IDN-ASAHI</t>
  </si>
  <si>
    <t>IDN - ASAHI DENSO</t>
  </si>
  <si>
    <t>08/02/2022</t>
  </si>
  <si>
    <t>7683/II/2022</t>
  </si>
  <si>
    <t>8/2/2022</t>
  </si>
  <si>
    <t>7684/II/2022</t>
  </si>
  <si>
    <t>9/2/2022</t>
  </si>
  <si>
    <t>7687/II/2022</t>
  </si>
  <si>
    <t>7685/II/2022</t>
  </si>
  <si>
    <t>7686/II/2022</t>
  </si>
  <si>
    <t>Bpk.Rundy - GKSL</t>
  </si>
  <si>
    <t>09/02/2022</t>
  </si>
  <si>
    <t>7689/II/2022</t>
  </si>
  <si>
    <t>11/02/2022</t>
  </si>
  <si>
    <t>U/ TANGGA 190</t>
  </si>
  <si>
    <t>U/ IDN-STEP</t>
  </si>
  <si>
    <t>STOK DR TANGGA 170</t>
  </si>
  <si>
    <t>11/2/2022</t>
  </si>
  <si>
    <t xml:space="preserve">IDN - SHARP </t>
  </si>
  <si>
    <t>7688/II/2022</t>
  </si>
  <si>
    <t>7690/II/2022</t>
  </si>
  <si>
    <t>12/02/2022</t>
  </si>
  <si>
    <t>CAA-KATAMARAN PIK</t>
  </si>
  <si>
    <t>14/02/2022</t>
  </si>
  <si>
    <t>7691/II/2022</t>
  </si>
  <si>
    <t>7692/II/2022</t>
  </si>
  <si>
    <t>IDN-HEMPEL</t>
  </si>
  <si>
    <t>Bpk.Rudy - GKSL</t>
  </si>
  <si>
    <t>15/02/2022</t>
  </si>
  <si>
    <t>15/2/2022</t>
  </si>
  <si>
    <t>7696/II/2022</t>
  </si>
  <si>
    <t>7694/II/2022</t>
  </si>
  <si>
    <t>7695/II/2022</t>
  </si>
  <si>
    <t>7693/II/2022</t>
  </si>
  <si>
    <t>16/2/2022</t>
  </si>
  <si>
    <t>7698/11/2022</t>
  </si>
  <si>
    <t>7697/II/2022</t>
  </si>
  <si>
    <t>7699/II/2022</t>
  </si>
  <si>
    <t>17/02/2022</t>
  </si>
  <si>
    <t>7700/II/2022</t>
  </si>
  <si>
    <t>17/2/2022</t>
  </si>
  <si>
    <t>IND-HITACHI</t>
  </si>
  <si>
    <t>18/2/2022</t>
  </si>
  <si>
    <t>7702/II/2022</t>
  </si>
  <si>
    <t>7701/II/2022</t>
  </si>
  <si>
    <t>7704/II/2022</t>
  </si>
  <si>
    <t>NRC-PINDODELI</t>
  </si>
  <si>
    <t>19/2/2022</t>
  </si>
  <si>
    <t>TBP-G.PARAMITA</t>
  </si>
  <si>
    <t>TBP-SQ</t>
  </si>
  <si>
    <t>7705/II/2022</t>
  </si>
  <si>
    <t>TBP-SEKOLAH CIKAL</t>
  </si>
  <si>
    <t>7706/II/2022</t>
  </si>
  <si>
    <t>7707/II/2022</t>
  </si>
  <si>
    <t>07/1/2022</t>
  </si>
  <si>
    <t>21/2/2022</t>
  </si>
  <si>
    <t>TBP - ONE TOWER</t>
  </si>
  <si>
    <t>INDONAKANO-STEP</t>
  </si>
  <si>
    <t>21/2/022</t>
  </si>
  <si>
    <t>7708/II/2022</t>
  </si>
  <si>
    <t>TBP-SKL CIKAL</t>
  </si>
  <si>
    <t>7709/II/22</t>
  </si>
  <si>
    <t>PANCA JAYA</t>
  </si>
  <si>
    <t>22/2/2022</t>
  </si>
  <si>
    <t>TBP-BASHLEY</t>
  </si>
  <si>
    <t>WAHANA</t>
  </si>
  <si>
    <t>22/2/22</t>
  </si>
  <si>
    <t>ICO-DANAREKSA</t>
  </si>
  <si>
    <t>7710/II/22</t>
  </si>
  <si>
    <t>POLABAJA-TREEPARK</t>
  </si>
  <si>
    <t>GELOBAL-HOUSE SERPONG</t>
  </si>
  <si>
    <t>23/2/2022</t>
  </si>
  <si>
    <t>7711/II/22</t>
  </si>
  <si>
    <t>TBP-AERIUM</t>
  </si>
  <si>
    <t>7714/II/2022</t>
  </si>
  <si>
    <t>7713/II/2022</t>
  </si>
  <si>
    <t>7712/II/2022</t>
  </si>
  <si>
    <t>revisi via vivi</t>
  </si>
  <si>
    <t>24/2/2022</t>
  </si>
  <si>
    <t>7715/II/2022</t>
  </si>
  <si>
    <t>25/2/2022</t>
  </si>
  <si>
    <t>7716/II/22</t>
  </si>
  <si>
    <t>POLABAJA - TREE PARK</t>
  </si>
  <si>
    <t>26/2/2022</t>
  </si>
  <si>
    <t>JBP-AERIUM</t>
  </si>
  <si>
    <t>7718/II/2022</t>
  </si>
  <si>
    <t>7717/II/2022</t>
  </si>
  <si>
    <t>1/3/2022</t>
  </si>
  <si>
    <t xml:space="preserve">TBP-One Tower </t>
  </si>
  <si>
    <t>7720/III/22</t>
  </si>
  <si>
    <t>TBP-One Tower</t>
  </si>
  <si>
    <t>7719/III/22</t>
  </si>
  <si>
    <t>2/3/2022</t>
  </si>
  <si>
    <t>7722/III/22</t>
  </si>
  <si>
    <t>7721/III/22</t>
  </si>
  <si>
    <t>STAIRS-BPK SUNARNO</t>
  </si>
  <si>
    <t>BPK ROHIMIN</t>
  </si>
  <si>
    <t>3/3/2022</t>
  </si>
  <si>
    <t>7723/III/22</t>
  </si>
  <si>
    <t>Bpk.Rundy - Sunter Agung Tengah</t>
  </si>
  <si>
    <t>4/3/2022</t>
  </si>
  <si>
    <t>CAA-Katamaran indah PIK</t>
  </si>
  <si>
    <t>7726/III/22</t>
  </si>
  <si>
    <t>7724/III/22</t>
  </si>
  <si>
    <t>7725/III/22</t>
  </si>
  <si>
    <t>5/3/2022</t>
  </si>
  <si>
    <t>7727/III/22</t>
  </si>
  <si>
    <t>7/3/2022</t>
  </si>
  <si>
    <t>7729/III/22</t>
  </si>
  <si>
    <t>7728/III/22</t>
  </si>
  <si>
    <t>Melissa Kristin</t>
  </si>
  <si>
    <t>8/3/2022</t>
  </si>
  <si>
    <t>Bpk.Rudy - Sunter Agung Tengah</t>
  </si>
  <si>
    <t>ACSET-TH9</t>
  </si>
  <si>
    <t>ACSET-TH9.</t>
  </si>
  <si>
    <t>9/3/2022</t>
  </si>
  <si>
    <t>JKA-PANARUB</t>
  </si>
  <si>
    <t>7730/III/22</t>
  </si>
  <si>
    <t>7731/III/22</t>
  </si>
  <si>
    <t>10/3/2022</t>
  </si>
  <si>
    <t>7732/III/22</t>
  </si>
  <si>
    <t>IDN-ESR</t>
  </si>
  <si>
    <t>7733/III/22</t>
  </si>
  <si>
    <t>7734/III/22</t>
  </si>
  <si>
    <t>7735/III/22</t>
  </si>
  <si>
    <t>NAMA BARANG : TRIGER BRACE 2.75</t>
  </si>
  <si>
    <t>TBP - SQ</t>
  </si>
  <si>
    <t>10/3/22</t>
  </si>
  <si>
    <t>NAMA BARANG : LEDGER 0.6 M PCH</t>
  </si>
  <si>
    <t>11/3/2022</t>
  </si>
  <si>
    <t>7737/III/22</t>
  </si>
  <si>
    <t>7736/III/22</t>
  </si>
  <si>
    <t>ACSET - TH9</t>
  </si>
  <si>
    <t>12/3/22</t>
  </si>
  <si>
    <t>7738/III/22</t>
  </si>
  <si>
    <t>Dari tangga 170</t>
  </si>
  <si>
    <t>12/3/2022</t>
  </si>
  <si>
    <t>7740/III/22</t>
  </si>
  <si>
    <t>7739/III/22</t>
  </si>
  <si>
    <t>INTERDESIGN</t>
  </si>
  <si>
    <t>14/3/22</t>
  </si>
  <si>
    <t>7741/III/22</t>
  </si>
  <si>
    <t>14/3/2022</t>
  </si>
  <si>
    <t>7742/III/22</t>
  </si>
  <si>
    <t>CAA-TCD</t>
  </si>
  <si>
    <t>3/1/2021</t>
  </si>
  <si>
    <t>5/1/2022</t>
  </si>
  <si>
    <t>6/1/2022</t>
  </si>
  <si>
    <t>8/1/2022</t>
  </si>
  <si>
    <t>12/1/2022</t>
  </si>
  <si>
    <t>13/1/2022</t>
  </si>
  <si>
    <t>15/1/2022</t>
  </si>
  <si>
    <t>17/1/2022</t>
  </si>
  <si>
    <t>18/1/2022</t>
  </si>
  <si>
    <t>19/1/2022</t>
  </si>
  <si>
    <t>00012/IMP/II/22</t>
  </si>
  <si>
    <t>0018/IMP/II/22</t>
  </si>
  <si>
    <t>0022/IMP/II/22</t>
  </si>
  <si>
    <t>0024/IMP/II/22</t>
  </si>
  <si>
    <t>7713/II/22</t>
  </si>
  <si>
    <t>0028/IMP/III/22</t>
  </si>
  <si>
    <t xml:space="preserve">Interdesign </t>
  </si>
  <si>
    <t>15/3/2022</t>
  </si>
  <si>
    <t>15/3/22</t>
  </si>
  <si>
    <t>IDN - DE HEUS</t>
  </si>
  <si>
    <t>16/3/22</t>
  </si>
  <si>
    <t>7745/III/232</t>
  </si>
  <si>
    <t>16/3/2022</t>
  </si>
  <si>
    <t>POLABAJA</t>
  </si>
  <si>
    <t>7744/III/22</t>
  </si>
  <si>
    <t>WIKA-RSUP</t>
  </si>
  <si>
    <t>7743/III/22</t>
  </si>
  <si>
    <t>17/3/22</t>
  </si>
  <si>
    <t>INDONAKANO-SHARP</t>
  </si>
  <si>
    <t>7746/III/22</t>
  </si>
  <si>
    <t>18/3/22</t>
  </si>
  <si>
    <t>IDN-SHARP</t>
  </si>
  <si>
    <t>7749/III/2022</t>
  </si>
  <si>
    <t>7749/III/22</t>
  </si>
  <si>
    <t>7747/III/22</t>
  </si>
  <si>
    <t>7748/III/22</t>
  </si>
  <si>
    <t xml:space="preserve">NAMA BARANG : PIN CB 220 / 193 </t>
  </si>
  <si>
    <t>18/03/2022</t>
  </si>
  <si>
    <t>18/03/22</t>
  </si>
  <si>
    <t>IND-HEMPEL</t>
  </si>
  <si>
    <t>19/3/22</t>
  </si>
  <si>
    <t>7751/III/22</t>
  </si>
  <si>
    <t>7750/III/22</t>
  </si>
  <si>
    <t>21/3/22</t>
  </si>
  <si>
    <t>JKA-FORESTA</t>
  </si>
  <si>
    <t>7753/III/22</t>
  </si>
  <si>
    <t>21/03/22</t>
  </si>
  <si>
    <t>7752/III/22</t>
  </si>
  <si>
    <t>22/3/22</t>
  </si>
  <si>
    <t>Tangga Utama-Permata Hijau</t>
  </si>
  <si>
    <t>Bpk Aris-tomang</t>
  </si>
  <si>
    <t>23/3/22</t>
  </si>
  <si>
    <t>TBP-BCA CENTER</t>
  </si>
  <si>
    <t>7755/III/22</t>
  </si>
  <si>
    <t>ICO-Data Center</t>
  </si>
  <si>
    <t>7754/III/2022</t>
  </si>
  <si>
    <t>23/03/2022</t>
  </si>
  <si>
    <t>ICO-SARINA</t>
  </si>
  <si>
    <t>TBP-SKOLAH CIKAL</t>
  </si>
  <si>
    <t>24/03/2022</t>
  </si>
  <si>
    <t>7756/III/2022</t>
  </si>
  <si>
    <t>24/3/22</t>
  </si>
  <si>
    <t>25/3/22</t>
  </si>
  <si>
    <t>7757/III/22</t>
  </si>
  <si>
    <t>26/3/22</t>
  </si>
  <si>
    <t>7760/III/22</t>
  </si>
  <si>
    <t>26/3/2022</t>
  </si>
  <si>
    <t>NRC-Tower Ekki Podomoro</t>
  </si>
  <si>
    <t>7761/III/22</t>
  </si>
  <si>
    <t>7759/III/22</t>
  </si>
  <si>
    <t>28/3/2022</t>
  </si>
  <si>
    <t>7763/III/22</t>
  </si>
  <si>
    <t>7762/III/22</t>
  </si>
  <si>
    <t>28/3/22</t>
  </si>
  <si>
    <t>29/3/2022</t>
  </si>
  <si>
    <t>7764/III/22</t>
  </si>
  <si>
    <t>29/3/22</t>
  </si>
  <si>
    <t>7765/III/22</t>
  </si>
  <si>
    <t>TBP-SEKOLAH CALVIN</t>
  </si>
  <si>
    <t>7766/III/22</t>
  </si>
  <si>
    <t>Bpk Yakub-St.Ursula BSD</t>
  </si>
  <si>
    <t>CSCEC-MEGAKON</t>
  </si>
  <si>
    <t>30/3/22</t>
  </si>
  <si>
    <t>7769/III/22</t>
  </si>
  <si>
    <t>7768/III/22</t>
  </si>
  <si>
    <t>30/3/2022</t>
  </si>
  <si>
    <t>7767/III/22</t>
  </si>
  <si>
    <t xml:space="preserve">BPK ANDRE (KBM)-TOWN HOUSE </t>
  </si>
  <si>
    <t>31/3/22</t>
  </si>
  <si>
    <t>7770/III/22</t>
  </si>
  <si>
    <t>7771/III/22</t>
  </si>
  <si>
    <t>JKA-MITSUBISHI</t>
  </si>
  <si>
    <t>31/3/2022</t>
  </si>
  <si>
    <t>IDEA MANDIRI</t>
  </si>
  <si>
    <t>1/4/2022</t>
  </si>
  <si>
    <t>7775/III/2022</t>
  </si>
  <si>
    <t>7774/III/2022</t>
  </si>
  <si>
    <t>1/4/22</t>
  </si>
  <si>
    <t>JKA-SEREVOIR</t>
  </si>
  <si>
    <t>7772/IV/22</t>
  </si>
  <si>
    <t>NAMA BARANG : TANGGA PCH + RELING</t>
  </si>
  <si>
    <t>RELING</t>
  </si>
  <si>
    <t>TBP-WORKSHOP</t>
  </si>
  <si>
    <t>2/4/2022</t>
  </si>
  <si>
    <t>7776/IV/2022</t>
  </si>
  <si>
    <t>4/4/22</t>
  </si>
  <si>
    <t>7777/IV/22</t>
  </si>
  <si>
    <t>7778/IV/22</t>
  </si>
  <si>
    <t>5/4/2022</t>
  </si>
  <si>
    <t>Bpk Rudi - PIK</t>
  </si>
  <si>
    <t>7780/IV/22</t>
  </si>
  <si>
    <t>6/4/2022</t>
  </si>
  <si>
    <t>6/4/22</t>
  </si>
  <si>
    <t>7782/IV/22</t>
  </si>
  <si>
    <t>MURINDA-TEMPO KERA SAKTI 5</t>
  </si>
  <si>
    <t>7783/IV/22</t>
  </si>
  <si>
    <t>7784/IV/22</t>
  </si>
  <si>
    <t>7/4/2022</t>
  </si>
  <si>
    <t>7787/IV/22</t>
  </si>
  <si>
    <t>7/4/22</t>
  </si>
  <si>
    <t>7785/IV/22</t>
  </si>
  <si>
    <t>8/4/22</t>
  </si>
  <si>
    <t>7790/IV/22</t>
  </si>
  <si>
    <t>8/4/2022</t>
  </si>
  <si>
    <t>7789/IV/22</t>
  </si>
  <si>
    <t>01/4/22</t>
  </si>
  <si>
    <t>08/4/22</t>
  </si>
  <si>
    <t>09/4/22</t>
  </si>
  <si>
    <t>9/4/22</t>
  </si>
  <si>
    <t>5/4/22</t>
  </si>
  <si>
    <t>7791/IV/22</t>
  </si>
  <si>
    <t>11/4/2022</t>
  </si>
  <si>
    <t>11/4/22</t>
  </si>
  <si>
    <t>7792/IV/22</t>
  </si>
  <si>
    <t>12/4/2022</t>
  </si>
  <si>
    <t>TBP-PADMA</t>
  </si>
  <si>
    <t>13/04/22</t>
  </si>
  <si>
    <t>12/4/22</t>
  </si>
  <si>
    <t>NRC-SHOWROOM JEEP</t>
  </si>
  <si>
    <t>7794/IV/22</t>
  </si>
  <si>
    <t>13/4/22</t>
  </si>
  <si>
    <t>IDN-CHUHATSU</t>
  </si>
  <si>
    <t>7793/IV/22</t>
  </si>
  <si>
    <t>INDONAKANO</t>
  </si>
  <si>
    <t>7795/IV/22</t>
  </si>
  <si>
    <t>14/4/22</t>
  </si>
  <si>
    <t>16/4/2022</t>
  </si>
  <si>
    <t>tppn</t>
  </si>
  <si>
    <t>7796/IV/22</t>
  </si>
  <si>
    <t>16/4/22</t>
  </si>
  <si>
    <t>TBP-BINUS</t>
  </si>
  <si>
    <t>18/4/22</t>
  </si>
  <si>
    <t>JKA-RESERVOIR</t>
  </si>
  <si>
    <t>7797/IV/22</t>
  </si>
  <si>
    <t>TBP-ONESATRIO</t>
  </si>
  <si>
    <t>19/4/22</t>
  </si>
  <si>
    <t>TBP-ONETOWER</t>
  </si>
  <si>
    <t>20/4/22</t>
  </si>
  <si>
    <t>IDN-DEHEUS</t>
  </si>
  <si>
    <t>7801/IV/2022</t>
  </si>
  <si>
    <t>NAMA BARANG : SURI-SURI 40x60x1 M</t>
  </si>
  <si>
    <t>7800/IV/22</t>
  </si>
  <si>
    <t>7799/IV/22</t>
  </si>
  <si>
    <t>7802/IV/22</t>
  </si>
  <si>
    <t>21/4/22</t>
  </si>
  <si>
    <t>7803/IV/22</t>
  </si>
  <si>
    <t>22/4/22</t>
  </si>
  <si>
    <t>7804/IV/22</t>
  </si>
  <si>
    <t>23/4/22</t>
  </si>
  <si>
    <t>7805/IV/22</t>
  </si>
  <si>
    <t>7806/IV/22</t>
  </si>
  <si>
    <t>2/4/22</t>
  </si>
  <si>
    <t>25/4/22</t>
  </si>
  <si>
    <t>26/4/22</t>
  </si>
  <si>
    <t>27/4/22</t>
  </si>
  <si>
    <t>9/5/2022</t>
  </si>
  <si>
    <t>INDONAKANO-ESR</t>
  </si>
  <si>
    <t>7807/V/2022</t>
  </si>
  <si>
    <t>9/5/22</t>
  </si>
  <si>
    <t>10/5/22</t>
  </si>
  <si>
    <t>11/5/22</t>
  </si>
  <si>
    <t>12/5/22</t>
  </si>
  <si>
    <t>7808/V/2022</t>
  </si>
  <si>
    <t>12/5/2022</t>
  </si>
  <si>
    <t>7809/V/22</t>
  </si>
  <si>
    <t>IND-ESR</t>
  </si>
  <si>
    <t>7810/V/22</t>
  </si>
  <si>
    <t>13/5/2022</t>
  </si>
  <si>
    <t>ACSET-CLEON</t>
  </si>
  <si>
    <t>7811/V/22</t>
  </si>
  <si>
    <t>13/5/22</t>
  </si>
  <si>
    <t>14/5/2022</t>
  </si>
  <si>
    <t>7812/V/22</t>
  </si>
  <si>
    <t>CAA-Decove 8</t>
  </si>
  <si>
    <t>dikembalikan</t>
  </si>
  <si>
    <t>14/5/22</t>
  </si>
  <si>
    <t>17/5/22</t>
  </si>
  <si>
    <t>18/5/22</t>
  </si>
  <si>
    <t>7815/V/22</t>
  </si>
  <si>
    <t>7813/V/22</t>
  </si>
  <si>
    <t>NAMA BARANG : BEHEL 19 MM</t>
  </si>
  <si>
    <t>EVI - JAYA</t>
  </si>
  <si>
    <t>TBP - ONR TOWER</t>
  </si>
  <si>
    <t>7814/V/22</t>
  </si>
  <si>
    <t>19/5/22</t>
  </si>
  <si>
    <t>INDONAKANO - SHARP</t>
  </si>
  <si>
    <t>7819/V/22</t>
  </si>
  <si>
    <t>TBP - INNOPARM</t>
  </si>
  <si>
    <t>7816/V/22</t>
  </si>
  <si>
    <t>INDONAKANO - ESR</t>
  </si>
  <si>
    <t>7817/V/22</t>
  </si>
  <si>
    <t>7818/V/22</t>
  </si>
  <si>
    <t>Bpk.Andre-TOWN HOUSE</t>
  </si>
  <si>
    <t>20/5/22</t>
  </si>
  <si>
    <t>TBP-SHAKA</t>
  </si>
  <si>
    <t>7822/V/22</t>
  </si>
  <si>
    <t>7821/V/22</t>
  </si>
  <si>
    <t>7823/V/22</t>
  </si>
  <si>
    <t>7820/V/22</t>
  </si>
  <si>
    <t>TBP-ONE SATRIO</t>
  </si>
  <si>
    <t>21/5/22</t>
  </si>
  <si>
    <t>23/03/22</t>
  </si>
  <si>
    <t>7824/V/22</t>
  </si>
  <si>
    <t>8725/V/22</t>
  </si>
  <si>
    <t>BPK.ANDRE-TOWN HOUSE</t>
  </si>
  <si>
    <t>22/5/22</t>
  </si>
  <si>
    <t>TBP-BCA</t>
  </si>
  <si>
    <t>8726/V/2022</t>
  </si>
  <si>
    <t>23/5/22</t>
  </si>
  <si>
    <t>8729/V/22</t>
  </si>
  <si>
    <t>8728/V/22</t>
  </si>
  <si>
    <t>8730/V/22</t>
  </si>
  <si>
    <t>24/5/22</t>
  </si>
  <si>
    <t>BPK ANDRE-TOWN HOUSE</t>
  </si>
  <si>
    <t>8734/V/22</t>
  </si>
  <si>
    <t>8732/V/22</t>
  </si>
  <si>
    <t>8733/V/22</t>
  </si>
  <si>
    <t>INDONAKANO - STEP</t>
  </si>
  <si>
    <t>8731/V/22</t>
  </si>
  <si>
    <t>8727/V/22</t>
  </si>
  <si>
    <t>27/5/22</t>
  </si>
  <si>
    <t>25/5/22</t>
  </si>
  <si>
    <t>BPK.ADITYA - KEB. BARU</t>
  </si>
  <si>
    <t>8735/V/22</t>
  </si>
  <si>
    <t>8738/V/22</t>
  </si>
  <si>
    <t>8737/V/22</t>
  </si>
  <si>
    <t>8736/V/22</t>
  </si>
  <si>
    <t>CAA - KATAMARAN PIK</t>
  </si>
  <si>
    <t xml:space="preserve"> </t>
  </si>
  <si>
    <t>28/5/22</t>
  </si>
  <si>
    <t>Bpk. Rudi - PIK</t>
  </si>
  <si>
    <t>ADITYA-KEB.BARU</t>
  </si>
  <si>
    <t>TAKENAKA - AEON DELTA</t>
  </si>
  <si>
    <t>8742/V/22</t>
  </si>
  <si>
    <t>TAKENAKA - IDJV</t>
  </si>
  <si>
    <t>8741/V/22</t>
  </si>
  <si>
    <t>8739/V/22</t>
  </si>
  <si>
    <t>8740/V/22</t>
  </si>
  <si>
    <t>29/5/22</t>
  </si>
  <si>
    <t>8743/V/22</t>
  </si>
  <si>
    <t>8744/V/22</t>
  </si>
  <si>
    <t>8745/V/22</t>
  </si>
  <si>
    <t>30/5/22</t>
  </si>
  <si>
    <t>8746/V/22</t>
  </si>
  <si>
    <t>8748/V/222</t>
  </si>
  <si>
    <t>8747/V/22</t>
  </si>
  <si>
    <t>31/5/22</t>
  </si>
  <si>
    <t>Indonakano-Sharp</t>
  </si>
  <si>
    <t>8750/V/22</t>
  </si>
  <si>
    <t>8749/V/22</t>
  </si>
  <si>
    <t>1/6/22</t>
  </si>
  <si>
    <t>8752/VI/22</t>
  </si>
  <si>
    <t>U/TANGGA 190</t>
  </si>
  <si>
    <t>2/6/22</t>
  </si>
  <si>
    <t>TBP-NABEL SAKHA</t>
  </si>
  <si>
    <t>8753/VI/22</t>
  </si>
  <si>
    <t>3/6/22</t>
  </si>
  <si>
    <t>TBP - BINUS</t>
  </si>
  <si>
    <t>8751/VI/22</t>
  </si>
  <si>
    <t>NRC- SHOWROOM JEEP</t>
  </si>
  <si>
    <t>8758/VI/22</t>
  </si>
  <si>
    <t>8756/VI/22</t>
  </si>
  <si>
    <t>8759/VI/22</t>
  </si>
  <si>
    <t>8755/VI/22</t>
  </si>
  <si>
    <t>TBP-NABEL SAKHA,INNOPHAR,BCA</t>
  </si>
  <si>
    <t>8757/VI/22</t>
  </si>
  <si>
    <t>4/6/22</t>
  </si>
  <si>
    <t>8760/VI/22</t>
  </si>
  <si>
    <t>8761/VI/22</t>
  </si>
  <si>
    <t>8765/VI/22</t>
  </si>
  <si>
    <t>6/6/22</t>
  </si>
  <si>
    <t>8764/VI/22</t>
  </si>
  <si>
    <t>TBP - BCA DATA CENTER</t>
  </si>
  <si>
    <t>8763/VI/22</t>
  </si>
  <si>
    <t>TBP - ONR SATRIO</t>
  </si>
  <si>
    <t>8/6/22</t>
  </si>
  <si>
    <t>8767/VI/22</t>
  </si>
  <si>
    <t>8768/VI/22</t>
  </si>
  <si>
    <t>8766/VI/22</t>
  </si>
  <si>
    <t>8769/VI/22</t>
  </si>
  <si>
    <t>BPK.ALPIN/SUKISNO-PANARUKAN</t>
  </si>
  <si>
    <t>JKA-RESEVIOR</t>
  </si>
  <si>
    <t>JAGAT - STADION</t>
  </si>
  <si>
    <t>SJ . TPPN</t>
  </si>
  <si>
    <t>9/6/22</t>
  </si>
  <si>
    <t>INTERDESIGN-DANAREKSA</t>
  </si>
  <si>
    <t>RALING</t>
  </si>
  <si>
    <t>10/6/22</t>
  </si>
  <si>
    <t>INDONAKANO-CHUHATSU</t>
  </si>
  <si>
    <t>8772/VI/22</t>
  </si>
  <si>
    <t>8770/VI/22</t>
  </si>
  <si>
    <t>8771/VI/22</t>
  </si>
  <si>
    <t>Copot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</si>
</sst>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name val="Calibri"/>
      <family val="2"/>
      <scheme val="minor"/>
    </font>
    <font>
      <sz val="12"/>
      <color indexed="8"/>
      <name val="Calibri"/>
      <family val="2"/>
    </font>
    <font>
      <b/>
      <sz val="12"/>
      <color rgb="FF7030A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0"/>
      <name val="Arial Unicode MS"/>
      <family val="2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7030A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2"/>
      <color rgb="FF7030A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indexed="8"/>
      <name val="Comic Sans MS"/>
      <family val="4"/>
    </font>
    <font>
      <sz val="10"/>
      <color indexed="8"/>
      <name val="Comic Sans MS"/>
      <family val="4"/>
    </font>
    <font>
      <b/>
      <sz val="10"/>
      <name val="Comic Sans MS"/>
      <family val="4"/>
    </font>
    <font>
      <sz val="10"/>
      <name val="Arial"/>
      <family val="2"/>
    </font>
    <font>
      <b/>
      <sz val="10"/>
      <color rgb="FF7030A0"/>
      <name val="Arial"/>
      <family val="2"/>
    </font>
    <font>
      <b/>
      <sz val="12"/>
      <color indexed="8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rgb="FF7030A0"/>
      <name val="Cambria"/>
      <family val="1"/>
      <scheme val="major"/>
    </font>
    <font>
      <b/>
      <sz val="12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sz val="12"/>
      <color indexed="8"/>
      <name val="Cambria"/>
      <family val="1"/>
    </font>
    <font>
      <sz val="11"/>
      <color theme="1"/>
      <name val="Cambria"/>
      <family val="1"/>
    </font>
    <font>
      <b/>
      <sz val="10"/>
      <color indexed="8"/>
      <name val="Cambria"/>
      <family val="1"/>
    </font>
    <font>
      <sz val="10"/>
      <color indexed="8"/>
      <name val="Cambria"/>
      <family val="1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name val="Cambria"/>
      <family val="1"/>
    </font>
    <font>
      <sz val="11"/>
      <color rgb="FFFF0000"/>
      <name val="Cambria"/>
      <family val="1"/>
      <scheme val="major"/>
    </font>
    <font>
      <b/>
      <sz val="11"/>
      <color rgb="FFFF0000"/>
      <name val="Cambria"/>
      <family val="1"/>
      <scheme val="major"/>
    </font>
    <font>
      <b/>
      <sz val="10"/>
      <color rgb="FF7030A0"/>
      <name val="Cambria"/>
      <family val="1"/>
      <scheme val="major"/>
    </font>
    <font>
      <sz val="10"/>
      <name val="Cambria"/>
      <family val="1"/>
      <scheme val="major"/>
    </font>
    <font>
      <b/>
      <sz val="11"/>
      <color theme="4"/>
      <name val="Cambria"/>
      <family val="1"/>
      <scheme val="major"/>
    </font>
    <font>
      <b/>
      <sz val="12"/>
      <color rgb="FF7030A0"/>
      <name val="Cambria"/>
      <family val="1"/>
      <scheme val="maj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Protection="0"/>
  </cellStyleXfs>
  <cellXfs count="316"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NumberFormat="1" applyFont="1" applyFill="1" applyBorder="1" applyAlignment="1">
      <alignment horizontal="left" vertical="center"/>
    </xf>
    <xf numFmtId="0" fontId="7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/>
    </xf>
    <xf numFmtId="0" fontId="8" fillId="0" borderId="1" xfId="0" applyFont="1" applyFill="1" applyBorder="1"/>
    <xf numFmtId="0" fontId="6" fillId="0" borderId="1" xfId="0" applyFont="1" applyBorder="1"/>
    <xf numFmtId="0" fontId="9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1" xfId="0" applyFont="1" applyBorder="1"/>
    <xf numFmtId="14" fontId="0" fillId="0" borderId="1" xfId="0" applyNumberFormat="1" applyFont="1" applyBorder="1"/>
    <xf numFmtId="0" fontId="1" fillId="0" borderId="1" xfId="0" applyFont="1" applyBorder="1"/>
    <xf numFmtId="0" fontId="13" fillId="0" borderId="0" xfId="0" applyFont="1" applyAlignment="1">
      <alignment vertical="center"/>
    </xf>
    <xf numFmtId="0" fontId="15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17" fillId="0" borderId="0" xfId="0" applyFont="1"/>
    <xf numFmtId="0" fontId="18" fillId="0" borderId="0" xfId="0" applyNumberFormat="1" applyFont="1" applyFill="1" applyBorder="1" applyAlignment="1">
      <alignment vertical="center"/>
    </xf>
    <xf numFmtId="0" fontId="16" fillId="0" borderId="1" xfId="0" applyNumberFormat="1" applyFont="1" applyFill="1" applyBorder="1" applyAlignment="1">
      <alignment vertical="center"/>
    </xf>
    <xf numFmtId="0" fontId="20" fillId="0" borderId="1" xfId="0" applyFont="1" applyFill="1" applyBorder="1"/>
    <xf numFmtId="0" fontId="15" fillId="0" borderId="1" xfId="0" applyFont="1" applyBorder="1"/>
    <xf numFmtId="14" fontId="15" fillId="0" borderId="1" xfId="0" applyNumberFormat="1" applyFont="1" applyBorder="1"/>
    <xf numFmtId="0" fontId="17" fillId="0" borderId="1" xfId="0" applyFont="1" applyBorder="1"/>
    <xf numFmtId="0" fontId="15" fillId="0" borderId="1" xfId="0" applyFont="1" applyBorder="1" applyAlignment="1">
      <alignment horizontal="left"/>
    </xf>
    <xf numFmtId="0" fontId="15" fillId="0" borderId="1" xfId="0" applyFont="1" applyFill="1" applyBorder="1"/>
    <xf numFmtId="14" fontId="15" fillId="0" borderId="1" xfId="0" applyNumberFormat="1" applyFont="1" applyBorder="1" applyAlignment="1">
      <alignment horizontal="left"/>
    </xf>
    <xf numFmtId="0" fontId="18" fillId="0" borderId="0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vertical="center"/>
    </xf>
    <xf numFmtId="0" fontId="16" fillId="0" borderId="0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left" vertical="center"/>
    </xf>
    <xf numFmtId="0" fontId="21" fillId="0" borderId="0" xfId="0" applyNumberFormat="1" applyFont="1" applyFill="1" applyBorder="1" applyAlignment="1">
      <alignment vertical="center"/>
    </xf>
    <xf numFmtId="0" fontId="22" fillId="0" borderId="1" xfId="0" applyFont="1" applyBorder="1"/>
    <xf numFmtId="0" fontId="21" fillId="2" borderId="1" xfId="0" applyNumberFormat="1" applyFont="1" applyFill="1" applyBorder="1" applyAlignment="1">
      <alignment vertical="center"/>
    </xf>
    <xf numFmtId="0" fontId="15" fillId="0" borderId="0" xfId="0" applyFont="1" applyAlignment="1">
      <alignment horizontal="left"/>
    </xf>
    <xf numFmtId="0" fontId="21" fillId="0" borderId="0" xfId="0" applyNumberFormat="1" applyFont="1" applyFill="1" applyBorder="1" applyAlignment="1">
      <alignment horizontal="left" vertical="center"/>
    </xf>
    <xf numFmtId="0" fontId="16" fillId="0" borderId="2" xfId="0" applyNumberFormat="1" applyFont="1" applyFill="1" applyBorder="1" applyAlignment="1">
      <alignment horizontal="left" vertical="center"/>
    </xf>
    <xf numFmtId="0" fontId="16" fillId="0" borderId="2" xfId="0" applyNumberFormat="1" applyFont="1" applyFill="1" applyBorder="1" applyAlignment="1">
      <alignment vertical="center"/>
    </xf>
    <xf numFmtId="0" fontId="20" fillId="0" borderId="2" xfId="0" applyFont="1" applyFill="1" applyBorder="1"/>
    <xf numFmtId="0" fontId="15" fillId="0" borderId="2" xfId="0" applyFont="1" applyBorder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3" borderId="0" xfId="0" applyNumberFormat="1" applyFont="1" applyFill="1" applyBorder="1" applyAlignment="1">
      <alignment vertical="center"/>
    </xf>
    <xf numFmtId="0" fontId="16" fillId="3" borderId="0" xfId="0" applyNumberFormat="1" applyFont="1" applyFill="1" applyBorder="1" applyAlignment="1">
      <alignment horizontal="center" vertical="center"/>
    </xf>
    <xf numFmtId="0" fontId="16" fillId="3" borderId="1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25" fillId="2" borderId="1" xfId="0" applyFont="1" applyFill="1" applyBorder="1"/>
    <xf numFmtId="0" fontId="19" fillId="0" borderId="1" xfId="0" applyNumberFormat="1" applyFont="1" applyFill="1" applyBorder="1" applyAlignment="1">
      <alignment vertical="center"/>
    </xf>
    <xf numFmtId="0" fontId="26" fillId="0" borderId="0" xfId="0" applyFont="1" applyAlignment="1">
      <alignment horizontal="left"/>
    </xf>
    <xf numFmtId="0" fontId="26" fillId="0" borderId="0" xfId="0" applyFont="1"/>
    <xf numFmtId="0" fontId="27" fillId="0" borderId="0" xfId="0" applyFont="1" applyAlignment="1">
      <alignment horizontal="left"/>
    </xf>
    <xf numFmtId="0" fontId="27" fillId="0" borderId="0" xfId="0" applyFont="1"/>
    <xf numFmtId="0" fontId="16" fillId="3" borderId="1" xfId="0" applyNumberFormat="1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2" borderId="0" xfId="0" applyFont="1" applyFill="1" applyAlignment="1">
      <alignment horizontal="left" vertical="center"/>
    </xf>
    <xf numFmtId="0" fontId="30" fillId="2" borderId="0" xfId="0" applyFont="1" applyFill="1" applyAlignment="1">
      <alignment vertical="center"/>
    </xf>
    <xf numFmtId="0" fontId="30" fillId="0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30" fillId="0" borderId="1" xfId="0" applyFont="1" applyFill="1" applyBorder="1"/>
    <xf numFmtId="0" fontId="20" fillId="2" borderId="0" xfId="0" applyFont="1" applyFill="1" applyAlignment="1">
      <alignment vertical="center"/>
    </xf>
    <xf numFmtId="0" fontId="20" fillId="0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/>
    <xf numFmtId="0" fontId="21" fillId="0" borderId="0" xfId="0" applyFont="1"/>
    <xf numFmtId="0" fontId="16" fillId="0" borderId="0" xfId="0" applyFont="1"/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0" fillId="0" borderId="9" xfId="0" applyBorder="1"/>
    <xf numFmtId="0" fontId="15" fillId="0" borderId="9" xfId="0" applyFont="1" applyBorder="1"/>
    <xf numFmtId="0" fontId="3" fillId="0" borderId="1" xfId="0" applyFont="1" applyBorder="1"/>
    <xf numFmtId="0" fontId="33" fillId="0" borderId="0" xfId="0" applyFont="1"/>
    <xf numFmtId="0" fontId="34" fillId="0" borderId="0" xfId="0" applyFont="1"/>
    <xf numFmtId="0" fontId="31" fillId="0" borderId="1" xfId="0" applyFont="1" applyBorder="1" applyAlignment="1">
      <alignment horizontal="left" vertical="center"/>
    </xf>
    <xf numFmtId="14" fontId="32" fillId="0" borderId="1" xfId="0" applyNumberFormat="1" applyFont="1" applyBorder="1"/>
    <xf numFmtId="0" fontId="32" fillId="0" borderId="0" xfId="0" applyFont="1"/>
    <xf numFmtId="0" fontId="27" fillId="0" borderId="1" xfId="0" applyNumberFormat="1" applyFont="1" applyFill="1" applyBorder="1" applyAlignment="1">
      <alignment vertical="center"/>
    </xf>
    <xf numFmtId="0" fontId="36" fillId="0" borderId="1" xfId="0" applyFont="1" applyFill="1" applyBorder="1"/>
    <xf numFmtId="0" fontId="0" fillId="0" borderId="0" xfId="0" applyAlignment="1">
      <alignment horizontal="left"/>
    </xf>
    <xf numFmtId="0" fontId="28" fillId="2" borderId="1" xfId="0" applyFont="1" applyFill="1" applyBorder="1"/>
    <xf numFmtId="0" fontId="22" fillId="0" borderId="0" xfId="0" applyFont="1"/>
    <xf numFmtId="0" fontId="25" fillId="0" borderId="0" xfId="0" applyFont="1"/>
    <xf numFmtId="0" fontId="16" fillId="3" borderId="2" xfId="0" applyNumberFormat="1" applyFont="1" applyFill="1" applyBorder="1" applyAlignment="1">
      <alignment vertical="center"/>
    </xf>
    <xf numFmtId="0" fontId="31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0" fillId="0" borderId="1" xfId="0" quotePrefix="1" applyBorder="1"/>
    <xf numFmtId="0" fontId="35" fillId="0" borderId="2" xfId="0" applyFont="1" applyBorder="1" applyAlignment="1">
      <alignment vertical="center"/>
    </xf>
    <xf numFmtId="14" fontId="3" fillId="0" borderId="1" xfId="0" applyNumberFormat="1" applyFont="1" applyBorder="1" applyAlignment="1">
      <alignment horizontal="left"/>
    </xf>
    <xf numFmtId="14" fontId="15" fillId="0" borderId="1" xfId="0" quotePrefix="1" applyNumberFormat="1" applyFont="1" applyBorder="1" applyAlignment="1">
      <alignment horizontal="left"/>
    </xf>
    <xf numFmtId="14" fontId="2" fillId="0" borderId="1" xfId="0" applyNumberFormat="1" applyFont="1" applyFill="1" applyBorder="1" applyAlignment="1">
      <alignment horizontal="left" vertical="center"/>
    </xf>
    <xf numFmtId="0" fontId="14" fillId="0" borderId="1" xfId="0" applyNumberFormat="1" applyFont="1" applyFill="1" applyBorder="1" applyAlignment="1">
      <alignment vertical="center"/>
    </xf>
    <xf numFmtId="14" fontId="0" fillId="0" borderId="1" xfId="0" quotePrefix="1" applyNumberFormat="1" applyBorder="1" applyAlignment="1">
      <alignment horizontal="left"/>
    </xf>
    <xf numFmtId="0" fontId="15" fillId="0" borderId="1" xfId="0" quotePrefix="1" applyFont="1" applyBorder="1"/>
    <xf numFmtId="0" fontId="15" fillId="0" borderId="1" xfId="0" quotePrefix="1" applyFont="1" applyBorder="1" applyAlignment="1">
      <alignment horizontal="left"/>
    </xf>
    <xf numFmtId="0" fontId="15" fillId="4" borderId="1" xfId="0" applyFont="1" applyFill="1" applyBorder="1"/>
    <xf numFmtId="0" fontId="15" fillId="5" borderId="1" xfId="0" applyFont="1" applyFill="1" applyBorder="1"/>
    <xf numFmtId="0" fontId="0" fillId="5" borderId="1" xfId="0" applyFill="1" applyBorder="1"/>
    <xf numFmtId="0" fontId="38" fillId="0" borderId="0" xfId="0" applyNumberFormat="1" applyFont="1" applyFill="1" applyBorder="1" applyAlignment="1">
      <alignment horizontal="left" vertical="center"/>
    </xf>
    <xf numFmtId="0" fontId="38" fillId="0" borderId="0" xfId="0" applyNumberFormat="1" applyFont="1" applyFill="1" applyBorder="1" applyAlignment="1">
      <alignment vertical="center"/>
    </xf>
    <xf numFmtId="0" fontId="39" fillId="0" borderId="0" xfId="0" applyNumberFormat="1" applyFont="1" applyFill="1" applyBorder="1" applyAlignment="1">
      <alignment vertical="center"/>
    </xf>
    <xf numFmtId="0" fontId="40" fillId="0" borderId="0" xfId="0" applyFont="1"/>
    <xf numFmtId="0" fontId="41" fillId="0" borderId="0" xfId="0" applyFont="1"/>
    <xf numFmtId="0" fontId="39" fillId="0" borderId="0" xfId="0" applyNumberFormat="1" applyFont="1" applyFill="1" applyBorder="1" applyAlignment="1">
      <alignment horizontal="left" vertical="center"/>
    </xf>
    <xf numFmtId="0" fontId="39" fillId="0" borderId="0" xfId="0" applyNumberFormat="1" applyFont="1" applyFill="1" applyBorder="1" applyAlignment="1">
      <alignment horizontal="center" vertical="center"/>
    </xf>
    <xf numFmtId="0" fontId="39" fillId="0" borderId="1" xfId="0" applyNumberFormat="1" applyFont="1" applyFill="1" applyBorder="1" applyAlignment="1">
      <alignment horizontal="left" vertical="center"/>
    </xf>
    <xf numFmtId="0" fontId="39" fillId="0" borderId="1" xfId="0" applyNumberFormat="1" applyFont="1" applyFill="1" applyBorder="1" applyAlignment="1">
      <alignment vertical="center"/>
    </xf>
    <xf numFmtId="0" fontId="42" fillId="0" borderId="1" xfId="0" applyFont="1" applyFill="1" applyBorder="1"/>
    <xf numFmtId="0" fontId="40" fillId="0" borderId="1" xfId="0" applyFont="1" applyBorder="1"/>
    <xf numFmtId="0" fontId="40" fillId="4" borderId="1" xfId="0" applyFont="1" applyFill="1" applyBorder="1"/>
    <xf numFmtId="0" fontId="40" fillId="0" borderId="1" xfId="0" quotePrefix="1" applyFont="1" applyBorder="1" applyAlignment="1">
      <alignment horizontal="left"/>
    </xf>
    <xf numFmtId="0" fontId="40" fillId="5" borderId="1" xfId="0" applyFont="1" applyFill="1" applyBorder="1"/>
    <xf numFmtId="0" fontId="43" fillId="0" borderId="0" xfId="0" applyNumberFormat="1" applyFont="1" applyFill="1" applyBorder="1" applyAlignment="1">
      <alignment horizontal="left" vertical="center"/>
    </xf>
    <xf numFmtId="0" fontId="43" fillId="0" borderId="0" xfId="0" applyNumberFormat="1" applyFont="1" applyFill="1" applyBorder="1" applyAlignment="1">
      <alignment vertical="center"/>
    </xf>
    <xf numFmtId="0" fontId="15" fillId="0" borderId="0" xfId="0" applyFont="1" applyFill="1" applyBorder="1"/>
    <xf numFmtId="0" fontId="40" fillId="0" borderId="1" xfId="0" applyFont="1" applyFill="1" applyBorder="1"/>
    <xf numFmtId="0" fontId="40" fillId="0" borderId="1" xfId="0" applyFont="1" applyBorder="1" applyAlignment="1">
      <alignment horizontal="left"/>
    </xf>
    <xf numFmtId="0" fontId="44" fillId="4" borderId="1" xfId="0" applyFont="1" applyFill="1" applyBorder="1"/>
    <xf numFmtId="0" fontId="40" fillId="0" borderId="1" xfId="0" applyFont="1" applyFill="1" applyBorder="1" applyAlignment="1">
      <alignment horizontal="left"/>
    </xf>
    <xf numFmtId="0" fontId="40" fillId="0" borderId="0" xfId="0" applyFont="1" applyAlignment="1">
      <alignment horizontal="left"/>
    </xf>
    <xf numFmtId="0" fontId="40" fillId="4" borderId="1" xfId="0" applyFont="1" applyFill="1" applyBorder="1" applyAlignment="1">
      <alignment horizontal="left"/>
    </xf>
    <xf numFmtId="0" fontId="40" fillId="0" borderId="0" xfId="0" applyFont="1" applyFill="1"/>
    <xf numFmtId="0" fontId="45" fillId="0" borderId="0" xfId="0" applyNumberFormat="1" applyFont="1" applyFill="1" applyBorder="1" applyAlignment="1">
      <alignment vertical="center"/>
    </xf>
    <xf numFmtId="0" fontId="45" fillId="0" borderId="0" xfId="0" applyNumberFormat="1" applyFont="1" applyFill="1" applyBorder="1" applyAlignment="1">
      <alignment horizontal="center" vertical="center"/>
    </xf>
    <xf numFmtId="0" fontId="40" fillId="0" borderId="1" xfId="0" quotePrefix="1" applyFont="1" applyBorder="1"/>
    <xf numFmtId="0" fontId="39" fillId="0" borderId="2" xfId="0" applyNumberFormat="1" applyFont="1" applyFill="1" applyBorder="1" applyAlignment="1">
      <alignment horizontal="left" vertical="center"/>
    </xf>
    <xf numFmtId="0" fontId="39" fillId="0" borderId="2" xfId="0" applyNumberFormat="1" applyFont="1" applyFill="1" applyBorder="1" applyAlignment="1">
      <alignment vertical="center"/>
    </xf>
    <xf numFmtId="0" fontId="42" fillId="0" borderId="2" xfId="0" applyFont="1" applyFill="1" applyBorder="1"/>
    <xf numFmtId="0" fontId="40" fillId="0" borderId="2" xfId="0" applyFont="1" applyBorder="1"/>
    <xf numFmtId="0" fontId="45" fillId="0" borderId="0" xfId="0" applyNumberFormat="1" applyFont="1" applyFill="1" applyBorder="1" applyAlignment="1">
      <alignment horizontal="left" vertical="center"/>
    </xf>
    <xf numFmtId="0" fontId="45" fillId="0" borderId="1" xfId="0" applyNumberFormat="1" applyFont="1" applyFill="1" applyBorder="1" applyAlignment="1">
      <alignment horizontal="left" vertical="center"/>
    </xf>
    <xf numFmtId="0" fontId="45" fillId="0" borderId="1" xfId="0" applyNumberFormat="1" applyFont="1" applyFill="1" applyBorder="1" applyAlignment="1">
      <alignment vertical="center"/>
    </xf>
    <xf numFmtId="0" fontId="46" fillId="0" borderId="1" xfId="0" applyFont="1" applyFill="1" applyBorder="1"/>
    <xf numFmtId="0" fontId="41" fillId="0" borderId="1" xfId="0" applyFont="1" applyBorder="1"/>
    <xf numFmtId="0" fontId="41" fillId="5" borderId="1" xfId="0" applyFont="1" applyFill="1" applyBorder="1"/>
    <xf numFmtId="0" fontId="44" fillId="0" borderId="1" xfId="0" applyFont="1" applyBorder="1"/>
    <xf numFmtId="0" fontId="15" fillId="6" borderId="1" xfId="0" applyFont="1" applyFill="1" applyBorder="1"/>
    <xf numFmtId="14" fontId="15" fillId="6" borderId="1" xfId="0" quotePrefix="1" applyNumberFormat="1" applyFont="1" applyFill="1" applyBorder="1" applyAlignment="1">
      <alignment horizontal="left"/>
    </xf>
    <xf numFmtId="0" fontId="22" fillId="6" borderId="1" xfId="0" applyFont="1" applyFill="1" applyBorder="1"/>
    <xf numFmtId="14" fontId="40" fillId="0" borderId="1" xfId="0" applyNumberFormat="1" applyFont="1" applyBorder="1"/>
    <xf numFmtId="0" fontId="0" fillId="6" borderId="1" xfId="0" applyFill="1" applyBorder="1"/>
    <xf numFmtId="0" fontId="32" fillId="6" borderId="1" xfId="0" applyFont="1" applyFill="1" applyBorder="1"/>
    <xf numFmtId="0" fontId="0" fillId="6" borderId="1" xfId="0" applyFill="1" applyBorder="1" applyAlignment="1">
      <alignment horizontal="left"/>
    </xf>
    <xf numFmtId="0" fontId="40" fillId="6" borderId="1" xfId="0" applyFont="1" applyFill="1" applyBorder="1" applyAlignment="1">
      <alignment horizontal="left"/>
    </xf>
    <xf numFmtId="0" fontId="40" fillId="6" borderId="1" xfId="0" applyFont="1" applyFill="1" applyBorder="1"/>
    <xf numFmtId="0" fontId="15" fillId="6" borderId="1" xfId="0" applyFont="1" applyFill="1" applyBorder="1" applyAlignment="1">
      <alignment horizontal="left"/>
    </xf>
    <xf numFmtId="0" fontId="4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4" fillId="2" borderId="1" xfId="0" applyFont="1" applyFill="1" applyBorder="1"/>
    <xf numFmtId="0" fontId="48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2" fillId="6" borderId="1" xfId="0" applyNumberFormat="1" applyFont="1" applyFill="1" applyBorder="1" applyAlignment="1">
      <alignment vertical="center"/>
    </xf>
    <xf numFmtId="0" fontId="14" fillId="6" borderId="1" xfId="0" applyNumberFormat="1" applyFont="1" applyFill="1" applyBorder="1" applyAlignment="1">
      <alignment vertical="center"/>
    </xf>
    <xf numFmtId="0" fontId="44" fillId="0" borderId="1" xfId="0" quotePrefix="1" applyFont="1" applyBorder="1"/>
    <xf numFmtId="0" fontId="49" fillId="0" borderId="0" xfId="0" applyFont="1" applyAlignment="1">
      <alignment vertical="center"/>
    </xf>
    <xf numFmtId="0" fontId="15" fillId="6" borderId="1" xfId="0" quotePrefix="1" applyFont="1" applyFill="1" applyBorder="1" applyAlignment="1">
      <alignment horizontal="left"/>
    </xf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52" fillId="0" borderId="0" xfId="0" applyFont="1"/>
    <xf numFmtId="0" fontId="53" fillId="0" borderId="1" xfId="0" applyNumberFormat="1" applyFont="1" applyFill="1" applyBorder="1" applyAlignment="1">
      <alignment vertical="center"/>
    </xf>
    <xf numFmtId="0" fontId="51" fillId="0" borderId="1" xfId="0" applyFont="1" applyFill="1" applyBorder="1"/>
    <xf numFmtId="0" fontId="54" fillId="0" borderId="1" xfId="0" applyFont="1" applyBorder="1"/>
    <xf numFmtId="0" fontId="54" fillId="4" borderId="1" xfId="0" applyFont="1" applyFill="1" applyBorder="1"/>
    <xf numFmtId="0" fontId="54" fillId="0" borderId="0" xfId="0" applyFont="1"/>
    <xf numFmtId="0" fontId="16" fillId="4" borderId="1" xfId="0" applyNumberFormat="1" applyFont="1" applyFill="1" applyBorder="1" applyAlignment="1">
      <alignment vertical="center"/>
    </xf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39" fillId="3" borderId="1" xfId="0" applyNumberFormat="1" applyFont="1" applyFill="1" applyBorder="1" applyAlignment="1">
      <alignment vertical="center"/>
    </xf>
    <xf numFmtId="0" fontId="22" fillId="4" borderId="1" xfId="0" applyFont="1" applyFill="1" applyBorder="1"/>
    <xf numFmtId="0" fontId="39" fillId="3" borderId="2" xfId="0" applyNumberFormat="1" applyFont="1" applyFill="1" applyBorder="1" applyAlignment="1">
      <alignment vertical="center"/>
    </xf>
    <xf numFmtId="0" fontId="43" fillId="0" borderId="0" xfId="0" applyFont="1"/>
    <xf numFmtId="0" fontId="39" fillId="0" borderId="0" xfId="0" applyFont="1"/>
    <xf numFmtId="0" fontId="57" fillId="0" borderId="0" xfId="0" applyFont="1" applyAlignment="1">
      <alignment horizontal="left"/>
    </xf>
    <xf numFmtId="0" fontId="58" fillId="0" borderId="0" xfId="0" applyFont="1" applyAlignment="1">
      <alignment horizontal="left"/>
    </xf>
    <xf numFmtId="0" fontId="39" fillId="3" borderId="1" xfId="0" applyNumberFormat="1" applyFont="1" applyFill="1" applyBorder="1" applyAlignment="1">
      <alignment horizontal="left" vertical="center"/>
    </xf>
    <xf numFmtId="0" fontId="59" fillId="0" borderId="1" xfId="0" applyFont="1" applyBorder="1"/>
    <xf numFmtId="14" fontId="59" fillId="0" borderId="1" xfId="0" applyNumberFormat="1" applyFont="1" applyBorder="1"/>
    <xf numFmtId="0" fontId="39" fillId="3" borderId="0" xfId="0" applyNumberFormat="1" applyFont="1" applyFill="1" applyBorder="1" applyAlignment="1">
      <alignment vertical="center"/>
    </xf>
    <xf numFmtId="0" fontId="39" fillId="3" borderId="0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39" fillId="0" borderId="1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2" xfId="0" applyFont="1" applyBorder="1" applyAlignment="1">
      <alignment vertical="center"/>
    </xf>
    <xf numFmtId="0" fontId="61" fillId="0" borderId="1" xfId="0" applyFont="1" applyBorder="1"/>
    <xf numFmtId="0" fontId="42" fillId="0" borderId="0" xfId="0" applyFont="1" applyAlignment="1">
      <alignment horizontal="center" vertical="center"/>
    </xf>
    <xf numFmtId="0" fontId="42" fillId="0" borderId="2" xfId="0" applyFont="1" applyBorder="1" applyAlignment="1">
      <alignment vertical="center"/>
    </xf>
    <xf numFmtId="0" fontId="40" fillId="2" borderId="1" xfId="0" applyFont="1" applyFill="1" applyBorder="1"/>
    <xf numFmtId="0" fontId="41" fillId="0" borderId="0" xfId="0" applyFont="1" applyAlignment="1">
      <alignment vertical="center"/>
    </xf>
    <xf numFmtId="0" fontId="45" fillId="0" borderId="1" xfId="0" applyNumberFormat="1" applyFont="1" applyFill="1" applyBorder="1" applyAlignment="1">
      <alignment horizontal="center" vertical="center"/>
    </xf>
    <xf numFmtId="0" fontId="54" fillId="6" borderId="1" xfId="0" applyFont="1" applyFill="1" applyBorder="1"/>
    <xf numFmtId="0" fontId="40" fillId="0" borderId="8" xfId="0" applyFont="1" applyBorder="1"/>
    <xf numFmtId="0" fontId="44" fillId="0" borderId="0" xfId="0" applyFont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7" xfId="0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0" fontId="43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8" fillId="0" borderId="1" xfId="0" applyFont="1" applyBorder="1" applyAlignment="1">
      <alignment horizontal="left" vertical="center"/>
    </xf>
    <xf numFmtId="0" fontId="48" fillId="0" borderId="1" xfId="0" applyFont="1" applyBorder="1" applyAlignment="1">
      <alignment vertical="center"/>
    </xf>
    <xf numFmtId="14" fontId="40" fillId="0" borderId="1" xfId="0" applyNumberFormat="1" applyFont="1" applyBorder="1" applyAlignment="1">
      <alignment horizontal="left"/>
    </xf>
    <xf numFmtId="0" fontId="48" fillId="0" borderId="2" xfId="0" applyFont="1" applyBorder="1" applyAlignment="1">
      <alignment vertical="center"/>
    </xf>
    <xf numFmtId="0" fontId="60" fillId="0" borderId="2" xfId="0" applyFont="1" applyBorder="1" applyAlignment="1">
      <alignment vertical="center"/>
    </xf>
    <xf numFmtId="0" fontId="61" fillId="2" borderId="1" xfId="0" applyFont="1" applyFill="1" applyBorder="1"/>
    <xf numFmtId="14" fontId="15" fillId="0" borderId="1" xfId="0" quotePrefix="1" applyNumberFormat="1" applyFont="1" applyBorder="1"/>
    <xf numFmtId="14" fontId="40" fillId="0" borderId="1" xfId="0" quotePrefix="1" applyNumberFormat="1" applyFont="1" applyBorder="1"/>
    <xf numFmtId="0" fontId="61" fillId="0" borderId="0" xfId="0" applyFont="1"/>
    <xf numFmtId="0" fontId="42" fillId="0" borderId="1" xfId="0" applyFont="1" applyBorder="1" applyAlignment="1">
      <alignment vertical="center"/>
    </xf>
    <xf numFmtId="0" fontId="59" fillId="0" borderId="1" xfId="0" applyFont="1" applyFill="1" applyBorder="1" applyAlignment="1">
      <alignment vertical="center"/>
    </xf>
    <xf numFmtId="14" fontId="41" fillId="0" borderId="1" xfId="0" applyNumberFormat="1" applyFont="1" applyBorder="1"/>
    <xf numFmtId="0" fontId="41" fillId="6" borderId="1" xfId="0" applyFont="1" applyFill="1" applyBorder="1"/>
    <xf numFmtId="0" fontId="40" fillId="0" borderId="1" xfId="0" applyFont="1" applyBorder="1" applyAlignment="1">
      <alignment horizontal="right" vertical="top"/>
    </xf>
    <xf numFmtId="0" fontId="40" fillId="0" borderId="0" xfId="0" applyFont="1" applyAlignment="1">
      <alignment shrinkToFit="1"/>
    </xf>
    <xf numFmtId="0" fontId="41" fillId="0" borderId="1" xfId="0" quotePrefix="1" applyFont="1" applyBorder="1"/>
    <xf numFmtId="0" fontId="61" fillId="0" borderId="1" xfId="0" quotePrefix="1" applyFont="1" applyBorder="1" applyAlignment="1">
      <alignment horizontal="left"/>
    </xf>
    <xf numFmtId="14" fontId="41" fillId="0" borderId="1" xfId="0" quotePrefix="1" applyNumberFormat="1" applyFont="1" applyBorder="1"/>
    <xf numFmtId="0" fontId="41" fillId="4" borderId="1" xfId="0" applyFont="1" applyFill="1" applyBorder="1"/>
    <xf numFmtId="0" fontId="41" fillId="0" borderId="1" xfId="0" applyFont="1" applyFill="1" applyBorder="1"/>
    <xf numFmtId="0" fontId="41" fillId="0" borderId="1" xfId="0" quotePrefix="1" applyFont="1" applyBorder="1" applyAlignment="1">
      <alignment horizontal="left"/>
    </xf>
    <xf numFmtId="14" fontId="0" fillId="0" borderId="1" xfId="0" quotePrefix="1" applyNumberFormat="1" applyBorder="1"/>
    <xf numFmtId="0" fontId="44" fillId="0" borderId="0" xfId="0" applyFont="1"/>
    <xf numFmtId="0" fontId="43" fillId="0" borderId="0" xfId="0" applyNumberFormat="1" applyFont="1" applyFill="1" applyBorder="1" applyAlignment="1">
      <alignment horizontal="center" vertical="center"/>
    </xf>
    <xf numFmtId="0" fontId="43" fillId="0" borderId="1" xfId="0" applyNumberFormat="1" applyFont="1" applyFill="1" applyBorder="1" applyAlignment="1">
      <alignment horizontal="left" vertical="center"/>
    </xf>
    <xf numFmtId="0" fontId="43" fillId="0" borderId="1" xfId="0" applyNumberFormat="1" applyFont="1" applyFill="1" applyBorder="1" applyAlignment="1">
      <alignment vertical="center"/>
    </xf>
    <xf numFmtId="0" fontId="48" fillId="0" borderId="1" xfId="0" applyFont="1" applyFill="1" applyBorder="1"/>
    <xf numFmtId="14" fontId="40" fillId="0" borderId="1" xfId="0" quotePrefix="1" applyNumberFormat="1" applyFont="1" applyBorder="1" applyAlignment="1">
      <alignment horizontal="left"/>
    </xf>
    <xf numFmtId="0" fontId="0" fillId="0" borderId="0" xfId="0" quotePrefix="1"/>
    <xf numFmtId="0" fontId="15" fillId="0" borderId="0" xfId="0" applyFont="1" applyBorder="1"/>
    <xf numFmtId="0" fontId="0" fillId="0" borderId="0" xfId="0" applyBorder="1"/>
    <xf numFmtId="0" fontId="44" fillId="0" borderId="1" xfId="0" applyFont="1" applyFill="1" applyBorder="1"/>
    <xf numFmtId="0" fontId="44" fillId="0" borderId="1" xfId="0" quotePrefix="1" applyFont="1" applyBorder="1" applyAlignment="1">
      <alignment horizontal="left"/>
    </xf>
    <xf numFmtId="14" fontId="44" fillId="0" borderId="1" xfId="0" quotePrefix="1" applyNumberFormat="1" applyFont="1" applyBorder="1" applyAlignment="1">
      <alignment horizontal="left"/>
    </xf>
    <xf numFmtId="0" fontId="54" fillId="0" borderId="1" xfId="0" quotePrefix="1" applyFont="1" applyBorder="1"/>
    <xf numFmtId="0" fontId="44" fillId="6" borderId="1" xfId="0" quotePrefix="1" applyFont="1" applyFill="1" applyBorder="1"/>
    <xf numFmtId="0" fontId="44" fillId="6" borderId="1" xfId="0" applyFont="1" applyFill="1" applyBorder="1"/>
    <xf numFmtId="0" fontId="61" fillId="6" borderId="1" xfId="0" applyFont="1" applyFill="1" applyBorder="1"/>
    <xf numFmtId="0" fontId="32" fillId="0" borderId="1" xfId="0" quotePrefix="1" applyFont="1" applyBorder="1"/>
    <xf numFmtId="0" fontId="48" fillId="0" borderId="1" xfId="0" quotePrefix="1" applyFont="1" applyBorder="1"/>
    <xf numFmtId="0" fontId="48" fillId="0" borderId="1" xfId="0" applyFont="1" applyBorder="1"/>
    <xf numFmtId="0" fontId="59" fillId="0" borderId="1" xfId="0" quotePrefix="1" applyFont="1" applyBorder="1"/>
    <xf numFmtId="0" fontId="59" fillId="0" borderId="1" xfId="0" quotePrefix="1" applyFont="1" applyBorder="1" applyAlignment="1">
      <alignment horizontal="left"/>
    </xf>
    <xf numFmtId="0" fontId="59" fillId="0" borderId="2" xfId="0" quotePrefix="1" applyFont="1" applyBorder="1" applyAlignment="1">
      <alignment horizontal="left"/>
    </xf>
    <xf numFmtId="0" fontId="59" fillId="0" borderId="2" xfId="0" applyFont="1" applyBorder="1"/>
    <xf numFmtId="14" fontId="59" fillId="0" borderId="1" xfId="0" quotePrefix="1" applyNumberFormat="1" applyFont="1" applyBorder="1" applyAlignment="1">
      <alignment horizontal="left"/>
    </xf>
    <xf numFmtId="0" fontId="43" fillId="0" borderId="1" xfId="0" applyNumberFormat="1" applyFont="1" applyFill="1" applyBorder="1" applyAlignment="1">
      <alignment horizontal="center" vertical="center"/>
    </xf>
    <xf numFmtId="0" fontId="63" fillId="0" borderId="1" xfId="0" quotePrefix="1" applyFont="1" applyBorder="1"/>
    <xf numFmtId="0" fontId="63" fillId="0" borderId="1" xfId="0" applyFont="1" applyBorder="1"/>
    <xf numFmtId="0" fontId="64" fillId="0" borderId="1" xfId="0" applyFont="1" applyBorder="1"/>
    <xf numFmtId="0" fontId="60" fillId="0" borderId="0" xfId="0" applyFont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59" fillId="0" borderId="0" xfId="0" applyFont="1"/>
    <xf numFmtId="0" fontId="58" fillId="0" borderId="1" xfId="0" applyNumberFormat="1" applyFont="1" applyFill="1" applyBorder="1" applyAlignment="1">
      <alignment vertical="center"/>
    </xf>
    <xf numFmtId="0" fontId="66" fillId="0" borderId="1" xfId="0" applyFont="1" applyFill="1" applyBorder="1"/>
    <xf numFmtId="0" fontId="59" fillId="6" borderId="1" xfId="0" applyFont="1" applyFill="1" applyBorder="1"/>
    <xf numFmtId="0" fontId="57" fillId="0" borderId="0" xfId="0" applyNumberFormat="1" applyFont="1" applyFill="1" applyBorder="1" applyAlignment="1">
      <alignment horizontal="left" vertical="center"/>
    </xf>
    <xf numFmtId="0" fontId="57" fillId="0" borderId="0" xfId="0" applyNumberFormat="1" applyFont="1" applyFill="1" applyBorder="1" applyAlignment="1">
      <alignment vertical="center"/>
    </xf>
    <xf numFmtId="0" fontId="58" fillId="0" borderId="0" xfId="0" applyNumberFormat="1" applyFont="1" applyFill="1" applyBorder="1" applyAlignment="1">
      <alignment vertical="center"/>
    </xf>
    <xf numFmtId="0" fontId="58" fillId="0" borderId="0" xfId="0" applyNumberFormat="1" applyFont="1" applyFill="1" applyBorder="1" applyAlignment="1">
      <alignment horizontal="left" vertical="center"/>
    </xf>
    <xf numFmtId="0" fontId="58" fillId="0" borderId="0" xfId="0" applyNumberFormat="1" applyFont="1" applyFill="1" applyBorder="1" applyAlignment="1">
      <alignment horizontal="center" vertical="center"/>
    </xf>
    <xf numFmtId="0" fontId="58" fillId="0" borderId="1" xfId="0" applyNumberFormat="1" applyFont="1" applyFill="1" applyBorder="1" applyAlignment="1">
      <alignment horizontal="left" vertical="center"/>
    </xf>
    <xf numFmtId="0" fontId="44" fillId="0" borderId="1" xfId="0" quotePrefix="1" applyFont="1" applyFill="1" applyBorder="1"/>
    <xf numFmtId="0" fontId="61" fillId="0" borderId="1" xfId="0" applyFont="1" applyFill="1" applyBorder="1"/>
    <xf numFmtId="0" fontId="44" fillId="2" borderId="1" xfId="0" quotePrefix="1" applyFont="1" applyFill="1" applyBorder="1"/>
    <xf numFmtId="0" fontId="42" fillId="0" borderId="0" xfId="0" applyFont="1" applyFill="1" applyAlignment="1">
      <alignment horizontal="left" vertical="center"/>
    </xf>
    <xf numFmtId="0" fontId="44" fillId="0" borderId="1" xfId="0" applyFont="1" applyBorder="1" applyAlignment="1"/>
    <xf numFmtId="0" fontId="40" fillId="0" borderId="1" xfId="0" applyFont="1" applyBorder="1" applyAlignment="1"/>
    <xf numFmtId="0" fontId="44" fillId="0" borderId="1" xfId="0" quotePrefix="1" applyFont="1" applyBorder="1" applyAlignment="1"/>
    <xf numFmtId="14" fontId="44" fillId="0" borderId="1" xfId="0" quotePrefix="1" applyNumberFormat="1" applyFont="1" applyBorder="1" applyAlignment="1"/>
    <xf numFmtId="0" fontId="40" fillId="0" borderId="1" xfId="0" quotePrefix="1" applyFont="1" applyBorder="1" applyAlignment="1"/>
    <xf numFmtId="0" fontId="67" fillId="0" borderId="1" xfId="0" quotePrefix="1" applyFont="1" applyBorder="1" applyAlignment="1">
      <alignment horizontal="left"/>
    </xf>
    <xf numFmtId="0" fontId="67" fillId="0" borderId="1" xfId="0" applyFont="1" applyBorder="1"/>
    <xf numFmtId="14" fontId="59" fillId="0" borderId="1" xfId="0" quotePrefix="1" applyNumberFormat="1" applyFont="1" applyBorder="1"/>
    <xf numFmtId="0" fontId="68" fillId="0" borderId="0" xfId="0" applyFont="1" applyAlignment="1">
      <alignment vertical="center"/>
    </xf>
    <xf numFmtId="0" fontId="38" fillId="6" borderId="1" xfId="0" applyNumberFormat="1" applyFont="1" applyFill="1" applyBorder="1" applyAlignment="1">
      <alignment vertical="center"/>
    </xf>
    <xf numFmtId="0" fontId="69" fillId="0" borderId="0" xfId="0" applyFont="1"/>
    <xf numFmtId="0" fontId="40" fillId="0" borderId="10" xfId="0" applyFont="1" applyBorder="1"/>
    <xf numFmtId="0" fontId="16" fillId="3" borderId="1" xfId="0" applyNumberFormat="1" applyFont="1" applyFill="1" applyBorder="1" applyAlignment="1">
      <alignment horizontal="center" vertical="center" wrapText="1"/>
    </xf>
    <xf numFmtId="0" fontId="39" fillId="3" borderId="1" xfId="0" applyNumberFormat="1" applyFont="1" applyFill="1" applyBorder="1" applyAlignment="1">
      <alignment horizontal="center" vertical="center" wrapText="1"/>
    </xf>
    <xf numFmtId="0" fontId="40" fillId="2" borderId="1" xfId="0" quotePrefix="1" applyFont="1" applyFill="1" applyBorder="1"/>
    <xf numFmtId="0" fontId="41" fillId="2" borderId="1" xfId="0" applyFont="1" applyFill="1" applyBorder="1"/>
    <xf numFmtId="14" fontId="41" fillId="2" borderId="1" xfId="0" quotePrefix="1" applyNumberFormat="1" applyFont="1" applyFill="1" applyBorder="1"/>
    <xf numFmtId="0" fontId="42" fillId="0" borderId="0" xfId="0" applyFont="1" applyAlignment="1">
      <alignment horizontal="left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13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9"/>
  <sheetViews>
    <sheetView zoomScaleNormal="100" workbookViewId="0">
      <pane ySplit="1515" topLeftCell="A151" activePane="bottomLeft"/>
      <selection sqref="A1:G1048576"/>
      <selection pane="bottomLeft" activeCell="F160" sqref="F160"/>
    </sheetView>
  </sheetViews>
  <sheetFormatPr defaultRowHeight="15" x14ac:dyDescent="0.25"/>
  <cols>
    <col min="1" max="1" width="13.28515625" style="147" customWidth="1"/>
    <col min="2" max="2" width="38" style="129" customWidth="1"/>
    <col min="3" max="5" width="9.140625" style="129"/>
    <col min="6" max="6" width="15.42578125" style="129" customWidth="1"/>
    <col min="7" max="7" width="24.5703125" style="129" customWidth="1"/>
    <col min="8" max="8" width="9.140625" style="129"/>
  </cols>
  <sheetData>
    <row r="2" spans="1:8" x14ac:dyDescent="0.25">
      <c r="A2" s="140" t="s">
        <v>1</v>
      </c>
      <c r="B2" s="141"/>
      <c r="C2" s="141"/>
      <c r="D2" s="141"/>
      <c r="E2" s="141"/>
      <c r="F2" s="253"/>
      <c r="G2" s="253"/>
    </row>
    <row r="3" spans="1:8" x14ac:dyDescent="0.25">
      <c r="A3" s="140"/>
      <c r="B3" s="254"/>
      <c r="C3" s="141"/>
      <c r="D3" s="141"/>
      <c r="E3" s="141"/>
      <c r="F3" s="253"/>
      <c r="G3" s="253"/>
    </row>
    <row r="4" spans="1:8" x14ac:dyDescent="0.25">
      <c r="A4" s="255" t="s">
        <v>2</v>
      </c>
      <c r="B4" s="256" t="s">
        <v>3</v>
      </c>
      <c r="C4" s="256" t="s">
        <v>4</v>
      </c>
      <c r="D4" s="256" t="s">
        <v>5</v>
      </c>
      <c r="E4" s="256" t="s">
        <v>6</v>
      </c>
      <c r="F4" s="257" t="s">
        <v>7</v>
      </c>
      <c r="G4" s="163" t="s">
        <v>8</v>
      </c>
    </row>
    <row r="5" spans="1:8" x14ac:dyDescent="0.25">
      <c r="A5" s="148"/>
      <c r="B5" s="137" t="s">
        <v>243</v>
      </c>
      <c r="C5" s="137"/>
      <c r="D5" s="137"/>
      <c r="E5" s="145"/>
      <c r="F5" s="137">
        <v>17670</v>
      </c>
      <c r="G5" s="137"/>
    </row>
    <row r="6" spans="1:8" s="2" customFormat="1" x14ac:dyDescent="0.25">
      <c r="A6" s="146"/>
      <c r="B6" s="143"/>
      <c r="C6" s="143"/>
      <c r="D6" s="143"/>
      <c r="E6" s="136">
        <v>17670</v>
      </c>
      <c r="F6" s="143"/>
      <c r="G6" s="143"/>
      <c r="H6" s="149"/>
    </row>
    <row r="7" spans="1:8" x14ac:dyDescent="0.25">
      <c r="A7" s="138" t="s">
        <v>252</v>
      </c>
      <c r="B7" s="136" t="s">
        <v>250</v>
      </c>
      <c r="C7" s="136">
        <v>41</v>
      </c>
      <c r="D7" s="136"/>
      <c r="E7" s="136">
        <f>E6+C7-D7</f>
        <v>17711</v>
      </c>
      <c r="F7" s="136"/>
      <c r="G7" s="136"/>
    </row>
    <row r="8" spans="1:8" x14ac:dyDescent="0.25">
      <c r="A8" s="138" t="s">
        <v>252</v>
      </c>
      <c r="B8" s="136" t="s">
        <v>253</v>
      </c>
      <c r="C8" s="136">
        <v>14</v>
      </c>
      <c r="D8" s="136"/>
      <c r="E8" s="136">
        <f t="shared" ref="E8:E73" si="0">E7+C8-D8</f>
        <v>17725</v>
      </c>
      <c r="F8" s="136"/>
      <c r="G8" s="136"/>
    </row>
    <row r="9" spans="1:8" x14ac:dyDescent="0.25">
      <c r="A9" s="138" t="s">
        <v>267</v>
      </c>
      <c r="B9" s="136" t="s">
        <v>105</v>
      </c>
      <c r="C9" s="136">
        <v>4</v>
      </c>
      <c r="D9" s="136"/>
      <c r="E9" s="136">
        <f t="shared" si="0"/>
        <v>17729</v>
      </c>
      <c r="F9" s="136"/>
      <c r="G9" s="136"/>
    </row>
    <row r="10" spans="1:8" x14ac:dyDescent="0.25">
      <c r="A10" s="138" t="s">
        <v>285</v>
      </c>
      <c r="B10" s="136" t="s">
        <v>286</v>
      </c>
      <c r="C10" s="136"/>
      <c r="D10" s="136">
        <v>4</v>
      </c>
      <c r="E10" s="136">
        <f t="shared" si="0"/>
        <v>17725</v>
      </c>
      <c r="F10" s="136" t="s">
        <v>287</v>
      </c>
      <c r="G10" s="136"/>
    </row>
    <row r="11" spans="1:8" x14ac:dyDescent="0.25">
      <c r="A11" s="138" t="s">
        <v>285</v>
      </c>
      <c r="B11" s="136" t="s">
        <v>294</v>
      </c>
      <c r="C11" s="136">
        <v>40</v>
      </c>
      <c r="D11" s="136"/>
      <c r="E11" s="136">
        <f t="shared" si="0"/>
        <v>17765</v>
      </c>
      <c r="F11" s="136"/>
      <c r="G11" s="136"/>
    </row>
    <row r="12" spans="1:8" x14ac:dyDescent="0.25">
      <c r="A12" s="138" t="s">
        <v>285</v>
      </c>
      <c r="B12" s="136" t="s">
        <v>182</v>
      </c>
      <c r="C12" s="136">
        <v>112</v>
      </c>
      <c r="D12" s="136"/>
      <c r="E12" s="136">
        <f t="shared" si="0"/>
        <v>17877</v>
      </c>
      <c r="F12" s="136"/>
      <c r="G12" s="136"/>
    </row>
    <row r="13" spans="1:8" x14ac:dyDescent="0.25">
      <c r="A13" s="138" t="s">
        <v>306</v>
      </c>
      <c r="B13" s="136" t="s">
        <v>305</v>
      </c>
      <c r="C13" s="136">
        <v>27</v>
      </c>
      <c r="D13" s="136"/>
      <c r="E13" s="136">
        <f t="shared" si="0"/>
        <v>17904</v>
      </c>
      <c r="F13" s="136"/>
      <c r="G13" s="136"/>
    </row>
    <row r="14" spans="1:8" x14ac:dyDescent="0.25">
      <c r="A14" s="138" t="s">
        <v>307</v>
      </c>
      <c r="B14" s="136" t="s">
        <v>250</v>
      </c>
      <c r="C14" s="136">
        <v>15</v>
      </c>
      <c r="D14" s="136"/>
      <c r="E14" s="136">
        <f t="shared" si="0"/>
        <v>17919</v>
      </c>
      <c r="F14" s="136"/>
      <c r="G14" s="136"/>
    </row>
    <row r="15" spans="1:8" x14ac:dyDescent="0.25">
      <c r="A15" s="152" t="s">
        <v>311</v>
      </c>
      <c r="B15" s="136" t="s">
        <v>312</v>
      </c>
      <c r="C15" s="136"/>
      <c r="D15" s="136">
        <v>10</v>
      </c>
      <c r="E15" s="136">
        <f t="shared" si="0"/>
        <v>17909</v>
      </c>
      <c r="F15" s="136" t="s">
        <v>313</v>
      </c>
      <c r="G15" s="136"/>
    </row>
    <row r="16" spans="1:8" x14ac:dyDescent="0.25">
      <c r="A16" s="138" t="s">
        <v>319</v>
      </c>
      <c r="B16" s="136" t="s">
        <v>320</v>
      </c>
      <c r="C16" s="163">
        <v>6</v>
      </c>
      <c r="D16" s="136"/>
      <c r="E16" s="136">
        <f t="shared" si="0"/>
        <v>17915</v>
      </c>
      <c r="F16" s="136"/>
      <c r="G16" s="136"/>
    </row>
    <row r="17" spans="1:7" x14ac:dyDescent="0.25">
      <c r="A17" s="138" t="s">
        <v>319</v>
      </c>
      <c r="B17" s="136" t="s">
        <v>182</v>
      </c>
      <c r="C17" s="136">
        <v>33</v>
      </c>
      <c r="D17" s="136"/>
      <c r="E17" s="136">
        <f t="shared" si="0"/>
        <v>17948</v>
      </c>
      <c r="F17" s="136"/>
      <c r="G17" s="136"/>
    </row>
    <row r="18" spans="1:7" x14ac:dyDescent="0.25">
      <c r="A18" s="138" t="s">
        <v>343</v>
      </c>
      <c r="B18" s="136" t="s">
        <v>344</v>
      </c>
      <c r="C18" s="136"/>
      <c r="D18" s="136">
        <v>400</v>
      </c>
      <c r="E18" s="136">
        <f t="shared" si="0"/>
        <v>17548</v>
      </c>
      <c r="F18" s="136" t="s">
        <v>345</v>
      </c>
      <c r="G18" s="136"/>
    </row>
    <row r="19" spans="1:7" x14ac:dyDescent="0.25">
      <c r="A19" s="238" t="s">
        <v>352</v>
      </c>
      <c r="B19" s="136" t="s">
        <v>182</v>
      </c>
      <c r="C19" s="136">
        <v>18</v>
      </c>
      <c r="D19" s="136"/>
      <c r="E19" s="136">
        <f t="shared" si="0"/>
        <v>17566</v>
      </c>
      <c r="F19" s="136"/>
      <c r="G19" s="136"/>
    </row>
    <row r="20" spans="1:7" x14ac:dyDescent="0.25">
      <c r="A20" s="238" t="s">
        <v>353</v>
      </c>
      <c r="B20" s="136" t="s">
        <v>344</v>
      </c>
      <c r="C20" s="136"/>
      <c r="D20" s="136">
        <v>400</v>
      </c>
      <c r="E20" s="136">
        <f t="shared" si="0"/>
        <v>17166</v>
      </c>
      <c r="F20" s="136" t="s">
        <v>356</v>
      </c>
      <c r="G20" s="136"/>
    </row>
    <row r="21" spans="1:7" x14ac:dyDescent="0.25">
      <c r="A21" s="238" t="s">
        <v>353</v>
      </c>
      <c r="B21" s="136" t="s">
        <v>344</v>
      </c>
      <c r="C21" s="136"/>
      <c r="D21" s="136">
        <v>100</v>
      </c>
      <c r="E21" s="136">
        <f t="shared" si="0"/>
        <v>17066</v>
      </c>
      <c r="F21" s="136" t="s">
        <v>357</v>
      </c>
      <c r="G21" s="136"/>
    </row>
    <row r="22" spans="1:7" x14ac:dyDescent="0.25">
      <c r="A22" s="238" t="s">
        <v>361</v>
      </c>
      <c r="B22" s="136" t="s">
        <v>344</v>
      </c>
      <c r="C22" s="136"/>
      <c r="D22" s="136">
        <v>300</v>
      </c>
      <c r="E22" s="136">
        <f t="shared" si="0"/>
        <v>16766</v>
      </c>
      <c r="F22" s="136" t="s">
        <v>365</v>
      </c>
      <c r="G22" s="136"/>
    </row>
    <row r="23" spans="1:7" x14ac:dyDescent="0.25">
      <c r="A23" s="152" t="s">
        <v>361</v>
      </c>
      <c r="B23" s="136" t="s">
        <v>370</v>
      </c>
      <c r="C23" s="136">
        <v>8</v>
      </c>
      <c r="D23" s="136"/>
      <c r="E23" s="136">
        <f t="shared" si="0"/>
        <v>16774</v>
      </c>
      <c r="F23" s="136"/>
      <c r="G23" s="136"/>
    </row>
    <row r="24" spans="1:7" x14ac:dyDescent="0.25">
      <c r="A24" s="152" t="s">
        <v>377</v>
      </c>
      <c r="B24" s="136" t="s">
        <v>344</v>
      </c>
      <c r="C24" s="136"/>
      <c r="D24" s="136">
        <v>400</v>
      </c>
      <c r="E24" s="136">
        <f t="shared" si="0"/>
        <v>16374</v>
      </c>
      <c r="F24" s="136" t="s">
        <v>378</v>
      </c>
      <c r="G24" s="136"/>
    </row>
    <row r="25" spans="1:7" x14ac:dyDescent="0.25">
      <c r="A25" s="152" t="s">
        <v>371</v>
      </c>
      <c r="B25" s="136" t="s">
        <v>381</v>
      </c>
      <c r="C25" s="136">
        <v>212</v>
      </c>
      <c r="D25" s="136"/>
      <c r="E25" s="136">
        <f t="shared" si="0"/>
        <v>16586</v>
      </c>
      <c r="F25" s="136"/>
      <c r="G25" s="136"/>
    </row>
    <row r="26" spans="1:7" x14ac:dyDescent="0.25">
      <c r="A26" s="152" t="s">
        <v>371</v>
      </c>
      <c r="B26" s="136" t="s">
        <v>382</v>
      </c>
      <c r="C26" s="136">
        <v>15</v>
      </c>
      <c r="D26" s="136"/>
      <c r="E26" s="136">
        <f t="shared" si="0"/>
        <v>16601</v>
      </c>
      <c r="F26" s="136"/>
      <c r="G26" s="136"/>
    </row>
    <row r="27" spans="1:7" x14ac:dyDescent="0.25">
      <c r="A27" s="152" t="s">
        <v>371</v>
      </c>
      <c r="B27" s="136" t="s">
        <v>383</v>
      </c>
      <c r="C27" s="136"/>
      <c r="D27" s="136">
        <v>40</v>
      </c>
      <c r="E27" s="136">
        <f t="shared" si="0"/>
        <v>16561</v>
      </c>
      <c r="F27" s="136" t="s">
        <v>17</v>
      </c>
      <c r="G27" s="136"/>
    </row>
    <row r="28" spans="1:7" x14ac:dyDescent="0.25">
      <c r="A28" s="138" t="s">
        <v>384</v>
      </c>
      <c r="B28" s="136" t="s">
        <v>402</v>
      </c>
      <c r="C28" s="136"/>
      <c r="D28" s="136">
        <v>400</v>
      </c>
      <c r="E28" s="136">
        <f t="shared" si="0"/>
        <v>16161</v>
      </c>
      <c r="F28" s="136" t="s">
        <v>387</v>
      </c>
      <c r="G28" s="136"/>
    </row>
    <row r="29" spans="1:7" x14ac:dyDescent="0.25">
      <c r="A29" s="138" t="s">
        <v>394</v>
      </c>
      <c r="B29" s="136" t="s">
        <v>283</v>
      </c>
      <c r="C29" s="136">
        <v>26</v>
      </c>
      <c r="D29" s="136"/>
      <c r="E29" s="136">
        <f t="shared" si="0"/>
        <v>16187</v>
      </c>
      <c r="F29" s="136"/>
      <c r="G29" s="136"/>
    </row>
    <row r="30" spans="1:7" x14ac:dyDescent="0.25">
      <c r="A30" s="258" t="s">
        <v>404</v>
      </c>
      <c r="B30" s="136" t="s">
        <v>283</v>
      </c>
      <c r="C30" s="136">
        <v>7</v>
      </c>
      <c r="D30" s="136"/>
      <c r="E30" s="136">
        <f t="shared" si="0"/>
        <v>16194</v>
      </c>
      <c r="F30" s="136"/>
      <c r="G30" s="136"/>
    </row>
    <row r="31" spans="1:7" x14ac:dyDescent="0.25">
      <c r="A31" s="258" t="s">
        <v>404</v>
      </c>
      <c r="B31" s="136" t="s">
        <v>182</v>
      </c>
      <c r="C31" s="136">
        <v>25</v>
      </c>
      <c r="D31" s="136"/>
      <c r="E31" s="136">
        <f t="shared" si="0"/>
        <v>16219</v>
      </c>
      <c r="F31" s="136"/>
      <c r="G31" s="136"/>
    </row>
    <row r="32" spans="1:7" x14ac:dyDescent="0.25">
      <c r="A32" s="138" t="s">
        <v>406</v>
      </c>
      <c r="B32" s="136" t="s">
        <v>402</v>
      </c>
      <c r="C32" s="136"/>
      <c r="D32" s="136">
        <v>500</v>
      </c>
      <c r="E32" s="136">
        <f t="shared" si="0"/>
        <v>15719</v>
      </c>
      <c r="F32" s="136" t="s">
        <v>407</v>
      </c>
      <c r="G32" s="136"/>
    </row>
    <row r="33" spans="1:7" x14ac:dyDescent="0.25">
      <c r="A33" s="138" t="s">
        <v>406</v>
      </c>
      <c r="B33" s="136" t="s">
        <v>383</v>
      </c>
      <c r="C33" s="136"/>
      <c r="D33" s="136">
        <v>80</v>
      </c>
      <c r="E33" s="136">
        <f t="shared" si="0"/>
        <v>15639</v>
      </c>
      <c r="F33" s="136" t="s">
        <v>17</v>
      </c>
      <c r="G33" s="136"/>
    </row>
    <row r="34" spans="1:7" x14ac:dyDescent="0.25">
      <c r="A34" s="138" t="s">
        <v>406</v>
      </c>
      <c r="B34" s="136" t="s">
        <v>383</v>
      </c>
      <c r="C34" s="136"/>
      <c r="D34" s="136">
        <v>4</v>
      </c>
      <c r="E34" s="136">
        <f t="shared" si="0"/>
        <v>15635</v>
      </c>
      <c r="F34" s="136" t="s">
        <v>17</v>
      </c>
      <c r="G34" s="136"/>
    </row>
    <row r="35" spans="1:7" x14ac:dyDescent="0.25">
      <c r="A35" s="138" t="s">
        <v>410</v>
      </c>
      <c r="B35" s="136" t="s">
        <v>402</v>
      </c>
      <c r="C35" s="136"/>
      <c r="D35" s="136">
        <v>500</v>
      </c>
      <c r="E35" s="136">
        <f t="shared" si="0"/>
        <v>15135</v>
      </c>
      <c r="F35" s="136" t="s">
        <v>412</v>
      </c>
      <c r="G35" s="136"/>
    </row>
    <row r="36" spans="1:7" x14ac:dyDescent="0.25">
      <c r="A36" s="138" t="s">
        <v>410</v>
      </c>
      <c r="B36" s="136" t="s">
        <v>414</v>
      </c>
      <c r="C36" s="136"/>
      <c r="D36" s="136">
        <v>35</v>
      </c>
      <c r="E36" s="136">
        <f t="shared" si="0"/>
        <v>15100</v>
      </c>
      <c r="F36" s="136" t="s">
        <v>415</v>
      </c>
      <c r="G36" s="136"/>
    </row>
    <row r="37" spans="1:7" x14ac:dyDescent="0.25">
      <c r="A37" s="138" t="s">
        <v>416</v>
      </c>
      <c r="B37" s="136" t="s">
        <v>414</v>
      </c>
      <c r="C37" s="136"/>
      <c r="D37" s="136">
        <v>35</v>
      </c>
      <c r="E37" s="136">
        <f t="shared" si="0"/>
        <v>15065</v>
      </c>
      <c r="F37" s="136" t="s">
        <v>420</v>
      </c>
      <c r="G37" s="136"/>
    </row>
    <row r="38" spans="1:7" x14ac:dyDescent="0.25">
      <c r="A38" s="138" t="s">
        <v>426</v>
      </c>
      <c r="B38" s="136" t="s">
        <v>402</v>
      </c>
      <c r="C38" s="136"/>
      <c r="D38" s="136">
        <v>500</v>
      </c>
      <c r="E38" s="136">
        <f t="shared" si="0"/>
        <v>14565</v>
      </c>
      <c r="F38" s="136" t="s">
        <v>427</v>
      </c>
      <c r="G38" s="136"/>
    </row>
    <row r="39" spans="1:7" x14ac:dyDescent="0.25">
      <c r="A39" s="152" t="s">
        <v>430</v>
      </c>
      <c r="B39" s="136" t="s">
        <v>383</v>
      </c>
      <c r="C39" s="136"/>
      <c r="D39" s="136">
        <v>96</v>
      </c>
      <c r="E39" s="136">
        <f t="shared" si="0"/>
        <v>14469</v>
      </c>
      <c r="F39" s="136" t="s">
        <v>17</v>
      </c>
      <c r="G39" s="136"/>
    </row>
    <row r="40" spans="1:7" x14ac:dyDescent="0.25">
      <c r="A40" s="152" t="s">
        <v>438</v>
      </c>
      <c r="B40" s="136" t="s">
        <v>382</v>
      </c>
      <c r="C40" s="136">
        <v>12</v>
      </c>
      <c r="D40" s="136"/>
      <c r="E40" s="136">
        <f t="shared" si="0"/>
        <v>14481</v>
      </c>
      <c r="F40" s="136"/>
      <c r="G40" s="136"/>
    </row>
    <row r="41" spans="1:7" x14ac:dyDescent="0.25">
      <c r="A41" s="152" t="s">
        <v>441</v>
      </c>
      <c r="B41" s="136" t="s">
        <v>402</v>
      </c>
      <c r="C41" s="136"/>
      <c r="D41" s="136">
        <v>130</v>
      </c>
      <c r="E41" s="136">
        <f t="shared" si="0"/>
        <v>14351</v>
      </c>
      <c r="F41" s="136" t="s">
        <v>444</v>
      </c>
      <c r="G41" s="136"/>
    </row>
    <row r="42" spans="1:7" x14ac:dyDescent="0.25">
      <c r="A42" s="152" t="s">
        <v>441</v>
      </c>
      <c r="B42" s="136" t="s">
        <v>402</v>
      </c>
      <c r="C42" s="136"/>
      <c r="D42" s="136">
        <v>300</v>
      </c>
      <c r="E42" s="136">
        <f t="shared" si="0"/>
        <v>14051</v>
      </c>
      <c r="F42" s="136" t="s">
        <v>445</v>
      </c>
      <c r="G42" s="136"/>
    </row>
    <row r="43" spans="1:7" x14ac:dyDescent="0.25">
      <c r="A43" s="238" t="s">
        <v>453</v>
      </c>
      <c r="B43" s="136" t="s">
        <v>454</v>
      </c>
      <c r="C43" s="136"/>
      <c r="D43" s="136">
        <v>40</v>
      </c>
      <c r="E43" s="136">
        <f t="shared" si="0"/>
        <v>14011</v>
      </c>
      <c r="F43" s="136" t="s">
        <v>455</v>
      </c>
      <c r="G43" s="136"/>
    </row>
    <row r="44" spans="1:7" x14ac:dyDescent="0.25">
      <c r="A44" s="238" t="s">
        <v>453</v>
      </c>
      <c r="B44" s="136" t="s">
        <v>462</v>
      </c>
      <c r="C44" s="136">
        <v>102</v>
      </c>
      <c r="D44" s="136"/>
      <c r="E44" s="136">
        <f t="shared" si="0"/>
        <v>14113</v>
      </c>
      <c r="F44" s="136"/>
      <c r="G44" s="136"/>
    </row>
    <row r="45" spans="1:7" x14ac:dyDescent="0.25">
      <c r="A45" s="138" t="s">
        <v>473</v>
      </c>
      <c r="B45" s="136" t="s">
        <v>283</v>
      </c>
      <c r="C45" s="136">
        <v>85</v>
      </c>
      <c r="D45" s="136"/>
      <c r="E45" s="136">
        <f t="shared" si="0"/>
        <v>14198</v>
      </c>
      <c r="F45" s="136"/>
      <c r="G45" s="136"/>
    </row>
    <row r="46" spans="1:7" x14ac:dyDescent="0.25">
      <c r="A46" s="238" t="s">
        <v>475</v>
      </c>
      <c r="B46" s="136" t="s">
        <v>283</v>
      </c>
      <c r="C46" s="136">
        <v>18</v>
      </c>
      <c r="D46" s="136"/>
      <c r="E46" s="136">
        <f t="shared" si="0"/>
        <v>14216</v>
      </c>
      <c r="F46" s="136"/>
      <c r="G46" s="136"/>
    </row>
    <row r="47" spans="1:7" x14ac:dyDescent="0.25">
      <c r="A47" s="238" t="s">
        <v>475</v>
      </c>
      <c r="B47" s="136" t="s">
        <v>283</v>
      </c>
      <c r="C47" s="136">
        <v>25</v>
      </c>
      <c r="D47" s="136"/>
      <c r="E47" s="136">
        <f t="shared" si="0"/>
        <v>14241</v>
      </c>
      <c r="F47" s="136"/>
      <c r="G47" s="136"/>
    </row>
    <row r="48" spans="1:7" x14ac:dyDescent="0.25">
      <c r="A48" s="138" t="s">
        <v>485</v>
      </c>
      <c r="B48" s="136" t="s">
        <v>402</v>
      </c>
      <c r="C48" s="136"/>
      <c r="D48" s="136">
        <v>425</v>
      </c>
      <c r="E48" s="136">
        <f t="shared" si="0"/>
        <v>13816</v>
      </c>
      <c r="F48" s="136" t="s">
        <v>487</v>
      </c>
      <c r="G48" s="136"/>
    </row>
    <row r="49" spans="1:7" x14ac:dyDescent="0.25">
      <c r="A49" s="152" t="s">
        <v>485</v>
      </c>
      <c r="B49" s="136" t="s">
        <v>283</v>
      </c>
      <c r="C49" s="136">
        <v>27</v>
      </c>
      <c r="D49" s="136"/>
      <c r="E49" s="136">
        <f t="shared" si="0"/>
        <v>13843</v>
      </c>
      <c r="F49" s="136"/>
      <c r="G49" s="136"/>
    </row>
    <row r="50" spans="1:7" x14ac:dyDescent="0.25">
      <c r="A50" s="258" t="s">
        <v>490</v>
      </c>
      <c r="B50" s="136" t="s">
        <v>414</v>
      </c>
      <c r="C50" s="136"/>
      <c r="D50" s="136">
        <v>15</v>
      </c>
      <c r="E50" s="136">
        <f t="shared" si="0"/>
        <v>13828</v>
      </c>
      <c r="F50" s="136" t="s">
        <v>494</v>
      </c>
      <c r="G50" s="136"/>
    </row>
    <row r="51" spans="1:7" x14ac:dyDescent="0.25">
      <c r="A51" s="258" t="s">
        <v>490</v>
      </c>
      <c r="B51" s="136" t="s">
        <v>402</v>
      </c>
      <c r="C51" s="136"/>
      <c r="D51" s="136">
        <v>75</v>
      </c>
      <c r="E51" s="136">
        <f t="shared" si="0"/>
        <v>13753</v>
      </c>
      <c r="F51" s="136" t="s">
        <v>495</v>
      </c>
      <c r="G51" s="136"/>
    </row>
    <row r="52" spans="1:7" x14ac:dyDescent="0.25">
      <c r="A52" s="138" t="s">
        <v>496</v>
      </c>
      <c r="B52" s="136" t="s">
        <v>305</v>
      </c>
      <c r="C52" s="136">
        <v>3</v>
      </c>
      <c r="D52" s="136"/>
      <c r="E52" s="136">
        <f t="shared" si="0"/>
        <v>13756</v>
      </c>
      <c r="F52" s="136"/>
      <c r="G52" s="136"/>
    </row>
    <row r="53" spans="1:7" x14ac:dyDescent="0.25">
      <c r="A53" s="138" t="s">
        <v>502</v>
      </c>
      <c r="B53" s="136" t="s">
        <v>503</v>
      </c>
      <c r="C53" s="136">
        <v>40</v>
      </c>
      <c r="D53" s="136"/>
      <c r="E53" s="136">
        <f t="shared" si="0"/>
        <v>13796</v>
      </c>
      <c r="F53" s="136"/>
      <c r="G53" s="136"/>
    </row>
    <row r="54" spans="1:7" x14ac:dyDescent="0.25">
      <c r="A54" s="138" t="s">
        <v>504</v>
      </c>
      <c r="B54" s="136" t="s">
        <v>402</v>
      </c>
      <c r="C54" s="136"/>
      <c r="D54" s="136">
        <v>500</v>
      </c>
      <c r="E54" s="136">
        <f t="shared" si="0"/>
        <v>13296</v>
      </c>
      <c r="F54" s="136" t="s">
        <v>507</v>
      </c>
      <c r="G54" s="136"/>
    </row>
    <row r="55" spans="1:7" x14ac:dyDescent="0.25">
      <c r="A55" s="238" t="s">
        <v>517</v>
      </c>
      <c r="B55" s="136" t="s">
        <v>519</v>
      </c>
      <c r="C55" s="136">
        <v>2</v>
      </c>
      <c r="D55" s="136"/>
      <c r="E55" s="136">
        <f t="shared" si="0"/>
        <v>13298</v>
      </c>
      <c r="F55" s="136"/>
      <c r="G55" s="136"/>
    </row>
    <row r="56" spans="1:7" x14ac:dyDescent="0.25">
      <c r="A56" s="138" t="s">
        <v>517</v>
      </c>
      <c r="B56" s="136" t="s">
        <v>524</v>
      </c>
      <c r="C56" s="136">
        <v>26</v>
      </c>
      <c r="D56" s="136"/>
      <c r="E56" s="136">
        <f t="shared" si="0"/>
        <v>13324</v>
      </c>
      <c r="F56" s="136"/>
      <c r="G56" s="136"/>
    </row>
    <row r="57" spans="1:7" x14ac:dyDescent="0.25">
      <c r="A57" s="278" t="s">
        <v>517</v>
      </c>
      <c r="B57" s="279" t="s">
        <v>402</v>
      </c>
      <c r="C57" s="279"/>
      <c r="D57" s="279">
        <v>500</v>
      </c>
      <c r="E57" s="279">
        <f t="shared" si="0"/>
        <v>12824</v>
      </c>
      <c r="F57" s="279" t="s">
        <v>521</v>
      </c>
      <c r="G57" s="280" t="s">
        <v>539</v>
      </c>
    </row>
    <row r="58" spans="1:7" x14ac:dyDescent="0.25">
      <c r="A58" s="138" t="s">
        <v>525</v>
      </c>
      <c r="B58" s="136" t="s">
        <v>526</v>
      </c>
      <c r="C58" s="136">
        <v>27</v>
      </c>
      <c r="D58" s="136"/>
      <c r="E58" s="136">
        <f t="shared" si="0"/>
        <v>12851</v>
      </c>
      <c r="F58" s="136"/>
      <c r="G58" s="136"/>
    </row>
    <row r="59" spans="1:7" x14ac:dyDescent="0.25">
      <c r="A59" s="138" t="s">
        <v>533</v>
      </c>
      <c r="B59" s="136" t="s">
        <v>526</v>
      </c>
      <c r="C59" s="136">
        <v>51</v>
      </c>
      <c r="D59" s="136"/>
      <c r="E59" s="136">
        <f t="shared" si="0"/>
        <v>12902</v>
      </c>
      <c r="F59" s="136"/>
      <c r="G59" s="136"/>
    </row>
    <row r="60" spans="1:7" x14ac:dyDescent="0.25">
      <c r="A60" s="138" t="s">
        <v>542</v>
      </c>
      <c r="B60" s="136" t="s">
        <v>544</v>
      </c>
      <c r="C60" s="136">
        <v>162</v>
      </c>
      <c r="D60" s="136"/>
      <c r="E60" s="136">
        <f t="shared" si="0"/>
        <v>13064</v>
      </c>
      <c r="F60" s="136"/>
      <c r="G60" s="136"/>
    </row>
    <row r="61" spans="1:7" x14ac:dyDescent="0.25">
      <c r="A61" s="152" t="s">
        <v>542</v>
      </c>
      <c r="B61" s="136" t="s">
        <v>283</v>
      </c>
      <c r="C61" s="136">
        <v>11</v>
      </c>
      <c r="D61" s="136"/>
      <c r="E61" s="136">
        <f t="shared" si="0"/>
        <v>13075</v>
      </c>
      <c r="F61" s="136"/>
      <c r="G61" s="136"/>
    </row>
    <row r="62" spans="1:7" x14ac:dyDescent="0.25">
      <c r="A62" s="152" t="s">
        <v>542</v>
      </c>
      <c r="B62" s="136" t="s">
        <v>544</v>
      </c>
      <c r="C62" s="136">
        <v>162</v>
      </c>
      <c r="D62" s="136"/>
      <c r="E62" s="136">
        <f t="shared" si="0"/>
        <v>13237</v>
      </c>
      <c r="F62" s="136"/>
      <c r="G62" s="136"/>
    </row>
    <row r="63" spans="1:7" x14ac:dyDescent="0.25">
      <c r="A63" s="152" t="s">
        <v>545</v>
      </c>
      <c r="B63" s="136" t="s">
        <v>524</v>
      </c>
      <c r="C63" s="136">
        <v>34</v>
      </c>
      <c r="D63" s="136"/>
      <c r="E63" s="136">
        <f t="shared" si="0"/>
        <v>13271</v>
      </c>
      <c r="F63" s="136"/>
      <c r="G63" s="136"/>
    </row>
    <row r="64" spans="1:7" x14ac:dyDescent="0.25">
      <c r="A64" s="152" t="s">
        <v>549</v>
      </c>
      <c r="B64" s="136" t="s">
        <v>402</v>
      </c>
      <c r="C64" s="136"/>
      <c r="D64" s="136">
        <v>500</v>
      </c>
      <c r="E64" s="136">
        <f t="shared" si="0"/>
        <v>12771</v>
      </c>
      <c r="F64" s="136" t="s">
        <v>553</v>
      </c>
      <c r="G64" s="136"/>
    </row>
    <row r="65" spans="1:7" x14ac:dyDescent="0.25">
      <c r="A65" s="138" t="s">
        <v>554</v>
      </c>
      <c r="B65" s="136" t="s">
        <v>383</v>
      </c>
      <c r="C65" s="136">
        <v>84</v>
      </c>
      <c r="D65" s="136"/>
      <c r="E65" s="136">
        <f t="shared" si="0"/>
        <v>12855</v>
      </c>
      <c r="F65" s="136"/>
      <c r="G65" s="136"/>
    </row>
    <row r="66" spans="1:7" x14ac:dyDescent="0.25">
      <c r="A66" s="152" t="s">
        <v>559</v>
      </c>
      <c r="B66" s="136" t="s">
        <v>561</v>
      </c>
      <c r="C66" s="136"/>
      <c r="D66" s="136">
        <v>50</v>
      </c>
      <c r="E66" s="136">
        <f t="shared" si="0"/>
        <v>12805</v>
      </c>
      <c r="F66" s="136" t="s">
        <v>17</v>
      </c>
      <c r="G66" s="136"/>
    </row>
    <row r="67" spans="1:7" x14ac:dyDescent="0.25">
      <c r="A67" s="152" t="s">
        <v>559</v>
      </c>
      <c r="B67" s="136" t="s">
        <v>283</v>
      </c>
      <c r="C67" s="136">
        <v>2</v>
      </c>
      <c r="D67" s="136"/>
      <c r="E67" s="136">
        <f t="shared" si="0"/>
        <v>12807</v>
      </c>
      <c r="F67" s="136"/>
      <c r="G67" s="136"/>
    </row>
    <row r="68" spans="1:7" x14ac:dyDescent="0.25">
      <c r="A68" s="152" t="s">
        <v>562</v>
      </c>
      <c r="B68" s="156" t="s">
        <v>414</v>
      </c>
      <c r="C68" s="136">
        <v>29</v>
      </c>
      <c r="D68" s="136"/>
      <c r="E68" s="136">
        <f t="shared" si="0"/>
        <v>12836</v>
      </c>
      <c r="F68" s="136"/>
      <c r="G68" s="136"/>
    </row>
    <row r="69" spans="1:7" x14ac:dyDescent="0.25">
      <c r="A69" s="152" t="s">
        <v>567</v>
      </c>
      <c r="B69" s="136" t="s">
        <v>526</v>
      </c>
      <c r="C69" s="136">
        <v>15</v>
      </c>
      <c r="D69" s="136"/>
      <c r="E69" s="136">
        <f t="shared" si="0"/>
        <v>12851</v>
      </c>
      <c r="F69" s="136"/>
      <c r="G69" s="136"/>
    </row>
    <row r="70" spans="1:7" x14ac:dyDescent="0.25">
      <c r="A70" s="138" t="s">
        <v>569</v>
      </c>
      <c r="B70" s="136" t="s">
        <v>544</v>
      </c>
      <c r="C70" s="136">
        <v>44</v>
      </c>
      <c r="D70" s="136"/>
      <c r="E70" s="136">
        <f t="shared" si="0"/>
        <v>12895</v>
      </c>
      <c r="F70" s="136"/>
      <c r="G70" s="136"/>
    </row>
    <row r="71" spans="1:7" x14ac:dyDescent="0.25">
      <c r="A71" s="138" t="s">
        <v>569</v>
      </c>
      <c r="B71" s="136" t="s">
        <v>572</v>
      </c>
      <c r="C71" s="136"/>
      <c r="D71" s="136">
        <v>42</v>
      </c>
      <c r="E71" s="136">
        <f t="shared" si="0"/>
        <v>12853</v>
      </c>
      <c r="F71" s="136" t="s">
        <v>17</v>
      </c>
      <c r="G71" s="136"/>
    </row>
    <row r="72" spans="1:7" x14ac:dyDescent="0.25">
      <c r="A72" s="152" t="s">
        <v>573</v>
      </c>
      <c r="B72" s="136" t="s">
        <v>574</v>
      </c>
      <c r="C72" s="136"/>
      <c r="D72" s="136">
        <v>50</v>
      </c>
      <c r="E72" s="136">
        <f t="shared" si="0"/>
        <v>12803</v>
      </c>
      <c r="F72" s="136" t="s">
        <v>17</v>
      </c>
      <c r="G72" s="136"/>
    </row>
    <row r="73" spans="1:7" x14ac:dyDescent="0.25">
      <c r="A73" s="152" t="s">
        <v>577</v>
      </c>
      <c r="B73" s="136" t="s">
        <v>526</v>
      </c>
      <c r="C73" s="136">
        <v>12</v>
      </c>
      <c r="D73" s="136"/>
      <c r="E73" s="136">
        <f t="shared" si="0"/>
        <v>12815</v>
      </c>
      <c r="F73" s="136"/>
      <c r="G73" s="136"/>
    </row>
    <row r="74" spans="1:7" x14ac:dyDescent="0.25">
      <c r="A74" s="152" t="s">
        <v>577</v>
      </c>
      <c r="B74" s="136" t="s">
        <v>283</v>
      </c>
      <c r="C74" s="136">
        <v>8</v>
      </c>
      <c r="D74" s="136"/>
      <c r="E74" s="136">
        <f t="shared" ref="E74:E137" si="1">E73+C74-D74</f>
        <v>12823</v>
      </c>
      <c r="F74" s="136"/>
      <c r="G74" s="136"/>
    </row>
    <row r="75" spans="1:7" x14ac:dyDescent="0.25">
      <c r="A75" s="152" t="s">
        <v>577</v>
      </c>
      <c r="B75" s="136" t="s">
        <v>488</v>
      </c>
      <c r="C75" s="136">
        <v>39</v>
      </c>
      <c r="D75" s="136"/>
      <c r="E75" s="136">
        <f t="shared" si="1"/>
        <v>12862</v>
      </c>
      <c r="F75" s="136"/>
      <c r="G75" s="136"/>
    </row>
    <row r="76" spans="1:7" x14ac:dyDescent="0.25">
      <c r="A76" s="138" t="s">
        <v>581</v>
      </c>
      <c r="B76" s="136" t="s">
        <v>583</v>
      </c>
      <c r="C76" s="136"/>
      <c r="D76" s="136">
        <v>110</v>
      </c>
      <c r="E76" s="136">
        <f t="shared" si="1"/>
        <v>12752</v>
      </c>
      <c r="F76" s="136" t="s">
        <v>584</v>
      </c>
      <c r="G76" s="136"/>
    </row>
    <row r="77" spans="1:7" x14ac:dyDescent="0.25">
      <c r="A77" s="167">
        <v>8106</v>
      </c>
      <c r="B77" s="136" t="s">
        <v>383</v>
      </c>
      <c r="C77" s="136">
        <v>51</v>
      </c>
      <c r="D77" s="136"/>
      <c r="E77" s="136">
        <f t="shared" si="1"/>
        <v>12803</v>
      </c>
      <c r="F77" s="136"/>
      <c r="G77" s="136"/>
    </row>
    <row r="78" spans="1:7" x14ac:dyDescent="0.25">
      <c r="A78" s="121" t="s">
        <v>595</v>
      </c>
      <c r="B78" s="36" t="s">
        <v>601</v>
      </c>
      <c r="C78" s="36">
        <v>11</v>
      </c>
      <c r="D78" s="136"/>
      <c r="E78" s="136">
        <f t="shared" si="1"/>
        <v>12814</v>
      </c>
      <c r="F78" s="136"/>
      <c r="G78" s="136"/>
    </row>
    <row r="79" spans="1:7" x14ac:dyDescent="0.25">
      <c r="A79" s="152" t="s">
        <v>602</v>
      </c>
      <c r="B79" s="136" t="s">
        <v>382</v>
      </c>
      <c r="C79" s="136"/>
      <c r="D79" s="136">
        <v>60</v>
      </c>
      <c r="E79" s="136">
        <f t="shared" si="1"/>
        <v>12754</v>
      </c>
      <c r="F79" s="136" t="s">
        <v>603</v>
      </c>
      <c r="G79" s="136"/>
    </row>
    <row r="80" spans="1:7" x14ac:dyDescent="0.25">
      <c r="A80" s="138" t="s">
        <v>625</v>
      </c>
      <c r="B80" s="136" t="s">
        <v>626</v>
      </c>
      <c r="C80" s="136">
        <v>85</v>
      </c>
      <c r="D80" s="136"/>
      <c r="E80" s="136">
        <f t="shared" si="1"/>
        <v>12839</v>
      </c>
      <c r="F80" s="136"/>
      <c r="G80" s="136"/>
    </row>
    <row r="81" spans="1:7" x14ac:dyDescent="0.25">
      <c r="A81" s="238" t="s">
        <v>645</v>
      </c>
      <c r="B81" s="136" t="s">
        <v>646</v>
      </c>
      <c r="C81" s="136">
        <v>21</v>
      </c>
      <c r="D81" s="136"/>
      <c r="E81" s="136">
        <f t="shared" si="1"/>
        <v>12860</v>
      </c>
      <c r="F81" s="136"/>
      <c r="G81" s="136"/>
    </row>
    <row r="82" spans="1:7" x14ac:dyDescent="0.25">
      <c r="A82" s="152" t="s">
        <v>647</v>
      </c>
      <c r="B82" s="136" t="s">
        <v>526</v>
      </c>
      <c r="C82" s="136">
        <v>24</v>
      </c>
      <c r="D82" s="136"/>
      <c r="E82" s="136">
        <f t="shared" si="1"/>
        <v>12884</v>
      </c>
      <c r="F82" s="136"/>
      <c r="G82" s="136"/>
    </row>
    <row r="83" spans="1:7" x14ac:dyDescent="0.25">
      <c r="A83" s="138" t="s">
        <v>655</v>
      </c>
      <c r="B83" s="136" t="s">
        <v>526</v>
      </c>
      <c r="C83" s="136">
        <v>25</v>
      </c>
      <c r="D83" s="136"/>
      <c r="E83" s="136">
        <f t="shared" si="1"/>
        <v>12909</v>
      </c>
      <c r="F83" s="136"/>
      <c r="G83" s="136"/>
    </row>
    <row r="84" spans="1:7" x14ac:dyDescent="0.25">
      <c r="A84" s="138" t="s">
        <v>658</v>
      </c>
      <c r="B84" s="136" t="s">
        <v>661</v>
      </c>
      <c r="C84" s="136"/>
      <c r="D84" s="136">
        <v>23</v>
      </c>
      <c r="E84" s="136">
        <f t="shared" si="1"/>
        <v>12886</v>
      </c>
      <c r="F84" s="136" t="s">
        <v>662</v>
      </c>
      <c r="G84" s="136"/>
    </row>
    <row r="85" spans="1:7" x14ac:dyDescent="0.25">
      <c r="A85" s="138" t="s">
        <v>658</v>
      </c>
      <c r="B85" s="136" t="s">
        <v>488</v>
      </c>
      <c r="C85" s="136">
        <v>37</v>
      </c>
      <c r="D85" s="136"/>
      <c r="E85" s="136">
        <f t="shared" si="1"/>
        <v>12923</v>
      </c>
      <c r="F85" s="136"/>
      <c r="G85" s="136"/>
    </row>
    <row r="86" spans="1:7" x14ac:dyDescent="0.25">
      <c r="A86" s="152" t="s">
        <v>680</v>
      </c>
      <c r="B86" s="136" t="s">
        <v>323</v>
      </c>
      <c r="C86" s="136">
        <v>16</v>
      </c>
      <c r="D86" s="136"/>
      <c r="E86" s="136">
        <f t="shared" si="1"/>
        <v>12939</v>
      </c>
      <c r="F86" s="136"/>
      <c r="G86" s="136"/>
    </row>
    <row r="87" spans="1:7" x14ac:dyDescent="0.25">
      <c r="A87" s="138" t="s">
        <v>683</v>
      </c>
      <c r="B87" s="136" t="s">
        <v>687</v>
      </c>
      <c r="C87" s="136">
        <v>29</v>
      </c>
      <c r="D87" s="136"/>
      <c r="E87" s="136">
        <f t="shared" si="1"/>
        <v>12968</v>
      </c>
      <c r="F87" s="136"/>
      <c r="G87" s="136"/>
    </row>
    <row r="88" spans="1:7" x14ac:dyDescent="0.25">
      <c r="A88" s="138" t="s">
        <v>695</v>
      </c>
      <c r="B88" s="136" t="s">
        <v>638</v>
      </c>
      <c r="C88" s="136"/>
      <c r="D88" s="136">
        <v>200</v>
      </c>
      <c r="E88" s="136">
        <f t="shared" si="1"/>
        <v>12768</v>
      </c>
      <c r="F88" s="136" t="s">
        <v>697</v>
      </c>
      <c r="G88" s="136"/>
    </row>
    <row r="89" spans="1:7" x14ac:dyDescent="0.25">
      <c r="A89" s="138" t="s">
        <v>695</v>
      </c>
      <c r="B89" s="136" t="s">
        <v>283</v>
      </c>
      <c r="C89" s="136">
        <v>2</v>
      </c>
      <c r="D89" s="136"/>
      <c r="E89" s="136">
        <f t="shared" si="1"/>
        <v>12770</v>
      </c>
      <c r="F89" s="136"/>
      <c r="G89" s="136"/>
    </row>
    <row r="90" spans="1:7" x14ac:dyDescent="0.25">
      <c r="A90" s="138" t="s">
        <v>719</v>
      </c>
      <c r="B90" s="136" t="s">
        <v>721</v>
      </c>
      <c r="C90" s="136"/>
      <c r="D90" s="136">
        <v>90</v>
      </c>
      <c r="E90" s="136">
        <f t="shared" si="1"/>
        <v>12680</v>
      </c>
      <c r="F90" s="136" t="s">
        <v>722</v>
      </c>
      <c r="G90" s="136"/>
    </row>
    <row r="91" spans="1:7" x14ac:dyDescent="0.25">
      <c r="A91" s="152" t="s">
        <v>726</v>
      </c>
      <c r="B91" s="136" t="s">
        <v>526</v>
      </c>
      <c r="C91" s="136">
        <v>13</v>
      </c>
      <c r="D91" s="136"/>
      <c r="E91" s="136">
        <f t="shared" si="1"/>
        <v>12693</v>
      </c>
      <c r="F91" s="136"/>
      <c r="G91" s="136"/>
    </row>
    <row r="92" spans="1:7" x14ac:dyDescent="0.25">
      <c r="A92" s="138" t="s">
        <v>728</v>
      </c>
      <c r="B92" s="136" t="s">
        <v>721</v>
      </c>
      <c r="C92" s="136"/>
      <c r="D92" s="136">
        <v>210</v>
      </c>
      <c r="E92" s="136">
        <f t="shared" si="1"/>
        <v>12483</v>
      </c>
      <c r="F92" s="136" t="s">
        <v>729</v>
      </c>
      <c r="G92" s="136"/>
    </row>
    <row r="93" spans="1:7" x14ac:dyDescent="0.25">
      <c r="A93" s="138" t="s">
        <v>747</v>
      </c>
      <c r="B93" s="136" t="s">
        <v>748</v>
      </c>
      <c r="C93" s="136"/>
      <c r="D93" s="136">
        <v>50</v>
      </c>
      <c r="E93" s="136">
        <f t="shared" si="1"/>
        <v>12433</v>
      </c>
      <c r="F93" s="136" t="s">
        <v>749</v>
      </c>
      <c r="G93" s="136"/>
    </row>
    <row r="94" spans="1:7" x14ac:dyDescent="0.25">
      <c r="A94" s="152" t="s">
        <v>764</v>
      </c>
      <c r="B94" s="136" t="s">
        <v>765</v>
      </c>
      <c r="C94" s="136"/>
      <c r="D94" s="136">
        <v>2</v>
      </c>
      <c r="E94" s="136">
        <f t="shared" si="1"/>
        <v>12431</v>
      </c>
      <c r="F94" s="136" t="s">
        <v>766</v>
      </c>
      <c r="G94" s="136"/>
    </row>
    <row r="95" spans="1:7" x14ac:dyDescent="0.25">
      <c r="A95" s="152" t="s">
        <v>764</v>
      </c>
      <c r="B95" s="136" t="s">
        <v>638</v>
      </c>
      <c r="C95" s="136"/>
      <c r="D95" s="136">
        <v>60</v>
      </c>
      <c r="E95" s="136">
        <f t="shared" si="1"/>
        <v>12371</v>
      </c>
      <c r="F95" s="136" t="s">
        <v>769</v>
      </c>
      <c r="G95" s="136"/>
    </row>
    <row r="96" spans="1:7" x14ac:dyDescent="0.25">
      <c r="A96" s="152" t="s">
        <v>764</v>
      </c>
      <c r="B96" s="136" t="s">
        <v>526</v>
      </c>
      <c r="C96" s="136">
        <v>13</v>
      </c>
      <c r="D96" s="136"/>
      <c r="E96" s="136">
        <f t="shared" si="1"/>
        <v>12384</v>
      </c>
      <c r="F96" s="136"/>
      <c r="G96" s="136"/>
    </row>
    <row r="97" spans="1:7" x14ac:dyDescent="0.25">
      <c r="A97" s="152" t="s">
        <v>773</v>
      </c>
      <c r="B97" s="136" t="s">
        <v>283</v>
      </c>
      <c r="C97" s="136">
        <v>2</v>
      </c>
      <c r="D97" s="136"/>
      <c r="E97" s="136">
        <f t="shared" si="1"/>
        <v>12386</v>
      </c>
      <c r="F97" s="136"/>
      <c r="G97" s="136"/>
    </row>
    <row r="98" spans="1:7" x14ac:dyDescent="0.25">
      <c r="A98" s="138" t="s">
        <v>775</v>
      </c>
      <c r="B98" s="136" t="s">
        <v>250</v>
      </c>
      <c r="C98" s="136"/>
      <c r="D98" s="136">
        <v>12</v>
      </c>
      <c r="E98" s="136">
        <f t="shared" si="1"/>
        <v>12374</v>
      </c>
      <c r="F98" s="136" t="s">
        <v>776</v>
      </c>
      <c r="G98" s="136"/>
    </row>
    <row r="99" spans="1:7" x14ac:dyDescent="0.25">
      <c r="A99" s="138" t="s">
        <v>781</v>
      </c>
      <c r="B99" s="136" t="s">
        <v>344</v>
      </c>
      <c r="C99" s="136">
        <v>185</v>
      </c>
      <c r="D99" s="136"/>
      <c r="E99" s="136">
        <f t="shared" si="1"/>
        <v>12559</v>
      </c>
      <c r="F99" s="136"/>
      <c r="G99" s="136"/>
    </row>
    <row r="100" spans="1:7" x14ac:dyDescent="0.25">
      <c r="A100" s="138" t="s">
        <v>781</v>
      </c>
      <c r="B100" s="136" t="s">
        <v>344</v>
      </c>
      <c r="C100" s="136">
        <v>152</v>
      </c>
      <c r="D100" s="136"/>
      <c r="E100" s="136">
        <f t="shared" si="1"/>
        <v>12711</v>
      </c>
      <c r="F100" s="136"/>
      <c r="G100" s="136"/>
    </row>
    <row r="101" spans="1:7" x14ac:dyDescent="0.25">
      <c r="A101" s="138" t="s">
        <v>781</v>
      </c>
      <c r="B101" s="136" t="s">
        <v>344</v>
      </c>
      <c r="C101" s="136">
        <v>124</v>
      </c>
      <c r="D101" s="136"/>
      <c r="E101" s="136">
        <f t="shared" si="1"/>
        <v>12835</v>
      </c>
      <c r="F101" s="136"/>
      <c r="G101" s="136"/>
    </row>
    <row r="102" spans="1:7" x14ac:dyDescent="0.25">
      <c r="A102" s="233">
        <v>8154</v>
      </c>
      <c r="B102" s="136" t="s">
        <v>344</v>
      </c>
      <c r="C102" s="136">
        <v>192</v>
      </c>
      <c r="D102" s="136"/>
      <c r="E102" s="136">
        <f t="shared" si="1"/>
        <v>13027</v>
      </c>
      <c r="F102" s="136"/>
      <c r="G102" s="136"/>
    </row>
    <row r="103" spans="1:7" x14ac:dyDescent="0.25">
      <c r="A103" s="233">
        <v>8154</v>
      </c>
      <c r="B103" s="136" t="s">
        <v>344</v>
      </c>
      <c r="C103" s="136">
        <v>153</v>
      </c>
      <c r="D103" s="136"/>
      <c r="E103" s="136">
        <f t="shared" si="1"/>
        <v>13180</v>
      </c>
      <c r="F103" s="136"/>
      <c r="G103" s="136"/>
    </row>
    <row r="104" spans="1:7" x14ac:dyDescent="0.25">
      <c r="A104" s="138" t="s">
        <v>785</v>
      </c>
      <c r="B104" s="136" t="s">
        <v>344</v>
      </c>
      <c r="C104" s="136">
        <v>64</v>
      </c>
      <c r="D104" s="136"/>
      <c r="E104" s="136">
        <f t="shared" si="1"/>
        <v>13244</v>
      </c>
      <c r="F104" s="136"/>
      <c r="G104" s="136"/>
    </row>
    <row r="105" spans="1:7" x14ac:dyDescent="0.25">
      <c r="A105" s="138" t="s">
        <v>786</v>
      </c>
      <c r="B105" s="136" t="s">
        <v>344</v>
      </c>
      <c r="C105" s="136">
        <v>175</v>
      </c>
      <c r="D105" s="136"/>
      <c r="E105" s="136">
        <f t="shared" si="1"/>
        <v>13419</v>
      </c>
      <c r="F105" s="136"/>
      <c r="G105" s="136"/>
    </row>
    <row r="106" spans="1:7" x14ac:dyDescent="0.25">
      <c r="A106" s="138" t="s">
        <v>787</v>
      </c>
      <c r="B106" s="136" t="s">
        <v>344</v>
      </c>
      <c r="C106" s="136">
        <v>177</v>
      </c>
      <c r="D106" s="136"/>
      <c r="E106" s="136">
        <f t="shared" si="1"/>
        <v>13596</v>
      </c>
      <c r="F106" s="136"/>
      <c r="G106" s="136"/>
    </row>
    <row r="107" spans="1:7" x14ac:dyDescent="0.25">
      <c r="A107" s="138" t="s">
        <v>788</v>
      </c>
      <c r="B107" s="136" t="s">
        <v>783</v>
      </c>
      <c r="C107" s="136"/>
      <c r="D107" s="136">
        <v>24</v>
      </c>
      <c r="E107" s="136">
        <f t="shared" si="1"/>
        <v>13572</v>
      </c>
      <c r="F107" s="136" t="s">
        <v>791</v>
      </c>
      <c r="G107" s="136"/>
    </row>
    <row r="108" spans="1:7" x14ac:dyDescent="0.25">
      <c r="A108" s="138" t="s">
        <v>788</v>
      </c>
      <c r="B108" s="136" t="s">
        <v>344</v>
      </c>
      <c r="C108" s="136">
        <v>152</v>
      </c>
      <c r="D108" s="136"/>
      <c r="E108" s="136">
        <f t="shared" si="1"/>
        <v>13724</v>
      </c>
      <c r="F108" s="136"/>
      <c r="G108" s="136"/>
    </row>
    <row r="109" spans="1:7" x14ac:dyDescent="0.25">
      <c r="A109" s="138" t="s">
        <v>797</v>
      </c>
      <c r="B109" s="136" t="s">
        <v>344</v>
      </c>
      <c r="C109" s="136">
        <v>155</v>
      </c>
      <c r="D109" s="136"/>
      <c r="E109" s="136">
        <f t="shared" si="1"/>
        <v>13879</v>
      </c>
      <c r="F109" s="136"/>
      <c r="G109" s="136"/>
    </row>
    <row r="110" spans="1:7" x14ac:dyDescent="0.25">
      <c r="A110" s="138" t="s">
        <v>797</v>
      </c>
      <c r="B110" s="136" t="s">
        <v>344</v>
      </c>
      <c r="C110" s="136">
        <v>179</v>
      </c>
      <c r="D110" s="136"/>
      <c r="E110" s="136">
        <f t="shared" si="1"/>
        <v>14058</v>
      </c>
      <c r="F110" s="136"/>
      <c r="G110" s="136"/>
    </row>
    <row r="111" spans="1:7" x14ac:dyDescent="0.25">
      <c r="A111" s="138" t="s">
        <v>802</v>
      </c>
      <c r="B111" s="136" t="s">
        <v>344</v>
      </c>
      <c r="C111" s="136">
        <v>179</v>
      </c>
      <c r="D111" s="136"/>
      <c r="E111" s="136">
        <f t="shared" si="1"/>
        <v>14237</v>
      </c>
      <c r="F111" s="136"/>
      <c r="G111" s="136"/>
    </row>
    <row r="112" spans="1:7" x14ac:dyDescent="0.25">
      <c r="A112" s="138" t="s">
        <v>802</v>
      </c>
      <c r="B112" s="136" t="s">
        <v>721</v>
      </c>
      <c r="C112" s="136">
        <v>145</v>
      </c>
      <c r="D112" s="136"/>
      <c r="E112" s="136">
        <f t="shared" si="1"/>
        <v>14382</v>
      </c>
      <c r="F112" s="136"/>
      <c r="G112" s="136"/>
    </row>
    <row r="113" spans="1:7" x14ac:dyDescent="0.25">
      <c r="A113" s="138" t="s">
        <v>803</v>
      </c>
      <c r="B113" s="136" t="s">
        <v>381</v>
      </c>
      <c r="C113" s="136">
        <v>122</v>
      </c>
      <c r="D113" s="136"/>
      <c r="E113" s="136">
        <f t="shared" si="1"/>
        <v>14504</v>
      </c>
      <c r="F113" s="136"/>
      <c r="G113" s="136"/>
    </row>
    <row r="114" spans="1:7" x14ac:dyDescent="0.25">
      <c r="A114" s="138" t="s">
        <v>803</v>
      </c>
      <c r="B114" s="136" t="s">
        <v>402</v>
      </c>
      <c r="C114" s="136">
        <v>104</v>
      </c>
      <c r="D114" s="136"/>
      <c r="E114" s="136">
        <f t="shared" si="1"/>
        <v>14608</v>
      </c>
      <c r="F114" s="136"/>
      <c r="G114" s="136"/>
    </row>
    <row r="115" spans="1:7" x14ac:dyDescent="0.25">
      <c r="A115" s="138" t="s">
        <v>803</v>
      </c>
      <c r="B115" s="136" t="s">
        <v>402</v>
      </c>
      <c r="C115" s="136">
        <v>143</v>
      </c>
      <c r="D115" s="136"/>
      <c r="E115" s="136">
        <f t="shared" si="1"/>
        <v>14751</v>
      </c>
      <c r="F115" s="136"/>
      <c r="G115" s="136"/>
    </row>
    <row r="116" spans="1:7" x14ac:dyDescent="0.25">
      <c r="A116" s="138" t="s">
        <v>804</v>
      </c>
      <c r="B116" s="136" t="s">
        <v>402</v>
      </c>
      <c r="C116" s="136">
        <v>157</v>
      </c>
      <c r="D116" s="136"/>
      <c r="E116" s="136">
        <f t="shared" si="1"/>
        <v>14908</v>
      </c>
      <c r="F116" s="136"/>
      <c r="G116" s="136"/>
    </row>
    <row r="117" spans="1:7" x14ac:dyDescent="0.25">
      <c r="A117" s="138" t="s">
        <v>804</v>
      </c>
      <c r="B117" s="136" t="s">
        <v>783</v>
      </c>
      <c r="C117" s="136"/>
      <c r="D117" s="136">
        <v>204</v>
      </c>
      <c r="E117" s="136">
        <f t="shared" si="1"/>
        <v>14704</v>
      </c>
      <c r="F117" s="136" t="s">
        <v>810</v>
      </c>
      <c r="G117" s="136"/>
    </row>
    <row r="118" spans="1:7" x14ac:dyDescent="0.25">
      <c r="A118" s="138" t="s">
        <v>811</v>
      </c>
      <c r="B118" s="136" t="s">
        <v>344</v>
      </c>
      <c r="C118" s="136">
        <v>141</v>
      </c>
      <c r="D118" s="136"/>
      <c r="E118" s="136">
        <f t="shared" si="1"/>
        <v>14845</v>
      </c>
      <c r="F118" s="136"/>
      <c r="G118" s="136"/>
    </row>
    <row r="119" spans="1:7" x14ac:dyDescent="0.25">
      <c r="A119" s="152" t="s">
        <v>820</v>
      </c>
      <c r="B119" s="136" t="s">
        <v>816</v>
      </c>
      <c r="C119" s="136"/>
      <c r="D119" s="136">
        <v>125</v>
      </c>
      <c r="E119" s="136">
        <f t="shared" si="1"/>
        <v>14720</v>
      </c>
      <c r="F119" s="136" t="s">
        <v>825</v>
      </c>
      <c r="G119" s="136"/>
    </row>
    <row r="120" spans="1:7" x14ac:dyDescent="0.25">
      <c r="A120" s="152" t="s">
        <v>820</v>
      </c>
      <c r="B120" s="136" t="s">
        <v>344</v>
      </c>
      <c r="C120" s="136">
        <v>164</v>
      </c>
      <c r="D120" s="136"/>
      <c r="E120" s="136">
        <f t="shared" si="1"/>
        <v>14884</v>
      </c>
      <c r="F120" s="136"/>
      <c r="G120" s="136"/>
    </row>
    <row r="121" spans="1:7" x14ac:dyDescent="0.25">
      <c r="A121" s="152" t="s">
        <v>827</v>
      </c>
      <c r="B121" s="136" t="s">
        <v>831</v>
      </c>
      <c r="C121" s="136"/>
      <c r="D121" s="136">
        <v>34</v>
      </c>
      <c r="E121" s="136">
        <f t="shared" si="1"/>
        <v>14850</v>
      </c>
      <c r="F121" s="136" t="s">
        <v>17</v>
      </c>
      <c r="G121" s="136"/>
    </row>
    <row r="122" spans="1:7" x14ac:dyDescent="0.25">
      <c r="A122" s="138" t="s">
        <v>827</v>
      </c>
      <c r="B122" s="136" t="s">
        <v>382</v>
      </c>
      <c r="C122" s="136">
        <v>48</v>
      </c>
      <c r="D122" s="136"/>
      <c r="E122" s="136">
        <f t="shared" si="1"/>
        <v>14898</v>
      </c>
      <c r="F122" s="136"/>
      <c r="G122" s="136"/>
    </row>
    <row r="123" spans="1:7" x14ac:dyDescent="0.25">
      <c r="A123" s="138" t="s">
        <v>827</v>
      </c>
      <c r="B123" s="136" t="s">
        <v>344</v>
      </c>
      <c r="C123" s="136">
        <v>166</v>
      </c>
      <c r="D123" s="136"/>
      <c r="E123" s="136">
        <f t="shared" si="1"/>
        <v>15064</v>
      </c>
      <c r="F123" s="136"/>
      <c r="G123" s="136"/>
    </row>
    <row r="124" spans="1:7" x14ac:dyDescent="0.25">
      <c r="A124" s="138" t="s">
        <v>827</v>
      </c>
      <c r="B124" s="136" t="s">
        <v>344</v>
      </c>
      <c r="C124" s="136">
        <v>161</v>
      </c>
      <c r="D124" s="136"/>
      <c r="E124" s="136">
        <f t="shared" si="1"/>
        <v>15225</v>
      </c>
      <c r="F124" s="136"/>
      <c r="G124" s="136"/>
    </row>
    <row r="125" spans="1:7" x14ac:dyDescent="0.25">
      <c r="A125" s="138" t="s">
        <v>832</v>
      </c>
      <c r="B125" s="136" t="s">
        <v>816</v>
      </c>
      <c r="C125" s="136"/>
      <c r="D125" s="163">
        <v>100</v>
      </c>
      <c r="E125" s="136">
        <f t="shared" si="1"/>
        <v>15125</v>
      </c>
      <c r="F125" s="163" t="s">
        <v>834</v>
      </c>
      <c r="G125" s="136"/>
    </row>
    <row r="126" spans="1:7" x14ac:dyDescent="0.25">
      <c r="A126" s="152" t="s">
        <v>835</v>
      </c>
      <c r="B126" s="136" t="s">
        <v>831</v>
      </c>
      <c r="C126" s="136"/>
      <c r="D126" s="136">
        <v>70</v>
      </c>
      <c r="E126" s="136">
        <f t="shared" si="1"/>
        <v>15055</v>
      </c>
      <c r="F126" s="136" t="s">
        <v>17</v>
      </c>
      <c r="G126" s="136"/>
    </row>
    <row r="127" spans="1:7" x14ac:dyDescent="0.25">
      <c r="A127" s="138" t="s">
        <v>835</v>
      </c>
      <c r="B127" s="136" t="s">
        <v>783</v>
      </c>
      <c r="C127" s="136"/>
      <c r="D127" s="136">
        <v>95</v>
      </c>
      <c r="E127" s="136">
        <f t="shared" si="1"/>
        <v>14960</v>
      </c>
      <c r="F127" s="136" t="s">
        <v>837</v>
      </c>
      <c r="G127" s="136"/>
    </row>
    <row r="128" spans="1:7" x14ac:dyDescent="0.25">
      <c r="A128" s="138" t="s">
        <v>835</v>
      </c>
      <c r="B128" s="136" t="s">
        <v>454</v>
      </c>
      <c r="C128" s="136"/>
      <c r="D128" s="136">
        <v>60</v>
      </c>
      <c r="E128" s="136">
        <f t="shared" si="1"/>
        <v>14900</v>
      </c>
      <c r="F128" s="136" t="s">
        <v>838</v>
      </c>
      <c r="G128" s="136"/>
    </row>
    <row r="129" spans="1:7" x14ac:dyDescent="0.25">
      <c r="A129" s="138" t="s">
        <v>835</v>
      </c>
      <c r="B129" s="136" t="s">
        <v>344</v>
      </c>
      <c r="C129" s="136">
        <v>177</v>
      </c>
      <c r="D129" s="136"/>
      <c r="E129" s="136">
        <f t="shared" si="1"/>
        <v>15077</v>
      </c>
      <c r="F129" s="136"/>
      <c r="G129" s="136"/>
    </row>
    <row r="130" spans="1:7" x14ac:dyDescent="0.25">
      <c r="A130" s="152" t="s">
        <v>839</v>
      </c>
      <c r="B130" s="136" t="s">
        <v>840</v>
      </c>
      <c r="C130" s="136"/>
      <c r="D130" s="136">
        <v>45</v>
      </c>
      <c r="E130" s="136">
        <f t="shared" si="1"/>
        <v>15032</v>
      </c>
      <c r="F130" s="136" t="s">
        <v>17</v>
      </c>
      <c r="G130" s="136"/>
    </row>
    <row r="131" spans="1:7" x14ac:dyDescent="0.25">
      <c r="A131" s="152" t="s">
        <v>839</v>
      </c>
      <c r="B131" s="136" t="s">
        <v>344</v>
      </c>
      <c r="C131" s="136">
        <v>157</v>
      </c>
      <c r="D131" s="136"/>
      <c r="E131" s="136">
        <f t="shared" si="1"/>
        <v>15189</v>
      </c>
      <c r="F131" s="136"/>
      <c r="G131" s="136"/>
    </row>
    <row r="132" spans="1:7" x14ac:dyDescent="0.25">
      <c r="A132" s="152" t="s">
        <v>839</v>
      </c>
      <c r="B132" s="136" t="s">
        <v>844</v>
      </c>
      <c r="C132" s="136">
        <v>4</v>
      </c>
      <c r="D132" s="136"/>
      <c r="E132" s="136">
        <f t="shared" si="1"/>
        <v>15193</v>
      </c>
      <c r="F132" s="136"/>
      <c r="G132" s="136"/>
    </row>
    <row r="133" spans="1:7" x14ac:dyDescent="0.25">
      <c r="A133" s="138" t="s">
        <v>848</v>
      </c>
      <c r="B133" s="136" t="s">
        <v>831</v>
      </c>
      <c r="C133" s="136"/>
      <c r="D133" s="136">
        <v>200</v>
      </c>
      <c r="E133" s="136">
        <f t="shared" si="1"/>
        <v>14993</v>
      </c>
      <c r="F133" s="136" t="s">
        <v>17</v>
      </c>
      <c r="G133" s="136"/>
    </row>
    <row r="134" spans="1:7" x14ac:dyDescent="0.25">
      <c r="A134" s="138" t="s">
        <v>848</v>
      </c>
      <c r="B134" s="136" t="s">
        <v>849</v>
      </c>
      <c r="C134" s="136"/>
      <c r="D134" s="136">
        <v>20</v>
      </c>
      <c r="E134" s="136">
        <f t="shared" si="1"/>
        <v>14973</v>
      </c>
      <c r="F134" s="136" t="s">
        <v>17</v>
      </c>
      <c r="G134" s="136"/>
    </row>
    <row r="135" spans="1:7" x14ac:dyDescent="0.25">
      <c r="A135" s="138" t="s">
        <v>848</v>
      </c>
      <c r="B135" s="136" t="s">
        <v>849</v>
      </c>
      <c r="C135" s="136"/>
      <c r="D135" s="136">
        <v>20</v>
      </c>
      <c r="E135" s="136">
        <f t="shared" si="1"/>
        <v>14953</v>
      </c>
      <c r="F135" s="136" t="s">
        <v>17</v>
      </c>
      <c r="G135" s="136"/>
    </row>
    <row r="136" spans="1:7" x14ac:dyDescent="0.25">
      <c r="A136" s="138" t="s">
        <v>848</v>
      </c>
      <c r="B136" s="136" t="s">
        <v>344</v>
      </c>
      <c r="C136" s="136">
        <v>148</v>
      </c>
      <c r="D136" s="136"/>
      <c r="E136" s="136">
        <f t="shared" si="1"/>
        <v>15101</v>
      </c>
      <c r="F136" s="136"/>
      <c r="G136" s="136"/>
    </row>
    <row r="137" spans="1:7" x14ac:dyDescent="0.25">
      <c r="A137" s="138" t="s">
        <v>847</v>
      </c>
      <c r="B137" s="136" t="s">
        <v>783</v>
      </c>
      <c r="C137" s="136"/>
      <c r="D137" s="136">
        <v>184</v>
      </c>
      <c r="E137" s="136">
        <f t="shared" si="1"/>
        <v>14917</v>
      </c>
      <c r="F137" s="136" t="s">
        <v>850</v>
      </c>
      <c r="G137" s="136"/>
    </row>
    <row r="138" spans="1:7" x14ac:dyDescent="0.25">
      <c r="A138" s="138" t="s">
        <v>847</v>
      </c>
      <c r="B138" s="136" t="s">
        <v>783</v>
      </c>
      <c r="C138" s="136"/>
      <c r="D138" s="136">
        <v>84</v>
      </c>
      <c r="E138" s="136">
        <f t="shared" ref="E138:E159" si="2">E137+C138-D138</f>
        <v>14833</v>
      </c>
      <c r="F138" s="136" t="s">
        <v>851</v>
      </c>
      <c r="G138" s="136"/>
    </row>
    <row r="139" spans="1:7" x14ac:dyDescent="0.25">
      <c r="A139" s="138" t="s">
        <v>847</v>
      </c>
      <c r="B139" s="136" t="s">
        <v>344</v>
      </c>
      <c r="C139" s="136">
        <v>125</v>
      </c>
      <c r="D139" s="136"/>
      <c r="E139" s="136">
        <f t="shared" si="2"/>
        <v>14958</v>
      </c>
      <c r="F139" s="136"/>
      <c r="G139" s="136"/>
    </row>
    <row r="140" spans="1:7" x14ac:dyDescent="0.25">
      <c r="A140" s="138" t="s">
        <v>856</v>
      </c>
      <c r="B140" s="136" t="s">
        <v>857</v>
      </c>
      <c r="C140" s="136"/>
      <c r="D140" s="136">
        <v>40</v>
      </c>
      <c r="E140" s="136">
        <f t="shared" si="2"/>
        <v>14918</v>
      </c>
      <c r="F140" s="163" t="s">
        <v>17</v>
      </c>
      <c r="G140" s="136"/>
    </row>
    <row r="141" spans="1:7" x14ac:dyDescent="0.25">
      <c r="A141" s="152" t="s">
        <v>856</v>
      </c>
      <c r="B141" s="136" t="s">
        <v>783</v>
      </c>
      <c r="C141" s="136"/>
      <c r="D141" s="136">
        <v>32</v>
      </c>
      <c r="E141" s="136">
        <f t="shared" si="2"/>
        <v>14886</v>
      </c>
      <c r="F141" s="163" t="s">
        <v>863</v>
      </c>
      <c r="G141" s="136"/>
    </row>
    <row r="142" spans="1:7" x14ac:dyDescent="0.25">
      <c r="A142" s="152" t="s">
        <v>856</v>
      </c>
      <c r="B142" s="136" t="s">
        <v>721</v>
      </c>
      <c r="C142" s="163">
        <v>99</v>
      </c>
      <c r="D142" s="136"/>
      <c r="E142" s="136">
        <f t="shared" si="2"/>
        <v>14985</v>
      </c>
      <c r="G142" s="136"/>
    </row>
    <row r="143" spans="1:7" x14ac:dyDescent="0.25">
      <c r="A143" s="138" t="s">
        <v>856</v>
      </c>
      <c r="B143" s="136" t="s">
        <v>344</v>
      </c>
      <c r="C143" s="163">
        <v>163</v>
      </c>
      <c r="D143" s="136"/>
      <c r="E143" s="136">
        <f t="shared" si="2"/>
        <v>15148</v>
      </c>
      <c r="F143" s="136"/>
      <c r="G143" s="136"/>
    </row>
    <row r="144" spans="1:7" x14ac:dyDescent="0.25">
      <c r="A144" s="138" t="s">
        <v>869</v>
      </c>
      <c r="B144" s="136" t="s">
        <v>344</v>
      </c>
      <c r="C144" s="136">
        <v>132</v>
      </c>
      <c r="D144" s="136"/>
      <c r="E144" s="136">
        <f t="shared" si="2"/>
        <v>15280</v>
      </c>
      <c r="F144" s="136"/>
      <c r="G144" s="136"/>
    </row>
    <row r="145" spans="1:7" x14ac:dyDescent="0.25">
      <c r="A145" s="138" t="s">
        <v>873</v>
      </c>
      <c r="B145" s="136" t="s">
        <v>783</v>
      </c>
      <c r="C145" s="136"/>
      <c r="D145" s="136">
        <v>69</v>
      </c>
      <c r="E145" s="136">
        <f t="shared" si="2"/>
        <v>15211</v>
      </c>
      <c r="F145" s="136" t="s">
        <v>876</v>
      </c>
      <c r="G145" s="136"/>
    </row>
    <row r="146" spans="1:7" x14ac:dyDescent="0.25">
      <c r="A146" s="138" t="s">
        <v>873</v>
      </c>
      <c r="B146" s="136" t="s">
        <v>344</v>
      </c>
      <c r="C146" s="136">
        <v>168</v>
      </c>
      <c r="D146" s="136"/>
      <c r="E146" s="136">
        <f t="shared" si="2"/>
        <v>15379</v>
      </c>
      <c r="F146" s="136"/>
      <c r="G146" s="136"/>
    </row>
    <row r="147" spans="1:7" x14ac:dyDescent="0.25">
      <c r="A147" s="138" t="s">
        <v>877</v>
      </c>
      <c r="B147" s="136" t="s">
        <v>816</v>
      </c>
      <c r="C147" s="136"/>
      <c r="D147" s="136">
        <v>69</v>
      </c>
      <c r="E147" s="136">
        <f t="shared" si="2"/>
        <v>15310</v>
      </c>
      <c r="F147" s="136" t="s">
        <v>878</v>
      </c>
      <c r="G147" s="136"/>
    </row>
    <row r="148" spans="1:7" x14ac:dyDescent="0.25">
      <c r="A148" s="138" t="s">
        <v>880</v>
      </c>
      <c r="B148" s="136" t="s">
        <v>816</v>
      </c>
      <c r="C148" s="136"/>
      <c r="D148" s="136">
        <v>22</v>
      </c>
      <c r="E148" s="136">
        <f t="shared" si="2"/>
        <v>15288</v>
      </c>
      <c r="F148" s="136" t="s">
        <v>882</v>
      </c>
      <c r="G148" s="136"/>
    </row>
    <row r="149" spans="1:7" x14ac:dyDescent="0.25">
      <c r="A149" s="138" t="s">
        <v>880</v>
      </c>
      <c r="B149" s="136" t="s">
        <v>344</v>
      </c>
      <c r="C149" s="136">
        <v>172</v>
      </c>
      <c r="D149" s="136"/>
      <c r="E149" s="136">
        <f t="shared" si="2"/>
        <v>15460</v>
      </c>
      <c r="F149" s="136"/>
      <c r="G149" s="136"/>
    </row>
    <row r="150" spans="1:7" x14ac:dyDescent="0.25">
      <c r="A150" s="138" t="s">
        <v>880</v>
      </c>
      <c r="B150" s="136" t="s">
        <v>344</v>
      </c>
      <c r="C150" s="136">
        <v>185</v>
      </c>
      <c r="D150" s="136"/>
      <c r="E150" s="136">
        <f t="shared" si="2"/>
        <v>15645</v>
      </c>
      <c r="F150" s="136"/>
      <c r="G150" s="136"/>
    </row>
    <row r="151" spans="1:7" x14ac:dyDescent="0.25">
      <c r="A151" s="138" t="s">
        <v>883</v>
      </c>
      <c r="B151" s="136" t="s">
        <v>344</v>
      </c>
      <c r="C151" s="136">
        <v>117</v>
      </c>
      <c r="D151" s="136"/>
      <c r="E151" s="136">
        <f t="shared" si="2"/>
        <v>15762</v>
      </c>
      <c r="F151" s="136"/>
      <c r="G151" s="136"/>
    </row>
    <row r="152" spans="1:7" x14ac:dyDescent="0.25">
      <c r="A152" s="138" t="s">
        <v>897</v>
      </c>
      <c r="B152" s="136" t="s">
        <v>632</v>
      </c>
      <c r="C152" s="136"/>
      <c r="D152" s="136">
        <v>46</v>
      </c>
      <c r="E152" s="136">
        <f t="shared" si="2"/>
        <v>15716</v>
      </c>
      <c r="F152" s="136" t="s">
        <v>896</v>
      </c>
      <c r="G152" s="136"/>
    </row>
    <row r="153" spans="1:7" x14ac:dyDescent="0.25">
      <c r="A153" s="138" t="s">
        <v>897</v>
      </c>
      <c r="B153" s="136" t="s">
        <v>344</v>
      </c>
      <c r="C153" s="136">
        <v>120</v>
      </c>
      <c r="D153" s="136"/>
      <c r="E153" s="136">
        <f t="shared" si="2"/>
        <v>15836</v>
      </c>
      <c r="F153" s="136"/>
      <c r="G153" s="136"/>
    </row>
    <row r="154" spans="1:7" x14ac:dyDescent="0.25">
      <c r="A154" s="152" t="s">
        <v>902</v>
      </c>
      <c r="B154" s="136" t="s">
        <v>454</v>
      </c>
      <c r="C154" s="136"/>
      <c r="D154" s="136">
        <v>20</v>
      </c>
      <c r="E154" s="136">
        <f t="shared" si="2"/>
        <v>15816</v>
      </c>
      <c r="F154" s="136" t="s">
        <v>903</v>
      </c>
      <c r="G154" s="136"/>
    </row>
    <row r="155" spans="1:7" x14ac:dyDescent="0.25">
      <c r="A155" s="152" t="s">
        <v>902</v>
      </c>
      <c r="B155" s="136" t="s">
        <v>783</v>
      </c>
      <c r="C155" s="136"/>
      <c r="D155" s="136">
        <v>200</v>
      </c>
      <c r="E155" s="136">
        <f t="shared" si="2"/>
        <v>15616</v>
      </c>
      <c r="F155" s="136" t="s">
        <v>906</v>
      </c>
      <c r="G155" s="136"/>
    </row>
    <row r="156" spans="1:7" x14ac:dyDescent="0.25">
      <c r="A156" s="152" t="s">
        <v>902</v>
      </c>
      <c r="B156" s="136" t="s">
        <v>344</v>
      </c>
      <c r="C156" s="136">
        <v>132</v>
      </c>
      <c r="D156" s="136"/>
      <c r="E156" s="136">
        <f t="shared" si="2"/>
        <v>15748</v>
      </c>
      <c r="F156" s="136"/>
      <c r="G156" s="136"/>
    </row>
    <row r="157" spans="1:7" x14ac:dyDescent="0.25">
      <c r="A157" s="152" t="s">
        <v>911</v>
      </c>
      <c r="B157" s="136" t="s">
        <v>344</v>
      </c>
      <c r="C157" s="136">
        <v>117</v>
      </c>
      <c r="D157" s="136"/>
      <c r="E157" s="136">
        <f t="shared" si="2"/>
        <v>15865</v>
      </c>
      <c r="F157" s="136"/>
      <c r="G157" s="136"/>
    </row>
    <row r="158" spans="1:7" x14ac:dyDescent="0.25">
      <c r="A158" s="152" t="s">
        <v>914</v>
      </c>
      <c r="B158" s="136" t="s">
        <v>915</v>
      </c>
      <c r="C158" s="136"/>
      <c r="D158" s="136">
        <v>130</v>
      </c>
      <c r="E158" s="136">
        <f t="shared" si="2"/>
        <v>15735</v>
      </c>
      <c r="F158" s="136" t="s">
        <v>916</v>
      </c>
      <c r="G158" s="136"/>
    </row>
    <row r="159" spans="1:7" x14ac:dyDescent="0.25">
      <c r="A159" s="152" t="s">
        <v>914</v>
      </c>
      <c r="B159" s="136" t="s">
        <v>783</v>
      </c>
      <c r="C159" s="136"/>
      <c r="D159" s="136">
        <v>130</v>
      </c>
      <c r="E159" s="136">
        <f t="shared" si="2"/>
        <v>15605</v>
      </c>
      <c r="F159" s="136" t="s">
        <v>917</v>
      </c>
      <c r="G159" s="136"/>
    </row>
    <row r="160" spans="1:7" x14ac:dyDescent="0.25">
      <c r="A160" s="144"/>
      <c r="B160" s="136"/>
      <c r="C160" s="136"/>
      <c r="D160" s="136"/>
      <c r="E160" s="136"/>
      <c r="F160" s="136"/>
      <c r="G160" s="136"/>
    </row>
    <row r="161" spans="1:7" x14ac:dyDescent="0.25">
      <c r="A161" s="144"/>
      <c r="B161" s="136"/>
      <c r="C161" s="136"/>
      <c r="D161" s="136"/>
      <c r="E161" s="136"/>
      <c r="F161" s="136"/>
      <c r="G161" s="136"/>
    </row>
    <row r="162" spans="1:7" x14ac:dyDescent="0.25">
      <c r="A162" s="144"/>
      <c r="B162" s="136"/>
      <c r="C162" s="136"/>
      <c r="D162" s="136"/>
      <c r="E162" s="136"/>
      <c r="F162" s="136"/>
      <c r="G162" s="136"/>
    </row>
    <row r="163" spans="1:7" x14ac:dyDescent="0.25">
      <c r="A163" s="144"/>
      <c r="B163" s="136"/>
      <c r="C163" s="136"/>
      <c r="D163" s="136"/>
      <c r="E163" s="136"/>
      <c r="F163" s="136"/>
      <c r="G163" s="136"/>
    </row>
    <row r="164" spans="1:7" x14ac:dyDescent="0.25">
      <c r="A164" s="144"/>
      <c r="B164" s="136"/>
      <c r="C164" s="136"/>
      <c r="D164" s="136"/>
      <c r="E164" s="136"/>
      <c r="F164" s="136"/>
      <c r="G164" s="136"/>
    </row>
    <row r="165" spans="1:7" x14ac:dyDescent="0.25">
      <c r="A165" s="144"/>
      <c r="B165" s="136"/>
      <c r="C165" s="136"/>
      <c r="D165" s="136"/>
      <c r="E165" s="136"/>
      <c r="F165" s="136"/>
      <c r="G165" s="136"/>
    </row>
    <row r="166" spans="1:7" x14ac:dyDescent="0.25">
      <c r="A166" s="144"/>
      <c r="B166" s="136"/>
      <c r="C166" s="136"/>
      <c r="D166" s="136"/>
      <c r="E166" s="136"/>
      <c r="F166" s="136"/>
      <c r="G166" s="136"/>
    </row>
    <row r="167" spans="1:7" x14ac:dyDescent="0.25">
      <c r="A167" s="144"/>
      <c r="B167" s="136"/>
      <c r="C167" s="136"/>
      <c r="D167" s="136"/>
      <c r="E167" s="136"/>
      <c r="F167" s="136"/>
      <c r="G167" s="136"/>
    </row>
    <row r="168" spans="1:7" x14ac:dyDescent="0.25">
      <c r="A168" s="144"/>
      <c r="B168" s="136"/>
      <c r="C168" s="136"/>
      <c r="D168" s="136"/>
      <c r="E168" s="136"/>
      <c r="F168" s="136"/>
      <c r="G168" s="136"/>
    </row>
    <row r="169" spans="1:7" x14ac:dyDescent="0.25">
      <c r="A169" s="144"/>
      <c r="B169" s="136"/>
      <c r="C169" s="136"/>
      <c r="D169" s="136"/>
      <c r="E169" s="136"/>
      <c r="F169" s="136"/>
      <c r="G169" s="136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7"/>
  <sheetViews>
    <sheetView zoomScaleNormal="100" workbookViewId="0">
      <pane ySplit="1515" topLeftCell="A180" activePane="bottomLeft"/>
      <selection sqref="A1:G1048576"/>
      <selection pane="bottomLeft" activeCell="E182" sqref="E182:E184"/>
    </sheetView>
  </sheetViews>
  <sheetFormatPr defaultRowHeight="15" x14ac:dyDescent="0.25"/>
  <cols>
    <col min="1" max="1" width="12.28515625" style="129" customWidth="1"/>
    <col min="2" max="2" width="37.42578125" style="129" customWidth="1"/>
    <col min="3" max="3" width="9.140625" style="129"/>
    <col min="4" max="4" width="10" style="129" customWidth="1"/>
    <col min="5" max="5" width="9.140625" style="129"/>
    <col min="6" max="6" width="15.28515625" style="129" customWidth="1"/>
    <col min="7" max="7" width="23.85546875" style="129" customWidth="1"/>
    <col min="8" max="8" width="9.140625" style="29"/>
  </cols>
  <sheetData>
    <row r="2" spans="1:7" ht="15.75" x14ac:dyDescent="0.25">
      <c r="A2" s="126" t="s">
        <v>9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53" t="s">
        <v>2</v>
      </c>
      <c r="B4" s="154" t="s">
        <v>3</v>
      </c>
      <c r="C4" s="154" t="s">
        <v>4</v>
      </c>
      <c r="D4" s="154" t="s">
        <v>5</v>
      </c>
      <c r="E4" s="154" t="s">
        <v>6</v>
      </c>
      <c r="F4" s="155" t="s">
        <v>7</v>
      </c>
      <c r="G4" s="156" t="s">
        <v>8</v>
      </c>
    </row>
    <row r="5" spans="1:7" x14ac:dyDescent="0.25">
      <c r="A5" s="136"/>
      <c r="B5" s="137" t="s">
        <v>243</v>
      </c>
      <c r="C5" s="137"/>
      <c r="D5" s="137"/>
      <c r="E5" s="137"/>
      <c r="F5" s="137">
        <v>21407</v>
      </c>
      <c r="G5" s="136"/>
    </row>
    <row r="6" spans="1:7" x14ac:dyDescent="0.25">
      <c r="A6" s="136"/>
      <c r="B6" s="136"/>
      <c r="C6" s="136"/>
      <c r="D6" s="136"/>
      <c r="E6" s="136">
        <v>21407</v>
      </c>
      <c r="F6" s="136"/>
      <c r="G6" s="136"/>
    </row>
    <row r="7" spans="1:7" x14ac:dyDescent="0.25">
      <c r="A7" s="152" t="s">
        <v>256</v>
      </c>
      <c r="B7" s="136" t="s">
        <v>257</v>
      </c>
      <c r="C7" s="136"/>
      <c r="D7" s="136">
        <v>300</v>
      </c>
      <c r="E7" s="136">
        <f t="shared" ref="E7:E38" si="0">E6+C7-D7</f>
        <v>21107</v>
      </c>
      <c r="F7" s="136" t="s">
        <v>258</v>
      </c>
      <c r="G7" s="136"/>
    </row>
    <row r="8" spans="1:7" x14ac:dyDescent="0.25">
      <c r="A8" s="152" t="s">
        <v>256</v>
      </c>
      <c r="B8" s="136" t="s">
        <v>257</v>
      </c>
      <c r="C8" s="136"/>
      <c r="D8" s="136">
        <v>85</v>
      </c>
      <c r="E8" s="136">
        <f t="shared" si="0"/>
        <v>21022</v>
      </c>
      <c r="F8" s="136" t="s">
        <v>259</v>
      </c>
      <c r="G8" s="136"/>
    </row>
    <row r="9" spans="1:7" x14ac:dyDescent="0.25">
      <c r="A9" s="152" t="s">
        <v>256</v>
      </c>
      <c r="B9" s="136" t="s">
        <v>261</v>
      </c>
      <c r="C9" s="136"/>
      <c r="D9" s="136">
        <v>20</v>
      </c>
      <c r="E9" s="136">
        <f t="shared" si="0"/>
        <v>21002</v>
      </c>
      <c r="F9" s="136" t="s">
        <v>260</v>
      </c>
      <c r="G9" s="136"/>
    </row>
    <row r="10" spans="1:7" x14ac:dyDescent="0.25">
      <c r="A10" s="152" t="s">
        <v>256</v>
      </c>
      <c r="B10" s="136" t="s">
        <v>264</v>
      </c>
      <c r="C10" s="136">
        <v>85</v>
      </c>
      <c r="D10" s="136"/>
      <c r="E10" s="136">
        <f t="shared" si="0"/>
        <v>21087</v>
      </c>
      <c r="F10" s="136"/>
      <c r="G10" s="136"/>
    </row>
    <row r="11" spans="1:7" x14ac:dyDescent="0.25">
      <c r="A11" s="152" t="s">
        <v>256</v>
      </c>
      <c r="B11" s="136" t="s">
        <v>266</v>
      </c>
      <c r="C11" s="136">
        <v>21</v>
      </c>
      <c r="D11" s="136"/>
      <c r="E11" s="136">
        <f t="shared" si="0"/>
        <v>21108</v>
      </c>
      <c r="F11" s="136"/>
      <c r="G11" s="136"/>
    </row>
    <row r="12" spans="1:7" x14ac:dyDescent="0.25">
      <c r="A12" s="152" t="s">
        <v>267</v>
      </c>
      <c r="B12" s="136" t="s">
        <v>268</v>
      </c>
      <c r="C12" s="136"/>
      <c r="D12" s="136">
        <v>35</v>
      </c>
      <c r="E12" s="136">
        <f t="shared" si="0"/>
        <v>21073</v>
      </c>
      <c r="F12" s="136" t="s">
        <v>269</v>
      </c>
      <c r="G12" s="136"/>
    </row>
    <row r="13" spans="1:7" x14ac:dyDescent="0.25">
      <c r="A13" s="152" t="s">
        <v>267</v>
      </c>
      <c r="B13" s="136" t="s">
        <v>275</v>
      </c>
      <c r="C13" s="136"/>
      <c r="D13" s="136">
        <v>60</v>
      </c>
      <c r="E13" s="136">
        <f t="shared" si="0"/>
        <v>21013</v>
      </c>
      <c r="F13" s="136" t="s">
        <v>276</v>
      </c>
      <c r="G13" s="136"/>
    </row>
    <row r="14" spans="1:7" x14ac:dyDescent="0.25">
      <c r="A14" s="152" t="s">
        <v>267</v>
      </c>
      <c r="B14" s="136" t="s">
        <v>257</v>
      </c>
      <c r="C14" s="136"/>
      <c r="D14" s="136">
        <v>140</v>
      </c>
      <c r="E14" s="136">
        <f t="shared" si="0"/>
        <v>20873</v>
      </c>
      <c r="F14" s="136" t="s">
        <v>279</v>
      </c>
      <c r="G14" s="136"/>
    </row>
    <row r="15" spans="1:7" x14ac:dyDescent="0.25">
      <c r="A15" s="152" t="s">
        <v>267</v>
      </c>
      <c r="B15" s="136" t="s">
        <v>283</v>
      </c>
      <c r="C15" s="136"/>
      <c r="D15" s="136">
        <v>200</v>
      </c>
      <c r="E15" s="136">
        <f t="shared" si="0"/>
        <v>20673</v>
      </c>
      <c r="F15" s="136" t="s">
        <v>284</v>
      </c>
      <c r="G15" s="136"/>
    </row>
    <row r="16" spans="1:7" x14ac:dyDescent="0.25">
      <c r="A16" s="152" t="s">
        <v>285</v>
      </c>
      <c r="B16" s="136" t="s">
        <v>273</v>
      </c>
      <c r="C16" s="136"/>
      <c r="D16" s="136">
        <v>30</v>
      </c>
      <c r="E16" s="136">
        <f t="shared" si="0"/>
        <v>20643</v>
      </c>
      <c r="F16" s="136" t="s">
        <v>288</v>
      </c>
      <c r="G16" s="136"/>
    </row>
    <row r="17" spans="1:7" x14ac:dyDescent="0.25">
      <c r="A17" s="152" t="s">
        <v>285</v>
      </c>
      <c r="B17" s="136" t="s">
        <v>257</v>
      </c>
      <c r="C17" s="136"/>
      <c r="D17" s="136">
        <v>350</v>
      </c>
      <c r="E17" s="136">
        <f t="shared" si="0"/>
        <v>20293</v>
      </c>
      <c r="F17" s="136" t="s">
        <v>291</v>
      </c>
      <c r="G17" s="136"/>
    </row>
    <row r="18" spans="1:7" x14ac:dyDescent="0.25">
      <c r="A18" s="152" t="s">
        <v>285</v>
      </c>
      <c r="B18" s="136" t="s">
        <v>257</v>
      </c>
      <c r="C18" s="136"/>
      <c r="D18" s="136">
        <v>260</v>
      </c>
      <c r="E18" s="136">
        <f t="shared" si="0"/>
        <v>20033</v>
      </c>
      <c r="F18" s="136" t="s">
        <v>292</v>
      </c>
      <c r="G18" s="136"/>
    </row>
    <row r="19" spans="1:7" x14ac:dyDescent="0.25">
      <c r="A19" s="152" t="s">
        <v>295</v>
      </c>
      <c r="B19" s="136" t="s">
        <v>297</v>
      </c>
      <c r="C19" s="136"/>
      <c r="D19" s="136">
        <v>58</v>
      </c>
      <c r="E19" s="136">
        <f t="shared" si="0"/>
        <v>19975</v>
      </c>
      <c r="F19" s="136" t="s">
        <v>296</v>
      </c>
      <c r="G19" s="136"/>
    </row>
    <row r="20" spans="1:7" x14ac:dyDescent="0.25">
      <c r="A20" s="152" t="s">
        <v>307</v>
      </c>
      <c r="B20" s="136" t="s">
        <v>257</v>
      </c>
      <c r="C20" s="136"/>
      <c r="D20" s="136">
        <v>160</v>
      </c>
      <c r="E20" s="136">
        <f t="shared" si="0"/>
        <v>19815</v>
      </c>
      <c r="F20" s="136" t="s">
        <v>308</v>
      </c>
      <c r="G20" s="136"/>
    </row>
    <row r="21" spans="1:7" x14ac:dyDescent="0.25">
      <c r="A21" s="152" t="s">
        <v>307</v>
      </c>
      <c r="B21" s="136" t="s">
        <v>264</v>
      </c>
      <c r="C21" s="136">
        <v>85</v>
      </c>
      <c r="D21" s="136"/>
      <c r="E21" s="136">
        <f t="shared" si="0"/>
        <v>19900</v>
      </c>
      <c r="F21" s="136"/>
      <c r="G21" s="136"/>
    </row>
    <row r="22" spans="1:7" x14ac:dyDescent="0.25">
      <c r="A22" s="181" t="s">
        <v>307</v>
      </c>
      <c r="B22" s="163" t="s">
        <v>257</v>
      </c>
      <c r="C22" s="163"/>
      <c r="D22" s="163">
        <v>85</v>
      </c>
      <c r="E22" s="136">
        <f t="shared" si="0"/>
        <v>19815</v>
      </c>
      <c r="F22" s="136" t="s">
        <v>335</v>
      </c>
      <c r="G22" s="136"/>
    </row>
    <row r="23" spans="1:7" x14ac:dyDescent="0.25">
      <c r="A23" s="238" t="s">
        <v>322</v>
      </c>
      <c r="B23" s="136" t="s">
        <v>323</v>
      </c>
      <c r="C23" s="136"/>
      <c r="D23" s="136">
        <v>38</v>
      </c>
      <c r="E23" s="136">
        <f t="shared" si="0"/>
        <v>19777</v>
      </c>
      <c r="F23" s="136" t="s">
        <v>325</v>
      </c>
      <c r="G23" s="136"/>
    </row>
    <row r="24" spans="1:7" x14ac:dyDescent="0.25">
      <c r="A24" s="238" t="s">
        <v>322</v>
      </c>
      <c r="B24" s="136" t="s">
        <v>328</v>
      </c>
      <c r="C24" s="136"/>
      <c r="D24" s="136">
        <v>100</v>
      </c>
      <c r="E24" s="136">
        <f t="shared" si="0"/>
        <v>19677</v>
      </c>
      <c r="F24" s="136" t="s">
        <v>329</v>
      </c>
      <c r="G24" s="136"/>
    </row>
    <row r="25" spans="1:7" x14ac:dyDescent="0.25">
      <c r="A25" s="152" t="s">
        <v>366</v>
      </c>
      <c r="B25" s="136" t="s">
        <v>273</v>
      </c>
      <c r="C25" s="136"/>
      <c r="D25" s="136">
        <v>50</v>
      </c>
      <c r="E25" s="136">
        <f t="shared" si="0"/>
        <v>19627</v>
      </c>
      <c r="F25" s="136" t="s">
        <v>367</v>
      </c>
      <c r="G25" s="136"/>
    </row>
    <row r="26" spans="1:7" x14ac:dyDescent="0.25">
      <c r="A26" s="152" t="s">
        <v>366</v>
      </c>
      <c r="B26" s="136" t="s">
        <v>370</v>
      </c>
      <c r="C26" s="136">
        <v>6</v>
      </c>
      <c r="D26" s="136"/>
      <c r="E26" s="136">
        <f t="shared" si="0"/>
        <v>19633</v>
      </c>
      <c r="F26" s="136"/>
      <c r="G26" s="136"/>
    </row>
    <row r="27" spans="1:7" x14ac:dyDescent="0.25">
      <c r="A27" s="152" t="s">
        <v>371</v>
      </c>
      <c r="B27" s="136" t="s">
        <v>374</v>
      </c>
      <c r="C27" s="136"/>
      <c r="D27" s="136">
        <v>85</v>
      </c>
      <c r="E27" s="136">
        <f t="shared" si="0"/>
        <v>19548</v>
      </c>
      <c r="F27" s="136" t="s">
        <v>375</v>
      </c>
      <c r="G27" s="136"/>
    </row>
    <row r="28" spans="1:7" x14ac:dyDescent="0.25">
      <c r="A28" s="152" t="s">
        <v>371</v>
      </c>
      <c r="B28" s="136" t="s">
        <v>381</v>
      </c>
      <c r="C28" s="136">
        <v>40</v>
      </c>
      <c r="D28" s="136"/>
      <c r="E28" s="136">
        <f t="shared" si="0"/>
        <v>19588</v>
      </c>
      <c r="F28" s="136"/>
      <c r="G28" s="136"/>
    </row>
    <row r="29" spans="1:7" x14ac:dyDescent="0.25">
      <c r="A29" s="152" t="s">
        <v>371</v>
      </c>
      <c r="B29" s="136" t="s">
        <v>264</v>
      </c>
      <c r="C29" s="136">
        <v>85</v>
      </c>
      <c r="D29" s="136"/>
      <c r="E29" s="136">
        <f t="shared" si="0"/>
        <v>19673</v>
      </c>
      <c r="F29" s="136"/>
      <c r="G29" s="136"/>
    </row>
    <row r="30" spans="1:7" x14ac:dyDescent="0.25">
      <c r="A30" s="152" t="s">
        <v>384</v>
      </c>
      <c r="B30" s="136" t="s">
        <v>388</v>
      </c>
      <c r="C30" s="136"/>
      <c r="D30" s="136">
        <v>65</v>
      </c>
      <c r="E30" s="136">
        <f t="shared" si="0"/>
        <v>19608</v>
      </c>
      <c r="F30" s="136" t="s">
        <v>389</v>
      </c>
      <c r="G30" s="136"/>
    </row>
    <row r="31" spans="1:7" x14ac:dyDescent="0.25">
      <c r="A31" s="152" t="s">
        <v>384</v>
      </c>
      <c r="B31" s="136" t="s">
        <v>390</v>
      </c>
      <c r="C31" s="136">
        <v>27</v>
      </c>
      <c r="D31" s="136"/>
      <c r="E31" s="136">
        <f t="shared" si="0"/>
        <v>19635</v>
      </c>
      <c r="F31" s="136"/>
      <c r="G31" s="136"/>
    </row>
    <row r="32" spans="1:7" x14ac:dyDescent="0.25">
      <c r="A32" s="152" t="s">
        <v>410</v>
      </c>
      <c r="B32" s="136" t="s">
        <v>264</v>
      </c>
      <c r="C32" s="136">
        <v>84</v>
      </c>
      <c r="D32" s="136"/>
      <c r="E32" s="136">
        <f t="shared" si="0"/>
        <v>19719</v>
      </c>
      <c r="F32" s="136"/>
      <c r="G32" s="136"/>
    </row>
    <row r="33" spans="1:7" x14ac:dyDescent="0.25">
      <c r="A33" s="152" t="s">
        <v>416</v>
      </c>
      <c r="B33" s="136" t="s">
        <v>417</v>
      </c>
      <c r="C33" s="136"/>
      <c r="D33" s="136">
        <v>100</v>
      </c>
      <c r="E33" s="136">
        <f t="shared" si="0"/>
        <v>19619</v>
      </c>
      <c r="F33" s="136" t="s">
        <v>418</v>
      </c>
      <c r="G33" s="136"/>
    </row>
    <row r="34" spans="1:7" x14ac:dyDescent="0.25">
      <c r="A34" s="152" t="s">
        <v>416</v>
      </c>
      <c r="B34" s="136" t="s">
        <v>417</v>
      </c>
      <c r="C34" s="136"/>
      <c r="D34" s="136">
        <v>100</v>
      </c>
      <c r="E34" s="136">
        <f t="shared" si="0"/>
        <v>19519</v>
      </c>
      <c r="F34" s="136" t="s">
        <v>419</v>
      </c>
      <c r="G34" s="136"/>
    </row>
    <row r="35" spans="1:7" x14ac:dyDescent="0.25">
      <c r="A35" s="152" t="s">
        <v>423</v>
      </c>
      <c r="B35" s="136" t="s">
        <v>424</v>
      </c>
      <c r="C35" s="136"/>
      <c r="D35" s="136">
        <v>250</v>
      </c>
      <c r="E35" s="136">
        <f t="shared" si="0"/>
        <v>19269</v>
      </c>
      <c r="F35" s="136" t="s">
        <v>425</v>
      </c>
      <c r="G35" s="136"/>
    </row>
    <row r="36" spans="1:7" x14ac:dyDescent="0.25">
      <c r="A36" s="152" t="s">
        <v>430</v>
      </c>
      <c r="B36" s="136" t="s">
        <v>264</v>
      </c>
      <c r="C36" s="136">
        <v>85</v>
      </c>
      <c r="D36" s="136"/>
      <c r="E36" s="136">
        <f t="shared" si="0"/>
        <v>19354</v>
      </c>
      <c r="F36" s="136"/>
      <c r="G36" s="136"/>
    </row>
    <row r="37" spans="1:7" x14ac:dyDescent="0.25">
      <c r="A37" s="152" t="s">
        <v>438</v>
      </c>
      <c r="B37" s="136" t="s">
        <v>439</v>
      </c>
      <c r="C37" s="136"/>
      <c r="D37" s="136">
        <v>50</v>
      </c>
      <c r="E37" s="136">
        <f t="shared" si="0"/>
        <v>19304</v>
      </c>
      <c r="F37" s="136" t="s">
        <v>440</v>
      </c>
      <c r="G37" s="136"/>
    </row>
    <row r="38" spans="1:7" x14ac:dyDescent="0.25">
      <c r="A38" s="152" t="s">
        <v>441</v>
      </c>
      <c r="B38" s="136" t="s">
        <v>447</v>
      </c>
      <c r="C38" s="136"/>
      <c r="D38" s="136">
        <v>69</v>
      </c>
      <c r="E38" s="136">
        <f t="shared" si="0"/>
        <v>19235</v>
      </c>
      <c r="F38" s="136" t="s">
        <v>446</v>
      </c>
      <c r="G38" s="136"/>
    </row>
    <row r="39" spans="1:7" x14ac:dyDescent="0.25">
      <c r="A39" s="152" t="s">
        <v>441</v>
      </c>
      <c r="B39" s="136" t="s">
        <v>450</v>
      </c>
      <c r="C39" s="136"/>
      <c r="D39" s="136">
        <v>80</v>
      </c>
      <c r="E39" s="136">
        <f t="shared" ref="E39:E55" si="1">E38+C39-D39</f>
        <v>19155</v>
      </c>
      <c r="F39" s="136" t="s">
        <v>451</v>
      </c>
      <c r="G39" s="136"/>
    </row>
    <row r="40" spans="1:7" x14ac:dyDescent="0.25">
      <c r="A40" s="152" t="s">
        <v>456</v>
      </c>
      <c r="B40" s="136" t="s">
        <v>457</v>
      </c>
      <c r="C40" s="136"/>
      <c r="D40" s="136">
        <v>31</v>
      </c>
      <c r="E40" s="136">
        <f t="shared" si="1"/>
        <v>19124</v>
      </c>
      <c r="F40" s="136" t="s">
        <v>458</v>
      </c>
      <c r="G40" s="136"/>
    </row>
    <row r="41" spans="1:7" x14ac:dyDescent="0.25">
      <c r="A41" s="152" t="s">
        <v>468</v>
      </c>
      <c r="B41" s="136" t="s">
        <v>374</v>
      </c>
      <c r="C41" s="136"/>
      <c r="D41" s="136">
        <v>85</v>
      </c>
      <c r="E41" s="136">
        <f t="shared" si="1"/>
        <v>19039</v>
      </c>
      <c r="F41" s="136" t="s">
        <v>469</v>
      </c>
      <c r="G41" s="136"/>
    </row>
    <row r="42" spans="1:7" x14ac:dyDescent="0.25">
      <c r="A42" s="152" t="s">
        <v>468</v>
      </c>
      <c r="B42" s="136" t="s">
        <v>221</v>
      </c>
      <c r="C42" s="136"/>
      <c r="D42" s="136">
        <v>90</v>
      </c>
      <c r="E42" s="136">
        <f t="shared" si="1"/>
        <v>18949</v>
      </c>
      <c r="F42" s="136" t="s">
        <v>471</v>
      </c>
      <c r="G42" s="136"/>
    </row>
    <row r="43" spans="1:7" x14ac:dyDescent="0.25">
      <c r="A43" s="152" t="s">
        <v>468</v>
      </c>
      <c r="B43" s="136" t="s">
        <v>472</v>
      </c>
      <c r="C43" s="136">
        <v>22</v>
      </c>
      <c r="D43" s="136"/>
      <c r="E43" s="136">
        <f t="shared" si="1"/>
        <v>18971</v>
      </c>
      <c r="F43" s="136"/>
      <c r="G43" s="136"/>
    </row>
    <row r="44" spans="1:7" x14ac:dyDescent="0.25">
      <c r="A44" s="238" t="s">
        <v>475</v>
      </c>
      <c r="B44" s="136" t="s">
        <v>374</v>
      </c>
      <c r="C44" s="136"/>
      <c r="D44" s="136">
        <v>67</v>
      </c>
      <c r="E44" s="136">
        <f t="shared" si="1"/>
        <v>18904</v>
      </c>
      <c r="F44" s="136" t="s">
        <v>474</v>
      </c>
      <c r="G44" s="136"/>
    </row>
    <row r="45" spans="1:7" x14ac:dyDescent="0.25">
      <c r="A45" s="238" t="s">
        <v>475</v>
      </c>
      <c r="B45" s="136" t="s">
        <v>283</v>
      </c>
      <c r="C45" s="136">
        <v>67</v>
      </c>
      <c r="D45" s="136"/>
      <c r="E45" s="136">
        <f t="shared" si="1"/>
        <v>18971</v>
      </c>
      <c r="F45" s="136"/>
      <c r="G45" s="136"/>
    </row>
    <row r="46" spans="1:7" x14ac:dyDescent="0.25">
      <c r="A46" s="238" t="s">
        <v>475</v>
      </c>
      <c r="B46" s="136" t="s">
        <v>283</v>
      </c>
      <c r="C46" s="136">
        <v>42</v>
      </c>
      <c r="D46" s="136"/>
      <c r="E46" s="136">
        <f t="shared" si="1"/>
        <v>19013</v>
      </c>
      <c r="F46" s="136"/>
      <c r="G46" s="136"/>
    </row>
    <row r="47" spans="1:7" x14ac:dyDescent="0.25">
      <c r="A47" s="152" t="s">
        <v>483</v>
      </c>
      <c r="B47" s="136" t="s">
        <v>484</v>
      </c>
      <c r="C47" s="136">
        <v>100</v>
      </c>
      <c r="D47" s="136"/>
      <c r="E47" s="136">
        <f t="shared" si="1"/>
        <v>19113</v>
      </c>
      <c r="F47" s="136"/>
      <c r="G47" s="136"/>
    </row>
    <row r="48" spans="1:7" x14ac:dyDescent="0.25">
      <c r="A48" s="152" t="s">
        <v>485</v>
      </c>
      <c r="B48" s="136" t="s">
        <v>283</v>
      </c>
      <c r="C48" s="136">
        <v>115</v>
      </c>
      <c r="D48" s="136"/>
      <c r="E48" s="136">
        <f t="shared" si="1"/>
        <v>19228</v>
      </c>
      <c r="F48" s="136"/>
      <c r="G48" s="136"/>
    </row>
    <row r="49" spans="1:7" s="129" customFormat="1" ht="14.25" x14ac:dyDescent="0.2">
      <c r="A49" s="238" t="s">
        <v>485</v>
      </c>
      <c r="B49" s="136" t="s">
        <v>182</v>
      </c>
      <c r="C49" s="136">
        <v>80</v>
      </c>
      <c r="D49" s="136"/>
      <c r="E49" s="136">
        <f t="shared" si="1"/>
        <v>19308</v>
      </c>
      <c r="F49" s="136"/>
      <c r="G49" s="136"/>
    </row>
    <row r="50" spans="1:7" x14ac:dyDescent="0.25">
      <c r="A50" s="152" t="s">
        <v>491</v>
      </c>
      <c r="B50" s="136" t="s">
        <v>221</v>
      </c>
      <c r="C50" s="136"/>
      <c r="D50" s="136">
        <v>100</v>
      </c>
      <c r="E50" s="136">
        <f t="shared" si="1"/>
        <v>19208</v>
      </c>
      <c r="F50" s="136" t="s">
        <v>492</v>
      </c>
      <c r="G50" s="136"/>
    </row>
    <row r="51" spans="1:7" x14ac:dyDescent="0.25">
      <c r="A51" s="152" t="s">
        <v>491</v>
      </c>
      <c r="B51" s="136" t="s">
        <v>257</v>
      </c>
      <c r="C51" s="136"/>
      <c r="D51" s="136">
        <v>120</v>
      </c>
      <c r="E51" s="136">
        <f t="shared" si="1"/>
        <v>19088</v>
      </c>
      <c r="F51" s="136" t="s">
        <v>493</v>
      </c>
      <c r="G51" s="136"/>
    </row>
    <row r="52" spans="1:7" x14ac:dyDescent="0.25">
      <c r="A52" s="152" t="s">
        <v>496</v>
      </c>
      <c r="B52" s="136" t="s">
        <v>221</v>
      </c>
      <c r="C52" s="136"/>
      <c r="D52" s="136">
        <v>136</v>
      </c>
      <c r="E52" s="136">
        <f t="shared" si="1"/>
        <v>18952</v>
      </c>
      <c r="F52" s="136" t="s">
        <v>497</v>
      </c>
      <c r="G52" s="136"/>
    </row>
    <row r="53" spans="1:7" x14ac:dyDescent="0.25">
      <c r="A53" s="152" t="s">
        <v>496</v>
      </c>
      <c r="B53" s="136" t="s">
        <v>257</v>
      </c>
      <c r="C53" s="136"/>
      <c r="D53" s="136">
        <v>500</v>
      </c>
      <c r="E53" s="136">
        <f t="shared" si="1"/>
        <v>18452</v>
      </c>
      <c r="F53" s="136" t="s">
        <v>498</v>
      </c>
      <c r="G53" s="136"/>
    </row>
    <row r="54" spans="1:7" x14ac:dyDescent="0.25">
      <c r="A54" s="152" t="s">
        <v>496</v>
      </c>
      <c r="B54" s="136" t="s">
        <v>221</v>
      </c>
      <c r="C54" s="136"/>
      <c r="D54" s="136">
        <v>64</v>
      </c>
      <c r="E54" s="136">
        <f t="shared" si="1"/>
        <v>18388</v>
      </c>
      <c r="F54" s="136" t="s">
        <v>499</v>
      </c>
      <c r="G54" s="136"/>
    </row>
    <row r="55" spans="1:7" x14ac:dyDescent="0.25">
      <c r="A55" s="152" t="s">
        <v>509</v>
      </c>
      <c r="B55" s="136" t="s">
        <v>513</v>
      </c>
      <c r="C55" s="136"/>
      <c r="D55" s="136">
        <v>68</v>
      </c>
      <c r="E55" s="136">
        <f t="shared" si="1"/>
        <v>18320</v>
      </c>
      <c r="F55" s="136" t="s">
        <v>514</v>
      </c>
      <c r="G55" s="136"/>
    </row>
    <row r="56" spans="1:7" x14ac:dyDescent="0.25">
      <c r="A56" s="238" t="s">
        <v>517</v>
      </c>
      <c r="B56" s="136" t="s">
        <v>519</v>
      </c>
      <c r="C56" s="136">
        <v>111</v>
      </c>
      <c r="D56" s="136"/>
      <c r="E56" s="136">
        <f t="shared" ref="E56:E123" si="2">E55+C56-D56</f>
        <v>18431</v>
      </c>
      <c r="F56" s="136"/>
      <c r="G56" s="136"/>
    </row>
    <row r="57" spans="1:7" x14ac:dyDescent="0.25">
      <c r="A57" s="152" t="s">
        <v>517</v>
      </c>
      <c r="B57" s="136" t="s">
        <v>522</v>
      </c>
      <c r="C57" s="136"/>
      <c r="D57" s="136">
        <v>132</v>
      </c>
      <c r="E57" s="136">
        <f t="shared" si="2"/>
        <v>18299</v>
      </c>
      <c r="F57" s="136" t="s">
        <v>523</v>
      </c>
      <c r="G57" s="136"/>
    </row>
    <row r="58" spans="1:7" x14ac:dyDescent="0.25">
      <c r="A58" s="138" t="s">
        <v>525</v>
      </c>
      <c r="B58" s="136" t="s">
        <v>526</v>
      </c>
      <c r="C58" s="136">
        <v>11</v>
      </c>
      <c r="D58" s="136"/>
      <c r="E58" s="136">
        <f t="shared" si="2"/>
        <v>18310</v>
      </c>
      <c r="F58" s="136"/>
      <c r="G58" s="136"/>
    </row>
    <row r="59" spans="1:7" x14ac:dyDescent="0.25">
      <c r="A59" s="152" t="s">
        <v>533</v>
      </c>
      <c r="B59" s="136" t="s">
        <v>424</v>
      </c>
      <c r="C59" s="136"/>
      <c r="D59" s="136">
        <v>300</v>
      </c>
      <c r="E59" s="136">
        <f t="shared" si="2"/>
        <v>18010</v>
      </c>
      <c r="F59" s="136" t="s">
        <v>534</v>
      </c>
      <c r="G59" s="136"/>
    </row>
    <row r="60" spans="1:7" x14ac:dyDescent="0.25">
      <c r="A60" s="152" t="s">
        <v>540</v>
      </c>
      <c r="B60" s="136" t="s">
        <v>424</v>
      </c>
      <c r="C60" s="136"/>
      <c r="D60" s="136">
        <v>240</v>
      </c>
      <c r="E60" s="136">
        <f t="shared" si="2"/>
        <v>17770</v>
      </c>
      <c r="F60" s="136" t="s">
        <v>543</v>
      </c>
      <c r="G60" s="136"/>
    </row>
    <row r="61" spans="1:7" x14ac:dyDescent="0.25">
      <c r="A61" s="152" t="s">
        <v>542</v>
      </c>
      <c r="B61" s="136" t="s">
        <v>283</v>
      </c>
      <c r="C61" s="136">
        <v>84</v>
      </c>
      <c r="D61" s="136"/>
      <c r="E61" s="136">
        <f t="shared" si="2"/>
        <v>17854</v>
      </c>
      <c r="F61" s="136"/>
      <c r="G61" s="136"/>
    </row>
    <row r="62" spans="1:7" x14ac:dyDescent="0.25">
      <c r="A62" s="152" t="s">
        <v>542</v>
      </c>
      <c r="B62" s="136" t="s">
        <v>283</v>
      </c>
      <c r="C62" s="136">
        <v>74</v>
      </c>
      <c r="D62" s="136"/>
      <c r="E62" s="136">
        <f t="shared" si="2"/>
        <v>17928</v>
      </c>
      <c r="F62" s="136"/>
      <c r="G62" s="136"/>
    </row>
    <row r="63" spans="1:7" x14ac:dyDescent="0.25">
      <c r="A63" s="152" t="s">
        <v>542</v>
      </c>
      <c r="B63" s="136" t="s">
        <v>424</v>
      </c>
      <c r="C63" s="136"/>
      <c r="D63" s="136">
        <v>240</v>
      </c>
      <c r="E63" s="136">
        <f t="shared" si="2"/>
        <v>17688</v>
      </c>
      <c r="F63" s="136"/>
      <c r="G63" s="136"/>
    </row>
    <row r="64" spans="1:7" x14ac:dyDescent="0.25">
      <c r="A64" s="152" t="s">
        <v>549</v>
      </c>
      <c r="B64" s="136" t="s">
        <v>550</v>
      </c>
      <c r="C64" s="136"/>
      <c r="D64" s="136">
        <v>75</v>
      </c>
      <c r="E64" s="136">
        <f t="shared" si="2"/>
        <v>17613</v>
      </c>
      <c r="F64" s="136" t="s">
        <v>551</v>
      </c>
      <c r="G64" s="136"/>
    </row>
    <row r="65" spans="1:7" x14ac:dyDescent="0.25">
      <c r="A65" s="152" t="s">
        <v>554</v>
      </c>
      <c r="B65" s="136" t="s">
        <v>550</v>
      </c>
      <c r="C65" s="136"/>
      <c r="D65" s="136">
        <v>225</v>
      </c>
      <c r="E65" s="136">
        <f t="shared" si="2"/>
        <v>17388</v>
      </c>
      <c r="F65" s="136" t="s">
        <v>556</v>
      </c>
      <c r="G65" s="136"/>
    </row>
    <row r="66" spans="1:7" x14ac:dyDescent="0.25">
      <c r="A66" s="152" t="s">
        <v>559</v>
      </c>
      <c r="B66" s="136" t="s">
        <v>561</v>
      </c>
      <c r="C66" s="136"/>
      <c r="D66" s="136">
        <v>50</v>
      </c>
      <c r="E66" s="136">
        <f t="shared" si="2"/>
        <v>17338</v>
      </c>
      <c r="F66" s="136" t="s">
        <v>17</v>
      </c>
      <c r="G66" s="136"/>
    </row>
    <row r="67" spans="1:7" x14ac:dyDescent="0.25">
      <c r="A67" s="152" t="s">
        <v>559</v>
      </c>
      <c r="B67" s="136" t="s">
        <v>283</v>
      </c>
      <c r="C67" s="136">
        <v>41</v>
      </c>
      <c r="D67" s="136"/>
      <c r="E67" s="136">
        <f t="shared" si="2"/>
        <v>17379</v>
      </c>
      <c r="F67" s="136"/>
      <c r="G67" s="136"/>
    </row>
    <row r="68" spans="1:7" x14ac:dyDescent="0.25">
      <c r="A68" s="152" t="s">
        <v>562</v>
      </c>
      <c r="B68" s="136" t="s">
        <v>417</v>
      </c>
      <c r="C68" s="136">
        <v>101</v>
      </c>
      <c r="D68" s="136"/>
      <c r="E68" s="136">
        <f t="shared" si="2"/>
        <v>17480</v>
      </c>
      <c r="F68" s="136"/>
      <c r="G68" s="136"/>
    </row>
    <row r="69" spans="1:7" x14ac:dyDescent="0.25">
      <c r="A69" s="152" t="s">
        <v>567</v>
      </c>
      <c r="B69" s="136" t="s">
        <v>424</v>
      </c>
      <c r="C69" s="136"/>
      <c r="D69" s="136">
        <v>118</v>
      </c>
      <c r="E69" s="136">
        <f t="shared" si="2"/>
        <v>17362</v>
      </c>
      <c r="F69" s="136" t="s">
        <v>568</v>
      </c>
      <c r="G69" s="136"/>
    </row>
    <row r="70" spans="1:7" x14ac:dyDescent="0.25">
      <c r="A70" s="152" t="s">
        <v>567</v>
      </c>
      <c r="B70" s="136" t="s">
        <v>526</v>
      </c>
      <c r="C70" s="136">
        <v>12</v>
      </c>
      <c r="D70" s="136"/>
      <c r="E70" s="136">
        <f t="shared" si="2"/>
        <v>17374</v>
      </c>
      <c r="F70" s="136"/>
      <c r="G70" s="136"/>
    </row>
    <row r="71" spans="1:7" x14ac:dyDescent="0.25">
      <c r="A71" s="152" t="s">
        <v>569</v>
      </c>
      <c r="B71" s="136" t="s">
        <v>522</v>
      </c>
      <c r="C71" s="136"/>
      <c r="D71" s="136">
        <v>100</v>
      </c>
      <c r="E71" s="136">
        <f t="shared" si="2"/>
        <v>17274</v>
      </c>
      <c r="F71" s="136" t="s">
        <v>570</v>
      </c>
      <c r="G71" s="136"/>
    </row>
    <row r="72" spans="1:7" x14ac:dyDescent="0.25">
      <c r="A72" s="138" t="s">
        <v>569</v>
      </c>
      <c r="B72" s="136" t="s">
        <v>544</v>
      </c>
      <c r="C72" s="136">
        <v>254</v>
      </c>
      <c r="D72" s="136"/>
      <c r="E72" s="136">
        <f t="shared" si="2"/>
        <v>17528</v>
      </c>
      <c r="F72" s="136"/>
      <c r="G72" s="136"/>
    </row>
    <row r="73" spans="1:7" x14ac:dyDescent="0.25">
      <c r="A73" s="152" t="s">
        <v>569</v>
      </c>
      <c r="B73" s="136" t="s">
        <v>417</v>
      </c>
      <c r="C73" s="136">
        <v>82</v>
      </c>
      <c r="D73" s="136"/>
      <c r="E73" s="136">
        <f t="shared" si="2"/>
        <v>17610</v>
      </c>
      <c r="F73" s="136"/>
      <c r="G73" s="136"/>
    </row>
    <row r="74" spans="1:7" x14ac:dyDescent="0.25">
      <c r="A74" s="152" t="s">
        <v>573</v>
      </c>
      <c r="B74" s="136" t="s">
        <v>574</v>
      </c>
      <c r="C74" s="136"/>
      <c r="D74" s="136">
        <v>50</v>
      </c>
      <c r="E74" s="136">
        <f t="shared" si="2"/>
        <v>17560</v>
      </c>
      <c r="F74" s="136" t="s">
        <v>17</v>
      </c>
      <c r="G74" s="136"/>
    </row>
    <row r="75" spans="1:7" x14ac:dyDescent="0.25">
      <c r="A75" s="152" t="s">
        <v>573</v>
      </c>
      <c r="B75" s="136" t="s">
        <v>575</v>
      </c>
      <c r="C75" s="136">
        <v>16</v>
      </c>
      <c r="D75" s="136"/>
      <c r="E75" s="136">
        <f t="shared" si="2"/>
        <v>17576</v>
      </c>
      <c r="F75" s="136"/>
      <c r="G75" s="136"/>
    </row>
    <row r="76" spans="1:7" x14ac:dyDescent="0.25">
      <c r="A76" s="152" t="s">
        <v>577</v>
      </c>
      <c r="B76" s="136" t="s">
        <v>526</v>
      </c>
      <c r="C76" s="136">
        <v>6</v>
      </c>
      <c r="D76" s="136"/>
      <c r="E76" s="136">
        <f t="shared" si="2"/>
        <v>17582</v>
      </c>
      <c r="F76" s="136"/>
      <c r="G76" s="136"/>
    </row>
    <row r="77" spans="1:7" x14ac:dyDescent="0.25">
      <c r="A77" s="152" t="s">
        <v>577</v>
      </c>
      <c r="B77" s="136" t="s">
        <v>283</v>
      </c>
      <c r="C77" s="136">
        <v>14</v>
      </c>
      <c r="D77" s="136"/>
      <c r="E77" s="136">
        <f t="shared" si="2"/>
        <v>17596</v>
      </c>
      <c r="F77" s="136"/>
      <c r="G77" s="136"/>
    </row>
    <row r="78" spans="1:7" x14ac:dyDescent="0.25">
      <c r="A78" s="152" t="s">
        <v>581</v>
      </c>
      <c r="B78" s="136" t="s">
        <v>550</v>
      </c>
      <c r="C78" s="136"/>
      <c r="D78" s="136">
        <v>74</v>
      </c>
      <c r="E78" s="136">
        <f t="shared" si="2"/>
        <v>17522</v>
      </c>
      <c r="F78" s="136" t="s">
        <v>582</v>
      </c>
      <c r="G78" s="136"/>
    </row>
    <row r="79" spans="1:7" x14ac:dyDescent="0.25">
      <c r="A79" s="152" t="s">
        <v>591</v>
      </c>
      <c r="B79" s="136" t="s">
        <v>550</v>
      </c>
      <c r="C79" s="136"/>
      <c r="D79" s="136">
        <v>17</v>
      </c>
      <c r="E79" s="136">
        <f t="shared" si="2"/>
        <v>17505</v>
      </c>
      <c r="F79" s="136" t="s">
        <v>592</v>
      </c>
      <c r="G79" s="136"/>
    </row>
    <row r="80" spans="1:7" x14ac:dyDescent="0.25">
      <c r="A80" s="152" t="s">
        <v>591</v>
      </c>
      <c r="B80" s="152" t="s">
        <v>221</v>
      </c>
      <c r="C80" s="136">
        <v>90</v>
      </c>
      <c r="D80" s="136"/>
      <c r="E80" s="136">
        <f t="shared" si="2"/>
        <v>17595</v>
      </c>
      <c r="F80" s="136"/>
      <c r="G80" s="136"/>
    </row>
    <row r="81" spans="1:7" x14ac:dyDescent="0.25">
      <c r="A81" s="152" t="s">
        <v>591</v>
      </c>
      <c r="B81" s="136" t="s">
        <v>594</v>
      </c>
      <c r="C81" s="136">
        <v>64</v>
      </c>
      <c r="D81" s="136"/>
      <c r="E81" s="136">
        <f t="shared" si="2"/>
        <v>17659</v>
      </c>
      <c r="F81" s="136"/>
      <c r="G81" s="136"/>
    </row>
    <row r="82" spans="1:7" x14ac:dyDescent="0.25">
      <c r="A82" s="152" t="s">
        <v>598</v>
      </c>
      <c r="B82" s="136" t="s">
        <v>550</v>
      </c>
      <c r="C82" s="136"/>
      <c r="D82" s="136">
        <v>100</v>
      </c>
      <c r="E82" s="136">
        <f t="shared" si="2"/>
        <v>17559</v>
      </c>
      <c r="F82" s="136" t="s">
        <v>599</v>
      </c>
      <c r="G82" s="136"/>
    </row>
    <row r="83" spans="1:7" x14ac:dyDescent="0.25">
      <c r="A83" s="152" t="s">
        <v>598</v>
      </c>
      <c r="B83" s="136" t="s">
        <v>221</v>
      </c>
      <c r="C83" s="136">
        <v>8</v>
      </c>
      <c r="D83" s="136"/>
      <c r="E83" s="136">
        <f t="shared" si="2"/>
        <v>17567</v>
      </c>
      <c r="F83" s="136"/>
      <c r="G83" s="136"/>
    </row>
    <row r="84" spans="1:7" x14ac:dyDescent="0.25">
      <c r="A84" s="121" t="s">
        <v>595</v>
      </c>
      <c r="B84" s="36" t="s">
        <v>601</v>
      </c>
      <c r="C84" s="36">
        <v>15</v>
      </c>
      <c r="D84" s="136"/>
      <c r="E84" s="136">
        <f t="shared" si="2"/>
        <v>17582</v>
      </c>
      <c r="F84" s="136"/>
      <c r="G84" s="136"/>
    </row>
    <row r="85" spans="1:7" x14ac:dyDescent="0.25">
      <c r="A85" s="152" t="s">
        <v>602</v>
      </c>
      <c r="B85" s="136" t="s">
        <v>606</v>
      </c>
      <c r="C85" s="136">
        <v>130</v>
      </c>
      <c r="D85" s="136"/>
      <c r="E85" s="136">
        <f t="shared" si="2"/>
        <v>17712</v>
      </c>
      <c r="F85" s="136"/>
      <c r="G85" s="136"/>
    </row>
    <row r="86" spans="1:7" x14ac:dyDescent="0.25">
      <c r="A86" s="152" t="s">
        <v>602</v>
      </c>
      <c r="B86" s="136" t="s">
        <v>544</v>
      </c>
      <c r="C86" s="136">
        <v>163</v>
      </c>
      <c r="D86" s="136"/>
      <c r="E86" s="136">
        <f t="shared" si="2"/>
        <v>17875</v>
      </c>
      <c r="F86" s="136"/>
      <c r="G86" s="136"/>
    </row>
    <row r="87" spans="1:7" x14ac:dyDescent="0.25">
      <c r="A87" s="152" t="s">
        <v>627</v>
      </c>
      <c r="B87" s="136" t="s">
        <v>544</v>
      </c>
      <c r="C87" s="136">
        <v>109</v>
      </c>
      <c r="D87" s="136"/>
      <c r="E87" s="136">
        <f t="shared" si="2"/>
        <v>17984</v>
      </c>
      <c r="F87" s="136"/>
      <c r="G87" s="136"/>
    </row>
    <row r="88" spans="1:7" x14ac:dyDescent="0.25">
      <c r="A88" s="152" t="s">
        <v>634</v>
      </c>
      <c r="B88" s="136" t="s">
        <v>635</v>
      </c>
      <c r="C88" s="136"/>
      <c r="D88" s="136">
        <v>90</v>
      </c>
      <c r="E88" s="136">
        <f t="shared" si="2"/>
        <v>17894</v>
      </c>
      <c r="F88" s="136" t="s">
        <v>636</v>
      </c>
      <c r="G88" s="136"/>
    </row>
    <row r="89" spans="1:7" x14ac:dyDescent="0.25">
      <c r="A89" s="152" t="s">
        <v>634</v>
      </c>
      <c r="B89" s="136" t="s">
        <v>519</v>
      </c>
      <c r="C89" s="136">
        <v>17</v>
      </c>
      <c r="D89" s="136"/>
      <c r="E89" s="136">
        <f t="shared" si="2"/>
        <v>17911</v>
      </c>
      <c r="F89" s="136"/>
      <c r="G89" s="136"/>
    </row>
    <row r="90" spans="1:7" x14ac:dyDescent="0.25">
      <c r="A90" s="152" t="s">
        <v>637</v>
      </c>
      <c r="B90" s="136" t="s">
        <v>638</v>
      </c>
      <c r="C90" s="136"/>
      <c r="D90" s="136">
        <v>68</v>
      </c>
      <c r="E90" s="136">
        <f t="shared" si="2"/>
        <v>17843</v>
      </c>
      <c r="F90" s="136"/>
      <c r="G90" s="136"/>
    </row>
    <row r="91" spans="1:7" x14ac:dyDescent="0.25">
      <c r="A91" s="152" t="s">
        <v>637</v>
      </c>
      <c r="B91" s="136" t="s">
        <v>638</v>
      </c>
      <c r="C91" s="136"/>
      <c r="D91" s="136">
        <v>324</v>
      </c>
      <c r="E91" s="136">
        <f t="shared" si="2"/>
        <v>17519</v>
      </c>
      <c r="F91" s="136" t="s">
        <v>642</v>
      </c>
      <c r="G91" s="136"/>
    </row>
    <row r="92" spans="1:7" x14ac:dyDescent="0.25">
      <c r="A92" s="152" t="s">
        <v>637</v>
      </c>
      <c r="B92" s="136" t="s">
        <v>221</v>
      </c>
      <c r="C92" s="136">
        <v>14</v>
      </c>
      <c r="D92" s="136"/>
      <c r="E92" s="136">
        <f t="shared" si="2"/>
        <v>17533</v>
      </c>
      <c r="F92" s="136"/>
      <c r="G92" s="136"/>
    </row>
    <row r="93" spans="1:7" x14ac:dyDescent="0.25">
      <c r="A93" s="152" t="s">
        <v>647</v>
      </c>
      <c r="B93" s="136" t="s">
        <v>526</v>
      </c>
      <c r="C93" s="136">
        <v>16</v>
      </c>
      <c r="D93" s="136"/>
      <c r="E93" s="136">
        <f t="shared" si="2"/>
        <v>17549</v>
      </c>
      <c r="F93" s="136"/>
      <c r="G93" s="136"/>
    </row>
    <row r="94" spans="1:7" x14ac:dyDescent="0.25">
      <c r="A94" s="152" t="s">
        <v>647</v>
      </c>
      <c r="B94" s="136" t="s">
        <v>638</v>
      </c>
      <c r="C94" s="136"/>
      <c r="D94" s="136">
        <v>85</v>
      </c>
      <c r="E94" s="136">
        <f t="shared" si="2"/>
        <v>17464</v>
      </c>
      <c r="F94" s="136" t="s">
        <v>648</v>
      </c>
      <c r="G94" s="136"/>
    </row>
    <row r="95" spans="1:7" x14ac:dyDescent="0.25">
      <c r="A95" s="238" t="s">
        <v>653</v>
      </c>
      <c r="B95" s="136" t="s">
        <v>638</v>
      </c>
      <c r="C95" s="136"/>
      <c r="D95" s="136">
        <v>237</v>
      </c>
      <c r="E95" s="136">
        <f t="shared" si="2"/>
        <v>17227</v>
      </c>
      <c r="F95" s="152" t="s">
        <v>654</v>
      </c>
      <c r="G95" s="136"/>
    </row>
    <row r="96" spans="1:7" x14ac:dyDescent="0.25">
      <c r="A96" s="121" t="s">
        <v>650</v>
      </c>
      <c r="B96" s="36" t="s">
        <v>452</v>
      </c>
      <c r="C96" s="36">
        <v>70</v>
      </c>
      <c r="D96" s="136"/>
      <c r="E96" s="136">
        <f t="shared" si="2"/>
        <v>17297</v>
      </c>
      <c r="F96" s="136"/>
      <c r="G96" s="136"/>
    </row>
    <row r="97" spans="1:7" x14ac:dyDescent="0.25">
      <c r="A97" s="152" t="s">
        <v>655</v>
      </c>
      <c r="B97" s="136" t="s">
        <v>257</v>
      </c>
      <c r="C97" s="136">
        <v>343</v>
      </c>
      <c r="D97" s="136"/>
      <c r="E97" s="136">
        <f t="shared" si="2"/>
        <v>17640</v>
      </c>
      <c r="F97" s="136"/>
      <c r="G97" s="136"/>
    </row>
    <row r="98" spans="1:7" ht="15.75" x14ac:dyDescent="0.25">
      <c r="A98" s="246" t="s">
        <v>658</v>
      </c>
      <c r="B98" s="161" t="s">
        <v>664</v>
      </c>
      <c r="C98" s="161">
        <v>6</v>
      </c>
      <c r="D98" s="136"/>
      <c r="E98" s="136">
        <f t="shared" si="2"/>
        <v>17646</v>
      </c>
      <c r="F98" s="136"/>
      <c r="G98" s="136"/>
    </row>
    <row r="99" spans="1:7" ht="15.75" x14ac:dyDescent="0.25">
      <c r="A99" s="246" t="s">
        <v>658</v>
      </c>
      <c r="B99" s="161" t="s">
        <v>665</v>
      </c>
      <c r="C99" s="161">
        <v>2</v>
      </c>
      <c r="D99" s="136"/>
      <c r="E99" s="136">
        <f t="shared" si="2"/>
        <v>17648</v>
      </c>
      <c r="F99" s="136"/>
      <c r="G99" s="136"/>
    </row>
    <row r="100" spans="1:7" ht="15.75" x14ac:dyDescent="0.25">
      <c r="A100" s="246" t="s">
        <v>658</v>
      </c>
      <c r="B100" s="136" t="s">
        <v>283</v>
      </c>
      <c r="C100" s="136">
        <v>45</v>
      </c>
      <c r="D100" s="136"/>
      <c r="E100" s="136">
        <f t="shared" si="2"/>
        <v>17693</v>
      </c>
      <c r="F100" s="136"/>
      <c r="G100" s="136"/>
    </row>
    <row r="101" spans="1:7" x14ac:dyDescent="0.25">
      <c r="A101" s="152" t="s">
        <v>669</v>
      </c>
      <c r="B101" s="136" t="s">
        <v>257</v>
      </c>
      <c r="C101" s="136">
        <v>262</v>
      </c>
      <c r="D101" s="136"/>
      <c r="E101" s="136">
        <f t="shared" si="2"/>
        <v>17955</v>
      </c>
      <c r="F101" s="136"/>
      <c r="G101" s="136"/>
    </row>
    <row r="102" spans="1:7" x14ac:dyDescent="0.25">
      <c r="A102" s="152" t="s">
        <v>680</v>
      </c>
      <c r="B102" s="136" t="s">
        <v>323</v>
      </c>
      <c r="C102" s="136">
        <v>31</v>
      </c>
      <c r="D102" s="136"/>
      <c r="E102" s="136">
        <f t="shared" si="2"/>
        <v>17986</v>
      </c>
      <c r="F102" s="136"/>
      <c r="G102" s="136"/>
    </row>
    <row r="103" spans="1:7" x14ac:dyDescent="0.25">
      <c r="A103" s="152" t="s">
        <v>683</v>
      </c>
      <c r="B103" s="136" t="s">
        <v>688</v>
      </c>
      <c r="C103" s="136">
        <v>13</v>
      </c>
      <c r="D103" s="136"/>
      <c r="E103" s="136">
        <f t="shared" si="2"/>
        <v>17999</v>
      </c>
      <c r="F103" s="136"/>
      <c r="G103" s="136"/>
    </row>
    <row r="104" spans="1:7" x14ac:dyDescent="0.25">
      <c r="A104" s="152" t="s">
        <v>689</v>
      </c>
      <c r="B104" s="136" t="s">
        <v>638</v>
      </c>
      <c r="C104" s="136"/>
      <c r="D104" s="136">
        <v>100</v>
      </c>
      <c r="E104" s="136">
        <f t="shared" si="2"/>
        <v>17899</v>
      </c>
      <c r="F104" s="136" t="s">
        <v>690</v>
      </c>
      <c r="G104" s="136"/>
    </row>
    <row r="105" spans="1:7" x14ac:dyDescent="0.25">
      <c r="A105" s="152" t="s">
        <v>689</v>
      </c>
      <c r="B105" s="136" t="s">
        <v>424</v>
      </c>
      <c r="C105" s="136"/>
      <c r="D105" s="136">
        <v>100</v>
      </c>
      <c r="E105" s="136">
        <f t="shared" si="2"/>
        <v>17799</v>
      </c>
      <c r="F105" s="136" t="s">
        <v>691</v>
      </c>
      <c r="G105" s="136"/>
    </row>
    <row r="106" spans="1:7" x14ac:dyDescent="0.25">
      <c r="A106" s="152" t="s">
        <v>689</v>
      </c>
      <c r="B106" s="136" t="s">
        <v>257</v>
      </c>
      <c r="C106" s="136">
        <v>275</v>
      </c>
      <c r="D106" s="136"/>
      <c r="E106" s="136">
        <f t="shared" si="2"/>
        <v>18074</v>
      </c>
      <c r="F106" s="136"/>
      <c r="G106" s="136"/>
    </row>
    <row r="107" spans="1:7" x14ac:dyDescent="0.25">
      <c r="A107" s="152" t="s">
        <v>695</v>
      </c>
      <c r="B107" s="136" t="s">
        <v>424</v>
      </c>
      <c r="C107" s="136"/>
      <c r="D107" s="136">
        <v>50</v>
      </c>
      <c r="E107" s="136">
        <f t="shared" si="2"/>
        <v>18024</v>
      </c>
      <c r="F107" s="136" t="s">
        <v>696</v>
      </c>
      <c r="G107" s="136"/>
    </row>
    <row r="108" spans="1:7" x14ac:dyDescent="0.25">
      <c r="A108" s="138" t="s">
        <v>695</v>
      </c>
      <c r="B108" s="136" t="s">
        <v>698</v>
      </c>
      <c r="C108" s="136">
        <v>66</v>
      </c>
      <c r="D108" s="136"/>
      <c r="E108" s="136">
        <f t="shared" si="2"/>
        <v>18090</v>
      </c>
      <c r="F108" s="136"/>
      <c r="G108" s="136"/>
    </row>
    <row r="109" spans="1:7" x14ac:dyDescent="0.25">
      <c r="A109" s="138" t="s">
        <v>695</v>
      </c>
      <c r="B109" s="136" t="s">
        <v>283</v>
      </c>
      <c r="C109" s="136">
        <v>105</v>
      </c>
      <c r="D109" s="136"/>
      <c r="E109" s="136">
        <f t="shared" si="2"/>
        <v>18195</v>
      </c>
      <c r="F109" s="136"/>
      <c r="G109" s="136"/>
    </row>
    <row r="110" spans="1:7" x14ac:dyDescent="0.25">
      <c r="A110" s="152" t="s">
        <v>704</v>
      </c>
      <c r="B110" s="136" t="s">
        <v>417</v>
      </c>
      <c r="C110" s="136"/>
      <c r="D110" s="136">
        <v>100</v>
      </c>
      <c r="E110" s="136">
        <f t="shared" si="2"/>
        <v>18095</v>
      </c>
      <c r="F110" s="136" t="s">
        <v>706</v>
      </c>
      <c r="G110" s="136"/>
    </row>
    <row r="111" spans="1:7" ht="15.75" x14ac:dyDescent="0.25">
      <c r="A111" s="246" t="s">
        <v>736</v>
      </c>
      <c r="B111" s="161" t="s">
        <v>275</v>
      </c>
      <c r="C111" s="161"/>
      <c r="D111" s="161">
        <v>85</v>
      </c>
      <c r="E111" s="136">
        <f t="shared" si="2"/>
        <v>18010</v>
      </c>
      <c r="F111" s="161" t="s">
        <v>717</v>
      </c>
      <c r="G111" s="136"/>
    </row>
    <row r="112" spans="1:7" ht="15.75" x14ac:dyDescent="0.25">
      <c r="A112" s="246" t="s">
        <v>736</v>
      </c>
      <c r="B112" s="136" t="s">
        <v>522</v>
      </c>
      <c r="C112" s="136">
        <v>44</v>
      </c>
      <c r="D112" s="136"/>
      <c r="E112" s="136">
        <f t="shared" si="2"/>
        <v>18054</v>
      </c>
      <c r="F112" s="136"/>
      <c r="G112" s="136"/>
    </row>
    <row r="113" spans="1:7" x14ac:dyDescent="0.25">
      <c r="A113" s="121" t="s">
        <v>719</v>
      </c>
      <c r="B113" s="36" t="s">
        <v>716</v>
      </c>
      <c r="C113" s="36"/>
      <c r="D113" s="36">
        <v>50</v>
      </c>
      <c r="E113" s="136">
        <f t="shared" si="2"/>
        <v>18004</v>
      </c>
      <c r="F113" s="136" t="s">
        <v>17</v>
      </c>
      <c r="G113" s="136"/>
    </row>
    <row r="114" spans="1:7" x14ac:dyDescent="0.25">
      <c r="A114" s="121" t="s">
        <v>719</v>
      </c>
      <c r="B114" s="136" t="s">
        <v>484</v>
      </c>
      <c r="C114" s="136">
        <v>50</v>
      </c>
      <c r="D114" s="136"/>
      <c r="E114" s="136">
        <f t="shared" si="2"/>
        <v>18054</v>
      </c>
      <c r="F114" s="136"/>
      <c r="G114" s="136"/>
    </row>
    <row r="115" spans="1:7" x14ac:dyDescent="0.25">
      <c r="A115" s="152" t="s">
        <v>736</v>
      </c>
      <c r="B115" s="136" t="s">
        <v>257</v>
      </c>
      <c r="C115" s="136">
        <v>276</v>
      </c>
      <c r="D115" s="136"/>
      <c r="E115" s="136">
        <f t="shared" si="2"/>
        <v>18330</v>
      </c>
      <c r="F115" s="136"/>
      <c r="G115" s="136"/>
    </row>
    <row r="116" spans="1:7" x14ac:dyDescent="0.25">
      <c r="A116" s="152" t="s">
        <v>726</v>
      </c>
      <c r="B116" s="136" t="s">
        <v>275</v>
      </c>
      <c r="C116" s="136"/>
      <c r="D116" s="136">
        <v>35</v>
      </c>
      <c r="E116" s="136">
        <f t="shared" si="2"/>
        <v>18295</v>
      </c>
      <c r="F116" s="136" t="s">
        <v>725</v>
      </c>
      <c r="G116" s="136"/>
    </row>
    <row r="117" spans="1:7" x14ac:dyDescent="0.25">
      <c r="A117" s="152" t="s">
        <v>726</v>
      </c>
      <c r="B117" s="136" t="s">
        <v>221</v>
      </c>
      <c r="C117" s="136">
        <v>59</v>
      </c>
      <c r="D117" s="136"/>
      <c r="E117" s="136">
        <f t="shared" si="2"/>
        <v>18354</v>
      </c>
      <c r="F117" s="136"/>
      <c r="G117" s="136"/>
    </row>
    <row r="118" spans="1:7" x14ac:dyDescent="0.25">
      <c r="A118" s="152" t="s">
        <v>726</v>
      </c>
      <c r="B118" s="136" t="s">
        <v>526</v>
      </c>
      <c r="C118" s="136">
        <v>28</v>
      </c>
      <c r="D118" s="136"/>
      <c r="E118" s="136">
        <f t="shared" si="2"/>
        <v>18382</v>
      </c>
      <c r="F118" s="136"/>
      <c r="G118" s="136"/>
    </row>
    <row r="119" spans="1:7" x14ac:dyDescent="0.25">
      <c r="A119" s="152" t="s">
        <v>728</v>
      </c>
      <c r="B119" s="136" t="s">
        <v>716</v>
      </c>
      <c r="C119" s="136"/>
      <c r="D119" s="136">
        <v>30</v>
      </c>
      <c r="E119" s="136">
        <f t="shared" si="2"/>
        <v>18352</v>
      </c>
      <c r="F119" s="136" t="s">
        <v>17</v>
      </c>
      <c r="G119" s="136"/>
    </row>
    <row r="120" spans="1:7" x14ac:dyDescent="0.25">
      <c r="A120" s="152" t="s">
        <v>735</v>
      </c>
      <c r="B120" s="136" t="s">
        <v>257</v>
      </c>
      <c r="C120" s="136">
        <v>154</v>
      </c>
      <c r="D120" s="136"/>
      <c r="E120" s="136">
        <f t="shared" si="2"/>
        <v>18506</v>
      </c>
      <c r="F120" s="136"/>
      <c r="G120" s="136"/>
    </row>
    <row r="121" spans="1:7" x14ac:dyDescent="0.25">
      <c r="A121" s="152" t="s">
        <v>735</v>
      </c>
      <c r="B121" s="136" t="s">
        <v>221</v>
      </c>
      <c r="C121" s="136">
        <v>15</v>
      </c>
      <c r="D121" s="136"/>
      <c r="E121" s="136">
        <f t="shared" si="2"/>
        <v>18521</v>
      </c>
      <c r="F121" s="136"/>
      <c r="G121" s="136"/>
    </row>
    <row r="122" spans="1:7" x14ac:dyDescent="0.25">
      <c r="A122" s="152" t="s">
        <v>739</v>
      </c>
      <c r="B122" s="136" t="s">
        <v>221</v>
      </c>
      <c r="C122" s="136">
        <v>35</v>
      </c>
      <c r="D122" s="136"/>
      <c r="E122" s="136">
        <f t="shared" si="2"/>
        <v>18556</v>
      </c>
      <c r="F122" s="136"/>
      <c r="G122" s="136"/>
    </row>
    <row r="123" spans="1:7" ht="15.75" x14ac:dyDescent="0.25">
      <c r="A123" s="246" t="s">
        <v>741</v>
      </c>
      <c r="B123" s="161" t="s">
        <v>665</v>
      </c>
      <c r="C123" s="161">
        <v>17</v>
      </c>
      <c r="D123" s="136"/>
      <c r="E123" s="136">
        <f t="shared" si="2"/>
        <v>18573</v>
      </c>
      <c r="F123" s="136"/>
      <c r="G123" s="136"/>
    </row>
    <row r="124" spans="1:7" x14ac:dyDescent="0.25">
      <c r="A124" s="138" t="s">
        <v>747</v>
      </c>
      <c r="B124" s="136" t="s">
        <v>283</v>
      </c>
      <c r="C124" s="136">
        <v>26</v>
      </c>
      <c r="D124" s="136"/>
      <c r="E124" s="136">
        <f t="shared" ref="E124:E184" si="3">E123+C124-D124</f>
        <v>18599</v>
      </c>
      <c r="F124" s="136"/>
      <c r="G124" s="136"/>
    </row>
    <row r="125" spans="1:7" x14ac:dyDescent="0.25">
      <c r="A125" s="152" t="s">
        <v>752</v>
      </c>
      <c r="B125" s="136" t="s">
        <v>221</v>
      </c>
      <c r="C125" s="136">
        <v>3</v>
      </c>
      <c r="D125" s="136"/>
      <c r="E125" s="136">
        <f t="shared" si="3"/>
        <v>18602</v>
      </c>
      <c r="F125" s="136"/>
      <c r="G125" s="136"/>
    </row>
    <row r="126" spans="1:7" x14ac:dyDescent="0.25">
      <c r="A126" s="152" t="s">
        <v>756</v>
      </c>
      <c r="B126" s="136" t="s">
        <v>221</v>
      </c>
      <c r="C126" s="136">
        <v>41</v>
      </c>
      <c r="D126" s="136"/>
      <c r="E126" s="136">
        <f t="shared" si="3"/>
        <v>18643</v>
      </c>
      <c r="F126" s="136"/>
      <c r="G126" s="136"/>
    </row>
    <row r="127" spans="1:7" x14ac:dyDescent="0.25">
      <c r="A127" s="238" t="s">
        <v>756</v>
      </c>
      <c r="B127" s="136" t="s">
        <v>757</v>
      </c>
      <c r="C127" s="136">
        <v>53</v>
      </c>
      <c r="D127" s="136"/>
      <c r="E127" s="136">
        <f t="shared" si="3"/>
        <v>18696</v>
      </c>
      <c r="F127" s="136"/>
      <c r="G127" s="136"/>
    </row>
    <row r="128" spans="1:7" x14ac:dyDescent="0.25">
      <c r="A128" s="152" t="s">
        <v>758</v>
      </c>
      <c r="B128" s="136" t="s">
        <v>759</v>
      </c>
      <c r="C128" s="136"/>
      <c r="D128" s="136">
        <v>70</v>
      </c>
      <c r="E128" s="136">
        <f t="shared" si="3"/>
        <v>18626</v>
      </c>
      <c r="F128" s="136" t="s">
        <v>760</v>
      </c>
      <c r="G128" s="136"/>
    </row>
    <row r="129" spans="1:7" x14ac:dyDescent="0.25">
      <c r="A129" s="152" t="s">
        <v>758</v>
      </c>
      <c r="B129" s="136" t="s">
        <v>221</v>
      </c>
      <c r="C129" s="136">
        <v>47</v>
      </c>
      <c r="D129" s="136"/>
      <c r="E129" s="136">
        <f t="shared" si="3"/>
        <v>18673</v>
      </c>
      <c r="F129" s="136"/>
      <c r="G129" s="136"/>
    </row>
    <row r="130" spans="1:7" x14ac:dyDescent="0.25">
      <c r="A130" s="152" t="s">
        <v>758</v>
      </c>
      <c r="B130" s="136" t="s">
        <v>221</v>
      </c>
      <c r="C130" s="136">
        <v>22</v>
      </c>
      <c r="D130" s="136"/>
      <c r="E130" s="136">
        <f t="shared" si="3"/>
        <v>18695</v>
      </c>
      <c r="F130" s="136"/>
      <c r="G130" s="136"/>
    </row>
    <row r="131" spans="1:7" x14ac:dyDescent="0.25">
      <c r="A131" s="152" t="s">
        <v>758</v>
      </c>
      <c r="B131" s="136" t="s">
        <v>761</v>
      </c>
      <c r="C131" s="136">
        <v>265</v>
      </c>
      <c r="D131" s="136"/>
      <c r="E131" s="136">
        <f t="shared" si="3"/>
        <v>18960</v>
      </c>
      <c r="F131" s="136"/>
      <c r="G131" s="136"/>
    </row>
    <row r="132" spans="1:7" x14ac:dyDescent="0.25">
      <c r="A132" s="152" t="s">
        <v>762</v>
      </c>
      <c r="B132" s="136" t="s">
        <v>763</v>
      </c>
      <c r="C132" s="136">
        <v>52</v>
      </c>
      <c r="D132" s="136"/>
      <c r="E132" s="136">
        <f t="shared" si="3"/>
        <v>19012</v>
      </c>
      <c r="F132" s="136"/>
      <c r="G132" s="136"/>
    </row>
    <row r="133" spans="1:7" x14ac:dyDescent="0.25">
      <c r="A133" s="152" t="s">
        <v>764</v>
      </c>
      <c r="B133" s="136" t="s">
        <v>638</v>
      </c>
      <c r="C133" s="136"/>
      <c r="D133" s="136">
        <v>50</v>
      </c>
      <c r="E133" s="136">
        <f t="shared" si="3"/>
        <v>18962</v>
      </c>
      <c r="F133" s="136" t="s">
        <v>769</v>
      </c>
      <c r="G133" s="136"/>
    </row>
    <row r="134" spans="1:7" x14ac:dyDescent="0.25">
      <c r="A134" s="152" t="s">
        <v>764</v>
      </c>
      <c r="B134" s="136" t="s">
        <v>638</v>
      </c>
      <c r="C134" s="136"/>
      <c r="D134" s="136">
        <v>112</v>
      </c>
      <c r="E134" s="136">
        <f t="shared" si="3"/>
        <v>18850</v>
      </c>
      <c r="F134" s="136" t="s">
        <v>770</v>
      </c>
      <c r="G134" s="136"/>
    </row>
    <row r="135" spans="1:7" x14ac:dyDescent="0.25">
      <c r="A135" s="238" t="s">
        <v>764</v>
      </c>
      <c r="B135" s="136" t="s">
        <v>484</v>
      </c>
      <c r="C135" s="136">
        <v>40</v>
      </c>
      <c r="D135" s="136"/>
      <c r="E135" s="136">
        <f t="shared" si="3"/>
        <v>18890</v>
      </c>
      <c r="F135" s="136"/>
      <c r="G135" s="136"/>
    </row>
    <row r="136" spans="1:7" x14ac:dyDescent="0.25">
      <c r="A136" s="238" t="s">
        <v>764</v>
      </c>
      <c r="B136" s="136" t="s">
        <v>763</v>
      </c>
      <c r="C136" s="136">
        <v>114</v>
      </c>
      <c r="D136" s="136"/>
      <c r="E136" s="136">
        <f t="shared" si="3"/>
        <v>19004</v>
      </c>
      <c r="F136" s="136"/>
      <c r="G136" s="136"/>
    </row>
    <row r="137" spans="1:7" x14ac:dyDescent="0.25">
      <c r="A137" s="152" t="s">
        <v>764</v>
      </c>
      <c r="B137" s="136" t="s">
        <v>526</v>
      </c>
      <c r="C137" s="136">
        <v>1</v>
      </c>
      <c r="D137" s="136"/>
      <c r="E137" s="136">
        <f t="shared" si="3"/>
        <v>19005</v>
      </c>
      <c r="F137" s="136"/>
      <c r="G137" s="136"/>
    </row>
    <row r="138" spans="1:7" x14ac:dyDescent="0.25">
      <c r="A138" s="238" t="s">
        <v>771</v>
      </c>
      <c r="B138" s="136" t="s">
        <v>763</v>
      </c>
      <c r="C138" s="136">
        <v>109</v>
      </c>
      <c r="D138" s="136"/>
      <c r="E138" s="136">
        <f t="shared" si="3"/>
        <v>19114</v>
      </c>
      <c r="F138" s="136"/>
      <c r="G138" s="136"/>
    </row>
    <row r="139" spans="1:7" x14ac:dyDescent="0.25">
      <c r="A139" s="152" t="s">
        <v>773</v>
      </c>
      <c r="B139" s="136" t="s">
        <v>763</v>
      </c>
      <c r="C139" s="136">
        <v>96</v>
      </c>
      <c r="D139" s="136"/>
      <c r="E139" s="136">
        <f t="shared" si="3"/>
        <v>19210</v>
      </c>
      <c r="F139" s="136"/>
      <c r="G139" s="136"/>
    </row>
    <row r="140" spans="1:7" x14ac:dyDescent="0.25">
      <c r="A140" s="152" t="s">
        <v>773</v>
      </c>
      <c r="B140" s="136" t="s">
        <v>283</v>
      </c>
      <c r="C140" s="136">
        <v>28</v>
      </c>
      <c r="D140" s="136"/>
      <c r="E140" s="136">
        <f t="shared" si="3"/>
        <v>19238</v>
      </c>
      <c r="F140" s="136"/>
      <c r="G140" s="136"/>
    </row>
    <row r="141" spans="1:7" x14ac:dyDescent="0.25">
      <c r="A141" s="152" t="s">
        <v>775</v>
      </c>
      <c r="B141" s="136" t="s">
        <v>763</v>
      </c>
      <c r="C141" s="136">
        <v>85</v>
      </c>
      <c r="D141" s="136"/>
      <c r="E141" s="136">
        <f t="shared" si="3"/>
        <v>19323</v>
      </c>
      <c r="F141" s="136"/>
      <c r="G141" s="136"/>
    </row>
    <row r="142" spans="1:7" x14ac:dyDescent="0.25">
      <c r="A142" s="152" t="s">
        <v>775</v>
      </c>
      <c r="B142" s="136" t="s">
        <v>763</v>
      </c>
      <c r="C142" s="136">
        <v>50</v>
      </c>
      <c r="D142" s="136"/>
      <c r="E142" s="136">
        <f t="shared" si="3"/>
        <v>19373</v>
      </c>
      <c r="F142" s="136"/>
      <c r="G142" s="136"/>
    </row>
    <row r="143" spans="1:7" x14ac:dyDescent="0.25">
      <c r="A143" s="152" t="s">
        <v>779</v>
      </c>
      <c r="B143" s="136" t="s">
        <v>763</v>
      </c>
      <c r="C143" s="136">
        <v>16</v>
      </c>
      <c r="D143" s="136"/>
      <c r="E143" s="136">
        <f t="shared" si="3"/>
        <v>19389</v>
      </c>
      <c r="F143" s="136"/>
      <c r="G143" s="136"/>
    </row>
    <row r="144" spans="1:7" x14ac:dyDescent="0.25">
      <c r="A144" s="152" t="s">
        <v>779</v>
      </c>
      <c r="B144" s="136" t="s">
        <v>763</v>
      </c>
      <c r="C144" s="136">
        <v>214</v>
      </c>
      <c r="D144" s="136"/>
      <c r="E144" s="136">
        <f t="shared" si="3"/>
        <v>19603</v>
      </c>
      <c r="F144" s="136"/>
      <c r="G144" s="136"/>
    </row>
    <row r="145" spans="1:7" x14ac:dyDescent="0.25">
      <c r="A145" s="152" t="s">
        <v>779</v>
      </c>
      <c r="B145" s="136" t="s">
        <v>761</v>
      </c>
      <c r="C145" s="136">
        <v>263</v>
      </c>
      <c r="D145" s="136"/>
      <c r="E145" s="136">
        <f t="shared" si="3"/>
        <v>19866</v>
      </c>
      <c r="F145" s="136"/>
      <c r="G145" s="136"/>
    </row>
    <row r="146" spans="1:7" x14ac:dyDescent="0.25">
      <c r="A146" s="138" t="s">
        <v>786</v>
      </c>
      <c r="B146" s="136" t="s">
        <v>344</v>
      </c>
      <c r="C146" s="136">
        <v>14</v>
      </c>
      <c r="D146" s="136"/>
      <c r="E146" s="136">
        <f t="shared" si="3"/>
        <v>19880</v>
      </c>
      <c r="F146" s="136"/>
      <c r="G146" s="136"/>
    </row>
    <row r="147" spans="1:7" x14ac:dyDescent="0.25">
      <c r="A147" s="152" t="s">
        <v>788</v>
      </c>
      <c r="B147" s="136" t="s">
        <v>275</v>
      </c>
      <c r="C147" s="136"/>
      <c r="D147" s="136">
        <v>142</v>
      </c>
      <c r="E147" s="136">
        <f t="shared" si="3"/>
        <v>19738</v>
      </c>
      <c r="F147" s="136" t="s">
        <v>789</v>
      </c>
      <c r="G147" s="136"/>
    </row>
    <row r="148" spans="1:7" x14ac:dyDescent="0.25">
      <c r="A148" s="152" t="s">
        <v>788</v>
      </c>
      <c r="B148" s="136" t="s">
        <v>763</v>
      </c>
      <c r="C148" s="136">
        <v>68</v>
      </c>
      <c r="D148" s="136"/>
      <c r="E148" s="136">
        <f t="shared" si="3"/>
        <v>19806</v>
      </c>
      <c r="F148" s="136"/>
      <c r="G148" s="136"/>
    </row>
    <row r="149" spans="1:7" x14ac:dyDescent="0.25">
      <c r="A149" s="152" t="s">
        <v>797</v>
      </c>
      <c r="B149" s="136" t="s">
        <v>795</v>
      </c>
      <c r="C149" s="136"/>
      <c r="D149" s="136">
        <v>78</v>
      </c>
      <c r="E149" s="136">
        <f t="shared" si="3"/>
        <v>19728</v>
      </c>
      <c r="F149" s="136" t="s">
        <v>796</v>
      </c>
      <c r="G149" s="136"/>
    </row>
    <row r="150" spans="1:7" x14ac:dyDescent="0.25">
      <c r="A150" s="152" t="s">
        <v>797</v>
      </c>
      <c r="B150" s="136" t="s">
        <v>221</v>
      </c>
      <c r="C150" s="136">
        <v>34</v>
      </c>
      <c r="D150" s="136"/>
      <c r="E150" s="136">
        <f t="shared" si="3"/>
        <v>19762</v>
      </c>
      <c r="F150" s="136"/>
      <c r="G150" s="136"/>
    </row>
    <row r="151" spans="1:7" x14ac:dyDescent="0.25">
      <c r="A151" s="152" t="s">
        <v>802</v>
      </c>
      <c r="B151" s="136" t="s">
        <v>273</v>
      </c>
      <c r="C151" s="136"/>
      <c r="D151" s="136">
        <v>22</v>
      </c>
      <c r="E151" s="136">
        <f t="shared" si="3"/>
        <v>19740</v>
      </c>
      <c r="F151" s="136" t="s">
        <v>799</v>
      </c>
      <c r="G151" s="136"/>
    </row>
    <row r="152" spans="1:7" x14ac:dyDescent="0.25">
      <c r="A152" s="152" t="s">
        <v>802</v>
      </c>
      <c r="B152" s="136" t="s">
        <v>800</v>
      </c>
      <c r="C152" s="136"/>
      <c r="D152" s="136">
        <v>53</v>
      </c>
      <c r="E152" s="136">
        <f t="shared" si="3"/>
        <v>19687</v>
      </c>
      <c r="F152" s="136" t="s">
        <v>17</v>
      </c>
      <c r="G152" s="136"/>
    </row>
    <row r="153" spans="1:7" x14ac:dyDescent="0.25">
      <c r="A153" s="238" t="s">
        <v>803</v>
      </c>
      <c r="B153" s="136" t="s">
        <v>800</v>
      </c>
      <c r="C153" s="136"/>
      <c r="D153" s="136">
        <v>47</v>
      </c>
      <c r="E153" s="136">
        <f t="shared" si="3"/>
        <v>19640</v>
      </c>
      <c r="F153" s="136" t="s">
        <v>17</v>
      </c>
      <c r="G153" s="136"/>
    </row>
    <row r="154" spans="1:7" x14ac:dyDescent="0.25">
      <c r="A154" s="138" t="s">
        <v>803</v>
      </c>
      <c r="B154" s="136" t="s">
        <v>381</v>
      </c>
      <c r="C154" s="136">
        <v>22</v>
      </c>
      <c r="D154" s="136"/>
      <c r="E154" s="136">
        <f t="shared" si="3"/>
        <v>19662</v>
      </c>
      <c r="F154" s="136"/>
      <c r="G154" s="136"/>
    </row>
    <row r="155" spans="1:7" x14ac:dyDescent="0.25">
      <c r="A155" s="152" t="s">
        <v>804</v>
      </c>
      <c r="B155" s="136" t="s">
        <v>809</v>
      </c>
      <c r="C155" s="136">
        <v>25</v>
      </c>
      <c r="D155" s="136"/>
      <c r="E155" s="136">
        <f t="shared" si="3"/>
        <v>19687</v>
      </c>
      <c r="F155" s="136"/>
      <c r="G155" s="136"/>
    </row>
    <row r="156" spans="1:7" x14ac:dyDescent="0.25">
      <c r="A156" s="152" t="s">
        <v>811</v>
      </c>
      <c r="B156" s="136" t="s">
        <v>814</v>
      </c>
      <c r="C156" s="136"/>
      <c r="D156" s="136">
        <v>30</v>
      </c>
      <c r="E156" s="136">
        <f t="shared" si="3"/>
        <v>19657</v>
      </c>
      <c r="F156" s="136" t="s">
        <v>815</v>
      </c>
      <c r="G156" s="136"/>
    </row>
    <row r="157" spans="1:7" x14ac:dyDescent="0.25">
      <c r="A157" s="152" t="s">
        <v>820</v>
      </c>
      <c r="B157" s="136" t="s">
        <v>821</v>
      </c>
      <c r="C157" s="136"/>
      <c r="D157" s="136">
        <v>50</v>
      </c>
      <c r="E157" s="136">
        <f t="shared" si="3"/>
        <v>19607</v>
      </c>
      <c r="F157" s="136" t="s">
        <v>822</v>
      </c>
      <c r="G157" s="136"/>
    </row>
    <row r="158" spans="1:7" x14ac:dyDescent="0.25">
      <c r="A158" s="152" t="s">
        <v>820</v>
      </c>
      <c r="B158" s="136" t="s">
        <v>826</v>
      </c>
      <c r="C158" s="136">
        <v>69</v>
      </c>
      <c r="D158" s="136"/>
      <c r="E158" s="136">
        <f t="shared" si="3"/>
        <v>19676</v>
      </c>
      <c r="F158" s="136"/>
      <c r="G158" s="136"/>
    </row>
    <row r="159" spans="1:7" x14ac:dyDescent="0.25">
      <c r="A159" s="152" t="s">
        <v>827</v>
      </c>
      <c r="B159" s="136" t="s">
        <v>831</v>
      </c>
      <c r="C159" s="136"/>
      <c r="D159" s="136">
        <v>50</v>
      </c>
      <c r="E159" s="136">
        <f t="shared" si="3"/>
        <v>19626</v>
      </c>
      <c r="F159" s="136" t="s">
        <v>17</v>
      </c>
      <c r="G159" s="136"/>
    </row>
    <row r="160" spans="1:7" x14ac:dyDescent="0.25">
      <c r="A160" s="152" t="s">
        <v>832</v>
      </c>
      <c r="B160" s="136" t="s">
        <v>833</v>
      </c>
      <c r="C160" s="136"/>
      <c r="D160" s="136">
        <v>200</v>
      </c>
      <c r="E160" s="136">
        <f t="shared" si="3"/>
        <v>19426</v>
      </c>
      <c r="F160" s="163" t="s">
        <v>846</v>
      </c>
      <c r="G160" s="136"/>
    </row>
    <row r="161" spans="1:7" x14ac:dyDescent="0.25">
      <c r="A161" s="152" t="s">
        <v>835</v>
      </c>
      <c r="B161" s="136" t="s">
        <v>831</v>
      </c>
      <c r="C161" s="136"/>
      <c r="D161" s="136">
        <v>150</v>
      </c>
      <c r="E161" s="136">
        <f t="shared" si="3"/>
        <v>19276</v>
      </c>
      <c r="F161" s="136" t="s">
        <v>17</v>
      </c>
      <c r="G161" s="136"/>
    </row>
    <row r="162" spans="1:7" x14ac:dyDescent="0.25">
      <c r="A162" s="138" t="s">
        <v>835</v>
      </c>
      <c r="B162" s="136" t="s">
        <v>783</v>
      </c>
      <c r="C162" s="136"/>
      <c r="D162" s="136">
        <v>54</v>
      </c>
      <c r="E162" s="136">
        <f t="shared" si="3"/>
        <v>19222</v>
      </c>
      <c r="F162" s="163" t="s">
        <v>845</v>
      </c>
      <c r="G162" s="136"/>
    </row>
    <row r="163" spans="1:7" x14ac:dyDescent="0.25">
      <c r="A163" s="152" t="s">
        <v>839</v>
      </c>
      <c r="B163" s="136" t="s">
        <v>840</v>
      </c>
      <c r="C163" s="136"/>
      <c r="D163" s="136">
        <v>50</v>
      </c>
      <c r="E163" s="136">
        <f t="shared" si="3"/>
        <v>19172</v>
      </c>
      <c r="F163" s="136" t="s">
        <v>17</v>
      </c>
      <c r="G163" s="136"/>
    </row>
    <row r="164" spans="1:7" x14ac:dyDescent="0.25">
      <c r="A164" s="152" t="s">
        <v>839</v>
      </c>
      <c r="B164" s="136" t="s">
        <v>783</v>
      </c>
      <c r="C164" s="136"/>
      <c r="D164" s="136">
        <v>16</v>
      </c>
      <c r="E164" s="136">
        <f t="shared" si="3"/>
        <v>19156</v>
      </c>
      <c r="F164" s="136" t="s">
        <v>843</v>
      </c>
      <c r="G164" s="136"/>
    </row>
    <row r="165" spans="1:7" x14ac:dyDescent="0.25">
      <c r="A165" s="152" t="s">
        <v>839</v>
      </c>
      <c r="B165" s="136" t="s">
        <v>844</v>
      </c>
      <c r="C165" s="136">
        <v>21</v>
      </c>
      <c r="D165" s="136"/>
      <c r="E165" s="136">
        <f t="shared" si="3"/>
        <v>19177</v>
      </c>
      <c r="F165" s="136"/>
      <c r="G165" s="136"/>
    </row>
    <row r="166" spans="1:7" x14ac:dyDescent="0.25">
      <c r="A166" s="152" t="s">
        <v>848</v>
      </c>
      <c r="B166" s="136" t="s">
        <v>550</v>
      </c>
      <c r="C166" s="136">
        <v>19</v>
      </c>
      <c r="D166" s="136"/>
      <c r="E166" s="136">
        <f t="shared" si="3"/>
        <v>19196</v>
      </c>
      <c r="F166" s="136"/>
      <c r="G166" s="136"/>
    </row>
    <row r="167" spans="1:7" x14ac:dyDescent="0.25">
      <c r="A167" s="152" t="s">
        <v>848</v>
      </c>
      <c r="B167" s="136" t="s">
        <v>550</v>
      </c>
      <c r="C167" s="136">
        <v>99</v>
      </c>
      <c r="D167" s="136"/>
      <c r="E167" s="136">
        <f t="shared" si="3"/>
        <v>19295</v>
      </c>
      <c r="F167" s="136"/>
      <c r="G167" s="136"/>
    </row>
    <row r="168" spans="1:7" x14ac:dyDescent="0.25">
      <c r="A168" s="152" t="s">
        <v>856</v>
      </c>
      <c r="B168" s="136" t="s">
        <v>522</v>
      </c>
      <c r="C168" s="163">
        <v>26</v>
      </c>
      <c r="D168" s="136"/>
      <c r="E168" s="136">
        <f t="shared" si="3"/>
        <v>19321</v>
      </c>
      <c r="F168" s="136"/>
      <c r="G168" s="136"/>
    </row>
    <row r="169" spans="1:7" x14ac:dyDescent="0.25">
      <c r="A169" s="152" t="s">
        <v>873</v>
      </c>
      <c r="B169" s="136" t="s">
        <v>257</v>
      </c>
      <c r="C169" s="136">
        <v>196</v>
      </c>
      <c r="D169" s="136"/>
      <c r="E169" s="136">
        <f t="shared" si="3"/>
        <v>19517</v>
      </c>
      <c r="F169" s="136"/>
      <c r="G169" s="136"/>
    </row>
    <row r="170" spans="1:7" x14ac:dyDescent="0.25">
      <c r="A170" s="152" t="s">
        <v>880</v>
      </c>
      <c r="B170" s="136" t="s">
        <v>484</v>
      </c>
      <c r="C170" s="136">
        <v>100</v>
      </c>
      <c r="D170" s="136"/>
      <c r="E170" s="136">
        <f t="shared" si="3"/>
        <v>19617</v>
      </c>
      <c r="F170" s="136"/>
      <c r="G170" s="136"/>
    </row>
    <row r="171" spans="1:7" x14ac:dyDescent="0.25">
      <c r="A171" s="138" t="s">
        <v>880</v>
      </c>
      <c r="B171" s="136" t="s">
        <v>522</v>
      </c>
      <c r="C171" s="136">
        <v>22</v>
      </c>
      <c r="D171" s="136"/>
      <c r="E171" s="136">
        <f t="shared" si="3"/>
        <v>19639</v>
      </c>
      <c r="F171" s="136"/>
      <c r="G171" s="136"/>
    </row>
    <row r="172" spans="1:7" x14ac:dyDescent="0.25">
      <c r="A172" s="138" t="s">
        <v>883</v>
      </c>
      <c r="B172" s="136" t="s">
        <v>884</v>
      </c>
      <c r="C172" s="136"/>
      <c r="D172" s="136">
        <v>5</v>
      </c>
      <c r="E172" s="136">
        <f t="shared" si="3"/>
        <v>19634</v>
      </c>
      <c r="F172" s="136" t="s">
        <v>885</v>
      </c>
      <c r="G172" s="136"/>
    </row>
    <row r="173" spans="1:7" x14ac:dyDescent="0.25">
      <c r="A173" s="138" t="s">
        <v>883</v>
      </c>
      <c r="B173" s="136" t="s">
        <v>814</v>
      </c>
      <c r="C173" s="136"/>
      <c r="D173" s="136">
        <v>18</v>
      </c>
      <c r="E173" s="136">
        <f t="shared" si="3"/>
        <v>19616</v>
      </c>
      <c r="F173" s="136" t="s">
        <v>889</v>
      </c>
      <c r="G173" s="136"/>
    </row>
    <row r="174" spans="1:7" x14ac:dyDescent="0.25">
      <c r="A174" s="138" t="s">
        <v>893</v>
      </c>
      <c r="B174" s="136" t="s">
        <v>783</v>
      </c>
      <c r="C174" s="136"/>
      <c r="D174" s="136">
        <v>96</v>
      </c>
      <c r="E174" s="136">
        <f t="shared" si="3"/>
        <v>19520</v>
      </c>
      <c r="F174" s="136" t="s">
        <v>894</v>
      </c>
      <c r="G174" s="136"/>
    </row>
    <row r="175" spans="1:7" x14ac:dyDescent="0.25">
      <c r="A175" s="152" t="s">
        <v>897</v>
      </c>
      <c r="B175" s="136" t="s">
        <v>881</v>
      </c>
      <c r="C175" s="136"/>
      <c r="D175" s="136">
        <v>50</v>
      </c>
      <c r="E175" s="136">
        <f t="shared" si="3"/>
        <v>19470</v>
      </c>
      <c r="F175" s="136" t="s">
        <v>898</v>
      </c>
      <c r="G175" s="136"/>
    </row>
    <row r="176" spans="1:7" x14ac:dyDescent="0.25">
      <c r="A176" s="138" t="s">
        <v>897</v>
      </c>
      <c r="B176" s="136" t="s">
        <v>899</v>
      </c>
      <c r="C176" s="136"/>
      <c r="D176" s="136">
        <v>250</v>
      </c>
      <c r="E176" s="136">
        <f t="shared" si="3"/>
        <v>19220</v>
      </c>
      <c r="F176" s="136" t="s">
        <v>900</v>
      </c>
      <c r="G176" s="136"/>
    </row>
    <row r="177" spans="1:7" x14ac:dyDescent="0.25">
      <c r="A177" s="138" t="s">
        <v>897</v>
      </c>
      <c r="B177" s="136" t="s">
        <v>901</v>
      </c>
      <c r="C177" s="136">
        <v>142</v>
      </c>
      <c r="D177" s="136"/>
      <c r="E177" s="136">
        <f t="shared" si="3"/>
        <v>19362</v>
      </c>
      <c r="F177" s="136"/>
      <c r="G177" s="136"/>
    </row>
    <row r="178" spans="1:7" x14ac:dyDescent="0.25">
      <c r="A178" s="152" t="s">
        <v>902</v>
      </c>
      <c r="B178" s="136" t="s">
        <v>454</v>
      </c>
      <c r="C178" s="136"/>
      <c r="D178" s="136">
        <v>20</v>
      </c>
      <c r="E178" s="136">
        <f t="shared" si="3"/>
        <v>19342</v>
      </c>
      <c r="F178" s="136" t="s">
        <v>903</v>
      </c>
      <c r="G178" s="136"/>
    </row>
    <row r="179" spans="1:7" x14ac:dyDescent="0.25">
      <c r="A179" s="152" t="s">
        <v>902</v>
      </c>
      <c r="B179" s="136" t="s">
        <v>257</v>
      </c>
      <c r="C179" s="136">
        <v>87</v>
      </c>
      <c r="D179" s="136"/>
      <c r="E179" s="136">
        <f t="shared" si="3"/>
        <v>19429</v>
      </c>
      <c r="F179" s="136"/>
      <c r="G179" s="136"/>
    </row>
    <row r="180" spans="1:7" x14ac:dyDescent="0.25">
      <c r="A180" s="152" t="s">
        <v>902</v>
      </c>
      <c r="B180" s="136" t="s">
        <v>907</v>
      </c>
      <c r="C180" s="136"/>
      <c r="D180" s="136">
        <v>50</v>
      </c>
      <c r="E180" s="136">
        <f t="shared" si="3"/>
        <v>19379</v>
      </c>
      <c r="F180" s="136" t="s">
        <v>17</v>
      </c>
      <c r="G180" s="136"/>
    </row>
    <row r="181" spans="1:7" x14ac:dyDescent="0.25">
      <c r="A181" s="152" t="s">
        <v>902</v>
      </c>
      <c r="B181" s="136" t="s">
        <v>907</v>
      </c>
      <c r="C181" s="136"/>
      <c r="D181" s="136">
        <v>50</v>
      </c>
      <c r="E181" s="136">
        <f t="shared" si="3"/>
        <v>19329</v>
      </c>
      <c r="F181" s="136" t="s">
        <v>17</v>
      </c>
      <c r="G181" s="136"/>
    </row>
    <row r="182" spans="1:7" x14ac:dyDescent="0.25">
      <c r="A182" s="152" t="s">
        <v>911</v>
      </c>
      <c r="B182" s="136" t="s">
        <v>275</v>
      </c>
      <c r="C182" s="136">
        <v>67</v>
      </c>
      <c r="D182" s="136"/>
      <c r="E182" s="136">
        <f t="shared" si="3"/>
        <v>19396</v>
      </c>
      <c r="F182" s="136"/>
      <c r="G182" s="136"/>
    </row>
    <row r="183" spans="1:7" x14ac:dyDescent="0.25">
      <c r="A183" s="152" t="s">
        <v>911</v>
      </c>
      <c r="B183" s="136" t="s">
        <v>522</v>
      </c>
      <c r="C183" s="136">
        <v>71</v>
      </c>
      <c r="D183" s="136"/>
      <c r="E183" s="136">
        <f t="shared" si="3"/>
        <v>19467</v>
      </c>
      <c r="F183" s="136"/>
      <c r="G183" s="136"/>
    </row>
    <row r="184" spans="1:7" x14ac:dyDescent="0.25">
      <c r="A184" s="152" t="s">
        <v>914</v>
      </c>
      <c r="B184" s="136" t="s">
        <v>275</v>
      </c>
      <c r="C184" s="136">
        <v>84</v>
      </c>
      <c r="D184" s="136"/>
      <c r="E184" s="136">
        <f t="shared" si="3"/>
        <v>19551</v>
      </c>
      <c r="F184" s="136"/>
      <c r="G184" s="136"/>
    </row>
    <row r="185" spans="1:7" x14ac:dyDescent="0.25">
      <c r="A185" s="136"/>
      <c r="B185" s="136"/>
      <c r="C185" s="136"/>
      <c r="D185" s="136"/>
      <c r="E185" s="136"/>
      <c r="F185" s="136"/>
      <c r="G185" s="136"/>
    </row>
    <row r="186" spans="1:7" x14ac:dyDescent="0.25">
      <c r="A186" s="136"/>
      <c r="B186" s="136"/>
      <c r="C186" s="136"/>
      <c r="D186" s="136"/>
      <c r="E186" s="136"/>
      <c r="F186" s="136"/>
      <c r="G186" s="136"/>
    </row>
    <row r="187" spans="1:7" x14ac:dyDescent="0.25">
      <c r="A187" s="136"/>
      <c r="B187" s="136"/>
      <c r="C187" s="136"/>
      <c r="D187" s="136"/>
      <c r="E187" s="136"/>
      <c r="F187" s="136"/>
      <c r="G187" s="136"/>
    </row>
    <row r="188" spans="1:7" x14ac:dyDescent="0.25">
      <c r="A188" s="136"/>
      <c r="B188" s="136"/>
      <c r="C188" s="136"/>
      <c r="D188" s="136"/>
      <c r="E188" s="136"/>
      <c r="F188" s="136"/>
      <c r="G188" s="136"/>
    </row>
    <row r="189" spans="1:7" x14ac:dyDescent="0.25">
      <c r="A189" s="136"/>
      <c r="B189" s="136"/>
      <c r="C189" s="136"/>
      <c r="D189" s="136"/>
      <c r="E189" s="136"/>
      <c r="F189" s="136"/>
      <c r="G189" s="136"/>
    </row>
    <row r="190" spans="1:7" x14ac:dyDescent="0.25">
      <c r="A190" s="136"/>
      <c r="B190" s="136"/>
      <c r="C190" s="136"/>
      <c r="D190" s="136"/>
      <c r="E190" s="136"/>
      <c r="F190" s="136"/>
      <c r="G190" s="136"/>
    </row>
    <row r="191" spans="1:7" x14ac:dyDescent="0.25">
      <c r="A191" s="136"/>
      <c r="B191" s="136"/>
      <c r="C191" s="136"/>
      <c r="D191" s="136"/>
      <c r="E191" s="136"/>
      <c r="F191" s="136"/>
      <c r="G191" s="136"/>
    </row>
    <row r="192" spans="1:7" x14ac:dyDescent="0.25">
      <c r="A192" s="136"/>
      <c r="B192" s="136"/>
      <c r="C192" s="136"/>
      <c r="D192" s="136"/>
      <c r="E192" s="136"/>
      <c r="F192" s="136"/>
      <c r="G192" s="136"/>
    </row>
    <row r="193" spans="1:7" x14ac:dyDescent="0.25">
      <c r="A193" s="136"/>
      <c r="B193" s="136"/>
      <c r="C193" s="136"/>
      <c r="D193" s="136"/>
      <c r="E193" s="136"/>
      <c r="F193" s="136"/>
      <c r="G193" s="136"/>
    </row>
    <row r="194" spans="1:7" x14ac:dyDescent="0.25">
      <c r="A194" s="136"/>
      <c r="B194" s="136"/>
      <c r="C194" s="136"/>
      <c r="D194" s="136"/>
      <c r="E194" s="136"/>
      <c r="F194" s="136"/>
      <c r="G194" s="136"/>
    </row>
    <row r="195" spans="1:7" x14ac:dyDescent="0.25">
      <c r="A195" s="136"/>
      <c r="B195" s="136"/>
      <c r="C195" s="136"/>
      <c r="D195" s="136"/>
      <c r="E195" s="136"/>
      <c r="F195" s="136"/>
      <c r="G195" s="136"/>
    </row>
    <row r="196" spans="1:7" x14ac:dyDescent="0.25">
      <c r="A196" s="136"/>
      <c r="B196" s="136"/>
      <c r="C196" s="136"/>
      <c r="D196" s="136"/>
      <c r="E196" s="136"/>
      <c r="F196" s="136"/>
      <c r="G196" s="136"/>
    </row>
    <row r="197" spans="1:7" x14ac:dyDescent="0.25">
      <c r="A197" s="136"/>
      <c r="B197" s="136"/>
      <c r="C197" s="136"/>
      <c r="D197" s="136"/>
      <c r="E197" s="136"/>
      <c r="F197" s="136"/>
      <c r="G197" s="136"/>
    </row>
  </sheetData>
  <pageMargins left="0.7" right="0.7" top="0.75" bottom="0.75" header="0.3" footer="0.3"/>
  <pageSetup paperSize="136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pane ySplit="1515" topLeftCell="A3" activePane="bottomLeft"/>
      <selection sqref="A1:G1048576"/>
      <selection pane="bottomLeft" activeCell="J16" sqref="J16"/>
    </sheetView>
  </sheetViews>
  <sheetFormatPr defaultRowHeight="15" x14ac:dyDescent="0.25"/>
  <cols>
    <col min="1" max="1" width="10.28515625" style="29" customWidth="1"/>
    <col min="2" max="2" width="24" style="29" customWidth="1"/>
    <col min="3" max="5" width="9.140625" style="29"/>
    <col min="6" max="6" width="19" style="29" customWidth="1"/>
    <col min="7" max="7" width="24.5703125" style="29" customWidth="1"/>
  </cols>
  <sheetData>
    <row r="2" spans="1:7" ht="15.75" x14ac:dyDescent="0.25">
      <c r="A2" s="42" t="s">
        <v>10</v>
      </c>
      <c r="B2" s="33"/>
      <c r="C2" s="43"/>
      <c r="D2" s="43"/>
      <c r="E2" s="43"/>
      <c r="G2" s="32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ht="15.75" hidden="1" x14ac:dyDescent="0.25">
      <c r="A5" s="36"/>
      <c r="B5" s="36" t="s">
        <v>244</v>
      </c>
      <c r="C5" s="36"/>
      <c r="D5" s="36"/>
      <c r="E5" s="107">
        <v>866</v>
      </c>
      <c r="F5" s="36">
        <v>866</v>
      </c>
      <c r="G5" s="36"/>
    </row>
    <row r="6" spans="1:7" ht="16.5" hidden="1" customHeight="1" x14ac:dyDescent="0.25">
      <c r="A6" s="36" t="s">
        <v>161</v>
      </c>
      <c r="B6" s="36" t="s">
        <v>135</v>
      </c>
      <c r="C6" s="36"/>
      <c r="D6" s="36">
        <v>60</v>
      </c>
      <c r="E6" s="36">
        <f>E5+C6-D6</f>
        <v>806</v>
      </c>
      <c r="F6" s="36" t="s">
        <v>162</v>
      </c>
      <c r="G6" s="36"/>
    </row>
    <row r="7" spans="1:7" s="3" customFormat="1" hidden="1" x14ac:dyDescent="0.25">
      <c r="A7" s="36" t="s">
        <v>161</v>
      </c>
      <c r="B7" s="36" t="s">
        <v>135</v>
      </c>
      <c r="C7" s="36"/>
      <c r="D7" s="36">
        <v>40</v>
      </c>
      <c r="E7" s="36">
        <f t="shared" ref="E7:E9" si="0">E6+C7-D7</f>
        <v>766</v>
      </c>
      <c r="F7" s="36" t="s">
        <v>163</v>
      </c>
      <c r="G7" s="36"/>
    </row>
    <row r="8" spans="1:7" s="3" customFormat="1" hidden="1" x14ac:dyDescent="0.25">
      <c r="A8" s="36" t="s">
        <v>178</v>
      </c>
      <c r="B8" s="36" t="s">
        <v>135</v>
      </c>
      <c r="C8" s="36">
        <v>80</v>
      </c>
      <c r="D8" s="36"/>
      <c r="E8" s="36">
        <f t="shared" si="0"/>
        <v>846</v>
      </c>
      <c r="F8" s="36"/>
      <c r="G8" s="36"/>
    </row>
    <row r="9" spans="1:7" s="3" customFormat="1" hidden="1" x14ac:dyDescent="0.25">
      <c r="A9" s="117" t="s">
        <v>224</v>
      </c>
      <c r="B9" s="36" t="s">
        <v>135</v>
      </c>
      <c r="C9" s="36">
        <v>20</v>
      </c>
      <c r="D9" s="36"/>
      <c r="E9" s="36">
        <f t="shared" si="0"/>
        <v>866</v>
      </c>
      <c r="F9" s="36"/>
      <c r="G9" s="36"/>
    </row>
    <row r="10" spans="1:7" s="3" customFormat="1" x14ac:dyDescent="0.25">
      <c r="A10" s="123"/>
      <c r="B10" s="123" t="s">
        <v>245</v>
      </c>
      <c r="C10" s="123"/>
      <c r="D10" s="123"/>
      <c r="E10" s="123"/>
      <c r="F10" s="123">
        <v>866</v>
      </c>
      <c r="G10" s="36"/>
    </row>
    <row r="11" spans="1:7" s="4" customFormat="1" x14ac:dyDescent="0.25">
      <c r="A11" s="108"/>
      <c r="B11" s="108"/>
      <c r="C11" s="108"/>
      <c r="D11" s="108"/>
      <c r="E11" s="108"/>
      <c r="F11" s="108"/>
      <c r="G11" s="108"/>
    </row>
  </sheetData>
  <pageMargins left="0.7" right="0.7" top="0.75" bottom="0.75" header="0.3" footer="0.3"/>
  <pageSetup paperSize="136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48100"/>
  <sheetViews>
    <sheetView tabSelected="1" zoomScaleNormal="100" workbookViewId="0">
      <pane ySplit="1530" topLeftCell="A314" activePane="bottomLeft"/>
      <selection activeCell="E7" sqref="E7"/>
      <selection pane="bottomLeft" activeCell="E320" sqref="E320:E323"/>
    </sheetView>
  </sheetViews>
  <sheetFormatPr defaultRowHeight="15" x14ac:dyDescent="0.25"/>
  <cols>
    <col min="1" max="1" width="11.7109375" style="129" customWidth="1"/>
    <col min="2" max="2" width="37" style="129" customWidth="1"/>
    <col min="3" max="3" width="10.85546875" style="129" customWidth="1"/>
    <col min="4" max="4" width="11.7109375" style="129" customWidth="1"/>
    <col min="5" max="5" width="9.140625" style="129"/>
    <col min="6" max="6" width="22.28515625" style="129" customWidth="1"/>
  </cols>
  <sheetData>
    <row r="2" spans="1:8" ht="15.75" x14ac:dyDescent="0.25">
      <c r="A2" s="127" t="s">
        <v>11</v>
      </c>
      <c r="B2" s="127"/>
      <c r="C2" s="127"/>
      <c r="D2" s="127"/>
      <c r="E2" s="127"/>
    </row>
    <row r="3" spans="1:8" ht="15.75" x14ac:dyDescent="0.25">
      <c r="A3" s="150"/>
      <c r="B3" s="151"/>
      <c r="C3" s="150"/>
      <c r="D3" s="150"/>
      <c r="E3" s="150"/>
    </row>
    <row r="4" spans="1:8" x14ac:dyDescent="0.25">
      <c r="A4" s="134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H4" s="261"/>
    </row>
    <row r="5" spans="1:8" x14ac:dyDescent="0.25">
      <c r="A5" s="137"/>
      <c r="B5" s="137" t="s">
        <v>246</v>
      </c>
      <c r="C5" s="137"/>
      <c r="D5" s="137"/>
      <c r="E5" s="137"/>
      <c r="F5" s="137">
        <v>11219</v>
      </c>
      <c r="H5" s="260"/>
    </row>
    <row r="6" spans="1:8" s="2" customFormat="1" x14ac:dyDescent="0.25">
      <c r="A6" s="143"/>
      <c r="B6" s="143"/>
      <c r="C6" s="143"/>
      <c r="D6" s="143"/>
      <c r="E6" s="262">
        <v>11219</v>
      </c>
      <c r="F6" s="143"/>
      <c r="G6" s="142"/>
    </row>
    <row r="7" spans="1:8" x14ac:dyDescent="0.25">
      <c r="A7" s="181" t="s">
        <v>607</v>
      </c>
      <c r="B7" s="163" t="s">
        <v>247</v>
      </c>
      <c r="C7" s="163"/>
      <c r="D7" s="163">
        <v>20</v>
      </c>
      <c r="E7" s="136">
        <f>E6+C7-D7</f>
        <v>11199</v>
      </c>
      <c r="F7" s="136" t="s">
        <v>248</v>
      </c>
    </row>
    <row r="8" spans="1:8" x14ac:dyDescent="0.25">
      <c r="A8" s="263" t="s">
        <v>249</v>
      </c>
      <c r="B8" s="163" t="s">
        <v>250</v>
      </c>
      <c r="C8" s="163">
        <v>13</v>
      </c>
      <c r="D8" s="136"/>
      <c r="E8" s="136">
        <f t="shared" ref="E8:E71" si="0">E7+C8-D8</f>
        <v>11212</v>
      </c>
      <c r="F8" s="136"/>
    </row>
    <row r="9" spans="1:8" x14ac:dyDescent="0.25">
      <c r="A9" s="263" t="s">
        <v>249</v>
      </c>
      <c r="B9" s="163" t="s">
        <v>253</v>
      </c>
      <c r="C9" s="163">
        <v>58</v>
      </c>
      <c r="D9" s="136"/>
      <c r="E9" s="136">
        <f t="shared" si="0"/>
        <v>11270</v>
      </c>
      <c r="F9" s="136"/>
    </row>
    <row r="10" spans="1:8" x14ac:dyDescent="0.25">
      <c r="A10" s="181" t="s">
        <v>608</v>
      </c>
      <c r="B10" s="163" t="s">
        <v>257</v>
      </c>
      <c r="C10" s="163"/>
      <c r="D10" s="163">
        <v>500</v>
      </c>
      <c r="E10" s="136">
        <f t="shared" si="0"/>
        <v>10770</v>
      </c>
      <c r="F10" s="136" t="s">
        <v>258</v>
      </c>
    </row>
    <row r="11" spans="1:8" x14ac:dyDescent="0.25">
      <c r="A11" s="181" t="s">
        <v>608</v>
      </c>
      <c r="B11" s="163" t="s">
        <v>257</v>
      </c>
      <c r="C11" s="163"/>
      <c r="D11" s="163">
        <v>240</v>
      </c>
      <c r="E11" s="136">
        <f t="shared" si="0"/>
        <v>10530</v>
      </c>
      <c r="F11" s="136" t="s">
        <v>259</v>
      </c>
    </row>
    <row r="12" spans="1:8" x14ac:dyDescent="0.25">
      <c r="A12" s="181" t="s">
        <v>608</v>
      </c>
      <c r="B12" s="163" t="s">
        <v>261</v>
      </c>
      <c r="C12" s="163"/>
      <c r="D12" s="163">
        <v>20</v>
      </c>
      <c r="E12" s="136">
        <f t="shared" si="0"/>
        <v>10510</v>
      </c>
      <c r="F12" s="136" t="s">
        <v>260</v>
      </c>
    </row>
    <row r="13" spans="1:8" x14ac:dyDescent="0.25">
      <c r="A13" s="181" t="s">
        <v>608</v>
      </c>
      <c r="B13" s="163" t="s">
        <v>262</v>
      </c>
      <c r="C13" s="163"/>
      <c r="D13" s="163">
        <v>900</v>
      </c>
      <c r="E13" s="136">
        <f t="shared" si="0"/>
        <v>9610</v>
      </c>
      <c r="F13" s="136" t="s">
        <v>263</v>
      </c>
    </row>
    <row r="14" spans="1:8" x14ac:dyDescent="0.25">
      <c r="A14" s="181" t="s">
        <v>608</v>
      </c>
      <c r="B14" s="163" t="s">
        <v>264</v>
      </c>
      <c r="C14" s="163">
        <v>240</v>
      </c>
      <c r="D14" s="136"/>
      <c r="E14" s="136">
        <f t="shared" si="0"/>
        <v>9850</v>
      </c>
      <c r="F14" s="136"/>
    </row>
    <row r="15" spans="1:8" x14ac:dyDescent="0.25">
      <c r="A15" s="181" t="s">
        <v>608</v>
      </c>
      <c r="B15" s="163" t="s">
        <v>266</v>
      </c>
      <c r="C15" s="163">
        <v>22</v>
      </c>
      <c r="D15" s="136"/>
      <c r="E15" s="136">
        <f t="shared" si="0"/>
        <v>9872</v>
      </c>
      <c r="F15" s="136"/>
    </row>
    <row r="16" spans="1:8" x14ac:dyDescent="0.25">
      <c r="A16" s="181" t="s">
        <v>609</v>
      </c>
      <c r="B16" s="163" t="s">
        <v>268</v>
      </c>
      <c r="C16" s="163"/>
      <c r="D16" s="163">
        <v>35</v>
      </c>
      <c r="E16" s="136">
        <f t="shared" si="0"/>
        <v>9837</v>
      </c>
      <c r="F16" s="136" t="s">
        <v>269</v>
      </c>
    </row>
    <row r="17" spans="1:6" x14ac:dyDescent="0.25">
      <c r="A17" s="181" t="s">
        <v>609</v>
      </c>
      <c r="B17" s="163" t="s">
        <v>275</v>
      </c>
      <c r="C17" s="163"/>
      <c r="D17" s="163">
        <v>60</v>
      </c>
      <c r="E17" s="136">
        <f t="shared" si="0"/>
        <v>9777</v>
      </c>
      <c r="F17" s="136" t="s">
        <v>276</v>
      </c>
    </row>
    <row r="18" spans="1:6" x14ac:dyDescent="0.25">
      <c r="A18" s="181" t="s">
        <v>609</v>
      </c>
      <c r="B18" s="163" t="s">
        <v>277</v>
      </c>
      <c r="C18" s="163"/>
      <c r="D18" s="163">
        <v>100</v>
      </c>
      <c r="E18" s="136">
        <f t="shared" si="0"/>
        <v>9677</v>
      </c>
      <c r="F18" s="136" t="s">
        <v>278</v>
      </c>
    </row>
    <row r="19" spans="1:6" x14ac:dyDescent="0.25">
      <c r="A19" s="181" t="s">
        <v>609</v>
      </c>
      <c r="B19" s="163" t="s">
        <v>257</v>
      </c>
      <c r="C19" s="163"/>
      <c r="D19" s="163">
        <v>140</v>
      </c>
      <c r="E19" s="136">
        <f t="shared" si="0"/>
        <v>9537</v>
      </c>
      <c r="F19" s="136" t="s">
        <v>279</v>
      </c>
    </row>
    <row r="20" spans="1:6" x14ac:dyDescent="0.25">
      <c r="A20" s="181" t="s">
        <v>609</v>
      </c>
      <c r="B20" s="163" t="s">
        <v>280</v>
      </c>
      <c r="C20" s="163"/>
      <c r="D20" s="163">
        <v>400</v>
      </c>
      <c r="E20" s="136">
        <f t="shared" si="0"/>
        <v>9137</v>
      </c>
      <c r="F20" s="136" t="s">
        <v>281</v>
      </c>
    </row>
    <row r="21" spans="1:6" x14ac:dyDescent="0.25">
      <c r="A21" s="181" t="s">
        <v>609</v>
      </c>
      <c r="B21" s="163" t="s">
        <v>221</v>
      </c>
      <c r="C21" s="163"/>
      <c r="D21" s="163">
        <v>100</v>
      </c>
      <c r="E21" s="136">
        <f t="shared" si="0"/>
        <v>9037</v>
      </c>
      <c r="F21" s="136" t="s">
        <v>282</v>
      </c>
    </row>
    <row r="22" spans="1:6" x14ac:dyDescent="0.25">
      <c r="A22" s="181" t="s">
        <v>609</v>
      </c>
      <c r="B22" s="163" t="s">
        <v>283</v>
      </c>
      <c r="C22" s="163"/>
      <c r="D22" s="163">
        <v>200</v>
      </c>
      <c r="E22" s="136">
        <f t="shared" si="0"/>
        <v>8837</v>
      </c>
      <c r="F22" s="136" t="s">
        <v>284</v>
      </c>
    </row>
    <row r="23" spans="1:6" x14ac:dyDescent="0.25">
      <c r="A23" s="263" t="s">
        <v>609</v>
      </c>
      <c r="B23" s="163" t="s">
        <v>105</v>
      </c>
      <c r="C23" s="163">
        <v>4</v>
      </c>
      <c r="D23" s="163"/>
      <c r="E23" s="136">
        <f t="shared" si="0"/>
        <v>8841</v>
      </c>
      <c r="F23" s="136"/>
    </row>
    <row r="24" spans="1:6" x14ac:dyDescent="0.25">
      <c r="A24" s="263" t="s">
        <v>459</v>
      </c>
      <c r="B24" s="163" t="s">
        <v>286</v>
      </c>
      <c r="C24" s="163"/>
      <c r="D24" s="163">
        <v>4</v>
      </c>
      <c r="E24" s="136">
        <f t="shared" si="0"/>
        <v>8837</v>
      </c>
      <c r="F24" s="136" t="s">
        <v>287</v>
      </c>
    </row>
    <row r="25" spans="1:6" x14ac:dyDescent="0.25">
      <c r="A25" s="181" t="s">
        <v>459</v>
      </c>
      <c r="B25" s="163" t="s">
        <v>273</v>
      </c>
      <c r="C25" s="163"/>
      <c r="D25" s="163">
        <v>35</v>
      </c>
      <c r="E25" s="136">
        <f t="shared" si="0"/>
        <v>8802</v>
      </c>
      <c r="F25" s="136" t="s">
        <v>288</v>
      </c>
    </row>
    <row r="26" spans="1:6" x14ac:dyDescent="0.25">
      <c r="A26" s="181" t="s">
        <v>459</v>
      </c>
      <c r="B26" s="163" t="s">
        <v>257</v>
      </c>
      <c r="C26" s="163"/>
      <c r="D26" s="163">
        <v>350</v>
      </c>
      <c r="E26" s="136">
        <f t="shared" si="0"/>
        <v>8452</v>
      </c>
      <c r="F26" s="136" t="s">
        <v>291</v>
      </c>
    </row>
    <row r="27" spans="1:6" x14ac:dyDescent="0.25">
      <c r="A27" s="181" t="s">
        <v>459</v>
      </c>
      <c r="B27" s="163" t="s">
        <v>257</v>
      </c>
      <c r="C27" s="163"/>
      <c r="D27" s="163">
        <v>260</v>
      </c>
      <c r="E27" s="136">
        <f t="shared" si="0"/>
        <v>8192</v>
      </c>
      <c r="F27" s="136" t="s">
        <v>292</v>
      </c>
    </row>
    <row r="28" spans="1:6" x14ac:dyDescent="0.25">
      <c r="A28" s="181" t="s">
        <v>459</v>
      </c>
      <c r="B28" s="163" t="s">
        <v>293</v>
      </c>
      <c r="C28" s="163">
        <v>10</v>
      </c>
      <c r="D28" s="163"/>
      <c r="E28" s="136">
        <f t="shared" si="0"/>
        <v>8202</v>
      </c>
      <c r="F28" s="136"/>
    </row>
    <row r="29" spans="1:6" x14ac:dyDescent="0.25">
      <c r="A29" s="263" t="s">
        <v>459</v>
      </c>
      <c r="B29" s="48" t="s">
        <v>294</v>
      </c>
      <c r="C29" s="48">
        <v>44</v>
      </c>
      <c r="D29" s="163"/>
      <c r="E29" s="136">
        <f t="shared" si="0"/>
        <v>8246</v>
      </c>
      <c r="F29" s="136"/>
    </row>
    <row r="30" spans="1:6" x14ac:dyDescent="0.25">
      <c r="A30" s="263" t="s">
        <v>459</v>
      </c>
      <c r="B30" s="163" t="s">
        <v>182</v>
      </c>
      <c r="C30" s="163">
        <v>109</v>
      </c>
      <c r="D30" s="136"/>
      <c r="E30" s="136">
        <f t="shared" si="0"/>
        <v>8355</v>
      </c>
      <c r="F30" s="136"/>
    </row>
    <row r="31" spans="1:6" x14ac:dyDescent="0.25">
      <c r="A31" s="181" t="s">
        <v>610</v>
      </c>
      <c r="B31" s="163" t="s">
        <v>297</v>
      </c>
      <c r="C31" s="163"/>
      <c r="D31" s="163">
        <v>108</v>
      </c>
      <c r="E31" s="136">
        <f t="shared" si="0"/>
        <v>8247</v>
      </c>
      <c r="F31" s="136" t="s">
        <v>296</v>
      </c>
    </row>
    <row r="32" spans="1:6" x14ac:dyDescent="0.25">
      <c r="A32" s="181" t="s">
        <v>301</v>
      </c>
      <c r="B32" s="163" t="s">
        <v>303</v>
      </c>
      <c r="C32" s="163"/>
      <c r="D32" s="163">
        <v>400</v>
      </c>
      <c r="E32" s="136">
        <f t="shared" si="0"/>
        <v>7847</v>
      </c>
      <c r="F32" s="136" t="s">
        <v>302</v>
      </c>
    </row>
    <row r="33" spans="1:6" x14ac:dyDescent="0.25">
      <c r="A33" s="263" t="s">
        <v>301</v>
      </c>
      <c r="B33" s="163" t="s">
        <v>305</v>
      </c>
      <c r="C33" s="163">
        <v>49</v>
      </c>
      <c r="D33" s="136"/>
      <c r="E33" s="136">
        <f t="shared" si="0"/>
        <v>7896</v>
      </c>
      <c r="F33" s="136"/>
    </row>
    <row r="34" spans="1:6" x14ac:dyDescent="0.25">
      <c r="A34" s="181" t="s">
        <v>611</v>
      </c>
      <c r="B34" s="163" t="s">
        <v>257</v>
      </c>
      <c r="C34" s="163"/>
      <c r="D34" s="163">
        <v>160</v>
      </c>
      <c r="E34" s="136">
        <f t="shared" si="0"/>
        <v>7736</v>
      </c>
      <c r="F34" s="136" t="s">
        <v>308</v>
      </c>
    </row>
    <row r="35" spans="1:6" x14ac:dyDescent="0.25">
      <c r="A35" s="181" t="s">
        <v>611</v>
      </c>
      <c r="B35" s="163" t="s">
        <v>309</v>
      </c>
      <c r="C35" s="163"/>
      <c r="D35" s="163">
        <v>50</v>
      </c>
      <c r="E35" s="136">
        <f t="shared" si="0"/>
        <v>7686</v>
      </c>
      <c r="F35" s="136" t="s">
        <v>310</v>
      </c>
    </row>
    <row r="36" spans="1:6" x14ac:dyDescent="0.25">
      <c r="A36" s="181" t="s">
        <v>611</v>
      </c>
      <c r="B36" s="163" t="s">
        <v>264</v>
      </c>
      <c r="C36" s="163">
        <v>140</v>
      </c>
      <c r="D36" s="136"/>
      <c r="E36" s="136">
        <f t="shared" si="0"/>
        <v>7826</v>
      </c>
      <c r="F36" s="136"/>
    </row>
    <row r="37" spans="1:6" x14ac:dyDescent="0.25">
      <c r="A37" s="181" t="s">
        <v>611</v>
      </c>
      <c r="B37" s="163" t="s">
        <v>257</v>
      </c>
      <c r="C37" s="163"/>
      <c r="D37" s="163">
        <v>140</v>
      </c>
      <c r="E37" s="136">
        <f t="shared" si="0"/>
        <v>7686</v>
      </c>
      <c r="F37" s="163" t="s">
        <v>335</v>
      </c>
    </row>
    <row r="38" spans="1:6" x14ac:dyDescent="0.25">
      <c r="A38" s="181" t="s">
        <v>612</v>
      </c>
      <c r="B38" s="163" t="s">
        <v>312</v>
      </c>
      <c r="C38" s="163"/>
      <c r="D38" s="163">
        <v>10</v>
      </c>
      <c r="E38" s="136">
        <f t="shared" si="0"/>
        <v>7676</v>
      </c>
      <c r="F38" s="136" t="s">
        <v>313</v>
      </c>
    </row>
    <row r="39" spans="1:6" x14ac:dyDescent="0.25">
      <c r="A39" s="263" t="s">
        <v>315</v>
      </c>
      <c r="B39" s="163" t="s">
        <v>320</v>
      </c>
      <c r="C39" s="163">
        <v>7</v>
      </c>
      <c r="D39" s="136"/>
      <c r="E39" s="136">
        <f t="shared" si="0"/>
        <v>7683</v>
      </c>
      <c r="F39" s="136"/>
    </row>
    <row r="40" spans="1:6" x14ac:dyDescent="0.25">
      <c r="A40" s="263" t="s">
        <v>315</v>
      </c>
      <c r="B40" s="163" t="s">
        <v>182</v>
      </c>
      <c r="C40" s="163">
        <v>34</v>
      </c>
      <c r="D40" s="136"/>
      <c r="E40" s="136">
        <f t="shared" si="0"/>
        <v>7717</v>
      </c>
      <c r="F40" s="136"/>
    </row>
    <row r="41" spans="1:6" x14ac:dyDescent="0.25">
      <c r="A41" s="264" t="s">
        <v>613</v>
      </c>
      <c r="B41" s="298" t="s">
        <v>323</v>
      </c>
      <c r="C41" s="298"/>
      <c r="D41" s="298">
        <v>188</v>
      </c>
      <c r="E41" s="299">
        <f t="shared" si="0"/>
        <v>7529</v>
      </c>
      <c r="F41" s="299" t="s">
        <v>325</v>
      </c>
    </row>
    <row r="42" spans="1:6" x14ac:dyDescent="0.25">
      <c r="A42" s="264" t="s">
        <v>613</v>
      </c>
      <c r="B42" s="298" t="s">
        <v>328</v>
      </c>
      <c r="C42" s="298"/>
      <c r="D42" s="298">
        <v>100</v>
      </c>
      <c r="E42" s="299">
        <f t="shared" si="0"/>
        <v>7429</v>
      </c>
      <c r="F42" s="299" t="s">
        <v>329</v>
      </c>
    </row>
    <row r="43" spans="1:6" x14ac:dyDescent="0.25">
      <c r="A43" s="264" t="s">
        <v>613</v>
      </c>
      <c r="B43" s="298" t="s">
        <v>330</v>
      </c>
      <c r="C43" s="298"/>
      <c r="D43" s="298">
        <v>30</v>
      </c>
      <c r="E43" s="299">
        <f t="shared" si="0"/>
        <v>7399</v>
      </c>
      <c r="F43" s="299" t="s">
        <v>331</v>
      </c>
    </row>
    <row r="44" spans="1:6" x14ac:dyDescent="0.25">
      <c r="A44" s="300" t="s">
        <v>614</v>
      </c>
      <c r="B44" s="298" t="s">
        <v>344</v>
      </c>
      <c r="C44" s="298"/>
      <c r="D44" s="298">
        <v>400</v>
      </c>
      <c r="E44" s="299">
        <f t="shared" si="0"/>
        <v>6999</v>
      </c>
      <c r="F44" s="299" t="s">
        <v>345</v>
      </c>
    </row>
    <row r="45" spans="1:6" x14ac:dyDescent="0.25">
      <c r="A45" s="301" t="s">
        <v>615</v>
      </c>
      <c r="B45" s="298" t="s">
        <v>182</v>
      </c>
      <c r="C45" s="298">
        <v>164</v>
      </c>
      <c r="D45" s="299"/>
      <c r="E45" s="299">
        <f t="shared" si="0"/>
        <v>7163</v>
      </c>
      <c r="F45" s="299"/>
    </row>
    <row r="46" spans="1:6" x14ac:dyDescent="0.25">
      <c r="A46" s="301" t="s">
        <v>616</v>
      </c>
      <c r="B46" s="298" t="s">
        <v>344</v>
      </c>
      <c r="C46" s="298"/>
      <c r="D46" s="298">
        <v>400</v>
      </c>
      <c r="E46" s="299">
        <f t="shared" si="0"/>
        <v>6763</v>
      </c>
      <c r="F46" s="299" t="s">
        <v>356</v>
      </c>
    </row>
    <row r="47" spans="1:6" x14ac:dyDescent="0.25">
      <c r="A47" s="301" t="s">
        <v>616</v>
      </c>
      <c r="B47" s="298" t="s">
        <v>344</v>
      </c>
      <c r="C47" s="298"/>
      <c r="D47" s="298">
        <v>100</v>
      </c>
      <c r="E47" s="299">
        <f t="shared" si="0"/>
        <v>6663</v>
      </c>
      <c r="F47" s="299" t="s">
        <v>357</v>
      </c>
    </row>
    <row r="48" spans="1:6" x14ac:dyDescent="0.25">
      <c r="A48" s="301" t="s">
        <v>616</v>
      </c>
      <c r="B48" s="298" t="s">
        <v>250</v>
      </c>
      <c r="C48" s="298">
        <v>44</v>
      </c>
      <c r="D48" s="298"/>
      <c r="E48" s="299">
        <f t="shared" si="0"/>
        <v>6707</v>
      </c>
      <c r="F48" s="299"/>
    </row>
    <row r="49" spans="1:6" x14ac:dyDescent="0.25">
      <c r="A49" s="301" t="s">
        <v>366</v>
      </c>
      <c r="B49" s="298" t="s">
        <v>402</v>
      </c>
      <c r="C49" s="298"/>
      <c r="D49" s="298">
        <v>700</v>
      </c>
      <c r="E49" s="299">
        <f t="shared" si="0"/>
        <v>6007</v>
      </c>
      <c r="F49" s="299" t="s">
        <v>365</v>
      </c>
    </row>
    <row r="50" spans="1:6" x14ac:dyDescent="0.25">
      <c r="A50" s="300" t="s">
        <v>366</v>
      </c>
      <c r="B50" s="298" t="s">
        <v>268</v>
      </c>
      <c r="C50" s="298"/>
      <c r="D50" s="298">
        <v>50</v>
      </c>
      <c r="E50" s="299">
        <f t="shared" si="0"/>
        <v>5957</v>
      </c>
      <c r="F50" s="299" t="s">
        <v>367</v>
      </c>
    </row>
    <row r="51" spans="1:6" x14ac:dyDescent="0.25">
      <c r="A51" s="300" t="s">
        <v>366</v>
      </c>
      <c r="B51" s="298" t="s">
        <v>370</v>
      </c>
      <c r="C51" s="298">
        <v>12</v>
      </c>
      <c r="D51" s="298"/>
      <c r="E51" s="299">
        <f t="shared" si="0"/>
        <v>5969</v>
      </c>
      <c r="F51" s="299"/>
    </row>
    <row r="52" spans="1:6" x14ac:dyDescent="0.25">
      <c r="A52" s="300" t="s">
        <v>371</v>
      </c>
      <c r="B52" s="298" t="s">
        <v>374</v>
      </c>
      <c r="C52" s="298"/>
      <c r="D52" s="298">
        <v>180</v>
      </c>
      <c r="E52" s="299">
        <f t="shared" si="0"/>
        <v>5789</v>
      </c>
      <c r="F52" s="299" t="s">
        <v>375</v>
      </c>
    </row>
    <row r="53" spans="1:6" x14ac:dyDescent="0.25">
      <c r="A53" s="300" t="s">
        <v>371</v>
      </c>
      <c r="B53" s="298" t="s">
        <v>381</v>
      </c>
      <c r="C53" s="298">
        <v>184</v>
      </c>
      <c r="D53" s="298"/>
      <c r="E53" s="299">
        <f t="shared" si="0"/>
        <v>5973</v>
      </c>
      <c r="F53" s="299"/>
    </row>
    <row r="54" spans="1:6" x14ac:dyDescent="0.25">
      <c r="A54" s="300" t="s">
        <v>371</v>
      </c>
      <c r="B54" s="298" t="s">
        <v>382</v>
      </c>
      <c r="C54" s="298">
        <v>18</v>
      </c>
      <c r="D54" s="298"/>
      <c r="E54" s="299">
        <f t="shared" si="0"/>
        <v>5991</v>
      </c>
      <c r="F54" s="299"/>
    </row>
    <row r="55" spans="1:6" x14ac:dyDescent="0.25">
      <c r="A55" s="300" t="s">
        <v>371</v>
      </c>
      <c r="B55" s="298" t="s">
        <v>264</v>
      </c>
      <c r="C55" s="298">
        <v>164</v>
      </c>
      <c r="D55" s="298"/>
      <c r="E55" s="299">
        <f t="shared" si="0"/>
        <v>6155</v>
      </c>
      <c r="F55" s="299"/>
    </row>
    <row r="56" spans="1:6" x14ac:dyDescent="0.25">
      <c r="A56" s="300" t="s">
        <v>371</v>
      </c>
      <c r="B56" s="298" t="s">
        <v>383</v>
      </c>
      <c r="C56" s="298"/>
      <c r="D56" s="298">
        <v>40</v>
      </c>
      <c r="E56" s="299">
        <f t="shared" si="0"/>
        <v>6115</v>
      </c>
      <c r="F56" s="299" t="s">
        <v>17</v>
      </c>
    </row>
    <row r="57" spans="1:6" x14ac:dyDescent="0.25">
      <c r="A57" s="300" t="s">
        <v>384</v>
      </c>
      <c r="B57" s="298" t="s">
        <v>402</v>
      </c>
      <c r="C57" s="298"/>
      <c r="D57" s="298">
        <v>400</v>
      </c>
      <c r="E57" s="299">
        <f t="shared" si="0"/>
        <v>5715</v>
      </c>
      <c r="F57" s="299" t="s">
        <v>387</v>
      </c>
    </row>
    <row r="58" spans="1:6" x14ac:dyDescent="0.25">
      <c r="A58" s="300" t="s">
        <v>384</v>
      </c>
      <c r="B58" s="298" t="s">
        <v>388</v>
      </c>
      <c r="C58" s="298"/>
      <c r="D58" s="298">
        <v>156</v>
      </c>
      <c r="E58" s="299">
        <f t="shared" si="0"/>
        <v>5559</v>
      </c>
      <c r="F58" s="299" t="s">
        <v>389</v>
      </c>
    </row>
    <row r="59" spans="1:6" x14ac:dyDescent="0.25">
      <c r="A59" s="300" t="s">
        <v>384</v>
      </c>
      <c r="B59" s="298" t="s">
        <v>390</v>
      </c>
      <c r="C59" s="298">
        <v>39</v>
      </c>
      <c r="D59" s="298"/>
      <c r="E59" s="299">
        <f t="shared" si="0"/>
        <v>5598</v>
      </c>
      <c r="F59" s="299"/>
    </row>
    <row r="60" spans="1:6" x14ac:dyDescent="0.25">
      <c r="A60" s="300" t="s">
        <v>394</v>
      </c>
      <c r="B60" s="298" t="s">
        <v>395</v>
      </c>
      <c r="C60" s="298">
        <v>80</v>
      </c>
      <c r="D60" s="299"/>
      <c r="E60" s="299">
        <f t="shared" si="0"/>
        <v>5678</v>
      </c>
      <c r="F60" s="299"/>
    </row>
    <row r="61" spans="1:6" x14ac:dyDescent="0.25">
      <c r="A61" s="300" t="s">
        <v>394</v>
      </c>
      <c r="B61" s="298" t="s">
        <v>283</v>
      </c>
      <c r="C61" s="298">
        <v>132</v>
      </c>
      <c r="D61" s="299"/>
      <c r="E61" s="299">
        <f t="shared" si="0"/>
        <v>5810</v>
      </c>
      <c r="F61" s="299"/>
    </row>
    <row r="62" spans="1:6" x14ac:dyDescent="0.25">
      <c r="A62" s="300" t="s">
        <v>400</v>
      </c>
      <c r="B62" s="298" t="s">
        <v>402</v>
      </c>
      <c r="C62" s="298"/>
      <c r="D62" s="298">
        <v>400</v>
      </c>
      <c r="E62" s="299">
        <f t="shared" si="0"/>
        <v>5410</v>
      </c>
      <c r="F62" s="299" t="s">
        <v>403</v>
      </c>
    </row>
    <row r="63" spans="1:6" x14ac:dyDescent="0.25">
      <c r="A63" s="301" t="s">
        <v>400</v>
      </c>
      <c r="B63" s="298" t="s">
        <v>283</v>
      </c>
      <c r="C63" s="298">
        <v>2</v>
      </c>
      <c r="D63" s="298"/>
      <c r="E63" s="299">
        <f t="shared" si="0"/>
        <v>5412</v>
      </c>
      <c r="F63" s="299"/>
    </row>
    <row r="64" spans="1:6" x14ac:dyDescent="0.25">
      <c r="A64" s="300" t="s">
        <v>400</v>
      </c>
      <c r="B64" s="298" t="s">
        <v>405</v>
      </c>
      <c r="C64" s="298">
        <v>20</v>
      </c>
      <c r="D64" s="299"/>
      <c r="E64" s="299">
        <f t="shared" si="0"/>
        <v>5432</v>
      </c>
      <c r="F64" s="299"/>
    </row>
    <row r="65" spans="1:6" x14ac:dyDescent="0.25">
      <c r="A65" s="301" t="s">
        <v>400</v>
      </c>
      <c r="B65" s="298" t="s">
        <v>182</v>
      </c>
      <c r="C65" s="298">
        <v>106</v>
      </c>
      <c r="D65" s="299"/>
      <c r="E65" s="299">
        <f t="shared" si="0"/>
        <v>5538</v>
      </c>
      <c r="F65" s="299"/>
    </row>
    <row r="66" spans="1:6" x14ac:dyDescent="0.25">
      <c r="A66" s="300" t="s">
        <v>408</v>
      </c>
      <c r="B66" s="298" t="s">
        <v>344</v>
      </c>
      <c r="C66" s="298"/>
      <c r="D66" s="298">
        <v>800</v>
      </c>
      <c r="E66" s="299">
        <f t="shared" si="0"/>
        <v>4738</v>
      </c>
      <c r="F66" s="299" t="s">
        <v>407</v>
      </c>
    </row>
    <row r="67" spans="1:6" x14ac:dyDescent="0.25">
      <c r="A67" s="300" t="s">
        <v>408</v>
      </c>
      <c r="B67" s="298" t="s">
        <v>383</v>
      </c>
      <c r="C67" s="298"/>
      <c r="D67" s="298">
        <v>80</v>
      </c>
      <c r="E67" s="299">
        <f t="shared" si="0"/>
        <v>4658</v>
      </c>
      <c r="F67" s="299" t="s">
        <v>17</v>
      </c>
    </row>
    <row r="68" spans="1:6" x14ac:dyDescent="0.25">
      <c r="A68" s="300" t="s">
        <v>410</v>
      </c>
      <c r="B68" s="298" t="s">
        <v>344</v>
      </c>
      <c r="C68" s="298"/>
      <c r="D68" s="298">
        <v>200</v>
      </c>
      <c r="E68" s="299">
        <f t="shared" si="0"/>
        <v>4458</v>
      </c>
      <c r="F68" s="299" t="s">
        <v>412</v>
      </c>
    </row>
    <row r="69" spans="1:6" x14ac:dyDescent="0.25">
      <c r="A69" s="300" t="s">
        <v>410</v>
      </c>
      <c r="B69" s="298" t="s">
        <v>414</v>
      </c>
      <c r="C69" s="298"/>
      <c r="D69" s="298">
        <v>30</v>
      </c>
      <c r="E69" s="299">
        <f t="shared" si="0"/>
        <v>4428</v>
      </c>
      <c r="F69" s="299" t="s">
        <v>415</v>
      </c>
    </row>
    <row r="70" spans="1:6" x14ac:dyDescent="0.25">
      <c r="A70" s="300" t="s">
        <v>410</v>
      </c>
      <c r="B70" s="298" t="s">
        <v>264</v>
      </c>
      <c r="C70" s="298">
        <v>160</v>
      </c>
      <c r="D70" s="299"/>
      <c r="E70" s="299">
        <f t="shared" si="0"/>
        <v>4588</v>
      </c>
      <c r="F70" s="299"/>
    </row>
    <row r="71" spans="1:6" x14ac:dyDescent="0.25">
      <c r="A71" s="300" t="s">
        <v>416</v>
      </c>
      <c r="B71" s="298" t="s">
        <v>417</v>
      </c>
      <c r="C71" s="298"/>
      <c r="D71" s="298">
        <v>180</v>
      </c>
      <c r="E71" s="299">
        <f t="shared" si="0"/>
        <v>4408</v>
      </c>
      <c r="F71" s="299" t="s">
        <v>418</v>
      </c>
    </row>
    <row r="72" spans="1:6" x14ac:dyDescent="0.25">
      <c r="A72" s="300" t="s">
        <v>416</v>
      </c>
      <c r="B72" s="298" t="s">
        <v>417</v>
      </c>
      <c r="C72" s="298"/>
      <c r="D72" s="298">
        <v>200</v>
      </c>
      <c r="E72" s="299">
        <f t="shared" ref="E72:E79" si="1">E71+C72-D72</f>
        <v>4208</v>
      </c>
      <c r="F72" s="299" t="s">
        <v>419</v>
      </c>
    </row>
    <row r="73" spans="1:6" x14ac:dyDescent="0.25">
      <c r="A73" s="300" t="s">
        <v>416</v>
      </c>
      <c r="B73" s="298" t="s">
        <v>414</v>
      </c>
      <c r="C73" s="298"/>
      <c r="D73" s="298">
        <v>40</v>
      </c>
      <c r="E73" s="299">
        <f t="shared" si="1"/>
        <v>4168</v>
      </c>
      <c r="F73" s="299" t="s">
        <v>420</v>
      </c>
    </row>
    <row r="74" spans="1:6" x14ac:dyDescent="0.25">
      <c r="A74" s="302" t="s">
        <v>423</v>
      </c>
      <c r="B74" s="299" t="s">
        <v>424</v>
      </c>
      <c r="C74" s="299"/>
      <c r="D74" s="299">
        <v>500</v>
      </c>
      <c r="E74" s="299">
        <f t="shared" si="1"/>
        <v>3668</v>
      </c>
      <c r="F74" s="299" t="s">
        <v>425</v>
      </c>
    </row>
    <row r="75" spans="1:6" x14ac:dyDescent="0.25">
      <c r="A75" s="138" t="s">
        <v>426</v>
      </c>
      <c r="B75" s="136" t="s">
        <v>402</v>
      </c>
      <c r="C75" s="136"/>
      <c r="D75" s="136">
        <v>100</v>
      </c>
      <c r="E75" s="136">
        <f t="shared" si="1"/>
        <v>3568</v>
      </c>
      <c r="F75" s="136" t="s">
        <v>427</v>
      </c>
    </row>
    <row r="76" spans="1:6" x14ac:dyDescent="0.25">
      <c r="A76" s="138" t="s">
        <v>426</v>
      </c>
      <c r="B76" s="136" t="s">
        <v>402</v>
      </c>
      <c r="C76" s="136"/>
      <c r="D76" s="136">
        <v>20</v>
      </c>
      <c r="E76" s="136">
        <f t="shared" si="1"/>
        <v>3548</v>
      </c>
      <c r="F76" s="136" t="s">
        <v>428</v>
      </c>
    </row>
    <row r="77" spans="1:6" x14ac:dyDescent="0.25">
      <c r="A77" s="152" t="s">
        <v>430</v>
      </c>
      <c r="B77" s="136" t="s">
        <v>383</v>
      </c>
      <c r="C77" s="136"/>
      <c r="D77" s="136">
        <v>96</v>
      </c>
      <c r="E77" s="136">
        <f t="shared" si="1"/>
        <v>3452</v>
      </c>
      <c r="F77" s="136" t="s">
        <v>17</v>
      </c>
    </row>
    <row r="78" spans="1:6" x14ac:dyDescent="0.25">
      <c r="A78" s="152" t="s">
        <v>438</v>
      </c>
      <c r="B78" s="136" t="s">
        <v>439</v>
      </c>
      <c r="C78" s="136"/>
      <c r="D78" s="136">
        <v>50</v>
      </c>
      <c r="E78" s="136">
        <f t="shared" si="1"/>
        <v>3402</v>
      </c>
      <c r="F78" s="136" t="s">
        <v>440</v>
      </c>
    </row>
    <row r="79" spans="1:6" ht="15.75" x14ac:dyDescent="0.25">
      <c r="A79" s="266" t="s">
        <v>438</v>
      </c>
      <c r="B79" s="267" t="s">
        <v>382</v>
      </c>
      <c r="C79" s="267">
        <v>22</v>
      </c>
      <c r="D79" s="267"/>
      <c r="E79" s="268">
        <f t="shared" si="1"/>
        <v>3424</v>
      </c>
      <c r="F79" s="267"/>
    </row>
    <row r="80" spans="1:6" x14ac:dyDescent="0.25">
      <c r="A80" s="181" t="s">
        <v>441</v>
      </c>
      <c r="B80" s="163" t="s">
        <v>442</v>
      </c>
      <c r="C80" s="163">
        <v>1000</v>
      </c>
      <c r="D80" s="163"/>
      <c r="E80" s="163">
        <f>E79+C80-D80</f>
        <v>4424</v>
      </c>
      <c r="F80" s="163" t="s">
        <v>443</v>
      </c>
    </row>
    <row r="81" spans="1:6" x14ac:dyDescent="0.25">
      <c r="A81" s="152" t="s">
        <v>441</v>
      </c>
      <c r="B81" s="136" t="s">
        <v>402</v>
      </c>
      <c r="C81" s="136"/>
      <c r="D81" s="136">
        <v>510</v>
      </c>
      <c r="E81" s="136">
        <f>E80+C81-D81</f>
        <v>3914</v>
      </c>
      <c r="F81" s="136" t="s">
        <v>444</v>
      </c>
    </row>
    <row r="82" spans="1:6" x14ac:dyDescent="0.25">
      <c r="A82" s="152" t="s">
        <v>441</v>
      </c>
      <c r="B82" s="136" t="s">
        <v>402</v>
      </c>
      <c r="C82" s="136"/>
      <c r="D82" s="136">
        <v>30</v>
      </c>
      <c r="E82" s="136">
        <f t="shared" ref="E82:E148" si="2">E81+C82-D82</f>
        <v>3884</v>
      </c>
      <c r="F82" s="136" t="s">
        <v>445</v>
      </c>
    </row>
    <row r="83" spans="1:6" x14ac:dyDescent="0.25">
      <c r="A83" s="152" t="s">
        <v>441</v>
      </c>
      <c r="B83" s="136" t="s">
        <v>447</v>
      </c>
      <c r="C83" s="136"/>
      <c r="D83" s="136">
        <v>40</v>
      </c>
      <c r="E83" s="136">
        <f t="shared" si="2"/>
        <v>3844</v>
      </c>
      <c r="F83" s="136" t="s">
        <v>446</v>
      </c>
    </row>
    <row r="84" spans="1:6" x14ac:dyDescent="0.25">
      <c r="A84" s="152" t="s">
        <v>441</v>
      </c>
      <c r="B84" s="136" t="s">
        <v>448</v>
      </c>
      <c r="C84" s="136"/>
      <c r="D84" s="136">
        <v>180</v>
      </c>
      <c r="E84" s="136">
        <f t="shared" si="2"/>
        <v>3664</v>
      </c>
      <c r="F84" s="136" t="s">
        <v>449</v>
      </c>
    </row>
    <row r="85" spans="1:6" x14ac:dyDescent="0.25">
      <c r="A85" s="152" t="s">
        <v>441</v>
      </c>
      <c r="B85" s="136" t="s">
        <v>450</v>
      </c>
      <c r="C85" s="136"/>
      <c r="D85" s="136">
        <v>80</v>
      </c>
      <c r="E85" s="136">
        <f t="shared" si="2"/>
        <v>3584</v>
      </c>
      <c r="F85" s="136" t="s">
        <v>451</v>
      </c>
    </row>
    <row r="86" spans="1:6" x14ac:dyDescent="0.25">
      <c r="A86" s="152" t="s">
        <v>456</v>
      </c>
      <c r="B86" s="136" t="s">
        <v>457</v>
      </c>
      <c r="C86" s="136"/>
      <c r="D86" s="136">
        <v>210</v>
      </c>
      <c r="E86" s="136">
        <f t="shared" si="2"/>
        <v>3374</v>
      </c>
      <c r="F86" s="136" t="s">
        <v>458</v>
      </c>
    </row>
    <row r="87" spans="1:6" x14ac:dyDescent="0.25">
      <c r="A87" s="238" t="s">
        <v>456</v>
      </c>
      <c r="B87" s="136" t="s">
        <v>462</v>
      </c>
      <c r="C87" s="136">
        <v>142</v>
      </c>
      <c r="D87" s="136"/>
      <c r="E87" s="136">
        <f t="shared" si="2"/>
        <v>3516</v>
      </c>
      <c r="F87" s="136"/>
    </row>
    <row r="88" spans="1:6" x14ac:dyDescent="0.25">
      <c r="A88" s="152" t="s">
        <v>466</v>
      </c>
      <c r="B88" s="136" t="s">
        <v>454</v>
      </c>
      <c r="C88" s="136"/>
      <c r="D88" s="136">
        <v>40</v>
      </c>
      <c r="E88" s="136">
        <f t="shared" si="2"/>
        <v>3476</v>
      </c>
      <c r="F88" s="136" t="s">
        <v>467</v>
      </c>
    </row>
    <row r="89" spans="1:6" x14ac:dyDescent="0.25">
      <c r="A89" s="152" t="s">
        <v>468</v>
      </c>
      <c r="B89" s="136" t="s">
        <v>374</v>
      </c>
      <c r="C89" s="136"/>
      <c r="D89" s="136">
        <v>200</v>
      </c>
      <c r="E89" s="136">
        <f t="shared" si="2"/>
        <v>3276</v>
      </c>
      <c r="F89" s="136" t="s">
        <v>469</v>
      </c>
    </row>
    <row r="90" spans="1:6" x14ac:dyDescent="0.25">
      <c r="A90" s="152" t="s">
        <v>468</v>
      </c>
      <c r="B90" s="136" t="s">
        <v>402</v>
      </c>
      <c r="C90" s="136"/>
      <c r="D90" s="136">
        <v>165</v>
      </c>
      <c r="E90" s="136">
        <f t="shared" si="2"/>
        <v>3111</v>
      </c>
      <c r="F90" s="136" t="s">
        <v>470</v>
      </c>
    </row>
    <row r="91" spans="1:6" x14ac:dyDescent="0.25">
      <c r="A91" s="152" t="s">
        <v>468</v>
      </c>
      <c r="B91" s="136" t="s">
        <v>402</v>
      </c>
      <c r="C91" s="136"/>
      <c r="D91" s="136">
        <v>105</v>
      </c>
      <c r="E91" s="136">
        <f t="shared" si="2"/>
        <v>3006</v>
      </c>
      <c r="F91" s="136" t="s">
        <v>470</v>
      </c>
    </row>
    <row r="92" spans="1:6" x14ac:dyDescent="0.25">
      <c r="A92" s="152" t="s">
        <v>468</v>
      </c>
      <c r="B92" s="136" t="s">
        <v>221</v>
      </c>
      <c r="C92" s="136"/>
      <c r="D92" s="136">
        <v>90</v>
      </c>
      <c r="E92" s="136">
        <f t="shared" si="2"/>
        <v>2916</v>
      </c>
      <c r="F92" s="136" t="s">
        <v>471</v>
      </c>
    </row>
    <row r="93" spans="1:6" x14ac:dyDescent="0.25">
      <c r="A93" s="152" t="s">
        <v>468</v>
      </c>
      <c r="B93" s="136" t="s">
        <v>472</v>
      </c>
      <c r="C93" s="136">
        <v>36</v>
      </c>
      <c r="D93" s="136"/>
      <c r="E93" s="136">
        <f t="shared" si="2"/>
        <v>2952</v>
      </c>
      <c r="F93" s="136"/>
    </row>
    <row r="94" spans="1:6" x14ac:dyDescent="0.25">
      <c r="A94" s="138" t="s">
        <v>473</v>
      </c>
      <c r="B94" s="136" t="s">
        <v>283</v>
      </c>
      <c r="C94" s="136">
        <v>140</v>
      </c>
      <c r="D94" s="136"/>
      <c r="E94" s="136">
        <f t="shared" si="2"/>
        <v>3092</v>
      </c>
      <c r="F94" s="136"/>
    </row>
    <row r="95" spans="1:6" x14ac:dyDescent="0.25">
      <c r="A95" s="238" t="s">
        <v>475</v>
      </c>
      <c r="B95" s="136" t="s">
        <v>374</v>
      </c>
      <c r="C95" s="136"/>
      <c r="D95" s="136">
        <v>290</v>
      </c>
      <c r="E95" s="136">
        <f t="shared" si="2"/>
        <v>2802</v>
      </c>
      <c r="F95" s="136" t="s">
        <v>474</v>
      </c>
    </row>
    <row r="96" spans="1:6" x14ac:dyDescent="0.25">
      <c r="A96" s="238" t="s">
        <v>475</v>
      </c>
      <c r="B96" s="136" t="s">
        <v>283</v>
      </c>
      <c r="C96" s="136">
        <v>23</v>
      </c>
      <c r="D96" s="136"/>
      <c r="E96" s="136">
        <f t="shared" si="2"/>
        <v>2825</v>
      </c>
      <c r="F96" s="136"/>
    </row>
    <row r="97" spans="1:6" x14ac:dyDescent="0.25">
      <c r="A97" s="238" t="s">
        <v>475</v>
      </c>
      <c r="B97" s="136" t="s">
        <v>283</v>
      </c>
      <c r="C97" s="136">
        <v>4</v>
      </c>
      <c r="D97" s="136"/>
      <c r="E97" s="136">
        <f t="shared" si="2"/>
        <v>2829</v>
      </c>
      <c r="F97" s="136"/>
    </row>
    <row r="98" spans="1:6" x14ac:dyDescent="0.25">
      <c r="A98" s="152" t="s">
        <v>483</v>
      </c>
      <c r="B98" s="136" t="s">
        <v>448</v>
      </c>
      <c r="C98" s="136">
        <v>18</v>
      </c>
      <c r="D98" s="136"/>
      <c r="E98" s="136">
        <f t="shared" si="2"/>
        <v>2847</v>
      </c>
      <c r="F98" s="136"/>
    </row>
    <row r="99" spans="1:6" x14ac:dyDescent="0.25">
      <c r="A99" s="181" t="s">
        <v>485</v>
      </c>
      <c r="B99" s="163" t="s">
        <v>442</v>
      </c>
      <c r="C99" s="163">
        <v>500</v>
      </c>
      <c r="D99" s="163"/>
      <c r="E99" s="163">
        <f t="shared" si="2"/>
        <v>3347</v>
      </c>
      <c r="F99" s="163" t="s">
        <v>617</v>
      </c>
    </row>
    <row r="100" spans="1:6" x14ac:dyDescent="0.25">
      <c r="A100" s="138" t="s">
        <v>485</v>
      </c>
      <c r="B100" s="136" t="s">
        <v>402</v>
      </c>
      <c r="C100" s="136"/>
      <c r="D100" s="136">
        <v>70</v>
      </c>
      <c r="E100" s="136">
        <f t="shared" si="2"/>
        <v>3277</v>
      </c>
      <c r="F100" s="136" t="s">
        <v>487</v>
      </c>
    </row>
    <row r="101" spans="1:6" x14ac:dyDescent="0.25">
      <c r="A101" s="181" t="s">
        <v>490</v>
      </c>
      <c r="B101" s="163" t="s">
        <v>442</v>
      </c>
      <c r="C101" s="163">
        <v>500</v>
      </c>
      <c r="D101" s="163"/>
      <c r="E101" s="163">
        <f t="shared" si="2"/>
        <v>3777</v>
      </c>
      <c r="F101" s="163" t="s">
        <v>617</v>
      </c>
    </row>
    <row r="102" spans="1:6" x14ac:dyDescent="0.25">
      <c r="A102" s="152" t="s">
        <v>491</v>
      </c>
      <c r="B102" s="136" t="s">
        <v>257</v>
      </c>
      <c r="C102" s="136"/>
      <c r="D102" s="136">
        <v>120</v>
      </c>
      <c r="E102" s="136">
        <f t="shared" si="2"/>
        <v>3657</v>
      </c>
      <c r="F102" s="136" t="s">
        <v>493</v>
      </c>
    </row>
    <row r="103" spans="1:6" x14ac:dyDescent="0.25">
      <c r="A103" s="258" t="s">
        <v>490</v>
      </c>
      <c r="B103" s="136" t="s">
        <v>414</v>
      </c>
      <c r="C103" s="136"/>
      <c r="D103" s="136">
        <v>30</v>
      </c>
      <c r="E103" s="136">
        <f t="shared" si="2"/>
        <v>3627</v>
      </c>
      <c r="F103" s="136" t="s">
        <v>494</v>
      </c>
    </row>
    <row r="104" spans="1:6" x14ac:dyDescent="0.25">
      <c r="A104" s="258" t="s">
        <v>490</v>
      </c>
      <c r="B104" s="136" t="s">
        <v>402</v>
      </c>
      <c r="C104" s="136"/>
      <c r="D104" s="136">
        <v>330</v>
      </c>
      <c r="E104" s="136">
        <f t="shared" si="2"/>
        <v>3297</v>
      </c>
      <c r="F104" s="136" t="s">
        <v>495</v>
      </c>
    </row>
    <row r="105" spans="1:6" x14ac:dyDescent="0.25">
      <c r="A105" s="258" t="s">
        <v>490</v>
      </c>
      <c r="B105" s="36" t="s">
        <v>182</v>
      </c>
      <c r="C105" s="36">
        <v>30</v>
      </c>
      <c r="D105" s="136"/>
      <c r="E105" s="136">
        <f t="shared" si="2"/>
        <v>3327</v>
      </c>
      <c r="F105" s="136"/>
    </row>
    <row r="106" spans="1:6" x14ac:dyDescent="0.25">
      <c r="A106" s="138" t="s">
        <v>496</v>
      </c>
      <c r="B106" s="136" t="s">
        <v>305</v>
      </c>
      <c r="C106" s="136">
        <v>12</v>
      </c>
      <c r="D106" s="136"/>
      <c r="E106" s="136">
        <f t="shared" si="2"/>
        <v>3339</v>
      </c>
      <c r="F106" s="136"/>
    </row>
    <row r="107" spans="1:6" x14ac:dyDescent="0.25">
      <c r="A107" s="152" t="s">
        <v>496</v>
      </c>
      <c r="B107" s="136" t="s">
        <v>257</v>
      </c>
      <c r="C107" s="136"/>
      <c r="D107" s="136">
        <v>500</v>
      </c>
      <c r="E107" s="136">
        <f t="shared" si="2"/>
        <v>2839</v>
      </c>
      <c r="F107" s="136" t="s">
        <v>498</v>
      </c>
    </row>
    <row r="108" spans="1:6" x14ac:dyDescent="0.25">
      <c r="A108" s="238" t="s">
        <v>500</v>
      </c>
      <c r="B108" s="136" t="s">
        <v>402</v>
      </c>
      <c r="C108" s="136"/>
      <c r="D108" s="136">
        <v>300</v>
      </c>
      <c r="E108" s="136">
        <f t="shared" si="2"/>
        <v>2539</v>
      </c>
      <c r="F108" s="136" t="s">
        <v>501</v>
      </c>
    </row>
    <row r="109" spans="1:6" x14ac:dyDescent="0.25">
      <c r="A109" s="138" t="s">
        <v>502</v>
      </c>
      <c r="B109" s="136" t="s">
        <v>503</v>
      </c>
      <c r="C109" s="136">
        <v>39</v>
      </c>
      <c r="D109" s="136"/>
      <c r="E109" s="136">
        <f t="shared" si="2"/>
        <v>2578</v>
      </c>
      <c r="F109" s="136"/>
    </row>
    <row r="110" spans="1:6" x14ac:dyDescent="0.25">
      <c r="A110" s="138" t="s">
        <v>504</v>
      </c>
      <c r="B110" s="136" t="s">
        <v>221</v>
      </c>
      <c r="C110" s="136"/>
      <c r="D110" s="136">
        <v>110</v>
      </c>
      <c r="E110" s="136">
        <f t="shared" si="2"/>
        <v>2468</v>
      </c>
      <c r="F110" s="136" t="s">
        <v>505</v>
      </c>
    </row>
    <row r="111" spans="1:6" x14ac:dyDescent="0.25">
      <c r="A111" s="138" t="s">
        <v>504</v>
      </c>
      <c r="B111" s="136" t="s">
        <v>402</v>
      </c>
      <c r="C111" s="136"/>
      <c r="D111" s="136">
        <v>70</v>
      </c>
      <c r="E111" s="136">
        <f t="shared" si="2"/>
        <v>2398</v>
      </c>
      <c r="F111" s="136" t="s">
        <v>507</v>
      </c>
    </row>
    <row r="112" spans="1:6" x14ac:dyDescent="0.25">
      <c r="A112" s="181" t="s">
        <v>509</v>
      </c>
      <c r="B112" s="163" t="s">
        <v>442</v>
      </c>
      <c r="C112" s="163">
        <v>500</v>
      </c>
      <c r="D112" s="163"/>
      <c r="E112" s="163">
        <f t="shared" si="2"/>
        <v>2898</v>
      </c>
      <c r="F112" s="163" t="s">
        <v>618</v>
      </c>
    </row>
    <row r="113" spans="1:6" x14ac:dyDescent="0.25">
      <c r="A113" s="152" t="s">
        <v>509</v>
      </c>
      <c r="B113" s="136" t="s">
        <v>511</v>
      </c>
      <c r="C113" s="136"/>
      <c r="D113" s="136">
        <v>64</v>
      </c>
      <c r="E113" s="136">
        <f t="shared" si="2"/>
        <v>2834</v>
      </c>
      <c r="F113" s="136" t="s">
        <v>512</v>
      </c>
    </row>
    <row r="114" spans="1:6" x14ac:dyDescent="0.25">
      <c r="A114" s="152" t="s">
        <v>509</v>
      </c>
      <c r="B114" s="136" t="s">
        <v>513</v>
      </c>
      <c r="C114" s="136"/>
      <c r="D114" s="136">
        <v>110</v>
      </c>
      <c r="E114" s="136">
        <f t="shared" si="2"/>
        <v>2724</v>
      </c>
      <c r="F114" s="136" t="s">
        <v>514</v>
      </c>
    </row>
    <row r="115" spans="1:6" x14ac:dyDescent="0.25">
      <c r="A115" s="152" t="s">
        <v>517</v>
      </c>
      <c r="B115" s="136" t="s">
        <v>518</v>
      </c>
      <c r="C115" s="136">
        <v>17</v>
      </c>
      <c r="D115" s="136"/>
      <c r="E115" s="136">
        <f t="shared" si="2"/>
        <v>2741</v>
      </c>
      <c r="F115" s="136"/>
    </row>
    <row r="116" spans="1:6" x14ac:dyDescent="0.25">
      <c r="A116" s="152" t="s">
        <v>517</v>
      </c>
      <c r="B116" s="136" t="s">
        <v>518</v>
      </c>
      <c r="C116" s="136">
        <v>57</v>
      </c>
      <c r="D116" s="136"/>
      <c r="E116" s="136">
        <f t="shared" si="2"/>
        <v>2798</v>
      </c>
      <c r="F116" s="136"/>
    </row>
    <row r="117" spans="1:6" x14ac:dyDescent="0.25">
      <c r="A117" s="238" t="s">
        <v>517</v>
      </c>
      <c r="B117" s="136" t="s">
        <v>519</v>
      </c>
      <c r="C117" s="136">
        <v>111</v>
      </c>
      <c r="D117" s="136"/>
      <c r="E117" s="136">
        <f t="shared" si="2"/>
        <v>2909</v>
      </c>
      <c r="F117" s="136"/>
    </row>
    <row r="118" spans="1:6" x14ac:dyDescent="0.25">
      <c r="A118" s="152" t="s">
        <v>517</v>
      </c>
      <c r="B118" s="136" t="s">
        <v>402</v>
      </c>
      <c r="C118" s="136"/>
      <c r="D118" s="136">
        <v>100</v>
      </c>
      <c r="E118" s="136">
        <f t="shared" si="2"/>
        <v>2809</v>
      </c>
      <c r="F118" s="136" t="s">
        <v>521</v>
      </c>
    </row>
    <row r="119" spans="1:6" x14ac:dyDescent="0.25">
      <c r="A119" s="152" t="s">
        <v>517</v>
      </c>
      <c r="B119" s="136" t="s">
        <v>522</v>
      </c>
      <c r="C119" s="136"/>
      <c r="D119" s="136">
        <v>290</v>
      </c>
      <c r="E119" s="136">
        <f t="shared" si="2"/>
        <v>2519</v>
      </c>
      <c r="F119" s="136" t="s">
        <v>523</v>
      </c>
    </row>
    <row r="120" spans="1:6" x14ac:dyDescent="0.25">
      <c r="A120" s="303" t="s">
        <v>517</v>
      </c>
      <c r="B120" s="304" t="s">
        <v>524</v>
      </c>
      <c r="C120" s="304">
        <v>18</v>
      </c>
      <c r="D120" s="304"/>
      <c r="E120" s="304">
        <f t="shared" si="2"/>
        <v>2537</v>
      </c>
      <c r="F120" s="136"/>
    </row>
    <row r="121" spans="1:6" x14ac:dyDescent="0.25">
      <c r="A121" s="181" t="s">
        <v>533</v>
      </c>
      <c r="B121" s="163" t="s">
        <v>442</v>
      </c>
      <c r="C121" s="163">
        <v>1100</v>
      </c>
      <c r="D121" s="163"/>
      <c r="E121" s="163">
        <f t="shared" si="2"/>
        <v>3637</v>
      </c>
      <c r="F121" s="163" t="s">
        <v>619</v>
      </c>
    </row>
    <row r="122" spans="1:6" x14ac:dyDescent="0.25">
      <c r="A122" s="152" t="s">
        <v>533</v>
      </c>
      <c r="B122" s="136" t="s">
        <v>531</v>
      </c>
      <c r="C122" s="136">
        <v>300</v>
      </c>
      <c r="D122" s="136"/>
      <c r="E122" s="136">
        <f t="shared" si="2"/>
        <v>3937</v>
      </c>
      <c r="F122" s="136"/>
    </row>
    <row r="123" spans="1:6" x14ac:dyDescent="0.25">
      <c r="A123" s="152" t="s">
        <v>533</v>
      </c>
      <c r="B123" s="136" t="s">
        <v>532</v>
      </c>
      <c r="C123" s="136">
        <v>30</v>
      </c>
      <c r="D123" s="136"/>
      <c r="E123" s="136">
        <f t="shared" si="2"/>
        <v>3967</v>
      </c>
      <c r="F123" s="136"/>
    </row>
    <row r="124" spans="1:6" x14ac:dyDescent="0.25">
      <c r="A124" s="152" t="s">
        <v>533</v>
      </c>
      <c r="B124" s="136" t="s">
        <v>424</v>
      </c>
      <c r="C124" s="136"/>
      <c r="D124" s="136">
        <v>210</v>
      </c>
      <c r="E124" s="136">
        <f t="shared" si="2"/>
        <v>3757</v>
      </c>
      <c r="F124" s="136"/>
    </row>
    <row r="125" spans="1:6" x14ac:dyDescent="0.25">
      <c r="A125" s="258" t="s">
        <v>533</v>
      </c>
      <c r="B125" s="136" t="s">
        <v>402</v>
      </c>
      <c r="C125" s="136"/>
      <c r="D125" s="136">
        <v>180</v>
      </c>
      <c r="E125" s="136">
        <f t="shared" si="2"/>
        <v>3577</v>
      </c>
      <c r="F125" s="136" t="s">
        <v>621</v>
      </c>
    </row>
    <row r="126" spans="1:6" x14ac:dyDescent="0.25">
      <c r="A126" s="181" t="s">
        <v>540</v>
      </c>
      <c r="B126" s="163" t="s">
        <v>442</v>
      </c>
      <c r="C126" s="163">
        <v>400</v>
      </c>
      <c r="D126" s="163"/>
      <c r="E126" s="163">
        <f t="shared" si="2"/>
        <v>3977</v>
      </c>
      <c r="F126" s="163" t="s">
        <v>620</v>
      </c>
    </row>
    <row r="127" spans="1:6" x14ac:dyDescent="0.25">
      <c r="A127" s="152" t="s">
        <v>540</v>
      </c>
      <c r="B127" s="136" t="s">
        <v>402</v>
      </c>
      <c r="C127" s="136"/>
      <c r="D127" s="136">
        <v>350</v>
      </c>
      <c r="E127" s="136">
        <f t="shared" si="2"/>
        <v>3627</v>
      </c>
      <c r="F127" s="136" t="s">
        <v>541</v>
      </c>
    </row>
    <row r="128" spans="1:6" x14ac:dyDescent="0.25">
      <c r="A128" s="152" t="s">
        <v>540</v>
      </c>
      <c r="B128" s="136" t="s">
        <v>424</v>
      </c>
      <c r="C128" s="136"/>
      <c r="D128" s="136">
        <v>330</v>
      </c>
      <c r="E128" s="136">
        <f t="shared" si="2"/>
        <v>3297</v>
      </c>
      <c r="F128" s="136" t="s">
        <v>543</v>
      </c>
    </row>
    <row r="129" spans="1:6" x14ac:dyDescent="0.25">
      <c r="A129" s="152" t="s">
        <v>542</v>
      </c>
      <c r="B129" s="136" t="s">
        <v>283</v>
      </c>
      <c r="C129" s="136">
        <v>120</v>
      </c>
      <c r="D129" s="136"/>
      <c r="E129" s="136">
        <f t="shared" si="2"/>
        <v>3417</v>
      </c>
      <c r="F129" s="136"/>
    </row>
    <row r="130" spans="1:6" x14ac:dyDescent="0.25">
      <c r="A130" s="152" t="s">
        <v>542</v>
      </c>
      <c r="B130" s="136" t="s">
        <v>283</v>
      </c>
      <c r="C130" s="136">
        <v>75</v>
      </c>
      <c r="D130" s="136"/>
      <c r="E130" s="136">
        <f t="shared" si="2"/>
        <v>3492</v>
      </c>
      <c r="F130" s="136"/>
    </row>
    <row r="131" spans="1:6" x14ac:dyDescent="0.25">
      <c r="A131" s="152" t="s">
        <v>542</v>
      </c>
      <c r="B131" s="136" t="s">
        <v>424</v>
      </c>
      <c r="C131" s="136"/>
      <c r="D131" s="136">
        <v>330</v>
      </c>
      <c r="E131" s="136">
        <f t="shared" si="2"/>
        <v>3162</v>
      </c>
      <c r="F131" s="136"/>
    </row>
    <row r="132" spans="1:6" x14ac:dyDescent="0.25">
      <c r="A132" s="152" t="s">
        <v>545</v>
      </c>
      <c r="B132" s="136" t="s">
        <v>546</v>
      </c>
      <c r="C132" s="136"/>
      <c r="D132" s="136">
        <v>30</v>
      </c>
      <c r="E132" s="136">
        <f t="shared" si="2"/>
        <v>3132</v>
      </c>
      <c r="F132" s="136" t="s">
        <v>547</v>
      </c>
    </row>
    <row r="133" spans="1:6" x14ac:dyDescent="0.25">
      <c r="A133" s="152" t="s">
        <v>545</v>
      </c>
      <c r="B133" s="136" t="s">
        <v>328</v>
      </c>
      <c r="C133" s="136"/>
      <c r="D133" s="136">
        <v>200</v>
      </c>
      <c r="E133" s="136">
        <f t="shared" si="2"/>
        <v>2932</v>
      </c>
      <c r="F133" s="136" t="s">
        <v>548</v>
      </c>
    </row>
    <row r="134" spans="1:6" x14ac:dyDescent="0.25">
      <c r="A134" s="152" t="s">
        <v>545</v>
      </c>
      <c r="B134" s="136" t="s">
        <v>524</v>
      </c>
      <c r="C134" s="136">
        <v>44</v>
      </c>
      <c r="D134" s="136"/>
      <c r="E134" s="136">
        <f t="shared" si="2"/>
        <v>2976</v>
      </c>
      <c r="F134" s="136"/>
    </row>
    <row r="135" spans="1:6" x14ac:dyDescent="0.25">
      <c r="A135" s="152" t="s">
        <v>549</v>
      </c>
      <c r="B135" s="136" t="s">
        <v>550</v>
      </c>
      <c r="C135" s="136"/>
      <c r="D135" s="136">
        <v>80</v>
      </c>
      <c r="E135" s="136">
        <f t="shared" si="2"/>
        <v>2896</v>
      </c>
      <c r="F135" s="136" t="s">
        <v>551</v>
      </c>
    </row>
    <row r="136" spans="1:6" x14ac:dyDescent="0.25">
      <c r="A136" s="152" t="s">
        <v>549</v>
      </c>
      <c r="B136" s="136" t="s">
        <v>402</v>
      </c>
      <c r="C136" s="136"/>
      <c r="D136" s="136">
        <v>230</v>
      </c>
      <c r="E136" s="136">
        <f t="shared" si="2"/>
        <v>2666</v>
      </c>
      <c r="F136" s="136" t="s">
        <v>553</v>
      </c>
    </row>
    <row r="137" spans="1:6" x14ac:dyDescent="0.25">
      <c r="A137" s="152" t="s">
        <v>549</v>
      </c>
      <c r="B137" s="136" t="s">
        <v>414</v>
      </c>
      <c r="C137" s="163">
        <v>50</v>
      </c>
      <c r="D137" s="136"/>
      <c r="E137" s="136">
        <f t="shared" si="2"/>
        <v>2716</v>
      </c>
      <c r="F137" s="136"/>
    </row>
    <row r="138" spans="1:6" x14ac:dyDescent="0.25">
      <c r="A138" s="152" t="s">
        <v>554</v>
      </c>
      <c r="B138" s="136" t="s">
        <v>522</v>
      </c>
      <c r="C138" s="136"/>
      <c r="D138" s="136">
        <v>50</v>
      </c>
      <c r="E138" s="136">
        <f t="shared" si="2"/>
        <v>2666</v>
      </c>
      <c r="F138" s="136" t="s">
        <v>555</v>
      </c>
    </row>
    <row r="139" spans="1:6" x14ac:dyDescent="0.25">
      <c r="A139" s="152" t="s">
        <v>554</v>
      </c>
      <c r="B139" s="136" t="s">
        <v>550</v>
      </c>
      <c r="C139" s="136"/>
      <c r="D139" s="136">
        <v>220</v>
      </c>
      <c r="E139" s="136">
        <f t="shared" si="2"/>
        <v>2446</v>
      </c>
      <c r="F139" s="136" t="s">
        <v>556</v>
      </c>
    </row>
    <row r="140" spans="1:6" x14ac:dyDescent="0.25">
      <c r="A140" s="138" t="s">
        <v>554</v>
      </c>
      <c r="B140" s="136" t="s">
        <v>558</v>
      </c>
      <c r="C140" s="136"/>
      <c r="D140" s="136">
        <v>90</v>
      </c>
      <c r="E140" s="136">
        <f t="shared" si="2"/>
        <v>2356</v>
      </c>
      <c r="F140" s="136" t="s">
        <v>17</v>
      </c>
    </row>
    <row r="141" spans="1:6" x14ac:dyDescent="0.25">
      <c r="A141" s="138" t="s">
        <v>554</v>
      </c>
      <c r="B141" s="136" t="s">
        <v>383</v>
      </c>
      <c r="C141" s="136">
        <v>122</v>
      </c>
      <c r="D141" s="136"/>
      <c r="E141" s="136">
        <f t="shared" si="2"/>
        <v>2478</v>
      </c>
      <c r="F141" s="136"/>
    </row>
    <row r="142" spans="1:6" x14ac:dyDescent="0.25">
      <c r="A142" s="152" t="s">
        <v>559</v>
      </c>
      <c r="B142" s="136" t="s">
        <v>561</v>
      </c>
      <c r="C142" s="136"/>
      <c r="D142" s="136">
        <v>50</v>
      </c>
      <c r="E142" s="136">
        <f t="shared" si="2"/>
        <v>2428</v>
      </c>
      <c r="F142" s="136" t="s">
        <v>17</v>
      </c>
    </row>
    <row r="143" spans="1:6" x14ac:dyDescent="0.25">
      <c r="A143" s="152" t="s">
        <v>559</v>
      </c>
      <c r="B143" s="136" t="s">
        <v>283</v>
      </c>
      <c r="C143" s="136">
        <v>55</v>
      </c>
      <c r="D143" s="136"/>
      <c r="E143" s="136">
        <f t="shared" si="2"/>
        <v>2483</v>
      </c>
      <c r="F143" s="136"/>
    </row>
    <row r="144" spans="1:6" x14ac:dyDescent="0.25">
      <c r="A144" s="152" t="s">
        <v>562</v>
      </c>
      <c r="B144" s="136" t="s">
        <v>563</v>
      </c>
      <c r="C144" s="136">
        <v>50</v>
      </c>
      <c r="D144" s="136"/>
      <c r="E144" s="136">
        <f t="shared" si="2"/>
        <v>2533</v>
      </c>
      <c r="F144" s="136"/>
    </row>
    <row r="145" spans="1:6" x14ac:dyDescent="0.25">
      <c r="A145" s="152" t="s">
        <v>562</v>
      </c>
      <c r="B145" s="136" t="s">
        <v>417</v>
      </c>
      <c r="C145" s="136">
        <v>100</v>
      </c>
      <c r="D145" s="136"/>
      <c r="E145" s="136">
        <f t="shared" si="2"/>
        <v>2633</v>
      </c>
      <c r="F145" s="136"/>
    </row>
    <row r="146" spans="1:6" x14ac:dyDescent="0.25">
      <c r="A146" s="152" t="s">
        <v>562</v>
      </c>
      <c r="B146" s="136" t="s">
        <v>511</v>
      </c>
      <c r="C146" s="136"/>
      <c r="D146" s="136">
        <v>90</v>
      </c>
      <c r="E146" s="136">
        <f t="shared" si="2"/>
        <v>2543</v>
      </c>
      <c r="F146" s="136" t="s">
        <v>564</v>
      </c>
    </row>
    <row r="147" spans="1:6" x14ac:dyDescent="0.25">
      <c r="A147" s="152" t="s">
        <v>562</v>
      </c>
      <c r="B147" s="136" t="s">
        <v>550</v>
      </c>
      <c r="C147" s="136"/>
      <c r="D147" s="136">
        <v>200</v>
      </c>
      <c r="E147" s="136">
        <f t="shared" si="2"/>
        <v>2343</v>
      </c>
      <c r="F147" s="136" t="s">
        <v>566</v>
      </c>
    </row>
    <row r="148" spans="1:6" x14ac:dyDescent="0.25">
      <c r="A148" s="152" t="s">
        <v>562</v>
      </c>
      <c r="B148" s="156" t="s">
        <v>414</v>
      </c>
      <c r="C148" s="136">
        <v>7</v>
      </c>
      <c r="D148" s="136"/>
      <c r="E148" s="136">
        <f t="shared" si="2"/>
        <v>2350</v>
      </c>
      <c r="F148" s="136"/>
    </row>
    <row r="149" spans="1:6" x14ac:dyDescent="0.25">
      <c r="A149" s="152" t="s">
        <v>567</v>
      </c>
      <c r="B149" s="136" t="s">
        <v>424</v>
      </c>
      <c r="C149" s="136"/>
      <c r="D149" s="136">
        <v>174</v>
      </c>
      <c r="E149" s="136">
        <f t="shared" ref="E149:E214" si="3">E148+C149-D149</f>
        <v>2176</v>
      </c>
      <c r="F149" s="136" t="s">
        <v>568</v>
      </c>
    </row>
    <row r="150" spans="1:6" x14ac:dyDescent="0.25">
      <c r="A150" s="152" t="s">
        <v>567</v>
      </c>
      <c r="B150" s="136" t="s">
        <v>424</v>
      </c>
      <c r="C150" s="136"/>
      <c r="D150" s="136">
        <v>60</v>
      </c>
      <c r="E150" s="136">
        <f t="shared" si="3"/>
        <v>2116</v>
      </c>
      <c r="F150" s="136" t="s">
        <v>568</v>
      </c>
    </row>
    <row r="151" spans="1:6" x14ac:dyDescent="0.25">
      <c r="A151" s="152" t="s">
        <v>567</v>
      </c>
      <c r="B151" s="136" t="s">
        <v>526</v>
      </c>
      <c r="C151" s="136">
        <v>340</v>
      </c>
      <c r="D151" s="136"/>
      <c r="E151" s="136">
        <f t="shared" si="3"/>
        <v>2456</v>
      </c>
      <c r="F151" s="136"/>
    </row>
    <row r="152" spans="1:6" x14ac:dyDescent="0.25">
      <c r="A152" s="152" t="s">
        <v>569</v>
      </c>
      <c r="B152" s="136" t="s">
        <v>522</v>
      </c>
      <c r="C152" s="136"/>
      <c r="D152" s="136">
        <v>100</v>
      </c>
      <c r="E152" s="136">
        <f t="shared" si="3"/>
        <v>2356</v>
      </c>
      <c r="F152" s="136" t="s">
        <v>570</v>
      </c>
    </row>
    <row r="153" spans="1:6" x14ac:dyDescent="0.25">
      <c r="A153" s="152" t="s">
        <v>569</v>
      </c>
      <c r="B153" s="136" t="s">
        <v>550</v>
      </c>
      <c r="C153" s="136"/>
      <c r="D153" s="136">
        <v>200</v>
      </c>
      <c r="E153" s="136">
        <f t="shared" si="3"/>
        <v>2156</v>
      </c>
      <c r="F153" s="136" t="s">
        <v>571</v>
      </c>
    </row>
    <row r="154" spans="1:6" x14ac:dyDescent="0.25">
      <c r="A154" s="152" t="s">
        <v>569</v>
      </c>
      <c r="B154" s="136" t="s">
        <v>417</v>
      </c>
      <c r="C154" s="136">
        <v>156</v>
      </c>
      <c r="D154" s="136"/>
      <c r="E154" s="136">
        <f t="shared" si="3"/>
        <v>2312</v>
      </c>
      <c r="F154" s="136"/>
    </row>
    <row r="155" spans="1:6" x14ac:dyDescent="0.25">
      <c r="A155" s="152" t="s">
        <v>569</v>
      </c>
      <c r="B155" s="136" t="s">
        <v>417</v>
      </c>
      <c r="C155" s="136">
        <v>22</v>
      </c>
      <c r="D155" s="136"/>
      <c r="E155" s="136">
        <f t="shared" si="3"/>
        <v>2334</v>
      </c>
      <c r="F155" s="136"/>
    </row>
    <row r="156" spans="1:6" x14ac:dyDescent="0.25">
      <c r="A156" s="138" t="s">
        <v>569</v>
      </c>
      <c r="B156" s="136" t="s">
        <v>572</v>
      </c>
      <c r="C156" s="136"/>
      <c r="D156" s="136">
        <v>42</v>
      </c>
      <c r="E156" s="136">
        <f t="shared" si="3"/>
        <v>2292</v>
      </c>
      <c r="F156" s="136" t="s">
        <v>17</v>
      </c>
    </row>
    <row r="157" spans="1:6" x14ac:dyDescent="0.25">
      <c r="A157" s="152" t="s">
        <v>573</v>
      </c>
      <c r="B157" s="136" t="s">
        <v>574</v>
      </c>
      <c r="C157" s="136"/>
      <c r="D157" s="136">
        <v>150</v>
      </c>
      <c r="E157" s="136">
        <f t="shared" si="3"/>
        <v>2142</v>
      </c>
      <c r="F157" s="136" t="s">
        <v>17</v>
      </c>
    </row>
    <row r="158" spans="1:6" x14ac:dyDescent="0.25">
      <c r="A158" s="121" t="s">
        <v>573</v>
      </c>
      <c r="B158" s="36" t="s">
        <v>576</v>
      </c>
      <c r="C158" s="136">
        <v>28</v>
      </c>
      <c r="D158" s="136"/>
      <c r="E158" s="136">
        <f t="shared" si="3"/>
        <v>2170</v>
      </c>
      <c r="F158" s="136"/>
    </row>
    <row r="159" spans="1:6" x14ac:dyDescent="0.25">
      <c r="A159" s="181" t="s">
        <v>577</v>
      </c>
      <c r="B159" s="163" t="s">
        <v>442</v>
      </c>
      <c r="C159" s="163">
        <v>500</v>
      </c>
      <c r="D159" s="163"/>
      <c r="E159" s="163">
        <f t="shared" si="3"/>
        <v>2670</v>
      </c>
      <c r="F159" s="163" t="s">
        <v>622</v>
      </c>
    </row>
    <row r="160" spans="1:6" x14ac:dyDescent="0.25">
      <c r="A160" s="152" t="s">
        <v>577</v>
      </c>
      <c r="B160" s="136" t="s">
        <v>526</v>
      </c>
      <c r="C160" s="136">
        <v>39</v>
      </c>
      <c r="D160" s="136"/>
      <c r="E160" s="136">
        <f t="shared" si="3"/>
        <v>2709</v>
      </c>
      <c r="F160" s="136"/>
    </row>
    <row r="161" spans="1:6" x14ac:dyDescent="0.25">
      <c r="A161" s="152" t="s">
        <v>577</v>
      </c>
      <c r="B161" s="136" t="s">
        <v>283</v>
      </c>
      <c r="C161" s="136">
        <v>39</v>
      </c>
      <c r="D161" s="136"/>
      <c r="E161" s="136">
        <f t="shared" si="3"/>
        <v>2748</v>
      </c>
      <c r="F161" s="136"/>
    </row>
    <row r="162" spans="1:6" x14ac:dyDescent="0.25">
      <c r="A162" s="152" t="s">
        <v>577</v>
      </c>
      <c r="B162" s="136" t="s">
        <v>488</v>
      </c>
      <c r="C162" s="136">
        <v>27</v>
      </c>
      <c r="D162" s="136"/>
      <c r="E162" s="136">
        <f t="shared" si="3"/>
        <v>2775</v>
      </c>
      <c r="F162" s="136"/>
    </row>
    <row r="163" spans="1:6" x14ac:dyDescent="0.25">
      <c r="A163" s="152" t="s">
        <v>581</v>
      </c>
      <c r="B163" s="136" t="s">
        <v>550</v>
      </c>
      <c r="C163" s="136"/>
      <c r="D163" s="136">
        <v>120</v>
      </c>
      <c r="E163" s="136">
        <f t="shared" si="3"/>
        <v>2655</v>
      </c>
      <c r="F163" s="136" t="s">
        <v>582</v>
      </c>
    </row>
    <row r="164" spans="1:6" x14ac:dyDescent="0.25">
      <c r="A164" s="138" t="s">
        <v>581</v>
      </c>
      <c r="B164" s="136" t="s">
        <v>583</v>
      </c>
      <c r="C164" s="136"/>
      <c r="D164" s="136">
        <v>110</v>
      </c>
      <c r="E164" s="136">
        <f t="shared" si="3"/>
        <v>2545</v>
      </c>
      <c r="F164" s="136" t="s">
        <v>584</v>
      </c>
    </row>
    <row r="165" spans="1:6" x14ac:dyDescent="0.25">
      <c r="A165" s="152" t="s">
        <v>591</v>
      </c>
      <c r="B165" s="136" t="s">
        <v>550</v>
      </c>
      <c r="C165" s="136"/>
      <c r="D165" s="136">
        <v>80</v>
      </c>
      <c r="E165" s="136">
        <f t="shared" si="3"/>
        <v>2465</v>
      </c>
      <c r="F165" s="136" t="s">
        <v>592</v>
      </c>
    </row>
    <row r="166" spans="1:6" x14ac:dyDescent="0.25">
      <c r="A166" s="152" t="s">
        <v>591</v>
      </c>
      <c r="B166" s="136" t="s">
        <v>594</v>
      </c>
      <c r="C166" s="136">
        <v>48</v>
      </c>
      <c r="D166" s="136"/>
      <c r="E166" s="136">
        <f t="shared" si="3"/>
        <v>2513</v>
      </c>
      <c r="F166" s="136"/>
    </row>
    <row r="167" spans="1:6" x14ac:dyDescent="0.25">
      <c r="A167" s="152" t="s">
        <v>591</v>
      </c>
      <c r="B167" s="136" t="s">
        <v>594</v>
      </c>
      <c r="C167" s="136">
        <v>4</v>
      </c>
      <c r="D167" s="136"/>
      <c r="E167" s="136">
        <f t="shared" si="3"/>
        <v>2517</v>
      </c>
      <c r="F167" s="136"/>
    </row>
    <row r="168" spans="1:6" x14ac:dyDescent="0.25">
      <c r="A168" s="152" t="s">
        <v>598</v>
      </c>
      <c r="B168" s="136" t="s">
        <v>550</v>
      </c>
      <c r="C168" s="136"/>
      <c r="D168" s="136">
        <v>200</v>
      </c>
      <c r="E168" s="136">
        <f t="shared" si="3"/>
        <v>2317</v>
      </c>
      <c r="F168" s="136" t="s">
        <v>599</v>
      </c>
    </row>
    <row r="169" spans="1:6" x14ac:dyDescent="0.25">
      <c r="A169" s="152" t="s">
        <v>598</v>
      </c>
      <c r="B169" s="136" t="s">
        <v>221</v>
      </c>
      <c r="C169" s="136">
        <v>25</v>
      </c>
      <c r="D169" s="136"/>
      <c r="E169" s="136">
        <f t="shared" si="3"/>
        <v>2342</v>
      </c>
      <c r="F169" s="136"/>
    </row>
    <row r="170" spans="1:6" x14ac:dyDescent="0.25">
      <c r="A170" s="121" t="s">
        <v>595</v>
      </c>
      <c r="B170" s="36" t="s">
        <v>623</v>
      </c>
      <c r="C170" s="36">
        <v>20</v>
      </c>
      <c r="D170" s="136"/>
      <c r="E170" s="136">
        <f t="shared" si="3"/>
        <v>2362</v>
      </c>
      <c r="F170" s="136"/>
    </row>
    <row r="171" spans="1:6" x14ac:dyDescent="0.25">
      <c r="A171" s="152" t="s">
        <v>602</v>
      </c>
      <c r="B171" s="136" t="s">
        <v>382</v>
      </c>
      <c r="C171" s="136"/>
      <c r="D171" s="136">
        <v>60</v>
      </c>
      <c r="E171" s="136">
        <f t="shared" si="3"/>
        <v>2302</v>
      </c>
      <c r="F171" s="136" t="s">
        <v>603</v>
      </c>
    </row>
    <row r="172" spans="1:6" x14ac:dyDescent="0.25">
      <c r="A172" s="152" t="s">
        <v>602</v>
      </c>
      <c r="B172" s="136" t="s">
        <v>544</v>
      </c>
      <c r="C172" s="136">
        <v>502</v>
      </c>
      <c r="D172" s="136"/>
      <c r="E172" s="136">
        <f t="shared" si="3"/>
        <v>2804</v>
      </c>
      <c r="F172" s="136"/>
    </row>
    <row r="173" spans="1:6" x14ac:dyDescent="0.25">
      <c r="A173" s="138" t="s">
        <v>625</v>
      </c>
      <c r="B173" s="136" t="s">
        <v>626</v>
      </c>
      <c r="C173" s="136">
        <v>102</v>
      </c>
      <c r="D173" s="136"/>
      <c r="E173" s="136">
        <f t="shared" si="3"/>
        <v>2906</v>
      </c>
      <c r="F173" s="136"/>
    </row>
    <row r="174" spans="1:6" x14ac:dyDescent="0.25">
      <c r="A174" s="152" t="s">
        <v>634</v>
      </c>
      <c r="B174" s="136" t="s">
        <v>635</v>
      </c>
      <c r="C174" s="136"/>
      <c r="D174" s="136">
        <v>380</v>
      </c>
      <c r="E174" s="136">
        <f t="shared" si="3"/>
        <v>2526</v>
      </c>
      <c r="F174" s="136" t="s">
        <v>636</v>
      </c>
    </row>
    <row r="175" spans="1:6" x14ac:dyDescent="0.25">
      <c r="A175" s="152" t="s">
        <v>634</v>
      </c>
      <c r="B175" s="136" t="s">
        <v>519</v>
      </c>
      <c r="C175" s="136">
        <v>24</v>
      </c>
      <c r="D175" s="136"/>
      <c r="E175" s="136">
        <f t="shared" si="3"/>
        <v>2550</v>
      </c>
      <c r="F175" s="136"/>
    </row>
    <row r="176" spans="1:6" x14ac:dyDescent="0.25">
      <c r="A176" s="152" t="s">
        <v>637</v>
      </c>
      <c r="B176" s="136" t="s">
        <v>638</v>
      </c>
      <c r="C176" s="136"/>
      <c r="D176" s="136">
        <v>200</v>
      </c>
      <c r="E176" s="136">
        <f t="shared" si="3"/>
        <v>2350</v>
      </c>
      <c r="F176" s="136" t="s">
        <v>642</v>
      </c>
    </row>
    <row r="177" spans="1:6" x14ac:dyDescent="0.25">
      <c r="A177" s="238" t="s">
        <v>645</v>
      </c>
      <c r="B177" s="136" t="s">
        <v>646</v>
      </c>
      <c r="C177" s="136">
        <v>25</v>
      </c>
      <c r="D177" s="136"/>
      <c r="E177" s="136">
        <f t="shared" si="3"/>
        <v>2375</v>
      </c>
      <c r="F177" s="136"/>
    </row>
    <row r="178" spans="1:6" x14ac:dyDescent="0.25">
      <c r="A178" s="152" t="s">
        <v>637</v>
      </c>
      <c r="B178" s="136" t="s">
        <v>221</v>
      </c>
      <c r="C178" s="136">
        <v>38</v>
      </c>
      <c r="D178" s="136"/>
      <c r="E178" s="136">
        <f t="shared" si="3"/>
        <v>2413</v>
      </c>
      <c r="F178" s="136"/>
    </row>
    <row r="179" spans="1:6" x14ac:dyDescent="0.25">
      <c r="A179" s="152" t="s">
        <v>647</v>
      </c>
      <c r="B179" s="136" t="s">
        <v>526</v>
      </c>
      <c r="C179" s="136">
        <v>107</v>
      </c>
      <c r="D179" s="136"/>
      <c r="E179" s="136">
        <f t="shared" si="3"/>
        <v>2520</v>
      </c>
      <c r="F179" s="136"/>
    </row>
    <row r="180" spans="1:6" x14ac:dyDescent="0.25">
      <c r="A180" s="152" t="s">
        <v>647</v>
      </c>
      <c r="B180" s="136" t="s">
        <v>638</v>
      </c>
      <c r="C180" s="136"/>
      <c r="D180" s="136">
        <v>100</v>
      </c>
      <c r="E180" s="136">
        <f t="shared" si="3"/>
        <v>2420</v>
      </c>
      <c r="F180" s="136" t="s">
        <v>648</v>
      </c>
    </row>
    <row r="181" spans="1:6" x14ac:dyDescent="0.25">
      <c r="A181" s="152" t="s">
        <v>650</v>
      </c>
      <c r="B181" s="136" t="s">
        <v>651</v>
      </c>
      <c r="C181" s="136"/>
      <c r="D181" s="136">
        <v>376</v>
      </c>
      <c r="E181" s="136">
        <f t="shared" si="3"/>
        <v>2044</v>
      </c>
      <c r="F181" s="136" t="s">
        <v>652</v>
      </c>
    </row>
    <row r="182" spans="1:6" x14ac:dyDescent="0.25">
      <c r="A182" s="138" t="s">
        <v>655</v>
      </c>
      <c r="B182" s="136" t="s">
        <v>526</v>
      </c>
      <c r="C182" s="136">
        <v>66</v>
      </c>
      <c r="D182" s="136"/>
      <c r="E182" s="136">
        <f t="shared" si="3"/>
        <v>2110</v>
      </c>
      <c r="F182" s="136"/>
    </row>
    <row r="183" spans="1:6" x14ac:dyDescent="0.25">
      <c r="A183" s="138" t="s">
        <v>655</v>
      </c>
      <c r="B183" s="136" t="s">
        <v>526</v>
      </c>
      <c r="C183" s="136">
        <v>60</v>
      </c>
      <c r="D183" s="136"/>
      <c r="E183" s="136">
        <f t="shared" si="3"/>
        <v>2170</v>
      </c>
      <c r="F183" s="136"/>
    </row>
    <row r="184" spans="1:6" x14ac:dyDescent="0.25">
      <c r="A184" s="152" t="s">
        <v>655</v>
      </c>
      <c r="B184" s="136" t="s">
        <v>257</v>
      </c>
      <c r="C184" s="136">
        <v>500</v>
      </c>
      <c r="D184" s="136"/>
      <c r="E184" s="136">
        <f t="shared" si="3"/>
        <v>2670</v>
      </c>
      <c r="F184" s="136"/>
    </row>
    <row r="185" spans="1:6" x14ac:dyDescent="0.25">
      <c r="A185" s="138" t="s">
        <v>658</v>
      </c>
      <c r="B185" s="136" t="s">
        <v>488</v>
      </c>
      <c r="C185" s="136">
        <v>2</v>
      </c>
      <c r="D185" s="136"/>
      <c r="E185" s="136">
        <f t="shared" si="3"/>
        <v>2672</v>
      </c>
      <c r="F185" s="136"/>
    </row>
    <row r="186" spans="1:6" ht="15.75" x14ac:dyDescent="0.25">
      <c r="A186" s="246" t="s">
        <v>658</v>
      </c>
      <c r="B186" s="161" t="s">
        <v>664</v>
      </c>
      <c r="C186" s="161">
        <v>15</v>
      </c>
      <c r="D186" s="136"/>
      <c r="E186" s="136">
        <f t="shared" si="3"/>
        <v>2687</v>
      </c>
      <c r="F186" s="136"/>
    </row>
    <row r="187" spans="1:6" ht="15.75" x14ac:dyDescent="0.25">
      <c r="A187" s="246" t="s">
        <v>658</v>
      </c>
      <c r="B187" s="136" t="s">
        <v>283</v>
      </c>
      <c r="C187" s="136">
        <v>33</v>
      </c>
      <c r="D187" s="136"/>
      <c r="E187" s="136">
        <f t="shared" si="3"/>
        <v>2720</v>
      </c>
      <c r="F187" s="136"/>
    </row>
    <row r="188" spans="1:6" x14ac:dyDescent="0.25">
      <c r="A188" s="152" t="s">
        <v>669</v>
      </c>
      <c r="B188" s="136" t="s">
        <v>583</v>
      </c>
      <c r="C188" s="136"/>
      <c r="D188" s="136">
        <v>50</v>
      </c>
      <c r="E188" s="136">
        <f t="shared" si="3"/>
        <v>2670</v>
      </c>
      <c r="F188" s="136" t="s">
        <v>670</v>
      </c>
    </row>
    <row r="189" spans="1:6" x14ac:dyDescent="0.25">
      <c r="A189" s="152" t="s">
        <v>669</v>
      </c>
      <c r="B189" s="136" t="s">
        <v>257</v>
      </c>
      <c r="C189" s="136">
        <v>207</v>
      </c>
      <c r="D189" s="136"/>
      <c r="E189" s="136">
        <f t="shared" si="3"/>
        <v>2877</v>
      </c>
      <c r="F189" s="136"/>
    </row>
    <row r="190" spans="1:6" x14ac:dyDescent="0.25">
      <c r="A190" s="152" t="s">
        <v>683</v>
      </c>
      <c r="B190" s="136" t="s">
        <v>535</v>
      </c>
      <c r="C190" s="136"/>
      <c r="D190" s="136">
        <v>50</v>
      </c>
      <c r="E190" s="136">
        <f t="shared" si="3"/>
        <v>2827</v>
      </c>
      <c r="F190" s="136" t="s">
        <v>684</v>
      </c>
    </row>
    <row r="191" spans="1:6" x14ac:dyDescent="0.25">
      <c r="A191" s="152" t="s">
        <v>683</v>
      </c>
      <c r="B191" s="136" t="s">
        <v>685</v>
      </c>
      <c r="C191" s="136"/>
      <c r="D191" s="136">
        <v>50</v>
      </c>
      <c r="E191" s="136">
        <f t="shared" si="3"/>
        <v>2777</v>
      </c>
      <c r="F191" s="136" t="s">
        <v>686</v>
      </c>
    </row>
    <row r="192" spans="1:6" x14ac:dyDescent="0.25">
      <c r="A192" s="138" t="s">
        <v>683</v>
      </c>
      <c r="B192" s="136" t="s">
        <v>687</v>
      </c>
      <c r="C192" s="136">
        <v>38</v>
      </c>
      <c r="D192" s="136"/>
      <c r="E192" s="136">
        <f t="shared" si="3"/>
        <v>2815</v>
      </c>
      <c r="F192" s="136"/>
    </row>
    <row r="193" spans="1:6" x14ac:dyDescent="0.25">
      <c r="A193" s="152" t="s">
        <v>683</v>
      </c>
      <c r="B193" s="136" t="s">
        <v>688</v>
      </c>
      <c r="C193" s="136">
        <v>24</v>
      </c>
      <c r="D193" s="136"/>
      <c r="E193" s="136">
        <f t="shared" si="3"/>
        <v>2839</v>
      </c>
      <c r="F193" s="136"/>
    </row>
    <row r="194" spans="1:6" x14ac:dyDescent="0.25">
      <c r="A194" s="152" t="s">
        <v>689</v>
      </c>
      <c r="B194" s="136" t="s">
        <v>638</v>
      </c>
      <c r="C194" s="136"/>
      <c r="D194" s="136">
        <v>100</v>
      </c>
      <c r="E194" s="136">
        <f t="shared" si="3"/>
        <v>2739</v>
      </c>
      <c r="F194" s="136" t="s">
        <v>690</v>
      </c>
    </row>
    <row r="195" spans="1:6" x14ac:dyDescent="0.25">
      <c r="A195" s="152" t="s">
        <v>689</v>
      </c>
      <c r="B195" s="136" t="s">
        <v>424</v>
      </c>
      <c r="C195" s="136"/>
      <c r="D195" s="136">
        <v>100</v>
      </c>
      <c r="E195" s="136">
        <f t="shared" si="3"/>
        <v>2639</v>
      </c>
      <c r="F195" s="136" t="s">
        <v>691</v>
      </c>
    </row>
    <row r="196" spans="1:6" x14ac:dyDescent="0.25">
      <c r="A196" s="152" t="s">
        <v>689</v>
      </c>
      <c r="B196" s="136" t="s">
        <v>257</v>
      </c>
      <c r="C196" s="136">
        <v>515</v>
      </c>
      <c r="D196" s="136"/>
      <c r="E196" s="136">
        <f t="shared" si="3"/>
        <v>3154</v>
      </c>
      <c r="F196" s="136"/>
    </row>
    <row r="197" spans="1:6" x14ac:dyDescent="0.25">
      <c r="A197" s="152" t="s">
        <v>695</v>
      </c>
      <c r="B197" s="136" t="s">
        <v>424</v>
      </c>
      <c r="C197" s="136"/>
      <c r="D197" s="136">
        <v>100</v>
      </c>
      <c r="E197" s="136">
        <f t="shared" si="3"/>
        <v>3054</v>
      </c>
      <c r="F197" s="136" t="s">
        <v>696</v>
      </c>
    </row>
    <row r="198" spans="1:6" x14ac:dyDescent="0.25">
      <c r="A198" s="138" t="s">
        <v>695</v>
      </c>
      <c r="B198" s="136" t="s">
        <v>638</v>
      </c>
      <c r="C198" s="136"/>
      <c r="D198" s="136">
        <v>200</v>
      </c>
      <c r="E198" s="136">
        <f t="shared" si="3"/>
        <v>2854</v>
      </c>
      <c r="F198" s="136" t="s">
        <v>697</v>
      </c>
    </row>
    <row r="199" spans="1:6" x14ac:dyDescent="0.25">
      <c r="A199" s="138" t="s">
        <v>695</v>
      </c>
      <c r="B199" s="136" t="s">
        <v>698</v>
      </c>
      <c r="C199" s="136">
        <v>80</v>
      </c>
      <c r="D199" s="136"/>
      <c r="E199" s="136">
        <f t="shared" si="3"/>
        <v>2934</v>
      </c>
      <c r="F199" s="136"/>
    </row>
    <row r="200" spans="1:6" x14ac:dyDescent="0.25">
      <c r="A200" s="138" t="s">
        <v>695</v>
      </c>
      <c r="B200" s="136" t="s">
        <v>283</v>
      </c>
      <c r="C200" s="136">
        <v>112</v>
      </c>
      <c r="D200" s="136"/>
      <c r="E200" s="136">
        <f t="shared" si="3"/>
        <v>3046</v>
      </c>
      <c r="F200" s="136"/>
    </row>
    <row r="201" spans="1:6" x14ac:dyDescent="0.25">
      <c r="A201" s="152" t="s">
        <v>704</v>
      </c>
      <c r="B201" s="136" t="s">
        <v>705</v>
      </c>
      <c r="C201" s="136"/>
      <c r="D201" s="136">
        <v>200</v>
      </c>
      <c r="E201" s="136">
        <f t="shared" si="3"/>
        <v>2846</v>
      </c>
      <c r="F201" s="136" t="s">
        <v>706</v>
      </c>
    </row>
    <row r="202" spans="1:6" ht="15.75" x14ac:dyDescent="0.25">
      <c r="A202" s="246" t="s">
        <v>715</v>
      </c>
      <c r="B202" s="161" t="s">
        <v>275</v>
      </c>
      <c r="C202" s="161"/>
      <c r="D202" s="161">
        <v>190</v>
      </c>
      <c r="E202" s="136">
        <f t="shared" si="3"/>
        <v>2656</v>
      </c>
      <c r="F202" s="161" t="s">
        <v>717</v>
      </c>
    </row>
    <row r="203" spans="1:6" x14ac:dyDescent="0.25">
      <c r="A203" s="121" t="s">
        <v>718</v>
      </c>
      <c r="B203" s="36" t="s">
        <v>716</v>
      </c>
      <c r="C203" s="36"/>
      <c r="D203" s="36">
        <v>50</v>
      </c>
      <c r="E203" s="136">
        <f t="shared" si="3"/>
        <v>2606</v>
      </c>
      <c r="F203" s="136" t="s">
        <v>17</v>
      </c>
    </row>
    <row r="204" spans="1:6" x14ac:dyDescent="0.25">
      <c r="A204" s="121" t="s">
        <v>718</v>
      </c>
      <c r="B204" s="136" t="s">
        <v>484</v>
      </c>
      <c r="C204" s="136">
        <v>50</v>
      </c>
      <c r="D204" s="136"/>
      <c r="E204" s="136">
        <f t="shared" si="3"/>
        <v>2656</v>
      </c>
      <c r="F204" s="136"/>
    </row>
    <row r="205" spans="1:6" x14ac:dyDescent="0.25">
      <c r="A205" s="138" t="s">
        <v>719</v>
      </c>
      <c r="B205" s="136" t="s">
        <v>721</v>
      </c>
      <c r="C205" s="136"/>
      <c r="D205" s="136">
        <v>90</v>
      </c>
      <c r="E205" s="136">
        <f t="shared" si="3"/>
        <v>2566</v>
      </c>
      <c r="F205" s="136" t="s">
        <v>722</v>
      </c>
    </row>
    <row r="206" spans="1:6" x14ac:dyDescent="0.25">
      <c r="A206" s="152" t="s">
        <v>715</v>
      </c>
      <c r="B206" s="136" t="s">
        <v>257</v>
      </c>
      <c r="C206" s="136">
        <v>200</v>
      </c>
      <c r="D206" s="136"/>
      <c r="E206" s="136">
        <f t="shared" si="3"/>
        <v>2766</v>
      </c>
      <c r="F206" s="136"/>
    </row>
    <row r="207" spans="1:6" x14ac:dyDescent="0.25">
      <c r="A207" s="152" t="s">
        <v>724</v>
      </c>
      <c r="B207" s="136" t="s">
        <v>221</v>
      </c>
      <c r="C207" s="136">
        <v>22</v>
      </c>
      <c r="D207" s="136"/>
      <c r="E207" s="136">
        <f t="shared" si="3"/>
        <v>2788</v>
      </c>
      <c r="F207" s="136"/>
    </row>
    <row r="208" spans="1:6" x14ac:dyDescent="0.25">
      <c r="A208" s="138" t="s">
        <v>728</v>
      </c>
      <c r="B208" s="136" t="s">
        <v>721</v>
      </c>
      <c r="C208" s="136"/>
      <c r="D208" s="136">
        <v>498</v>
      </c>
      <c r="E208" s="136">
        <f t="shared" si="3"/>
        <v>2290</v>
      </c>
      <c r="F208" s="136" t="s">
        <v>729</v>
      </c>
    </row>
    <row r="209" spans="1:6" x14ac:dyDescent="0.25">
      <c r="A209" s="152" t="s">
        <v>730</v>
      </c>
      <c r="B209" s="136" t="s">
        <v>716</v>
      </c>
      <c r="C209" s="136"/>
      <c r="D209" s="136">
        <v>30</v>
      </c>
      <c r="E209" s="136">
        <f t="shared" si="3"/>
        <v>2260</v>
      </c>
      <c r="F209" s="136" t="s">
        <v>17</v>
      </c>
    </row>
    <row r="210" spans="1:6" x14ac:dyDescent="0.25">
      <c r="A210" s="152" t="s">
        <v>735</v>
      </c>
      <c r="B210" s="136" t="s">
        <v>257</v>
      </c>
      <c r="C210" s="136">
        <v>109</v>
      </c>
      <c r="D210" s="136"/>
      <c r="E210" s="136">
        <f t="shared" si="3"/>
        <v>2369</v>
      </c>
      <c r="F210" s="136"/>
    </row>
    <row r="211" spans="1:6" x14ac:dyDescent="0.25">
      <c r="A211" s="152" t="s">
        <v>735</v>
      </c>
      <c r="B211" s="136" t="s">
        <v>221</v>
      </c>
      <c r="C211" s="136">
        <v>39</v>
      </c>
      <c r="D211" s="136"/>
      <c r="E211" s="136">
        <f t="shared" si="3"/>
        <v>2408</v>
      </c>
      <c r="F211" s="136"/>
    </row>
    <row r="212" spans="1:6" x14ac:dyDescent="0.25">
      <c r="A212" s="152" t="s">
        <v>739</v>
      </c>
      <c r="B212" s="136" t="s">
        <v>221</v>
      </c>
      <c r="C212" s="136">
        <v>32</v>
      </c>
      <c r="D212" s="136"/>
      <c r="E212" s="136">
        <f t="shared" si="3"/>
        <v>2440</v>
      </c>
      <c r="F212" s="136"/>
    </row>
    <row r="213" spans="1:6" ht="15.75" x14ac:dyDescent="0.25">
      <c r="A213" s="246" t="s">
        <v>741</v>
      </c>
      <c r="B213" s="161" t="s">
        <v>665</v>
      </c>
      <c r="C213" s="161">
        <v>40</v>
      </c>
      <c r="D213" s="136"/>
      <c r="E213" s="136">
        <f t="shared" si="3"/>
        <v>2480</v>
      </c>
      <c r="F213" s="136"/>
    </row>
    <row r="214" spans="1:6" x14ac:dyDescent="0.25">
      <c r="A214" s="138" t="s">
        <v>747</v>
      </c>
      <c r="B214" s="136" t="s">
        <v>748</v>
      </c>
      <c r="C214" s="136"/>
      <c r="D214" s="136">
        <v>50</v>
      </c>
      <c r="E214" s="136">
        <f t="shared" si="3"/>
        <v>2430</v>
      </c>
      <c r="F214" s="136" t="s">
        <v>749</v>
      </c>
    </row>
    <row r="215" spans="1:6" x14ac:dyDescent="0.25">
      <c r="A215" s="138" t="s">
        <v>747</v>
      </c>
      <c r="B215" s="136" t="s">
        <v>283</v>
      </c>
      <c r="C215" s="136">
        <v>35</v>
      </c>
      <c r="D215" s="136"/>
      <c r="E215" s="136">
        <f t="shared" ref="E215:E282" si="4">E214+C215-D215</f>
        <v>2465</v>
      </c>
      <c r="F215" s="136"/>
    </row>
    <row r="216" spans="1:6" x14ac:dyDescent="0.25">
      <c r="A216" s="152" t="s">
        <v>752</v>
      </c>
      <c r="B216" s="136" t="s">
        <v>221</v>
      </c>
      <c r="C216" s="136">
        <v>113</v>
      </c>
      <c r="D216" s="136"/>
      <c r="E216" s="136">
        <f t="shared" si="4"/>
        <v>2578</v>
      </c>
      <c r="F216" s="136"/>
    </row>
    <row r="217" spans="1:6" x14ac:dyDescent="0.25">
      <c r="A217" s="152" t="s">
        <v>752</v>
      </c>
      <c r="B217" s="136" t="s">
        <v>402</v>
      </c>
      <c r="C217" s="136">
        <v>9</v>
      </c>
      <c r="D217" s="136"/>
      <c r="E217" s="136">
        <f t="shared" si="4"/>
        <v>2587</v>
      </c>
      <c r="F217" s="136"/>
    </row>
    <row r="218" spans="1:6" x14ac:dyDescent="0.25">
      <c r="A218" s="152" t="s">
        <v>756</v>
      </c>
      <c r="B218" s="136" t="s">
        <v>221</v>
      </c>
      <c r="C218" s="136">
        <v>67</v>
      </c>
      <c r="D218" s="136"/>
      <c r="E218" s="136">
        <f t="shared" si="4"/>
        <v>2654</v>
      </c>
      <c r="F218" s="136"/>
    </row>
    <row r="219" spans="1:6" x14ac:dyDescent="0.25">
      <c r="A219" s="238" t="s">
        <v>756</v>
      </c>
      <c r="B219" s="136" t="s">
        <v>757</v>
      </c>
      <c r="C219" s="136">
        <v>300</v>
      </c>
      <c r="D219" s="136"/>
      <c r="E219" s="136">
        <f t="shared" si="4"/>
        <v>2954</v>
      </c>
      <c r="F219" s="136"/>
    </row>
    <row r="220" spans="1:6" x14ac:dyDescent="0.25">
      <c r="A220" s="152" t="s">
        <v>758</v>
      </c>
      <c r="B220" s="136" t="s">
        <v>759</v>
      </c>
      <c r="C220" s="136"/>
      <c r="D220" s="136">
        <v>155</v>
      </c>
      <c r="E220" s="136">
        <f t="shared" si="4"/>
        <v>2799</v>
      </c>
      <c r="F220" s="136" t="s">
        <v>760</v>
      </c>
    </row>
    <row r="221" spans="1:6" x14ac:dyDescent="0.25">
      <c r="A221" s="152" t="s">
        <v>758</v>
      </c>
      <c r="B221" s="136" t="s">
        <v>221</v>
      </c>
      <c r="C221" s="136">
        <v>45</v>
      </c>
      <c r="D221" s="136"/>
      <c r="E221" s="136">
        <f t="shared" si="4"/>
        <v>2844</v>
      </c>
      <c r="F221" s="136"/>
    </row>
    <row r="222" spans="1:6" x14ac:dyDescent="0.25">
      <c r="A222" s="152" t="s">
        <v>758</v>
      </c>
      <c r="B222" s="136" t="s">
        <v>221</v>
      </c>
      <c r="C222" s="136">
        <v>42</v>
      </c>
      <c r="D222" s="136"/>
      <c r="E222" s="136">
        <f t="shared" si="4"/>
        <v>2886</v>
      </c>
      <c r="F222" s="136"/>
    </row>
    <row r="223" spans="1:6" x14ac:dyDescent="0.25">
      <c r="A223" s="152" t="s">
        <v>758</v>
      </c>
      <c r="B223" s="136" t="s">
        <v>761</v>
      </c>
      <c r="C223" s="136">
        <v>270</v>
      </c>
      <c r="D223" s="136"/>
      <c r="E223" s="136">
        <f t="shared" si="4"/>
        <v>3156</v>
      </c>
      <c r="F223" s="136"/>
    </row>
    <row r="224" spans="1:6" x14ac:dyDescent="0.25">
      <c r="A224" s="152" t="s">
        <v>764</v>
      </c>
      <c r="B224" s="136" t="s">
        <v>638</v>
      </c>
      <c r="C224" s="136"/>
      <c r="D224" s="136">
        <v>100</v>
      </c>
      <c r="E224" s="136">
        <f t="shared" si="4"/>
        <v>3056</v>
      </c>
      <c r="F224" s="136" t="s">
        <v>769</v>
      </c>
    </row>
    <row r="225" spans="1:6" x14ac:dyDescent="0.25">
      <c r="A225" s="152" t="s">
        <v>764</v>
      </c>
      <c r="B225" s="136" t="s">
        <v>638</v>
      </c>
      <c r="C225" s="136"/>
      <c r="D225" s="136">
        <v>120</v>
      </c>
      <c r="E225" s="136">
        <f t="shared" si="4"/>
        <v>2936</v>
      </c>
      <c r="F225" s="136" t="s">
        <v>770</v>
      </c>
    </row>
    <row r="226" spans="1:6" x14ac:dyDescent="0.25">
      <c r="A226" s="152" t="s">
        <v>764</v>
      </c>
      <c r="B226" s="136" t="s">
        <v>414</v>
      </c>
      <c r="C226" s="136">
        <v>12</v>
      </c>
      <c r="D226" s="136"/>
      <c r="E226" s="136">
        <f t="shared" si="4"/>
        <v>2948</v>
      </c>
      <c r="F226" s="136"/>
    </row>
    <row r="227" spans="1:6" x14ac:dyDescent="0.25">
      <c r="A227" s="238" t="s">
        <v>764</v>
      </c>
      <c r="B227" s="136" t="s">
        <v>763</v>
      </c>
      <c r="C227" s="136">
        <v>115</v>
      </c>
      <c r="D227" s="136"/>
      <c r="E227" s="136">
        <f t="shared" si="4"/>
        <v>3063</v>
      </c>
      <c r="F227" s="136"/>
    </row>
    <row r="228" spans="1:6" x14ac:dyDescent="0.25">
      <c r="A228" s="238" t="s">
        <v>771</v>
      </c>
      <c r="B228" s="136" t="s">
        <v>763</v>
      </c>
      <c r="C228" s="136">
        <v>148</v>
      </c>
      <c r="D228" s="136"/>
      <c r="E228" s="136">
        <f t="shared" si="4"/>
        <v>3211</v>
      </c>
      <c r="F228" s="136"/>
    </row>
    <row r="229" spans="1:6" x14ac:dyDescent="0.25">
      <c r="A229" s="152" t="s">
        <v>773</v>
      </c>
      <c r="B229" s="136" t="s">
        <v>763</v>
      </c>
      <c r="C229" s="136">
        <v>187</v>
      </c>
      <c r="D229" s="136"/>
      <c r="E229" s="136">
        <f t="shared" si="4"/>
        <v>3398</v>
      </c>
      <c r="F229" s="136"/>
    </row>
    <row r="230" spans="1:6" x14ac:dyDescent="0.25">
      <c r="A230" s="152" t="s">
        <v>773</v>
      </c>
      <c r="B230" s="136" t="s">
        <v>283</v>
      </c>
      <c r="C230" s="136">
        <v>28</v>
      </c>
      <c r="D230" s="136"/>
      <c r="E230" s="136">
        <f t="shared" si="4"/>
        <v>3426</v>
      </c>
      <c r="F230" s="136"/>
    </row>
    <row r="231" spans="1:6" x14ac:dyDescent="0.25">
      <c r="A231" s="138" t="s">
        <v>775</v>
      </c>
      <c r="B231" s="136" t="s">
        <v>250</v>
      </c>
      <c r="C231" s="136"/>
      <c r="D231" s="136">
        <v>13</v>
      </c>
      <c r="E231" s="136">
        <f t="shared" si="4"/>
        <v>3413</v>
      </c>
      <c r="F231" s="136" t="s">
        <v>776</v>
      </c>
    </row>
    <row r="232" spans="1:6" x14ac:dyDescent="0.25">
      <c r="A232" s="152" t="s">
        <v>775</v>
      </c>
      <c r="B232" s="136" t="s">
        <v>763</v>
      </c>
      <c r="C232" s="136">
        <v>200</v>
      </c>
      <c r="D232" s="136"/>
      <c r="E232" s="136">
        <f t="shared" si="4"/>
        <v>3613</v>
      </c>
      <c r="F232" s="136"/>
    </row>
    <row r="233" spans="1:6" x14ac:dyDescent="0.25">
      <c r="A233" s="152" t="s">
        <v>779</v>
      </c>
      <c r="B233" s="136" t="s">
        <v>763</v>
      </c>
      <c r="C233" s="136">
        <v>208</v>
      </c>
      <c r="D233" s="136"/>
      <c r="E233" s="136">
        <f t="shared" si="4"/>
        <v>3821</v>
      </c>
      <c r="F233" s="136"/>
    </row>
    <row r="234" spans="1:6" x14ac:dyDescent="0.25">
      <c r="A234" s="138" t="s">
        <v>781</v>
      </c>
      <c r="B234" s="136" t="s">
        <v>344</v>
      </c>
      <c r="C234" s="136">
        <v>154</v>
      </c>
      <c r="D234" s="136"/>
      <c r="E234" s="136">
        <f t="shared" si="4"/>
        <v>3975</v>
      </c>
      <c r="F234" s="136"/>
    </row>
    <row r="235" spans="1:6" x14ac:dyDescent="0.25">
      <c r="A235" s="138" t="s">
        <v>781</v>
      </c>
      <c r="B235" s="136" t="s">
        <v>344</v>
      </c>
      <c r="C235" s="136">
        <v>62</v>
      </c>
      <c r="D235" s="136"/>
      <c r="E235" s="136">
        <f t="shared" si="4"/>
        <v>4037</v>
      </c>
      <c r="F235" s="136"/>
    </row>
    <row r="236" spans="1:6" x14ac:dyDescent="0.25">
      <c r="A236" s="138" t="s">
        <v>781</v>
      </c>
      <c r="B236" s="136" t="s">
        <v>344</v>
      </c>
      <c r="C236" s="136">
        <v>44</v>
      </c>
      <c r="D236" s="136"/>
      <c r="E236" s="136">
        <f t="shared" si="4"/>
        <v>4081</v>
      </c>
      <c r="F236" s="136"/>
    </row>
    <row r="237" spans="1:6" x14ac:dyDescent="0.25">
      <c r="A237" s="233">
        <v>8154</v>
      </c>
      <c r="B237" s="136" t="s">
        <v>344</v>
      </c>
      <c r="C237" s="136">
        <v>78</v>
      </c>
      <c r="D237" s="136"/>
      <c r="E237" s="136">
        <f t="shared" si="4"/>
        <v>4159</v>
      </c>
      <c r="F237" s="136"/>
    </row>
    <row r="238" spans="1:6" x14ac:dyDescent="0.25">
      <c r="A238" s="233">
        <v>8154</v>
      </c>
      <c r="B238" s="136" t="s">
        <v>344</v>
      </c>
      <c r="C238" s="136">
        <v>118</v>
      </c>
      <c r="D238" s="136"/>
      <c r="E238" s="136">
        <f t="shared" si="4"/>
        <v>4277</v>
      </c>
      <c r="F238" s="136"/>
    </row>
    <row r="239" spans="1:6" x14ac:dyDescent="0.25">
      <c r="A239" s="138" t="s">
        <v>785</v>
      </c>
      <c r="B239" s="136" t="s">
        <v>344</v>
      </c>
      <c r="C239" s="136">
        <v>58</v>
      </c>
      <c r="D239" s="136"/>
      <c r="E239" s="136">
        <f t="shared" si="4"/>
        <v>4335</v>
      </c>
      <c r="F239" s="136"/>
    </row>
    <row r="240" spans="1:6" x14ac:dyDescent="0.25">
      <c r="A240" s="138" t="s">
        <v>786</v>
      </c>
      <c r="B240" s="136" t="s">
        <v>344</v>
      </c>
      <c r="C240" s="136">
        <v>100</v>
      </c>
      <c r="D240" s="136"/>
      <c r="E240" s="136">
        <f t="shared" si="4"/>
        <v>4435</v>
      </c>
      <c r="F240" s="136"/>
    </row>
    <row r="241" spans="1:6" x14ac:dyDescent="0.25">
      <c r="A241" s="138" t="s">
        <v>787</v>
      </c>
      <c r="B241" s="136" t="s">
        <v>344</v>
      </c>
      <c r="C241" s="136">
        <v>91</v>
      </c>
      <c r="D241" s="136"/>
      <c r="E241" s="136">
        <f t="shared" si="4"/>
        <v>4526</v>
      </c>
      <c r="F241" s="136"/>
    </row>
    <row r="242" spans="1:6" x14ac:dyDescent="0.25">
      <c r="A242" s="152" t="s">
        <v>788</v>
      </c>
      <c r="B242" s="136" t="s">
        <v>275</v>
      </c>
      <c r="C242" s="136"/>
      <c r="D242" s="136">
        <v>140</v>
      </c>
      <c r="E242" s="136">
        <f t="shared" si="4"/>
        <v>4386</v>
      </c>
      <c r="F242" s="136" t="s">
        <v>789</v>
      </c>
    </row>
    <row r="243" spans="1:6" x14ac:dyDescent="0.25">
      <c r="A243" s="138" t="s">
        <v>790</v>
      </c>
      <c r="B243" s="136" t="s">
        <v>783</v>
      </c>
      <c r="C243" s="136"/>
      <c r="D243" s="136">
        <v>24</v>
      </c>
      <c r="E243" s="136">
        <f t="shared" si="4"/>
        <v>4362</v>
      </c>
      <c r="F243" s="136" t="s">
        <v>791</v>
      </c>
    </row>
    <row r="244" spans="1:6" x14ac:dyDescent="0.25">
      <c r="A244" s="152" t="s">
        <v>788</v>
      </c>
      <c r="B244" s="136" t="s">
        <v>763</v>
      </c>
      <c r="C244" s="136">
        <v>220</v>
      </c>
      <c r="D244" s="136"/>
      <c r="E244" s="136">
        <f t="shared" si="4"/>
        <v>4582</v>
      </c>
      <c r="F244" s="136"/>
    </row>
    <row r="245" spans="1:6" x14ac:dyDescent="0.25">
      <c r="A245" s="138" t="s">
        <v>790</v>
      </c>
      <c r="B245" s="136" t="s">
        <v>344</v>
      </c>
      <c r="C245" s="136">
        <v>175</v>
      </c>
      <c r="D245" s="136"/>
      <c r="E245" s="136">
        <f t="shared" si="4"/>
        <v>4757</v>
      </c>
      <c r="F245" s="136"/>
    </row>
    <row r="246" spans="1:6" x14ac:dyDescent="0.25">
      <c r="A246" s="152" t="s">
        <v>794</v>
      </c>
      <c r="B246" s="136" t="s">
        <v>795</v>
      </c>
      <c r="C246" s="136"/>
      <c r="D246" s="136">
        <v>150</v>
      </c>
      <c r="E246" s="136">
        <f t="shared" si="4"/>
        <v>4607</v>
      </c>
      <c r="F246" s="136" t="s">
        <v>796</v>
      </c>
    </row>
    <row r="247" spans="1:6" x14ac:dyDescent="0.25">
      <c r="A247" s="138" t="s">
        <v>797</v>
      </c>
      <c r="B247" s="136" t="s">
        <v>344</v>
      </c>
      <c r="C247" s="136">
        <v>99</v>
      </c>
      <c r="D247" s="136"/>
      <c r="E247" s="136">
        <f t="shared" si="4"/>
        <v>4706</v>
      </c>
      <c r="F247" s="136"/>
    </row>
    <row r="248" spans="1:6" x14ac:dyDescent="0.25">
      <c r="A248" s="138" t="s">
        <v>797</v>
      </c>
      <c r="B248" s="136" t="s">
        <v>344</v>
      </c>
      <c r="C248" s="136">
        <v>105</v>
      </c>
      <c r="D248" s="136"/>
      <c r="E248" s="136">
        <f t="shared" si="4"/>
        <v>4811</v>
      </c>
      <c r="F248" s="136"/>
    </row>
    <row r="249" spans="1:6" x14ac:dyDescent="0.25">
      <c r="A249" s="152" t="s">
        <v>794</v>
      </c>
      <c r="B249" s="136" t="s">
        <v>221</v>
      </c>
      <c r="C249" s="136">
        <v>77</v>
      </c>
      <c r="D249" s="136"/>
      <c r="E249" s="136">
        <f t="shared" si="4"/>
        <v>4888</v>
      </c>
      <c r="F249" s="136"/>
    </row>
    <row r="250" spans="1:6" x14ac:dyDescent="0.25">
      <c r="A250" s="152" t="s">
        <v>798</v>
      </c>
      <c r="B250" s="136" t="s">
        <v>273</v>
      </c>
      <c r="C250" s="136"/>
      <c r="D250" s="136">
        <v>22</v>
      </c>
      <c r="E250" s="136">
        <f t="shared" si="4"/>
        <v>4866</v>
      </c>
      <c r="F250" s="136" t="s">
        <v>799</v>
      </c>
    </row>
    <row r="251" spans="1:6" x14ac:dyDescent="0.25">
      <c r="A251" s="152" t="s">
        <v>798</v>
      </c>
      <c r="B251" s="136" t="s">
        <v>800</v>
      </c>
      <c r="C251" s="136"/>
      <c r="D251" s="136">
        <v>40</v>
      </c>
      <c r="E251" s="136">
        <f t="shared" si="4"/>
        <v>4826</v>
      </c>
      <c r="F251" s="136" t="s">
        <v>17</v>
      </c>
    </row>
    <row r="252" spans="1:6" x14ac:dyDescent="0.25">
      <c r="A252" s="138" t="s">
        <v>802</v>
      </c>
      <c r="B252" s="136" t="s">
        <v>344</v>
      </c>
      <c r="C252" s="136">
        <v>200</v>
      </c>
      <c r="D252" s="136"/>
      <c r="E252" s="136">
        <f t="shared" si="4"/>
        <v>5026</v>
      </c>
      <c r="F252" s="136"/>
    </row>
    <row r="253" spans="1:6" x14ac:dyDescent="0.25">
      <c r="A253" s="138" t="s">
        <v>802</v>
      </c>
      <c r="B253" s="136" t="s">
        <v>721</v>
      </c>
      <c r="C253" s="136">
        <v>150</v>
      </c>
      <c r="D253" s="136"/>
      <c r="E253" s="136">
        <f t="shared" si="4"/>
        <v>5176</v>
      </c>
      <c r="F253" s="136"/>
    </row>
    <row r="254" spans="1:6" x14ac:dyDescent="0.25">
      <c r="A254" s="138" t="s">
        <v>803</v>
      </c>
      <c r="B254" s="136" t="s">
        <v>381</v>
      </c>
      <c r="C254" s="136">
        <v>95</v>
      </c>
      <c r="D254" s="136"/>
      <c r="E254" s="136">
        <f t="shared" si="4"/>
        <v>5271</v>
      </c>
      <c r="F254" s="136"/>
    </row>
    <row r="255" spans="1:6" x14ac:dyDescent="0.25">
      <c r="A255" s="138" t="s">
        <v>803</v>
      </c>
      <c r="B255" s="136" t="s">
        <v>522</v>
      </c>
      <c r="C255" s="136">
        <v>200</v>
      </c>
      <c r="D255" s="136"/>
      <c r="E255" s="136">
        <f t="shared" si="4"/>
        <v>5471</v>
      </c>
      <c r="F255" s="136"/>
    </row>
    <row r="256" spans="1:6" x14ac:dyDescent="0.25">
      <c r="A256" s="138" t="s">
        <v>803</v>
      </c>
      <c r="B256" s="136" t="s">
        <v>402</v>
      </c>
      <c r="C256" s="136">
        <v>62</v>
      </c>
      <c r="D256" s="136"/>
      <c r="E256" s="136">
        <f t="shared" si="4"/>
        <v>5533</v>
      </c>
      <c r="F256" s="136"/>
    </row>
    <row r="257" spans="1:7" x14ac:dyDescent="0.25">
      <c r="A257" s="138" t="s">
        <v>803</v>
      </c>
      <c r="B257" s="136" t="s">
        <v>402</v>
      </c>
      <c r="C257" s="136">
        <v>143</v>
      </c>
      <c r="D257" s="136"/>
      <c r="E257" s="136">
        <f t="shared" si="4"/>
        <v>5676</v>
      </c>
      <c r="F257" s="136"/>
    </row>
    <row r="258" spans="1:7" x14ac:dyDescent="0.25">
      <c r="A258" s="152" t="s">
        <v>804</v>
      </c>
      <c r="B258" s="136" t="s">
        <v>809</v>
      </c>
      <c r="C258" s="136">
        <v>210</v>
      </c>
      <c r="D258" s="136"/>
      <c r="E258" s="136">
        <f t="shared" si="4"/>
        <v>5886</v>
      </c>
      <c r="F258" s="136"/>
    </row>
    <row r="259" spans="1:7" x14ac:dyDescent="0.25">
      <c r="A259" s="138" t="s">
        <v>804</v>
      </c>
      <c r="B259" s="136" t="s">
        <v>402</v>
      </c>
      <c r="C259" s="136">
        <v>72</v>
      </c>
      <c r="D259" s="136"/>
      <c r="E259" s="136">
        <f t="shared" si="4"/>
        <v>5958</v>
      </c>
      <c r="F259" s="136"/>
    </row>
    <row r="260" spans="1:7" x14ac:dyDescent="0.25">
      <c r="A260" s="152" t="s">
        <v>811</v>
      </c>
      <c r="B260" s="136" t="s">
        <v>814</v>
      </c>
      <c r="C260" s="136"/>
      <c r="D260" s="136">
        <v>30</v>
      </c>
      <c r="E260" s="136">
        <f t="shared" si="4"/>
        <v>5928</v>
      </c>
      <c r="F260" s="136" t="s">
        <v>815</v>
      </c>
    </row>
    <row r="261" spans="1:7" x14ac:dyDescent="0.25">
      <c r="A261" s="152" t="s">
        <v>811</v>
      </c>
      <c r="B261" s="136" t="s">
        <v>816</v>
      </c>
      <c r="C261" s="136"/>
      <c r="D261" s="136">
        <v>320</v>
      </c>
      <c r="E261" s="136">
        <f t="shared" si="4"/>
        <v>5608</v>
      </c>
      <c r="F261" s="136" t="s">
        <v>817</v>
      </c>
    </row>
    <row r="262" spans="1:7" x14ac:dyDescent="0.25">
      <c r="A262" s="152" t="s">
        <v>811</v>
      </c>
      <c r="B262" s="136" t="s">
        <v>275</v>
      </c>
      <c r="C262" s="136"/>
      <c r="D262" s="136">
        <v>95</v>
      </c>
      <c r="E262" s="136">
        <f t="shared" si="4"/>
        <v>5513</v>
      </c>
      <c r="F262" s="136" t="s">
        <v>818</v>
      </c>
    </row>
    <row r="263" spans="1:7" x14ac:dyDescent="0.25">
      <c r="A263" s="152" t="s">
        <v>811</v>
      </c>
      <c r="B263" s="136" t="s">
        <v>275</v>
      </c>
      <c r="C263" s="136"/>
      <c r="D263" s="136">
        <v>3</v>
      </c>
      <c r="E263" s="136">
        <f t="shared" si="4"/>
        <v>5510</v>
      </c>
      <c r="F263" s="136"/>
    </row>
    <row r="264" spans="1:7" x14ac:dyDescent="0.25">
      <c r="A264" s="138" t="s">
        <v>811</v>
      </c>
      <c r="B264" s="136" t="s">
        <v>344</v>
      </c>
      <c r="C264" s="136">
        <v>103</v>
      </c>
      <c r="D264" s="136"/>
      <c r="E264" s="136">
        <f t="shared" si="4"/>
        <v>5613</v>
      </c>
      <c r="F264" s="136"/>
    </row>
    <row r="265" spans="1:7" x14ac:dyDescent="0.25">
      <c r="A265" s="152" t="s">
        <v>820</v>
      </c>
      <c r="B265" s="136" t="s">
        <v>821</v>
      </c>
      <c r="C265" s="136"/>
      <c r="D265" s="136">
        <v>100</v>
      </c>
      <c r="E265" s="136">
        <f t="shared" si="4"/>
        <v>5513</v>
      </c>
      <c r="F265" s="136" t="s">
        <v>822</v>
      </c>
    </row>
    <row r="266" spans="1:7" x14ac:dyDescent="0.25">
      <c r="A266" s="152" t="s">
        <v>820</v>
      </c>
      <c r="B266" s="136" t="s">
        <v>344</v>
      </c>
      <c r="C266" s="136">
        <v>111</v>
      </c>
      <c r="D266" s="136"/>
      <c r="E266" s="136">
        <f t="shared" si="4"/>
        <v>5624</v>
      </c>
      <c r="F266" s="136"/>
    </row>
    <row r="267" spans="1:7" x14ac:dyDescent="0.25">
      <c r="A267" s="152" t="s">
        <v>820</v>
      </c>
      <c r="B267" s="136" t="s">
        <v>826</v>
      </c>
      <c r="C267" s="136">
        <v>201</v>
      </c>
      <c r="D267" s="136"/>
      <c r="E267" s="136">
        <f t="shared" si="4"/>
        <v>5825</v>
      </c>
      <c r="F267" s="136"/>
    </row>
    <row r="268" spans="1:7" x14ac:dyDescent="0.25">
      <c r="A268" s="152" t="s">
        <v>827</v>
      </c>
      <c r="B268" s="136" t="s">
        <v>831</v>
      </c>
      <c r="C268" s="136"/>
      <c r="D268" s="136">
        <v>100</v>
      </c>
      <c r="E268" s="136">
        <f t="shared" si="4"/>
        <v>5725</v>
      </c>
      <c r="F268" s="136" t="s">
        <v>17</v>
      </c>
      <c r="G268" s="136"/>
    </row>
    <row r="269" spans="1:7" x14ac:dyDescent="0.25">
      <c r="A269" s="138" t="s">
        <v>827</v>
      </c>
      <c r="B269" s="136" t="s">
        <v>382</v>
      </c>
      <c r="C269" s="136">
        <v>48</v>
      </c>
      <c r="D269" s="136"/>
      <c r="E269" s="136">
        <f t="shared" si="4"/>
        <v>5773</v>
      </c>
      <c r="F269" s="136"/>
    </row>
    <row r="270" spans="1:7" x14ac:dyDescent="0.25">
      <c r="A270" s="138" t="s">
        <v>827</v>
      </c>
      <c r="B270" s="136" t="s">
        <v>344</v>
      </c>
      <c r="C270" s="136">
        <v>188</v>
      </c>
      <c r="D270" s="136"/>
      <c r="E270" s="136">
        <f t="shared" si="4"/>
        <v>5961</v>
      </c>
      <c r="F270" s="136"/>
    </row>
    <row r="271" spans="1:7" x14ac:dyDescent="0.25">
      <c r="A271" s="138" t="s">
        <v>827</v>
      </c>
      <c r="B271" s="136" t="s">
        <v>344</v>
      </c>
      <c r="C271" s="136">
        <v>122</v>
      </c>
      <c r="D271" s="136"/>
      <c r="E271" s="136">
        <f t="shared" si="4"/>
        <v>6083</v>
      </c>
      <c r="F271" s="136"/>
    </row>
    <row r="272" spans="1:7" x14ac:dyDescent="0.25">
      <c r="A272" s="152" t="s">
        <v>835</v>
      </c>
      <c r="B272" s="136" t="s">
        <v>831</v>
      </c>
      <c r="C272" s="136"/>
      <c r="D272" s="136">
        <v>100</v>
      </c>
      <c r="E272" s="136">
        <f t="shared" si="4"/>
        <v>5983</v>
      </c>
      <c r="F272" s="136" t="s">
        <v>17</v>
      </c>
    </row>
    <row r="273" spans="1:6" x14ac:dyDescent="0.25">
      <c r="A273" s="138" t="s">
        <v>835</v>
      </c>
      <c r="B273" s="136" t="s">
        <v>783</v>
      </c>
      <c r="C273" s="136"/>
      <c r="D273" s="136">
        <v>100</v>
      </c>
      <c r="E273" s="136">
        <f t="shared" si="4"/>
        <v>5883</v>
      </c>
      <c r="F273" s="163" t="s">
        <v>845</v>
      </c>
    </row>
    <row r="274" spans="1:6" x14ac:dyDescent="0.25">
      <c r="A274" s="138" t="s">
        <v>835</v>
      </c>
      <c r="B274" s="136" t="s">
        <v>454</v>
      </c>
      <c r="C274" s="136"/>
      <c r="D274" s="136">
        <v>60</v>
      </c>
      <c r="E274" s="136">
        <f t="shared" si="4"/>
        <v>5823</v>
      </c>
      <c r="F274" s="136" t="s">
        <v>838</v>
      </c>
    </row>
    <row r="275" spans="1:6" x14ac:dyDescent="0.25">
      <c r="A275" s="138" t="s">
        <v>835</v>
      </c>
      <c r="B275" s="136" t="s">
        <v>344</v>
      </c>
      <c r="C275" s="136">
        <v>175</v>
      </c>
      <c r="D275" s="136"/>
      <c r="E275" s="136">
        <f t="shared" si="4"/>
        <v>5998</v>
      </c>
      <c r="F275" s="136"/>
    </row>
    <row r="276" spans="1:6" x14ac:dyDescent="0.25">
      <c r="A276" s="152" t="s">
        <v>839</v>
      </c>
      <c r="B276" s="136" t="s">
        <v>840</v>
      </c>
      <c r="C276" s="136"/>
      <c r="D276" s="136">
        <v>100</v>
      </c>
      <c r="E276" s="136">
        <f t="shared" si="4"/>
        <v>5898</v>
      </c>
      <c r="F276" s="136" t="s">
        <v>17</v>
      </c>
    </row>
    <row r="277" spans="1:6" x14ac:dyDescent="0.25">
      <c r="A277" s="152" t="s">
        <v>839</v>
      </c>
      <c r="B277" s="136" t="s">
        <v>783</v>
      </c>
      <c r="C277" s="136"/>
      <c r="D277" s="136">
        <v>40</v>
      </c>
      <c r="E277" s="136">
        <f t="shared" si="4"/>
        <v>5858</v>
      </c>
      <c r="F277" s="136" t="s">
        <v>843</v>
      </c>
    </row>
    <row r="278" spans="1:6" x14ac:dyDescent="0.25">
      <c r="A278" s="152" t="s">
        <v>839</v>
      </c>
      <c r="B278" s="136" t="s">
        <v>344</v>
      </c>
      <c r="C278" s="136">
        <v>98</v>
      </c>
      <c r="D278" s="136"/>
      <c r="E278" s="136">
        <f t="shared" si="4"/>
        <v>5956</v>
      </c>
      <c r="F278" s="136"/>
    </row>
    <row r="279" spans="1:6" x14ac:dyDescent="0.25">
      <c r="A279" s="152" t="s">
        <v>839</v>
      </c>
      <c r="B279" s="136" t="s">
        <v>844</v>
      </c>
      <c r="C279" s="136">
        <v>24</v>
      </c>
      <c r="D279" s="136"/>
      <c r="E279" s="136">
        <f t="shared" si="4"/>
        <v>5980</v>
      </c>
      <c r="F279" s="136"/>
    </row>
    <row r="280" spans="1:6" x14ac:dyDescent="0.25">
      <c r="A280" s="138" t="s">
        <v>848</v>
      </c>
      <c r="B280" s="136" t="s">
        <v>849</v>
      </c>
      <c r="C280" s="136"/>
      <c r="D280" s="136">
        <v>20</v>
      </c>
      <c r="E280" s="136">
        <f t="shared" si="4"/>
        <v>5960</v>
      </c>
      <c r="F280" s="136" t="s">
        <v>17</v>
      </c>
    </row>
    <row r="281" spans="1:6" x14ac:dyDescent="0.25">
      <c r="A281" s="138" t="s">
        <v>848</v>
      </c>
      <c r="B281" s="136" t="s">
        <v>849</v>
      </c>
      <c r="C281" s="136"/>
      <c r="D281" s="136">
        <v>20</v>
      </c>
      <c r="E281" s="136">
        <f t="shared" si="4"/>
        <v>5940</v>
      </c>
      <c r="F281" s="136"/>
    </row>
    <row r="282" spans="1:6" x14ac:dyDescent="0.25">
      <c r="A282" s="138" t="s">
        <v>848</v>
      </c>
      <c r="B282" s="136" t="s">
        <v>344</v>
      </c>
      <c r="C282" s="136">
        <v>97</v>
      </c>
      <c r="D282" s="136"/>
      <c r="E282" s="136">
        <f t="shared" si="4"/>
        <v>6037</v>
      </c>
      <c r="F282" s="136" t="s">
        <v>855</v>
      </c>
    </row>
    <row r="283" spans="1:6" x14ac:dyDescent="0.25">
      <c r="A283" s="152" t="s">
        <v>848</v>
      </c>
      <c r="B283" s="136" t="s">
        <v>550</v>
      </c>
      <c r="C283" s="136">
        <v>240</v>
      </c>
      <c r="D283" s="136"/>
      <c r="E283" s="136">
        <f t="shared" ref="E283:E323" si="5">E282+C283-D283</f>
        <v>6277</v>
      </c>
      <c r="F283" s="136"/>
    </row>
    <row r="284" spans="1:6" x14ac:dyDescent="0.25">
      <c r="A284" s="152" t="s">
        <v>848</v>
      </c>
      <c r="B284" s="136" t="s">
        <v>550</v>
      </c>
      <c r="C284" s="136">
        <v>28</v>
      </c>
      <c r="D284" s="136"/>
      <c r="E284" s="136">
        <f t="shared" si="5"/>
        <v>6305</v>
      </c>
      <c r="F284" s="136"/>
    </row>
    <row r="285" spans="1:6" x14ac:dyDescent="0.25">
      <c r="A285" s="138" t="s">
        <v>847</v>
      </c>
      <c r="B285" s="136" t="s">
        <v>783</v>
      </c>
      <c r="C285" s="136"/>
      <c r="D285" s="136">
        <v>368</v>
      </c>
      <c r="E285" s="136">
        <f t="shared" si="5"/>
        <v>5937</v>
      </c>
      <c r="F285" s="136" t="s">
        <v>850</v>
      </c>
    </row>
    <row r="286" spans="1:6" x14ac:dyDescent="0.25">
      <c r="A286" s="138" t="s">
        <v>847</v>
      </c>
      <c r="B286" s="136" t="s">
        <v>783</v>
      </c>
      <c r="C286" s="136"/>
      <c r="D286" s="136">
        <v>232</v>
      </c>
      <c r="E286" s="136">
        <f t="shared" si="5"/>
        <v>5705</v>
      </c>
      <c r="F286" s="136" t="s">
        <v>851</v>
      </c>
    </row>
    <row r="287" spans="1:6" x14ac:dyDescent="0.25">
      <c r="A287" s="152" t="s">
        <v>847</v>
      </c>
      <c r="B287" s="136" t="s">
        <v>854</v>
      </c>
      <c r="C287" s="136">
        <v>240</v>
      </c>
      <c r="D287" s="136"/>
      <c r="E287" s="136">
        <f t="shared" si="5"/>
        <v>5945</v>
      </c>
      <c r="F287" s="136"/>
    </row>
    <row r="288" spans="1:6" x14ac:dyDescent="0.25">
      <c r="A288" s="138" t="s">
        <v>847</v>
      </c>
      <c r="B288" s="136" t="s">
        <v>344</v>
      </c>
      <c r="C288" s="136">
        <v>134</v>
      </c>
      <c r="D288" s="136"/>
      <c r="E288" s="136">
        <f t="shared" si="5"/>
        <v>6079</v>
      </c>
      <c r="F288" s="136"/>
    </row>
    <row r="289" spans="1:6" x14ac:dyDescent="0.25">
      <c r="A289" s="138" t="s">
        <v>856</v>
      </c>
      <c r="B289" s="136" t="s">
        <v>857</v>
      </c>
      <c r="C289" s="136"/>
      <c r="D289" s="136">
        <v>60</v>
      </c>
      <c r="E289" s="136">
        <f t="shared" si="5"/>
        <v>6019</v>
      </c>
      <c r="F289" s="163" t="s">
        <v>17</v>
      </c>
    </row>
    <row r="290" spans="1:6" x14ac:dyDescent="0.25">
      <c r="A290" s="152" t="s">
        <v>856</v>
      </c>
      <c r="B290" s="136" t="s">
        <v>721</v>
      </c>
      <c r="C290" s="163">
        <v>180</v>
      </c>
      <c r="D290" s="136"/>
      <c r="E290" s="136">
        <f t="shared" si="5"/>
        <v>6199</v>
      </c>
      <c r="F290" s="136"/>
    </row>
    <row r="291" spans="1:6" x14ac:dyDescent="0.25">
      <c r="A291" s="152" t="s">
        <v>856</v>
      </c>
      <c r="B291" s="136" t="s">
        <v>522</v>
      </c>
      <c r="C291" s="163">
        <v>64</v>
      </c>
      <c r="D291" s="136"/>
      <c r="E291" s="136">
        <f t="shared" si="5"/>
        <v>6263</v>
      </c>
      <c r="F291" s="136"/>
    </row>
    <row r="292" spans="1:6" x14ac:dyDescent="0.25">
      <c r="A292" s="138" t="s">
        <v>856</v>
      </c>
      <c r="B292" s="136" t="s">
        <v>344</v>
      </c>
      <c r="C292" s="163">
        <v>85</v>
      </c>
      <c r="D292" s="136"/>
      <c r="E292" s="136">
        <f t="shared" si="5"/>
        <v>6348</v>
      </c>
      <c r="F292" s="136"/>
    </row>
    <row r="293" spans="1:6" x14ac:dyDescent="0.25">
      <c r="A293" s="138" t="s">
        <v>869</v>
      </c>
      <c r="B293" s="136" t="s">
        <v>344</v>
      </c>
      <c r="C293" s="136">
        <v>100</v>
      </c>
      <c r="D293" s="136"/>
      <c r="E293" s="136">
        <f t="shared" si="5"/>
        <v>6448</v>
      </c>
      <c r="F293" s="136"/>
    </row>
    <row r="294" spans="1:6" x14ac:dyDescent="0.25">
      <c r="A294" s="138" t="s">
        <v>869</v>
      </c>
      <c r="B294" s="136" t="s">
        <v>221</v>
      </c>
      <c r="C294" s="136">
        <v>16</v>
      </c>
      <c r="D294" s="136"/>
      <c r="E294" s="136">
        <f t="shared" si="5"/>
        <v>6464</v>
      </c>
      <c r="F294" s="136"/>
    </row>
    <row r="295" spans="1:6" x14ac:dyDescent="0.25">
      <c r="A295" s="138" t="s">
        <v>873</v>
      </c>
      <c r="B295" s="136" t="s">
        <v>783</v>
      </c>
      <c r="C295" s="136"/>
      <c r="D295" s="136">
        <v>160</v>
      </c>
      <c r="E295" s="136">
        <f t="shared" si="5"/>
        <v>6304</v>
      </c>
      <c r="F295" s="136" t="s">
        <v>876</v>
      </c>
    </row>
    <row r="296" spans="1:6" x14ac:dyDescent="0.25">
      <c r="A296" s="138" t="s">
        <v>873</v>
      </c>
      <c r="B296" s="136" t="s">
        <v>344</v>
      </c>
      <c r="C296" s="136">
        <v>108</v>
      </c>
      <c r="D296" s="136"/>
      <c r="E296" s="136">
        <f t="shared" si="5"/>
        <v>6412</v>
      </c>
      <c r="F296" s="136"/>
    </row>
    <row r="297" spans="1:6" x14ac:dyDescent="0.25">
      <c r="A297" s="152" t="s">
        <v>873</v>
      </c>
      <c r="B297" s="136" t="s">
        <v>257</v>
      </c>
      <c r="C297" s="136">
        <v>452</v>
      </c>
      <c r="D297" s="136"/>
      <c r="E297" s="136">
        <f t="shared" si="5"/>
        <v>6864</v>
      </c>
      <c r="F297" s="136"/>
    </row>
    <row r="298" spans="1:6" x14ac:dyDescent="0.25">
      <c r="A298" s="138" t="s">
        <v>877</v>
      </c>
      <c r="B298" s="136" t="s">
        <v>816</v>
      </c>
      <c r="C298" s="136"/>
      <c r="D298" s="136">
        <v>160</v>
      </c>
      <c r="E298" s="136">
        <f t="shared" si="5"/>
        <v>6704</v>
      </c>
      <c r="F298" s="136" t="s">
        <v>878</v>
      </c>
    </row>
    <row r="299" spans="1:6" x14ac:dyDescent="0.25">
      <c r="A299" s="152" t="s">
        <v>880</v>
      </c>
      <c r="B299" s="136" t="s">
        <v>484</v>
      </c>
      <c r="C299" s="136">
        <v>60</v>
      </c>
      <c r="D299" s="136"/>
      <c r="E299" s="136">
        <f t="shared" si="5"/>
        <v>6764</v>
      </c>
      <c r="F299" s="136"/>
    </row>
    <row r="300" spans="1:6" x14ac:dyDescent="0.25">
      <c r="A300" s="138" t="s">
        <v>880</v>
      </c>
      <c r="B300" s="136" t="s">
        <v>344</v>
      </c>
      <c r="C300" s="136">
        <v>130</v>
      </c>
      <c r="D300" s="136"/>
      <c r="E300" s="136">
        <f t="shared" si="5"/>
        <v>6894</v>
      </c>
      <c r="F300" s="136"/>
    </row>
    <row r="301" spans="1:6" x14ac:dyDescent="0.25">
      <c r="A301" s="138" t="s">
        <v>880</v>
      </c>
      <c r="B301" s="136" t="s">
        <v>344</v>
      </c>
      <c r="C301" s="136">
        <v>111</v>
      </c>
      <c r="D301" s="136"/>
      <c r="E301" s="136">
        <f t="shared" si="5"/>
        <v>7005</v>
      </c>
      <c r="F301" s="136"/>
    </row>
    <row r="302" spans="1:6" x14ac:dyDescent="0.25">
      <c r="A302" s="138" t="s">
        <v>883</v>
      </c>
      <c r="B302" s="136" t="s">
        <v>814</v>
      </c>
      <c r="C302" s="136"/>
      <c r="D302" s="136">
        <v>28</v>
      </c>
      <c r="E302" s="136">
        <f t="shared" si="5"/>
        <v>6977</v>
      </c>
      <c r="F302" s="136" t="s">
        <v>889</v>
      </c>
    </row>
    <row r="303" spans="1:6" x14ac:dyDescent="0.25">
      <c r="A303" s="138" t="s">
        <v>883</v>
      </c>
      <c r="B303" s="136" t="s">
        <v>344</v>
      </c>
      <c r="C303" s="136">
        <v>210</v>
      </c>
      <c r="D303" s="136"/>
      <c r="E303" s="136">
        <f t="shared" si="5"/>
        <v>7187</v>
      </c>
      <c r="F303" s="136"/>
    </row>
    <row r="304" spans="1:6" x14ac:dyDescent="0.25">
      <c r="A304" s="152" t="s">
        <v>883</v>
      </c>
      <c r="B304" s="136" t="s">
        <v>757</v>
      </c>
      <c r="C304" s="136">
        <v>295</v>
      </c>
      <c r="D304" s="136"/>
      <c r="E304" s="136">
        <f t="shared" si="5"/>
        <v>7482</v>
      </c>
      <c r="F304" s="136"/>
    </row>
    <row r="305" spans="1:6" x14ac:dyDescent="0.25">
      <c r="A305" s="138" t="s">
        <v>893</v>
      </c>
      <c r="B305" s="136" t="s">
        <v>783</v>
      </c>
      <c r="C305" s="136"/>
      <c r="D305" s="136">
        <v>96</v>
      </c>
      <c r="E305" s="136">
        <f t="shared" si="5"/>
        <v>7386</v>
      </c>
      <c r="F305" s="136" t="s">
        <v>894</v>
      </c>
    </row>
    <row r="306" spans="1:6" x14ac:dyDescent="0.25">
      <c r="A306" s="138" t="s">
        <v>897</v>
      </c>
      <c r="B306" s="136" t="s">
        <v>632</v>
      </c>
      <c r="C306" s="136"/>
      <c r="D306" s="136">
        <v>46</v>
      </c>
      <c r="E306" s="136">
        <f t="shared" si="5"/>
        <v>7340</v>
      </c>
      <c r="F306" s="136" t="s">
        <v>896</v>
      </c>
    </row>
    <row r="307" spans="1:6" x14ac:dyDescent="0.25">
      <c r="A307" s="152" t="s">
        <v>897</v>
      </c>
      <c r="B307" s="136" t="s">
        <v>881</v>
      </c>
      <c r="C307" s="136"/>
      <c r="D307" s="136">
        <v>50</v>
      </c>
      <c r="E307" s="136">
        <f t="shared" si="5"/>
        <v>7290</v>
      </c>
      <c r="F307" s="136" t="s">
        <v>898</v>
      </c>
    </row>
    <row r="308" spans="1:6" x14ac:dyDescent="0.25">
      <c r="A308" s="138" t="s">
        <v>897</v>
      </c>
      <c r="B308" s="136" t="s">
        <v>899</v>
      </c>
      <c r="C308" s="136"/>
      <c r="D308" s="136">
        <v>250</v>
      </c>
      <c r="E308" s="136">
        <f t="shared" si="5"/>
        <v>7040</v>
      </c>
      <c r="F308" s="136" t="s">
        <v>900</v>
      </c>
    </row>
    <row r="309" spans="1:6" x14ac:dyDescent="0.25">
      <c r="A309" s="138" t="s">
        <v>897</v>
      </c>
      <c r="B309" s="136" t="s">
        <v>901</v>
      </c>
      <c r="C309" s="136">
        <v>300</v>
      </c>
      <c r="D309" s="136"/>
      <c r="E309" s="136">
        <f t="shared" si="5"/>
        <v>7340</v>
      </c>
      <c r="F309" s="136"/>
    </row>
    <row r="310" spans="1:6" x14ac:dyDescent="0.25">
      <c r="A310" s="138" t="s">
        <v>897</v>
      </c>
      <c r="B310" s="136" t="s">
        <v>344</v>
      </c>
      <c r="C310" s="136">
        <v>116</v>
      </c>
      <c r="D310" s="136"/>
      <c r="E310" s="136">
        <f t="shared" si="5"/>
        <v>7456</v>
      </c>
      <c r="F310" s="136"/>
    </row>
    <row r="311" spans="1:6" x14ac:dyDescent="0.25">
      <c r="A311" s="152" t="s">
        <v>902</v>
      </c>
      <c r="B311" s="136" t="s">
        <v>454</v>
      </c>
      <c r="C311" s="136"/>
      <c r="D311" s="136">
        <v>20</v>
      </c>
      <c r="E311" s="136">
        <f t="shared" si="5"/>
        <v>7436</v>
      </c>
      <c r="F311" s="136" t="s">
        <v>903</v>
      </c>
    </row>
    <row r="312" spans="1:6" x14ac:dyDescent="0.25">
      <c r="A312" s="152" t="s">
        <v>902</v>
      </c>
      <c r="B312" s="136" t="s">
        <v>257</v>
      </c>
      <c r="C312" s="136">
        <v>223</v>
      </c>
      <c r="D312" s="136"/>
      <c r="E312" s="136">
        <f t="shared" si="5"/>
        <v>7659</v>
      </c>
      <c r="F312" s="136"/>
    </row>
    <row r="313" spans="1:6" x14ac:dyDescent="0.25">
      <c r="A313" s="152" t="s">
        <v>902</v>
      </c>
      <c r="B313" s="136" t="s">
        <v>757</v>
      </c>
      <c r="C313" s="136">
        <v>25</v>
      </c>
      <c r="D313" s="136"/>
      <c r="E313" s="136">
        <f t="shared" si="5"/>
        <v>7684</v>
      </c>
      <c r="F313" s="136"/>
    </row>
    <row r="314" spans="1:6" x14ac:dyDescent="0.25">
      <c r="A314" s="152" t="s">
        <v>902</v>
      </c>
      <c r="B314" s="136" t="s">
        <v>907</v>
      </c>
      <c r="C314" s="136"/>
      <c r="D314" s="136">
        <v>80</v>
      </c>
      <c r="E314" s="136">
        <f t="shared" si="5"/>
        <v>7604</v>
      </c>
      <c r="F314" s="136" t="s">
        <v>17</v>
      </c>
    </row>
    <row r="315" spans="1:6" x14ac:dyDescent="0.25">
      <c r="A315" s="152" t="s">
        <v>902</v>
      </c>
      <c r="B315" s="136" t="s">
        <v>907</v>
      </c>
      <c r="C315" s="136"/>
      <c r="D315" s="136">
        <v>80</v>
      </c>
      <c r="E315" s="136">
        <f t="shared" si="5"/>
        <v>7524</v>
      </c>
      <c r="F315" s="136" t="s">
        <v>17</v>
      </c>
    </row>
    <row r="316" spans="1:6" x14ac:dyDescent="0.25">
      <c r="A316" s="152" t="s">
        <v>902</v>
      </c>
      <c r="B316" s="136" t="s">
        <v>344</v>
      </c>
      <c r="C316" s="136">
        <v>98</v>
      </c>
      <c r="D316" s="136"/>
      <c r="E316" s="136">
        <f t="shared" si="5"/>
        <v>7622</v>
      </c>
      <c r="F316" s="136"/>
    </row>
    <row r="317" spans="1:6" x14ac:dyDescent="0.25">
      <c r="A317" s="152" t="s">
        <v>911</v>
      </c>
      <c r="B317" s="136" t="s">
        <v>275</v>
      </c>
      <c r="C317" s="136">
        <v>250</v>
      </c>
      <c r="D317" s="136"/>
      <c r="E317" s="136">
        <f t="shared" si="5"/>
        <v>7872</v>
      </c>
      <c r="F317" s="136"/>
    </row>
    <row r="318" spans="1:6" x14ac:dyDescent="0.25">
      <c r="A318" s="152" t="s">
        <v>911</v>
      </c>
      <c r="B318" s="136" t="s">
        <v>344</v>
      </c>
      <c r="C318" s="136">
        <v>152</v>
      </c>
      <c r="D318" s="136"/>
      <c r="E318" s="136">
        <f t="shared" si="5"/>
        <v>8024</v>
      </c>
      <c r="F318" s="136"/>
    </row>
    <row r="319" spans="1:6" x14ac:dyDescent="0.25">
      <c r="A319" s="152" t="s">
        <v>911</v>
      </c>
      <c r="B319" s="136" t="s">
        <v>522</v>
      </c>
      <c r="C319" s="136">
        <v>232</v>
      </c>
      <c r="D319" s="136"/>
      <c r="E319" s="136">
        <f t="shared" si="5"/>
        <v>8256</v>
      </c>
      <c r="F319" s="136"/>
    </row>
    <row r="320" spans="1:6" x14ac:dyDescent="0.25">
      <c r="A320" s="152" t="s">
        <v>914</v>
      </c>
      <c r="B320" s="136" t="s">
        <v>915</v>
      </c>
      <c r="C320" s="136"/>
      <c r="D320" s="136">
        <v>130</v>
      </c>
      <c r="E320" s="136">
        <f t="shared" si="5"/>
        <v>8126</v>
      </c>
      <c r="F320" s="136" t="s">
        <v>916</v>
      </c>
    </row>
    <row r="321" spans="1:6" x14ac:dyDescent="0.25">
      <c r="A321" s="152" t="s">
        <v>914</v>
      </c>
      <c r="B321" s="136" t="s">
        <v>783</v>
      </c>
      <c r="C321" s="136"/>
      <c r="D321" s="136">
        <v>130</v>
      </c>
      <c r="E321" s="136">
        <f t="shared" si="5"/>
        <v>7996</v>
      </c>
      <c r="F321" s="136" t="s">
        <v>917</v>
      </c>
    </row>
    <row r="322" spans="1:6" x14ac:dyDescent="0.25">
      <c r="A322" s="152" t="s">
        <v>914</v>
      </c>
      <c r="B322" s="136" t="s">
        <v>275</v>
      </c>
      <c r="C322" s="136">
        <v>105</v>
      </c>
      <c r="D322" s="136"/>
      <c r="E322" s="136">
        <f t="shared" si="5"/>
        <v>8101</v>
      </c>
      <c r="F322" s="136"/>
    </row>
    <row r="323" spans="1:6" x14ac:dyDescent="0.25">
      <c r="A323" s="152" t="s">
        <v>914</v>
      </c>
      <c r="B323" s="136" t="s">
        <v>275</v>
      </c>
      <c r="C323" s="136">
        <v>3</v>
      </c>
      <c r="D323" s="136"/>
      <c r="E323" s="136">
        <f t="shared" si="5"/>
        <v>8104</v>
      </c>
      <c r="F323" s="136" t="s">
        <v>919</v>
      </c>
    </row>
    <row r="324" spans="1:6" x14ac:dyDescent="0.25">
      <c r="A324" s="136"/>
      <c r="B324" s="136"/>
      <c r="C324" s="136"/>
      <c r="D324" s="136"/>
      <c r="E324" s="136"/>
      <c r="F324" s="136"/>
    </row>
    <row r="325" spans="1:6" x14ac:dyDescent="0.25">
      <c r="A325" s="136"/>
      <c r="B325" s="136"/>
      <c r="C325" s="136"/>
      <c r="D325" s="136"/>
      <c r="E325" s="136"/>
      <c r="F325" s="136"/>
    </row>
    <row r="326" spans="1:6" x14ac:dyDescent="0.25">
      <c r="A326" s="136"/>
      <c r="B326" s="136"/>
      <c r="C326" s="136"/>
      <c r="D326" s="136"/>
      <c r="E326" s="136"/>
      <c r="F326" s="136"/>
    </row>
    <row r="327" spans="1:6" x14ac:dyDescent="0.25">
      <c r="A327" s="136"/>
      <c r="B327" s="136"/>
      <c r="C327" s="136"/>
      <c r="D327" s="136"/>
      <c r="E327" s="136"/>
      <c r="F327" s="136"/>
    </row>
    <row r="328" spans="1:6" x14ac:dyDescent="0.25">
      <c r="A328" s="136"/>
      <c r="B328" s="136"/>
      <c r="C328" s="136"/>
      <c r="D328" s="136"/>
      <c r="E328" s="136"/>
      <c r="F328" s="136"/>
    </row>
    <row r="329" spans="1:6" x14ac:dyDescent="0.25">
      <c r="A329" s="136"/>
      <c r="B329" s="136"/>
      <c r="C329" s="136"/>
      <c r="D329" s="136"/>
      <c r="E329" s="136"/>
      <c r="F329" s="136"/>
    </row>
    <row r="330" spans="1:6" x14ac:dyDescent="0.25">
      <c r="A330" s="136"/>
      <c r="B330" s="136"/>
      <c r="C330" s="136"/>
      <c r="D330" s="136"/>
      <c r="E330" s="136"/>
      <c r="F330" s="136"/>
    </row>
    <row r="331" spans="1:6" x14ac:dyDescent="0.25">
      <c r="A331" s="136"/>
      <c r="B331" s="136"/>
      <c r="C331" s="136"/>
      <c r="D331" s="136"/>
      <c r="E331" s="136"/>
      <c r="F331" s="136"/>
    </row>
    <row r="1048100" spans="6:6" x14ac:dyDescent="0.25">
      <c r="F1048100" s="136"/>
    </row>
  </sheetData>
  <pageMargins left="0.7" right="0.7" top="0.75" bottom="0.75" header="0.3" footer="0.3"/>
  <pageSetup paperSize="136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9"/>
  <sheetViews>
    <sheetView zoomScaleNormal="100" workbookViewId="0">
      <pane ySplit="1545" topLeftCell="A122" activePane="bottomLeft"/>
      <selection sqref="A1:F1048576"/>
      <selection pane="bottomLeft" activeCell="E125" sqref="E125:E128"/>
    </sheetView>
  </sheetViews>
  <sheetFormatPr defaultRowHeight="15" x14ac:dyDescent="0.25"/>
  <cols>
    <col min="1" max="1" width="13" style="129" customWidth="1"/>
    <col min="2" max="2" width="35.42578125" style="129" customWidth="1"/>
    <col min="3" max="5" width="9.140625" style="129"/>
    <col min="6" max="6" width="20.85546875" style="129" customWidth="1"/>
  </cols>
  <sheetData>
    <row r="1" spans="1:6" s="5" customFormat="1" ht="15.75" x14ac:dyDescent="0.25">
      <c r="A1" s="129"/>
      <c r="B1" s="129"/>
      <c r="C1" s="129"/>
      <c r="D1" s="129"/>
      <c r="E1" s="129"/>
      <c r="F1" s="129"/>
    </row>
    <row r="2" spans="1:6" x14ac:dyDescent="0.25">
      <c r="A2" s="141" t="s">
        <v>12</v>
      </c>
      <c r="B2" s="141"/>
      <c r="C2" s="141"/>
      <c r="D2" s="141"/>
      <c r="E2" s="141"/>
    </row>
    <row r="3" spans="1:6" x14ac:dyDescent="0.25">
      <c r="A3" s="128"/>
      <c r="B3" s="132"/>
      <c r="C3" s="128"/>
      <c r="D3" s="128"/>
      <c r="E3" s="128"/>
    </row>
    <row r="4" spans="1:6" x14ac:dyDescent="0.25">
      <c r="A4" s="134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</row>
    <row r="5" spans="1:6" x14ac:dyDescent="0.25">
      <c r="A5" s="137"/>
      <c r="B5" s="137" t="s">
        <v>246</v>
      </c>
      <c r="C5" s="137"/>
      <c r="D5" s="137"/>
      <c r="E5" s="137"/>
      <c r="F5" s="137">
        <v>1994</v>
      </c>
    </row>
    <row r="6" spans="1:6" x14ac:dyDescent="0.25">
      <c r="A6" s="136"/>
      <c r="B6" s="136"/>
      <c r="C6" s="136"/>
      <c r="D6" s="136"/>
      <c r="E6" s="136">
        <v>1994</v>
      </c>
      <c r="F6" s="136"/>
    </row>
    <row r="7" spans="1:6" x14ac:dyDescent="0.25">
      <c r="A7" s="138" t="s">
        <v>249</v>
      </c>
      <c r="B7" s="136" t="s">
        <v>250</v>
      </c>
      <c r="C7" s="136">
        <v>4</v>
      </c>
      <c r="D7" s="136"/>
      <c r="E7" s="136">
        <f>E6+C7-D7</f>
        <v>1998</v>
      </c>
      <c r="F7" s="136"/>
    </row>
    <row r="8" spans="1:6" x14ac:dyDescent="0.25">
      <c r="A8" s="138" t="s">
        <v>252</v>
      </c>
      <c r="B8" s="136" t="s">
        <v>253</v>
      </c>
      <c r="C8" s="136">
        <v>10</v>
      </c>
      <c r="D8" s="136"/>
      <c r="E8" s="136">
        <f t="shared" ref="E8:E38" si="0">E7+C8-D8</f>
        <v>2008</v>
      </c>
      <c r="F8" s="136"/>
    </row>
    <row r="9" spans="1:6" x14ac:dyDescent="0.25">
      <c r="A9" s="138" t="s">
        <v>267</v>
      </c>
      <c r="B9" s="136" t="s">
        <v>105</v>
      </c>
      <c r="C9" s="136">
        <v>2</v>
      </c>
      <c r="D9" s="136"/>
      <c r="E9" s="136">
        <f t="shared" si="0"/>
        <v>2010</v>
      </c>
      <c r="F9" s="136"/>
    </row>
    <row r="10" spans="1:6" x14ac:dyDescent="0.25">
      <c r="A10" s="138" t="s">
        <v>285</v>
      </c>
      <c r="B10" s="136" t="s">
        <v>286</v>
      </c>
      <c r="C10" s="136"/>
      <c r="D10" s="136">
        <v>2</v>
      </c>
      <c r="E10" s="136">
        <f t="shared" si="0"/>
        <v>2008</v>
      </c>
      <c r="F10" s="136" t="s">
        <v>287</v>
      </c>
    </row>
    <row r="11" spans="1:6" x14ac:dyDescent="0.25">
      <c r="A11" s="138" t="s">
        <v>285</v>
      </c>
      <c r="B11" s="136" t="s">
        <v>182</v>
      </c>
      <c r="C11" s="136">
        <v>1</v>
      </c>
      <c r="D11" s="136"/>
      <c r="E11" s="136">
        <f t="shared" si="0"/>
        <v>2009</v>
      </c>
      <c r="F11" s="136"/>
    </row>
    <row r="12" spans="1:6" x14ac:dyDescent="0.25">
      <c r="A12" s="152" t="s">
        <v>295</v>
      </c>
      <c r="B12" s="136" t="s">
        <v>297</v>
      </c>
      <c r="C12" s="136"/>
      <c r="D12" s="136">
        <v>12</v>
      </c>
      <c r="E12" s="136">
        <f t="shared" si="0"/>
        <v>1997</v>
      </c>
      <c r="F12" s="136" t="s">
        <v>296</v>
      </c>
    </row>
    <row r="13" spans="1:6" x14ac:dyDescent="0.25">
      <c r="A13" s="138" t="s">
        <v>301</v>
      </c>
      <c r="B13" s="136" t="s">
        <v>305</v>
      </c>
      <c r="C13" s="136">
        <v>3</v>
      </c>
      <c r="D13" s="136"/>
      <c r="E13" s="136">
        <f t="shared" si="0"/>
        <v>2000</v>
      </c>
      <c r="F13" s="136"/>
    </row>
    <row r="14" spans="1:6" x14ac:dyDescent="0.25">
      <c r="A14" s="152" t="s">
        <v>307</v>
      </c>
      <c r="B14" s="136" t="s">
        <v>309</v>
      </c>
      <c r="C14" s="136"/>
      <c r="D14" s="136">
        <v>40</v>
      </c>
      <c r="E14" s="136">
        <f t="shared" si="0"/>
        <v>1960</v>
      </c>
      <c r="F14" s="136" t="s">
        <v>310</v>
      </c>
    </row>
    <row r="15" spans="1:6" x14ac:dyDescent="0.25">
      <c r="A15" s="138" t="s">
        <v>319</v>
      </c>
      <c r="B15" s="136" t="s">
        <v>320</v>
      </c>
      <c r="C15" s="136">
        <v>3</v>
      </c>
      <c r="D15" s="136"/>
      <c r="E15" s="136">
        <f t="shared" si="0"/>
        <v>1963</v>
      </c>
      <c r="F15" s="136"/>
    </row>
    <row r="16" spans="1:6" x14ac:dyDescent="0.25">
      <c r="A16" s="238" t="s">
        <v>343</v>
      </c>
      <c r="B16" s="136" t="s">
        <v>346</v>
      </c>
      <c r="C16" s="136"/>
      <c r="D16" s="136">
        <v>200</v>
      </c>
      <c r="E16" s="136">
        <f t="shared" si="0"/>
        <v>1763</v>
      </c>
      <c r="F16" s="136" t="s">
        <v>17</v>
      </c>
    </row>
    <row r="17" spans="1:6" x14ac:dyDescent="0.25">
      <c r="A17" s="238" t="s">
        <v>343</v>
      </c>
      <c r="B17" s="136" t="s">
        <v>347</v>
      </c>
      <c r="C17" s="136"/>
      <c r="D17" s="136">
        <v>400</v>
      </c>
      <c r="E17" s="136">
        <f t="shared" si="0"/>
        <v>1363</v>
      </c>
      <c r="F17" s="136" t="s">
        <v>348</v>
      </c>
    </row>
    <row r="18" spans="1:6" x14ac:dyDescent="0.25">
      <c r="A18" s="238" t="s">
        <v>353</v>
      </c>
      <c r="B18" s="136" t="s">
        <v>344</v>
      </c>
      <c r="C18" s="136"/>
      <c r="D18" s="136">
        <v>200</v>
      </c>
      <c r="E18" s="136">
        <f t="shared" si="0"/>
        <v>1163</v>
      </c>
      <c r="F18" s="136" t="s">
        <v>357</v>
      </c>
    </row>
    <row r="19" spans="1:6" x14ac:dyDescent="0.25">
      <c r="A19" s="238" t="s">
        <v>353</v>
      </c>
      <c r="B19" s="136" t="s">
        <v>250</v>
      </c>
      <c r="C19" s="136">
        <v>31</v>
      </c>
      <c r="D19" s="136"/>
      <c r="E19" s="136">
        <f t="shared" si="0"/>
        <v>1194</v>
      </c>
      <c r="F19" s="136"/>
    </row>
    <row r="20" spans="1:6" x14ac:dyDescent="0.25">
      <c r="A20" s="152" t="s">
        <v>371</v>
      </c>
      <c r="B20" s="136" t="s">
        <v>261</v>
      </c>
      <c r="C20" s="136"/>
      <c r="D20" s="136">
        <v>20</v>
      </c>
      <c r="E20" s="136">
        <f t="shared" si="0"/>
        <v>1174</v>
      </c>
      <c r="F20" s="136" t="s">
        <v>373</v>
      </c>
    </row>
    <row r="21" spans="1:6" x14ac:dyDescent="0.25">
      <c r="A21" s="138" t="s">
        <v>394</v>
      </c>
      <c r="B21" s="136" t="s">
        <v>283</v>
      </c>
      <c r="C21" s="136">
        <v>21</v>
      </c>
      <c r="D21" s="136"/>
      <c r="E21" s="136">
        <f t="shared" si="0"/>
        <v>1195</v>
      </c>
      <c r="F21" s="136"/>
    </row>
    <row r="22" spans="1:6" x14ac:dyDescent="0.25">
      <c r="A22" s="152" t="s">
        <v>400</v>
      </c>
      <c r="B22" s="136" t="s">
        <v>402</v>
      </c>
      <c r="C22" s="136"/>
      <c r="D22" s="136">
        <v>800</v>
      </c>
      <c r="E22" s="136">
        <f t="shared" si="0"/>
        <v>395</v>
      </c>
      <c r="F22" s="136" t="s">
        <v>403</v>
      </c>
    </row>
    <row r="23" spans="1:6" x14ac:dyDescent="0.25">
      <c r="A23" s="258" t="s">
        <v>404</v>
      </c>
      <c r="B23" s="136" t="s">
        <v>283</v>
      </c>
      <c r="C23" s="136">
        <v>7</v>
      </c>
      <c r="D23" s="136"/>
      <c r="E23" s="136">
        <f t="shared" si="0"/>
        <v>402</v>
      </c>
      <c r="F23" s="136"/>
    </row>
    <row r="24" spans="1:6" x14ac:dyDescent="0.25">
      <c r="A24" s="138" t="s">
        <v>410</v>
      </c>
      <c r="B24" s="136" t="s">
        <v>414</v>
      </c>
      <c r="C24" s="136"/>
      <c r="D24" s="136">
        <v>40</v>
      </c>
      <c r="E24" s="136">
        <f t="shared" si="0"/>
        <v>362</v>
      </c>
      <c r="F24" s="136" t="s">
        <v>415</v>
      </c>
    </row>
    <row r="25" spans="1:6" x14ac:dyDescent="0.25">
      <c r="A25" s="152" t="s">
        <v>416</v>
      </c>
      <c r="B25" s="136" t="s">
        <v>417</v>
      </c>
      <c r="C25" s="136"/>
      <c r="D25" s="136">
        <v>90</v>
      </c>
      <c r="E25" s="136">
        <f t="shared" si="0"/>
        <v>272</v>
      </c>
      <c r="F25" s="136" t="s">
        <v>418</v>
      </c>
    </row>
    <row r="26" spans="1:6" x14ac:dyDescent="0.25">
      <c r="A26" s="152" t="s">
        <v>416</v>
      </c>
      <c r="B26" s="136" t="s">
        <v>417</v>
      </c>
      <c r="C26" s="136"/>
      <c r="D26" s="136">
        <v>110</v>
      </c>
      <c r="E26" s="136">
        <f t="shared" si="0"/>
        <v>162</v>
      </c>
      <c r="F26" s="136" t="s">
        <v>419</v>
      </c>
    </row>
    <row r="27" spans="1:6" x14ac:dyDescent="0.25">
      <c r="A27" s="138" t="s">
        <v>416</v>
      </c>
      <c r="B27" s="136" t="s">
        <v>414</v>
      </c>
      <c r="C27" s="136"/>
      <c r="D27" s="136">
        <v>40</v>
      </c>
      <c r="E27" s="136">
        <f t="shared" si="0"/>
        <v>122</v>
      </c>
      <c r="F27" s="136" t="s">
        <v>420</v>
      </c>
    </row>
    <row r="28" spans="1:6" x14ac:dyDescent="0.25">
      <c r="A28" s="152" t="s">
        <v>438</v>
      </c>
      <c r="B28" s="136" t="s">
        <v>439</v>
      </c>
      <c r="C28" s="136"/>
      <c r="D28" s="136">
        <v>50</v>
      </c>
      <c r="E28" s="136">
        <f t="shared" si="0"/>
        <v>72</v>
      </c>
      <c r="F28" s="136" t="s">
        <v>440</v>
      </c>
    </row>
    <row r="29" spans="1:6" x14ac:dyDescent="0.25">
      <c r="A29" s="152" t="s">
        <v>441</v>
      </c>
      <c r="B29" s="36" t="s">
        <v>452</v>
      </c>
      <c r="C29" s="36"/>
      <c r="D29" s="36">
        <v>150</v>
      </c>
      <c r="E29" s="136">
        <v>0</v>
      </c>
      <c r="F29" s="36" t="s">
        <v>17</v>
      </c>
    </row>
    <row r="30" spans="1:6" x14ac:dyDescent="0.25">
      <c r="A30" s="238" t="s">
        <v>453</v>
      </c>
      <c r="B30" s="136" t="s">
        <v>105</v>
      </c>
      <c r="C30" s="136">
        <v>100</v>
      </c>
      <c r="D30" s="136"/>
      <c r="E30" s="136">
        <f t="shared" si="0"/>
        <v>100</v>
      </c>
      <c r="F30" s="136"/>
    </row>
    <row r="31" spans="1:6" x14ac:dyDescent="0.25">
      <c r="A31" s="238" t="s">
        <v>453</v>
      </c>
      <c r="B31" s="136" t="s">
        <v>105</v>
      </c>
      <c r="C31" s="136">
        <v>210</v>
      </c>
      <c r="D31" s="136"/>
      <c r="E31" s="136">
        <f t="shared" si="0"/>
        <v>310</v>
      </c>
      <c r="F31" s="136"/>
    </row>
    <row r="32" spans="1:6" x14ac:dyDescent="0.25">
      <c r="A32" s="238" t="s">
        <v>453</v>
      </c>
      <c r="B32" s="136" t="s">
        <v>454</v>
      </c>
      <c r="C32" s="136"/>
      <c r="D32" s="136">
        <v>80</v>
      </c>
      <c r="E32" s="136">
        <f t="shared" si="0"/>
        <v>230</v>
      </c>
      <c r="F32" s="136" t="s">
        <v>455</v>
      </c>
    </row>
    <row r="33" spans="1:6" x14ac:dyDescent="0.25">
      <c r="A33" s="152" t="s">
        <v>456</v>
      </c>
      <c r="B33" s="136" t="s">
        <v>457</v>
      </c>
      <c r="C33" s="136"/>
      <c r="D33" s="136">
        <v>210</v>
      </c>
      <c r="E33" s="136">
        <f t="shared" si="0"/>
        <v>20</v>
      </c>
      <c r="F33" s="136" t="s">
        <v>458</v>
      </c>
    </row>
    <row r="34" spans="1:6" x14ac:dyDescent="0.25">
      <c r="A34" s="238" t="s">
        <v>453</v>
      </c>
      <c r="B34" s="136" t="s">
        <v>462</v>
      </c>
      <c r="C34" s="136">
        <v>28</v>
      </c>
      <c r="D34" s="136"/>
      <c r="E34" s="136">
        <f t="shared" si="0"/>
        <v>48</v>
      </c>
      <c r="F34" s="136"/>
    </row>
    <row r="35" spans="1:6" x14ac:dyDescent="0.25">
      <c r="A35" s="238" t="s">
        <v>464</v>
      </c>
      <c r="B35" s="36" t="s">
        <v>447</v>
      </c>
      <c r="C35" s="36"/>
      <c r="D35" s="36">
        <v>40</v>
      </c>
      <c r="E35" s="136">
        <f t="shared" si="0"/>
        <v>8</v>
      </c>
      <c r="F35" s="36" t="s">
        <v>465</v>
      </c>
    </row>
    <row r="36" spans="1:6" x14ac:dyDescent="0.25">
      <c r="A36" s="138" t="s">
        <v>473</v>
      </c>
      <c r="B36" s="136" t="s">
        <v>283</v>
      </c>
      <c r="C36" s="136">
        <v>6</v>
      </c>
      <c r="D36" s="136"/>
      <c r="E36" s="136">
        <f t="shared" si="0"/>
        <v>14</v>
      </c>
      <c r="F36" s="136"/>
    </row>
    <row r="37" spans="1:6" x14ac:dyDescent="0.25">
      <c r="A37" s="238" t="s">
        <v>475</v>
      </c>
      <c r="B37" s="136" t="s">
        <v>283</v>
      </c>
      <c r="C37" s="136">
        <v>7</v>
      </c>
      <c r="D37" s="136"/>
      <c r="E37" s="136">
        <f t="shared" si="0"/>
        <v>21</v>
      </c>
      <c r="F37" s="136"/>
    </row>
    <row r="38" spans="1:6" x14ac:dyDescent="0.25">
      <c r="A38" s="238" t="s">
        <v>475</v>
      </c>
      <c r="B38" s="136" t="s">
        <v>283</v>
      </c>
      <c r="C38" s="136">
        <v>4</v>
      </c>
      <c r="D38" s="136"/>
      <c r="E38" s="136">
        <f t="shared" si="0"/>
        <v>25</v>
      </c>
      <c r="F38" s="136"/>
    </row>
    <row r="39" spans="1:6" x14ac:dyDescent="0.25">
      <c r="A39" s="152" t="s">
        <v>483</v>
      </c>
      <c r="B39" s="136" t="s">
        <v>346</v>
      </c>
      <c r="C39" s="136"/>
      <c r="D39" s="136">
        <v>100</v>
      </c>
      <c r="E39" s="136">
        <v>0</v>
      </c>
      <c r="F39" s="136" t="s">
        <v>17</v>
      </c>
    </row>
    <row r="40" spans="1:6" x14ac:dyDescent="0.25">
      <c r="A40" s="258" t="s">
        <v>490</v>
      </c>
      <c r="B40" s="136" t="s">
        <v>414</v>
      </c>
      <c r="C40" s="136"/>
      <c r="D40" s="136">
        <v>60</v>
      </c>
      <c r="E40" s="136">
        <v>0</v>
      </c>
      <c r="F40" s="136" t="s">
        <v>494</v>
      </c>
    </row>
    <row r="41" spans="1:6" x14ac:dyDescent="0.25">
      <c r="A41" s="138" t="s">
        <v>496</v>
      </c>
      <c r="B41" s="136" t="s">
        <v>305</v>
      </c>
      <c r="C41" s="136">
        <v>4</v>
      </c>
      <c r="D41" s="136"/>
      <c r="E41" s="136">
        <v>4</v>
      </c>
      <c r="F41" s="136"/>
    </row>
    <row r="42" spans="1:6" x14ac:dyDescent="0.25">
      <c r="A42" s="138" t="s">
        <v>502</v>
      </c>
      <c r="B42" s="136" t="s">
        <v>503</v>
      </c>
      <c r="C42" s="136">
        <v>7</v>
      </c>
      <c r="D42" s="136"/>
      <c r="E42" s="136">
        <f>E41+C42-D42</f>
        <v>11</v>
      </c>
      <c r="F42" s="136"/>
    </row>
    <row r="43" spans="1:6" x14ac:dyDescent="0.25">
      <c r="A43" s="152" t="s">
        <v>517</v>
      </c>
      <c r="B43" s="136" t="s">
        <v>518</v>
      </c>
      <c r="C43" s="136">
        <v>12</v>
      </c>
      <c r="D43" s="136"/>
      <c r="E43" s="136">
        <f t="shared" ref="E43:E107" si="1">E42+C43-D43</f>
        <v>23</v>
      </c>
      <c r="F43" s="136"/>
    </row>
    <row r="44" spans="1:6" x14ac:dyDescent="0.25">
      <c r="A44" s="152" t="s">
        <v>517</v>
      </c>
      <c r="B44" s="136" t="s">
        <v>518</v>
      </c>
      <c r="C44" s="136">
        <v>8</v>
      </c>
      <c r="D44" s="136"/>
      <c r="E44" s="136">
        <f t="shared" si="1"/>
        <v>31</v>
      </c>
      <c r="F44" s="136"/>
    </row>
    <row r="45" spans="1:6" x14ac:dyDescent="0.25">
      <c r="A45" s="238" t="s">
        <v>517</v>
      </c>
      <c r="B45" s="136" t="s">
        <v>519</v>
      </c>
      <c r="C45" s="136">
        <v>13</v>
      </c>
      <c r="D45" s="136"/>
      <c r="E45" s="136">
        <f t="shared" si="1"/>
        <v>44</v>
      </c>
      <c r="F45" s="136"/>
    </row>
    <row r="46" spans="1:6" x14ac:dyDescent="0.25">
      <c r="A46" s="152" t="s">
        <v>533</v>
      </c>
      <c r="B46" s="136" t="s">
        <v>532</v>
      </c>
      <c r="C46" s="136">
        <v>18</v>
      </c>
      <c r="D46" s="136"/>
      <c r="E46" s="136">
        <f t="shared" si="1"/>
        <v>62</v>
      </c>
      <c r="F46" s="136"/>
    </row>
    <row r="47" spans="1:6" x14ac:dyDescent="0.25">
      <c r="A47" s="152" t="s">
        <v>542</v>
      </c>
      <c r="B47" s="136" t="s">
        <v>283</v>
      </c>
      <c r="C47" s="136">
        <v>11</v>
      </c>
      <c r="D47" s="136"/>
      <c r="E47" s="136">
        <f t="shared" si="1"/>
        <v>73</v>
      </c>
      <c r="F47" s="136"/>
    </row>
    <row r="48" spans="1:6" x14ac:dyDescent="0.25">
      <c r="A48" s="121" t="s">
        <v>549</v>
      </c>
      <c r="B48" s="136" t="s">
        <v>414</v>
      </c>
      <c r="C48" s="163">
        <v>50</v>
      </c>
      <c r="D48" s="136"/>
      <c r="E48" s="136">
        <f t="shared" si="1"/>
        <v>123</v>
      </c>
      <c r="F48" s="136"/>
    </row>
    <row r="49" spans="1:6" x14ac:dyDescent="0.25">
      <c r="A49" s="152" t="s">
        <v>559</v>
      </c>
      <c r="B49" s="136" t="s">
        <v>283</v>
      </c>
      <c r="C49" s="136">
        <v>3</v>
      </c>
      <c r="D49" s="136"/>
      <c r="E49" s="136">
        <f t="shared" si="1"/>
        <v>126</v>
      </c>
      <c r="F49" s="136"/>
    </row>
    <row r="50" spans="1:6" x14ac:dyDescent="0.25">
      <c r="A50" s="152" t="s">
        <v>562</v>
      </c>
      <c r="B50" s="136" t="s">
        <v>417</v>
      </c>
      <c r="C50" s="136">
        <v>100</v>
      </c>
      <c r="D50" s="136"/>
      <c r="E50" s="136">
        <f t="shared" si="1"/>
        <v>226</v>
      </c>
      <c r="F50" s="136"/>
    </row>
    <row r="51" spans="1:6" x14ac:dyDescent="0.25">
      <c r="A51" s="272" t="s">
        <v>562</v>
      </c>
      <c r="B51" s="275" t="s">
        <v>414</v>
      </c>
      <c r="C51" s="205">
        <v>28</v>
      </c>
      <c r="D51" s="136"/>
      <c r="E51" s="136">
        <f t="shared" si="1"/>
        <v>254</v>
      </c>
      <c r="F51" s="136"/>
    </row>
    <row r="52" spans="1:6" x14ac:dyDescent="0.25">
      <c r="A52" s="152" t="s">
        <v>569</v>
      </c>
      <c r="B52" s="136" t="s">
        <v>417</v>
      </c>
      <c r="C52" s="136">
        <v>77</v>
      </c>
      <c r="D52" s="136"/>
      <c r="E52" s="136">
        <f t="shared" si="1"/>
        <v>331</v>
      </c>
      <c r="F52" s="136"/>
    </row>
    <row r="53" spans="1:6" x14ac:dyDescent="0.25">
      <c r="A53" s="152" t="s">
        <v>569</v>
      </c>
      <c r="B53" s="136" t="s">
        <v>417</v>
      </c>
      <c r="C53" s="136">
        <v>6</v>
      </c>
      <c r="D53" s="136"/>
      <c r="E53" s="136">
        <f t="shared" si="1"/>
        <v>337</v>
      </c>
      <c r="F53" s="136"/>
    </row>
    <row r="54" spans="1:6" x14ac:dyDescent="0.25">
      <c r="A54" s="138" t="s">
        <v>569</v>
      </c>
      <c r="B54" s="136" t="s">
        <v>572</v>
      </c>
      <c r="C54" s="136"/>
      <c r="D54" s="136">
        <v>42</v>
      </c>
      <c r="E54" s="136">
        <f t="shared" si="1"/>
        <v>295</v>
      </c>
      <c r="F54" s="136" t="s">
        <v>17</v>
      </c>
    </row>
    <row r="55" spans="1:6" x14ac:dyDescent="0.25">
      <c r="A55" s="152" t="s">
        <v>573</v>
      </c>
      <c r="B55" s="136" t="s">
        <v>574</v>
      </c>
      <c r="C55" s="136"/>
      <c r="D55" s="136">
        <v>100</v>
      </c>
      <c r="E55" s="136">
        <f t="shared" si="1"/>
        <v>195</v>
      </c>
      <c r="F55" s="136" t="s">
        <v>17</v>
      </c>
    </row>
    <row r="56" spans="1:6" x14ac:dyDescent="0.25">
      <c r="A56" s="121" t="s">
        <v>573</v>
      </c>
      <c r="B56" s="36" t="s">
        <v>576</v>
      </c>
      <c r="C56" s="136">
        <v>3</v>
      </c>
      <c r="D56" s="136"/>
      <c r="E56" s="136">
        <f t="shared" si="1"/>
        <v>198</v>
      </c>
      <c r="F56" s="136"/>
    </row>
    <row r="57" spans="1:6" x14ac:dyDescent="0.25">
      <c r="A57" s="152" t="s">
        <v>577</v>
      </c>
      <c r="B57" s="136" t="s">
        <v>283</v>
      </c>
      <c r="C57" s="136">
        <v>4</v>
      </c>
      <c r="D57" s="136"/>
      <c r="E57" s="136">
        <f t="shared" si="1"/>
        <v>202</v>
      </c>
      <c r="F57" s="136"/>
    </row>
    <row r="58" spans="1:6" x14ac:dyDescent="0.25">
      <c r="A58" s="152" t="s">
        <v>577</v>
      </c>
      <c r="B58" s="136" t="s">
        <v>488</v>
      </c>
      <c r="C58" s="136">
        <v>1</v>
      </c>
      <c r="D58" s="136"/>
      <c r="E58" s="136">
        <f t="shared" si="1"/>
        <v>203</v>
      </c>
      <c r="F58" s="136"/>
    </row>
    <row r="59" spans="1:6" x14ac:dyDescent="0.25">
      <c r="A59" s="121" t="s">
        <v>595</v>
      </c>
      <c r="B59" s="36" t="s">
        <v>601</v>
      </c>
      <c r="C59" s="36">
        <v>5</v>
      </c>
      <c r="D59" s="136"/>
      <c r="E59" s="136">
        <f t="shared" si="1"/>
        <v>208</v>
      </c>
      <c r="F59" s="136"/>
    </row>
    <row r="60" spans="1:6" x14ac:dyDescent="0.25">
      <c r="A60" s="152" t="s">
        <v>602</v>
      </c>
      <c r="B60" s="136" t="s">
        <v>382</v>
      </c>
      <c r="C60" s="136"/>
      <c r="D60" s="136">
        <v>12</v>
      </c>
      <c r="E60" s="136">
        <f t="shared" si="1"/>
        <v>196</v>
      </c>
      <c r="F60" s="136" t="s">
        <v>603</v>
      </c>
    </row>
    <row r="61" spans="1:6" x14ac:dyDescent="0.25">
      <c r="A61" s="138" t="s">
        <v>625</v>
      </c>
      <c r="B61" s="136" t="s">
        <v>626</v>
      </c>
      <c r="C61" s="136">
        <v>45</v>
      </c>
      <c r="D61" s="136"/>
      <c r="E61" s="136">
        <f t="shared" si="1"/>
        <v>241</v>
      </c>
      <c r="F61" s="136"/>
    </row>
    <row r="62" spans="1:6" x14ac:dyDescent="0.25">
      <c r="A62" s="152" t="s">
        <v>634</v>
      </c>
      <c r="B62" s="136" t="s">
        <v>519</v>
      </c>
      <c r="C62" s="136">
        <v>3</v>
      </c>
      <c r="D62" s="136"/>
      <c r="E62" s="136">
        <f t="shared" si="1"/>
        <v>244</v>
      </c>
      <c r="F62" s="136"/>
    </row>
    <row r="63" spans="1:6" x14ac:dyDescent="0.25">
      <c r="A63" s="121" t="s">
        <v>650</v>
      </c>
      <c r="B63" s="36" t="s">
        <v>452</v>
      </c>
      <c r="C63" s="36">
        <v>100</v>
      </c>
      <c r="D63" s="136"/>
      <c r="E63" s="136">
        <f t="shared" si="1"/>
        <v>344</v>
      </c>
      <c r="F63" s="136"/>
    </row>
    <row r="64" spans="1:6" x14ac:dyDescent="0.25">
      <c r="A64" s="121" t="s">
        <v>655</v>
      </c>
      <c r="B64" s="36" t="s">
        <v>656</v>
      </c>
      <c r="C64" s="36"/>
      <c r="D64" s="36">
        <v>100</v>
      </c>
      <c r="E64" s="136">
        <f t="shared" si="1"/>
        <v>244</v>
      </c>
      <c r="F64" s="36" t="s">
        <v>17</v>
      </c>
    </row>
    <row r="65" spans="1:6" x14ac:dyDescent="0.25">
      <c r="A65" s="121" t="s">
        <v>655</v>
      </c>
      <c r="B65" s="36" t="s">
        <v>657</v>
      </c>
      <c r="C65" s="36"/>
      <c r="D65" s="36">
        <v>50</v>
      </c>
      <c r="E65" s="136">
        <f t="shared" si="1"/>
        <v>194</v>
      </c>
      <c r="F65" s="36" t="s">
        <v>17</v>
      </c>
    </row>
    <row r="66" spans="1:6" x14ac:dyDescent="0.25">
      <c r="A66" s="121" t="s">
        <v>655</v>
      </c>
      <c r="B66" s="36" t="s">
        <v>105</v>
      </c>
      <c r="C66" s="36">
        <v>150</v>
      </c>
      <c r="D66" s="136"/>
      <c r="E66" s="136">
        <f t="shared" si="1"/>
        <v>344</v>
      </c>
      <c r="F66" s="136"/>
    </row>
    <row r="67" spans="1:6" x14ac:dyDescent="0.25">
      <c r="A67" s="238" t="s">
        <v>663</v>
      </c>
      <c r="B67" s="156" t="s">
        <v>414</v>
      </c>
      <c r="C67" s="136">
        <v>9</v>
      </c>
      <c r="D67" s="136"/>
      <c r="E67" s="136">
        <f t="shared" si="1"/>
        <v>353</v>
      </c>
      <c r="F67" s="136"/>
    </row>
    <row r="68" spans="1:6" ht="15.75" x14ac:dyDescent="0.25">
      <c r="A68" s="246" t="s">
        <v>658</v>
      </c>
      <c r="B68" s="161" t="s">
        <v>664</v>
      </c>
      <c r="C68" s="161">
        <v>22</v>
      </c>
      <c r="D68" s="136"/>
      <c r="E68" s="136">
        <f t="shared" si="1"/>
        <v>375</v>
      </c>
      <c r="F68" s="136"/>
    </row>
    <row r="69" spans="1:6" ht="15.75" x14ac:dyDescent="0.25">
      <c r="A69" s="246" t="s">
        <v>658</v>
      </c>
      <c r="B69" s="136" t="s">
        <v>283</v>
      </c>
      <c r="C69" s="136">
        <v>4</v>
      </c>
      <c r="D69" s="136"/>
      <c r="E69" s="136">
        <f t="shared" si="1"/>
        <v>379</v>
      </c>
      <c r="F69" s="136"/>
    </row>
    <row r="70" spans="1:6" x14ac:dyDescent="0.25">
      <c r="A70" s="152" t="s">
        <v>669</v>
      </c>
      <c r="B70" s="136" t="s">
        <v>257</v>
      </c>
      <c r="C70" s="136">
        <v>65</v>
      </c>
      <c r="D70" s="136"/>
      <c r="E70" s="136">
        <f t="shared" si="1"/>
        <v>444</v>
      </c>
      <c r="F70" s="136"/>
    </row>
    <row r="71" spans="1:6" x14ac:dyDescent="0.25">
      <c r="A71" s="152" t="s">
        <v>680</v>
      </c>
      <c r="B71" s="136" t="s">
        <v>323</v>
      </c>
      <c r="C71" s="136">
        <v>92</v>
      </c>
      <c r="D71" s="136"/>
      <c r="E71" s="136">
        <f t="shared" si="1"/>
        <v>536</v>
      </c>
      <c r="F71" s="136"/>
    </row>
    <row r="72" spans="1:6" x14ac:dyDescent="0.25">
      <c r="A72" s="152" t="s">
        <v>689</v>
      </c>
      <c r="B72" s="136" t="s">
        <v>257</v>
      </c>
      <c r="C72" s="136">
        <v>28</v>
      </c>
      <c r="D72" s="136"/>
      <c r="E72" s="136">
        <f t="shared" si="1"/>
        <v>564</v>
      </c>
      <c r="F72" s="136"/>
    </row>
    <row r="73" spans="1:6" x14ac:dyDescent="0.25">
      <c r="A73" s="138" t="s">
        <v>695</v>
      </c>
      <c r="B73" s="136" t="s">
        <v>283</v>
      </c>
      <c r="C73" s="136">
        <v>3</v>
      </c>
      <c r="D73" s="136"/>
      <c r="E73" s="136">
        <f t="shared" si="1"/>
        <v>567</v>
      </c>
      <c r="F73" s="136"/>
    </row>
    <row r="74" spans="1:6" x14ac:dyDescent="0.25">
      <c r="A74" s="138" t="s">
        <v>747</v>
      </c>
      <c r="B74" s="136" t="s">
        <v>283</v>
      </c>
      <c r="C74" s="136">
        <v>4</v>
      </c>
      <c r="D74" s="136"/>
      <c r="E74" s="136">
        <f t="shared" si="1"/>
        <v>571</v>
      </c>
      <c r="F74" s="136"/>
    </row>
    <row r="75" spans="1:6" x14ac:dyDescent="0.25">
      <c r="A75" s="152" t="s">
        <v>752</v>
      </c>
      <c r="B75" s="136" t="s">
        <v>402</v>
      </c>
      <c r="C75" s="136">
        <v>6</v>
      </c>
      <c r="D75" s="136"/>
      <c r="E75" s="136">
        <f t="shared" si="1"/>
        <v>577</v>
      </c>
      <c r="F75" s="136"/>
    </row>
    <row r="76" spans="1:6" x14ac:dyDescent="0.25">
      <c r="A76" s="152" t="s">
        <v>764</v>
      </c>
      <c r="B76" s="136" t="s">
        <v>414</v>
      </c>
      <c r="C76" s="136">
        <v>3</v>
      </c>
      <c r="D76" s="136"/>
      <c r="E76" s="136">
        <f t="shared" si="1"/>
        <v>580</v>
      </c>
      <c r="F76" s="136"/>
    </row>
    <row r="77" spans="1:6" x14ac:dyDescent="0.25">
      <c r="A77" s="152" t="s">
        <v>764</v>
      </c>
      <c r="B77" s="136" t="s">
        <v>526</v>
      </c>
      <c r="C77" s="136">
        <v>52</v>
      </c>
      <c r="D77" s="136"/>
      <c r="E77" s="136">
        <f t="shared" si="1"/>
        <v>632</v>
      </c>
      <c r="F77" s="136"/>
    </row>
    <row r="78" spans="1:6" x14ac:dyDescent="0.25">
      <c r="A78" s="152" t="s">
        <v>773</v>
      </c>
      <c r="B78" s="136" t="s">
        <v>283</v>
      </c>
      <c r="C78" s="136">
        <v>1</v>
      </c>
      <c r="D78" s="136"/>
      <c r="E78" s="136">
        <f t="shared" si="1"/>
        <v>633</v>
      </c>
      <c r="F78" s="136"/>
    </row>
    <row r="79" spans="1:6" x14ac:dyDescent="0.25">
      <c r="A79" s="138" t="s">
        <v>781</v>
      </c>
      <c r="B79" s="136" t="s">
        <v>344</v>
      </c>
      <c r="C79" s="136">
        <v>19</v>
      </c>
      <c r="D79" s="136"/>
      <c r="E79" s="136">
        <f t="shared" si="1"/>
        <v>652</v>
      </c>
      <c r="F79" s="136"/>
    </row>
    <row r="80" spans="1:6" x14ac:dyDescent="0.25">
      <c r="A80" s="138" t="s">
        <v>781</v>
      </c>
      <c r="B80" s="136" t="s">
        <v>344</v>
      </c>
      <c r="C80" s="136">
        <v>24</v>
      </c>
      <c r="D80" s="136"/>
      <c r="E80" s="136">
        <f t="shared" si="1"/>
        <v>676</v>
      </c>
      <c r="F80" s="136"/>
    </row>
    <row r="81" spans="1:6" x14ac:dyDescent="0.25">
      <c r="A81" s="233">
        <v>8154</v>
      </c>
      <c r="B81" s="136" t="s">
        <v>344</v>
      </c>
      <c r="C81" s="136">
        <v>30</v>
      </c>
      <c r="D81" s="136"/>
      <c r="E81" s="136">
        <f t="shared" si="1"/>
        <v>706</v>
      </c>
      <c r="F81" s="136"/>
    </row>
    <row r="82" spans="1:6" x14ac:dyDescent="0.25">
      <c r="A82" s="233">
        <v>8154</v>
      </c>
      <c r="B82" s="136" t="s">
        <v>344</v>
      </c>
      <c r="C82" s="136">
        <v>8</v>
      </c>
      <c r="D82" s="136"/>
      <c r="E82" s="136">
        <f t="shared" si="1"/>
        <v>714</v>
      </c>
      <c r="F82" s="136"/>
    </row>
    <row r="83" spans="1:6" x14ac:dyDescent="0.25">
      <c r="A83" s="138" t="s">
        <v>785</v>
      </c>
      <c r="B83" s="136" t="s">
        <v>344</v>
      </c>
      <c r="C83" s="136">
        <v>14</v>
      </c>
      <c r="D83" s="136"/>
      <c r="E83" s="136">
        <f t="shared" si="1"/>
        <v>728</v>
      </c>
      <c r="F83" s="136"/>
    </row>
    <row r="84" spans="1:6" x14ac:dyDescent="0.25">
      <c r="A84" s="138" t="s">
        <v>787</v>
      </c>
      <c r="B84" s="136" t="s">
        <v>344</v>
      </c>
      <c r="C84" s="136">
        <v>34</v>
      </c>
      <c r="D84" s="136"/>
      <c r="E84" s="136">
        <f t="shared" si="1"/>
        <v>762</v>
      </c>
      <c r="F84" s="136"/>
    </row>
    <row r="85" spans="1:6" x14ac:dyDescent="0.25">
      <c r="A85" s="138" t="s">
        <v>790</v>
      </c>
      <c r="B85" s="136" t="s">
        <v>783</v>
      </c>
      <c r="C85" s="136"/>
      <c r="D85" s="136">
        <v>12</v>
      </c>
      <c r="E85" s="136">
        <f t="shared" si="1"/>
        <v>750</v>
      </c>
      <c r="F85" s="136" t="s">
        <v>791</v>
      </c>
    </row>
    <row r="86" spans="1:6" x14ac:dyDescent="0.25">
      <c r="A86" s="138" t="s">
        <v>790</v>
      </c>
      <c r="B86" s="136" t="s">
        <v>344</v>
      </c>
      <c r="C86" s="136">
        <v>1</v>
      </c>
      <c r="D86" s="136"/>
      <c r="E86" s="136">
        <f t="shared" si="1"/>
        <v>751</v>
      </c>
      <c r="F86" s="136"/>
    </row>
    <row r="87" spans="1:6" x14ac:dyDescent="0.25">
      <c r="A87" s="121" t="s">
        <v>797</v>
      </c>
      <c r="B87" s="36" t="s">
        <v>452</v>
      </c>
      <c r="C87" s="36">
        <v>50</v>
      </c>
      <c r="D87" s="136"/>
      <c r="E87" s="136">
        <f t="shared" si="1"/>
        <v>801</v>
      </c>
      <c r="F87" s="136"/>
    </row>
    <row r="88" spans="1:6" x14ac:dyDescent="0.25">
      <c r="A88" s="138" t="s">
        <v>797</v>
      </c>
      <c r="B88" s="136" t="s">
        <v>344</v>
      </c>
      <c r="C88" s="136">
        <v>12</v>
      </c>
      <c r="D88" s="136"/>
      <c r="E88" s="136">
        <f t="shared" si="1"/>
        <v>813</v>
      </c>
      <c r="F88" s="136"/>
    </row>
    <row r="89" spans="1:6" x14ac:dyDescent="0.25">
      <c r="A89" s="138" t="s">
        <v>797</v>
      </c>
      <c r="B89" s="136" t="s">
        <v>344</v>
      </c>
      <c r="C89" s="136">
        <v>1</v>
      </c>
      <c r="D89" s="136"/>
      <c r="E89" s="136">
        <f t="shared" si="1"/>
        <v>814</v>
      </c>
      <c r="F89" s="136"/>
    </row>
    <row r="90" spans="1:6" x14ac:dyDescent="0.25">
      <c r="A90" s="152" t="s">
        <v>798</v>
      </c>
      <c r="B90" s="136" t="s">
        <v>800</v>
      </c>
      <c r="C90" s="136"/>
      <c r="D90" s="136">
        <v>10</v>
      </c>
      <c r="E90" s="136">
        <f t="shared" si="1"/>
        <v>804</v>
      </c>
      <c r="F90" s="136" t="s">
        <v>17</v>
      </c>
    </row>
    <row r="91" spans="1:6" x14ac:dyDescent="0.25">
      <c r="A91" s="138" t="s">
        <v>803</v>
      </c>
      <c r="B91" s="136" t="s">
        <v>522</v>
      </c>
      <c r="C91" s="136">
        <v>8</v>
      </c>
      <c r="D91" s="136"/>
      <c r="E91" s="136">
        <f t="shared" si="1"/>
        <v>812</v>
      </c>
      <c r="F91" s="136"/>
    </row>
    <row r="92" spans="1:6" x14ac:dyDescent="0.25">
      <c r="A92" s="138" t="s">
        <v>803</v>
      </c>
      <c r="B92" s="136" t="s">
        <v>402</v>
      </c>
      <c r="C92" s="136">
        <v>27</v>
      </c>
      <c r="D92" s="136"/>
      <c r="E92" s="136">
        <f t="shared" si="1"/>
        <v>839</v>
      </c>
      <c r="F92" s="136"/>
    </row>
    <row r="93" spans="1:6" x14ac:dyDescent="0.25">
      <c r="A93" s="138" t="s">
        <v>803</v>
      </c>
      <c r="B93" s="136" t="s">
        <v>402</v>
      </c>
      <c r="C93" s="136">
        <v>4</v>
      </c>
      <c r="D93" s="136"/>
      <c r="E93" s="136">
        <f t="shared" si="1"/>
        <v>843</v>
      </c>
      <c r="F93" s="136"/>
    </row>
    <row r="94" spans="1:6" x14ac:dyDescent="0.25">
      <c r="A94" s="152" t="s">
        <v>804</v>
      </c>
      <c r="B94" s="136" t="s">
        <v>635</v>
      </c>
      <c r="C94" s="136"/>
      <c r="D94" s="136">
        <v>20</v>
      </c>
      <c r="E94" s="136">
        <f t="shared" si="1"/>
        <v>823</v>
      </c>
      <c r="F94" s="136" t="s">
        <v>805</v>
      </c>
    </row>
    <row r="95" spans="1:6" x14ac:dyDescent="0.25">
      <c r="A95" s="138" t="s">
        <v>804</v>
      </c>
      <c r="B95" s="136" t="s">
        <v>402</v>
      </c>
      <c r="C95" s="136">
        <v>10</v>
      </c>
      <c r="D95" s="136"/>
      <c r="E95" s="136">
        <f t="shared" si="1"/>
        <v>833</v>
      </c>
      <c r="F95" s="136"/>
    </row>
    <row r="96" spans="1:6" x14ac:dyDescent="0.25">
      <c r="A96" s="152" t="s">
        <v>811</v>
      </c>
      <c r="B96" s="136" t="s">
        <v>812</v>
      </c>
      <c r="C96" s="136"/>
      <c r="D96" s="163">
        <v>100</v>
      </c>
      <c r="E96" s="136">
        <f t="shared" si="1"/>
        <v>733</v>
      </c>
      <c r="F96" s="136" t="s">
        <v>813</v>
      </c>
    </row>
    <row r="97" spans="1:6" x14ac:dyDescent="0.25">
      <c r="A97" s="138" t="s">
        <v>811</v>
      </c>
      <c r="B97" s="136" t="s">
        <v>344</v>
      </c>
      <c r="C97" s="136">
        <v>1</v>
      </c>
      <c r="D97" s="136"/>
      <c r="E97" s="136">
        <f t="shared" si="1"/>
        <v>734</v>
      </c>
      <c r="F97" s="136"/>
    </row>
    <row r="98" spans="1:6" x14ac:dyDescent="0.25">
      <c r="A98" s="138" t="s">
        <v>827</v>
      </c>
      <c r="B98" s="136" t="s">
        <v>382</v>
      </c>
      <c r="C98" s="136">
        <v>6</v>
      </c>
      <c r="D98" s="136"/>
      <c r="E98" s="136">
        <f t="shared" si="1"/>
        <v>740</v>
      </c>
      <c r="F98" s="136"/>
    </row>
    <row r="99" spans="1:6" x14ac:dyDescent="0.25">
      <c r="A99" s="138" t="s">
        <v>827</v>
      </c>
      <c r="B99" s="136" t="s">
        <v>344</v>
      </c>
      <c r="C99" s="136">
        <v>9</v>
      </c>
      <c r="D99" s="136"/>
      <c r="E99" s="136">
        <f t="shared" si="1"/>
        <v>749</v>
      </c>
      <c r="F99" s="136"/>
    </row>
    <row r="100" spans="1:6" x14ac:dyDescent="0.25">
      <c r="A100" s="138" t="s">
        <v>835</v>
      </c>
      <c r="B100" s="136" t="s">
        <v>783</v>
      </c>
      <c r="C100" s="136"/>
      <c r="D100" s="136">
        <v>100</v>
      </c>
      <c r="E100" s="136">
        <f t="shared" si="1"/>
        <v>649</v>
      </c>
      <c r="F100" s="163" t="s">
        <v>845</v>
      </c>
    </row>
    <row r="101" spans="1:6" x14ac:dyDescent="0.25">
      <c r="A101" s="138" t="s">
        <v>835</v>
      </c>
      <c r="B101" s="136" t="s">
        <v>344</v>
      </c>
      <c r="C101" s="136">
        <v>83</v>
      </c>
      <c r="D101" s="136"/>
      <c r="E101" s="136">
        <f t="shared" si="1"/>
        <v>732</v>
      </c>
      <c r="F101" s="136"/>
    </row>
    <row r="102" spans="1:6" x14ac:dyDescent="0.25">
      <c r="A102" s="152" t="s">
        <v>839</v>
      </c>
      <c r="B102" s="136" t="s">
        <v>783</v>
      </c>
      <c r="C102" s="136"/>
      <c r="D102" s="136">
        <v>40</v>
      </c>
      <c r="E102" s="136">
        <f t="shared" si="1"/>
        <v>692</v>
      </c>
      <c r="F102" s="136" t="s">
        <v>843</v>
      </c>
    </row>
    <row r="103" spans="1:6" x14ac:dyDescent="0.25">
      <c r="A103" s="152" t="s">
        <v>839</v>
      </c>
      <c r="B103" s="136" t="s">
        <v>844</v>
      </c>
      <c r="C103" s="136">
        <v>1</v>
      </c>
      <c r="D103" s="136"/>
      <c r="E103" s="136">
        <f t="shared" si="1"/>
        <v>693</v>
      </c>
      <c r="F103" s="136"/>
    </row>
    <row r="104" spans="1:6" x14ac:dyDescent="0.25">
      <c r="A104" s="138" t="s">
        <v>848</v>
      </c>
      <c r="B104" s="136" t="s">
        <v>344</v>
      </c>
      <c r="C104" s="136">
        <v>23</v>
      </c>
      <c r="D104" s="136"/>
      <c r="E104" s="136">
        <f t="shared" si="1"/>
        <v>716</v>
      </c>
      <c r="F104" s="136" t="s">
        <v>855</v>
      </c>
    </row>
    <row r="105" spans="1:6" x14ac:dyDescent="0.25">
      <c r="A105" s="152" t="s">
        <v>848</v>
      </c>
      <c r="B105" s="136" t="s">
        <v>124</v>
      </c>
      <c r="C105" s="136">
        <v>21</v>
      </c>
      <c r="D105" s="136"/>
      <c r="E105" s="136">
        <f t="shared" si="1"/>
        <v>737</v>
      </c>
      <c r="F105" s="136"/>
    </row>
    <row r="106" spans="1:6" x14ac:dyDescent="0.25">
      <c r="A106" s="152" t="s">
        <v>847</v>
      </c>
      <c r="B106" s="136" t="s">
        <v>854</v>
      </c>
      <c r="C106" s="136">
        <v>300</v>
      </c>
      <c r="D106" s="136"/>
      <c r="E106" s="136">
        <f t="shared" si="1"/>
        <v>1037</v>
      </c>
      <c r="F106" s="136"/>
    </row>
    <row r="107" spans="1:6" x14ac:dyDescent="0.25">
      <c r="A107" s="138" t="s">
        <v>847</v>
      </c>
      <c r="B107" s="136" t="s">
        <v>344</v>
      </c>
      <c r="C107" s="136">
        <v>23</v>
      </c>
      <c r="D107" s="136"/>
      <c r="E107" s="136">
        <f t="shared" si="1"/>
        <v>1060</v>
      </c>
      <c r="F107" s="136"/>
    </row>
    <row r="108" spans="1:6" x14ac:dyDescent="0.25">
      <c r="A108" s="152" t="s">
        <v>856</v>
      </c>
      <c r="B108" s="136" t="s">
        <v>858</v>
      </c>
      <c r="C108" s="136"/>
      <c r="D108" s="36">
        <v>6</v>
      </c>
      <c r="E108" s="136">
        <f>E107+C108-D108</f>
        <v>1054</v>
      </c>
      <c r="F108" s="48" t="s">
        <v>17</v>
      </c>
    </row>
    <row r="109" spans="1:6" x14ac:dyDescent="0.25">
      <c r="A109" s="152" t="s">
        <v>856</v>
      </c>
      <c r="B109" s="136" t="s">
        <v>522</v>
      </c>
      <c r="C109" s="163">
        <v>12</v>
      </c>
      <c r="D109" s="136"/>
      <c r="E109" s="136">
        <f>E108+C109-D109</f>
        <v>1066</v>
      </c>
      <c r="F109" s="136"/>
    </row>
    <row r="110" spans="1:6" x14ac:dyDescent="0.25">
      <c r="A110" s="138" t="s">
        <v>856</v>
      </c>
      <c r="B110" s="136" t="s">
        <v>344</v>
      </c>
      <c r="C110" s="163">
        <v>43</v>
      </c>
      <c r="D110" s="136"/>
      <c r="E110" s="136">
        <f>E109+C110-D110</f>
        <v>1109</v>
      </c>
      <c r="F110" s="136"/>
    </row>
    <row r="111" spans="1:6" x14ac:dyDescent="0.25">
      <c r="A111" s="152" t="s">
        <v>869</v>
      </c>
      <c r="B111" s="136" t="s">
        <v>812</v>
      </c>
      <c r="C111" s="136"/>
      <c r="D111" s="136">
        <v>100</v>
      </c>
      <c r="E111" s="136">
        <f>E110+C111-D111</f>
        <v>1009</v>
      </c>
      <c r="F111" s="163" t="s">
        <v>872</v>
      </c>
    </row>
    <row r="112" spans="1:6" x14ac:dyDescent="0.25">
      <c r="A112" s="138" t="s">
        <v>869</v>
      </c>
      <c r="B112" s="136" t="s">
        <v>344</v>
      </c>
      <c r="C112" s="136">
        <v>21</v>
      </c>
      <c r="D112" s="136"/>
      <c r="E112" s="136">
        <f>E111+C112-D112</f>
        <v>1030</v>
      </c>
      <c r="F112" s="136"/>
    </row>
    <row r="113" spans="1:6" x14ac:dyDescent="0.25">
      <c r="A113" s="138" t="s">
        <v>873</v>
      </c>
      <c r="B113" s="136" t="s">
        <v>874</v>
      </c>
      <c r="C113" s="136"/>
      <c r="D113" s="136">
        <v>200</v>
      </c>
      <c r="E113" s="136">
        <f>E112+C113-D113</f>
        <v>830</v>
      </c>
      <c r="F113" s="136" t="s">
        <v>875</v>
      </c>
    </row>
    <row r="114" spans="1:6" x14ac:dyDescent="0.25">
      <c r="A114" s="138" t="s">
        <v>873</v>
      </c>
      <c r="B114" s="136" t="s">
        <v>783</v>
      </c>
      <c r="C114" s="136"/>
      <c r="D114" s="136">
        <v>80</v>
      </c>
      <c r="E114" s="136">
        <f>E113+C114-D114</f>
        <v>750</v>
      </c>
      <c r="F114" s="136" t="s">
        <v>876</v>
      </c>
    </row>
    <row r="115" spans="1:6" x14ac:dyDescent="0.25">
      <c r="A115" s="138" t="s">
        <v>873</v>
      </c>
      <c r="B115" s="136" t="s">
        <v>344</v>
      </c>
      <c r="C115" s="136">
        <v>59</v>
      </c>
      <c r="D115" s="136"/>
      <c r="E115" s="136">
        <f>E114+C115-D115</f>
        <v>809</v>
      </c>
      <c r="F115" s="136"/>
    </row>
    <row r="116" spans="1:6" x14ac:dyDescent="0.25">
      <c r="A116" s="138" t="s">
        <v>877</v>
      </c>
      <c r="B116" s="136" t="s">
        <v>816</v>
      </c>
      <c r="C116" s="136"/>
      <c r="D116" s="136">
        <v>80</v>
      </c>
      <c r="E116" s="136">
        <f>E115+C116-D116</f>
        <v>729</v>
      </c>
      <c r="F116" s="136" t="s">
        <v>878</v>
      </c>
    </row>
    <row r="117" spans="1:6" x14ac:dyDescent="0.25">
      <c r="A117" s="138" t="s">
        <v>880</v>
      </c>
      <c r="B117" s="136" t="s">
        <v>344</v>
      </c>
      <c r="C117" s="136">
        <v>30</v>
      </c>
      <c r="D117" s="136"/>
      <c r="E117" s="136">
        <f>E116+C117-D117</f>
        <v>759</v>
      </c>
      <c r="F117" s="136"/>
    </row>
    <row r="118" spans="1:6" x14ac:dyDescent="0.25">
      <c r="A118" s="138" t="s">
        <v>880</v>
      </c>
      <c r="B118" s="136" t="s">
        <v>344</v>
      </c>
      <c r="C118" s="136">
        <v>34</v>
      </c>
      <c r="D118" s="136"/>
      <c r="E118" s="136">
        <f>E117+C118-D118</f>
        <v>793</v>
      </c>
      <c r="F118" s="136"/>
    </row>
    <row r="119" spans="1:6" x14ac:dyDescent="0.25">
      <c r="A119" s="138" t="s">
        <v>883</v>
      </c>
      <c r="B119" s="136" t="s">
        <v>344</v>
      </c>
      <c r="C119" s="136">
        <v>53</v>
      </c>
      <c r="D119" s="136"/>
      <c r="E119" s="136">
        <f>E118+C119-D119</f>
        <v>846</v>
      </c>
      <c r="F119" s="136"/>
    </row>
    <row r="120" spans="1:6" x14ac:dyDescent="0.25">
      <c r="A120" s="138" t="s">
        <v>897</v>
      </c>
      <c r="B120" s="136" t="s">
        <v>632</v>
      </c>
      <c r="C120" s="136"/>
      <c r="D120" s="136">
        <v>30</v>
      </c>
      <c r="E120" s="136">
        <f>E119+C120-D120</f>
        <v>816</v>
      </c>
      <c r="F120" s="136" t="s">
        <v>896</v>
      </c>
    </row>
    <row r="121" spans="1:6" x14ac:dyDescent="0.25">
      <c r="A121" s="138" t="s">
        <v>897</v>
      </c>
      <c r="B121" s="136" t="s">
        <v>344</v>
      </c>
      <c r="C121" s="136">
        <v>51</v>
      </c>
      <c r="D121" s="136"/>
      <c r="E121" s="136">
        <f>E120+C121-D121</f>
        <v>867</v>
      </c>
      <c r="F121" s="136"/>
    </row>
    <row r="122" spans="1:6" x14ac:dyDescent="0.25">
      <c r="A122" s="152" t="s">
        <v>902</v>
      </c>
      <c r="B122" s="136" t="s">
        <v>454</v>
      </c>
      <c r="C122" s="136"/>
      <c r="D122" s="136">
        <v>20</v>
      </c>
      <c r="E122" s="136">
        <f>E121+C122-D122</f>
        <v>847</v>
      </c>
      <c r="F122" s="136" t="s">
        <v>903</v>
      </c>
    </row>
    <row r="123" spans="1:6" x14ac:dyDescent="0.25">
      <c r="A123" s="152" t="s">
        <v>902</v>
      </c>
      <c r="B123" s="136" t="s">
        <v>257</v>
      </c>
      <c r="C123" s="136">
        <v>106</v>
      </c>
      <c r="D123" s="136"/>
      <c r="E123" s="136">
        <f>E122+C123-D123</f>
        <v>953</v>
      </c>
      <c r="F123" s="136"/>
    </row>
    <row r="124" spans="1:6" x14ac:dyDescent="0.25">
      <c r="A124" s="152" t="s">
        <v>902</v>
      </c>
      <c r="B124" s="136" t="s">
        <v>907</v>
      </c>
      <c r="C124" s="136"/>
      <c r="D124" s="136">
        <v>18</v>
      </c>
      <c r="E124" s="136">
        <f>E123+C124-D124</f>
        <v>935</v>
      </c>
      <c r="F124" s="136"/>
    </row>
    <row r="125" spans="1:6" x14ac:dyDescent="0.25">
      <c r="A125" s="152" t="s">
        <v>902</v>
      </c>
      <c r="B125" s="136" t="s">
        <v>907</v>
      </c>
      <c r="C125" s="136"/>
      <c r="D125" s="136">
        <v>18</v>
      </c>
      <c r="E125" s="136">
        <f>E124+C125-D125</f>
        <v>917</v>
      </c>
      <c r="F125" s="136"/>
    </row>
    <row r="126" spans="1:6" x14ac:dyDescent="0.25">
      <c r="A126" s="152" t="s">
        <v>902</v>
      </c>
      <c r="B126" s="136" t="s">
        <v>344</v>
      </c>
      <c r="C126" s="136">
        <v>7</v>
      </c>
      <c r="D126" s="136"/>
      <c r="E126" s="136">
        <f t="shared" ref="E126:E128" si="2">E125+C126-D126</f>
        <v>924</v>
      </c>
      <c r="F126" s="136"/>
    </row>
    <row r="127" spans="1:6" x14ac:dyDescent="0.25">
      <c r="A127" s="152" t="s">
        <v>911</v>
      </c>
      <c r="B127" s="136" t="s">
        <v>344</v>
      </c>
      <c r="C127" s="136">
        <v>12</v>
      </c>
      <c r="D127" s="136"/>
      <c r="E127" s="136">
        <f t="shared" si="2"/>
        <v>936</v>
      </c>
      <c r="F127" s="136"/>
    </row>
    <row r="128" spans="1:6" x14ac:dyDescent="0.25">
      <c r="A128" s="152" t="s">
        <v>911</v>
      </c>
      <c r="B128" s="136" t="s">
        <v>522</v>
      </c>
      <c r="C128" s="136">
        <v>9</v>
      </c>
      <c r="D128" s="136"/>
      <c r="E128" s="136">
        <f t="shared" si="2"/>
        <v>945</v>
      </c>
      <c r="F128" s="136"/>
    </row>
    <row r="129" spans="1:6" x14ac:dyDescent="0.25">
      <c r="A129" s="136"/>
      <c r="B129" s="136"/>
      <c r="C129" s="136"/>
      <c r="D129" s="136"/>
      <c r="E129" s="136"/>
      <c r="F129" s="136"/>
    </row>
    <row r="130" spans="1:6" x14ac:dyDescent="0.25">
      <c r="A130" s="136"/>
      <c r="B130" s="136"/>
      <c r="C130" s="136"/>
      <c r="D130" s="136"/>
      <c r="E130" s="136"/>
      <c r="F130" s="136"/>
    </row>
    <row r="131" spans="1:6" x14ac:dyDescent="0.25">
      <c r="A131" s="136"/>
      <c r="B131" s="136"/>
      <c r="C131" s="136"/>
      <c r="D131" s="136"/>
      <c r="E131" s="136"/>
      <c r="F131" s="136"/>
    </row>
    <row r="132" spans="1:6" x14ac:dyDescent="0.25">
      <c r="A132" s="136"/>
      <c r="B132" s="136"/>
      <c r="C132" s="136"/>
      <c r="D132" s="136"/>
      <c r="E132" s="136"/>
      <c r="F132" s="136"/>
    </row>
    <row r="133" spans="1:6" x14ac:dyDescent="0.25">
      <c r="A133" s="136"/>
      <c r="B133" s="136"/>
      <c r="C133" s="136"/>
      <c r="D133" s="136"/>
      <c r="E133" s="136"/>
      <c r="F133" s="136"/>
    </row>
    <row r="134" spans="1:6" x14ac:dyDescent="0.25">
      <c r="A134" s="136"/>
      <c r="B134" s="136"/>
      <c r="C134" s="136"/>
      <c r="D134" s="136"/>
      <c r="E134" s="136"/>
      <c r="F134" s="136"/>
    </row>
    <row r="135" spans="1:6" x14ac:dyDescent="0.25">
      <c r="A135" s="136"/>
      <c r="B135" s="136"/>
      <c r="C135" s="136"/>
      <c r="D135" s="136"/>
      <c r="E135" s="136"/>
      <c r="F135" s="136"/>
    </row>
    <row r="136" spans="1:6" x14ac:dyDescent="0.25">
      <c r="A136" s="136"/>
      <c r="B136" s="136"/>
      <c r="C136" s="136"/>
      <c r="D136" s="136"/>
      <c r="E136" s="136"/>
      <c r="F136" s="136"/>
    </row>
    <row r="137" spans="1:6" x14ac:dyDescent="0.25">
      <c r="A137" s="136"/>
      <c r="B137" s="136"/>
      <c r="C137" s="136"/>
      <c r="D137" s="136"/>
      <c r="E137" s="136"/>
      <c r="F137" s="136"/>
    </row>
    <row r="138" spans="1:6" x14ac:dyDescent="0.25">
      <c r="A138" s="136"/>
      <c r="B138" s="136"/>
      <c r="C138" s="136"/>
      <c r="D138" s="136"/>
      <c r="E138" s="136"/>
      <c r="F138" s="136"/>
    </row>
    <row r="139" spans="1:6" x14ac:dyDescent="0.25">
      <c r="A139" s="136"/>
      <c r="B139" s="136"/>
      <c r="C139" s="136"/>
      <c r="D139" s="136"/>
      <c r="E139" s="136"/>
      <c r="F139" s="136"/>
    </row>
  </sheetData>
  <pageMargins left="0.7" right="0.7" top="0.75" bottom="0.75" header="0.3" footer="0.3"/>
  <pageSetup paperSize="136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workbookViewId="0">
      <selection activeCell="B6" sqref="B6"/>
    </sheetView>
  </sheetViews>
  <sheetFormatPr defaultRowHeight="15" x14ac:dyDescent="0.25"/>
  <cols>
    <col min="2" max="2" width="25.85546875" customWidth="1"/>
    <col min="6" max="6" width="29" customWidth="1"/>
  </cols>
  <sheetData>
    <row r="2" spans="1:6" ht="15.75" x14ac:dyDescent="0.25">
      <c r="A2" s="8" t="s">
        <v>13</v>
      </c>
      <c r="B2" s="8"/>
      <c r="C2" s="8"/>
      <c r="D2" s="8"/>
      <c r="E2" s="8"/>
    </row>
    <row r="3" spans="1:6" ht="15.75" x14ac:dyDescent="0.25">
      <c r="A3" s="16"/>
      <c r="B3" s="17"/>
      <c r="C3" s="16"/>
      <c r="D3" s="16"/>
      <c r="E3" s="16"/>
    </row>
    <row r="4" spans="1:6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</row>
    <row r="5" spans="1:6" x14ac:dyDescent="0.25">
      <c r="A5" s="1"/>
      <c r="B5" s="1" t="s">
        <v>243</v>
      </c>
      <c r="C5" s="1"/>
      <c r="D5" s="1"/>
      <c r="E5" s="30">
        <v>635</v>
      </c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B6" sqref="B6"/>
    </sheetView>
  </sheetViews>
  <sheetFormatPr defaultRowHeight="15" x14ac:dyDescent="0.25"/>
  <cols>
    <col min="2" max="2" width="24.42578125" customWidth="1"/>
    <col min="7" max="7" width="21.140625" customWidth="1"/>
  </cols>
  <sheetData>
    <row r="2" spans="1:7" ht="15.75" x14ac:dyDescent="0.25">
      <c r="A2" s="7" t="s">
        <v>42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ht="15.75" x14ac:dyDescent="0.25">
      <c r="A5" s="1"/>
      <c r="B5" s="1" t="s">
        <v>243</v>
      </c>
      <c r="C5" s="1"/>
      <c r="D5" s="1"/>
      <c r="E5" s="63">
        <v>769</v>
      </c>
      <c r="F5" s="1"/>
      <c r="G5" s="1"/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topLeftCell="A3" zoomScale="110" zoomScaleNormal="110" workbookViewId="0">
      <selection activeCell="B6" sqref="B6"/>
    </sheetView>
  </sheetViews>
  <sheetFormatPr defaultRowHeight="15" x14ac:dyDescent="0.25"/>
  <cols>
    <col min="1" max="1" width="11.140625" style="29" customWidth="1"/>
    <col min="2" max="2" width="26.85546875" style="29" customWidth="1"/>
    <col min="3" max="5" width="9.140625" style="29"/>
    <col min="6" max="6" width="22" style="29" customWidth="1"/>
  </cols>
  <sheetData>
    <row r="2" spans="1:6" ht="15.75" x14ac:dyDescent="0.25">
      <c r="A2" s="33" t="s">
        <v>90</v>
      </c>
      <c r="B2" s="33"/>
      <c r="C2" s="47"/>
      <c r="D2" s="47"/>
      <c r="E2" s="47"/>
    </row>
    <row r="3" spans="1:6" x14ac:dyDescent="0.25">
      <c r="A3" s="43"/>
      <c r="B3" s="45"/>
      <c r="C3" s="43"/>
      <c r="D3" s="43"/>
      <c r="E3" s="43"/>
    </row>
    <row r="4" spans="1:6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</row>
    <row r="5" spans="1:6" x14ac:dyDescent="0.25">
      <c r="A5" s="123"/>
      <c r="B5" s="123" t="s">
        <v>246</v>
      </c>
      <c r="C5" s="123"/>
      <c r="D5" s="123"/>
      <c r="E5" s="123">
        <v>1520</v>
      </c>
      <c r="F5" s="123">
        <v>1520</v>
      </c>
    </row>
    <row r="6" spans="1:6" x14ac:dyDescent="0.25">
      <c r="A6" s="36"/>
      <c r="B6" s="36"/>
      <c r="C6" s="36"/>
      <c r="D6" s="36"/>
      <c r="E6" s="36"/>
      <c r="F6" s="36"/>
    </row>
    <row r="7" spans="1:6" x14ac:dyDescent="0.25">
      <c r="A7" s="36"/>
      <c r="B7" s="36"/>
      <c r="C7" s="36"/>
      <c r="D7" s="36"/>
      <c r="E7" s="36"/>
      <c r="F7" s="36"/>
    </row>
    <row r="8" spans="1:6" x14ac:dyDescent="0.25">
      <c r="A8" s="36"/>
      <c r="B8" s="36"/>
      <c r="C8" s="36"/>
      <c r="D8" s="36"/>
      <c r="E8" s="36"/>
      <c r="F8" s="36"/>
    </row>
    <row r="9" spans="1:6" x14ac:dyDescent="0.25">
      <c r="A9" s="36"/>
      <c r="B9" s="36"/>
      <c r="C9" s="36"/>
      <c r="D9" s="36"/>
      <c r="E9" s="36"/>
      <c r="F9" s="36"/>
    </row>
    <row r="10" spans="1:6" x14ac:dyDescent="0.25">
      <c r="A10" s="36"/>
      <c r="B10" s="36"/>
      <c r="C10" s="36"/>
      <c r="D10" s="36"/>
      <c r="E10" s="36"/>
      <c r="F10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B5" sqref="B5"/>
    </sheetView>
  </sheetViews>
  <sheetFormatPr defaultRowHeight="15" x14ac:dyDescent="0.25"/>
  <cols>
    <col min="2" max="2" width="18.28515625" customWidth="1"/>
    <col min="6" max="6" width="13.140625" customWidth="1"/>
  </cols>
  <sheetData>
    <row r="1" spans="1:6" ht="15.75" x14ac:dyDescent="0.25">
      <c r="A1" s="8" t="s">
        <v>111</v>
      </c>
      <c r="B1" s="8"/>
      <c r="C1" s="62"/>
      <c r="D1" s="62"/>
      <c r="E1" s="62"/>
    </row>
    <row r="2" spans="1:6" x14ac:dyDescent="0.25">
      <c r="A2" s="9"/>
      <c r="B2" s="11"/>
      <c r="C2" s="9"/>
      <c r="D2" s="9"/>
      <c r="E2" s="9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4" t="s">
        <v>7</v>
      </c>
    </row>
    <row r="4" spans="1:6" x14ac:dyDescent="0.25">
      <c r="A4" s="1"/>
      <c r="B4" s="27" t="s">
        <v>243</v>
      </c>
      <c r="C4" s="27"/>
      <c r="D4" s="27"/>
      <c r="E4" s="31">
        <v>1981</v>
      </c>
      <c r="F4" s="27">
        <v>1981</v>
      </c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6"/>
  <sheetViews>
    <sheetView zoomScaleNormal="100" workbookViewId="0">
      <pane ySplit="1515" topLeftCell="A79" activePane="bottomLeft"/>
      <selection sqref="A1:G1048576"/>
      <selection pane="bottomLeft" activeCell="F94" sqref="F94"/>
    </sheetView>
  </sheetViews>
  <sheetFormatPr defaultRowHeight="15" x14ac:dyDescent="0.25"/>
  <cols>
    <col min="1" max="1" width="12.28515625" style="29" customWidth="1"/>
    <col min="2" max="2" width="35.42578125" style="29" customWidth="1"/>
    <col min="3" max="5" width="9.140625" style="29"/>
    <col min="6" max="6" width="14.28515625" style="29" customWidth="1"/>
    <col min="7" max="7" width="29.140625" style="29" customWidth="1"/>
  </cols>
  <sheetData>
    <row r="2" spans="1:7" x14ac:dyDescent="0.25">
      <c r="A2" s="51" t="s">
        <v>23</v>
      </c>
      <c r="B2" s="47"/>
      <c r="C2" s="43"/>
      <c r="D2" s="43"/>
      <c r="E2" s="43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123"/>
      <c r="B5" s="123" t="s">
        <v>246</v>
      </c>
      <c r="C5" s="123"/>
      <c r="D5" s="123"/>
      <c r="E5" s="123"/>
      <c r="F5" s="123">
        <v>10711</v>
      </c>
      <c r="G5" s="123"/>
    </row>
    <row r="6" spans="1:7" x14ac:dyDescent="0.25">
      <c r="A6" s="123"/>
      <c r="B6" s="123"/>
      <c r="C6" s="123"/>
      <c r="D6" s="123"/>
      <c r="E6" s="123">
        <v>10711</v>
      </c>
      <c r="F6" s="123"/>
      <c r="G6" s="123"/>
    </row>
    <row r="7" spans="1:7" x14ac:dyDescent="0.25">
      <c r="A7" s="122" t="s">
        <v>249</v>
      </c>
      <c r="B7" s="36" t="s">
        <v>250</v>
      </c>
      <c r="C7" s="36">
        <v>8</v>
      </c>
      <c r="D7" s="36"/>
      <c r="E7" s="36">
        <f>E6+C7-D7</f>
        <v>10719</v>
      </c>
      <c r="F7" s="36"/>
      <c r="G7" s="36"/>
    </row>
    <row r="8" spans="1:7" x14ac:dyDescent="0.25">
      <c r="A8" s="152" t="s">
        <v>256</v>
      </c>
      <c r="B8" s="136" t="s">
        <v>261</v>
      </c>
      <c r="C8" s="136"/>
      <c r="D8" s="136">
        <v>5</v>
      </c>
      <c r="E8" s="36">
        <f t="shared" ref="E8:E72" si="0">E7+C8-D8</f>
        <v>10714</v>
      </c>
      <c r="F8" s="136" t="s">
        <v>260</v>
      </c>
      <c r="G8" s="36"/>
    </row>
    <row r="9" spans="1:7" x14ac:dyDescent="0.25">
      <c r="A9" s="152" t="s">
        <v>267</v>
      </c>
      <c r="B9" s="136" t="s">
        <v>268</v>
      </c>
      <c r="C9" s="136"/>
      <c r="D9" s="136">
        <v>10</v>
      </c>
      <c r="E9" s="36">
        <f t="shared" si="0"/>
        <v>10704</v>
      </c>
      <c r="F9" s="136" t="s">
        <v>269</v>
      </c>
      <c r="G9" s="36"/>
    </row>
    <row r="10" spans="1:7" x14ac:dyDescent="0.25">
      <c r="A10" s="138" t="s">
        <v>267</v>
      </c>
      <c r="B10" s="136" t="s">
        <v>105</v>
      </c>
      <c r="C10" s="136">
        <v>2</v>
      </c>
      <c r="D10" s="36"/>
      <c r="E10" s="36">
        <f t="shared" si="0"/>
        <v>10706</v>
      </c>
      <c r="F10" s="36"/>
      <c r="G10" s="36"/>
    </row>
    <row r="11" spans="1:7" x14ac:dyDescent="0.25">
      <c r="A11" s="138" t="s">
        <v>285</v>
      </c>
      <c r="B11" s="136" t="s">
        <v>286</v>
      </c>
      <c r="C11" s="136"/>
      <c r="D11" s="136">
        <v>2</v>
      </c>
      <c r="E11" s="36">
        <f t="shared" si="0"/>
        <v>10704</v>
      </c>
      <c r="F11" s="136" t="s">
        <v>287</v>
      </c>
      <c r="G11" s="36"/>
    </row>
    <row r="12" spans="1:7" x14ac:dyDescent="0.25">
      <c r="A12" s="138" t="s">
        <v>285</v>
      </c>
      <c r="B12" s="36" t="s">
        <v>294</v>
      </c>
      <c r="C12" s="36">
        <v>4</v>
      </c>
      <c r="D12" s="36"/>
      <c r="E12" s="36">
        <f t="shared" si="0"/>
        <v>10708</v>
      </c>
      <c r="F12" s="36"/>
      <c r="G12" s="36"/>
    </row>
    <row r="13" spans="1:7" x14ac:dyDescent="0.25">
      <c r="A13" s="152" t="s">
        <v>295</v>
      </c>
      <c r="B13" s="136" t="s">
        <v>297</v>
      </c>
      <c r="C13" s="136"/>
      <c r="D13" s="136">
        <v>4</v>
      </c>
      <c r="E13" s="36">
        <f t="shared" si="0"/>
        <v>10704</v>
      </c>
      <c r="F13" s="136" t="s">
        <v>296</v>
      </c>
      <c r="G13" s="36"/>
    </row>
    <row r="14" spans="1:7" x14ac:dyDescent="0.25">
      <c r="A14" s="138" t="s">
        <v>301</v>
      </c>
      <c r="B14" s="136" t="s">
        <v>305</v>
      </c>
      <c r="C14" s="136">
        <v>28</v>
      </c>
      <c r="D14" s="36"/>
      <c r="E14" s="36">
        <f t="shared" si="0"/>
        <v>10732</v>
      </c>
      <c r="F14" s="36"/>
      <c r="G14" s="36"/>
    </row>
    <row r="15" spans="1:7" x14ac:dyDescent="0.25">
      <c r="A15" s="138" t="s">
        <v>319</v>
      </c>
      <c r="B15" s="136" t="s">
        <v>320</v>
      </c>
      <c r="C15" s="136">
        <v>2</v>
      </c>
      <c r="D15" s="36"/>
      <c r="E15" s="36">
        <f t="shared" si="0"/>
        <v>10734</v>
      </c>
      <c r="F15" s="36"/>
      <c r="G15" s="36"/>
    </row>
    <row r="16" spans="1:7" x14ac:dyDescent="0.25">
      <c r="A16" s="238" t="s">
        <v>343</v>
      </c>
      <c r="B16" s="136" t="s">
        <v>346</v>
      </c>
      <c r="C16" s="136"/>
      <c r="D16" s="136">
        <v>170</v>
      </c>
      <c r="E16" s="36">
        <f t="shared" si="0"/>
        <v>10564</v>
      </c>
      <c r="F16" s="136" t="s">
        <v>17</v>
      </c>
      <c r="G16" s="136"/>
    </row>
    <row r="17" spans="1:7" x14ac:dyDescent="0.25">
      <c r="A17" s="238" t="s">
        <v>353</v>
      </c>
      <c r="B17" s="136" t="s">
        <v>250</v>
      </c>
      <c r="C17" s="136">
        <v>44</v>
      </c>
      <c r="D17" s="136"/>
      <c r="E17" s="36">
        <f t="shared" si="0"/>
        <v>10608</v>
      </c>
      <c r="F17" s="136"/>
      <c r="G17" s="136"/>
    </row>
    <row r="18" spans="1:7" x14ac:dyDescent="0.25">
      <c r="A18" s="152" t="s">
        <v>394</v>
      </c>
      <c r="B18" s="136" t="s">
        <v>346</v>
      </c>
      <c r="C18" s="136">
        <v>30</v>
      </c>
      <c r="D18" s="136"/>
      <c r="E18" s="36">
        <f t="shared" si="0"/>
        <v>10638</v>
      </c>
      <c r="F18" s="136"/>
      <c r="G18" s="136"/>
    </row>
    <row r="19" spans="1:7" x14ac:dyDescent="0.25">
      <c r="A19" s="138" t="s">
        <v>394</v>
      </c>
      <c r="B19" s="136" t="s">
        <v>283</v>
      </c>
      <c r="C19" s="136">
        <v>8</v>
      </c>
      <c r="D19" s="36"/>
      <c r="E19" s="36">
        <f t="shared" si="0"/>
        <v>10646</v>
      </c>
      <c r="F19" s="36"/>
      <c r="G19" s="36"/>
    </row>
    <row r="20" spans="1:7" x14ac:dyDescent="0.25">
      <c r="A20" s="138" t="s">
        <v>410</v>
      </c>
      <c r="B20" s="136" t="s">
        <v>414</v>
      </c>
      <c r="C20" s="136"/>
      <c r="D20" s="136">
        <v>35</v>
      </c>
      <c r="E20" s="36">
        <f t="shared" si="0"/>
        <v>10611</v>
      </c>
      <c r="F20" s="136" t="s">
        <v>415</v>
      </c>
      <c r="G20" s="36"/>
    </row>
    <row r="21" spans="1:7" x14ac:dyDescent="0.25">
      <c r="A21" s="138" t="s">
        <v>416</v>
      </c>
      <c r="B21" s="136" t="s">
        <v>414</v>
      </c>
      <c r="C21" s="136"/>
      <c r="D21" s="136">
        <v>25</v>
      </c>
      <c r="E21" s="36">
        <f t="shared" si="0"/>
        <v>10586</v>
      </c>
      <c r="F21" s="136" t="s">
        <v>420</v>
      </c>
      <c r="G21" s="1"/>
    </row>
    <row r="22" spans="1:7" x14ac:dyDescent="0.25">
      <c r="A22" s="121" t="s">
        <v>426</v>
      </c>
      <c r="B22" s="36" t="s">
        <v>429</v>
      </c>
      <c r="C22" s="36"/>
      <c r="D22" s="36">
        <v>170</v>
      </c>
      <c r="E22" s="36">
        <f t="shared" si="0"/>
        <v>10416</v>
      </c>
      <c r="F22" s="36" t="s">
        <v>17</v>
      </c>
      <c r="G22" s="36"/>
    </row>
    <row r="23" spans="1:7" x14ac:dyDescent="0.25">
      <c r="A23" s="152" t="s">
        <v>438</v>
      </c>
      <c r="B23" s="136" t="s">
        <v>439</v>
      </c>
      <c r="C23" s="136"/>
      <c r="D23" s="136">
        <v>50</v>
      </c>
      <c r="E23" s="36">
        <f t="shared" si="0"/>
        <v>10366</v>
      </c>
      <c r="F23" s="136" t="s">
        <v>440</v>
      </c>
      <c r="G23" s="36"/>
    </row>
    <row r="24" spans="1:7" x14ac:dyDescent="0.25">
      <c r="A24" s="152" t="s">
        <v>441</v>
      </c>
      <c r="B24" s="136" t="s">
        <v>447</v>
      </c>
      <c r="C24" s="136"/>
      <c r="D24" s="136">
        <v>50</v>
      </c>
      <c r="E24" s="36">
        <f t="shared" si="0"/>
        <v>10316</v>
      </c>
      <c r="F24" s="136" t="s">
        <v>446</v>
      </c>
      <c r="G24" s="36"/>
    </row>
    <row r="25" spans="1:7" x14ac:dyDescent="0.25">
      <c r="A25" s="152" t="s">
        <v>441</v>
      </c>
      <c r="B25" s="136" t="s">
        <v>450</v>
      </c>
      <c r="C25" s="136"/>
      <c r="D25" s="136">
        <v>65</v>
      </c>
      <c r="E25" s="36">
        <f t="shared" si="0"/>
        <v>10251</v>
      </c>
      <c r="F25" s="136" t="s">
        <v>451</v>
      </c>
      <c r="G25" s="36"/>
    </row>
    <row r="26" spans="1:7" x14ac:dyDescent="0.25">
      <c r="A26" s="152" t="s">
        <v>441</v>
      </c>
      <c r="B26" s="36" t="s">
        <v>452</v>
      </c>
      <c r="C26" s="36"/>
      <c r="D26" s="36">
        <v>30</v>
      </c>
      <c r="E26" s="36">
        <f t="shared" si="0"/>
        <v>10221</v>
      </c>
      <c r="F26" s="36" t="s">
        <v>17</v>
      </c>
      <c r="G26" s="36"/>
    </row>
    <row r="27" spans="1:7" x14ac:dyDescent="0.25">
      <c r="A27" s="238" t="s">
        <v>453</v>
      </c>
      <c r="B27" s="136" t="s">
        <v>454</v>
      </c>
      <c r="C27" s="136"/>
      <c r="D27" s="136">
        <v>15</v>
      </c>
      <c r="E27" s="36">
        <f t="shared" si="0"/>
        <v>10206</v>
      </c>
      <c r="F27" s="136" t="s">
        <v>455</v>
      </c>
      <c r="G27" s="36"/>
    </row>
    <row r="28" spans="1:7" x14ac:dyDescent="0.25">
      <c r="A28" s="269" t="s">
        <v>459</v>
      </c>
      <c r="B28" s="156" t="s">
        <v>414</v>
      </c>
      <c r="C28" s="88"/>
      <c r="D28" s="88">
        <v>20</v>
      </c>
      <c r="E28" s="36">
        <f t="shared" si="0"/>
        <v>10186</v>
      </c>
      <c r="F28" s="88" t="s">
        <v>460</v>
      </c>
      <c r="G28" s="36"/>
    </row>
    <row r="29" spans="1:7" x14ac:dyDescent="0.25">
      <c r="A29" s="238" t="s">
        <v>453</v>
      </c>
      <c r="B29" s="136" t="s">
        <v>462</v>
      </c>
      <c r="C29" s="136">
        <v>17</v>
      </c>
      <c r="D29" s="36"/>
      <c r="E29" s="36">
        <f t="shared" si="0"/>
        <v>10203</v>
      </c>
      <c r="F29" s="36"/>
      <c r="G29" s="36"/>
    </row>
    <row r="30" spans="1:7" x14ac:dyDescent="0.25">
      <c r="A30" s="238" t="s">
        <v>464</v>
      </c>
      <c r="B30" s="36" t="s">
        <v>447</v>
      </c>
      <c r="C30" s="36"/>
      <c r="D30" s="36">
        <v>50</v>
      </c>
      <c r="E30" s="36">
        <f t="shared" si="0"/>
        <v>10153</v>
      </c>
      <c r="F30" s="36" t="s">
        <v>465</v>
      </c>
      <c r="G30" s="36"/>
    </row>
    <row r="31" spans="1:7" x14ac:dyDescent="0.25">
      <c r="A31" s="238" t="s">
        <v>475</v>
      </c>
      <c r="B31" s="136" t="s">
        <v>283</v>
      </c>
      <c r="C31" s="136">
        <v>9</v>
      </c>
      <c r="D31" s="36"/>
      <c r="E31" s="36">
        <f t="shared" si="0"/>
        <v>10162</v>
      </c>
      <c r="F31" s="36"/>
      <c r="G31" s="36"/>
    </row>
    <row r="32" spans="1:7" x14ac:dyDescent="0.25">
      <c r="A32" s="238" t="s">
        <v>475</v>
      </c>
      <c r="B32" s="136" t="s">
        <v>283</v>
      </c>
      <c r="C32" s="136">
        <v>33</v>
      </c>
      <c r="D32" s="36"/>
      <c r="E32" s="36">
        <f t="shared" si="0"/>
        <v>10195</v>
      </c>
      <c r="F32" s="36"/>
      <c r="G32" s="36"/>
    </row>
    <row r="33" spans="1:7" x14ac:dyDescent="0.25">
      <c r="A33" s="152" t="s">
        <v>485</v>
      </c>
      <c r="B33" s="136" t="s">
        <v>283</v>
      </c>
      <c r="C33" s="136">
        <v>2</v>
      </c>
      <c r="D33" s="36"/>
      <c r="E33" s="36">
        <f t="shared" si="0"/>
        <v>10197</v>
      </c>
      <c r="F33" s="36"/>
      <c r="G33" s="36"/>
    </row>
    <row r="34" spans="1:7" x14ac:dyDescent="0.25">
      <c r="A34" s="258" t="s">
        <v>490</v>
      </c>
      <c r="B34" s="136" t="s">
        <v>414</v>
      </c>
      <c r="C34" s="136"/>
      <c r="D34" s="136">
        <v>60</v>
      </c>
      <c r="E34" s="36">
        <f t="shared" si="0"/>
        <v>10137</v>
      </c>
      <c r="F34" s="136" t="s">
        <v>494</v>
      </c>
      <c r="G34" s="36"/>
    </row>
    <row r="35" spans="1:7" x14ac:dyDescent="0.25">
      <c r="A35" s="138" t="s">
        <v>502</v>
      </c>
      <c r="B35" s="136" t="s">
        <v>503</v>
      </c>
      <c r="C35" s="136">
        <v>8</v>
      </c>
      <c r="D35" s="36"/>
      <c r="E35" s="36">
        <f t="shared" si="0"/>
        <v>10145</v>
      </c>
      <c r="F35" s="36"/>
      <c r="G35" s="36"/>
    </row>
    <row r="36" spans="1:7" x14ac:dyDescent="0.25">
      <c r="A36" s="238" t="s">
        <v>517</v>
      </c>
      <c r="B36" s="136" t="s">
        <v>519</v>
      </c>
      <c r="C36" s="136">
        <v>1</v>
      </c>
      <c r="D36" s="36"/>
      <c r="E36" s="36">
        <f t="shared" si="0"/>
        <v>10146</v>
      </c>
      <c r="F36" s="36"/>
      <c r="G36" s="36"/>
    </row>
    <row r="37" spans="1:7" x14ac:dyDescent="0.25">
      <c r="A37" s="121" t="s">
        <v>549</v>
      </c>
      <c r="B37" s="136" t="s">
        <v>414</v>
      </c>
      <c r="C37" s="163">
        <v>51</v>
      </c>
      <c r="D37" s="36"/>
      <c r="E37" s="36">
        <f t="shared" si="0"/>
        <v>10197</v>
      </c>
      <c r="F37" s="36"/>
      <c r="G37" s="36"/>
    </row>
    <row r="38" spans="1:7" x14ac:dyDescent="0.25">
      <c r="A38" s="152" t="s">
        <v>559</v>
      </c>
      <c r="B38" s="136" t="s">
        <v>561</v>
      </c>
      <c r="C38" s="136"/>
      <c r="D38" s="136">
        <v>50</v>
      </c>
      <c r="E38" s="36">
        <f t="shared" si="0"/>
        <v>10147</v>
      </c>
      <c r="F38" s="136" t="s">
        <v>17</v>
      </c>
      <c r="G38" s="36"/>
    </row>
    <row r="39" spans="1:7" x14ac:dyDescent="0.25">
      <c r="A39" s="152" t="s">
        <v>559</v>
      </c>
      <c r="B39" s="136" t="s">
        <v>283</v>
      </c>
      <c r="C39" s="136">
        <v>5</v>
      </c>
      <c r="D39" s="36"/>
      <c r="E39" s="36">
        <f t="shared" si="0"/>
        <v>10152</v>
      </c>
      <c r="F39" s="36"/>
      <c r="G39" s="36"/>
    </row>
    <row r="40" spans="1:7" x14ac:dyDescent="0.25">
      <c r="A40" s="272" t="s">
        <v>562</v>
      </c>
      <c r="B40" s="275" t="s">
        <v>414</v>
      </c>
      <c r="C40" s="205">
        <v>28</v>
      </c>
      <c r="D40" s="36"/>
      <c r="E40" s="36">
        <f t="shared" si="0"/>
        <v>10180</v>
      </c>
      <c r="F40" s="36"/>
      <c r="G40" s="36"/>
    </row>
    <row r="41" spans="1:7" x14ac:dyDescent="0.25">
      <c r="A41" s="152" t="s">
        <v>573</v>
      </c>
      <c r="B41" s="136" t="s">
        <v>574</v>
      </c>
      <c r="C41" s="136"/>
      <c r="D41" s="136">
        <v>50</v>
      </c>
      <c r="E41" s="36">
        <f t="shared" si="0"/>
        <v>10130</v>
      </c>
      <c r="F41" s="136" t="s">
        <v>17</v>
      </c>
      <c r="G41" s="36"/>
    </row>
    <row r="42" spans="1:7" x14ac:dyDescent="0.25">
      <c r="A42" s="152" t="s">
        <v>577</v>
      </c>
      <c r="B42" s="136" t="s">
        <v>488</v>
      </c>
      <c r="C42" s="136">
        <v>3</v>
      </c>
      <c r="D42" s="36"/>
      <c r="E42" s="36">
        <f t="shared" si="0"/>
        <v>10133</v>
      </c>
      <c r="F42" s="36"/>
      <c r="G42" s="36"/>
    </row>
    <row r="43" spans="1:7" x14ac:dyDescent="0.25">
      <c r="A43" s="121" t="s">
        <v>595</v>
      </c>
      <c r="B43" s="36" t="s">
        <v>601</v>
      </c>
      <c r="C43" s="36">
        <v>29</v>
      </c>
      <c r="D43" s="36"/>
      <c r="E43" s="36">
        <f t="shared" si="0"/>
        <v>10162</v>
      </c>
      <c r="F43" s="36"/>
      <c r="G43" s="36"/>
    </row>
    <row r="44" spans="1:7" x14ac:dyDescent="0.25">
      <c r="A44" s="152" t="s">
        <v>602</v>
      </c>
      <c r="B44" s="136" t="s">
        <v>382</v>
      </c>
      <c r="C44" s="136"/>
      <c r="D44" s="136">
        <v>12</v>
      </c>
      <c r="E44" s="36">
        <f t="shared" si="0"/>
        <v>10150</v>
      </c>
      <c r="F44" s="136" t="s">
        <v>603</v>
      </c>
      <c r="G44" s="36"/>
    </row>
    <row r="45" spans="1:7" x14ac:dyDescent="0.25">
      <c r="A45" s="138" t="s">
        <v>625</v>
      </c>
      <c r="B45" s="136" t="s">
        <v>626</v>
      </c>
      <c r="C45" s="136">
        <v>51</v>
      </c>
      <c r="D45" s="36"/>
      <c r="E45" s="36">
        <f t="shared" si="0"/>
        <v>10201</v>
      </c>
      <c r="F45" s="36"/>
      <c r="G45" s="36"/>
    </row>
    <row r="46" spans="1:7" x14ac:dyDescent="0.25">
      <c r="A46" s="152" t="s">
        <v>634</v>
      </c>
      <c r="B46" s="136" t="s">
        <v>519</v>
      </c>
      <c r="C46" s="136">
        <v>2</v>
      </c>
      <c r="D46" s="36"/>
      <c r="E46" s="36">
        <f t="shared" si="0"/>
        <v>10203</v>
      </c>
      <c r="F46" s="36"/>
      <c r="G46" s="36"/>
    </row>
    <row r="47" spans="1:7" x14ac:dyDescent="0.25">
      <c r="A47" s="238" t="s">
        <v>645</v>
      </c>
      <c r="B47" s="136" t="s">
        <v>646</v>
      </c>
      <c r="C47" s="136">
        <v>5</v>
      </c>
      <c r="D47" s="36"/>
      <c r="E47" s="36">
        <f t="shared" si="0"/>
        <v>10208</v>
      </c>
      <c r="F47" s="36"/>
      <c r="G47" s="36"/>
    </row>
    <row r="48" spans="1:7" x14ac:dyDescent="0.25">
      <c r="A48" s="121" t="s">
        <v>650</v>
      </c>
      <c r="B48" s="36" t="s">
        <v>452</v>
      </c>
      <c r="C48" s="36">
        <v>60</v>
      </c>
      <c r="D48" s="36"/>
      <c r="E48" s="36">
        <f t="shared" si="0"/>
        <v>10268</v>
      </c>
      <c r="F48" s="36"/>
      <c r="G48" s="36"/>
    </row>
    <row r="49" spans="1:7" x14ac:dyDescent="0.25">
      <c r="A49" s="121" t="s">
        <v>655</v>
      </c>
      <c r="B49" s="36" t="s">
        <v>656</v>
      </c>
      <c r="C49" s="36"/>
      <c r="D49" s="36">
        <v>100</v>
      </c>
      <c r="E49" s="36">
        <f t="shared" si="0"/>
        <v>10168</v>
      </c>
      <c r="F49" s="36" t="s">
        <v>17</v>
      </c>
      <c r="G49" s="36"/>
    </row>
    <row r="50" spans="1:7" x14ac:dyDescent="0.25">
      <c r="A50" s="121" t="s">
        <v>655</v>
      </c>
      <c r="B50" s="36" t="s">
        <v>657</v>
      </c>
      <c r="C50" s="36"/>
      <c r="D50" s="36">
        <v>50</v>
      </c>
      <c r="E50" s="36">
        <f t="shared" si="0"/>
        <v>10118</v>
      </c>
      <c r="F50" s="36" t="s">
        <v>17</v>
      </c>
      <c r="G50" s="36"/>
    </row>
    <row r="51" spans="1:7" x14ac:dyDescent="0.25">
      <c r="A51" s="121" t="s">
        <v>655</v>
      </c>
      <c r="B51" s="36" t="s">
        <v>105</v>
      </c>
      <c r="C51" s="36">
        <v>150</v>
      </c>
      <c r="D51" s="36"/>
      <c r="E51" s="36">
        <f t="shared" si="0"/>
        <v>10268</v>
      </c>
      <c r="F51" s="36"/>
      <c r="G51" s="36"/>
    </row>
    <row r="52" spans="1:7" x14ac:dyDescent="0.25">
      <c r="A52" s="138" t="s">
        <v>658</v>
      </c>
      <c r="B52" s="136" t="s">
        <v>488</v>
      </c>
      <c r="C52" s="136">
        <v>14</v>
      </c>
      <c r="D52" s="36"/>
      <c r="E52" s="36">
        <f t="shared" si="0"/>
        <v>10282</v>
      </c>
      <c r="F52" s="36"/>
      <c r="G52" s="36"/>
    </row>
    <row r="53" spans="1:7" x14ac:dyDescent="0.25">
      <c r="A53" s="238" t="s">
        <v>663</v>
      </c>
      <c r="B53" s="156" t="s">
        <v>414</v>
      </c>
      <c r="C53" s="136">
        <v>10</v>
      </c>
      <c r="D53" s="36"/>
      <c r="E53" s="36">
        <f t="shared" si="0"/>
        <v>10292</v>
      </c>
      <c r="F53" s="36"/>
      <c r="G53" s="36"/>
    </row>
    <row r="54" spans="1:7" ht="15.75" x14ac:dyDescent="0.25">
      <c r="A54" s="246" t="s">
        <v>658</v>
      </c>
      <c r="B54" s="161" t="s">
        <v>664</v>
      </c>
      <c r="C54" s="161">
        <v>8</v>
      </c>
      <c r="D54" s="36"/>
      <c r="E54" s="36">
        <f t="shared" si="0"/>
        <v>10300</v>
      </c>
      <c r="F54" s="36"/>
      <c r="G54" s="36"/>
    </row>
    <row r="55" spans="1:7" ht="15.75" x14ac:dyDescent="0.25">
      <c r="A55" s="246" t="s">
        <v>658</v>
      </c>
      <c r="B55" s="136" t="s">
        <v>283</v>
      </c>
      <c r="C55" s="136">
        <v>11</v>
      </c>
      <c r="D55" s="36"/>
      <c r="E55" s="36">
        <f t="shared" si="0"/>
        <v>10311</v>
      </c>
      <c r="F55" s="36"/>
      <c r="G55" s="36"/>
    </row>
    <row r="56" spans="1:7" x14ac:dyDescent="0.25">
      <c r="A56" s="138" t="s">
        <v>695</v>
      </c>
      <c r="B56" s="136" t="s">
        <v>283</v>
      </c>
      <c r="C56" s="136">
        <v>13</v>
      </c>
      <c r="D56" s="36"/>
      <c r="E56" s="36">
        <f t="shared" si="0"/>
        <v>10324</v>
      </c>
      <c r="F56" s="36"/>
      <c r="G56" s="36"/>
    </row>
    <row r="57" spans="1:7" x14ac:dyDescent="0.25">
      <c r="A57" s="138" t="s">
        <v>747</v>
      </c>
      <c r="B57" s="136" t="s">
        <v>283</v>
      </c>
      <c r="C57" s="136">
        <v>2</v>
      </c>
      <c r="D57" s="36"/>
      <c r="E57" s="36">
        <f t="shared" si="0"/>
        <v>10326</v>
      </c>
      <c r="F57" s="36"/>
      <c r="G57" s="36"/>
    </row>
    <row r="58" spans="1:7" x14ac:dyDescent="0.25">
      <c r="A58" s="238" t="s">
        <v>762</v>
      </c>
      <c r="B58" s="136" t="s">
        <v>759</v>
      </c>
      <c r="C58" s="136"/>
      <c r="D58" s="136">
        <v>150</v>
      </c>
      <c r="E58" s="36">
        <f t="shared" si="0"/>
        <v>10176</v>
      </c>
      <c r="F58" s="136"/>
      <c r="G58" s="136"/>
    </row>
    <row r="59" spans="1:7" x14ac:dyDescent="0.25">
      <c r="A59" s="238" t="s">
        <v>764</v>
      </c>
      <c r="B59" s="136" t="s">
        <v>484</v>
      </c>
      <c r="C59" s="136">
        <v>76</v>
      </c>
      <c r="D59" s="136"/>
      <c r="E59" s="36">
        <f t="shared" si="0"/>
        <v>10252</v>
      </c>
      <c r="F59" s="136"/>
      <c r="G59" s="136"/>
    </row>
    <row r="60" spans="1:7" x14ac:dyDescent="0.25">
      <c r="A60" s="152" t="s">
        <v>764</v>
      </c>
      <c r="B60" s="136" t="s">
        <v>414</v>
      </c>
      <c r="C60" s="136">
        <v>2</v>
      </c>
      <c r="D60" s="136"/>
      <c r="E60" s="36">
        <f t="shared" si="0"/>
        <v>10254</v>
      </c>
      <c r="F60" s="136"/>
      <c r="G60" s="136"/>
    </row>
    <row r="61" spans="1:7" x14ac:dyDescent="0.25">
      <c r="A61" s="238" t="s">
        <v>771</v>
      </c>
      <c r="B61" s="136" t="s">
        <v>763</v>
      </c>
      <c r="C61" s="136">
        <v>12</v>
      </c>
      <c r="D61" s="136"/>
      <c r="E61" s="36">
        <f t="shared" si="0"/>
        <v>10266</v>
      </c>
      <c r="F61" s="136"/>
      <c r="G61" s="136"/>
    </row>
    <row r="62" spans="1:7" x14ac:dyDescent="0.25">
      <c r="A62" s="152" t="s">
        <v>773</v>
      </c>
      <c r="B62" s="136" t="s">
        <v>763</v>
      </c>
      <c r="C62" s="136">
        <v>24</v>
      </c>
      <c r="D62" s="136"/>
      <c r="E62" s="36">
        <f t="shared" si="0"/>
        <v>10290</v>
      </c>
      <c r="F62" s="136"/>
      <c r="G62" s="136"/>
    </row>
    <row r="63" spans="1:7" x14ac:dyDescent="0.25">
      <c r="A63" s="138" t="s">
        <v>773</v>
      </c>
      <c r="B63" s="136" t="s">
        <v>283</v>
      </c>
      <c r="C63" s="136">
        <v>10</v>
      </c>
      <c r="D63" s="136"/>
      <c r="E63" s="36">
        <f t="shared" si="0"/>
        <v>10300</v>
      </c>
      <c r="F63" s="136"/>
      <c r="G63" s="136"/>
    </row>
    <row r="64" spans="1:7" x14ac:dyDescent="0.25">
      <c r="A64" s="138" t="s">
        <v>775</v>
      </c>
      <c r="B64" s="136" t="s">
        <v>250</v>
      </c>
      <c r="C64" s="136"/>
      <c r="D64" s="136">
        <v>8</v>
      </c>
      <c r="E64" s="36">
        <f t="shared" si="0"/>
        <v>10292</v>
      </c>
      <c r="F64" s="136" t="s">
        <v>776</v>
      </c>
      <c r="G64" s="136"/>
    </row>
    <row r="65" spans="1:7" x14ac:dyDescent="0.25">
      <c r="A65" s="152" t="s">
        <v>775</v>
      </c>
      <c r="B65" s="136" t="s">
        <v>763</v>
      </c>
      <c r="C65" s="136">
        <v>8</v>
      </c>
      <c r="D65" s="136"/>
      <c r="E65" s="36">
        <f t="shared" si="0"/>
        <v>10300</v>
      </c>
      <c r="F65" s="136"/>
      <c r="G65" s="136"/>
    </row>
    <row r="66" spans="1:7" x14ac:dyDescent="0.25">
      <c r="A66" s="138" t="s">
        <v>788</v>
      </c>
      <c r="B66" s="136" t="s">
        <v>783</v>
      </c>
      <c r="C66" s="136"/>
      <c r="D66" s="136">
        <v>12</v>
      </c>
      <c r="E66" s="36">
        <f t="shared" si="0"/>
        <v>10288</v>
      </c>
      <c r="F66" s="136" t="s">
        <v>791</v>
      </c>
      <c r="G66" s="136"/>
    </row>
    <row r="67" spans="1:7" x14ac:dyDescent="0.25">
      <c r="A67" s="152" t="s">
        <v>788</v>
      </c>
      <c r="B67" s="136" t="s">
        <v>763</v>
      </c>
      <c r="C67" s="136">
        <v>32</v>
      </c>
      <c r="D67" s="36"/>
      <c r="E67" s="36">
        <f t="shared" si="0"/>
        <v>10320</v>
      </c>
      <c r="F67" s="36"/>
      <c r="G67" s="36"/>
    </row>
    <row r="68" spans="1:7" x14ac:dyDescent="0.25">
      <c r="A68" s="121" t="s">
        <v>797</v>
      </c>
      <c r="B68" s="36" t="s">
        <v>452</v>
      </c>
      <c r="C68" s="36">
        <v>140</v>
      </c>
      <c r="D68" s="36"/>
      <c r="E68" s="36">
        <f t="shared" si="0"/>
        <v>10460</v>
      </c>
      <c r="F68" s="36"/>
      <c r="G68" s="36"/>
    </row>
    <row r="69" spans="1:7" x14ac:dyDescent="0.25">
      <c r="A69" s="152" t="s">
        <v>802</v>
      </c>
      <c r="B69" s="136" t="s">
        <v>800</v>
      </c>
      <c r="C69" s="136"/>
      <c r="D69" s="136">
        <v>30</v>
      </c>
      <c r="E69" s="36">
        <f t="shared" si="0"/>
        <v>10430</v>
      </c>
      <c r="F69" s="136" t="s">
        <v>17</v>
      </c>
      <c r="G69" s="36"/>
    </row>
    <row r="70" spans="1:7" x14ac:dyDescent="0.25">
      <c r="A70" s="238" t="s">
        <v>803</v>
      </c>
      <c r="B70" s="136" t="s">
        <v>800</v>
      </c>
      <c r="C70" s="136"/>
      <c r="D70" s="136">
        <v>10</v>
      </c>
      <c r="E70" s="36">
        <f t="shared" si="0"/>
        <v>10420</v>
      </c>
      <c r="F70" s="136" t="s">
        <v>17</v>
      </c>
      <c r="G70" s="36"/>
    </row>
    <row r="71" spans="1:7" x14ac:dyDescent="0.25">
      <c r="A71" s="152" t="s">
        <v>804</v>
      </c>
      <c r="B71" s="136" t="s">
        <v>635</v>
      </c>
      <c r="C71" s="136"/>
      <c r="D71" s="136">
        <v>60</v>
      </c>
      <c r="E71" s="36">
        <f t="shared" si="0"/>
        <v>10360</v>
      </c>
      <c r="F71" s="136" t="s">
        <v>805</v>
      </c>
      <c r="G71" s="36"/>
    </row>
    <row r="72" spans="1:7" x14ac:dyDescent="0.25">
      <c r="A72" s="152" t="s">
        <v>804</v>
      </c>
      <c r="B72" s="136" t="s">
        <v>809</v>
      </c>
      <c r="C72" s="136">
        <v>14</v>
      </c>
      <c r="D72" s="36"/>
      <c r="E72" s="36">
        <f t="shared" si="0"/>
        <v>10374</v>
      </c>
      <c r="F72" s="36"/>
      <c r="G72" s="36"/>
    </row>
    <row r="73" spans="1:7" x14ac:dyDescent="0.25">
      <c r="A73" s="138" t="s">
        <v>804</v>
      </c>
      <c r="B73" s="136" t="s">
        <v>783</v>
      </c>
      <c r="C73" s="136"/>
      <c r="D73" s="136">
        <v>204</v>
      </c>
      <c r="E73" s="36">
        <f t="shared" ref="E73:E93" si="1">E72+C73-D73</f>
        <v>10170</v>
      </c>
      <c r="F73" s="136" t="s">
        <v>810</v>
      </c>
      <c r="G73" s="36"/>
    </row>
    <row r="74" spans="1:7" x14ac:dyDescent="0.25">
      <c r="A74" s="152" t="s">
        <v>820</v>
      </c>
      <c r="B74" s="136" t="s">
        <v>816</v>
      </c>
      <c r="C74" s="136"/>
      <c r="D74" s="136">
        <v>80</v>
      </c>
      <c r="E74" s="36">
        <f t="shared" si="1"/>
        <v>10090</v>
      </c>
      <c r="F74" s="136" t="s">
        <v>825</v>
      </c>
      <c r="G74" s="36"/>
    </row>
    <row r="75" spans="1:7" x14ac:dyDescent="0.25">
      <c r="A75" s="121" t="s">
        <v>820</v>
      </c>
      <c r="B75" s="36" t="s">
        <v>484</v>
      </c>
      <c r="C75" s="36">
        <v>124</v>
      </c>
      <c r="D75" s="36"/>
      <c r="E75" s="36">
        <f t="shared" si="1"/>
        <v>10214</v>
      </c>
      <c r="F75" s="36"/>
      <c r="G75" s="36"/>
    </row>
    <row r="76" spans="1:7" x14ac:dyDescent="0.25">
      <c r="A76" s="152" t="s">
        <v>820</v>
      </c>
      <c r="B76" s="136" t="s">
        <v>826</v>
      </c>
      <c r="C76" s="136">
        <v>50</v>
      </c>
      <c r="D76" s="36"/>
      <c r="E76" s="36">
        <f t="shared" si="1"/>
        <v>10264</v>
      </c>
      <c r="F76" s="36"/>
      <c r="G76" s="36"/>
    </row>
    <row r="77" spans="1:7" x14ac:dyDescent="0.25">
      <c r="A77" s="138" t="s">
        <v>827</v>
      </c>
      <c r="B77" s="136" t="s">
        <v>382</v>
      </c>
      <c r="C77" s="136">
        <v>6</v>
      </c>
      <c r="D77" s="36"/>
      <c r="E77" s="36">
        <f t="shared" si="1"/>
        <v>10270</v>
      </c>
      <c r="F77" s="36"/>
      <c r="G77" s="36"/>
    </row>
    <row r="78" spans="1:7" x14ac:dyDescent="0.25">
      <c r="A78" s="138" t="s">
        <v>835</v>
      </c>
      <c r="B78" s="136" t="s">
        <v>783</v>
      </c>
      <c r="C78" s="136"/>
      <c r="D78" s="136">
        <v>54</v>
      </c>
      <c r="E78" s="36">
        <f t="shared" si="1"/>
        <v>10216</v>
      </c>
      <c r="F78" s="163" t="s">
        <v>845</v>
      </c>
      <c r="G78" s="36"/>
    </row>
    <row r="79" spans="1:7" x14ac:dyDescent="0.25">
      <c r="A79" s="152" t="s">
        <v>839</v>
      </c>
      <c r="B79" s="136" t="s">
        <v>783</v>
      </c>
      <c r="C79" s="136"/>
      <c r="D79" s="136">
        <v>16</v>
      </c>
      <c r="E79" s="36">
        <f t="shared" si="1"/>
        <v>10200</v>
      </c>
      <c r="F79" s="136" t="s">
        <v>843</v>
      </c>
      <c r="G79" s="36"/>
    </row>
    <row r="80" spans="1:7" x14ac:dyDescent="0.25">
      <c r="A80" s="152" t="s">
        <v>839</v>
      </c>
      <c r="B80" s="136" t="s">
        <v>844</v>
      </c>
      <c r="C80" s="136">
        <v>8</v>
      </c>
      <c r="D80" s="36"/>
      <c r="E80" s="36">
        <f t="shared" si="1"/>
        <v>10208</v>
      </c>
      <c r="F80" s="36"/>
      <c r="G80" s="36"/>
    </row>
    <row r="81" spans="1:7" x14ac:dyDescent="0.25">
      <c r="A81" s="152" t="s">
        <v>848</v>
      </c>
      <c r="B81" s="136" t="s">
        <v>550</v>
      </c>
      <c r="C81" s="136">
        <v>4</v>
      </c>
      <c r="D81" s="36"/>
      <c r="E81" s="36">
        <f t="shared" si="1"/>
        <v>10212</v>
      </c>
      <c r="F81" s="36"/>
      <c r="G81" s="36"/>
    </row>
    <row r="82" spans="1:7" x14ac:dyDescent="0.25">
      <c r="A82" s="152" t="s">
        <v>848</v>
      </c>
      <c r="B82" s="136" t="s">
        <v>550</v>
      </c>
      <c r="C82" s="136">
        <v>12</v>
      </c>
      <c r="D82" s="36"/>
      <c r="E82" s="36">
        <f t="shared" si="1"/>
        <v>10224</v>
      </c>
      <c r="F82" s="36"/>
      <c r="G82" s="36"/>
    </row>
    <row r="83" spans="1:7" x14ac:dyDescent="0.25">
      <c r="A83" s="152" t="s">
        <v>856</v>
      </c>
      <c r="B83" s="136" t="s">
        <v>858</v>
      </c>
      <c r="C83" s="136"/>
      <c r="D83" s="36">
        <v>6</v>
      </c>
      <c r="E83" s="36">
        <f t="shared" si="1"/>
        <v>10218</v>
      </c>
      <c r="F83" s="48" t="s">
        <v>17</v>
      </c>
      <c r="G83" s="36"/>
    </row>
    <row r="84" spans="1:7" x14ac:dyDescent="0.25">
      <c r="A84" s="152" t="s">
        <v>869</v>
      </c>
      <c r="B84" s="136" t="s">
        <v>812</v>
      </c>
      <c r="C84" s="136"/>
      <c r="D84" s="136">
        <v>90</v>
      </c>
      <c r="E84" s="36">
        <f t="shared" si="1"/>
        <v>10128</v>
      </c>
      <c r="F84" s="36" t="s">
        <v>872</v>
      </c>
      <c r="G84" s="36"/>
    </row>
    <row r="85" spans="1:7" x14ac:dyDescent="0.25">
      <c r="A85" s="138" t="s">
        <v>873</v>
      </c>
      <c r="B85" s="136" t="s">
        <v>812</v>
      </c>
      <c r="C85" s="136"/>
      <c r="D85" s="136">
        <v>60</v>
      </c>
      <c r="E85" s="36">
        <f t="shared" si="1"/>
        <v>10068</v>
      </c>
      <c r="F85" s="136" t="s">
        <v>875</v>
      </c>
      <c r="G85" s="36"/>
    </row>
    <row r="86" spans="1:7" x14ac:dyDescent="0.25">
      <c r="A86" s="138" t="s">
        <v>873</v>
      </c>
      <c r="B86" s="136" t="s">
        <v>783</v>
      </c>
      <c r="C86" s="136"/>
      <c r="D86" s="136">
        <v>52</v>
      </c>
      <c r="E86" s="36">
        <f t="shared" si="1"/>
        <v>10016</v>
      </c>
      <c r="F86" s="136" t="s">
        <v>876</v>
      </c>
      <c r="G86" s="36"/>
    </row>
    <row r="87" spans="1:7" x14ac:dyDescent="0.25">
      <c r="A87" s="152" t="s">
        <v>873</v>
      </c>
      <c r="B87" s="136" t="s">
        <v>257</v>
      </c>
      <c r="C87" s="136">
        <v>34</v>
      </c>
      <c r="D87" s="36"/>
      <c r="E87" s="36">
        <f t="shared" si="1"/>
        <v>10050</v>
      </c>
      <c r="F87" s="36"/>
      <c r="G87" s="36"/>
    </row>
    <row r="88" spans="1:7" x14ac:dyDescent="0.25">
      <c r="A88" s="138" t="s">
        <v>877</v>
      </c>
      <c r="B88" s="136" t="s">
        <v>816</v>
      </c>
      <c r="C88" s="136"/>
      <c r="D88" s="136">
        <v>28</v>
      </c>
      <c r="E88" s="36">
        <f t="shared" si="1"/>
        <v>10022</v>
      </c>
      <c r="F88" s="136" t="s">
        <v>878</v>
      </c>
      <c r="G88" s="36"/>
    </row>
    <row r="89" spans="1:7" x14ac:dyDescent="0.25">
      <c r="A89" s="138" t="s">
        <v>893</v>
      </c>
      <c r="B89" s="136" t="s">
        <v>783</v>
      </c>
      <c r="C89" s="136"/>
      <c r="D89" s="136">
        <v>48</v>
      </c>
      <c r="E89" s="36">
        <f t="shared" si="1"/>
        <v>9974</v>
      </c>
      <c r="F89" s="136" t="s">
        <v>894</v>
      </c>
      <c r="G89" s="36"/>
    </row>
    <row r="90" spans="1:7" x14ac:dyDescent="0.25">
      <c r="A90" s="138" t="s">
        <v>897</v>
      </c>
      <c r="B90" s="136" t="s">
        <v>632</v>
      </c>
      <c r="C90" s="136"/>
      <c r="D90" s="136">
        <v>30</v>
      </c>
      <c r="E90" s="36">
        <f t="shared" si="1"/>
        <v>9944</v>
      </c>
      <c r="F90" s="136" t="s">
        <v>896</v>
      </c>
      <c r="G90" s="36"/>
    </row>
    <row r="91" spans="1:7" x14ac:dyDescent="0.25">
      <c r="A91" s="138" t="s">
        <v>897</v>
      </c>
      <c r="B91" s="136" t="s">
        <v>901</v>
      </c>
      <c r="C91" s="136">
        <v>8</v>
      </c>
      <c r="D91" s="36"/>
      <c r="E91" s="36">
        <f t="shared" si="1"/>
        <v>9952</v>
      </c>
      <c r="F91" s="36"/>
      <c r="G91" s="36"/>
    </row>
    <row r="92" spans="1:7" x14ac:dyDescent="0.25">
      <c r="A92" s="152" t="s">
        <v>902</v>
      </c>
      <c r="B92" s="136" t="s">
        <v>907</v>
      </c>
      <c r="C92" s="136"/>
      <c r="D92" s="136">
        <v>11</v>
      </c>
      <c r="E92" s="36">
        <f t="shared" si="1"/>
        <v>9941</v>
      </c>
      <c r="F92" s="36" t="s">
        <v>17</v>
      </c>
      <c r="G92" s="36"/>
    </row>
    <row r="93" spans="1:7" x14ac:dyDescent="0.25">
      <c r="A93" s="152" t="s">
        <v>902</v>
      </c>
      <c r="B93" s="136" t="s">
        <v>907</v>
      </c>
      <c r="C93" s="136"/>
      <c r="D93" s="136">
        <v>11</v>
      </c>
      <c r="E93" s="36">
        <f t="shared" si="1"/>
        <v>9930</v>
      </c>
      <c r="F93" s="36" t="s">
        <v>17</v>
      </c>
      <c r="G93" s="36"/>
    </row>
    <row r="94" spans="1:7" x14ac:dyDescent="0.25">
      <c r="A94" s="36"/>
      <c r="B94" s="36"/>
      <c r="C94" s="36"/>
      <c r="D94" s="36"/>
      <c r="E94" s="36"/>
      <c r="F94" s="36"/>
      <c r="G94" s="36"/>
    </row>
    <row r="95" spans="1:7" x14ac:dyDescent="0.25">
      <c r="A95" s="36"/>
      <c r="B95" s="36"/>
      <c r="C95" s="36"/>
      <c r="D95" s="36"/>
      <c r="E95" s="36"/>
      <c r="F95" s="36"/>
      <c r="G95" s="36"/>
    </row>
    <row r="96" spans="1:7" x14ac:dyDescent="0.25">
      <c r="A96" s="36"/>
      <c r="B96" s="36"/>
      <c r="C96" s="36"/>
      <c r="D96" s="36"/>
      <c r="E96" s="36"/>
      <c r="F96" s="36"/>
      <c r="G96" s="36"/>
    </row>
  </sheetData>
  <pageMargins left="0.7" right="0.7" top="0.75" bottom="0.75" header="0.3" footer="0.3"/>
  <pageSetup paperSize="136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zoomScaleNormal="100" workbookViewId="0">
      <selection activeCell="F11" sqref="F11"/>
    </sheetView>
  </sheetViews>
  <sheetFormatPr defaultRowHeight="15" x14ac:dyDescent="0.25"/>
  <cols>
    <col min="1" max="1" width="11.5703125" style="29" customWidth="1"/>
    <col min="2" max="2" width="28.85546875" style="29" customWidth="1"/>
    <col min="3" max="5" width="9.140625" style="29"/>
    <col min="6" max="6" width="14.7109375" style="29" customWidth="1"/>
    <col min="7" max="7" width="20.5703125" style="29" customWidth="1"/>
  </cols>
  <sheetData>
    <row r="2" spans="1:7" ht="15.75" x14ac:dyDescent="0.25">
      <c r="A2" s="42" t="s">
        <v>43</v>
      </c>
      <c r="B2" s="33"/>
      <c r="C2" s="43"/>
      <c r="D2" s="43"/>
      <c r="E2" s="43"/>
      <c r="G2" s="32"/>
    </row>
    <row r="3" spans="1:7" x14ac:dyDescent="0.25">
      <c r="A3" s="44"/>
      <c r="B3" s="45"/>
      <c r="C3" s="43"/>
      <c r="D3" s="43"/>
      <c r="E3" s="43"/>
    </row>
    <row r="4" spans="1:7" x14ac:dyDescent="0.25">
      <c r="A4" s="52" t="s">
        <v>2</v>
      </c>
      <c r="B4" s="53" t="s">
        <v>3</v>
      </c>
      <c r="C4" s="53" t="s">
        <v>4</v>
      </c>
      <c r="D4" s="53" t="s">
        <v>5</v>
      </c>
      <c r="E4" s="53" t="s">
        <v>6</v>
      </c>
      <c r="F4" s="54" t="s">
        <v>7</v>
      </c>
      <c r="G4" s="55" t="s">
        <v>8</v>
      </c>
    </row>
    <row r="5" spans="1:7" x14ac:dyDescent="0.25">
      <c r="A5" s="123"/>
      <c r="B5" s="123" t="s">
        <v>246</v>
      </c>
      <c r="C5" s="123"/>
      <c r="D5" s="123"/>
      <c r="E5" s="123"/>
      <c r="F5" s="123">
        <v>2447</v>
      </c>
      <c r="G5" s="123"/>
    </row>
    <row r="6" spans="1:7" x14ac:dyDescent="0.25">
      <c r="A6" s="36"/>
      <c r="B6" s="36"/>
      <c r="C6" s="36"/>
      <c r="D6" s="36"/>
      <c r="E6" s="36"/>
      <c r="F6" s="36"/>
      <c r="G6" s="36"/>
    </row>
    <row r="7" spans="1:7" x14ac:dyDescent="0.25">
      <c r="A7" s="36"/>
      <c r="B7" s="36"/>
      <c r="C7" s="36"/>
      <c r="D7" s="36"/>
      <c r="E7" s="36"/>
      <c r="F7" s="36"/>
      <c r="G7" s="36"/>
    </row>
    <row r="8" spans="1:7" x14ac:dyDescent="0.25">
      <c r="A8" s="36"/>
      <c r="B8" s="36"/>
      <c r="C8" s="36"/>
      <c r="D8" s="36"/>
      <c r="E8" s="36"/>
      <c r="F8" s="36"/>
      <c r="G8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E5" sqref="E5"/>
    </sheetView>
  </sheetViews>
  <sheetFormatPr defaultRowHeight="15" x14ac:dyDescent="0.25"/>
  <cols>
    <col min="1" max="1" width="10.42578125" style="29" customWidth="1"/>
    <col min="2" max="2" width="26.5703125" style="29" customWidth="1"/>
    <col min="3" max="5" width="9.140625" style="29"/>
    <col min="6" max="6" width="14.85546875" style="29" customWidth="1"/>
    <col min="7" max="7" width="23.28515625" style="29" customWidth="1"/>
  </cols>
  <sheetData>
    <row r="2" spans="1:7" ht="15.75" x14ac:dyDescent="0.25">
      <c r="A2" s="42" t="s">
        <v>107</v>
      </c>
      <c r="B2" s="33"/>
      <c r="C2" s="43"/>
      <c r="D2" s="43"/>
      <c r="E2" s="43"/>
      <c r="G2" s="32"/>
    </row>
    <row r="3" spans="1:7" x14ac:dyDescent="0.25">
      <c r="A3" s="44"/>
      <c r="B3" s="45"/>
      <c r="C3" s="43"/>
      <c r="D3" s="43"/>
      <c r="E3" s="43"/>
    </row>
    <row r="4" spans="1:7" x14ac:dyDescent="0.25">
      <c r="A4" s="52" t="s">
        <v>2</v>
      </c>
      <c r="B4" s="53" t="s">
        <v>3</v>
      </c>
      <c r="C4" s="53" t="s">
        <v>4</v>
      </c>
      <c r="D4" s="53" t="s">
        <v>5</v>
      </c>
      <c r="E4" s="53" t="s">
        <v>6</v>
      </c>
      <c r="F4" s="54" t="s">
        <v>7</v>
      </c>
      <c r="G4" s="55" t="s">
        <v>8</v>
      </c>
    </row>
    <row r="5" spans="1:7" x14ac:dyDescent="0.25">
      <c r="A5" s="123"/>
      <c r="B5" s="123" t="s">
        <v>246</v>
      </c>
      <c r="C5" s="123"/>
      <c r="D5" s="123"/>
      <c r="E5" s="123">
        <v>2214</v>
      </c>
      <c r="F5" s="123"/>
      <c r="G5" s="123"/>
    </row>
    <row r="6" spans="1:7" x14ac:dyDescent="0.25">
      <c r="A6" s="36"/>
      <c r="B6" s="36"/>
      <c r="C6" s="36"/>
      <c r="D6" s="36"/>
      <c r="E6" s="36"/>
      <c r="F6" s="36"/>
      <c r="G6" s="36"/>
    </row>
    <row r="7" spans="1:7" x14ac:dyDescent="0.25">
      <c r="A7" s="36"/>
      <c r="B7" s="36"/>
      <c r="C7" s="36"/>
      <c r="D7" s="36"/>
      <c r="E7" s="36"/>
      <c r="F7" s="36"/>
      <c r="G7" s="36"/>
    </row>
    <row r="8" spans="1:7" x14ac:dyDescent="0.25">
      <c r="A8" s="36"/>
      <c r="B8" s="36"/>
      <c r="C8" s="36"/>
      <c r="D8" s="36"/>
      <c r="E8" s="36"/>
      <c r="F8" s="36"/>
      <c r="G8" s="36"/>
    </row>
    <row r="9" spans="1:7" x14ac:dyDescent="0.25">
      <c r="A9" s="36"/>
      <c r="B9" s="36"/>
      <c r="C9" s="36"/>
      <c r="D9" s="36"/>
      <c r="E9" s="36"/>
      <c r="F9" s="36"/>
      <c r="G9" s="36"/>
    </row>
    <row r="10" spans="1:7" x14ac:dyDescent="0.25">
      <c r="A10" s="36"/>
      <c r="B10" s="36"/>
      <c r="C10" s="36"/>
      <c r="D10" s="36"/>
      <c r="E10" s="36"/>
      <c r="F10" s="36"/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55"/>
  <sheetViews>
    <sheetView topLeftCell="A234" zoomScaleNormal="100" workbookViewId="0">
      <selection activeCell="E246" sqref="E246:E248"/>
    </sheetView>
  </sheetViews>
  <sheetFormatPr defaultRowHeight="15" x14ac:dyDescent="0.25"/>
  <cols>
    <col min="1" max="1" width="12.7109375" style="147" customWidth="1"/>
    <col min="2" max="2" width="33.140625" style="129" customWidth="1"/>
    <col min="3" max="5" width="9.140625" style="129"/>
    <col min="6" max="6" width="15.140625" style="129" customWidth="1"/>
    <col min="7" max="7" width="25.42578125" style="129" customWidth="1"/>
    <col min="8" max="8" width="9.140625" style="129"/>
  </cols>
  <sheetData>
    <row r="2" spans="1:8" ht="15.75" x14ac:dyDescent="0.25">
      <c r="A2" s="126" t="s">
        <v>19</v>
      </c>
      <c r="B2" s="127"/>
      <c r="C2" s="128"/>
      <c r="D2" s="128"/>
      <c r="E2" s="128"/>
      <c r="G2" s="130"/>
    </row>
    <row r="3" spans="1:8" x14ac:dyDescent="0.25">
      <c r="A3" s="131"/>
      <c r="B3" s="132"/>
      <c r="C3" s="128"/>
      <c r="D3" s="128"/>
      <c r="E3" s="128"/>
    </row>
    <row r="4" spans="1:8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8" ht="15.75" customHeight="1" x14ac:dyDescent="0.25">
      <c r="A5" s="148"/>
      <c r="B5" s="137" t="s">
        <v>246</v>
      </c>
      <c r="C5" s="137"/>
      <c r="D5" s="137"/>
      <c r="E5" s="137"/>
      <c r="F5" s="137">
        <v>10587</v>
      </c>
      <c r="G5" s="137"/>
    </row>
    <row r="6" spans="1:8" s="2" customFormat="1" x14ac:dyDescent="0.25">
      <c r="A6" s="146"/>
      <c r="B6" s="143"/>
      <c r="C6" s="143"/>
      <c r="D6" s="143"/>
      <c r="E6" s="143">
        <v>10587</v>
      </c>
      <c r="F6" s="143"/>
      <c r="G6" s="143"/>
      <c r="H6" s="149"/>
    </row>
    <row r="7" spans="1:8" x14ac:dyDescent="0.25">
      <c r="A7" s="138" t="s">
        <v>252</v>
      </c>
      <c r="B7" s="136" t="s">
        <v>250</v>
      </c>
      <c r="C7" s="136">
        <v>94</v>
      </c>
      <c r="D7" s="136"/>
      <c r="E7" s="136">
        <f>E6+C7-D7</f>
        <v>10681</v>
      </c>
      <c r="F7" s="136"/>
      <c r="G7" s="136"/>
    </row>
    <row r="8" spans="1:8" x14ac:dyDescent="0.25">
      <c r="A8" s="138" t="s">
        <v>252</v>
      </c>
      <c r="B8" s="136" t="s">
        <v>253</v>
      </c>
      <c r="C8" s="136">
        <v>331</v>
      </c>
      <c r="D8" s="136"/>
      <c r="E8" s="136">
        <f t="shared" ref="E8:E79" si="0">E7+C8-D8</f>
        <v>11012</v>
      </c>
      <c r="F8" s="136"/>
      <c r="G8" s="136"/>
    </row>
    <row r="9" spans="1:8" x14ac:dyDescent="0.25">
      <c r="A9" s="152" t="s">
        <v>256</v>
      </c>
      <c r="B9" s="136" t="s">
        <v>257</v>
      </c>
      <c r="C9" s="136"/>
      <c r="D9" s="136">
        <v>500</v>
      </c>
      <c r="E9" s="136">
        <f t="shared" si="0"/>
        <v>10512</v>
      </c>
      <c r="F9" s="136" t="s">
        <v>258</v>
      </c>
      <c r="G9" s="136"/>
    </row>
    <row r="10" spans="1:8" x14ac:dyDescent="0.25">
      <c r="A10" s="152" t="s">
        <v>256</v>
      </c>
      <c r="B10" s="136" t="s">
        <v>261</v>
      </c>
      <c r="C10" s="136"/>
      <c r="D10" s="136">
        <v>40</v>
      </c>
      <c r="E10" s="136">
        <f t="shared" si="0"/>
        <v>10472</v>
      </c>
      <c r="F10" s="136" t="s">
        <v>260</v>
      </c>
      <c r="G10" s="136"/>
    </row>
    <row r="11" spans="1:8" x14ac:dyDescent="0.25">
      <c r="A11" s="152" t="s">
        <v>256</v>
      </c>
      <c r="B11" s="136" t="s">
        <v>266</v>
      </c>
      <c r="C11" s="136">
        <v>11</v>
      </c>
      <c r="D11" s="136"/>
      <c r="E11" s="136">
        <f t="shared" si="0"/>
        <v>10483</v>
      </c>
      <c r="F11" s="136"/>
      <c r="G11" s="136"/>
    </row>
    <row r="12" spans="1:8" x14ac:dyDescent="0.25">
      <c r="A12" s="152" t="s">
        <v>267</v>
      </c>
      <c r="B12" s="136" t="s">
        <v>268</v>
      </c>
      <c r="C12" s="136"/>
      <c r="D12" s="136">
        <v>100</v>
      </c>
      <c r="E12" s="136">
        <f t="shared" si="0"/>
        <v>10383</v>
      </c>
      <c r="F12" s="136" t="s">
        <v>269</v>
      </c>
      <c r="G12" s="136"/>
    </row>
    <row r="13" spans="1:8" x14ac:dyDescent="0.25">
      <c r="A13" s="152" t="s">
        <v>267</v>
      </c>
      <c r="B13" s="136" t="s">
        <v>275</v>
      </c>
      <c r="C13" s="136"/>
      <c r="D13" s="136">
        <v>120</v>
      </c>
      <c r="E13" s="136">
        <f t="shared" si="0"/>
        <v>10263</v>
      </c>
      <c r="F13" s="136" t="s">
        <v>276</v>
      </c>
      <c r="G13" s="136"/>
    </row>
    <row r="14" spans="1:8" x14ac:dyDescent="0.25">
      <c r="A14" s="152" t="s">
        <v>267</v>
      </c>
      <c r="B14" s="136" t="s">
        <v>277</v>
      </c>
      <c r="C14" s="136"/>
      <c r="D14" s="136">
        <v>200</v>
      </c>
      <c r="E14" s="136">
        <f t="shared" si="0"/>
        <v>10063</v>
      </c>
      <c r="F14" s="136" t="s">
        <v>278</v>
      </c>
      <c r="G14" s="136"/>
    </row>
    <row r="15" spans="1:8" x14ac:dyDescent="0.25">
      <c r="A15" s="152" t="s">
        <v>267</v>
      </c>
      <c r="B15" s="136" t="s">
        <v>257</v>
      </c>
      <c r="C15" s="136"/>
      <c r="D15" s="136">
        <v>280</v>
      </c>
      <c r="E15" s="136">
        <f t="shared" si="0"/>
        <v>9783</v>
      </c>
      <c r="F15" s="136" t="s">
        <v>279</v>
      </c>
      <c r="G15" s="136"/>
    </row>
    <row r="16" spans="1:8" x14ac:dyDescent="0.25">
      <c r="A16" s="152" t="s">
        <v>267</v>
      </c>
      <c r="B16" s="136" t="s">
        <v>280</v>
      </c>
      <c r="C16" s="136"/>
      <c r="D16" s="136">
        <v>400</v>
      </c>
      <c r="E16" s="136">
        <f t="shared" si="0"/>
        <v>9383</v>
      </c>
      <c r="F16" s="136" t="s">
        <v>281</v>
      </c>
      <c r="G16" s="136"/>
    </row>
    <row r="17" spans="1:7" x14ac:dyDescent="0.25">
      <c r="A17" s="152" t="s">
        <v>267</v>
      </c>
      <c r="B17" s="136" t="s">
        <v>283</v>
      </c>
      <c r="C17" s="136"/>
      <c r="D17" s="136">
        <v>300</v>
      </c>
      <c r="E17" s="136">
        <f t="shared" si="0"/>
        <v>9083</v>
      </c>
      <c r="F17" s="136" t="s">
        <v>284</v>
      </c>
      <c r="G17" s="136"/>
    </row>
    <row r="18" spans="1:7" x14ac:dyDescent="0.25">
      <c r="A18" s="138" t="s">
        <v>267</v>
      </c>
      <c r="B18" s="136" t="s">
        <v>105</v>
      </c>
      <c r="C18" s="136">
        <v>8</v>
      </c>
      <c r="D18" s="136"/>
      <c r="E18" s="136">
        <f t="shared" si="0"/>
        <v>9091</v>
      </c>
      <c r="F18" s="136"/>
      <c r="G18" s="136"/>
    </row>
    <row r="19" spans="1:7" x14ac:dyDescent="0.25">
      <c r="A19" s="138" t="s">
        <v>285</v>
      </c>
      <c r="B19" s="136" t="s">
        <v>286</v>
      </c>
      <c r="C19" s="136"/>
      <c r="D19" s="136">
        <v>8</v>
      </c>
      <c r="E19" s="136">
        <f t="shared" si="0"/>
        <v>9083</v>
      </c>
      <c r="F19" s="136" t="s">
        <v>287</v>
      </c>
      <c r="G19" s="136"/>
    </row>
    <row r="20" spans="1:7" x14ac:dyDescent="0.25">
      <c r="A20" s="152" t="s">
        <v>285</v>
      </c>
      <c r="B20" s="136" t="s">
        <v>273</v>
      </c>
      <c r="C20" s="136"/>
      <c r="D20" s="136">
        <v>80</v>
      </c>
      <c r="E20" s="136">
        <f t="shared" si="0"/>
        <v>9003</v>
      </c>
      <c r="F20" s="136" t="s">
        <v>288</v>
      </c>
      <c r="G20" s="136"/>
    </row>
    <row r="21" spans="1:7" x14ac:dyDescent="0.25">
      <c r="A21" s="152" t="s">
        <v>285</v>
      </c>
      <c r="B21" s="136" t="s">
        <v>257</v>
      </c>
      <c r="C21" s="136"/>
      <c r="D21" s="136">
        <v>700</v>
      </c>
      <c r="E21" s="136">
        <f t="shared" si="0"/>
        <v>8303</v>
      </c>
      <c r="F21" s="136" t="s">
        <v>291</v>
      </c>
      <c r="G21" s="136"/>
    </row>
    <row r="22" spans="1:7" x14ac:dyDescent="0.25">
      <c r="A22" s="152" t="s">
        <v>285</v>
      </c>
      <c r="B22" s="136" t="s">
        <v>257</v>
      </c>
      <c r="C22" s="136"/>
      <c r="D22" s="136">
        <v>520</v>
      </c>
      <c r="E22" s="136">
        <f t="shared" si="0"/>
        <v>7783</v>
      </c>
      <c r="F22" s="136" t="s">
        <v>292</v>
      </c>
      <c r="G22" s="136"/>
    </row>
    <row r="23" spans="1:7" x14ac:dyDescent="0.25">
      <c r="A23" s="138" t="s">
        <v>285</v>
      </c>
      <c r="B23" s="36" t="s">
        <v>294</v>
      </c>
      <c r="C23" s="36">
        <v>96</v>
      </c>
      <c r="D23" s="136"/>
      <c r="E23" s="136">
        <f t="shared" si="0"/>
        <v>7879</v>
      </c>
      <c r="F23" s="136"/>
      <c r="G23" s="136"/>
    </row>
    <row r="24" spans="1:7" x14ac:dyDescent="0.25">
      <c r="A24" s="138" t="s">
        <v>285</v>
      </c>
      <c r="B24" s="136" t="s">
        <v>182</v>
      </c>
      <c r="C24" s="136">
        <v>63</v>
      </c>
      <c r="D24" s="136"/>
      <c r="E24" s="136">
        <f t="shared" si="0"/>
        <v>7942</v>
      </c>
      <c r="F24" s="136"/>
      <c r="G24" s="136"/>
    </row>
    <row r="25" spans="1:7" x14ac:dyDescent="0.25">
      <c r="A25" s="152" t="s">
        <v>295</v>
      </c>
      <c r="B25" s="136" t="s">
        <v>297</v>
      </c>
      <c r="C25" s="136"/>
      <c r="D25" s="136">
        <v>112</v>
      </c>
      <c r="E25" s="136">
        <f t="shared" si="0"/>
        <v>7830</v>
      </c>
      <c r="F25" s="136" t="s">
        <v>296</v>
      </c>
      <c r="G25" s="136"/>
    </row>
    <row r="26" spans="1:7" x14ac:dyDescent="0.25">
      <c r="A26" s="152" t="s">
        <v>301</v>
      </c>
      <c r="B26" s="136" t="s">
        <v>303</v>
      </c>
      <c r="C26" s="136"/>
      <c r="D26" s="136">
        <v>400</v>
      </c>
      <c r="E26" s="136">
        <f t="shared" si="0"/>
        <v>7430</v>
      </c>
      <c r="F26" s="136" t="s">
        <v>302</v>
      </c>
      <c r="G26" s="136"/>
    </row>
    <row r="27" spans="1:7" x14ac:dyDescent="0.25">
      <c r="A27" s="138" t="s">
        <v>301</v>
      </c>
      <c r="B27" s="136" t="s">
        <v>305</v>
      </c>
      <c r="C27" s="136">
        <v>50</v>
      </c>
      <c r="D27" s="136"/>
      <c r="E27" s="136">
        <f t="shared" si="0"/>
        <v>7480</v>
      </c>
      <c r="F27" s="136"/>
      <c r="G27" s="136"/>
    </row>
    <row r="28" spans="1:7" x14ac:dyDescent="0.25">
      <c r="A28" s="152" t="s">
        <v>307</v>
      </c>
      <c r="B28" s="136" t="s">
        <v>257</v>
      </c>
      <c r="C28" s="136"/>
      <c r="D28" s="136">
        <v>320</v>
      </c>
      <c r="E28" s="136">
        <f t="shared" si="0"/>
        <v>7160</v>
      </c>
      <c r="F28" s="136" t="s">
        <v>308</v>
      </c>
      <c r="G28" s="136"/>
    </row>
    <row r="29" spans="1:7" x14ac:dyDescent="0.25">
      <c r="A29" s="152" t="s">
        <v>307</v>
      </c>
      <c r="B29" s="136" t="s">
        <v>264</v>
      </c>
      <c r="C29" s="136">
        <v>550</v>
      </c>
      <c r="D29" s="136"/>
      <c r="E29" s="136">
        <f t="shared" si="0"/>
        <v>7710</v>
      </c>
      <c r="F29" s="136"/>
      <c r="G29" s="136"/>
    </row>
    <row r="30" spans="1:7" x14ac:dyDescent="0.25">
      <c r="A30" s="181" t="s">
        <v>307</v>
      </c>
      <c r="B30" s="163" t="s">
        <v>257</v>
      </c>
      <c r="C30" s="163"/>
      <c r="D30" s="163">
        <v>550</v>
      </c>
      <c r="E30" s="136">
        <f t="shared" si="0"/>
        <v>7160</v>
      </c>
      <c r="F30" s="163" t="s">
        <v>335</v>
      </c>
      <c r="G30" s="136"/>
    </row>
    <row r="31" spans="1:7" x14ac:dyDescent="0.25">
      <c r="A31" s="152" t="s">
        <v>311</v>
      </c>
      <c r="B31" s="136" t="s">
        <v>312</v>
      </c>
      <c r="C31" s="136"/>
      <c r="D31" s="136">
        <v>20</v>
      </c>
      <c r="E31" s="136">
        <f t="shared" si="0"/>
        <v>7140</v>
      </c>
      <c r="F31" s="136" t="s">
        <v>313</v>
      </c>
      <c r="G31" s="136"/>
    </row>
    <row r="32" spans="1:7" x14ac:dyDescent="0.25">
      <c r="A32" s="138" t="s">
        <v>319</v>
      </c>
      <c r="B32" s="136" t="s">
        <v>320</v>
      </c>
      <c r="C32" s="163">
        <v>12</v>
      </c>
      <c r="D32" s="136"/>
      <c r="E32" s="136">
        <f t="shared" si="0"/>
        <v>7152</v>
      </c>
      <c r="F32" s="136"/>
      <c r="G32" s="136"/>
    </row>
    <row r="33" spans="1:7" x14ac:dyDescent="0.25">
      <c r="A33" s="138" t="s">
        <v>319</v>
      </c>
      <c r="B33" s="136" t="s">
        <v>182</v>
      </c>
      <c r="C33" s="136">
        <v>57</v>
      </c>
      <c r="D33" s="136"/>
      <c r="E33" s="136">
        <f t="shared" si="0"/>
        <v>7209</v>
      </c>
      <c r="F33" s="136"/>
      <c r="G33" s="136"/>
    </row>
    <row r="34" spans="1:7" x14ac:dyDescent="0.25">
      <c r="A34" s="138" t="s">
        <v>322</v>
      </c>
      <c r="B34" s="136" t="s">
        <v>323</v>
      </c>
      <c r="C34" s="136"/>
      <c r="D34" s="163">
        <v>127</v>
      </c>
      <c r="E34" s="136">
        <f t="shared" si="0"/>
        <v>7082</v>
      </c>
      <c r="F34" s="136" t="s">
        <v>324</v>
      </c>
      <c r="G34" s="136"/>
    </row>
    <row r="35" spans="1:7" x14ac:dyDescent="0.25">
      <c r="A35" s="138" t="s">
        <v>343</v>
      </c>
      <c r="B35" s="136" t="s">
        <v>402</v>
      </c>
      <c r="C35" s="136"/>
      <c r="D35" s="136">
        <v>400</v>
      </c>
      <c r="E35" s="136">
        <f t="shared" si="0"/>
        <v>6682</v>
      </c>
      <c r="F35" s="136" t="s">
        <v>345</v>
      </c>
      <c r="G35" s="136"/>
    </row>
    <row r="36" spans="1:7" x14ac:dyDescent="0.25">
      <c r="A36" s="238" t="s">
        <v>343</v>
      </c>
      <c r="B36" s="136" t="s">
        <v>346</v>
      </c>
      <c r="C36" s="136"/>
      <c r="D36" s="136">
        <v>200</v>
      </c>
      <c r="E36" s="136">
        <f t="shared" si="0"/>
        <v>6482</v>
      </c>
      <c r="F36" s="136" t="s">
        <v>17</v>
      </c>
      <c r="G36" s="136"/>
    </row>
    <row r="37" spans="1:7" x14ac:dyDescent="0.25">
      <c r="A37" s="238" t="s">
        <v>343</v>
      </c>
      <c r="B37" s="136" t="s">
        <v>402</v>
      </c>
      <c r="C37" s="136"/>
      <c r="D37" s="136">
        <v>400</v>
      </c>
      <c r="E37" s="136">
        <f t="shared" si="0"/>
        <v>6082</v>
      </c>
      <c r="F37" s="136" t="s">
        <v>348</v>
      </c>
      <c r="G37" s="136"/>
    </row>
    <row r="38" spans="1:7" x14ac:dyDescent="0.25">
      <c r="A38" s="238" t="s">
        <v>353</v>
      </c>
      <c r="B38" s="136" t="s">
        <v>402</v>
      </c>
      <c r="C38" s="136"/>
      <c r="D38" s="136">
        <v>800</v>
      </c>
      <c r="E38" s="136">
        <f t="shared" si="0"/>
        <v>5282</v>
      </c>
      <c r="F38" s="136" t="s">
        <v>356</v>
      </c>
      <c r="G38" s="136"/>
    </row>
    <row r="39" spans="1:7" x14ac:dyDescent="0.25">
      <c r="A39" s="238" t="s">
        <v>353</v>
      </c>
      <c r="B39" s="136" t="s">
        <v>402</v>
      </c>
      <c r="C39" s="136"/>
      <c r="D39" s="136">
        <v>200</v>
      </c>
      <c r="E39" s="136">
        <f t="shared" si="0"/>
        <v>5082</v>
      </c>
      <c r="F39" s="136" t="s">
        <v>357</v>
      </c>
      <c r="G39" s="136"/>
    </row>
    <row r="40" spans="1:7" x14ac:dyDescent="0.25">
      <c r="A40" s="238" t="s">
        <v>353</v>
      </c>
      <c r="B40" s="136" t="s">
        <v>359</v>
      </c>
      <c r="C40" s="136">
        <v>8</v>
      </c>
      <c r="D40" s="136"/>
      <c r="E40" s="136">
        <f t="shared" si="0"/>
        <v>5090</v>
      </c>
      <c r="F40" s="136"/>
      <c r="G40" s="136"/>
    </row>
    <row r="41" spans="1:7" x14ac:dyDescent="0.25">
      <c r="A41" s="238" t="s">
        <v>361</v>
      </c>
      <c r="B41" s="136" t="s">
        <v>402</v>
      </c>
      <c r="C41" s="136"/>
      <c r="D41" s="136">
        <v>1400</v>
      </c>
      <c r="E41" s="136">
        <f t="shared" si="0"/>
        <v>3690</v>
      </c>
      <c r="F41" s="136" t="s">
        <v>365</v>
      </c>
      <c r="G41" s="136"/>
    </row>
    <row r="42" spans="1:7" x14ac:dyDescent="0.25">
      <c r="A42" s="152" t="s">
        <v>366</v>
      </c>
      <c r="B42" s="136" t="s">
        <v>268</v>
      </c>
      <c r="C42" s="136"/>
      <c r="D42" s="136">
        <v>50</v>
      </c>
      <c r="E42" s="136">
        <f t="shared" si="0"/>
        <v>3640</v>
      </c>
      <c r="F42" s="136" t="s">
        <v>367</v>
      </c>
      <c r="G42" s="136"/>
    </row>
    <row r="43" spans="1:7" x14ac:dyDescent="0.25">
      <c r="A43" s="152" t="s">
        <v>366</v>
      </c>
      <c r="B43" s="136" t="s">
        <v>370</v>
      </c>
      <c r="C43" s="136">
        <v>12</v>
      </c>
      <c r="D43" s="136"/>
      <c r="E43" s="136">
        <f t="shared" si="0"/>
        <v>3652</v>
      </c>
      <c r="F43" s="136"/>
      <c r="G43" s="136"/>
    </row>
    <row r="44" spans="1:7" x14ac:dyDescent="0.25">
      <c r="A44" s="152" t="s">
        <v>371</v>
      </c>
      <c r="B44" s="136" t="s">
        <v>374</v>
      </c>
      <c r="C44" s="136"/>
      <c r="D44" s="136">
        <v>300</v>
      </c>
      <c r="E44" s="136">
        <f t="shared" si="0"/>
        <v>3352</v>
      </c>
      <c r="F44" s="136" t="s">
        <v>375</v>
      </c>
      <c r="G44" s="136"/>
    </row>
    <row r="45" spans="1:7" x14ac:dyDescent="0.25">
      <c r="A45" s="152" t="s">
        <v>371</v>
      </c>
      <c r="B45" s="136" t="s">
        <v>381</v>
      </c>
      <c r="C45" s="136">
        <v>343</v>
      </c>
      <c r="D45" s="136"/>
      <c r="E45" s="136">
        <f t="shared" si="0"/>
        <v>3695</v>
      </c>
      <c r="F45" s="136"/>
      <c r="G45" s="136"/>
    </row>
    <row r="46" spans="1:7" x14ac:dyDescent="0.25">
      <c r="A46" s="152" t="s">
        <v>371</v>
      </c>
      <c r="B46" s="136" t="s">
        <v>382</v>
      </c>
      <c r="C46" s="136">
        <v>18</v>
      </c>
      <c r="D46" s="136"/>
      <c r="E46" s="136">
        <f t="shared" si="0"/>
        <v>3713</v>
      </c>
      <c r="F46" s="136"/>
      <c r="G46" s="136"/>
    </row>
    <row r="47" spans="1:7" x14ac:dyDescent="0.25">
      <c r="A47" s="152" t="s">
        <v>371</v>
      </c>
      <c r="B47" s="136" t="s">
        <v>264</v>
      </c>
      <c r="C47" s="136">
        <v>125</v>
      </c>
      <c r="D47" s="136"/>
      <c r="E47" s="136">
        <f t="shared" si="0"/>
        <v>3838</v>
      </c>
      <c r="F47" s="136"/>
      <c r="G47" s="136"/>
    </row>
    <row r="48" spans="1:7" x14ac:dyDescent="0.25">
      <c r="A48" s="152" t="s">
        <v>371</v>
      </c>
      <c r="B48" s="136" t="s">
        <v>383</v>
      </c>
      <c r="C48" s="136"/>
      <c r="D48" s="136">
        <v>80</v>
      </c>
      <c r="E48" s="136">
        <f t="shared" si="0"/>
        <v>3758</v>
      </c>
      <c r="F48" s="136" t="s">
        <v>17</v>
      </c>
      <c r="G48" s="136"/>
    </row>
    <row r="49" spans="1:7" x14ac:dyDescent="0.25">
      <c r="A49" s="138" t="s">
        <v>384</v>
      </c>
      <c r="B49" s="136" t="s">
        <v>385</v>
      </c>
      <c r="C49" s="136"/>
      <c r="D49" s="136">
        <v>100</v>
      </c>
      <c r="E49" s="136">
        <f t="shared" si="0"/>
        <v>3658</v>
      </c>
      <c r="F49" s="136" t="s">
        <v>386</v>
      </c>
      <c r="G49" s="136"/>
    </row>
    <row r="50" spans="1:7" x14ac:dyDescent="0.25">
      <c r="A50" s="152" t="s">
        <v>384</v>
      </c>
      <c r="B50" s="136" t="s">
        <v>390</v>
      </c>
      <c r="C50" s="136">
        <v>34</v>
      </c>
      <c r="D50" s="136"/>
      <c r="E50" s="136">
        <f t="shared" si="0"/>
        <v>3692</v>
      </c>
      <c r="F50" s="136"/>
      <c r="G50" s="136"/>
    </row>
    <row r="51" spans="1:7" x14ac:dyDescent="0.25">
      <c r="A51" s="152" t="s">
        <v>394</v>
      </c>
      <c r="B51" s="136" t="s">
        <v>346</v>
      </c>
      <c r="C51" s="136">
        <v>200</v>
      </c>
      <c r="D51" s="136"/>
      <c r="E51" s="136">
        <f t="shared" si="0"/>
        <v>3892</v>
      </c>
      <c r="F51" s="136"/>
      <c r="G51" s="136"/>
    </row>
    <row r="52" spans="1:7" x14ac:dyDescent="0.25">
      <c r="A52" s="138" t="s">
        <v>394</v>
      </c>
      <c r="B52" s="136" t="s">
        <v>283</v>
      </c>
      <c r="C52" s="136">
        <v>251</v>
      </c>
      <c r="D52" s="136"/>
      <c r="E52" s="136">
        <f t="shared" si="0"/>
        <v>4143</v>
      </c>
      <c r="F52" s="136"/>
      <c r="G52" s="136"/>
    </row>
    <row r="53" spans="1:7" x14ac:dyDescent="0.25">
      <c r="A53" s="152" t="s">
        <v>400</v>
      </c>
      <c r="B53" s="136" t="s">
        <v>402</v>
      </c>
      <c r="C53" s="136"/>
      <c r="D53" s="136">
        <v>200</v>
      </c>
      <c r="E53" s="136">
        <f t="shared" si="0"/>
        <v>3943</v>
      </c>
      <c r="F53" s="136" t="s">
        <v>403</v>
      </c>
      <c r="G53" s="136"/>
    </row>
    <row r="54" spans="1:7" x14ac:dyDescent="0.25">
      <c r="A54" s="258" t="s">
        <v>404</v>
      </c>
      <c r="B54" s="136" t="s">
        <v>283</v>
      </c>
      <c r="C54" s="136">
        <v>32</v>
      </c>
      <c r="D54" s="136"/>
      <c r="E54" s="136">
        <f t="shared" si="0"/>
        <v>3975</v>
      </c>
      <c r="F54" s="136"/>
      <c r="G54" s="136"/>
    </row>
    <row r="55" spans="1:7" x14ac:dyDescent="0.25">
      <c r="A55" s="152" t="s">
        <v>400</v>
      </c>
      <c r="B55" s="136" t="s">
        <v>405</v>
      </c>
      <c r="C55" s="136">
        <v>120</v>
      </c>
      <c r="D55" s="136"/>
      <c r="E55" s="136">
        <f t="shared" si="0"/>
        <v>4095</v>
      </c>
      <c r="F55" s="136"/>
      <c r="G55" s="136"/>
    </row>
    <row r="56" spans="1:7" x14ac:dyDescent="0.25">
      <c r="A56" s="264" t="s">
        <v>404</v>
      </c>
      <c r="B56" s="163" t="s">
        <v>182</v>
      </c>
      <c r="C56" s="163">
        <v>7</v>
      </c>
      <c r="D56" s="136"/>
      <c r="E56" s="136">
        <f t="shared" si="0"/>
        <v>4102</v>
      </c>
      <c r="F56" s="136"/>
      <c r="G56" s="136"/>
    </row>
    <row r="57" spans="1:7" x14ac:dyDescent="0.25">
      <c r="A57" s="138" t="s">
        <v>406</v>
      </c>
      <c r="B57" s="136" t="s">
        <v>402</v>
      </c>
      <c r="C57" s="136"/>
      <c r="D57" s="136">
        <v>700</v>
      </c>
      <c r="E57" s="136">
        <f t="shared" si="0"/>
        <v>3402</v>
      </c>
      <c r="F57" s="136" t="s">
        <v>407</v>
      </c>
      <c r="G57" s="136"/>
    </row>
    <row r="58" spans="1:7" x14ac:dyDescent="0.25">
      <c r="A58" s="138" t="s">
        <v>406</v>
      </c>
      <c r="B58" s="136" t="s">
        <v>383</v>
      </c>
      <c r="C58" s="136"/>
      <c r="D58" s="136">
        <v>170</v>
      </c>
      <c r="E58" s="136">
        <f t="shared" si="0"/>
        <v>3232</v>
      </c>
      <c r="F58" s="136" t="s">
        <v>17</v>
      </c>
      <c r="G58" s="136"/>
    </row>
    <row r="59" spans="1:7" x14ac:dyDescent="0.25">
      <c r="A59" s="138" t="s">
        <v>410</v>
      </c>
      <c r="B59" s="136" t="s">
        <v>402</v>
      </c>
      <c r="C59" s="136"/>
      <c r="D59" s="136">
        <v>1300</v>
      </c>
      <c r="E59" s="136">
        <f t="shared" si="0"/>
        <v>1932</v>
      </c>
      <c r="F59" s="136" t="s">
        <v>412</v>
      </c>
      <c r="G59" s="136"/>
    </row>
    <row r="60" spans="1:7" x14ac:dyDescent="0.25">
      <c r="A60" s="152" t="s">
        <v>410</v>
      </c>
      <c r="B60" s="136" t="s">
        <v>264</v>
      </c>
      <c r="C60" s="136">
        <v>100</v>
      </c>
      <c r="D60" s="136"/>
      <c r="E60" s="136">
        <f t="shared" si="0"/>
        <v>2032</v>
      </c>
      <c r="F60" s="136"/>
      <c r="G60" s="136"/>
    </row>
    <row r="61" spans="1:7" x14ac:dyDescent="0.25">
      <c r="A61" s="138" t="s">
        <v>426</v>
      </c>
      <c r="B61" s="136" t="s">
        <v>402</v>
      </c>
      <c r="C61" s="136"/>
      <c r="D61" s="136">
        <v>100</v>
      </c>
      <c r="E61" s="136">
        <f t="shared" si="0"/>
        <v>1932</v>
      </c>
      <c r="F61" s="136" t="s">
        <v>427</v>
      </c>
      <c r="G61" s="136"/>
    </row>
    <row r="62" spans="1:7" x14ac:dyDescent="0.25">
      <c r="A62" s="152" t="s">
        <v>430</v>
      </c>
      <c r="B62" s="136" t="s">
        <v>264</v>
      </c>
      <c r="C62" s="136">
        <v>50</v>
      </c>
      <c r="D62" s="136"/>
      <c r="E62" s="136">
        <f t="shared" si="0"/>
        <v>1982</v>
      </c>
      <c r="F62" s="136"/>
      <c r="G62" s="136"/>
    </row>
    <row r="63" spans="1:7" x14ac:dyDescent="0.25">
      <c r="A63" s="258" t="s">
        <v>434</v>
      </c>
      <c r="B63" s="136" t="s">
        <v>374</v>
      </c>
      <c r="C63" s="136"/>
      <c r="D63" s="136">
        <v>120</v>
      </c>
      <c r="E63" s="136">
        <f t="shared" si="0"/>
        <v>1862</v>
      </c>
      <c r="F63" s="136" t="s">
        <v>435</v>
      </c>
      <c r="G63" s="136"/>
    </row>
    <row r="64" spans="1:7" x14ac:dyDescent="0.25">
      <c r="A64" s="152" t="s">
        <v>430</v>
      </c>
      <c r="B64" s="136" t="s">
        <v>383</v>
      </c>
      <c r="C64" s="136"/>
      <c r="D64" s="136">
        <v>210</v>
      </c>
      <c r="E64" s="136">
        <f t="shared" si="0"/>
        <v>1652</v>
      </c>
      <c r="F64" s="136" t="s">
        <v>17</v>
      </c>
      <c r="G64" s="136"/>
    </row>
    <row r="65" spans="1:7" x14ac:dyDescent="0.25">
      <c r="A65" s="152" t="s">
        <v>438</v>
      </c>
      <c r="B65" s="136" t="s">
        <v>382</v>
      </c>
      <c r="C65" s="136">
        <v>13</v>
      </c>
      <c r="D65" s="136"/>
      <c r="E65" s="136">
        <f t="shared" si="0"/>
        <v>1665</v>
      </c>
      <c r="F65" s="136"/>
      <c r="G65" s="136"/>
    </row>
    <row r="66" spans="1:7" x14ac:dyDescent="0.25">
      <c r="A66" s="152" t="s">
        <v>441</v>
      </c>
      <c r="B66" s="136" t="s">
        <v>448</v>
      </c>
      <c r="C66" s="136"/>
      <c r="D66" s="136">
        <v>179</v>
      </c>
      <c r="E66" s="136">
        <f t="shared" si="0"/>
        <v>1486</v>
      </c>
      <c r="F66" s="136" t="s">
        <v>449</v>
      </c>
      <c r="G66" s="136"/>
    </row>
    <row r="67" spans="1:7" x14ac:dyDescent="0.25">
      <c r="A67" s="152" t="s">
        <v>441</v>
      </c>
      <c r="B67" s="136" t="s">
        <v>450</v>
      </c>
      <c r="C67" s="136"/>
      <c r="D67" s="136">
        <v>80</v>
      </c>
      <c r="E67" s="136">
        <f t="shared" si="0"/>
        <v>1406</v>
      </c>
      <c r="F67" s="136" t="s">
        <v>451</v>
      </c>
      <c r="G67" s="136"/>
    </row>
    <row r="68" spans="1:7" x14ac:dyDescent="0.25">
      <c r="A68" s="238" t="s">
        <v>453</v>
      </c>
      <c r="B68" s="136" t="s">
        <v>454</v>
      </c>
      <c r="C68" s="136"/>
      <c r="D68" s="136">
        <v>80</v>
      </c>
      <c r="E68" s="136">
        <f t="shared" si="0"/>
        <v>1326</v>
      </c>
      <c r="F68" s="136" t="s">
        <v>455</v>
      </c>
      <c r="G68" s="136"/>
    </row>
    <row r="69" spans="1:7" x14ac:dyDescent="0.25">
      <c r="A69" s="238" t="s">
        <v>453</v>
      </c>
      <c r="B69" s="136" t="s">
        <v>462</v>
      </c>
      <c r="C69" s="136">
        <v>200</v>
      </c>
      <c r="D69" s="136"/>
      <c r="E69" s="136">
        <f t="shared" si="0"/>
        <v>1526</v>
      </c>
      <c r="F69" s="136"/>
      <c r="G69" s="136"/>
    </row>
    <row r="70" spans="1:7" x14ac:dyDescent="0.25">
      <c r="A70" s="152" t="s">
        <v>468</v>
      </c>
      <c r="B70" s="136" t="s">
        <v>374</v>
      </c>
      <c r="C70" s="136"/>
      <c r="D70" s="136">
        <v>300</v>
      </c>
      <c r="E70" s="136">
        <f t="shared" si="0"/>
        <v>1226</v>
      </c>
      <c r="F70" s="136" t="s">
        <v>469</v>
      </c>
      <c r="G70" s="136"/>
    </row>
    <row r="71" spans="1:7" x14ac:dyDescent="0.25">
      <c r="A71" s="152" t="s">
        <v>468</v>
      </c>
      <c r="B71" s="136" t="s">
        <v>402</v>
      </c>
      <c r="C71" s="136"/>
      <c r="D71" s="136">
        <v>500</v>
      </c>
      <c r="E71" s="136">
        <f t="shared" si="0"/>
        <v>726</v>
      </c>
      <c r="F71" s="136" t="s">
        <v>470</v>
      </c>
      <c r="G71" s="136"/>
    </row>
    <row r="72" spans="1:7" x14ac:dyDescent="0.25">
      <c r="A72" s="152" t="s">
        <v>468</v>
      </c>
      <c r="B72" s="136" t="s">
        <v>472</v>
      </c>
      <c r="C72" s="136">
        <v>21</v>
      </c>
      <c r="D72" s="136"/>
      <c r="E72" s="136">
        <f t="shared" si="0"/>
        <v>747</v>
      </c>
      <c r="F72" s="136"/>
      <c r="G72" s="136"/>
    </row>
    <row r="73" spans="1:7" x14ac:dyDescent="0.25">
      <c r="A73" s="138" t="s">
        <v>473</v>
      </c>
      <c r="B73" s="136" t="s">
        <v>283</v>
      </c>
      <c r="C73" s="136">
        <v>264</v>
      </c>
      <c r="D73" s="136"/>
      <c r="E73" s="136">
        <f t="shared" si="0"/>
        <v>1011</v>
      </c>
      <c r="F73" s="136"/>
      <c r="G73" s="136"/>
    </row>
    <row r="74" spans="1:7" x14ac:dyDescent="0.25">
      <c r="A74" s="238" t="s">
        <v>475</v>
      </c>
      <c r="B74" s="136" t="s">
        <v>374</v>
      </c>
      <c r="C74" s="136"/>
      <c r="D74" s="136">
        <v>120</v>
      </c>
      <c r="E74" s="136">
        <f t="shared" si="0"/>
        <v>891</v>
      </c>
      <c r="F74" s="136" t="s">
        <v>474</v>
      </c>
      <c r="G74" s="136"/>
    </row>
    <row r="75" spans="1:7" x14ac:dyDescent="0.25">
      <c r="A75" s="238" t="s">
        <v>475</v>
      </c>
      <c r="B75" s="136" t="s">
        <v>283</v>
      </c>
      <c r="C75" s="136">
        <v>58</v>
      </c>
      <c r="D75" s="136"/>
      <c r="E75" s="136">
        <f t="shared" si="0"/>
        <v>949</v>
      </c>
      <c r="F75" s="136"/>
      <c r="G75" s="136"/>
    </row>
    <row r="76" spans="1:7" x14ac:dyDescent="0.25">
      <c r="A76" s="238" t="s">
        <v>475</v>
      </c>
      <c r="B76" s="136" t="s">
        <v>283</v>
      </c>
      <c r="C76" s="136">
        <v>163</v>
      </c>
      <c r="D76" s="136"/>
      <c r="E76" s="136">
        <f t="shared" si="0"/>
        <v>1112</v>
      </c>
      <c r="F76" s="136"/>
      <c r="G76" s="136"/>
    </row>
    <row r="77" spans="1:7" x14ac:dyDescent="0.25">
      <c r="A77" s="152" t="s">
        <v>483</v>
      </c>
      <c r="B77" s="136" t="s">
        <v>383</v>
      </c>
      <c r="C77" s="136">
        <v>210</v>
      </c>
      <c r="D77" s="136"/>
      <c r="E77" s="136">
        <f t="shared" si="0"/>
        <v>1322</v>
      </c>
      <c r="F77" s="136"/>
      <c r="G77" s="136"/>
    </row>
    <row r="78" spans="1:7" x14ac:dyDescent="0.25">
      <c r="A78" s="152" t="s">
        <v>483</v>
      </c>
      <c r="B78" s="136" t="s">
        <v>346</v>
      </c>
      <c r="C78" s="136"/>
      <c r="D78" s="136">
        <v>100</v>
      </c>
      <c r="E78" s="136">
        <f t="shared" si="0"/>
        <v>1222</v>
      </c>
      <c r="F78" s="136" t="s">
        <v>17</v>
      </c>
      <c r="G78" s="136"/>
    </row>
    <row r="79" spans="1:7" x14ac:dyDescent="0.25">
      <c r="A79" s="138" t="s">
        <v>485</v>
      </c>
      <c r="B79" s="136" t="s">
        <v>402</v>
      </c>
      <c r="C79" s="136"/>
      <c r="D79" s="136">
        <v>500</v>
      </c>
      <c r="E79" s="136">
        <f t="shared" si="0"/>
        <v>722</v>
      </c>
      <c r="F79" s="136" t="s">
        <v>487</v>
      </c>
      <c r="G79" s="136"/>
    </row>
    <row r="80" spans="1:7" x14ac:dyDescent="0.25">
      <c r="A80" s="152" t="s">
        <v>485</v>
      </c>
      <c r="B80" s="136" t="s">
        <v>283</v>
      </c>
      <c r="C80" s="136">
        <v>138</v>
      </c>
      <c r="D80" s="136"/>
      <c r="E80" s="136">
        <f t="shared" ref="E80:E97" si="1">E79+C80-D80</f>
        <v>860</v>
      </c>
      <c r="F80" s="136"/>
      <c r="G80" s="136"/>
    </row>
    <row r="81" spans="1:7" x14ac:dyDescent="0.25">
      <c r="A81" s="258" t="s">
        <v>490</v>
      </c>
      <c r="B81" s="136" t="s">
        <v>402</v>
      </c>
      <c r="C81" s="136"/>
      <c r="D81" s="136">
        <v>300</v>
      </c>
      <c r="E81" s="136">
        <f t="shared" si="1"/>
        <v>560</v>
      </c>
      <c r="F81" s="136" t="s">
        <v>495</v>
      </c>
      <c r="G81" s="136"/>
    </row>
    <row r="82" spans="1:7" x14ac:dyDescent="0.25">
      <c r="A82" s="138" t="s">
        <v>496</v>
      </c>
      <c r="B82" s="136" t="s">
        <v>488</v>
      </c>
      <c r="C82" s="136">
        <v>78</v>
      </c>
      <c r="D82" s="136"/>
      <c r="E82" s="136">
        <f t="shared" si="1"/>
        <v>638</v>
      </c>
      <c r="F82" s="136"/>
      <c r="G82" s="136"/>
    </row>
    <row r="83" spans="1:7" x14ac:dyDescent="0.25">
      <c r="A83" s="138" t="s">
        <v>502</v>
      </c>
      <c r="B83" s="136" t="s">
        <v>503</v>
      </c>
      <c r="C83" s="136">
        <v>63</v>
      </c>
      <c r="D83" s="136"/>
      <c r="E83" s="136">
        <f t="shared" si="1"/>
        <v>701</v>
      </c>
      <c r="F83" s="136"/>
      <c r="G83" s="136"/>
    </row>
    <row r="84" spans="1:7" x14ac:dyDescent="0.25">
      <c r="A84" s="138" t="s">
        <v>504</v>
      </c>
      <c r="B84" s="136" t="s">
        <v>402</v>
      </c>
      <c r="C84" s="136"/>
      <c r="D84" s="136">
        <v>200</v>
      </c>
      <c r="E84" s="136">
        <f t="shared" si="1"/>
        <v>501</v>
      </c>
      <c r="F84" s="136" t="s">
        <v>507</v>
      </c>
      <c r="G84" s="136"/>
    </row>
    <row r="85" spans="1:7" x14ac:dyDescent="0.25">
      <c r="A85" s="138" t="s">
        <v>509</v>
      </c>
      <c r="B85" s="136" t="s">
        <v>105</v>
      </c>
      <c r="C85" s="136">
        <v>1000</v>
      </c>
      <c r="D85" s="136"/>
      <c r="E85" s="136">
        <f t="shared" si="1"/>
        <v>1501</v>
      </c>
      <c r="F85" s="136"/>
      <c r="G85" s="136"/>
    </row>
    <row r="86" spans="1:7" ht="15.75" x14ac:dyDescent="0.25">
      <c r="A86" s="152" t="s">
        <v>509</v>
      </c>
      <c r="B86" s="136" t="s">
        <v>513</v>
      </c>
      <c r="C86" s="136"/>
      <c r="D86" s="136">
        <v>300</v>
      </c>
      <c r="E86" s="136">
        <f t="shared" si="1"/>
        <v>1201</v>
      </c>
      <c r="F86" s="136" t="s">
        <v>514</v>
      </c>
      <c r="G86" s="161"/>
    </row>
    <row r="87" spans="1:7" x14ac:dyDescent="0.25">
      <c r="A87" s="238" t="s">
        <v>517</v>
      </c>
      <c r="B87" s="136" t="s">
        <v>519</v>
      </c>
      <c r="C87" s="136">
        <v>149</v>
      </c>
      <c r="D87" s="136"/>
      <c r="E87" s="136">
        <f t="shared" si="1"/>
        <v>1350</v>
      </c>
      <c r="F87" s="136"/>
      <c r="G87" s="136"/>
    </row>
    <row r="88" spans="1:7" x14ac:dyDescent="0.25">
      <c r="A88" s="152" t="s">
        <v>517</v>
      </c>
      <c r="B88" s="136" t="s">
        <v>402</v>
      </c>
      <c r="C88" s="136"/>
      <c r="D88" s="136">
        <v>230</v>
      </c>
      <c r="E88" s="136">
        <f t="shared" si="1"/>
        <v>1120</v>
      </c>
      <c r="F88" s="136" t="s">
        <v>521</v>
      </c>
      <c r="G88" s="136"/>
    </row>
    <row r="89" spans="1:7" x14ac:dyDescent="0.25">
      <c r="A89" s="152" t="s">
        <v>517</v>
      </c>
      <c r="B89" s="136" t="s">
        <v>522</v>
      </c>
      <c r="C89" s="136"/>
      <c r="D89" s="136">
        <v>500</v>
      </c>
      <c r="E89" s="136">
        <f t="shared" si="1"/>
        <v>620</v>
      </c>
      <c r="F89" s="136" t="s">
        <v>523</v>
      </c>
      <c r="G89" s="136"/>
    </row>
    <row r="90" spans="1:7" x14ac:dyDescent="0.25">
      <c r="A90" s="152" t="s">
        <v>533</v>
      </c>
      <c r="B90" s="136" t="s">
        <v>531</v>
      </c>
      <c r="C90" s="136">
        <v>600</v>
      </c>
      <c r="D90" s="136"/>
      <c r="E90" s="136">
        <f t="shared" si="1"/>
        <v>1220</v>
      </c>
      <c r="F90" s="136"/>
      <c r="G90" s="136"/>
    </row>
    <row r="91" spans="1:7" x14ac:dyDescent="0.25">
      <c r="A91" s="138" t="s">
        <v>533</v>
      </c>
      <c r="B91" s="136" t="s">
        <v>526</v>
      </c>
      <c r="C91" s="136">
        <v>193</v>
      </c>
      <c r="D91" s="136"/>
      <c r="E91" s="136">
        <f t="shared" si="1"/>
        <v>1413</v>
      </c>
      <c r="F91" s="136"/>
      <c r="G91" s="136"/>
    </row>
    <row r="92" spans="1:7" x14ac:dyDescent="0.25">
      <c r="A92" s="258" t="s">
        <v>533</v>
      </c>
      <c r="B92" s="136" t="s">
        <v>402</v>
      </c>
      <c r="C92" s="136"/>
      <c r="D92" s="136">
        <v>760</v>
      </c>
      <c r="E92" s="136">
        <f t="shared" si="1"/>
        <v>653</v>
      </c>
      <c r="F92" s="136" t="s">
        <v>537</v>
      </c>
      <c r="G92" s="136"/>
    </row>
    <row r="93" spans="1:7" x14ac:dyDescent="0.25">
      <c r="A93" s="152" t="s">
        <v>540</v>
      </c>
      <c r="B93" s="136" t="s">
        <v>402</v>
      </c>
      <c r="C93" s="136"/>
      <c r="D93" s="136">
        <v>810</v>
      </c>
      <c r="E93" s="136">
        <v>0</v>
      </c>
      <c r="F93" s="136" t="s">
        <v>541</v>
      </c>
      <c r="G93" s="136"/>
    </row>
    <row r="94" spans="1:7" x14ac:dyDescent="0.25">
      <c r="A94" s="152" t="s">
        <v>542</v>
      </c>
      <c r="B94" s="136" t="s">
        <v>519</v>
      </c>
      <c r="C94" s="136">
        <v>134</v>
      </c>
      <c r="D94" s="136"/>
      <c r="E94" s="136">
        <f t="shared" si="1"/>
        <v>134</v>
      </c>
      <c r="F94" s="136"/>
      <c r="G94" s="136"/>
    </row>
    <row r="95" spans="1:7" x14ac:dyDescent="0.25">
      <c r="A95" s="152" t="s">
        <v>542</v>
      </c>
      <c r="B95" s="136" t="s">
        <v>519</v>
      </c>
      <c r="C95" s="136">
        <v>81</v>
      </c>
      <c r="D95" s="136"/>
      <c r="E95" s="136">
        <f t="shared" si="1"/>
        <v>215</v>
      </c>
      <c r="F95" s="136"/>
      <c r="G95" s="136"/>
    </row>
    <row r="96" spans="1:7" x14ac:dyDescent="0.25">
      <c r="A96" s="152" t="s">
        <v>545</v>
      </c>
      <c r="B96" s="136" t="s">
        <v>524</v>
      </c>
      <c r="C96" s="136">
        <v>67</v>
      </c>
      <c r="D96" s="136"/>
      <c r="E96" s="136">
        <f t="shared" si="1"/>
        <v>282</v>
      </c>
      <c r="F96" s="136"/>
      <c r="G96" s="136"/>
    </row>
    <row r="97" spans="1:7" x14ac:dyDescent="0.25">
      <c r="A97" s="138" t="s">
        <v>549</v>
      </c>
      <c r="B97" s="136" t="s">
        <v>552</v>
      </c>
      <c r="C97" s="136"/>
      <c r="D97" s="136">
        <v>100</v>
      </c>
      <c r="E97" s="136">
        <f t="shared" si="1"/>
        <v>182</v>
      </c>
      <c r="F97" s="136"/>
      <c r="G97" s="136"/>
    </row>
    <row r="98" spans="1:7" x14ac:dyDescent="0.25">
      <c r="A98" s="152" t="s">
        <v>549</v>
      </c>
      <c r="B98" s="136" t="s">
        <v>402</v>
      </c>
      <c r="C98" s="136"/>
      <c r="D98" s="136">
        <v>225</v>
      </c>
      <c r="E98" s="136">
        <v>0</v>
      </c>
      <c r="F98" s="136" t="s">
        <v>553</v>
      </c>
      <c r="G98" s="136"/>
    </row>
    <row r="99" spans="1:7" x14ac:dyDescent="0.25">
      <c r="A99" s="138" t="s">
        <v>554</v>
      </c>
      <c r="B99" s="136" t="s">
        <v>105</v>
      </c>
      <c r="C99" s="136">
        <v>1000</v>
      </c>
      <c r="D99" s="136"/>
      <c r="E99" s="136">
        <v>1000</v>
      </c>
      <c r="F99" s="136"/>
      <c r="G99" s="136"/>
    </row>
    <row r="100" spans="1:7" x14ac:dyDescent="0.25">
      <c r="A100" s="138" t="s">
        <v>554</v>
      </c>
      <c r="B100" s="136" t="s">
        <v>383</v>
      </c>
      <c r="C100" s="136">
        <v>300</v>
      </c>
      <c r="D100" s="136"/>
      <c r="E100" s="136">
        <f>E99+C100-D100</f>
        <v>1300</v>
      </c>
      <c r="F100" s="136"/>
      <c r="G100" s="136"/>
    </row>
    <row r="101" spans="1:7" x14ac:dyDescent="0.25">
      <c r="A101" s="152" t="s">
        <v>559</v>
      </c>
      <c r="B101" s="136" t="s">
        <v>561</v>
      </c>
      <c r="C101" s="136"/>
      <c r="D101" s="136">
        <v>200</v>
      </c>
      <c r="E101" s="136">
        <f t="shared" ref="E101:E154" si="2">E100+C101-D101</f>
        <v>1100</v>
      </c>
      <c r="F101" s="136" t="s">
        <v>17</v>
      </c>
      <c r="G101" s="136"/>
    </row>
    <row r="102" spans="1:7" x14ac:dyDescent="0.25">
      <c r="A102" s="152" t="s">
        <v>559</v>
      </c>
      <c r="B102" s="136" t="s">
        <v>283</v>
      </c>
      <c r="C102" s="136">
        <v>127</v>
      </c>
      <c r="D102" s="136"/>
      <c r="E102" s="136">
        <f t="shared" si="2"/>
        <v>1227</v>
      </c>
      <c r="F102" s="136"/>
      <c r="G102" s="136"/>
    </row>
    <row r="103" spans="1:7" x14ac:dyDescent="0.25">
      <c r="A103" s="152" t="s">
        <v>562</v>
      </c>
      <c r="B103" s="136" t="s">
        <v>124</v>
      </c>
      <c r="C103" s="136"/>
      <c r="D103" s="136">
        <v>300</v>
      </c>
      <c r="E103" s="136">
        <f t="shared" si="2"/>
        <v>927</v>
      </c>
      <c r="F103" s="136" t="s">
        <v>565</v>
      </c>
      <c r="G103" s="136"/>
    </row>
    <row r="104" spans="1:7" x14ac:dyDescent="0.25">
      <c r="A104" s="152" t="s">
        <v>567</v>
      </c>
      <c r="B104" s="136" t="s">
        <v>526</v>
      </c>
      <c r="C104" s="136">
        <v>102</v>
      </c>
      <c r="D104" s="136"/>
      <c r="E104" s="136">
        <f t="shared" si="2"/>
        <v>1029</v>
      </c>
      <c r="F104" s="136"/>
      <c r="G104" s="136"/>
    </row>
    <row r="105" spans="1:7" x14ac:dyDescent="0.25">
      <c r="A105" s="138" t="s">
        <v>569</v>
      </c>
      <c r="B105" s="136" t="s">
        <v>544</v>
      </c>
      <c r="C105" s="136">
        <v>40</v>
      </c>
      <c r="D105" s="136"/>
      <c r="E105" s="136">
        <f t="shared" si="2"/>
        <v>1069</v>
      </c>
      <c r="F105" s="136"/>
      <c r="G105" s="136"/>
    </row>
    <row r="106" spans="1:7" x14ac:dyDescent="0.25">
      <c r="A106" s="138" t="s">
        <v>569</v>
      </c>
      <c r="B106" s="136" t="s">
        <v>572</v>
      </c>
      <c r="C106" s="136"/>
      <c r="D106" s="136">
        <v>84</v>
      </c>
      <c r="E106" s="136">
        <f t="shared" si="2"/>
        <v>985</v>
      </c>
      <c r="F106" s="136" t="s">
        <v>17</v>
      </c>
      <c r="G106" s="136"/>
    </row>
    <row r="107" spans="1:7" x14ac:dyDescent="0.25">
      <c r="A107" s="152" t="s">
        <v>573</v>
      </c>
      <c r="B107" s="136" t="s">
        <v>574</v>
      </c>
      <c r="C107" s="136"/>
      <c r="D107" s="136">
        <v>200</v>
      </c>
      <c r="E107" s="136">
        <f t="shared" si="2"/>
        <v>785</v>
      </c>
      <c r="F107" s="136" t="s">
        <v>17</v>
      </c>
      <c r="G107" s="136"/>
    </row>
    <row r="108" spans="1:7" x14ac:dyDescent="0.25">
      <c r="A108" s="152" t="s">
        <v>573</v>
      </c>
      <c r="B108" s="136" t="s">
        <v>575</v>
      </c>
      <c r="C108" s="136">
        <v>112</v>
      </c>
      <c r="D108" s="136"/>
      <c r="E108" s="136">
        <f t="shared" si="2"/>
        <v>897</v>
      </c>
      <c r="F108" s="136"/>
      <c r="G108" s="136"/>
    </row>
    <row r="109" spans="1:7" x14ac:dyDescent="0.25">
      <c r="A109" s="152" t="s">
        <v>577</v>
      </c>
      <c r="B109" s="136" t="s">
        <v>526</v>
      </c>
      <c r="C109" s="136">
        <v>165</v>
      </c>
      <c r="D109" s="136"/>
      <c r="E109" s="136">
        <f t="shared" si="2"/>
        <v>1062</v>
      </c>
      <c r="F109" s="136"/>
      <c r="G109" s="136"/>
    </row>
    <row r="110" spans="1:7" x14ac:dyDescent="0.25">
      <c r="A110" s="152" t="s">
        <v>577</v>
      </c>
      <c r="B110" s="136" t="s">
        <v>283</v>
      </c>
      <c r="C110" s="136">
        <v>56</v>
      </c>
      <c r="D110" s="136"/>
      <c r="E110" s="136">
        <f t="shared" si="2"/>
        <v>1118</v>
      </c>
      <c r="F110" s="136"/>
      <c r="G110" s="136"/>
    </row>
    <row r="111" spans="1:7" x14ac:dyDescent="0.25">
      <c r="A111" s="152" t="s">
        <v>577</v>
      </c>
      <c r="B111" s="136" t="s">
        <v>488</v>
      </c>
      <c r="C111" s="136">
        <v>93</v>
      </c>
      <c r="D111" s="136"/>
      <c r="E111" s="136">
        <f t="shared" si="2"/>
        <v>1211</v>
      </c>
      <c r="F111" s="136"/>
      <c r="G111" s="136"/>
    </row>
    <row r="112" spans="1:7" x14ac:dyDescent="0.25">
      <c r="A112" s="152" t="s">
        <v>581</v>
      </c>
      <c r="B112" s="136" t="s">
        <v>550</v>
      </c>
      <c r="C112" s="136"/>
      <c r="D112" s="136">
        <v>200</v>
      </c>
      <c r="E112" s="136">
        <f t="shared" si="2"/>
        <v>1011</v>
      </c>
      <c r="F112" s="136" t="s">
        <v>582</v>
      </c>
      <c r="G112" s="136"/>
    </row>
    <row r="113" spans="1:7" x14ac:dyDescent="0.25">
      <c r="A113" s="138" t="s">
        <v>581</v>
      </c>
      <c r="B113" s="136" t="s">
        <v>583</v>
      </c>
      <c r="C113" s="136"/>
      <c r="D113" s="136">
        <v>220</v>
      </c>
      <c r="E113" s="136">
        <f t="shared" si="2"/>
        <v>791</v>
      </c>
      <c r="F113" s="136" t="s">
        <v>584</v>
      </c>
      <c r="G113" s="136"/>
    </row>
    <row r="114" spans="1:7" x14ac:dyDescent="0.25">
      <c r="A114" s="152" t="s">
        <v>591</v>
      </c>
      <c r="B114" s="136" t="s">
        <v>550</v>
      </c>
      <c r="C114" s="136"/>
      <c r="D114" s="136">
        <v>600</v>
      </c>
      <c r="E114" s="136">
        <f t="shared" si="2"/>
        <v>191</v>
      </c>
      <c r="F114" s="136" t="s">
        <v>592</v>
      </c>
      <c r="G114" s="136"/>
    </row>
    <row r="115" spans="1:7" x14ac:dyDescent="0.25">
      <c r="A115" s="167">
        <v>8106</v>
      </c>
      <c r="B115" s="136" t="s">
        <v>383</v>
      </c>
      <c r="C115" s="136">
        <v>6</v>
      </c>
      <c r="D115" s="136"/>
      <c r="E115" s="136">
        <f t="shared" si="2"/>
        <v>197</v>
      </c>
      <c r="F115" s="136"/>
      <c r="G115" s="136"/>
    </row>
    <row r="116" spans="1:7" x14ac:dyDescent="0.25">
      <c r="A116" s="121" t="s">
        <v>595</v>
      </c>
      <c r="B116" s="36" t="s">
        <v>601</v>
      </c>
      <c r="C116" s="36">
        <v>58</v>
      </c>
      <c r="D116" s="136"/>
      <c r="E116" s="136">
        <f t="shared" si="2"/>
        <v>255</v>
      </c>
      <c r="F116" s="136"/>
      <c r="G116" s="136"/>
    </row>
    <row r="117" spans="1:7" x14ac:dyDescent="0.25">
      <c r="A117" s="152" t="s">
        <v>602</v>
      </c>
      <c r="B117" s="136" t="s">
        <v>382</v>
      </c>
      <c r="C117" s="136"/>
      <c r="D117" s="136">
        <v>96</v>
      </c>
      <c r="E117" s="136">
        <f t="shared" si="2"/>
        <v>159</v>
      </c>
      <c r="F117" s="136" t="s">
        <v>603</v>
      </c>
      <c r="G117" s="136"/>
    </row>
    <row r="118" spans="1:7" x14ac:dyDescent="0.25">
      <c r="A118" s="152" t="s">
        <v>602</v>
      </c>
      <c r="B118" s="136" t="s">
        <v>544</v>
      </c>
      <c r="C118" s="136">
        <v>900</v>
      </c>
      <c r="D118" s="136"/>
      <c r="E118" s="136">
        <f t="shared" si="2"/>
        <v>1059</v>
      </c>
      <c r="F118" s="136"/>
      <c r="G118" s="136"/>
    </row>
    <row r="119" spans="1:7" x14ac:dyDescent="0.25">
      <c r="A119" s="138" t="s">
        <v>625</v>
      </c>
      <c r="B119" s="136" t="s">
        <v>626</v>
      </c>
      <c r="C119" s="136">
        <v>2</v>
      </c>
      <c r="D119" s="136"/>
      <c r="E119" s="136">
        <f t="shared" si="2"/>
        <v>1061</v>
      </c>
      <c r="F119" s="136"/>
      <c r="G119" s="136"/>
    </row>
    <row r="120" spans="1:7" x14ac:dyDescent="0.25">
      <c r="A120" s="152" t="s">
        <v>627</v>
      </c>
      <c r="B120" s="136" t="s">
        <v>544</v>
      </c>
      <c r="C120" s="136">
        <v>64</v>
      </c>
      <c r="D120" s="136"/>
      <c r="E120" s="136">
        <f t="shared" si="2"/>
        <v>1125</v>
      </c>
      <c r="F120" s="136"/>
      <c r="G120" s="136"/>
    </row>
    <row r="121" spans="1:7" x14ac:dyDescent="0.25">
      <c r="A121" s="152" t="s">
        <v>634</v>
      </c>
      <c r="B121" s="136" t="s">
        <v>635</v>
      </c>
      <c r="C121" s="136"/>
      <c r="D121" s="136">
        <v>800</v>
      </c>
      <c r="E121" s="136">
        <f t="shared" si="2"/>
        <v>325</v>
      </c>
      <c r="F121" s="136" t="s">
        <v>636</v>
      </c>
      <c r="G121" s="136"/>
    </row>
    <row r="122" spans="1:7" x14ac:dyDescent="0.25">
      <c r="A122" s="152" t="s">
        <v>634</v>
      </c>
      <c r="B122" s="136" t="s">
        <v>519</v>
      </c>
      <c r="C122" s="136">
        <v>38</v>
      </c>
      <c r="D122" s="136"/>
      <c r="E122" s="136">
        <f t="shared" si="2"/>
        <v>363</v>
      </c>
      <c r="F122" s="136"/>
      <c r="G122" s="136"/>
    </row>
    <row r="123" spans="1:7" x14ac:dyDescent="0.25">
      <c r="A123" s="152" t="s">
        <v>637</v>
      </c>
      <c r="B123" s="136" t="s">
        <v>638</v>
      </c>
      <c r="C123" s="136"/>
      <c r="D123" s="136">
        <v>94</v>
      </c>
      <c r="E123" s="136">
        <f t="shared" si="2"/>
        <v>269</v>
      </c>
      <c r="F123" s="136" t="s">
        <v>642</v>
      </c>
      <c r="G123" s="136"/>
    </row>
    <row r="124" spans="1:7" x14ac:dyDescent="0.25">
      <c r="A124" s="152" t="s">
        <v>637</v>
      </c>
      <c r="B124" s="136" t="s">
        <v>488</v>
      </c>
      <c r="C124" s="136">
        <v>28</v>
      </c>
      <c r="D124" s="136"/>
      <c r="E124" s="136">
        <f t="shared" si="2"/>
        <v>297</v>
      </c>
      <c r="F124" s="136"/>
      <c r="G124" s="136"/>
    </row>
    <row r="125" spans="1:7" x14ac:dyDescent="0.25">
      <c r="A125" s="152" t="s">
        <v>647</v>
      </c>
      <c r="B125" s="136" t="s">
        <v>526</v>
      </c>
      <c r="C125" s="136">
        <v>133</v>
      </c>
      <c r="D125" s="136"/>
      <c r="E125" s="136">
        <f t="shared" si="2"/>
        <v>430</v>
      </c>
      <c r="F125" s="136"/>
      <c r="G125" s="136"/>
    </row>
    <row r="126" spans="1:7" x14ac:dyDescent="0.25">
      <c r="A126" s="121" t="s">
        <v>655</v>
      </c>
      <c r="B126" s="36" t="s">
        <v>656</v>
      </c>
      <c r="C126" s="36"/>
      <c r="D126" s="36">
        <v>200</v>
      </c>
      <c r="E126" s="136">
        <f t="shared" si="2"/>
        <v>230</v>
      </c>
      <c r="F126" s="36" t="s">
        <v>17</v>
      </c>
      <c r="G126" s="136"/>
    </row>
    <row r="127" spans="1:7" x14ac:dyDescent="0.25">
      <c r="A127" s="121" t="s">
        <v>655</v>
      </c>
      <c r="B127" s="36" t="s">
        <v>657</v>
      </c>
      <c r="C127" s="36"/>
      <c r="D127" s="36">
        <v>150</v>
      </c>
      <c r="E127" s="136">
        <f t="shared" si="2"/>
        <v>80</v>
      </c>
      <c r="F127" s="36" t="s">
        <v>17</v>
      </c>
      <c r="G127" s="136"/>
    </row>
    <row r="128" spans="1:7" x14ac:dyDescent="0.25">
      <c r="A128" s="121" t="s">
        <v>655</v>
      </c>
      <c r="B128" s="36" t="s">
        <v>105</v>
      </c>
      <c r="C128" s="36">
        <v>350</v>
      </c>
      <c r="D128" s="136"/>
      <c r="E128" s="136">
        <f t="shared" si="2"/>
        <v>430</v>
      </c>
      <c r="F128" s="136"/>
      <c r="G128" s="136"/>
    </row>
    <row r="129" spans="1:7" x14ac:dyDescent="0.25">
      <c r="A129" s="138" t="s">
        <v>655</v>
      </c>
      <c r="B129" s="136" t="s">
        <v>526</v>
      </c>
      <c r="C129" s="136">
        <v>16</v>
      </c>
      <c r="D129" s="136"/>
      <c r="E129" s="136">
        <f t="shared" si="2"/>
        <v>446</v>
      </c>
      <c r="F129" s="136"/>
      <c r="G129" s="136"/>
    </row>
    <row r="130" spans="1:7" x14ac:dyDescent="0.25">
      <c r="A130" s="138" t="s">
        <v>655</v>
      </c>
      <c r="B130" s="136" t="s">
        <v>526</v>
      </c>
      <c r="C130" s="136">
        <v>148</v>
      </c>
      <c r="D130" s="136"/>
      <c r="E130" s="136">
        <f t="shared" si="2"/>
        <v>594</v>
      </c>
      <c r="F130" s="136"/>
      <c r="G130" s="136"/>
    </row>
    <row r="131" spans="1:7" x14ac:dyDescent="0.25">
      <c r="A131" s="152" t="s">
        <v>655</v>
      </c>
      <c r="B131" s="136" t="s">
        <v>257</v>
      </c>
      <c r="C131" s="136">
        <v>400</v>
      </c>
      <c r="D131" s="136"/>
      <c r="E131" s="136">
        <f t="shared" si="2"/>
        <v>994</v>
      </c>
      <c r="F131" s="136"/>
      <c r="G131" s="136"/>
    </row>
    <row r="132" spans="1:7" x14ac:dyDescent="0.25">
      <c r="A132" s="138" t="s">
        <v>658</v>
      </c>
      <c r="B132" s="136" t="s">
        <v>488</v>
      </c>
      <c r="C132" s="136">
        <v>22</v>
      </c>
      <c r="D132" s="136"/>
      <c r="E132" s="136">
        <f t="shared" si="2"/>
        <v>1016</v>
      </c>
      <c r="F132" s="136"/>
      <c r="G132" s="136"/>
    </row>
    <row r="133" spans="1:7" ht="15.75" x14ac:dyDescent="0.25">
      <c r="A133" s="246" t="s">
        <v>658</v>
      </c>
      <c r="B133" s="161" t="s">
        <v>664</v>
      </c>
      <c r="C133" s="161">
        <v>15</v>
      </c>
      <c r="D133" s="136"/>
      <c r="E133" s="136">
        <f t="shared" si="2"/>
        <v>1031</v>
      </c>
      <c r="F133" s="136"/>
      <c r="G133" s="136"/>
    </row>
    <row r="134" spans="1:7" ht="15.75" x14ac:dyDescent="0.25">
      <c r="A134" s="246" t="s">
        <v>658</v>
      </c>
      <c r="B134" s="136" t="s">
        <v>283</v>
      </c>
      <c r="C134" s="136">
        <v>81</v>
      </c>
      <c r="D134" s="136"/>
      <c r="E134" s="136">
        <f t="shared" si="2"/>
        <v>1112</v>
      </c>
      <c r="F134" s="136"/>
      <c r="G134" s="136"/>
    </row>
    <row r="135" spans="1:7" ht="15.75" x14ac:dyDescent="0.25">
      <c r="A135" s="246" t="s">
        <v>668</v>
      </c>
      <c r="B135" s="136" t="s">
        <v>341</v>
      </c>
      <c r="C135" s="136">
        <v>3</v>
      </c>
      <c r="D135" s="136"/>
      <c r="E135" s="136">
        <f t="shared" si="2"/>
        <v>1115</v>
      </c>
      <c r="F135" s="136"/>
      <c r="G135" s="136"/>
    </row>
    <row r="136" spans="1:7" x14ac:dyDescent="0.25">
      <c r="A136" s="152" t="s">
        <v>669</v>
      </c>
      <c r="B136" s="136" t="s">
        <v>257</v>
      </c>
      <c r="C136" s="136">
        <v>563</v>
      </c>
      <c r="D136" s="136"/>
      <c r="E136" s="136">
        <f t="shared" si="2"/>
        <v>1678</v>
      </c>
      <c r="F136" s="136"/>
      <c r="G136" s="136"/>
    </row>
    <row r="137" spans="1:7" x14ac:dyDescent="0.25">
      <c r="A137" s="152" t="s">
        <v>683</v>
      </c>
      <c r="B137" s="136" t="s">
        <v>535</v>
      </c>
      <c r="C137" s="136"/>
      <c r="D137" s="136">
        <v>80</v>
      </c>
      <c r="E137" s="136">
        <f t="shared" si="2"/>
        <v>1598</v>
      </c>
      <c r="F137" s="136" t="s">
        <v>684</v>
      </c>
      <c r="G137" s="136"/>
    </row>
    <row r="138" spans="1:7" x14ac:dyDescent="0.25">
      <c r="A138" s="138" t="s">
        <v>683</v>
      </c>
      <c r="B138" s="136" t="s">
        <v>687</v>
      </c>
      <c r="C138" s="136">
        <v>24</v>
      </c>
      <c r="D138" s="136"/>
      <c r="E138" s="136">
        <f t="shared" si="2"/>
        <v>1622</v>
      </c>
      <c r="F138" s="136"/>
      <c r="G138" s="136"/>
    </row>
    <row r="139" spans="1:7" x14ac:dyDescent="0.25">
      <c r="A139" s="152" t="s">
        <v>689</v>
      </c>
      <c r="B139" s="136" t="s">
        <v>638</v>
      </c>
      <c r="C139" s="136"/>
      <c r="D139" s="136">
        <v>300</v>
      </c>
      <c r="E139" s="136">
        <f t="shared" si="2"/>
        <v>1322</v>
      </c>
      <c r="F139" s="136" t="s">
        <v>690</v>
      </c>
      <c r="G139" s="136"/>
    </row>
    <row r="140" spans="1:7" x14ac:dyDescent="0.25">
      <c r="A140" s="152" t="s">
        <v>689</v>
      </c>
      <c r="B140" s="136" t="s">
        <v>257</v>
      </c>
      <c r="C140" s="136">
        <v>280</v>
      </c>
      <c r="D140" s="136"/>
      <c r="E140" s="136">
        <f t="shared" si="2"/>
        <v>1602</v>
      </c>
      <c r="F140" s="136"/>
      <c r="G140" s="136"/>
    </row>
    <row r="141" spans="1:7" x14ac:dyDescent="0.25">
      <c r="A141" s="138" t="s">
        <v>695</v>
      </c>
      <c r="B141" s="136" t="s">
        <v>638</v>
      </c>
      <c r="C141" s="136"/>
      <c r="D141" s="136">
        <v>500</v>
      </c>
      <c r="E141" s="136">
        <f t="shared" si="2"/>
        <v>1102</v>
      </c>
      <c r="F141" s="136" t="s">
        <v>697</v>
      </c>
      <c r="G141" s="136"/>
    </row>
    <row r="142" spans="1:7" x14ac:dyDescent="0.25">
      <c r="A142" s="138" t="s">
        <v>695</v>
      </c>
      <c r="B142" s="136" t="s">
        <v>283</v>
      </c>
      <c r="C142" s="136">
        <v>146</v>
      </c>
      <c r="D142" s="136"/>
      <c r="E142" s="136">
        <f t="shared" si="2"/>
        <v>1248</v>
      </c>
      <c r="F142" s="136"/>
      <c r="G142" s="136"/>
    </row>
    <row r="143" spans="1:7" ht="15.75" x14ac:dyDescent="0.25">
      <c r="A143" s="246" t="s">
        <v>715</v>
      </c>
      <c r="B143" s="161" t="s">
        <v>275</v>
      </c>
      <c r="C143" s="161"/>
      <c r="D143" s="161">
        <v>100</v>
      </c>
      <c r="E143" s="136">
        <f t="shared" si="2"/>
        <v>1148</v>
      </c>
      <c r="F143" s="161" t="s">
        <v>717</v>
      </c>
      <c r="G143" s="136"/>
    </row>
    <row r="144" spans="1:7" ht="15.75" x14ac:dyDescent="0.25">
      <c r="A144" s="246" t="s">
        <v>715</v>
      </c>
      <c r="B144" s="136" t="s">
        <v>522</v>
      </c>
      <c r="C144" s="136">
        <v>200</v>
      </c>
      <c r="D144" s="136"/>
      <c r="E144" s="136">
        <f t="shared" si="2"/>
        <v>1348</v>
      </c>
      <c r="F144" s="136"/>
      <c r="G144" s="136"/>
    </row>
    <row r="145" spans="1:7" x14ac:dyDescent="0.25">
      <c r="A145" s="121" t="s">
        <v>718</v>
      </c>
      <c r="B145" s="36" t="s">
        <v>716</v>
      </c>
      <c r="C145" s="36"/>
      <c r="D145" s="36">
        <v>180</v>
      </c>
      <c r="E145" s="136">
        <f t="shared" si="2"/>
        <v>1168</v>
      </c>
      <c r="F145" s="136" t="s">
        <v>17</v>
      </c>
      <c r="G145" s="136"/>
    </row>
    <row r="146" spans="1:7" x14ac:dyDescent="0.25">
      <c r="A146" s="121" t="s">
        <v>718</v>
      </c>
      <c r="B146" s="136" t="s">
        <v>484</v>
      </c>
      <c r="C146" s="136">
        <v>80</v>
      </c>
      <c r="D146" s="136"/>
      <c r="E146" s="136">
        <f t="shared" si="2"/>
        <v>1248</v>
      </c>
      <c r="F146" s="136"/>
      <c r="G146" s="136"/>
    </row>
    <row r="147" spans="1:7" x14ac:dyDescent="0.25">
      <c r="A147" s="138" t="s">
        <v>719</v>
      </c>
      <c r="B147" s="136" t="s">
        <v>721</v>
      </c>
      <c r="C147" s="136"/>
      <c r="D147" s="136">
        <v>200</v>
      </c>
      <c r="E147" s="136">
        <f t="shared" si="2"/>
        <v>1048</v>
      </c>
      <c r="F147" s="136" t="s">
        <v>722</v>
      </c>
      <c r="G147" s="136"/>
    </row>
    <row r="148" spans="1:7" x14ac:dyDescent="0.25">
      <c r="A148" s="152" t="s">
        <v>715</v>
      </c>
      <c r="B148" s="136" t="s">
        <v>257</v>
      </c>
      <c r="C148" s="136">
        <v>10</v>
      </c>
      <c r="D148" s="136"/>
      <c r="E148" s="136">
        <f t="shared" si="2"/>
        <v>1058</v>
      </c>
      <c r="F148" s="136"/>
      <c r="G148" s="136"/>
    </row>
    <row r="149" spans="1:7" x14ac:dyDescent="0.25">
      <c r="A149" s="152" t="s">
        <v>724</v>
      </c>
      <c r="B149" s="136" t="s">
        <v>275</v>
      </c>
      <c r="C149" s="136"/>
      <c r="D149" s="136">
        <v>140</v>
      </c>
      <c r="E149" s="136">
        <f t="shared" si="2"/>
        <v>918</v>
      </c>
      <c r="F149" s="136" t="s">
        <v>725</v>
      </c>
      <c r="G149" s="136"/>
    </row>
    <row r="150" spans="1:7" x14ac:dyDescent="0.25">
      <c r="A150" s="152" t="s">
        <v>724</v>
      </c>
      <c r="B150" s="136" t="s">
        <v>526</v>
      </c>
      <c r="C150" s="136">
        <v>13</v>
      </c>
      <c r="D150" s="136"/>
      <c r="E150" s="136">
        <f t="shared" si="2"/>
        <v>931</v>
      </c>
      <c r="F150" s="136"/>
      <c r="G150" s="136"/>
    </row>
    <row r="151" spans="1:7" x14ac:dyDescent="0.25">
      <c r="A151" s="138" t="s">
        <v>728</v>
      </c>
      <c r="B151" s="136" t="s">
        <v>721</v>
      </c>
      <c r="C151" s="136"/>
      <c r="D151" s="136">
        <v>328</v>
      </c>
      <c r="E151" s="136">
        <f t="shared" si="2"/>
        <v>603</v>
      </c>
      <c r="F151" s="136" t="s">
        <v>729</v>
      </c>
      <c r="G151" s="136"/>
    </row>
    <row r="152" spans="1:7" x14ac:dyDescent="0.25">
      <c r="A152" s="152" t="s">
        <v>735</v>
      </c>
      <c r="B152" s="136" t="s">
        <v>257</v>
      </c>
      <c r="C152" s="136">
        <v>242</v>
      </c>
      <c r="D152" s="136"/>
      <c r="E152" s="136">
        <f t="shared" si="2"/>
        <v>845</v>
      </c>
      <c r="F152" s="136"/>
      <c r="G152" s="136"/>
    </row>
    <row r="153" spans="1:7" x14ac:dyDescent="0.25">
      <c r="A153" s="121" t="s">
        <v>741</v>
      </c>
      <c r="B153" s="36" t="s">
        <v>742</v>
      </c>
      <c r="C153" s="36">
        <v>50</v>
      </c>
      <c r="D153" s="136"/>
      <c r="E153" s="136">
        <f t="shared" si="2"/>
        <v>895</v>
      </c>
      <c r="F153" s="136"/>
      <c r="G153" s="136"/>
    </row>
    <row r="154" spans="1:7" ht="15.75" x14ac:dyDescent="0.25">
      <c r="A154" s="246" t="s">
        <v>741</v>
      </c>
      <c r="B154" s="161" t="s">
        <v>665</v>
      </c>
      <c r="C154" s="161">
        <v>20</v>
      </c>
      <c r="D154" s="136"/>
      <c r="E154" s="136">
        <f t="shared" si="2"/>
        <v>915</v>
      </c>
      <c r="F154" s="136"/>
      <c r="G154" s="136"/>
    </row>
    <row r="155" spans="1:7" x14ac:dyDescent="0.25">
      <c r="A155" s="138" t="s">
        <v>747</v>
      </c>
      <c r="B155" s="136" t="s">
        <v>748</v>
      </c>
      <c r="C155" s="136"/>
      <c r="D155" s="136">
        <v>100</v>
      </c>
      <c r="E155" s="136">
        <f>E154+C155-D155</f>
        <v>815</v>
      </c>
      <c r="F155" s="136" t="s">
        <v>749</v>
      </c>
      <c r="G155" s="136"/>
    </row>
    <row r="156" spans="1:7" x14ac:dyDescent="0.25">
      <c r="A156" s="138" t="s">
        <v>747</v>
      </c>
      <c r="B156" s="136" t="s">
        <v>283</v>
      </c>
      <c r="C156" s="136">
        <v>59</v>
      </c>
      <c r="D156" s="136"/>
      <c r="E156" s="136">
        <f t="shared" ref="E156:E219" si="3">E155+C156-D156</f>
        <v>874</v>
      </c>
      <c r="F156" s="136"/>
      <c r="G156" s="136"/>
    </row>
    <row r="157" spans="1:7" x14ac:dyDescent="0.25">
      <c r="A157" s="238" t="s">
        <v>756</v>
      </c>
      <c r="B157" s="136" t="s">
        <v>757</v>
      </c>
      <c r="C157" s="136">
        <v>100</v>
      </c>
      <c r="D157" s="136"/>
      <c r="E157" s="136">
        <f t="shared" si="3"/>
        <v>974</v>
      </c>
      <c r="F157" s="136"/>
      <c r="G157" s="136"/>
    </row>
    <row r="158" spans="1:7" x14ac:dyDescent="0.25">
      <c r="A158" s="152" t="s">
        <v>758</v>
      </c>
      <c r="B158" s="136" t="s">
        <v>761</v>
      </c>
      <c r="C158" s="136">
        <v>9</v>
      </c>
      <c r="D158" s="136"/>
      <c r="E158" s="136">
        <f t="shared" si="3"/>
        <v>983</v>
      </c>
      <c r="F158" s="136"/>
      <c r="G158" s="136"/>
    </row>
    <row r="159" spans="1:7" x14ac:dyDescent="0.25">
      <c r="A159" s="152" t="s">
        <v>762</v>
      </c>
      <c r="B159" s="136" t="s">
        <v>763</v>
      </c>
      <c r="C159" s="136">
        <v>100</v>
      </c>
      <c r="D159" s="136"/>
      <c r="E159" s="136">
        <f t="shared" si="3"/>
        <v>1083</v>
      </c>
      <c r="F159" s="136"/>
      <c r="G159" s="136"/>
    </row>
    <row r="160" spans="1:7" x14ac:dyDescent="0.25">
      <c r="A160" s="152" t="s">
        <v>762</v>
      </c>
      <c r="B160" s="136" t="s">
        <v>763</v>
      </c>
      <c r="C160" s="136">
        <v>8</v>
      </c>
      <c r="D160" s="136"/>
      <c r="E160" s="136">
        <f t="shared" si="3"/>
        <v>1091</v>
      </c>
      <c r="F160" s="136"/>
      <c r="G160" s="136"/>
    </row>
    <row r="161" spans="1:7" x14ac:dyDescent="0.25">
      <c r="A161" s="152" t="s">
        <v>764</v>
      </c>
      <c r="B161" s="136" t="s">
        <v>638</v>
      </c>
      <c r="C161" s="136"/>
      <c r="D161" s="136">
        <v>50</v>
      </c>
      <c r="E161" s="136">
        <f t="shared" si="3"/>
        <v>1041</v>
      </c>
      <c r="F161" s="136" t="s">
        <v>769</v>
      </c>
      <c r="G161" s="136"/>
    </row>
    <row r="162" spans="1:7" x14ac:dyDescent="0.25">
      <c r="A162" s="238" t="s">
        <v>764</v>
      </c>
      <c r="B162" s="136" t="s">
        <v>484</v>
      </c>
      <c r="C162" s="136">
        <v>220</v>
      </c>
      <c r="D162" s="136"/>
      <c r="E162" s="136">
        <f t="shared" si="3"/>
        <v>1261</v>
      </c>
      <c r="F162" s="136"/>
      <c r="G162" s="136"/>
    </row>
    <row r="163" spans="1:7" x14ac:dyDescent="0.25">
      <c r="A163" s="152" t="s">
        <v>764</v>
      </c>
      <c r="B163" s="136" t="s">
        <v>414</v>
      </c>
      <c r="C163" s="136">
        <v>14</v>
      </c>
      <c r="D163" s="136"/>
      <c r="E163" s="136">
        <f t="shared" si="3"/>
        <v>1275</v>
      </c>
      <c r="F163" s="136"/>
      <c r="G163" s="136"/>
    </row>
    <row r="164" spans="1:7" x14ac:dyDescent="0.25">
      <c r="A164" s="238" t="s">
        <v>764</v>
      </c>
      <c r="B164" s="136" t="s">
        <v>763</v>
      </c>
      <c r="C164" s="136">
        <v>91</v>
      </c>
      <c r="D164" s="136"/>
      <c r="E164" s="136">
        <f t="shared" si="3"/>
        <v>1366</v>
      </c>
      <c r="F164" s="136"/>
      <c r="G164" s="136"/>
    </row>
    <row r="165" spans="1:7" x14ac:dyDescent="0.25">
      <c r="A165" s="238" t="s">
        <v>771</v>
      </c>
      <c r="B165" s="136" t="s">
        <v>763</v>
      </c>
      <c r="C165" s="136">
        <v>15</v>
      </c>
      <c r="D165" s="136"/>
      <c r="E165" s="136">
        <f t="shared" si="3"/>
        <v>1381</v>
      </c>
      <c r="F165" s="136"/>
      <c r="G165" s="136"/>
    </row>
    <row r="166" spans="1:7" x14ac:dyDescent="0.25">
      <c r="A166" s="238" t="s">
        <v>771</v>
      </c>
      <c r="B166" s="136" t="s">
        <v>763</v>
      </c>
      <c r="C166" s="136">
        <v>537</v>
      </c>
      <c r="D166" s="136"/>
      <c r="E166" s="136">
        <f t="shared" si="3"/>
        <v>1918</v>
      </c>
      <c r="F166" s="136"/>
      <c r="G166" s="136"/>
    </row>
    <row r="167" spans="1:7" x14ac:dyDescent="0.25">
      <c r="A167" s="152" t="s">
        <v>773</v>
      </c>
      <c r="B167" s="136" t="s">
        <v>763</v>
      </c>
      <c r="C167" s="136">
        <v>390</v>
      </c>
      <c r="D167" s="136"/>
      <c r="E167" s="136">
        <f t="shared" si="3"/>
        <v>2308</v>
      </c>
      <c r="F167" s="136"/>
      <c r="G167" s="136"/>
    </row>
    <row r="168" spans="1:7" x14ac:dyDescent="0.25">
      <c r="A168" s="152" t="s">
        <v>773</v>
      </c>
      <c r="B168" s="136" t="s">
        <v>763</v>
      </c>
      <c r="C168" s="136">
        <v>20</v>
      </c>
      <c r="D168" s="136"/>
      <c r="E168" s="136">
        <f t="shared" si="3"/>
        <v>2328</v>
      </c>
      <c r="F168" s="136"/>
      <c r="G168" s="136"/>
    </row>
    <row r="169" spans="1:7" x14ac:dyDescent="0.25">
      <c r="A169" s="152" t="s">
        <v>773</v>
      </c>
      <c r="B169" s="136" t="s">
        <v>283</v>
      </c>
      <c r="C169" s="136">
        <v>65</v>
      </c>
      <c r="D169" s="136"/>
      <c r="E169" s="136">
        <f t="shared" si="3"/>
        <v>2393</v>
      </c>
      <c r="F169" s="136"/>
      <c r="G169" s="136"/>
    </row>
    <row r="170" spans="1:7" x14ac:dyDescent="0.25">
      <c r="A170" s="138" t="s">
        <v>775</v>
      </c>
      <c r="B170" s="136" t="s">
        <v>250</v>
      </c>
      <c r="C170" s="136"/>
      <c r="D170" s="136">
        <v>14</v>
      </c>
      <c r="E170" s="136">
        <f t="shared" si="3"/>
        <v>2379</v>
      </c>
      <c r="F170" s="136" t="s">
        <v>776</v>
      </c>
      <c r="G170" s="136"/>
    </row>
    <row r="171" spans="1:7" x14ac:dyDescent="0.25">
      <c r="A171" s="152" t="s">
        <v>775</v>
      </c>
      <c r="B171" s="136" t="s">
        <v>763</v>
      </c>
      <c r="C171" s="136">
        <v>600</v>
      </c>
      <c r="D171" s="136"/>
      <c r="E171" s="136">
        <f t="shared" si="3"/>
        <v>2979</v>
      </c>
      <c r="F171" s="136"/>
      <c r="G171" s="136"/>
    </row>
    <row r="172" spans="1:7" x14ac:dyDescent="0.25">
      <c r="A172" s="152" t="s">
        <v>779</v>
      </c>
      <c r="B172" s="136" t="s">
        <v>761</v>
      </c>
      <c r="C172" s="136">
        <v>49</v>
      </c>
      <c r="D172" s="136"/>
      <c r="E172" s="136">
        <f t="shared" si="3"/>
        <v>3028</v>
      </c>
      <c r="F172" s="136"/>
      <c r="G172" s="136"/>
    </row>
    <row r="173" spans="1:7" x14ac:dyDescent="0.25">
      <c r="A173" s="138" t="s">
        <v>781</v>
      </c>
      <c r="B173" s="136" t="s">
        <v>344</v>
      </c>
      <c r="C173" s="136">
        <v>233</v>
      </c>
      <c r="D173" s="136"/>
      <c r="E173" s="136">
        <f t="shared" si="3"/>
        <v>3261</v>
      </c>
      <c r="F173" s="136"/>
      <c r="G173" s="136"/>
    </row>
    <row r="174" spans="1:7" x14ac:dyDescent="0.25">
      <c r="A174" s="138" t="s">
        <v>781</v>
      </c>
      <c r="B174" s="136" t="s">
        <v>344</v>
      </c>
      <c r="C174" s="136">
        <v>113</v>
      </c>
      <c r="D174" s="136"/>
      <c r="E174" s="136">
        <f t="shared" si="3"/>
        <v>3374</v>
      </c>
      <c r="F174" s="136"/>
      <c r="G174" s="136"/>
    </row>
    <row r="175" spans="1:7" x14ac:dyDescent="0.25">
      <c r="A175" s="233">
        <v>8154</v>
      </c>
      <c r="B175" s="136" t="s">
        <v>344</v>
      </c>
      <c r="C175" s="136">
        <v>326</v>
      </c>
      <c r="D175" s="136"/>
      <c r="E175" s="136">
        <f t="shared" si="3"/>
        <v>3700</v>
      </c>
      <c r="F175" s="136"/>
      <c r="G175" s="136"/>
    </row>
    <row r="176" spans="1:7" x14ac:dyDescent="0.25">
      <c r="A176" s="233">
        <v>8154</v>
      </c>
      <c r="B176" s="136" t="s">
        <v>344</v>
      </c>
      <c r="C176" s="136">
        <v>166</v>
      </c>
      <c r="D176" s="136"/>
      <c r="E176" s="136">
        <f t="shared" si="3"/>
        <v>3866</v>
      </c>
      <c r="F176" s="136"/>
      <c r="G176" s="136"/>
    </row>
    <row r="177" spans="1:7" x14ac:dyDescent="0.25">
      <c r="A177" s="138" t="s">
        <v>785</v>
      </c>
      <c r="B177" s="136" t="s">
        <v>344</v>
      </c>
      <c r="C177" s="136">
        <v>211</v>
      </c>
      <c r="D177" s="136"/>
      <c r="E177" s="136">
        <f t="shared" si="3"/>
        <v>4077</v>
      </c>
      <c r="F177" s="136"/>
      <c r="G177" s="136"/>
    </row>
    <row r="178" spans="1:7" x14ac:dyDescent="0.25">
      <c r="A178" s="138" t="s">
        <v>786</v>
      </c>
      <c r="B178" s="136" t="s">
        <v>344</v>
      </c>
      <c r="C178" s="136">
        <v>107</v>
      </c>
      <c r="D178" s="136"/>
      <c r="E178" s="136">
        <f t="shared" si="3"/>
        <v>4184</v>
      </c>
      <c r="F178" s="136"/>
      <c r="G178" s="136"/>
    </row>
    <row r="179" spans="1:7" x14ac:dyDescent="0.25">
      <c r="A179" s="138" t="s">
        <v>787</v>
      </c>
      <c r="B179" s="136" t="s">
        <v>344</v>
      </c>
      <c r="C179" s="136">
        <v>66</v>
      </c>
      <c r="D179" s="136"/>
      <c r="E179" s="136">
        <f t="shared" si="3"/>
        <v>4250</v>
      </c>
      <c r="F179" s="136"/>
      <c r="G179" s="136"/>
    </row>
    <row r="180" spans="1:7" x14ac:dyDescent="0.25">
      <c r="A180" s="152" t="s">
        <v>788</v>
      </c>
      <c r="B180" s="136" t="s">
        <v>275</v>
      </c>
      <c r="C180" s="136"/>
      <c r="D180" s="136">
        <v>200</v>
      </c>
      <c r="E180" s="136">
        <f t="shared" si="3"/>
        <v>4050</v>
      </c>
      <c r="F180" s="136" t="s">
        <v>789</v>
      </c>
      <c r="G180" s="136"/>
    </row>
    <row r="181" spans="1:7" x14ac:dyDescent="0.25">
      <c r="A181" s="152" t="s">
        <v>788</v>
      </c>
      <c r="B181" s="136" t="s">
        <v>763</v>
      </c>
      <c r="C181" s="136">
        <v>204</v>
      </c>
      <c r="D181" s="136"/>
      <c r="E181" s="136">
        <f t="shared" si="3"/>
        <v>4254</v>
      </c>
      <c r="F181" s="136"/>
      <c r="G181" s="136"/>
    </row>
    <row r="182" spans="1:7" x14ac:dyDescent="0.25">
      <c r="A182" s="138" t="s">
        <v>790</v>
      </c>
      <c r="B182" s="136" t="s">
        <v>344</v>
      </c>
      <c r="C182" s="136">
        <v>171</v>
      </c>
      <c r="D182" s="136"/>
      <c r="E182" s="136">
        <f t="shared" si="3"/>
        <v>4425</v>
      </c>
      <c r="F182" s="136"/>
      <c r="G182" s="136"/>
    </row>
    <row r="183" spans="1:7" x14ac:dyDescent="0.25">
      <c r="A183" s="152" t="s">
        <v>794</v>
      </c>
      <c r="B183" s="136" t="s">
        <v>795</v>
      </c>
      <c r="C183" s="136"/>
      <c r="D183" s="136">
        <v>200</v>
      </c>
      <c r="E183" s="136">
        <f t="shared" si="3"/>
        <v>4225</v>
      </c>
      <c r="F183" s="136" t="s">
        <v>796</v>
      </c>
      <c r="G183" s="136"/>
    </row>
    <row r="184" spans="1:7" x14ac:dyDescent="0.25">
      <c r="A184" s="138" t="s">
        <v>797</v>
      </c>
      <c r="B184" s="136" t="s">
        <v>344</v>
      </c>
      <c r="C184" s="136">
        <v>230</v>
      </c>
      <c r="D184" s="136"/>
      <c r="E184" s="136">
        <f t="shared" si="3"/>
        <v>4455</v>
      </c>
      <c r="F184" s="136"/>
      <c r="G184" s="136"/>
    </row>
    <row r="185" spans="1:7" x14ac:dyDescent="0.25">
      <c r="A185" s="138" t="s">
        <v>797</v>
      </c>
      <c r="B185" s="136" t="s">
        <v>344</v>
      </c>
      <c r="C185" s="136">
        <v>288</v>
      </c>
      <c r="D185" s="136"/>
      <c r="E185" s="136">
        <f t="shared" si="3"/>
        <v>4743</v>
      </c>
      <c r="F185" s="136"/>
      <c r="G185" s="136"/>
    </row>
    <row r="186" spans="1:7" x14ac:dyDescent="0.25">
      <c r="A186" s="152" t="s">
        <v>798</v>
      </c>
      <c r="B186" s="136" t="s">
        <v>800</v>
      </c>
      <c r="C186" s="136"/>
      <c r="D186" s="136">
        <v>80</v>
      </c>
      <c r="E186" s="136">
        <f t="shared" si="3"/>
        <v>4663</v>
      </c>
      <c r="F186" s="136" t="s">
        <v>17</v>
      </c>
      <c r="G186" s="136"/>
    </row>
    <row r="187" spans="1:7" x14ac:dyDescent="0.25">
      <c r="A187" s="138" t="s">
        <v>802</v>
      </c>
      <c r="B187" s="136" t="s">
        <v>344</v>
      </c>
      <c r="C187" s="136">
        <v>241</v>
      </c>
      <c r="D187" s="136"/>
      <c r="E187" s="136">
        <f t="shared" si="3"/>
        <v>4904</v>
      </c>
      <c r="F187" s="136"/>
      <c r="G187" s="136"/>
    </row>
    <row r="188" spans="1:7" x14ac:dyDescent="0.25">
      <c r="A188" s="138" t="s">
        <v>802</v>
      </c>
      <c r="B188" s="136" t="s">
        <v>721</v>
      </c>
      <c r="C188" s="136">
        <v>100</v>
      </c>
      <c r="D188" s="136"/>
      <c r="E188" s="136">
        <f t="shared" si="3"/>
        <v>5004</v>
      </c>
      <c r="F188" s="136"/>
      <c r="G188" s="136"/>
    </row>
    <row r="189" spans="1:7" x14ac:dyDescent="0.25">
      <c r="A189" s="138" t="s">
        <v>803</v>
      </c>
      <c r="B189" s="136" t="s">
        <v>381</v>
      </c>
      <c r="C189" s="136">
        <v>304</v>
      </c>
      <c r="D189" s="136"/>
      <c r="E189" s="136">
        <f t="shared" si="3"/>
        <v>5308</v>
      </c>
      <c r="F189" s="136"/>
      <c r="G189" s="136"/>
    </row>
    <row r="190" spans="1:7" x14ac:dyDescent="0.25">
      <c r="A190" s="138" t="s">
        <v>803</v>
      </c>
      <c r="B190" s="136" t="s">
        <v>522</v>
      </c>
      <c r="C190" s="136">
        <v>60</v>
      </c>
      <c r="D190" s="136"/>
      <c r="E190" s="136">
        <f t="shared" si="3"/>
        <v>5368</v>
      </c>
      <c r="F190" s="136"/>
      <c r="G190" s="136"/>
    </row>
    <row r="191" spans="1:7" x14ac:dyDescent="0.25">
      <c r="A191" s="138" t="s">
        <v>803</v>
      </c>
      <c r="B191" s="136" t="s">
        <v>402</v>
      </c>
      <c r="C191" s="136">
        <v>62</v>
      </c>
      <c r="D191" s="136"/>
      <c r="E191" s="136">
        <f t="shared" si="3"/>
        <v>5430</v>
      </c>
      <c r="F191" s="136"/>
      <c r="G191" s="136"/>
    </row>
    <row r="192" spans="1:7" x14ac:dyDescent="0.25">
      <c r="A192" s="138" t="s">
        <v>803</v>
      </c>
      <c r="B192" s="136" t="s">
        <v>402</v>
      </c>
      <c r="C192" s="136">
        <v>50</v>
      </c>
      <c r="D192" s="136"/>
      <c r="E192" s="136">
        <f t="shared" si="3"/>
        <v>5480</v>
      </c>
      <c r="F192" s="136"/>
      <c r="G192" s="136"/>
    </row>
    <row r="193" spans="1:7" x14ac:dyDescent="0.25">
      <c r="A193" s="138" t="s">
        <v>804</v>
      </c>
      <c r="B193" s="136" t="s">
        <v>763</v>
      </c>
      <c r="C193" s="136"/>
      <c r="D193" s="136">
        <v>150</v>
      </c>
      <c r="E193" s="136">
        <f t="shared" si="3"/>
        <v>5330</v>
      </c>
      <c r="F193" s="136" t="s">
        <v>806</v>
      </c>
      <c r="G193" s="136"/>
    </row>
    <row r="194" spans="1:7" x14ac:dyDescent="0.25">
      <c r="A194" s="152" t="s">
        <v>804</v>
      </c>
      <c r="B194" s="136" t="s">
        <v>809</v>
      </c>
      <c r="C194" s="136">
        <v>4</v>
      </c>
      <c r="D194" s="136"/>
      <c r="E194" s="136">
        <f t="shared" si="3"/>
        <v>5334</v>
      </c>
      <c r="F194" s="136"/>
      <c r="G194" s="136"/>
    </row>
    <row r="195" spans="1:7" x14ac:dyDescent="0.25">
      <c r="A195" s="138" t="s">
        <v>804</v>
      </c>
      <c r="B195" s="136" t="s">
        <v>402</v>
      </c>
      <c r="C195" s="136">
        <v>149</v>
      </c>
      <c r="D195" s="136"/>
      <c r="E195" s="136">
        <f t="shared" si="3"/>
        <v>5483</v>
      </c>
      <c r="F195" s="136"/>
      <c r="G195" s="136"/>
    </row>
    <row r="196" spans="1:7" x14ac:dyDescent="0.25">
      <c r="A196" s="138" t="s">
        <v>804</v>
      </c>
      <c r="B196" s="136" t="s">
        <v>783</v>
      </c>
      <c r="C196" s="136"/>
      <c r="D196" s="136">
        <v>640</v>
      </c>
      <c r="E196" s="136">
        <f t="shared" si="3"/>
        <v>4843</v>
      </c>
      <c r="F196" s="136" t="s">
        <v>810</v>
      </c>
      <c r="G196" s="136"/>
    </row>
    <row r="197" spans="1:7" x14ac:dyDescent="0.25">
      <c r="A197" s="138" t="s">
        <v>811</v>
      </c>
      <c r="B197" s="136" t="s">
        <v>344</v>
      </c>
      <c r="C197" s="136">
        <v>151</v>
      </c>
      <c r="D197" s="136"/>
      <c r="E197" s="136">
        <f t="shared" si="3"/>
        <v>4994</v>
      </c>
      <c r="F197" s="136"/>
      <c r="G197" s="136"/>
    </row>
    <row r="198" spans="1:7" x14ac:dyDescent="0.25">
      <c r="A198" s="152" t="s">
        <v>820</v>
      </c>
      <c r="B198" s="136" t="s">
        <v>344</v>
      </c>
      <c r="C198" s="136">
        <v>64</v>
      </c>
      <c r="D198" s="136"/>
      <c r="E198" s="136">
        <f t="shared" si="3"/>
        <v>5058</v>
      </c>
      <c r="F198" s="136"/>
      <c r="G198" s="136"/>
    </row>
    <row r="199" spans="1:7" x14ac:dyDescent="0.25">
      <c r="A199" s="121" t="s">
        <v>820</v>
      </c>
      <c r="B199" s="36" t="s">
        <v>484</v>
      </c>
      <c r="C199" s="36">
        <v>200</v>
      </c>
      <c r="D199" s="136"/>
      <c r="E199" s="136">
        <f t="shared" si="3"/>
        <v>5258</v>
      </c>
      <c r="F199" s="136"/>
      <c r="G199" s="136"/>
    </row>
    <row r="200" spans="1:7" x14ac:dyDescent="0.25">
      <c r="A200" s="152" t="s">
        <v>820</v>
      </c>
      <c r="B200" s="136" t="s">
        <v>826</v>
      </c>
      <c r="C200" s="136">
        <v>918</v>
      </c>
      <c r="D200" s="136"/>
      <c r="E200" s="136">
        <f t="shared" si="3"/>
        <v>6176</v>
      </c>
      <c r="F200" s="136"/>
      <c r="G200" s="136"/>
    </row>
    <row r="201" spans="1:7" x14ac:dyDescent="0.25">
      <c r="A201" s="138" t="s">
        <v>827</v>
      </c>
      <c r="B201" s="136" t="s">
        <v>382</v>
      </c>
      <c r="C201" s="136">
        <v>66</v>
      </c>
      <c r="D201" s="136"/>
      <c r="E201" s="136">
        <f t="shared" si="3"/>
        <v>6242</v>
      </c>
      <c r="F201" s="136"/>
      <c r="G201" s="136"/>
    </row>
    <row r="202" spans="1:7" x14ac:dyDescent="0.25">
      <c r="A202" s="138" t="s">
        <v>827</v>
      </c>
      <c r="B202" s="136" t="s">
        <v>344</v>
      </c>
      <c r="C202" s="136">
        <v>217</v>
      </c>
      <c r="D202" s="136"/>
      <c r="E202" s="136">
        <f t="shared" si="3"/>
        <v>6459</v>
      </c>
      <c r="F202" s="136"/>
      <c r="G202" s="136"/>
    </row>
    <row r="203" spans="1:7" x14ac:dyDescent="0.25">
      <c r="A203" s="138" t="s">
        <v>827</v>
      </c>
      <c r="B203" s="136" t="s">
        <v>344</v>
      </c>
      <c r="C203" s="136">
        <v>183</v>
      </c>
      <c r="D203" s="136"/>
      <c r="E203" s="136">
        <f t="shared" si="3"/>
        <v>6642</v>
      </c>
      <c r="F203" s="136"/>
      <c r="G203" s="136"/>
    </row>
    <row r="204" spans="1:7" x14ac:dyDescent="0.25">
      <c r="A204" s="138" t="s">
        <v>835</v>
      </c>
      <c r="B204" s="136" t="s">
        <v>783</v>
      </c>
      <c r="C204" s="136"/>
      <c r="D204" s="136">
        <v>200</v>
      </c>
      <c r="E204" s="136">
        <f t="shared" si="3"/>
        <v>6442</v>
      </c>
      <c r="F204" s="163" t="s">
        <v>845</v>
      </c>
      <c r="G204" s="136"/>
    </row>
    <row r="205" spans="1:7" x14ac:dyDescent="0.25">
      <c r="A205" s="138" t="s">
        <v>835</v>
      </c>
      <c r="B205" s="136" t="s">
        <v>454</v>
      </c>
      <c r="C205" s="136"/>
      <c r="D205" s="136">
        <v>120</v>
      </c>
      <c r="E205" s="136">
        <f t="shared" si="3"/>
        <v>6322</v>
      </c>
      <c r="F205" s="136" t="s">
        <v>838</v>
      </c>
      <c r="G205" s="136"/>
    </row>
    <row r="206" spans="1:7" x14ac:dyDescent="0.25">
      <c r="A206" s="138" t="s">
        <v>835</v>
      </c>
      <c r="B206" s="136" t="s">
        <v>344</v>
      </c>
      <c r="C206" s="136">
        <v>185</v>
      </c>
      <c r="D206" s="136"/>
      <c r="E206" s="136">
        <f t="shared" si="3"/>
        <v>6507</v>
      </c>
      <c r="F206" s="136"/>
      <c r="G206" s="136"/>
    </row>
    <row r="207" spans="1:7" x14ac:dyDescent="0.25">
      <c r="A207" s="152" t="s">
        <v>839</v>
      </c>
      <c r="B207" s="136" t="s">
        <v>783</v>
      </c>
      <c r="C207" s="136"/>
      <c r="D207" s="136">
        <v>80</v>
      </c>
      <c r="E207" s="136">
        <f t="shared" si="3"/>
        <v>6427</v>
      </c>
      <c r="F207" s="136" t="s">
        <v>843</v>
      </c>
      <c r="G207" s="136"/>
    </row>
    <row r="208" spans="1:7" x14ac:dyDescent="0.25">
      <c r="A208" s="152" t="s">
        <v>839</v>
      </c>
      <c r="B208" s="136" t="s">
        <v>344</v>
      </c>
      <c r="C208" s="136">
        <v>152</v>
      </c>
      <c r="D208" s="136"/>
      <c r="E208" s="136">
        <f t="shared" si="3"/>
        <v>6579</v>
      </c>
      <c r="F208" s="136"/>
      <c r="G208" s="136"/>
    </row>
    <row r="209" spans="1:8" x14ac:dyDescent="0.25">
      <c r="A209" s="138" t="s">
        <v>839</v>
      </c>
      <c r="B209" s="136" t="s">
        <v>844</v>
      </c>
      <c r="C209" s="136">
        <v>51</v>
      </c>
      <c r="D209" s="136"/>
      <c r="E209" s="136">
        <f t="shared" si="3"/>
        <v>6630</v>
      </c>
      <c r="F209" s="136"/>
      <c r="G209" s="136"/>
    </row>
    <row r="210" spans="1:8" x14ac:dyDescent="0.25">
      <c r="A210" s="138" t="s">
        <v>848</v>
      </c>
      <c r="B210" s="136" t="s">
        <v>849</v>
      </c>
      <c r="C210" s="136"/>
      <c r="D210" s="136">
        <v>28</v>
      </c>
      <c r="E210" s="136">
        <f t="shared" si="3"/>
        <v>6602</v>
      </c>
      <c r="F210" s="136" t="s">
        <v>17</v>
      </c>
      <c r="G210" s="136"/>
    </row>
    <row r="211" spans="1:8" x14ac:dyDescent="0.25">
      <c r="A211" s="138" t="s">
        <v>848</v>
      </c>
      <c r="B211" s="136" t="s">
        <v>849</v>
      </c>
      <c r="C211" s="136"/>
      <c r="D211" s="136">
        <v>28</v>
      </c>
      <c r="E211" s="136">
        <f t="shared" si="3"/>
        <v>6574</v>
      </c>
      <c r="F211" s="136"/>
      <c r="G211" s="136"/>
    </row>
    <row r="212" spans="1:8" x14ac:dyDescent="0.25">
      <c r="A212" s="138" t="s">
        <v>848</v>
      </c>
      <c r="B212" s="136" t="s">
        <v>344</v>
      </c>
      <c r="C212" s="136">
        <v>72</v>
      </c>
      <c r="D212" s="136"/>
      <c r="E212" s="136">
        <f t="shared" si="3"/>
        <v>6646</v>
      </c>
      <c r="F212" s="136"/>
      <c r="G212" s="136"/>
    </row>
    <row r="213" spans="1:8" x14ac:dyDescent="0.25">
      <c r="A213" s="152" t="s">
        <v>848</v>
      </c>
      <c r="B213" s="136" t="s">
        <v>124</v>
      </c>
      <c r="C213" s="136">
        <v>275</v>
      </c>
      <c r="D213" s="136"/>
      <c r="E213" s="136">
        <f t="shared" si="3"/>
        <v>6921</v>
      </c>
      <c r="F213" s="136"/>
      <c r="G213" s="136"/>
    </row>
    <row r="214" spans="1:8" x14ac:dyDescent="0.25">
      <c r="A214" s="152" t="s">
        <v>848</v>
      </c>
      <c r="B214" s="136" t="s">
        <v>550</v>
      </c>
      <c r="C214" s="136">
        <v>10</v>
      </c>
      <c r="D214" s="136"/>
      <c r="E214" s="136">
        <f t="shared" si="3"/>
        <v>6931</v>
      </c>
      <c r="F214" s="136"/>
      <c r="G214" s="136"/>
    </row>
    <row r="215" spans="1:8" x14ac:dyDescent="0.25">
      <c r="A215" s="138" t="s">
        <v>847</v>
      </c>
      <c r="B215" s="136" t="s">
        <v>783</v>
      </c>
      <c r="C215" s="136"/>
      <c r="D215" s="136">
        <v>500</v>
      </c>
      <c r="E215" s="136">
        <f t="shared" si="3"/>
        <v>6431</v>
      </c>
      <c r="F215" s="136" t="s">
        <v>850</v>
      </c>
      <c r="G215" s="136"/>
    </row>
    <row r="216" spans="1:8" x14ac:dyDescent="0.25">
      <c r="A216" s="138" t="s">
        <v>847</v>
      </c>
      <c r="B216" s="136" t="s">
        <v>783</v>
      </c>
      <c r="C216" s="136"/>
      <c r="D216" s="136">
        <v>200</v>
      </c>
      <c r="E216" s="136">
        <f t="shared" si="3"/>
        <v>6231</v>
      </c>
      <c r="F216" s="136" t="s">
        <v>851</v>
      </c>
      <c r="G216" s="136"/>
    </row>
    <row r="217" spans="1:8" x14ac:dyDescent="0.25">
      <c r="A217" s="138" t="s">
        <v>847</v>
      </c>
      <c r="B217" s="136" t="s">
        <v>344</v>
      </c>
      <c r="C217" s="136">
        <v>140</v>
      </c>
      <c r="D217" s="136"/>
      <c r="E217" s="136">
        <f t="shared" si="3"/>
        <v>6371</v>
      </c>
      <c r="F217" s="136"/>
      <c r="G217" s="136"/>
    </row>
    <row r="218" spans="1:8" x14ac:dyDescent="0.25">
      <c r="A218" s="138" t="s">
        <v>856</v>
      </c>
      <c r="B218" s="136" t="s">
        <v>857</v>
      </c>
      <c r="C218" s="136"/>
      <c r="D218" s="136">
        <v>80</v>
      </c>
      <c r="E218" s="136">
        <f t="shared" si="3"/>
        <v>6291</v>
      </c>
      <c r="F218" s="163" t="s">
        <v>17</v>
      </c>
      <c r="G218" s="136"/>
    </row>
    <row r="219" spans="1:8" x14ac:dyDescent="0.25">
      <c r="A219" s="152" t="s">
        <v>856</v>
      </c>
      <c r="B219" s="136" t="s">
        <v>858</v>
      </c>
      <c r="C219" s="136"/>
      <c r="D219" s="36">
        <v>12</v>
      </c>
      <c r="E219" s="136">
        <f t="shared" si="3"/>
        <v>6279</v>
      </c>
      <c r="F219" s="48" t="s">
        <v>17</v>
      </c>
      <c r="G219" s="136"/>
    </row>
    <row r="220" spans="1:8" x14ac:dyDescent="0.25">
      <c r="A220" s="152" t="s">
        <v>856</v>
      </c>
      <c r="B220" s="136" t="s">
        <v>721</v>
      </c>
      <c r="C220" s="163">
        <v>226</v>
      </c>
      <c r="D220" s="136"/>
      <c r="E220" s="136">
        <f t="shared" ref="E220:E248" si="4">E219+C220-D220</f>
        <v>6505</v>
      </c>
      <c r="F220" s="136"/>
      <c r="G220" s="136"/>
    </row>
    <row r="221" spans="1:8" x14ac:dyDescent="0.25">
      <c r="A221" s="152" t="s">
        <v>856</v>
      </c>
      <c r="B221" s="136" t="s">
        <v>522</v>
      </c>
      <c r="C221" s="163">
        <v>100</v>
      </c>
      <c r="D221" s="136"/>
      <c r="E221" s="136">
        <f t="shared" si="4"/>
        <v>6605</v>
      </c>
      <c r="F221" s="136"/>
      <c r="G221" s="136"/>
    </row>
    <row r="222" spans="1:8" x14ac:dyDescent="0.25">
      <c r="A222" s="138" t="s">
        <v>856</v>
      </c>
      <c r="B222" s="136" t="s">
        <v>344</v>
      </c>
      <c r="C222" s="163">
        <v>156</v>
      </c>
      <c r="D222" s="136"/>
      <c r="E222" s="136">
        <f t="shared" si="4"/>
        <v>6761</v>
      </c>
      <c r="F222" s="136"/>
      <c r="G222" s="136"/>
    </row>
    <row r="223" spans="1:8" s="3" customFormat="1" x14ac:dyDescent="0.25">
      <c r="A223" s="152" t="s">
        <v>869</v>
      </c>
      <c r="B223" s="136" t="s">
        <v>812</v>
      </c>
      <c r="C223" s="136"/>
      <c r="D223" s="136">
        <v>300</v>
      </c>
      <c r="E223" s="136">
        <f t="shared" si="4"/>
        <v>6461</v>
      </c>
      <c r="F223" s="163" t="s">
        <v>872</v>
      </c>
      <c r="G223" s="136"/>
      <c r="H223" s="129"/>
    </row>
    <row r="224" spans="1:8" x14ac:dyDescent="0.25">
      <c r="A224" s="138" t="s">
        <v>869</v>
      </c>
      <c r="B224" s="136" t="s">
        <v>344</v>
      </c>
      <c r="C224" s="136">
        <v>130</v>
      </c>
      <c r="D224" s="136"/>
      <c r="E224" s="136">
        <f t="shared" si="4"/>
        <v>6591</v>
      </c>
      <c r="F224" s="136"/>
      <c r="G224" s="136"/>
    </row>
    <row r="225" spans="1:7" x14ac:dyDescent="0.25">
      <c r="A225" s="138" t="s">
        <v>873</v>
      </c>
      <c r="B225" s="136" t="s">
        <v>344</v>
      </c>
      <c r="C225" s="136">
        <v>142</v>
      </c>
      <c r="D225" s="136"/>
      <c r="E225" s="136">
        <f t="shared" si="4"/>
        <v>6733</v>
      </c>
      <c r="F225" s="136"/>
      <c r="G225" s="136"/>
    </row>
    <row r="226" spans="1:7" x14ac:dyDescent="0.25">
      <c r="A226" s="152" t="s">
        <v>873</v>
      </c>
      <c r="B226" s="136" t="s">
        <v>257</v>
      </c>
      <c r="C226" s="136">
        <v>690</v>
      </c>
      <c r="D226" s="136"/>
      <c r="E226" s="136">
        <f t="shared" si="4"/>
        <v>7423</v>
      </c>
      <c r="F226" s="136"/>
      <c r="G226" s="136"/>
    </row>
    <row r="227" spans="1:7" x14ac:dyDescent="0.25">
      <c r="A227" s="138" t="s">
        <v>877</v>
      </c>
      <c r="B227" s="136" t="s">
        <v>816</v>
      </c>
      <c r="C227" s="136"/>
      <c r="D227" s="136">
        <v>200</v>
      </c>
      <c r="E227" s="136">
        <f t="shared" si="4"/>
        <v>7223</v>
      </c>
      <c r="F227" s="136" t="s">
        <v>878</v>
      </c>
      <c r="G227" s="136"/>
    </row>
    <row r="228" spans="1:7" x14ac:dyDescent="0.25">
      <c r="A228" s="138" t="s">
        <v>880</v>
      </c>
      <c r="B228" s="136" t="s">
        <v>816</v>
      </c>
      <c r="C228" s="136"/>
      <c r="D228" s="136">
        <v>300</v>
      </c>
      <c r="E228" s="136">
        <f t="shared" si="4"/>
        <v>6923</v>
      </c>
      <c r="F228" s="136" t="s">
        <v>882</v>
      </c>
      <c r="G228" s="136"/>
    </row>
    <row r="229" spans="1:7" x14ac:dyDescent="0.25">
      <c r="A229" s="138" t="s">
        <v>880</v>
      </c>
      <c r="B229" s="136" t="s">
        <v>344</v>
      </c>
      <c r="C229" s="136">
        <v>87</v>
      </c>
      <c r="D229" s="136"/>
      <c r="E229" s="136">
        <f t="shared" si="4"/>
        <v>7010</v>
      </c>
      <c r="F229" s="136"/>
      <c r="G229" s="136"/>
    </row>
    <row r="230" spans="1:7" x14ac:dyDescent="0.25">
      <c r="A230" s="138" t="s">
        <v>880</v>
      </c>
      <c r="B230" s="136" t="s">
        <v>344</v>
      </c>
      <c r="C230" s="136">
        <v>171</v>
      </c>
      <c r="D230" s="136"/>
      <c r="E230" s="136">
        <f t="shared" si="4"/>
        <v>7181</v>
      </c>
      <c r="F230" s="136"/>
      <c r="G230" s="136"/>
    </row>
    <row r="231" spans="1:7" x14ac:dyDescent="0.25">
      <c r="A231" s="138" t="s">
        <v>883</v>
      </c>
      <c r="B231" s="136" t="s">
        <v>344</v>
      </c>
      <c r="C231" s="136">
        <v>146</v>
      </c>
      <c r="D231" s="136"/>
      <c r="E231" s="136">
        <f t="shared" si="4"/>
        <v>7327</v>
      </c>
      <c r="F231" s="136"/>
      <c r="G231" s="136"/>
    </row>
    <row r="232" spans="1:7" x14ac:dyDescent="0.25">
      <c r="A232" s="152" t="s">
        <v>883</v>
      </c>
      <c r="B232" s="136" t="s">
        <v>757</v>
      </c>
      <c r="C232" s="136">
        <v>300</v>
      </c>
      <c r="D232" s="136"/>
      <c r="E232" s="136">
        <f t="shared" si="4"/>
        <v>7627</v>
      </c>
      <c r="F232" s="136"/>
      <c r="G232" s="136"/>
    </row>
    <row r="233" spans="1:7" x14ac:dyDescent="0.25">
      <c r="A233" s="138" t="s">
        <v>893</v>
      </c>
      <c r="B233" s="136" t="s">
        <v>783</v>
      </c>
      <c r="C233" s="136"/>
      <c r="D233" s="136">
        <v>100</v>
      </c>
      <c r="E233" s="136">
        <f t="shared" si="4"/>
        <v>7527</v>
      </c>
      <c r="F233" s="136" t="s">
        <v>895</v>
      </c>
      <c r="G233" s="136"/>
    </row>
    <row r="234" spans="1:7" x14ac:dyDescent="0.25">
      <c r="A234" s="138" t="s">
        <v>897</v>
      </c>
      <c r="B234" s="136" t="s">
        <v>632</v>
      </c>
      <c r="C234" s="136"/>
      <c r="D234" s="136">
        <v>50</v>
      </c>
      <c r="E234" s="136">
        <f t="shared" si="4"/>
        <v>7477</v>
      </c>
      <c r="F234" s="136" t="s">
        <v>896</v>
      </c>
      <c r="G234" s="136"/>
    </row>
    <row r="235" spans="1:7" x14ac:dyDescent="0.25">
      <c r="A235" s="138" t="s">
        <v>897</v>
      </c>
      <c r="B235" s="136" t="s">
        <v>899</v>
      </c>
      <c r="C235" s="136"/>
      <c r="D235" s="136">
        <v>500</v>
      </c>
      <c r="E235" s="136">
        <f t="shared" si="4"/>
        <v>6977</v>
      </c>
      <c r="F235" s="136" t="s">
        <v>900</v>
      </c>
      <c r="G235" s="136"/>
    </row>
    <row r="236" spans="1:7" x14ac:dyDescent="0.25">
      <c r="A236" s="138" t="s">
        <v>897</v>
      </c>
      <c r="B236" s="136" t="s">
        <v>901</v>
      </c>
      <c r="C236" s="136">
        <v>294</v>
      </c>
      <c r="D236" s="136"/>
      <c r="E236" s="136">
        <f t="shared" si="4"/>
        <v>7271</v>
      </c>
      <c r="F236" s="136"/>
      <c r="G236" s="136"/>
    </row>
    <row r="237" spans="1:7" x14ac:dyDescent="0.25">
      <c r="A237" s="138" t="s">
        <v>897</v>
      </c>
      <c r="B237" s="136" t="s">
        <v>344</v>
      </c>
      <c r="C237" s="136">
        <v>108</v>
      </c>
      <c r="D237" s="136"/>
      <c r="E237" s="136">
        <f t="shared" si="4"/>
        <v>7379</v>
      </c>
      <c r="F237" s="136"/>
      <c r="G237" s="136"/>
    </row>
    <row r="238" spans="1:7" x14ac:dyDescent="0.25">
      <c r="A238" s="152" t="s">
        <v>902</v>
      </c>
      <c r="B238" s="136" t="s">
        <v>454</v>
      </c>
      <c r="C238" s="136"/>
      <c r="D238" s="136">
        <v>40</v>
      </c>
      <c r="E238" s="136">
        <f t="shared" si="4"/>
        <v>7339</v>
      </c>
      <c r="F238" s="136" t="s">
        <v>903</v>
      </c>
      <c r="G238" s="136"/>
    </row>
    <row r="239" spans="1:7" x14ac:dyDescent="0.25">
      <c r="A239" s="152" t="s">
        <v>902</v>
      </c>
      <c r="B239" s="136" t="s">
        <v>257</v>
      </c>
      <c r="C239" s="136">
        <v>147</v>
      </c>
      <c r="D239" s="136"/>
      <c r="E239" s="136">
        <f t="shared" si="4"/>
        <v>7486</v>
      </c>
      <c r="F239" s="136"/>
      <c r="G239" s="136"/>
    </row>
    <row r="240" spans="1:7" x14ac:dyDescent="0.25">
      <c r="A240" s="152" t="s">
        <v>902</v>
      </c>
      <c r="B240" s="136" t="s">
        <v>907</v>
      </c>
      <c r="C240" s="136"/>
      <c r="D240" s="136">
        <v>100</v>
      </c>
      <c r="E240" s="136">
        <f t="shared" si="4"/>
        <v>7386</v>
      </c>
      <c r="F240" s="136"/>
      <c r="G240" s="136"/>
    </row>
    <row r="241" spans="1:7" x14ac:dyDescent="0.25">
      <c r="A241" s="152" t="s">
        <v>902</v>
      </c>
      <c r="B241" s="136" t="s">
        <v>907</v>
      </c>
      <c r="C241" s="136"/>
      <c r="D241" s="136">
        <v>100</v>
      </c>
      <c r="E241" s="136">
        <f t="shared" si="4"/>
        <v>7286</v>
      </c>
      <c r="F241" s="136"/>
      <c r="G241" s="136"/>
    </row>
    <row r="242" spans="1:7" x14ac:dyDescent="0.25">
      <c r="A242" s="152" t="s">
        <v>902</v>
      </c>
      <c r="B242" s="136" t="s">
        <v>344</v>
      </c>
      <c r="C242" s="136">
        <v>99</v>
      </c>
      <c r="D242" s="136"/>
      <c r="E242" s="136">
        <f t="shared" si="4"/>
        <v>7385</v>
      </c>
      <c r="F242" s="136"/>
      <c r="G242" s="136"/>
    </row>
    <row r="243" spans="1:7" x14ac:dyDescent="0.25">
      <c r="A243" s="152" t="s">
        <v>902</v>
      </c>
      <c r="B243" s="136" t="s">
        <v>909</v>
      </c>
      <c r="C243" s="136"/>
      <c r="D243" s="136">
        <v>700</v>
      </c>
      <c r="E243" s="136">
        <f t="shared" si="4"/>
        <v>6685</v>
      </c>
      <c r="F243" s="136" t="s">
        <v>910</v>
      </c>
      <c r="G243" s="136"/>
    </row>
    <row r="244" spans="1:7" x14ac:dyDescent="0.25">
      <c r="A244" s="152" t="s">
        <v>911</v>
      </c>
      <c r="B244" s="136" t="s">
        <v>275</v>
      </c>
      <c r="C244" s="136">
        <v>186</v>
      </c>
      <c r="D244" s="136"/>
      <c r="E244" s="136">
        <f t="shared" si="4"/>
        <v>6871</v>
      </c>
      <c r="F244" s="136"/>
      <c r="G244" s="136"/>
    </row>
    <row r="245" spans="1:7" x14ac:dyDescent="0.25">
      <c r="A245" s="152" t="s">
        <v>911</v>
      </c>
      <c r="B245" s="136" t="s">
        <v>344</v>
      </c>
      <c r="C245" s="136">
        <v>131</v>
      </c>
      <c r="D245" s="136"/>
      <c r="E245" s="136">
        <f t="shared" si="4"/>
        <v>7002</v>
      </c>
      <c r="F245" s="136"/>
      <c r="G245" s="136"/>
    </row>
    <row r="246" spans="1:7" x14ac:dyDescent="0.25">
      <c r="A246" s="152" t="s">
        <v>911</v>
      </c>
      <c r="B246" s="136" t="s">
        <v>522</v>
      </c>
      <c r="C246" s="136">
        <v>308</v>
      </c>
      <c r="D246" s="136"/>
      <c r="E246" s="136">
        <f t="shared" si="4"/>
        <v>7310</v>
      </c>
      <c r="F246" s="136"/>
      <c r="G246" s="136"/>
    </row>
    <row r="247" spans="1:7" ht="15.75" x14ac:dyDescent="0.25">
      <c r="A247" s="246" t="s">
        <v>914</v>
      </c>
      <c r="B247" s="161" t="s">
        <v>915</v>
      </c>
      <c r="C247" s="161"/>
      <c r="D247" s="161">
        <v>250</v>
      </c>
      <c r="E247" s="136">
        <f t="shared" si="4"/>
        <v>7060</v>
      </c>
      <c r="F247" s="161" t="s">
        <v>918</v>
      </c>
      <c r="G247" s="136"/>
    </row>
    <row r="248" spans="1:7" x14ac:dyDescent="0.25">
      <c r="A248" s="152" t="s">
        <v>914</v>
      </c>
      <c r="B248" s="136" t="s">
        <v>275</v>
      </c>
      <c r="C248" s="136">
        <v>182</v>
      </c>
      <c r="D248" s="136"/>
      <c r="E248" s="136">
        <f t="shared" si="4"/>
        <v>7242</v>
      </c>
      <c r="F248" s="136"/>
      <c r="G248" s="136"/>
    </row>
    <row r="249" spans="1:7" x14ac:dyDescent="0.25">
      <c r="A249" s="144"/>
      <c r="B249" s="136"/>
      <c r="C249" s="136"/>
      <c r="D249" s="136"/>
      <c r="E249" s="136"/>
      <c r="F249" s="136"/>
      <c r="G249" s="136"/>
    </row>
    <row r="250" spans="1:7" x14ac:dyDescent="0.25">
      <c r="A250" s="144"/>
      <c r="B250" s="136"/>
      <c r="C250" s="136"/>
      <c r="D250" s="136"/>
      <c r="E250" s="136"/>
      <c r="F250" s="136"/>
      <c r="G250" s="136"/>
    </row>
    <row r="251" spans="1:7" x14ac:dyDescent="0.25">
      <c r="A251" s="144"/>
      <c r="B251" s="136"/>
      <c r="C251" s="136"/>
      <c r="D251" s="136"/>
      <c r="E251" s="136"/>
      <c r="F251" s="136"/>
      <c r="G251" s="136"/>
    </row>
    <row r="252" spans="1:7" x14ac:dyDescent="0.25">
      <c r="A252" s="144"/>
      <c r="B252" s="136"/>
      <c r="C252" s="136"/>
      <c r="D252" s="136"/>
      <c r="E252" s="136"/>
      <c r="F252" s="136"/>
      <c r="G252" s="136"/>
    </row>
    <row r="253" spans="1:7" x14ac:dyDescent="0.25">
      <c r="A253" s="144"/>
      <c r="B253" s="136"/>
      <c r="C253" s="136"/>
      <c r="D253" s="136"/>
      <c r="E253" s="136"/>
      <c r="F253" s="136"/>
      <c r="G253" s="136"/>
    </row>
    <row r="254" spans="1:7" x14ac:dyDescent="0.25">
      <c r="A254" s="144"/>
      <c r="B254" s="136"/>
      <c r="C254" s="136"/>
      <c r="D254" s="136"/>
      <c r="E254" s="136"/>
      <c r="F254" s="136"/>
      <c r="G254" s="136"/>
    </row>
    <row r="255" spans="1:7" x14ac:dyDescent="0.25">
      <c r="A255" s="144"/>
      <c r="B255" s="136"/>
      <c r="C255" s="136"/>
      <c r="D255" s="136"/>
      <c r="E255" s="136"/>
      <c r="F255" s="136"/>
      <c r="G255" s="136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0"/>
  <sheetViews>
    <sheetView topLeftCell="A129" zoomScaleNormal="100" workbookViewId="0">
      <selection activeCell="E143" sqref="E143:E146"/>
    </sheetView>
  </sheetViews>
  <sheetFormatPr defaultRowHeight="15" x14ac:dyDescent="0.25"/>
  <cols>
    <col min="1" max="1" width="12.5703125" style="147" customWidth="1"/>
    <col min="2" max="2" width="38.42578125" style="129" customWidth="1"/>
    <col min="3" max="5" width="9.140625" style="129"/>
    <col min="6" max="6" width="16.28515625" style="129" customWidth="1"/>
    <col min="7" max="7" width="23.140625" style="129" customWidth="1"/>
  </cols>
  <sheetData>
    <row r="2" spans="1:7" x14ac:dyDescent="0.25">
      <c r="A2" s="140" t="s">
        <v>22</v>
      </c>
      <c r="B2" s="141"/>
      <c r="C2" s="128"/>
      <c r="D2" s="128"/>
      <c r="E2" s="128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48"/>
      <c r="B5" s="137" t="s">
        <v>246</v>
      </c>
      <c r="C5" s="137"/>
      <c r="D5" s="137"/>
      <c r="E5" s="137"/>
      <c r="F5" s="137">
        <v>12793</v>
      </c>
      <c r="G5" s="137"/>
    </row>
    <row r="6" spans="1:7" x14ac:dyDescent="0.25">
      <c r="A6" s="144"/>
      <c r="B6" s="136"/>
      <c r="C6" s="136"/>
      <c r="D6" s="136"/>
      <c r="E6" s="136">
        <v>12793</v>
      </c>
      <c r="F6" s="136"/>
      <c r="G6" s="136"/>
    </row>
    <row r="7" spans="1:7" x14ac:dyDescent="0.25">
      <c r="A7" s="138" t="s">
        <v>252</v>
      </c>
      <c r="B7" s="136" t="s">
        <v>253</v>
      </c>
      <c r="C7" s="136">
        <v>32</v>
      </c>
      <c r="D7" s="136"/>
      <c r="E7" s="136">
        <f>E6+C7-D7</f>
        <v>12825</v>
      </c>
      <c r="F7" s="136"/>
      <c r="G7" s="136"/>
    </row>
    <row r="8" spans="1:7" x14ac:dyDescent="0.25">
      <c r="A8" s="152" t="s">
        <v>256</v>
      </c>
      <c r="B8" s="136" t="s">
        <v>257</v>
      </c>
      <c r="C8" s="136"/>
      <c r="D8" s="136">
        <v>500</v>
      </c>
      <c r="E8" s="136">
        <f t="shared" ref="E8:E74" si="0">E7+C8-D8</f>
        <v>12325</v>
      </c>
      <c r="F8" s="136" t="s">
        <v>258</v>
      </c>
      <c r="G8" s="136"/>
    </row>
    <row r="9" spans="1:7" x14ac:dyDescent="0.25">
      <c r="A9" s="152" t="s">
        <v>256</v>
      </c>
      <c r="B9" s="136" t="s">
        <v>257</v>
      </c>
      <c r="C9" s="136"/>
      <c r="D9" s="136">
        <v>87</v>
      </c>
      <c r="E9" s="136">
        <f t="shared" si="0"/>
        <v>12238</v>
      </c>
      <c r="F9" s="136" t="s">
        <v>259</v>
      </c>
      <c r="G9" s="136"/>
    </row>
    <row r="10" spans="1:7" x14ac:dyDescent="0.25">
      <c r="A10" s="152" t="s">
        <v>256</v>
      </c>
      <c r="B10" s="136" t="s">
        <v>261</v>
      </c>
      <c r="C10" s="136"/>
      <c r="D10" s="136">
        <v>10</v>
      </c>
      <c r="E10" s="136">
        <f t="shared" si="0"/>
        <v>12228</v>
      </c>
      <c r="F10" s="136" t="s">
        <v>260</v>
      </c>
      <c r="G10" s="136"/>
    </row>
    <row r="11" spans="1:7" x14ac:dyDescent="0.25">
      <c r="A11" s="152" t="s">
        <v>256</v>
      </c>
      <c r="B11" s="136" t="s">
        <v>264</v>
      </c>
      <c r="C11" s="136">
        <v>87</v>
      </c>
      <c r="D11" s="136"/>
      <c r="E11" s="136">
        <f t="shared" si="0"/>
        <v>12315</v>
      </c>
      <c r="F11" s="136"/>
      <c r="G11" s="136"/>
    </row>
    <row r="12" spans="1:7" x14ac:dyDescent="0.25">
      <c r="A12" s="152" t="s">
        <v>267</v>
      </c>
      <c r="B12" s="136" t="s">
        <v>268</v>
      </c>
      <c r="C12" s="136"/>
      <c r="D12" s="136">
        <v>40</v>
      </c>
      <c r="E12" s="136">
        <f t="shared" si="0"/>
        <v>12275</v>
      </c>
      <c r="F12" s="136" t="s">
        <v>269</v>
      </c>
      <c r="G12" s="136"/>
    </row>
    <row r="13" spans="1:7" x14ac:dyDescent="0.25">
      <c r="A13" s="152" t="s">
        <v>267</v>
      </c>
      <c r="B13" s="136" t="s">
        <v>277</v>
      </c>
      <c r="C13" s="136"/>
      <c r="D13" s="136">
        <v>50</v>
      </c>
      <c r="E13" s="136">
        <f t="shared" si="0"/>
        <v>12225</v>
      </c>
      <c r="F13" s="136" t="s">
        <v>278</v>
      </c>
      <c r="G13" s="136"/>
    </row>
    <row r="14" spans="1:7" x14ac:dyDescent="0.25">
      <c r="A14" s="152" t="s">
        <v>267</v>
      </c>
      <c r="B14" s="136" t="s">
        <v>283</v>
      </c>
      <c r="C14" s="136"/>
      <c r="D14" s="136">
        <v>190</v>
      </c>
      <c r="E14" s="136">
        <f t="shared" si="0"/>
        <v>12035</v>
      </c>
      <c r="F14" s="136" t="s">
        <v>284</v>
      </c>
      <c r="G14" s="136"/>
    </row>
    <row r="15" spans="1:7" x14ac:dyDescent="0.25">
      <c r="A15" s="138" t="s">
        <v>267</v>
      </c>
      <c r="B15" s="136" t="s">
        <v>105</v>
      </c>
      <c r="C15" s="136">
        <v>4</v>
      </c>
      <c r="D15" s="136"/>
      <c r="E15" s="136">
        <f t="shared" si="0"/>
        <v>12039</v>
      </c>
      <c r="F15" s="136"/>
      <c r="G15" s="136"/>
    </row>
    <row r="16" spans="1:7" x14ac:dyDescent="0.25">
      <c r="A16" s="138" t="s">
        <v>285</v>
      </c>
      <c r="B16" s="136" t="s">
        <v>286</v>
      </c>
      <c r="C16" s="136"/>
      <c r="D16" s="136">
        <v>4</v>
      </c>
      <c r="E16" s="136">
        <f t="shared" si="0"/>
        <v>12035</v>
      </c>
      <c r="F16" s="136" t="s">
        <v>287</v>
      </c>
      <c r="G16" s="136"/>
    </row>
    <row r="17" spans="1:7" x14ac:dyDescent="0.25">
      <c r="A17" s="152" t="s">
        <v>285</v>
      </c>
      <c r="B17" s="136" t="s">
        <v>273</v>
      </c>
      <c r="C17" s="136"/>
      <c r="D17" s="136">
        <v>80</v>
      </c>
      <c r="E17" s="136">
        <f t="shared" si="0"/>
        <v>11955</v>
      </c>
      <c r="F17" s="136" t="s">
        <v>288</v>
      </c>
      <c r="G17" s="136"/>
    </row>
    <row r="18" spans="1:7" x14ac:dyDescent="0.25">
      <c r="A18" s="138" t="s">
        <v>285</v>
      </c>
      <c r="B18" s="136" t="s">
        <v>294</v>
      </c>
      <c r="C18" s="136">
        <v>35</v>
      </c>
      <c r="D18" s="136"/>
      <c r="E18" s="136">
        <f t="shared" si="0"/>
        <v>11990</v>
      </c>
      <c r="F18" s="136"/>
      <c r="G18" s="136"/>
    </row>
    <row r="19" spans="1:7" x14ac:dyDescent="0.25">
      <c r="A19" s="152" t="s">
        <v>295</v>
      </c>
      <c r="B19" s="136" t="s">
        <v>297</v>
      </c>
      <c r="C19" s="136"/>
      <c r="D19" s="136">
        <v>40</v>
      </c>
      <c r="E19" s="136">
        <f t="shared" si="0"/>
        <v>11950</v>
      </c>
      <c r="F19" s="136" t="s">
        <v>296</v>
      </c>
      <c r="G19" s="136"/>
    </row>
    <row r="20" spans="1:7" x14ac:dyDescent="0.25">
      <c r="A20" s="138" t="s">
        <v>301</v>
      </c>
      <c r="B20" s="136" t="s">
        <v>305</v>
      </c>
      <c r="C20" s="136">
        <v>17</v>
      </c>
      <c r="D20" s="136"/>
      <c r="E20" s="136">
        <f t="shared" si="0"/>
        <v>11967</v>
      </c>
      <c r="F20" s="136"/>
      <c r="G20" s="136"/>
    </row>
    <row r="21" spans="1:7" x14ac:dyDescent="0.25">
      <c r="A21" s="152" t="s">
        <v>371</v>
      </c>
      <c r="B21" s="136" t="s">
        <v>381</v>
      </c>
      <c r="C21" s="136">
        <v>143</v>
      </c>
      <c r="D21" s="136"/>
      <c r="E21" s="136">
        <f t="shared" si="0"/>
        <v>12110</v>
      </c>
      <c r="F21" s="136"/>
      <c r="G21" s="136"/>
    </row>
    <row r="22" spans="1:7" x14ac:dyDescent="0.25">
      <c r="A22" s="152" t="s">
        <v>371</v>
      </c>
      <c r="B22" s="136" t="s">
        <v>382</v>
      </c>
      <c r="C22" s="136">
        <v>11</v>
      </c>
      <c r="D22" s="136"/>
      <c r="E22" s="136">
        <f t="shared" si="0"/>
        <v>12121</v>
      </c>
      <c r="F22" s="136"/>
      <c r="G22" s="136"/>
    </row>
    <row r="23" spans="1:7" x14ac:dyDescent="0.25">
      <c r="A23" s="152" t="s">
        <v>371</v>
      </c>
      <c r="B23" s="136" t="s">
        <v>264</v>
      </c>
      <c r="C23" s="136">
        <v>57</v>
      </c>
      <c r="D23" s="136"/>
      <c r="E23" s="136">
        <f t="shared" si="0"/>
        <v>12178</v>
      </c>
      <c r="F23" s="136"/>
      <c r="G23" s="136"/>
    </row>
    <row r="24" spans="1:7" x14ac:dyDescent="0.25">
      <c r="A24" s="152" t="s">
        <v>371</v>
      </c>
      <c r="B24" s="136" t="s">
        <v>383</v>
      </c>
      <c r="C24" s="136"/>
      <c r="D24" s="136">
        <v>8</v>
      </c>
      <c r="E24" s="136">
        <f t="shared" si="0"/>
        <v>12170</v>
      </c>
      <c r="F24" s="136" t="s">
        <v>17</v>
      </c>
      <c r="G24" s="136"/>
    </row>
    <row r="25" spans="1:7" x14ac:dyDescent="0.25">
      <c r="A25" s="258" t="s">
        <v>404</v>
      </c>
      <c r="B25" s="136" t="s">
        <v>283</v>
      </c>
      <c r="C25" s="136">
        <v>3</v>
      </c>
      <c r="D25" s="136"/>
      <c r="E25" s="136">
        <f t="shared" si="0"/>
        <v>12173</v>
      </c>
      <c r="F25" s="136"/>
      <c r="G25" s="136"/>
    </row>
    <row r="26" spans="1:7" x14ac:dyDescent="0.25">
      <c r="A26" s="258" t="s">
        <v>404</v>
      </c>
      <c r="B26" s="136" t="s">
        <v>405</v>
      </c>
      <c r="C26" s="136">
        <v>62</v>
      </c>
      <c r="D26" s="136"/>
      <c r="E26" s="136">
        <f t="shared" si="0"/>
        <v>12235</v>
      </c>
      <c r="F26" s="136"/>
      <c r="G26" s="136"/>
    </row>
    <row r="27" spans="1:7" x14ac:dyDescent="0.25">
      <c r="A27" s="138" t="s">
        <v>406</v>
      </c>
      <c r="B27" s="136" t="s">
        <v>383</v>
      </c>
      <c r="C27" s="136"/>
      <c r="D27" s="136">
        <v>40</v>
      </c>
      <c r="E27" s="136">
        <f t="shared" si="0"/>
        <v>12195</v>
      </c>
      <c r="F27" s="136" t="s">
        <v>17</v>
      </c>
      <c r="G27" s="136"/>
    </row>
    <row r="28" spans="1:7" x14ac:dyDescent="0.25">
      <c r="A28" s="138" t="s">
        <v>410</v>
      </c>
      <c r="B28" s="136" t="s">
        <v>414</v>
      </c>
      <c r="C28" s="136"/>
      <c r="D28" s="136">
        <v>100</v>
      </c>
      <c r="E28" s="136">
        <f t="shared" si="0"/>
        <v>12095</v>
      </c>
      <c r="F28" s="136" t="s">
        <v>415</v>
      </c>
      <c r="G28" s="136"/>
    </row>
    <row r="29" spans="1:7" x14ac:dyDescent="0.25">
      <c r="A29" s="152" t="s">
        <v>410</v>
      </c>
      <c r="B29" s="136" t="s">
        <v>264</v>
      </c>
      <c r="C29" s="136">
        <v>46</v>
      </c>
      <c r="D29" s="136"/>
      <c r="E29" s="136">
        <f t="shared" si="0"/>
        <v>12141</v>
      </c>
      <c r="F29" s="136"/>
      <c r="G29" s="136"/>
    </row>
    <row r="30" spans="1:7" x14ac:dyDescent="0.25">
      <c r="A30" s="138" t="s">
        <v>416</v>
      </c>
      <c r="B30" s="136" t="s">
        <v>414</v>
      </c>
      <c r="C30" s="136"/>
      <c r="D30" s="136">
        <v>100</v>
      </c>
      <c r="E30" s="136">
        <f t="shared" si="0"/>
        <v>12041</v>
      </c>
      <c r="F30" s="136" t="s">
        <v>420</v>
      </c>
      <c r="G30" s="136"/>
    </row>
    <row r="31" spans="1:7" x14ac:dyDescent="0.25">
      <c r="A31" s="152" t="s">
        <v>430</v>
      </c>
      <c r="B31" s="136" t="s">
        <v>383</v>
      </c>
      <c r="C31" s="136"/>
      <c r="D31" s="136">
        <v>60</v>
      </c>
      <c r="E31" s="136">
        <f t="shared" si="0"/>
        <v>11981</v>
      </c>
      <c r="F31" s="136" t="s">
        <v>17</v>
      </c>
      <c r="G31" s="136"/>
    </row>
    <row r="32" spans="1:7" x14ac:dyDescent="0.25">
      <c r="A32" s="152" t="s">
        <v>438</v>
      </c>
      <c r="B32" s="136" t="s">
        <v>439</v>
      </c>
      <c r="C32" s="136"/>
      <c r="D32" s="136">
        <v>100</v>
      </c>
      <c r="E32" s="136">
        <f t="shared" si="0"/>
        <v>11881</v>
      </c>
      <c r="F32" s="136" t="s">
        <v>440</v>
      </c>
      <c r="G32" s="136"/>
    </row>
    <row r="33" spans="1:7" x14ac:dyDescent="0.25">
      <c r="A33" s="152" t="s">
        <v>441</v>
      </c>
      <c r="B33" s="136" t="s">
        <v>447</v>
      </c>
      <c r="C33" s="136"/>
      <c r="D33" s="136">
        <v>50</v>
      </c>
      <c r="E33" s="136">
        <f t="shared" si="0"/>
        <v>11831</v>
      </c>
      <c r="F33" s="136" t="s">
        <v>446</v>
      </c>
      <c r="G33" s="136"/>
    </row>
    <row r="34" spans="1:7" x14ac:dyDescent="0.25">
      <c r="A34" s="152" t="s">
        <v>441</v>
      </c>
      <c r="B34" s="136" t="s">
        <v>450</v>
      </c>
      <c r="C34" s="136"/>
      <c r="D34" s="136">
        <v>40</v>
      </c>
      <c r="E34" s="136">
        <f t="shared" si="0"/>
        <v>11791</v>
      </c>
      <c r="F34" s="136" t="s">
        <v>451</v>
      </c>
      <c r="G34" s="136"/>
    </row>
    <row r="35" spans="1:7" x14ac:dyDescent="0.25">
      <c r="A35" s="238" t="s">
        <v>453</v>
      </c>
      <c r="B35" s="136" t="s">
        <v>454</v>
      </c>
      <c r="C35" s="136"/>
      <c r="D35" s="136">
        <v>120</v>
      </c>
      <c r="E35" s="136">
        <f t="shared" si="0"/>
        <v>11671</v>
      </c>
      <c r="F35" s="136" t="s">
        <v>455</v>
      </c>
      <c r="G35" s="136"/>
    </row>
    <row r="36" spans="1:7" x14ac:dyDescent="0.25">
      <c r="A36" s="152" t="s">
        <v>456</v>
      </c>
      <c r="B36" s="156" t="s">
        <v>414</v>
      </c>
      <c r="C36" s="136"/>
      <c r="D36" s="136">
        <v>100</v>
      </c>
      <c r="E36" s="136">
        <f t="shared" si="0"/>
        <v>11571</v>
      </c>
      <c r="F36" s="136" t="s">
        <v>460</v>
      </c>
      <c r="G36" s="136"/>
    </row>
    <row r="37" spans="1:7" x14ac:dyDescent="0.25">
      <c r="A37" s="152" t="s">
        <v>456</v>
      </c>
      <c r="B37" s="136" t="s">
        <v>463</v>
      </c>
      <c r="C37" s="136">
        <v>57</v>
      </c>
      <c r="D37" s="136"/>
      <c r="E37" s="136">
        <f t="shared" si="0"/>
        <v>11628</v>
      </c>
      <c r="F37" s="136"/>
      <c r="G37" s="136"/>
    </row>
    <row r="38" spans="1:7" x14ac:dyDescent="0.25">
      <c r="A38" s="152" t="s">
        <v>468</v>
      </c>
      <c r="B38" s="136" t="s">
        <v>472</v>
      </c>
      <c r="C38" s="136">
        <v>10</v>
      </c>
      <c r="D38" s="136"/>
      <c r="E38" s="136">
        <f t="shared" si="0"/>
        <v>11638</v>
      </c>
      <c r="F38" s="136"/>
      <c r="G38" s="136"/>
    </row>
    <row r="39" spans="1:7" x14ac:dyDescent="0.25">
      <c r="A39" s="152" t="s">
        <v>468</v>
      </c>
      <c r="B39" s="136" t="s">
        <v>283</v>
      </c>
      <c r="C39" s="136">
        <v>42</v>
      </c>
      <c r="D39" s="136"/>
      <c r="E39" s="136">
        <f t="shared" si="0"/>
        <v>11680</v>
      </c>
      <c r="F39" s="136"/>
      <c r="G39" s="136"/>
    </row>
    <row r="40" spans="1:7" ht="15.75" x14ac:dyDescent="0.25">
      <c r="A40" s="152" t="s">
        <v>479</v>
      </c>
      <c r="B40" s="161" t="s">
        <v>283</v>
      </c>
      <c r="C40" s="161">
        <v>10</v>
      </c>
      <c r="D40" s="136"/>
      <c r="E40" s="136">
        <f t="shared" si="0"/>
        <v>11690</v>
      </c>
      <c r="F40" s="136"/>
      <c r="G40" s="136"/>
    </row>
    <row r="41" spans="1:7" x14ac:dyDescent="0.25">
      <c r="A41" s="238" t="s">
        <v>475</v>
      </c>
      <c r="B41" s="136" t="s">
        <v>283</v>
      </c>
      <c r="C41" s="136">
        <v>37</v>
      </c>
      <c r="D41" s="136"/>
      <c r="E41" s="136">
        <f t="shared" si="0"/>
        <v>11727</v>
      </c>
      <c r="F41" s="136"/>
      <c r="G41" s="136"/>
    </row>
    <row r="42" spans="1:7" x14ac:dyDescent="0.25">
      <c r="A42" s="152" t="s">
        <v>485</v>
      </c>
      <c r="B42" s="136" t="s">
        <v>283</v>
      </c>
      <c r="C42" s="136">
        <v>12</v>
      </c>
      <c r="D42" s="136"/>
      <c r="E42" s="136">
        <f t="shared" si="0"/>
        <v>11739</v>
      </c>
      <c r="F42" s="136"/>
      <c r="G42" s="136"/>
    </row>
    <row r="43" spans="1:7" s="129" customFormat="1" ht="14.25" x14ac:dyDescent="0.2">
      <c r="A43" s="238" t="s">
        <v>485</v>
      </c>
      <c r="B43" s="136" t="s">
        <v>182</v>
      </c>
      <c r="C43" s="136">
        <v>471</v>
      </c>
      <c r="D43" s="136"/>
      <c r="E43" s="136">
        <f t="shared" si="0"/>
        <v>12210</v>
      </c>
      <c r="F43" s="136"/>
      <c r="G43" s="136"/>
    </row>
    <row r="44" spans="1:7" x14ac:dyDescent="0.25">
      <c r="A44" s="258" t="s">
        <v>490</v>
      </c>
      <c r="B44" s="136" t="s">
        <v>414</v>
      </c>
      <c r="C44" s="136"/>
      <c r="D44" s="136">
        <v>65</v>
      </c>
      <c r="E44" s="136">
        <f t="shared" si="0"/>
        <v>12145</v>
      </c>
      <c r="F44" s="136" t="s">
        <v>494</v>
      </c>
      <c r="G44" s="136"/>
    </row>
    <row r="45" spans="1:7" x14ac:dyDescent="0.25">
      <c r="A45" s="258" t="s">
        <v>490</v>
      </c>
      <c r="B45" s="36" t="s">
        <v>182</v>
      </c>
      <c r="C45" s="36">
        <v>144</v>
      </c>
      <c r="D45" s="136"/>
      <c r="E45" s="136">
        <f t="shared" si="0"/>
        <v>12289</v>
      </c>
      <c r="F45" s="136"/>
      <c r="G45" s="136"/>
    </row>
    <row r="46" spans="1:7" x14ac:dyDescent="0.25">
      <c r="A46" s="138" t="s">
        <v>502</v>
      </c>
      <c r="B46" s="136" t="s">
        <v>503</v>
      </c>
      <c r="C46" s="136">
        <v>15</v>
      </c>
      <c r="D46" s="136"/>
      <c r="E46" s="136">
        <f t="shared" si="0"/>
        <v>12304</v>
      </c>
      <c r="F46" s="136"/>
      <c r="G46" s="136"/>
    </row>
    <row r="47" spans="1:7" x14ac:dyDescent="0.25">
      <c r="A47" s="238" t="s">
        <v>517</v>
      </c>
      <c r="B47" s="136" t="s">
        <v>519</v>
      </c>
      <c r="C47" s="136">
        <v>88</v>
      </c>
      <c r="D47" s="136"/>
      <c r="E47" s="136">
        <f t="shared" si="0"/>
        <v>12392</v>
      </c>
      <c r="F47" s="136"/>
      <c r="G47" s="136"/>
    </row>
    <row r="48" spans="1:7" x14ac:dyDescent="0.25">
      <c r="A48" s="152" t="s">
        <v>542</v>
      </c>
      <c r="B48" s="136" t="s">
        <v>283</v>
      </c>
      <c r="C48" s="136">
        <v>184</v>
      </c>
      <c r="D48" s="136"/>
      <c r="E48" s="136">
        <f t="shared" si="0"/>
        <v>12576</v>
      </c>
      <c r="F48" s="136"/>
      <c r="G48" s="136"/>
    </row>
    <row r="49" spans="1:7" x14ac:dyDescent="0.25">
      <c r="A49" s="152" t="s">
        <v>542</v>
      </c>
      <c r="B49" s="136" t="s">
        <v>283</v>
      </c>
      <c r="C49" s="136">
        <v>7</v>
      </c>
      <c r="D49" s="136"/>
      <c r="E49" s="136">
        <f t="shared" si="0"/>
        <v>12583</v>
      </c>
      <c r="F49" s="136"/>
      <c r="G49" s="136"/>
    </row>
    <row r="50" spans="1:7" x14ac:dyDescent="0.25">
      <c r="A50" s="152" t="s">
        <v>545</v>
      </c>
      <c r="B50" s="136" t="s">
        <v>328</v>
      </c>
      <c r="C50" s="136"/>
      <c r="D50" s="136">
        <v>200</v>
      </c>
      <c r="E50" s="136">
        <f t="shared" si="0"/>
        <v>12383</v>
      </c>
      <c r="F50" s="136" t="s">
        <v>548</v>
      </c>
      <c r="G50" s="136"/>
    </row>
    <row r="51" spans="1:7" x14ac:dyDescent="0.25">
      <c r="A51" s="121" t="s">
        <v>549</v>
      </c>
      <c r="B51" s="136" t="s">
        <v>414</v>
      </c>
      <c r="C51" s="48">
        <v>45</v>
      </c>
      <c r="D51" s="136"/>
      <c r="E51" s="136">
        <f t="shared" si="0"/>
        <v>12428</v>
      </c>
      <c r="F51" s="136"/>
      <c r="G51" s="136"/>
    </row>
    <row r="52" spans="1:7" x14ac:dyDescent="0.25">
      <c r="A52" s="138" t="s">
        <v>554</v>
      </c>
      <c r="B52" s="136" t="s">
        <v>383</v>
      </c>
      <c r="C52" s="136">
        <v>37</v>
      </c>
      <c r="D52" s="136"/>
      <c r="E52" s="136">
        <f t="shared" si="0"/>
        <v>12465</v>
      </c>
      <c r="F52" s="136"/>
      <c r="G52" s="136"/>
    </row>
    <row r="53" spans="1:7" x14ac:dyDescent="0.25">
      <c r="A53" s="152" t="s">
        <v>559</v>
      </c>
      <c r="B53" s="136" t="s">
        <v>561</v>
      </c>
      <c r="C53" s="136"/>
      <c r="D53" s="136">
        <v>100</v>
      </c>
      <c r="E53" s="136">
        <f t="shared" si="0"/>
        <v>12365</v>
      </c>
      <c r="F53" s="136" t="s">
        <v>17</v>
      </c>
      <c r="G53" s="136"/>
    </row>
    <row r="54" spans="1:7" x14ac:dyDescent="0.25">
      <c r="A54" s="152" t="s">
        <v>559</v>
      </c>
      <c r="B54" s="136" t="s">
        <v>283</v>
      </c>
      <c r="C54" s="136">
        <v>36</v>
      </c>
      <c r="D54" s="136"/>
      <c r="E54" s="136">
        <f t="shared" si="0"/>
        <v>12401</v>
      </c>
      <c r="F54" s="136"/>
      <c r="G54" s="136"/>
    </row>
    <row r="55" spans="1:7" x14ac:dyDescent="0.25">
      <c r="A55" s="152" t="s">
        <v>562</v>
      </c>
      <c r="B55" s="136" t="s">
        <v>563</v>
      </c>
      <c r="C55" s="136">
        <v>650</v>
      </c>
      <c r="D55" s="136"/>
      <c r="E55" s="136">
        <f t="shared" si="0"/>
        <v>13051</v>
      </c>
      <c r="F55" s="136"/>
      <c r="G55" s="136"/>
    </row>
    <row r="56" spans="1:7" x14ac:dyDescent="0.25">
      <c r="A56" s="152" t="s">
        <v>562</v>
      </c>
      <c r="B56" s="156" t="s">
        <v>414</v>
      </c>
      <c r="C56" s="136">
        <v>103</v>
      </c>
      <c r="D56" s="136"/>
      <c r="E56" s="136">
        <f t="shared" si="0"/>
        <v>13154</v>
      </c>
      <c r="F56" s="136"/>
      <c r="G56" s="136"/>
    </row>
    <row r="57" spans="1:7" x14ac:dyDescent="0.25">
      <c r="A57" s="152" t="s">
        <v>569</v>
      </c>
      <c r="B57" s="136" t="s">
        <v>522</v>
      </c>
      <c r="C57" s="136"/>
      <c r="D57" s="136">
        <v>100</v>
      </c>
      <c r="E57" s="136">
        <f t="shared" si="0"/>
        <v>13054</v>
      </c>
      <c r="F57" s="136" t="s">
        <v>570</v>
      </c>
      <c r="G57" s="136"/>
    </row>
    <row r="58" spans="1:7" x14ac:dyDescent="0.25">
      <c r="A58" s="138" t="s">
        <v>569</v>
      </c>
      <c r="B58" s="136" t="s">
        <v>572</v>
      </c>
      <c r="C58" s="136"/>
      <c r="D58" s="136">
        <v>84</v>
      </c>
      <c r="E58" s="136">
        <f t="shared" si="0"/>
        <v>12970</v>
      </c>
      <c r="F58" s="136" t="s">
        <v>17</v>
      </c>
      <c r="G58" s="136"/>
    </row>
    <row r="59" spans="1:7" x14ac:dyDescent="0.25">
      <c r="A59" s="152" t="s">
        <v>573</v>
      </c>
      <c r="B59" s="136" t="s">
        <v>574</v>
      </c>
      <c r="C59" s="136"/>
      <c r="D59" s="136">
        <v>100</v>
      </c>
      <c r="E59" s="136">
        <f t="shared" si="0"/>
        <v>12870</v>
      </c>
      <c r="F59" s="136" t="s">
        <v>17</v>
      </c>
      <c r="G59" s="136"/>
    </row>
    <row r="60" spans="1:7" x14ac:dyDescent="0.25">
      <c r="A60" s="152" t="s">
        <v>577</v>
      </c>
      <c r="B60" s="136" t="s">
        <v>283</v>
      </c>
      <c r="C60" s="136">
        <v>30</v>
      </c>
      <c r="D60" s="136"/>
      <c r="E60" s="136">
        <f t="shared" si="0"/>
        <v>12900</v>
      </c>
      <c r="F60" s="136"/>
      <c r="G60" s="136"/>
    </row>
    <row r="61" spans="1:7" x14ac:dyDescent="0.25">
      <c r="A61" s="152" t="s">
        <v>577</v>
      </c>
      <c r="B61" s="136" t="s">
        <v>488</v>
      </c>
      <c r="C61" s="136">
        <v>20</v>
      </c>
      <c r="D61" s="136"/>
      <c r="E61" s="136">
        <f t="shared" si="0"/>
        <v>12920</v>
      </c>
      <c r="F61" s="136"/>
      <c r="G61" s="136"/>
    </row>
    <row r="62" spans="1:7" x14ac:dyDescent="0.25">
      <c r="A62" s="152" t="s">
        <v>581</v>
      </c>
      <c r="B62" s="136" t="s">
        <v>550</v>
      </c>
      <c r="C62" s="136"/>
      <c r="D62" s="136">
        <v>25</v>
      </c>
      <c r="E62" s="136">
        <f t="shared" si="0"/>
        <v>12895</v>
      </c>
      <c r="F62" s="136" t="s">
        <v>582</v>
      </c>
      <c r="G62" s="136"/>
    </row>
    <row r="63" spans="1:7" x14ac:dyDescent="0.25">
      <c r="A63" s="138" t="s">
        <v>581</v>
      </c>
      <c r="B63" s="136" t="s">
        <v>583</v>
      </c>
      <c r="C63" s="136"/>
      <c r="D63" s="136">
        <v>76</v>
      </c>
      <c r="E63" s="136">
        <f t="shared" si="0"/>
        <v>12819</v>
      </c>
      <c r="F63" s="136" t="s">
        <v>584</v>
      </c>
      <c r="G63" s="136"/>
    </row>
    <row r="64" spans="1:7" x14ac:dyDescent="0.25">
      <c r="A64" s="152" t="s">
        <v>591</v>
      </c>
      <c r="B64" s="136" t="s">
        <v>550</v>
      </c>
      <c r="C64" s="136"/>
      <c r="D64" s="136">
        <v>25</v>
      </c>
      <c r="E64" s="136">
        <f t="shared" si="0"/>
        <v>12794</v>
      </c>
      <c r="F64" s="136" t="s">
        <v>592</v>
      </c>
      <c r="G64" s="136"/>
    </row>
    <row r="65" spans="1:7" x14ac:dyDescent="0.25">
      <c r="A65" s="152" t="s">
        <v>598</v>
      </c>
      <c r="B65" s="136" t="s">
        <v>221</v>
      </c>
      <c r="C65" s="136">
        <v>64</v>
      </c>
      <c r="D65" s="136"/>
      <c r="E65" s="136">
        <f t="shared" si="0"/>
        <v>12858</v>
      </c>
      <c r="F65" s="136"/>
      <c r="G65" s="136"/>
    </row>
    <row r="66" spans="1:7" x14ac:dyDescent="0.25">
      <c r="A66" s="152" t="s">
        <v>602</v>
      </c>
      <c r="B66" s="136" t="s">
        <v>382</v>
      </c>
      <c r="C66" s="136"/>
      <c r="D66" s="136">
        <v>12</v>
      </c>
      <c r="E66" s="136">
        <f t="shared" si="0"/>
        <v>12846</v>
      </c>
      <c r="F66" s="136" t="s">
        <v>603</v>
      </c>
      <c r="G66" s="136"/>
    </row>
    <row r="67" spans="1:7" x14ac:dyDescent="0.25">
      <c r="A67" s="138" t="s">
        <v>625</v>
      </c>
      <c r="B67" s="136" t="s">
        <v>626</v>
      </c>
      <c r="C67" s="136">
        <v>80</v>
      </c>
      <c r="D67" s="136"/>
      <c r="E67" s="136">
        <f t="shared" si="0"/>
        <v>12926</v>
      </c>
      <c r="F67" s="136"/>
      <c r="G67" s="136"/>
    </row>
    <row r="68" spans="1:7" x14ac:dyDescent="0.25">
      <c r="A68" s="152" t="s">
        <v>634</v>
      </c>
      <c r="B68" s="136" t="s">
        <v>283</v>
      </c>
      <c r="C68" s="136">
        <v>4</v>
      </c>
      <c r="D68" s="136"/>
      <c r="E68" s="136">
        <f t="shared" si="0"/>
        <v>12930</v>
      </c>
      <c r="F68" s="136"/>
      <c r="G68" s="136"/>
    </row>
    <row r="69" spans="1:7" x14ac:dyDescent="0.25">
      <c r="A69" s="152" t="s">
        <v>637</v>
      </c>
      <c r="B69" s="136" t="s">
        <v>638</v>
      </c>
      <c r="C69" s="136"/>
      <c r="D69" s="136">
        <v>116</v>
      </c>
      <c r="E69" s="136">
        <f t="shared" si="0"/>
        <v>12814</v>
      </c>
      <c r="F69" s="136" t="s">
        <v>639</v>
      </c>
      <c r="G69" s="136"/>
    </row>
    <row r="70" spans="1:7" x14ac:dyDescent="0.25">
      <c r="A70" s="152" t="s">
        <v>637</v>
      </c>
      <c r="B70" s="136" t="s">
        <v>638</v>
      </c>
      <c r="C70" s="136"/>
      <c r="D70" s="136">
        <v>18</v>
      </c>
      <c r="E70" s="136">
        <f t="shared" si="0"/>
        <v>12796</v>
      </c>
      <c r="F70" s="136" t="s">
        <v>642</v>
      </c>
      <c r="G70" s="136"/>
    </row>
    <row r="71" spans="1:7" x14ac:dyDescent="0.25">
      <c r="A71" s="238" t="s">
        <v>645</v>
      </c>
      <c r="B71" s="136" t="s">
        <v>646</v>
      </c>
      <c r="C71" s="136">
        <v>13</v>
      </c>
      <c r="D71" s="136"/>
      <c r="E71" s="136">
        <f t="shared" si="0"/>
        <v>12809</v>
      </c>
      <c r="F71" s="136"/>
      <c r="G71" s="136"/>
    </row>
    <row r="72" spans="1:7" x14ac:dyDescent="0.25">
      <c r="A72" s="152" t="s">
        <v>637</v>
      </c>
      <c r="B72" s="136" t="s">
        <v>221</v>
      </c>
      <c r="C72" s="136">
        <v>99</v>
      </c>
      <c r="D72" s="136"/>
      <c r="E72" s="136">
        <f t="shared" si="0"/>
        <v>12908</v>
      </c>
      <c r="F72" s="136"/>
      <c r="G72" s="136"/>
    </row>
    <row r="73" spans="1:7" x14ac:dyDescent="0.25">
      <c r="A73" s="305" t="s">
        <v>644</v>
      </c>
      <c r="B73" s="275" t="s">
        <v>414</v>
      </c>
      <c r="C73" s="205">
        <v>150</v>
      </c>
      <c r="D73" s="136"/>
      <c r="E73" s="136">
        <f t="shared" si="0"/>
        <v>13058</v>
      </c>
      <c r="F73" s="136"/>
      <c r="G73" s="136"/>
    </row>
    <row r="74" spans="1:7" x14ac:dyDescent="0.25">
      <c r="A74" s="138" t="s">
        <v>658</v>
      </c>
      <c r="B74" s="136" t="s">
        <v>488</v>
      </c>
      <c r="C74" s="136">
        <v>40</v>
      </c>
      <c r="D74" s="136"/>
      <c r="E74" s="136">
        <f t="shared" si="0"/>
        <v>13098</v>
      </c>
      <c r="F74" s="136"/>
      <c r="G74" s="136"/>
    </row>
    <row r="75" spans="1:7" ht="15.75" x14ac:dyDescent="0.25">
      <c r="A75" s="246" t="s">
        <v>658</v>
      </c>
      <c r="B75" s="136" t="s">
        <v>283</v>
      </c>
      <c r="C75" s="136">
        <v>53</v>
      </c>
      <c r="D75" s="136"/>
      <c r="E75" s="136">
        <f t="shared" ref="E75:E140" si="1">E74+C75-D75</f>
        <v>13151</v>
      </c>
      <c r="F75" s="136"/>
      <c r="G75" s="136"/>
    </row>
    <row r="76" spans="1:7" x14ac:dyDescent="0.25">
      <c r="A76" s="138" t="s">
        <v>683</v>
      </c>
      <c r="B76" s="136" t="s">
        <v>687</v>
      </c>
      <c r="C76" s="136">
        <v>19</v>
      </c>
      <c r="D76" s="136"/>
      <c r="E76" s="136">
        <f t="shared" si="1"/>
        <v>13170</v>
      </c>
      <c r="F76" s="136"/>
      <c r="G76" s="136"/>
    </row>
    <row r="77" spans="1:7" x14ac:dyDescent="0.25">
      <c r="A77" s="152" t="s">
        <v>689</v>
      </c>
      <c r="B77" s="136" t="s">
        <v>638</v>
      </c>
      <c r="C77" s="136"/>
      <c r="D77" s="136">
        <v>100</v>
      </c>
      <c r="E77" s="136">
        <f t="shared" si="1"/>
        <v>13070</v>
      </c>
      <c r="F77" s="136" t="s">
        <v>690</v>
      </c>
      <c r="G77" s="136"/>
    </row>
    <row r="78" spans="1:7" x14ac:dyDescent="0.25">
      <c r="A78" s="138" t="s">
        <v>689</v>
      </c>
      <c r="B78" s="136" t="s">
        <v>694</v>
      </c>
      <c r="C78" s="136"/>
      <c r="D78" s="136">
        <v>150</v>
      </c>
      <c r="E78" s="136">
        <f t="shared" si="1"/>
        <v>12920</v>
      </c>
      <c r="F78" s="136" t="s">
        <v>17</v>
      </c>
      <c r="G78" s="136"/>
    </row>
    <row r="79" spans="1:7" x14ac:dyDescent="0.25">
      <c r="A79" s="152" t="s">
        <v>689</v>
      </c>
      <c r="B79" s="136" t="s">
        <v>257</v>
      </c>
      <c r="C79" s="136">
        <v>91</v>
      </c>
      <c r="D79" s="136"/>
      <c r="E79" s="136">
        <f t="shared" si="1"/>
        <v>13011</v>
      </c>
      <c r="F79" s="136"/>
      <c r="G79" s="136"/>
    </row>
    <row r="80" spans="1:7" x14ac:dyDescent="0.25">
      <c r="A80" s="138" t="s">
        <v>695</v>
      </c>
      <c r="B80" s="136" t="s">
        <v>638</v>
      </c>
      <c r="C80" s="136"/>
      <c r="D80" s="136">
        <v>300</v>
      </c>
      <c r="E80" s="136">
        <f t="shared" si="1"/>
        <v>12711</v>
      </c>
      <c r="F80" s="136" t="s">
        <v>697</v>
      </c>
      <c r="G80" s="136"/>
    </row>
    <row r="81" spans="1:7" x14ac:dyDescent="0.25">
      <c r="A81" s="138" t="s">
        <v>695</v>
      </c>
      <c r="B81" s="136" t="s">
        <v>698</v>
      </c>
      <c r="C81" s="136">
        <v>48</v>
      </c>
      <c r="D81" s="136"/>
      <c r="E81" s="136">
        <f t="shared" si="1"/>
        <v>12759</v>
      </c>
      <c r="F81" s="136"/>
      <c r="G81" s="136"/>
    </row>
    <row r="82" spans="1:7" ht="15.75" x14ac:dyDescent="0.25">
      <c r="A82" s="248" t="s">
        <v>695</v>
      </c>
      <c r="B82" s="161" t="s">
        <v>283</v>
      </c>
      <c r="C82" s="161">
        <v>62</v>
      </c>
      <c r="D82" s="136"/>
      <c r="E82" s="136">
        <f t="shared" si="1"/>
        <v>12821</v>
      </c>
      <c r="F82" s="136"/>
      <c r="G82" s="136"/>
    </row>
    <row r="83" spans="1:7" ht="15.75" x14ac:dyDescent="0.25">
      <c r="A83" s="246" t="s">
        <v>715</v>
      </c>
      <c r="B83" s="161" t="s">
        <v>275</v>
      </c>
      <c r="C83" s="161"/>
      <c r="D83" s="161">
        <v>100</v>
      </c>
      <c r="E83" s="136">
        <f t="shared" si="1"/>
        <v>12721</v>
      </c>
      <c r="F83" s="161" t="s">
        <v>717</v>
      </c>
      <c r="G83" s="136"/>
    </row>
    <row r="84" spans="1:7" ht="15.75" x14ac:dyDescent="0.25">
      <c r="A84" s="246" t="s">
        <v>715</v>
      </c>
      <c r="B84" s="136" t="s">
        <v>522</v>
      </c>
      <c r="C84" s="136">
        <v>36</v>
      </c>
      <c r="D84" s="136"/>
      <c r="E84" s="136">
        <f t="shared" si="1"/>
        <v>12757</v>
      </c>
      <c r="F84" s="136"/>
      <c r="G84" s="136"/>
    </row>
    <row r="85" spans="1:7" x14ac:dyDescent="0.25">
      <c r="A85" s="121" t="s">
        <v>718</v>
      </c>
      <c r="B85" s="36" t="s">
        <v>716</v>
      </c>
      <c r="C85" s="36"/>
      <c r="D85" s="36">
        <v>150</v>
      </c>
      <c r="E85" s="136">
        <f t="shared" si="1"/>
        <v>12607</v>
      </c>
      <c r="F85" s="136" t="s">
        <v>17</v>
      </c>
      <c r="G85" s="136"/>
    </row>
    <row r="86" spans="1:7" x14ac:dyDescent="0.25">
      <c r="A86" s="121" t="s">
        <v>718</v>
      </c>
      <c r="B86" s="136" t="s">
        <v>484</v>
      </c>
      <c r="C86" s="136">
        <v>150</v>
      </c>
      <c r="D86" s="136"/>
      <c r="E86" s="136">
        <f t="shared" si="1"/>
        <v>12757</v>
      </c>
      <c r="F86" s="136"/>
      <c r="G86" s="136"/>
    </row>
    <row r="87" spans="1:7" x14ac:dyDescent="0.25">
      <c r="A87" s="138" t="s">
        <v>719</v>
      </c>
      <c r="B87" s="136" t="s">
        <v>721</v>
      </c>
      <c r="C87" s="136"/>
      <c r="D87" s="136">
        <v>88</v>
      </c>
      <c r="E87" s="136">
        <f t="shared" si="1"/>
        <v>12669</v>
      </c>
      <c r="F87" s="136" t="s">
        <v>722</v>
      </c>
      <c r="G87" s="136"/>
    </row>
    <row r="88" spans="1:7" x14ac:dyDescent="0.25">
      <c r="A88" s="152" t="s">
        <v>724</v>
      </c>
      <c r="B88" s="136" t="s">
        <v>275</v>
      </c>
      <c r="C88" s="136"/>
      <c r="D88" s="136">
        <v>90</v>
      </c>
      <c r="E88" s="136">
        <f t="shared" si="1"/>
        <v>12579</v>
      </c>
      <c r="F88" s="136" t="s">
        <v>725</v>
      </c>
      <c r="G88" s="136"/>
    </row>
    <row r="89" spans="1:7" x14ac:dyDescent="0.25">
      <c r="A89" s="152" t="s">
        <v>724</v>
      </c>
      <c r="B89" s="136" t="s">
        <v>694</v>
      </c>
      <c r="C89" s="136"/>
      <c r="D89" s="136">
        <v>100</v>
      </c>
      <c r="E89" s="136">
        <f t="shared" si="1"/>
        <v>12479</v>
      </c>
      <c r="F89" s="136" t="s">
        <v>17</v>
      </c>
      <c r="G89" s="136"/>
    </row>
    <row r="90" spans="1:7" x14ac:dyDescent="0.25">
      <c r="A90" s="152" t="s">
        <v>724</v>
      </c>
      <c r="B90" s="136" t="s">
        <v>694</v>
      </c>
      <c r="C90" s="136"/>
      <c r="D90" s="136">
        <v>400</v>
      </c>
      <c r="E90" s="136">
        <f t="shared" si="1"/>
        <v>12079</v>
      </c>
      <c r="F90" s="136" t="s">
        <v>17</v>
      </c>
      <c r="G90" s="136"/>
    </row>
    <row r="91" spans="1:7" x14ac:dyDescent="0.25">
      <c r="A91" s="152" t="s">
        <v>724</v>
      </c>
      <c r="B91" s="136" t="s">
        <v>221</v>
      </c>
      <c r="C91" s="136">
        <v>4</v>
      </c>
      <c r="D91" s="136"/>
      <c r="E91" s="136">
        <f t="shared" si="1"/>
        <v>12083</v>
      </c>
      <c r="F91" s="136"/>
      <c r="G91" s="136"/>
    </row>
    <row r="92" spans="1:7" x14ac:dyDescent="0.25">
      <c r="A92" s="152" t="s">
        <v>730</v>
      </c>
      <c r="B92" s="136" t="s">
        <v>716</v>
      </c>
      <c r="C92" s="136"/>
      <c r="D92" s="136">
        <v>10</v>
      </c>
      <c r="E92" s="136">
        <f t="shared" si="1"/>
        <v>12073</v>
      </c>
      <c r="F92" s="136" t="s">
        <v>17</v>
      </c>
      <c r="G92" s="136"/>
    </row>
    <row r="93" spans="1:7" x14ac:dyDescent="0.25">
      <c r="A93" s="152" t="s">
        <v>735</v>
      </c>
      <c r="B93" s="136" t="s">
        <v>257</v>
      </c>
      <c r="C93" s="136">
        <v>60</v>
      </c>
      <c r="D93" s="136"/>
      <c r="E93" s="136">
        <f t="shared" si="1"/>
        <v>12133</v>
      </c>
      <c r="F93" s="136"/>
      <c r="G93" s="136"/>
    </row>
    <row r="94" spans="1:7" x14ac:dyDescent="0.25">
      <c r="A94" s="152" t="s">
        <v>739</v>
      </c>
      <c r="B94" s="136" t="s">
        <v>221</v>
      </c>
      <c r="C94" s="136">
        <v>21</v>
      </c>
      <c r="D94" s="136"/>
      <c r="E94" s="136">
        <f t="shared" si="1"/>
        <v>12154</v>
      </c>
      <c r="F94" s="136"/>
      <c r="G94" s="136"/>
    </row>
    <row r="95" spans="1:7" x14ac:dyDescent="0.25">
      <c r="A95" s="121" t="s">
        <v>741</v>
      </c>
      <c r="B95" s="36" t="s">
        <v>742</v>
      </c>
      <c r="C95" s="36">
        <v>188</v>
      </c>
      <c r="D95" s="136"/>
      <c r="E95" s="136">
        <f t="shared" si="1"/>
        <v>12342</v>
      </c>
      <c r="F95" s="136"/>
      <c r="G95" s="136"/>
    </row>
    <row r="96" spans="1:7" x14ac:dyDescent="0.25">
      <c r="A96" s="138" t="s">
        <v>747</v>
      </c>
      <c r="B96" s="136" t="s">
        <v>748</v>
      </c>
      <c r="C96" s="136"/>
      <c r="D96" s="136">
        <v>30</v>
      </c>
      <c r="E96" s="136">
        <f t="shared" si="1"/>
        <v>12312</v>
      </c>
      <c r="F96" s="136" t="s">
        <v>749</v>
      </c>
      <c r="G96" s="136"/>
    </row>
    <row r="97" spans="1:7" ht="15.75" x14ac:dyDescent="0.25">
      <c r="A97" s="138" t="s">
        <v>747</v>
      </c>
      <c r="B97" s="161" t="s">
        <v>283</v>
      </c>
      <c r="C97" s="136">
        <v>4</v>
      </c>
      <c r="D97" s="136"/>
      <c r="E97" s="136">
        <f t="shared" si="1"/>
        <v>12316</v>
      </c>
      <c r="F97" s="136"/>
      <c r="G97" s="136"/>
    </row>
    <row r="98" spans="1:7" x14ac:dyDescent="0.25">
      <c r="A98" s="152" t="s">
        <v>752</v>
      </c>
      <c r="B98" s="136" t="s">
        <v>221</v>
      </c>
      <c r="C98" s="136">
        <v>134</v>
      </c>
      <c r="D98" s="136"/>
      <c r="E98" s="136">
        <f t="shared" si="1"/>
        <v>12450</v>
      </c>
      <c r="F98" s="136"/>
      <c r="G98" s="136"/>
    </row>
    <row r="99" spans="1:7" x14ac:dyDescent="0.25">
      <c r="A99" s="152" t="s">
        <v>758</v>
      </c>
      <c r="B99" s="136" t="s">
        <v>221</v>
      </c>
      <c r="C99" s="136">
        <v>65</v>
      </c>
      <c r="D99" s="136"/>
      <c r="E99" s="136">
        <f t="shared" si="1"/>
        <v>12515</v>
      </c>
      <c r="F99" s="136"/>
      <c r="G99" s="136"/>
    </row>
    <row r="100" spans="1:7" x14ac:dyDescent="0.25">
      <c r="A100" s="152" t="s">
        <v>762</v>
      </c>
      <c r="B100" s="136" t="s">
        <v>763</v>
      </c>
      <c r="C100" s="136">
        <v>25</v>
      </c>
      <c r="D100" s="136"/>
      <c r="E100" s="136">
        <f t="shared" si="1"/>
        <v>12540</v>
      </c>
      <c r="F100" s="136"/>
      <c r="G100" s="136"/>
    </row>
    <row r="101" spans="1:7" x14ac:dyDescent="0.25">
      <c r="A101" s="152" t="s">
        <v>764</v>
      </c>
      <c r="B101" s="136" t="s">
        <v>638</v>
      </c>
      <c r="C101" s="136"/>
      <c r="D101" s="136">
        <v>20</v>
      </c>
      <c r="E101" s="136">
        <f t="shared" si="1"/>
        <v>12520</v>
      </c>
      <c r="F101" s="136" t="s">
        <v>769</v>
      </c>
      <c r="G101" s="136"/>
    </row>
    <row r="102" spans="1:7" x14ac:dyDescent="0.25">
      <c r="A102" s="152" t="s">
        <v>764</v>
      </c>
      <c r="B102" s="136" t="s">
        <v>638</v>
      </c>
      <c r="C102" s="136"/>
      <c r="D102" s="136">
        <v>140</v>
      </c>
      <c r="E102" s="136">
        <f t="shared" si="1"/>
        <v>12380</v>
      </c>
      <c r="F102" s="136" t="s">
        <v>770</v>
      </c>
      <c r="G102" s="136"/>
    </row>
    <row r="103" spans="1:7" x14ac:dyDescent="0.25">
      <c r="A103" s="152" t="s">
        <v>764</v>
      </c>
      <c r="B103" s="136" t="s">
        <v>414</v>
      </c>
      <c r="C103" s="136">
        <v>17</v>
      </c>
      <c r="D103" s="136"/>
      <c r="E103" s="136">
        <f t="shared" si="1"/>
        <v>12397</v>
      </c>
      <c r="F103" s="136"/>
      <c r="G103" s="136"/>
    </row>
    <row r="104" spans="1:7" x14ac:dyDescent="0.25">
      <c r="A104" s="152" t="s">
        <v>773</v>
      </c>
      <c r="B104" s="136" t="s">
        <v>283</v>
      </c>
      <c r="C104" s="136">
        <v>3</v>
      </c>
      <c r="D104" s="136"/>
      <c r="E104" s="136">
        <f t="shared" si="1"/>
        <v>12400</v>
      </c>
      <c r="F104" s="136"/>
      <c r="G104" s="136"/>
    </row>
    <row r="105" spans="1:7" x14ac:dyDescent="0.25">
      <c r="A105" s="152" t="s">
        <v>779</v>
      </c>
      <c r="B105" s="136" t="s">
        <v>761</v>
      </c>
      <c r="C105" s="136">
        <v>179</v>
      </c>
      <c r="D105" s="136"/>
      <c r="E105" s="136">
        <f t="shared" si="1"/>
        <v>12579</v>
      </c>
      <c r="F105" s="136"/>
      <c r="G105" s="136"/>
    </row>
    <row r="106" spans="1:7" x14ac:dyDescent="0.25">
      <c r="A106" s="233">
        <v>8154</v>
      </c>
      <c r="B106" s="136" t="s">
        <v>344</v>
      </c>
      <c r="C106" s="136">
        <v>3</v>
      </c>
      <c r="D106" s="136"/>
      <c r="E106" s="136">
        <f t="shared" si="1"/>
        <v>12582</v>
      </c>
      <c r="F106" s="136"/>
      <c r="G106" s="136"/>
    </row>
    <row r="107" spans="1:7" x14ac:dyDescent="0.25">
      <c r="A107" s="138" t="s">
        <v>785</v>
      </c>
      <c r="B107" s="136" t="s">
        <v>344</v>
      </c>
      <c r="C107" s="136">
        <v>2</v>
      </c>
      <c r="D107" s="136"/>
      <c r="E107" s="136">
        <f t="shared" si="1"/>
        <v>12584</v>
      </c>
      <c r="F107" s="136"/>
      <c r="G107" s="136"/>
    </row>
    <row r="108" spans="1:7" x14ac:dyDescent="0.25">
      <c r="A108" s="152" t="s">
        <v>788</v>
      </c>
      <c r="B108" s="136" t="s">
        <v>275</v>
      </c>
      <c r="C108" s="136"/>
      <c r="D108" s="136">
        <v>50</v>
      </c>
      <c r="E108" s="136">
        <f t="shared" si="1"/>
        <v>12534</v>
      </c>
      <c r="F108" s="136" t="s">
        <v>789</v>
      </c>
      <c r="G108" s="136"/>
    </row>
    <row r="109" spans="1:7" x14ac:dyDescent="0.25">
      <c r="A109" s="138" t="s">
        <v>790</v>
      </c>
      <c r="B109" s="136" t="s">
        <v>783</v>
      </c>
      <c r="C109" s="136"/>
      <c r="D109" s="136">
        <v>36</v>
      </c>
      <c r="E109" s="136">
        <f t="shared" si="1"/>
        <v>12498</v>
      </c>
      <c r="F109" s="136" t="s">
        <v>791</v>
      </c>
      <c r="G109" s="136"/>
    </row>
    <row r="110" spans="1:7" x14ac:dyDescent="0.25">
      <c r="A110" s="152" t="s">
        <v>788</v>
      </c>
      <c r="B110" s="136" t="s">
        <v>763</v>
      </c>
      <c r="C110" s="136">
        <v>21</v>
      </c>
      <c r="D110" s="136"/>
      <c r="E110" s="136">
        <f t="shared" si="1"/>
        <v>12519</v>
      </c>
      <c r="F110" s="136"/>
      <c r="G110" s="136"/>
    </row>
    <row r="111" spans="1:7" x14ac:dyDescent="0.25">
      <c r="A111" s="152" t="s">
        <v>794</v>
      </c>
      <c r="B111" s="136" t="s">
        <v>221</v>
      </c>
      <c r="C111" s="136">
        <v>12</v>
      </c>
      <c r="D111" s="136"/>
      <c r="E111" s="136">
        <f t="shared" si="1"/>
        <v>12531</v>
      </c>
      <c r="F111" s="136"/>
      <c r="G111" s="136"/>
    </row>
    <row r="112" spans="1:7" x14ac:dyDescent="0.25">
      <c r="A112" s="152" t="s">
        <v>798</v>
      </c>
      <c r="B112" s="136" t="s">
        <v>273</v>
      </c>
      <c r="C112" s="136"/>
      <c r="D112" s="136">
        <v>100</v>
      </c>
      <c r="E112" s="136">
        <f t="shared" si="1"/>
        <v>12431</v>
      </c>
      <c r="F112" s="136" t="s">
        <v>799</v>
      </c>
      <c r="G112" s="136"/>
    </row>
    <row r="113" spans="1:7" x14ac:dyDescent="0.25">
      <c r="A113" s="152" t="s">
        <v>798</v>
      </c>
      <c r="B113" s="136" t="s">
        <v>800</v>
      </c>
      <c r="C113" s="136"/>
      <c r="D113" s="136">
        <v>100</v>
      </c>
      <c r="E113" s="136">
        <f t="shared" si="1"/>
        <v>12331</v>
      </c>
      <c r="F113" s="136" t="s">
        <v>17</v>
      </c>
      <c r="G113" s="136"/>
    </row>
    <row r="114" spans="1:7" x14ac:dyDescent="0.25">
      <c r="A114" s="152" t="s">
        <v>798</v>
      </c>
      <c r="B114" s="136" t="s">
        <v>344</v>
      </c>
      <c r="C114" s="136"/>
      <c r="D114" s="136">
        <v>5</v>
      </c>
      <c r="E114" s="136">
        <f t="shared" si="1"/>
        <v>12326</v>
      </c>
      <c r="F114" s="136" t="s">
        <v>801</v>
      </c>
      <c r="G114" s="136"/>
    </row>
    <row r="115" spans="1:7" x14ac:dyDescent="0.25">
      <c r="A115" s="238" t="s">
        <v>803</v>
      </c>
      <c r="B115" s="136" t="s">
        <v>800</v>
      </c>
      <c r="C115" s="136"/>
      <c r="D115" s="136">
        <v>100</v>
      </c>
      <c r="E115" s="136">
        <f t="shared" si="1"/>
        <v>12226</v>
      </c>
      <c r="F115" s="136" t="s">
        <v>17</v>
      </c>
      <c r="G115" s="136"/>
    </row>
    <row r="116" spans="1:7" x14ac:dyDescent="0.25">
      <c r="A116" s="138" t="s">
        <v>803</v>
      </c>
      <c r="B116" s="136" t="s">
        <v>381</v>
      </c>
      <c r="C116" s="136">
        <v>8</v>
      </c>
      <c r="D116" s="136"/>
      <c r="E116" s="136">
        <f t="shared" si="1"/>
        <v>12234</v>
      </c>
      <c r="F116" s="136"/>
      <c r="G116" s="136"/>
    </row>
    <row r="117" spans="1:7" x14ac:dyDescent="0.25">
      <c r="A117" s="152" t="s">
        <v>811</v>
      </c>
      <c r="B117" s="136" t="s">
        <v>814</v>
      </c>
      <c r="C117" s="136"/>
      <c r="D117" s="136">
        <v>60</v>
      </c>
      <c r="E117" s="136">
        <f t="shared" si="1"/>
        <v>12174</v>
      </c>
      <c r="F117" s="136" t="s">
        <v>815</v>
      </c>
      <c r="G117" s="136"/>
    </row>
    <row r="118" spans="1:7" x14ac:dyDescent="0.25">
      <c r="A118" s="152" t="s">
        <v>811</v>
      </c>
      <c r="B118" s="136" t="s">
        <v>816</v>
      </c>
      <c r="C118" s="136"/>
      <c r="D118" s="136">
        <v>160</v>
      </c>
      <c r="E118" s="136">
        <f t="shared" si="1"/>
        <v>12014</v>
      </c>
      <c r="F118" s="136" t="s">
        <v>817</v>
      </c>
      <c r="G118" s="136"/>
    </row>
    <row r="119" spans="1:7" x14ac:dyDescent="0.25">
      <c r="A119" s="152" t="s">
        <v>820</v>
      </c>
      <c r="B119" s="136" t="s">
        <v>826</v>
      </c>
      <c r="C119" s="136">
        <v>411</v>
      </c>
      <c r="D119" s="136"/>
      <c r="E119" s="136">
        <f t="shared" si="1"/>
        <v>12425</v>
      </c>
      <c r="F119" s="136"/>
      <c r="G119" s="136"/>
    </row>
    <row r="120" spans="1:7" x14ac:dyDescent="0.25">
      <c r="A120" s="152" t="s">
        <v>827</v>
      </c>
      <c r="B120" s="136" t="s">
        <v>831</v>
      </c>
      <c r="C120" s="136"/>
      <c r="D120" s="136">
        <v>100</v>
      </c>
      <c r="E120" s="136">
        <f t="shared" si="1"/>
        <v>12325</v>
      </c>
      <c r="F120" s="136" t="s">
        <v>17</v>
      </c>
      <c r="G120" s="136"/>
    </row>
    <row r="121" spans="1:7" x14ac:dyDescent="0.25">
      <c r="A121" s="138" t="s">
        <v>827</v>
      </c>
      <c r="B121" s="136" t="s">
        <v>382</v>
      </c>
      <c r="C121" s="136">
        <v>4</v>
      </c>
      <c r="D121" s="136"/>
      <c r="E121" s="136">
        <f t="shared" si="1"/>
        <v>12329</v>
      </c>
      <c r="F121" s="136"/>
      <c r="G121" s="136"/>
    </row>
    <row r="122" spans="1:7" x14ac:dyDescent="0.25">
      <c r="A122" s="152" t="s">
        <v>835</v>
      </c>
      <c r="B122" s="136" t="s">
        <v>831</v>
      </c>
      <c r="C122" s="136"/>
      <c r="D122" s="136">
        <v>370</v>
      </c>
      <c r="E122" s="136">
        <f t="shared" si="1"/>
        <v>11959</v>
      </c>
      <c r="F122" s="136" t="s">
        <v>17</v>
      </c>
      <c r="G122" s="136"/>
    </row>
    <row r="123" spans="1:7" x14ac:dyDescent="0.25">
      <c r="A123" s="138" t="s">
        <v>835</v>
      </c>
      <c r="B123" s="136" t="s">
        <v>522</v>
      </c>
      <c r="C123" s="136"/>
      <c r="D123" s="136">
        <v>200</v>
      </c>
      <c r="E123" s="136">
        <f t="shared" si="1"/>
        <v>11759</v>
      </c>
      <c r="F123" s="136" t="s">
        <v>836</v>
      </c>
      <c r="G123" s="136"/>
    </row>
    <row r="124" spans="1:7" x14ac:dyDescent="0.25">
      <c r="A124" s="138" t="s">
        <v>835</v>
      </c>
      <c r="B124" s="136" t="s">
        <v>454</v>
      </c>
      <c r="C124" s="136"/>
      <c r="D124" s="136">
        <v>70</v>
      </c>
      <c r="E124" s="136">
        <f t="shared" si="1"/>
        <v>11689</v>
      </c>
      <c r="F124" s="136" t="s">
        <v>838</v>
      </c>
      <c r="G124" s="136"/>
    </row>
    <row r="125" spans="1:7" x14ac:dyDescent="0.25">
      <c r="A125" s="152" t="s">
        <v>839</v>
      </c>
      <c r="B125" s="136" t="s">
        <v>840</v>
      </c>
      <c r="C125" s="136"/>
      <c r="D125" s="136">
        <v>80</v>
      </c>
      <c r="E125" s="136">
        <f t="shared" si="1"/>
        <v>11609</v>
      </c>
      <c r="F125" s="136" t="s">
        <v>17</v>
      </c>
      <c r="G125" s="136"/>
    </row>
    <row r="126" spans="1:7" x14ac:dyDescent="0.25">
      <c r="A126" s="152" t="s">
        <v>839</v>
      </c>
      <c r="B126" s="136" t="s">
        <v>844</v>
      </c>
      <c r="C126" s="136">
        <v>4</v>
      </c>
      <c r="D126" s="136"/>
      <c r="E126" s="136">
        <f t="shared" si="1"/>
        <v>11613</v>
      </c>
      <c r="F126" s="136"/>
      <c r="G126" s="136"/>
    </row>
    <row r="127" spans="1:7" x14ac:dyDescent="0.25">
      <c r="A127" s="138" t="s">
        <v>848</v>
      </c>
      <c r="B127" s="136" t="s">
        <v>849</v>
      </c>
      <c r="C127" s="136"/>
      <c r="D127" s="136">
        <v>12</v>
      </c>
      <c r="E127" s="136">
        <f t="shared" si="1"/>
        <v>11601</v>
      </c>
      <c r="F127" s="136" t="s">
        <v>17</v>
      </c>
      <c r="G127" s="136"/>
    </row>
    <row r="128" spans="1:7" x14ac:dyDescent="0.25">
      <c r="A128" s="138" t="s">
        <v>848</v>
      </c>
      <c r="B128" s="136" t="s">
        <v>849</v>
      </c>
      <c r="C128" s="136"/>
      <c r="D128" s="136">
        <v>10</v>
      </c>
      <c r="E128" s="136">
        <f t="shared" si="1"/>
        <v>11591</v>
      </c>
      <c r="F128" s="136"/>
      <c r="G128" s="136"/>
    </row>
    <row r="129" spans="1:7" x14ac:dyDescent="0.25">
      <c r="A129" s="138" t="s">
        <v>847</v>
      </c>
      <c r="B129" s="136" t="s">
        <v>783</v>
      </c>
      <c r="C129" s="136"/>
      <c r="D129" s="136">
        <v>300</v>
      </c>
      <c r="E129" s="136">
        <f t="shared" si="1"/>
        <v>11291</v>
      </c>
      <c r="F129" s="136" t="s">
        <v>850</v>
      </c>
      <c r="G129" s="136"/>
    </row>
    <row r="130" spans="1:7" x14ac:dyDescent="0.25">
      <c r="A130" s="138" t="s">
        <v>856</v>
      </c>
      <c r="B130" s="136" t="s">
        <v>857</v>
      </c>
      <c r="C130" s="136"/>
      <c r="D130" s="136">
        <v>40</v>
      </c>
      <c r="E130" s="136">
        <f t="shared" si="1"/>
        <v>11251</v>
      </c>
      <c r="F130" s="163" t="s">
        <v>17</v>
      </c>
      <c r="G130" s="136"/>
    </row>
    <row r="131" spans="1:7" x14ac:dyDescent="0.25">
      <c r="A131" s="152" t="s">
        <v>856</v>
      </c>
      <c r="B131" s="136" t="s">
        <v>721</v>
      </c>
      <c r="C131" s="163">
        <v>13</v>
      </c>
      <c r="D131" s="136"/>
      <c r="E131" s="136">
        <f t="shared" si="1"/>
        <v>11264</v>
      </c>
      <c r="F131" s="136"/>
      <c r="G131" s="136"/>
    </row>
    <row r="132" spans="1:7" x14ac:dyDescent="0.25">
      <c r="A132" s="152" t="s">
        <v>856</v>
      </c>
      <c r="B132" s="136" t="s">
        <v>522</v>
      </c>
      <c r="C132" s="163">
        <v>75</v>
      </c>
      <c r="D132" s="136"/>
      <c r="E132" s="136">
        <f t="shared" si="1"/>
        <v>11339</v>
      </c>
      <c r="F132" s="136"/>
      <c r="G132" s="136"/>
    </row>
    <row r="133" spans="1:7" x14ac:dyDescent="0.25">
      <c r="A133" s="138" t="s">
        <v>869</v>
      </c>
      <c r="B133" s="136" t="s">
        <v>221</v>
      </c>
      <c r="C133" s="136">
        <v>12</v>
      </c>
      <c r="D133" s="136"/>
      <c r="E133" s="136">
        <f t="shared" si="1"/>
        <v>11351</v>
      </c>
      <c r="F133" s="136"/>
      <c r="G133" s="136"/>
    </row>
    <row r="134" spans="1:7" x14ac:dyDescent="0.25">
      <c r="A134" s="138" t="s">
        <v>873</v>
      </c>
      <c r="B134" s="136" t="s">
        <v>783</v>
      </c>
      <c r="C134" s="136"/>
      <c r="D134" s="136">
        <v>50</v>
      </c>
      <c r="E134" s="136">
        <f t="shared" si="1"/>
        <v>11301</v>
      </c>
      <c r="F134" s="136" t="s">
        <v>876</v>
      </c>
      <c r="G134" s="136"/>
    </row>
    <row r="135" spans="1:7" x14ac:dyDescent="0.25">
      <c r="A135" s="138" t="s">
        <v>877</v>
      </c>
      <c r="B135" s="136" t="s">
        <v>816</v>
      </c>
      <c r="C135" s="136"/>
      <c r="D135" s="136">
        <v>30</v>
      </c>
      <c r="E135" s="136">
        <f t="shared" si="1"/>
        <v>11271</v>
      </c>
      <c r="F135" s="136" t="s">
        <v>878</v>
      </c>
      <c r="G135" s="136"/>
    </row>
    <row r="136" spans="1:7" x14ac:dyDescent="0.25">
      <c r="A136" s="138" t="s">
        <v>880</v>
      </c>
      <c r="B136" s="136" t="s">
        <v>816</v>
      </c>
      <c r="C136" s="136"/>
      <c r="D136" s="136">
        <v>60</v>
      </c>
      <c r="E136" s="136">
        <f t="shared" si="1"/>
        <v>11211</v>
      </c>
      <c r="F136" s="136" t="s">
        <v>882</v>
      </c>
      <c r="G136" s="136"/>
    </row>
    <row r="137" spans="1:7" x14ac:dyDescent="0.25">
      <c r="A137" s="138" t="s">
        <v>880</v>
      </c>
      <c r="B137" s="136" t="s">
        <v>522</v>
      </c>
      <c r="C137" s="136">
        <v>55</v>
      </c>
      <c r="D137" s="136"/>
      <c r="E137" s="136">
        <f t="shared" si="1"/>
        <v>11266</v>
      </c>
      <c r="F137" s="136"/>
      <c r="G137" s="136"/>
    </row>
    <row r="138" spans="1:7" x14ac:dyDescent="0.25">
      <c r="A138" s="138" t="s">
        <v>883</v>
      </c>
      <c r="B138" s="136" t="s">
        <v>814</v>
      </c>
      <c r="C138" s="136"/>
      <c r="D138" s="136">
        <v>18</v>
      </c>
      <c r="E138" s="136">
        <f t="shared" si="1"/>
        <v>11248</v>
      </c>
      <c r="F138" s="136" t="s">
        <v>889</v>
      </c>
      <c r="G138" s="136"/>
    </row>
    <row r="139" spans="1:7" ht="15.75" x14ac:dyDescent="0.25">
      <c r="A139" s="246" t="s">
        <v>883</v>
      </c>
      <c r="B139" s="161" t="s">
        <v>833</v>
      </c>
      <c r="C139" s="161"/>
      <c r="D139" s="161">
        <v>150</v>
      </c>
      <c r="E139" s="136">
        <f t="shared" si="1"/>
        <v>11098</v>
      </c>
      <c r="F139" s="161" t="s">
        <v>892</v>
      </c>
      <c r="G139" s="136"/>
    </row>
    <row r="140" spans="1:7" x14ac:dyDescent="0.25">
      <c r="A140" s="138" t="s">
        <v>893</v>
      </c>
      <c r="B140" s="136" t="s">
        <v>783</v>
      </c>
      <c r="C140" s="136"/>
      <c r="D140" s="136">
        <v>50</v>
      </c>
      <c r="E140" s="136">
        <f t="shared" si="1"/>
        <v>11048</v>
      </c>
      <c r="F140" s="136" t="s">
        <v>894</v>
      </c>
      <c r="G140" s="136"/>
    </row>
    <row r="141" spans="1:7" x14ac:dyDescent="0.25">
      <c r="A141" s="152" t="s">
        <v>902</v>
      </c>
      <c r="B141" s="136" t="s">
        <v>454</v>
      </c>
      <c r="C141" s="136"/>
      <c r="D141" s="136">
        <v>40</v>
      </c>
      <c r="E141" s="136">
        <f t="shared" ref="E141:E146" si="2">E140+C141-D141</f>
        <v>11008</v>
      </c>
      <c r="F141" s="136" t="s">
        <v>903</v>
      </c>
      <c r="G141" s="136"/>
    </row>
    <row r="142" spans="1:7" x14ac:dyDescent="0.25">
      <c r="A142" s="152" t="s">
        <v>902</v>
      </c>
      <c r="B142" s="136" t="s">
        <v>907</v>
      </c>
      <c r="C142" s="136"/>
      <c r="D142" s="136">
        <v>22</v>
      </c>
      <c r="E142" s="136">
        <f t="shared" si="2"/>
        <v>10986</v>
      </c>
      <c r="F142" s="136" t="s">
        <v>17</v>
      </c>
      <c r="G142" s="136"/>
    </row>
    <row r="143" spans="1:7" x14ac:dyDescent="0.25">
      <c r="A143" s="152" t="s">
        <v>902</v>
      </c>
      <c r="B143" s="136" t="s">
        <v>907</v>
      </c>
      <c r="C143" s="136"/>
      <c r="D143" s="136">
        <v>22</v>
      </c>
      <c r="E143" s="136">
        <f t="shared" si="2"/>
        <v>10964</v>
      </c>
      <c r="F143" s="136" t="s">
        <v>17</v>
      </c>
      <c r="G143" s="136"/>
    </row>
    <row r="144" spans="1:7" x14ac:dyDescent="0.25">
      <c r="A144" s="152" t="s">
        <v>911</v>
      </c>
      <c r="B144" s="136" t="s">
        <v>522</v>
      </c>
      <c r="C144" s="136">
        <v>36</v>
      </c>
      <c r="D144" s="136"/>
      <c r="E144" s="136">
        <f t="shared" si="2"/>
        <v>11000</v>
      </c>
      <c r="F144" s="136"/>
      <c r="G144" s="136"/>
    </row>
    <row r="145" spans="1:7" x14ac:dyDescent="0.25">
      <c r="A145" s="121" t="s">
        <v>914</v>
      </c>
      <c r="B145" s="36" t="s">
        <v>783</v>
      </c>
      <c r="C145" s="36"/>
      <c r="D145" s="136">
        <v>200</v>
      </c>
      <c r="E145" s="136">
        <f t="shared" si="2"/>
        <v>10800</v>
      </c>
      <c r="F145" s="136" t="s">
        <v>917</v>
      </c>
      <c r="G145" s="136"/>
    </row>
    <row r="146" spans="1:7" ht="15.75" x14ac:dyDescent="0.25">
      <c r="A146" s="246" t="s">
        <v>914</v>
      </c>
      <c r="B146" s="161" t="s">
        <v>915</v>
      </c>
      <c r="C146" s="161"/>
      <c r="D146" s="161">
        <v>70</v>
      </c>
      <c r="E146" s="136">
        <f t="shared" si="2"/>
        <v>10730</v>
      </c>
      <c r="F146" s="161" t="s">
        <v>918</v>
      </c>
      <c r="G146" s="136"/>
    </row>
    <row r="147" spans="1:7" x14ac:dyDescent="0.25">
      <c r="A147" s="144"/>
      <c r="B147" s="136"/>
      <c r="C147" s="136"/>
      <c r="D147" s="136"/>
      <c r="E147" s="136"/>
      <c r="F147" s="136"/>
      <c r="G147" s="136"/>
    </row>
    <row r="148" spans="1:7" x14ac:dyDescent="0.25">
      <c r="A148" s="144"/>
      <c r="B148" s="136"/>
      <c r="C148" s="136"/>
      <c r="D148" s="136"/>
      <c r="E148" s="136"/>
      <c r="F148" s="136"/>
      <c r="G148" s="136"/>
    </row>
    <row r="149" spans="1:7" x14ac:dyDescent="0.25">
      <c r="A149" s="144"/>
      <c r="B149" s="136"/>
      <c r="C149" s="136"/>
      <c r="D149" s="136"/>
      <c r="E149" s="136"/>
      <c r="F149" s="136"/>
      <c r="G149" s="136"/>
    </row>
    <row r="150" spans="1:7" x14ac:dyDescent="0.25">
      <c r="A150" s="144"/>
      <c r="B150" s="136"/>
      <c r="C150" s="136"/>
      <c r="D150" s="136"/>
      <c r="E150" s="136"/>
      <c r="F150" s="136"/>
      <c r="G150" s="136"/>
    </row>
  </sheetData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3"/>
  <sheetViews>
    <sheetView topLeftCell="A102" zoomScaleNormal="100" workbookViewId="0">
      <selection activeCell="F119" sqref="F119"/>
    </sheetView>
  </sheetViews>
  <sheetFormatPr defaultRowHeight="15" x14ac:dyDescent="0.25"/>
  <cols>
    <col min="1" max="1" width="12.28515625" style="147" customWidth="1"/>
    <col min="2" max="2" width="35.28515625" style="129" customWidth="1"/>
    <col min="3" max="5" width="9.140625" style="129"/>
    <col min="6" max="6" width="15" style="129" customWidth="1"/>
    <col min="7" max="7" width="26.5703125" style="129" customWidth="1"/>
  </cols>
  <sheetData>
    <row r="2" spans="1:7" x14ac:dyDescent="0.25">
      <c r="A2" s="140" t="s">
        <v>44</v>
      </c>
      <c r="B2" s="141"/>
      <c r="C2" s="128"/>
      <c r="D2" s="128"/>
      <c r="E2" s="128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48"/>
      <c r="B5" s="137" t="s">
        <v>246</v>
      </c>
      <c r="C5" s="137"/>
      <c r="D5" s="137"/>
      <c r="E5" s="137"/>
      <c r="F5" s="137">
        <v>22253</v>
      </c>
      <c r="G5" s="137"/>
    </row>
    <row r="6" spans="1:7" x14ac:dyDescent="0.25">
      <c r="A6" s="144"/>
      <c r="B6" s="136"/>
      <c r="C6" s="136"/>
      <c r="D6" s="136"/>
      <c r="E6" s="136">
        <v>22253</v>
      </c>
      <c r="F6" s="136"/>
      <c r="G6" s="136"/>
    </row>
    <row r="7" spans="1:7" x14ac:dyDescent="0.25">
      <c r="A7" s="138" t="s">
        <v>254</v>
      </c>
      <c r="B7" s="136" t="s">
        <v>402</v>
      </c>
      <c r="C7" s="136"/>
      <c r="D7" s="136">
        <v>2000</v>
      </c>
      <c r="E7" s="136">
        <f>E6+C7-D7</f>
        <v>20253</v>
      </c>
      <c r="F7" s="136" t="s">
        <v>255</v>
      </c>
      <c r="G7" s="136"/>
    </row>
    <row r="8" spans="1:7" x14ac:dyDescent="0.25">
      <c r="A8" s="138" t="s">
        <v>343</v>
      </c>
      <c r="B8" s="136" t="s">
        <v>402</v>
      </c>
      <c r="C8" s="136"/>
      <c r="D8" s="136">
        <v>200</v>
      </c>
      <c r="E8" s="136">
        <f>E7+C8-D8</f>
        <v>20053</v>
      </c>
      <c r="F8" s="136" t="s">
        <v>345</v>
      </c>
      <c r="G8" s="136"/>
    </row>
    <row r="9" spans="1:7" x14ac:dyDescent="0.25">
      <c r="A9" s="138" t="s">
        <v>353</v>
      </c>
      <c r="B9" s="136" t="s">
        <v>402</v>
      </c>
      <c r="C9" s="136"/>
      <c r="D9" s="136">
        <v>400</v>
      </c>
      <c r="E9" s="136">
        <f t="shared" ref="E9:E76" si="0">E8+C9-D9</f>
        <v>19653</v>
      </c>
      <c r="F9" s="136" t="s">
        <v>354</v>
      </c>
      <c r="G9" s="136"/>
    </row>
    <row r="10" spans="1:7" x14ac:dyDescent="0.25">
      <c r="A10" s="138" t="s">
        <v>353</v>
      </c>
      <c r="B10" s="136" t="s">
        <v>402</v>
      </c>
      <c r="C10" s="136"/>
      <c r="D10" s="136">
        <v>410</v>
      </c>
      <c r="E10" s="136">
        <f t="shared" si="0"/>
        <v>19243</v>
      </c>
      <c r="F10" s="136" t="s">
        <v>355</v>
      </c>
      <c r="G10" s="136"/>
    </row>
    <row r="11" spans="1:7" x14ac:dyDescent="0.25">
      <c r="A11" s="138" t="s">
        <v>361</v>
      </c>
      <c r="B11" s="136" t="s">
        <v>402</v>
      </c>
      <c r="C11" s="136"/>
      <c r="D11" s="136">
        <v>800</v>
      </c>
      <c r="E11" s="136">
        <f t="shared" si="0"/>
        <v>18443</v>
      </c>
      <c r="F11" s="136" t="s">
        <v>364</v>
      </c>
      <c r="G11" s="136"/>
    </row>
    <row r="12" spans="1:7" x14ac:dyDescent="0.25">
      <c r="A12" s="152" t="s">
        <v>377</v>
      </c>
      <c r="B12" s="136" t="s">
        <v>402</v>
      </c>
      <c r="C12" s="136"/>
      <c r="D12" s="136">
        <v>790</v>
      </c>
      <c r="E12" s="136">
        <f t="shared" si="0"/>
        <v>17653</v>
      </c>
      <c r="F12" s="136" t="s">
        <v>378</v>
      </c>
      <c r="G12" s="136"/>
    </row>
    <row r="13" spans="1:7" x14ac:dyDescent="0.25">
      <c r="A13" s="152" t="s">
        <v>371</v>
      </c>
      <c r="B13" s="136" t="s">
        <v>381</v>
      </c>
      <c r="C13" s="136">
        <v>10</v>
      </c>
      <c r="D13" s="136"/>
      <c r="E13" s="136">
        <f t="shared" si="0"/>
        <v>17663</v>
      </c>
      <c r="F13" s="136"/>
      <c r="G13" s="136"/>
    </row>
    <row r="14" spans="1:7" x14ac:dyDescent="0.25">
      <c r="A14" s="258" t="s">
        <v>404</v>
      </c>
      <c r="B14" s="136" t="s">
        <v>405</v>
      </c>
      <c r="C14" s="136">
        <v>34</v>
      </c>
      <c r="D14" s="136"/>
      <c r="E14" s="136">
        <f t="shared" si="0"/>
        <v>17697</v>
      </c>
      <c r="F14" s="136"/>
      <c r="G14" s="136"/>
    </row>
    <row r="15" spans="1:7" x14ac:dyDescent="0.25">
      <c r="A15" s="138" t="s">
        <v>410</v>
      </c>
      <c r="B15" s="136" t="s">
        <v>402</v>
      </c>
      <c r="C15" s="136"/>
      <c r="D15" s="136">
        <v>200</v>
      </c>
      <c r="E15" s="136">
        <f t="shared" si="0"/>
        <v>17497</v>
      </c>
      <c r="F15" s="136" t="s">
        <v>411</v>
      </c>
      <c r="G15" s="136"/>
    </row>
    <row r="16" spans="1:7" x14ac:dyDescent="0.25">
      <c r="A16" s="138" t="s">
        <v>410</v>
      </c>
      <c r="B16" s="136" t="s">
        <v>402</v>
      </c>
      <c r="C16" s="136"/>
      <c r="D16" s="136">
        <v>800</v>
      </c>
      <c r="E16" s="136">
        <f t="shared" si="0"/>
        <v>16697</v>
      </c>
      <c r="F16" s="152" t="s">
        <v>413</v>
      </c>
      <c r="G16" s="136"/>
    </row>
    <row r="17" spans="1:7" x14ac:dyDescent="0.25">
      <c r="A17" s="138" t="s">
        <v>410</v>
      </c>
      <c r="B17" s="136" t="s">
        <v>414</v>
      </c>
      <c r="C17" s="136"/>
      <c r="D17" s="136">
        <v>100</v>
      </c>
      <c r="E17" s="136">
        <f t="shared" si="0"/>
        <v>16597</v>
      </c>
      <c r="F17" s="136" t="s">
        <v>415</v>
      </c>
      <c r="G17" s="136"/>
    </row>
    <row r="18" spans="1:7" x14ac:dyDescent="0.25">
      <c r="A18" s="138" t="s">
        <v>416</v>
      </c>
      <c r="B18" s="136" t="s">
        <v>414</v>
      </c>
      <c r="C18" s="136"/>
      <c r="D18" s="136">
        <v>100</v>
      </c>
      <c r="E18" s="136">
        <f t="shared" si="0"/>
        <v>16497</v>
      </c>
      <c r="F18" s="136" t="s">
        <v>420</v>
      </c>
      <c r="G18" s="136"/>
    </row>
    <row r="19" spans="1:7" x14ac:dyDescent="0.25">
      <c r="A19" s="138" t="s">
        <v>426</v>
      </c>
      <c r="B19" s="136" t="s">
        <v>402</v>
      </c>
      <c r="C19" s="136"/>
      <c r="D19" s="136">
        <v>700</v>
      </c>
      <c r="E19" s="136">
        <f t="shared" si="0"/>
        <v>15797</v>
      </c>
      <c r="F19" s="136" t="s">
        <v>428</v>
      </c>
      <c r="G19" s="136"/>
    </row>
    <row r="20" spans="1:7" x14ac:dyDescent="0.25">
      <c r="A20" s="152" t="s">
        <v>441</v>
      </c>
      <c r="B20" s="136" t="s">
        <v>450</v>
      </c>
      <c r="C20" s="136"/>
      <c r="D20" s="136">
        <v>40</v>
      </c>
      <c r="E20" s="136">
        <f t="shared" si="0"/>
        <v>15757</v>
      </c>
      <c r="F20" s="136" t="s">
        <v>451</v>
      </c>
      <c r="G20" s="136"/>
    </row>
    <row r="21" spans="1:7" x14ac:dyDescent="0.25">
      <c r="A21" s="238" t="s">
        <v>453</v>
      </c>
      <c r="B21" s="136" t="s">
        <v>454</v>
      </c>
      <c r="C21" s="136"/>
      <c r="D21" s="136">
        <v>120</v>
      </c>
      <c r="E21" s="136">
        <f t="shared" si="0"/>
        <v>15637</v>
      </c>
      <c r="F21" s="136" t="s">
        <v>455</v>
      </c>
      <c r="G21" s="136"/>
    </row>
    <row r="22" spans="1:7" x14ac:dyDescent="0.25">
      <c r="A22" s="152" t="s">
        <v>459</v>
      </c>
      <c r="B22" s="156" t="s">
        <v>414</v>
      </c>
      <c r="C22" s="136"/>
      <c r="D22" s="136">
        <v>100</v>
      </c>
      <c r="E22" s="136">
        <f t="shared" si="0"/>
        <v>15537</v>
      </c>
      <c r="F22" s="136" t="s">
        <v>460</v>
      </c>
      <c r="G22" s="136"/>
    </row>
    <row r="23" spans="1:7" x14ac:dyDescent="0.25">
      <c r="A23" s="152" t="s">
        <v>468</v>
      </c>
      <c r="B23" s="136" t="s">
        <v>402</v>
      </c>
      <c r="C23" s="136"/>
      <c r="D23" s="136">
        <v>500</v>
      </c>
      <c r="E23" s="136">
        <f t="shared" si="0"/>
        <v>15037</v>
      </c>
      <c r="F23" s="136" t="s">
        <v>470</v>
      </c>
      <c r="G23" s="136"/>
    </row>
    <row r="24" spans="1:7" ht="15.75" x14ac:dyDescent="0.25">
      <c r="A24" s="152" t="s">
        <v>479</v>
      </c>
      <c r="B24" s="161" t="s">
        <v>283</v>
      </c>
      <c r="C24" s="161">
        <v>1</v>
      </c>
      <c r="D24" s="136"/>
      <c r="E24" s="136">
        <f t="shared" si="0"/>
        <v>15038</v>
      </c>
      <c r="F24" s="136"/>
      <c r="G24" s="136"/>
    </row>
    <row r="25" spans="1:7" x14ac:dyDescent="0.25">
      <c r="A25" s="238" t="s">
        <v>475</v>
      </c>
      <c r="B25" s="136" t="s">
        <v>283</v>
      </c>
      <c r="C25" s="136">
        <v>5</v>
      </c>
      <c r="D25" s="136"/>
      <c r="E25" s="136">
        <f t="shared" si="0"/>
        <v>15043</v>
      </c>
      <c r="F25" s="136"/>
      <c r="G25" s="136"/>
    </row>
    <row r="26" spans="1:7" x14ac:dyDescent="0.25">
      <c r="A26" s="152" t="s">
        <v>483</v>
      </c>
      <c r="B26" s="136" t="s">
        <v>484</v>
      </c>
      <c r="C26" s="136">
        <v>150</v>
      </c>
      <c r="D26" s="136"/>
      <c r="E26" s="136">
        <f t="shared" si="0"/>
        <v>15193</v>
      </c>
      <c r="F26" s="136"/>
      <c r="G26" s="136"/>
    </row>
    <row r="27" spans="1:7" x14ac:dyDescent="0.25">
      <c r="A27" s="138" t="s">
        <v>485</v>
      </c>
      <c r="B27" s="136" t="s">
        <v>402</v>
      </c>
      <c r="C27" s="136"/>
      <c r="D27" s="136">
        <v>800</v>
      </c>
      <c r="E27" s="136">
        <f t="shared" si="0"/>
        <v>14393</v>
      </c>
      <c r="F27" s="136" t="s">
        <v>486</v>
      </c>
      <c r="G27" s="136"/>
    </row>
    <row r="28" spans="1:7" x14ac:dyDescent="0.25">
      <c r="A28" s="152" t="s">
        <v>485</v>
      </c>
      <c r="B28" s="136" t="s">
        <v>283</v>
      </c>
      <c r="C28" s="136">
        <v>1</v>
      </c>
      <c r="D28" s="136"/>
      <c r="E28" s="136">
        <f t="shared" si="0"/>
        <v>14394</v>
      </c>
      <c r="F28" s="136"/>
      <c r="G28" s="136"/>
    </row>
    <row r="29" spans="1:7" s="129" customFormat="1" ht="14.25" x14ac:dyDescent="0.2">
      <c r="A29" s="238" t="s">
        <v>485</v>
      </c>
      <c r="B29" s="136" t="s">
        <v>182</v>
      </c>
      <c r="C29" s="136">
        <v>102</v>
      </c>
      <c r="D29" s="136"/>
      <c r="E29" s="136">
        <f t="shared" si="0"/>
        <v>14496</v>
      </c>
      <c r="F29" s="136"/>
      <c r="G29" s="136"/>
    </row>
    <row r="30" spans="1:7" x14ac:dyDescent="0.25">
      <c r="A30" s="258" t="s">
        <v>490</v>
      </c>
      <c r="B30" s="136" t="s">
        <v>414</v>
      </c>
      <c r="C30" s="136"/>
      <c r="D30" s="136">
        <v>100</v>
      </c>
      <c r="E30" s="136">
        <f t="shared" si="0"/>
        <v>14396</v>
      </c>
      <c r="F30" s="136" t="s">
        <v>494</v>
      </c>
      <c r="G30" s="136"/>
    </row>
    <row r="31" spans="1:7" x14ac:dyDescent="0.25">
      <c r="A31" s="258" t="s">
        <v>490</v>
      </c>
      <c r="B31" s="136" t="s">
        <v>402</v>
      </c>
      <c r="C31" s="136"/>
      <c r="D31" s="136">
        <v>200</v>
      </c>
      <c r="E31" s="136">
        <f t="shared" si="0"/>
        <v>14196</v>
      </c>
      <c r="F31" s="136" t="s">
        <v>495</v>
      </c>
      <c r="G31" s="136"/>
    </row>
    <row r="32" spans="1:7" x14ac:dyDescent="0.25">
      <c r="A32" s="138" t="s">
        <v>504</v>
      </c>
      <c r="B32" s="136" t="s">
        <v>221</v>
      </c>
      <c r="C32" s="136"/>
      <c r="D32" s="136">
        <v>700</v>
      </c>
      <c r="E32" s="136">
        <f t="shared" si="0"/>
        <v>13496</v>
      </c>
      <c r="F32" s="136" t="s">
        <v>506</v>
      </c>
      <c r="G32" s="136"/>
    </row>
    <row r="33" spans="1:7" x14ac:dyDescent="0.25">
      <c r="A33" s="138" t="s">
        <v>509</v>
      </c>
      <c r="B33" s="136" t="s">
        <v>402</v>
      </c>
      <c r="C33" s="136"/>
      <c r="D33" s="136">
        <v>800</v>
      </c>
      <c r="E33" s="136">
        <f t="shared" si="0"/>
        <v>12696</v>
      </c>
      <c r="F33" s="136" t="s">
        <v>515</v>
      </c>
      <c r="G33" s="136"/>
    </row>
    <row r="34" spans="1:7" x14ac:dyDescent="0.25">
      <c r="A34" s="238" t="s">
        <v>517</v>
      </c>
      <c r="B34" s="136" t="s">
        <v>519</v>
      </c>
      <c r="C34" s="136">
        <v>1</v>
      </c>
      <c r="D34" s="136"/>
      <c r="E34" s="136">
        <f t="shared" si="0"/>
        <v>12697</v>
      </c>
      <c r="F34" s="136"/>
      <c r="G34" s="136"/>
    </row>
    <row r="35" spans="1:7" x14ac:dyDescent="0.25">
      <c r="A35" s="152" t="s">
        <v>517</v>
      </c>
      <c r="B35" s="136" t="s">
        <v>402</v>
      </c>
      <c r="C35" s="136"/>
      <c r="D35" s="136">
        <v>300</v>
      </c>
      <c r="E35" s="136">
        <f t="shared" si="0"/>
        <v>12397</v>
      </c>
      <c r="F35" s="136" t="s">
        <v>521</v>
      </c>
      <c r="G35" s="136"/>
    </row>
    <row r="36" spans="1:7" x14ac:dyDescent="0.25">
      <c r="A36" s="258" t="s">
        <v>533</v>
      </c>
      <c r="B36" s="136" t="s">
        <v>402</v>
      </c>
      <c r="C36" s="136"/>
      <c r="D36" s="136">
        <v>200</v>
      </c>
      <c r="E36" s="136">
        <f t="shared" si="0"/>
        <v>12197</v>
      </c>
      <c r="F36" s="136" t="s">
        <v>537</v>
      </c>
      <c r="G36" s="136"/>
    </row>
    <row r="37" spans="1:7" x14ac:dyDescent="0.25">
      <c r="A37" s="152" t="s">
        <v>542</v>
      </c>
      <c r="B37" s="136" t="s">
        <v>283</v>
      </c>
      <c r="C37" s="136">
        <v>7</v>
      </c>
      <c r="D37" s="136"/>
      <c r="E37" s="136">
        <f t="shared" si="0"/>
        <v>12204</v>
      </c>
      <c r="F37" s="136"/>
      <c r="G37" s="136"/>
    </row>
    <row r="38" spans="1:7" x14ac:dyDescent="0.25">
      <c r="A38" s="152" t="s">
        <v>549</v>
      </c>
      <c r="B38" s="136" t="s">
        <v>402</v>
      </c>
      <c r="C38" s="136"/>
      <c r="D38" s="136">
        <v>300</v>
      </c>
      <c r="E38" s="136">
        <f t="shared" si="0"/>
        <v>11904</v>
      </c>
      <c r="F38" s="136" t="s">
        <v>553</v>
      </c>
      <c r="G38" s="136"/>
    </row>
    <row r="39" spans="1:7" x14ac:dyDescent="0.25">
      <c r="A39" s="138" t="s">
        <v>554</v>
      </c>
      <c r="B39" s="136" t="s">
        <v>558</v>
      </c>
      <c r="C39" s="136"/>
      <c r="D39" s="136">
        <v>300</v>
      </c>
      <c r="E39" s="136">
        <f t="shared" si="0"/>
        <v>11604</v>
      </c>
      <c r="F39" s="136" t="s">
        <v>17</v>
      </c>
      <c r="G39" s="136"/>
    </row>
    <row r="40" spans="1:7" x14ac:dyDescent="0.25">
      <c r="A40" s="138" t="s">
        <v>554</v>
      </c>
      <c r="B40" s="136" t="s">
        <v>105</v>
      </c>
      <c r="C40" s="136">
        <v>360</v>
      </c>
      <c r="D40" s="136"/>
      <c r="E40" s="136">
        <f t="shared" si="0"/>
        <v>11964</v>
      </c>
      <c r="F40" s="136"/>
      <c r="G40" s="136"/>
    </row>
    <row r="41" spans="1:7" x14ac:dyDescent="0.25">
      <c r="A41" s="152" t="s">
        <v>559</v>
      </c>
      <c r="B41" s="136" t="s">
        <v>561</v>
      </c>
      <c r="C41" s="136"/>
      <c r="D41" s="136">
        <v>100</v>
      </c>
      <c r="E41" s="136">
        <f t="shared" si="0"/>
        <v>11864</v>
      </c>
      <c r="F41" s="136" t="s">
        <v>17</v>
      </c>
      <c r="G41" s="136"/>
    </row>
    <row r="42" spans="1:7" x14ac:dyDescent="0.25">
      <c r="A42" s="152" t="s">
        <v>559</v>
      </c>
      <c r="B42" s="136" t="s">
        <v>283</v>
      </c>
      <c r="C42" s="136">
        <v>1</v>
      </c>
      <c r="D42" s="136"/>
      <c r="E42" s="136">
        <f t="shared" si="0"/>
        <v>11865</v>
      </c>
      <c r="F42" s="136"/>
      <c r="G42" s="136"/>
    </row>
    <row r="43" spans="1:7" x14ac:dyDescent="0.25">
      <c r="A43" s="152" t="s">
        <v>562</v>
      </c>
      <c r="B43" s="136" t="s">
        <v>563</v>
      </c>
      <c r="C43" s="136">
        <v>200</v>
      </c>
      <c r="D43" s="136"/>
      <c r="E43" s="136">
        <f t="shared" si="0"/>
        <v>12065</v>
      </c>
      <c r="F43" s="136"/>
      <c r="G43" s="136"/>
    </row>
    <row r="44" spans="1:7" x14ac:dyDescent="0.25">
      <c r="A44" s="152" t="s">
        <v>562</v>
      </c>
      <c r="B44" s="156" t="s">
        <v>414</v>
      </c>
      <c r="C44" s="136">
        <v>48</v>
      </c>
      <c r="D44" s="136"/>
      <c r="E44" s="136">
        <f t="shared" si="0"/>
        <v>12113</v>
      </c>
      <c r="F44" s="136"/>
      <c r="G44" s="136"/>
    </row>
    <row r="45" spans="1:7" x14ac:dyDescent="0.25">
      <c r="A45" s="152" t="s">
        <v>573</v>
      </c>
      <c r="B45" s="136" t="s">
        <v>574</v>
      </c>
      <c r="C45" s="136"/>
      <c r="D45" s="136">
        <v>100</v>
      </c>
      <c r="E45" s="136">
        <f t="shared" si="0"/>
        <v>12013</v>
      </c>
      <c r="F45" s="136" t="s">
        <v>17</v>
      </c>
      <c r="G45" s="136"/>
    </row>
    <row r="46" spans="1:7" x14ac:dyDescent="0.25">
      <c r="A46" s="152" t="s">
        <v>577</v>
      </c>
      <c r="B46" s="136" t="s">
        <v>283</v>
      </c>
      <c r="C46" s="136">
        <v>3</v>
      </c>
      <c r="D46" s="136"/>
      <c r="E46" s="136">
        <f t="shared" si="0"/>
        <v>12016</v>
      </c>
      <c r="F46" s="136"/>
      <c r="G46" s="136"/>
    </row>
    <row r="47" spans="1:7" x14ac:dyDescent="0.25">
      <c r="A47" s="138" t="s">
        <v>625</v>
      </c>
      <c r="B47" s="136" t="s">
        <v>626</v>
      </c>
      <c r="C47" s="136">
        <v>70</v>
      </c>
      <c r="D47" s="136"/>
      <c r="E47" s="136">
        <f t="shared" si="0"/>
        <v>12086</v>
      </c>
      <c r="F47" s="136"/>
      <c r="G47" s="136"/>
    </row>
    <row r="48" spans="1:7" x14ac:dyDescent="0.25">
      <c r="A48" s="152" t="s">
        <v>637</v>
      </c>
      <c r="B48" s="136" t="s">
        <v>638</v>
      </c>
      <c r="C48" s="136"/>
      <c r="D48" s="136">
        <v>150</v>
      </c>
      <c r="E48" s="136">
        <f t="shared" si="0"/>
        <v>11936</v>
      </c>
      <c r="F48" s="136" t="s">
        <v>640</v>
      </c>
      <c r="G48" s="136"/>
    </row>
    <row r="49" spans="1:7" x14ac:dyDescent="0.25">
      <c r="A49" s="305" t="s">
        <v>644</v>
      </c>
      <c r="B49" s="275" t="s">
        <v>414</v>
      </c>
      <c r="C49" s="205">
        <v>150</v>
      </c>
      <c r="D49" s="136"/>
      <c r="E49" s="136">
        <f t="shared" si="0"/>
        <v>12086</v>
      </c>
      <c r="F49" s="136"/>
      <c r="G49" s="136"/>
    </row>
    <row r="50" spans="1:7" x14ac:dyDescent="0.25">
      <c r="A50" s="152" t="s">
        <v>647</v>
      </c>
      <c r="B50" s="136" t="s">
        <v>638</v>
      </c>
      <c r="C50" s="136"/>
      <c r="D50" s="136">
        <v>80</v>
      </c>
      <c r="E50" s="136">
        <f t="shared" si="0"/>
        <v>12006</v>
      </c>
      <c r="F50" s="136" t="s">
        <v>648</v>
      </c>
      <c r="G50" s="136"/>
    </row>
    <row r="51" spans="1:7" x14ac:dyDescent="0.25">
      <c r="A51" s="121" t="s">
        <v>655</v>
      </c>
      <c r="B51" s="136" t="s">
        <v>105</v>
      </c>
      <c r="C51" s="136">
        <v>300</v>
      </c>
      <c r="D51" s="136"/>
      <c r="E51" s="136">
        <f t="shared" si="0"/>
        <v>12306</v>
      </c>
      <c r="F51" s="136"/>
      <c r="G51" s="136"/>
    </row>
    <row r="52" spans="1:7" x14ac:dyDescent="0.25">
      <c r="A52" s="121" t="s">
        <v>655</v>
      </c>
      <c r="B52" s="36" t="s">
        <v>656</v>
      </c>
      <c r="C52" s="36"/>
      <c r="D52" s="36">
        <v>200</v>
      </c>
      <c r="E52" s="136">
        <f t="shared" si="0"/>
        <v>12106</v>
      </c>
      <c r="F52" s="136" t="s">
        <v>17</v>
      </c>
      <c r="G52" s="136"/>
    </row>
    <row r="53" spans="1:7" x14ac:dyDescent="0.25">
      <c r="A53" s="121" t="s">
        <v>655</v>
      </c>
      <c r="B53" s="36" t="s">
        <v>657</v>
      </c>
      <c r="C53" s="36"/>
      <c r="D53" s="36">
        <v>100</v>
      </c>
      <c r="E53" s="136">
        <f t="shared" si="0"/>
        <v>12006</v>
      </c>
      <c r="F53" s="36" t="s">
        <v>17</v>
      </c>
      <c r="G53" s="136"/>
    </row>
    <row r="54" spans="1:7" x14ac:dyDescent="0.25">
      <c r="A54" s="238" t="s">
        <v>663</v>
      </c>
      <c r="B54" s="156" t="s">
        <v>414</v>
      </c>
      <c r="C54" s="136">
        <v>132</v>
      </c>
      <c r="D54" s="136"/>
      <c r="E54" s="136">
        <f t="shared" si="0"/>
        <v>12138</v>
      </c>
      <c r="F54" s="136"/>
      <c r="G54" s="136"/>
    </row>
    <row r="55" spans="1:7" ht="15.75" x14ac:dyDescent="0.25">
      <c r="A55" s="246" t="s">
        <v>658</v>
      </c>
      <c r="B55" s="136" t="s">
        <v>283</v>
      </c>
      <c r="C55" s="136">
        <v>3</v>
      </c>
      <c r="D55" s="136"/>
      <c r="E55" s="136">
        <f t="shared" si="0"/>
        <v>12141</v>
      </c>
      <c r="F55" s="136"/>
      <c r="G55" s="136"/>
    </row>
    <row r="56" spans="1:7" x14ac:dyDescent="0.25">
      <c r="A56" s="152" t="s">
        <v>689</v>
      </c>
      <c r="B56" s="136" t="s">
        <v>638</v>
      </c>
      <c r="C56" s="136"/>
      <c r="D56" s="136">
        <v>100</v>
      </c>
      <c r="E56" s="136">
        <f t="shared" si="0"/>
        <v>12041</v>
      </c>
      <c r="F56" s="136" t="s">
        <v>690</v>
      </c>
      <c r="G56" s="136"/>
    </row>
    <row r="57" spans="1:7" x14ac:dyDescent="0.25">
      <c r="A57" s="138" t="s">
        <v>689</v>
      </c>
      <c r="B57" s="136" t="s">
        <v>694</v>
      </c>
      <c r="C57" s="136"/>
      <c r="D57" s="136">
        <v>300</v>
      </c>
      <c r="E57" s="136">
        <f t="shared" si="0"/>
        <v>11741</v>
      </c>
      <c r="F57" s="136" t="s">
        <v>17</v>
      </c>
      <c r="G57" s="136"/>
    </row>
    <row r="58" spans="1:7" x14ac:dyDescent="0.25">
      <c r="A58" s="138" t="s">
        <v>695</v>
      </c>
      <c r="B58" s="136" t="s">
        <v>638</v>
      </c>
      <c r="C58" s="136"/>
      <c r="D58" s="136">
        <v>20</v>
      </c>
      <c r="E58" s="136">
        <f t="shared" si="0"/>
        <v>11721</v>
      </c>
      <c r="F58" s="136" t="s">
        <v>697</v>
      </c>
      <c r="G58" s="136"/>
    </row>
    <row r="59" spans="1:7" ht="15.75" x14ac:dyDescent="0.25">
      <c r="A59" s="248" t="s">
        <v>695</v>
      </c>
      <c r="B59" s="161" t="s">
        <v>283</v>
      </c>
      <c r="C59" s="161">
        <v>1</v>
      </c>
      <c r="D59" s="136"/>
      <c r="E59" s="136">
        <f t="shared" si="0"/>
        <v>11722</v>
      </c>
      <c r="F59" s="136"/>
      <c r="G59" s="136"/>
    </row>
    <row r="60" spans="1:7" x14ac:dyDescent="0.25">
      <c r="A60" s="121" t="s">
        <v>718</v>
      </c>
      <c r="B60" s="36" t="s">
        <v>716</v>
      </c>
      <c r="C60" s="36"/>
      <c r="D60" s="36">
        <v>130</v>
      </c>
      <c r="E60" s="136">
        <f t="shared" si="0"/>
        <v>11592</v>
      </c>
      <c r="F60" s="136" t="s">
        <v>17</v>
      </c>
      <c r="G60" s="136"/>
    </row>
    <row r="61" spans="1:7" x14ac:dyDescent="0.25">
      <c r="A61" s="121" t="s">
        <v>718</v>
      </c>
      <c r="B61" s="136" t="s">
        <v>484</v>
      </c>
      <c r="C61" s="136">
        <v>130</v>
      </c>
      <c r="D61" s="136"/>
      <c r="E61" s="136">
        <f t="shared" si="0"/>
        <v>11722</v>
      </c>
      <c r="F61" s="136"/>
      <c r="G61" s="136"/>
    </row>
    <row r="62" spans="1:7" x14ac:dyDescent="0.25">
      <c r="A62" s="152" t="s">
        <v>724</v>
      </c>
      <c r="B62" s="136" t="s">
        <v>694</v>
      </c>
      <c r="C62" s="136"/>
      <c r="D62" s="136">
        <v>100</v>
      </c>
      <c r="E62" s="136">
        <f t="shared" si="0"/>
        <v>11622</v>
      </c>
      <c r="F62" s="136" t="s">
        <v>17</v>
      </c>
      <c r="G62" s="136"/>
    </row>
    <row r="63" spans="1:7" x14ac:dyDescent="0.25">
      <c r="A63" s="152" t="s">
        <v>724</v>
      </c>
      <c r="B63" s="136" t="s">
        <v>694</v>
      </c>
      <c r="C63" s="136"/>
      <c r="D63" s="136">
        <v>400</v>
      </c>
      <c r="E63" s="136">
        <f t="shared" si="0"/>
        <v>11222</v>
      </c>
      <c r="F63" s="136" t="s">
        <v>17</v>
      </c>
      <c r="G63" s="136"/>
    </row>
    <row r="64" spans="1:7" x14ac:dyDescent="0.25">
      <c r="A64" s="152" t="s">
        <v>730</v>
      </c>
      <c r="B64" s="136" t="s">
        <v>716</v>
      </c>
      <c r="C64" s="136"/>
      <c r="D64" s="136">
        <v>30</v>
      </c>
      <c r="E64" s="136">
        <f t="shared" si="0"/>
        <v>11192</v>
      </c>
      <c r="F64" s="136" t="s">
        <v>17</v>
      </c>
      <c r="G64" s="136"/>
    </row>
    <row r="65" spans="1:7" x14ac:dyDescent="0.25">
      <c r="A65" s="121" t="s">
        <v>741</v>
      </c>
      <c r="B65" s="36" t="s">
        <v>742</v>
      </c>
      <c r="C65" s="36">
        <v>15</v>
      </c>
      <c r="D65" s="136"/>
      <c r="E65" s="136">
        <f t="shared" si="0"/>
        <v>11207</v>
      </c>
      <c r="F65" s="136"/>
      <c r="G65" s="136"/>
    </row>
    <row r="66" spans="1:7" x14ac:dyDescent="0.25">
      <c r="A66" s="152" t="s">
        <v>764</v>
      </c>
      <c r="B66" s="136" t="s">
        <v>638</v>
      </c>
      <c r="C66" s="136"/>
      <c r="D66" s="136">
        <v>20</v>
      </c>
      <c r="E66" s="136">
        <f t="shared" si="0"/>
        <v>11187</v>
      </c>
      <c r="F66" s="136" t="s">
        <v>769</v>
      </c>
      <c r="G66" s="136"/>
    </row>
    <row r="67" spans="1:7" x14ac:dyDescent="0.25">
      <c r="A67" s="152" t="s">
        <v>764</v>
      </c>
      <c r="B67" s="136" t="s">
        <v>638</v>
      </c>
      <c r="C67" s="136"/>
      <c r="D67" s="136">
        <v>80</v>
      </c>
      <c r="E67" s="136">
        <f t="shared" si="0"/>
        <v>11107</v>
      </c>
      <c r="F67" s="136" t="s">
        <v>770</v>
      </c>
      <c r="G67" s="136"/>
    </row>
    <row r="68" spans="1:7" x14ac:dyDescent="0.25">
      <c r="A68" s="238" t="s">
        <v>764</v>
      </c>
      <c r="B68" s="136" t="s">
        <v>484</v>
      </c>
      <c r="C68" s="136">
        <v>70</v>
      </c>
      <c r="D68" s="136"/>
      <c r="E68" s="136">
        <f t="shared" si="0"/>
        <v>11177</v>
      </c>
      <c r="F68" s="136"/>
      <c r="G68" s="136"/>
    </row>
    <row r="69" spans="1:7" x14ac:dyDescent="0.25">
      <c r="A69" s="138" t="s">
        <v>781</v>
      </c>
      <c r="B69" s="136" t="s">
        <v>344</v>
      </c>
      <c r="C69" s="136">
        <v>108</v>
      </c>
      <c r="D69" s="136"/>
      <c r="E69" s="136">
        <f t="shared" si="0"/>
        <v>11285</v>
      </c>
      <c r="F69" s="136"/>
      <c r="G69" s="136"/>
    </row>
    <row r="70" spans="1:7" x14ac:dyDescent="0.25">
      <c r="A70" s="138" t="s">
        <v>781</v>
      </c>
      <c r="B70" s="136" t="s">
        <v>344</v>
      </c>
      <c r="C70" s="136">
        <v>18</v>
      </c>
      <c r="D70" s="136"/>
      <c r="E70" s="136">
        <f t="shared" si="0"/>
        <v>11303</v>
      </c>
      <c r="F70" s="136"/>
      <c r="G70" s="136"/>
    </row>
    <row r="71" spans="1:7" x14ac:dyDescent="0.25">
      <c r="A71" s="138" t="s">
        <v>781</v>
      </c>
      <c r="B71" s="136" t="s">
        <v>344</v>
      </c>
      <c r="C71" s="136">
        <v>47</v>
      </c>
      <c r="D71" s="136"/>
      <c r="E71" s="136">
        <f t="shared" si="0"/>
        <v>11350</v>
      </c>
      <c r="F71" s="136"/>
      <c r="G71" s="136"/>
    </row>
    <row r="72" spans="1:7" x14ac:dyDescent="0.25">
      <c r="A72" s="233">
        <v>8154</v>
      </c>
      <c r="B72" s="136" t="s">
        <v>344</v>
      </c>
      <c r="C72" s="136">
        <v>316</v>
      </c>
      <c r="D72" s="136"/>
      <c r="E72" s="136">
        <f t="shared" si="0"/>
        <v>11666</v>
      </c>
      <c r="F72" s="136"/>
      <c r="G72" s="136"/>
    </row>
    <row r="73" spans="1:7" x14ac:dyDescent="0.25">
      <c r="A73" s="233">
        <v>8154</v>
      </c>
      <c r="B73" s="136" t="s">
        <v>344</v>
      </c>
      <c r="C73" s="136">
        <v>124</v>
      </c>
      <c r="D73" s="136"/>
      <c r="E73" s="136">
        <f t="shared" si="0"/>
        <v>11790</v>
      </c>
      <c r="F73" s="136"/>
      <c r="G73" s="136"/>
    </row>
    <row r="74" spans="1:7" x14ac:dyDescent="0.25">
      <c r="A74" s="138" t="s">
        <v>785</v>
      </c>
      <c r="B74" s="136" t="s">
        <v>344</v>
      </c>
      <c r="C74" s="136">
        <v>164</v>
      </c>
      <c r="D74" s="136"/>
      <c r="E74" s="136">
        <f t="shared" si="0"/>
        <v>11954</v>
      </c>
      <c r="F74" s="136"/>
      <c r="G74" s="136"/>
    </row>
    <row r="75" spans="1:7" x14ac:dyDescent="0.25">
      <c r="A75" s="138" t="s">
        <v>786</v>
      </c>
      <c r="B75" s="136" t="s">
        <v>344</v>
      </c>
      <c r="C75" s="136">
        <v>199</v>
      </c>
      <c r="D75" s="136"/>
      <c r="E75" s="136">
        <f t="shared" si="0"/>
        <v>12153</v>
      </c>
      <c r="F75" s="136"/>
      <c r="G75" s="136"/>
    </row>
    <row r="76" spans="1:7" x14ac:dyDescent="0.25">
      <c r="A76" s="138" t="s">
        <v>787</v>
      </c>
      <c r="B76" s="136" t="s">
        <v>344</v>
      </c>
      <c r="C76" s="136">
        <v>65</v>
      </c>
      <c r="D76" s="136"/>
      <c r="E76" s="136">
        <f t="shared" si="0"/>
        <v>12218</v>
      </c>
      <c r="F76" s="136"/>
      <c r="G76" s="136"/>
    </row>
    <row r="77" spans="1:7" x14ac:dyDescent="0.25">
      <c r="A77" s="138" t="s">
        <v>790</v>
      </c>
      <c r="B77" s="136" t="s">
        <v>344</v>
      </c>
      <c r="C77" s="136">
        <v>100</v>
      </c>
      <c r="D77" s="136"/>
      <c r="E77" s="136">
        <f t="shared" ref="E77:E118" si="1">E76+C77-D77</f>
        <v>12318</v>
      </c>
      <c r="F77" s="136"/>
      <c r="G77" s="136"/>
    </row>
    <row r="78" spans="1:7" x14ac:dyDescent="0.25">
      <c r="A78" s="138" t="s">
        <v>797</v>
      </c>
      <c r="B78" s="136" t="s">
        <v>344</v>
      </c>
      <c r="C78" s="136">
        <v>88</v>
      </c>
      <c r="D78" s="136"/>
      <c r="E78" s="136">
        <f t="shared" si="1"/>
        <v>12406</v>
      </c>
      <c r="F78" s="136"/>
      <c r="G78" s="136"/>
    </row>
    <row r="79" spans="1:7" x14ac:dyDescent="0.25">
      <c r="A79" s="138" t="s">
        <v>797</v>
      </c>
      <c r="B79" s="136" t="s">
        <v>344</v>
      </c>
      <c r="C79" s="136">
        <v>91</v>
      </c>
      <c r="D79" s="136"/>
      <c r="E79" s="136">
        <f t="shared" si="1"/>
        <v>12497</v>
      </c>
      <c r="F79" s="136"/>
      <c r="G79" s="136"/>
    </row>
    <row r="80" spans="1:7" x14ac:dyDescent="0.25">
      <c r="A80" s="152" t="s">
        <v>798</v>
      </c>
      <c r="B80" s="136" t="s">
        <v>800</v>
      </c>
      <c r="C80" s="136"/>
      <c r="D80" s="136">
        <v>100</v>
      </c>
      <c r="E80" s="136">
        <f t="shared" si="1"/>
        <v>12397</v>
      </c>
      <c r="F80" s="136" t="s">
        <v>17</v>
      </c>
      <c r="G80" s="136"/>
    </row>
    <row r="81" spans="1:7" x14ac:dyDescent="0.25">
      <c r="A81" s="138" t="s">
        <v>802</v>
      </c>
      <c r="B81" s="136" t="s">
        <v>344</v>
      </c>
      <c r="C81" s="136">
        <v>39</v>
      </c>
      <c r="D81" s="136"/>
      <c r="E81" s="136">
        <f t="shared" si="1"/>
        <v>12436</v>
      </c>
      <c r="F81" s="136"/>
      <c r="G81" s="136"/>
    </row>
    <row r="82" spans="1:7" x14ac:dyDescent="0.25">
      <c r="A82" s="238" t="s">
        <v>803</v>
      </c>
      <c r="B82" s="136" t="s">
        <v>800</v>
      </c>
      <c r="C82" s="136"/>
      <c r="D82" s="136">
        <v>100</v>
      </c>
      <c r="E82" s="136">
        <f t="shared" si="1"/>
        <v>12336</v>
      </c>
      <c r="F82" s="136" t="s">
        <v>17</v>
      </c>
      <c r="G82" s="136"/>
    </row>
    <row r="83" spans="1:7" x14ac:dyDescent="0.25">
      <c r="A83" s="138" t="s">
        <v>803</v>
      </c>
      <c r="B83" s="136" t="s">
        <v>402</v>
      </c>
      <c r="C83" s="136">
        <v>712</v>
      </c>
      <c r="D83" s="136"/>
      <c r="E83" s="136">
        <f t="shared" si="1"/>
        <v>13048</v>
      </c>
      <c r="F83" s="136"/>
      <c r="G83" s="136"/>
    </row>
    <row r="84" spans="1:7" x14ac:dyDescent="0.25">
      <c r="A84" s="138" t="s">
        <v>803</v>
      </c>
      <c r="B84" s="136" t="s">
        <v>402</v>
      </c>
      <c r="C84" s="136">
        <v>455</v>
      </c>
      <c r="D84" s="136"/>
      <c r="E84" s="136">
        <f t="shared" si="1"/>
        <v>13503</v>
      </c>
      <c r="F84" s="136"/>
      <c r="G84" s="136"/>
    </row>
    <row r="85" spans="1:7" x14ac:dyDescent="0.25">
      <c r="A85" s="152" t="s">
        <v>804</v>
      </c>
      <c r="B85" s="136" t="s">
        <v>635</v>
      </c>
      <c r="C85" s="136"/>
      <c r="D85" s="136">
        <v>40</v>
      </c>
      <c r="E85" s="136">
        <f t="shared" si="1"/>
        <v>13463</v>
      </c>
      <c r="F85" s="136" t="s">
        <v>805</v>
      </c>
      <c r="G85" s="136"/>
    </row>
    <row r="86" spans="1:7" x14ac:dyDescent="0.25">
      <c r="A86" s="138" t="s">
        <v>804</v>
      </c>
      <c r="B86" s="136" t="s">
        <v>402</v>
      </c>
      <c r="C86" s="136">
        <v>180</v>
      </c>
      <c r="D86" s="136"/>
      <c r="E86" s="136">
        <f t="shared" si="1"/>
        <v>13643</v>
      </c>
      <c r="F86" s="136"/>
      <c r="G86" s="136"/>
    </row>
    <row r="87" spans="1:7" ht="16.5" customHeight="1" x14ac:dyDescent="0.25">
      <c r="A87" s="138" t="s">
        <v>804</v>
      </c>
      <c r="B87" s="136" t="s">
        <v>783</v>
      </c>
      <c r="C87" s="136"/>
      <c r="D87" s="136">
        <v>300</v>
      </c>
      <c r="E87" s="136">
        <f t="shared" si="1"/>
        <v>13343</v>
      </c>
      <c r="F87" s="136" t="s">
        <v>810</v>
      </c>
      <c r="G87" s="136"/>
    </row>
    <row r="88" spans="1:7" x14ac:dyDescent="0.25">
      <c r="A88" s="152" t="s">
        <v>811</v>
      </c>
      <c r="B88" s="136" t="s">
        <v>812</v>
      </c>
      <c r="C88" s="136"/>
      <c r="D88" s="136">
        <v>80</v>
      </c>
      <c r="E88" s="136">
        <f t="shared" si="1"/>
        <v>13263</v>
      </c>
      <c r="F88" s="136" t="s">
        <v>813</v>
      </c>
      <c r="G88" s="136"/>
    </row>
    <row r="89" spans="1:7" x14ac:dyDescent="0.25">
      <c r="A89" s="152" t="s">
        <v>811</v>
      </c>
      <c r="B89" s="136" t="s">
        <v>816</v>
      </c>
      <c r="C89" s="136"/>
      <c r="D89" s="136">
        <v>300</v>
      </c>
      <c r="E89" s="136">
        <f t="shared" si="1"/>
        <v>12963</v>
      </c>
      <c r="F89" s="136" t="s">
        <v>817</v>
      </c>
      <c r="G89" s="136"/>
    </row>
    <row r="90" spans="1:7" x14ac:dyDescent="0.25">
      <c r="A90" s="138" t="s">
        <v>811</v>
      </c>
      <c r="B90" s="136" t="s">
        <v>344</v>
      </c>
      <c r="C90" s="136">
        <v>271</v>
      </c>
      <c r="D90" s="136"/>
      <c r="E90" s="136">
        <f t="shared" si="1"/>
        <v>13234</v>
      </c>
      <c r="F90" s="136"/>
      <c r="G90" s="136"/>
    </row>
    <row r="91" spans="1:7" x14ac:dyDescent="0.25">
      <c r="A91" s="152" t="s">
        <v>820</v>
      </c>
      <c r="B91" s="136" t="s">
        <v>344</v>
      </c>
      <c r="C91" s="136">
        <v>119</v>
      </c>
      <c r="D91" s="136"/>
      <c r="E91" s="136">
        <f t="shared" si="1"/>
        <v>13353</v>
      </c>
      <c r="F91" s="136"/>
      <c r="G91" s="136"/>
    </row>
    <row r="92" spans="1:7" x14ac:dyDescent="0.25">
      <c r="A92" s="121" t="s">
        <v>820</v>
      </c>
      <c r="B92" s="36" t="s">
        <v>484</v>
      </c>
      <c r="C92" s="36">
        <v>150</v>
      </c>
      <c r="D92" s="136"/>
      <c r="E92" s="136">
        <f t="shared" si="1"/>
        <v>13503</v>
      </c>
      <c r="F92" s="136"/>
      <c r="G92" s="136"/>
    </row>
    <row r="93" spans="1:7" x14ac:dyDescent="0.25">
      <c r="A93" s="152" t="s">
        <v>827</v>
      </c>
      <c r="B93" s="136" t="s">
        <v>831</v>
      </c>
      <c r="C93" s="136"/>
      <c r="D93" s="136">
        <v>100</v>
      </c>
      <c r="E93" s="136">
        <f t="shared" si="1"/>
        <v>13403</v>
      </c>
      <c r="F93" s="136" t="s">
        <v>17</v>
      </c>
      <c r="G93" s="136"/>
    </row>
    <row r="94" spans="1:7" x14ac:dyDescent="0.25">
      <c r="A94" s="138" t="s">
        <v>827</v>
      </c>
      <c r="B94" s="136" t="s">
        <v>344</v>
      </c>
      <c r="C94" s="136">
        <v>250</v>
      </c>
      <c r="D94" s="136"/>
      <c r="E94" s="136">
        <f t="shared" si="1"/>
        <v>13653</v>
      </c>
      <c r="F94" s="136"/>
      <c r="G94" s="136"/>
    </row>
    <row r="95" spans="1:7" x14ac:dyDescent="0.25">
      <c r="A95" s="138" t="s">
        <v>827</v>
      </c>
      <c r="B95" s="136" t="s">
        <v>344</v>
      </c>
      <c r="C95" s="136">
        <v>224</v>
      </c>
      <c r="D95" s="136"/>
      <c r="E95" s="136">
        <f t="shared" si="1"/>
        <v>13877</v>
      </c>
      <c r="F95" s="136"/>
      <c r="G95" s="136"/>
    </row>
    <row r="96" spans="1:7" x14ac:dyDescent="0.25">
      <c r="A96" s="152" t="s">
        <v>835</v>
      </c>
      <c r="B96" s="136" t="s">
        <v>831</v>
      </c>
      <c r="C96" s="136"/>
      <c r="D96" s="136">
        <v>200</v>
      </c>
      <c r="E96" s="136">
        <f t="shared" si="1"/>
        <v>13677</v>
      </c>
      <c r="F96" s="136" t="s">
        <v>17</v>
      </c>
      <c r="G96" s="136"/>
    </row>
    <row r="97" spans="1:7" x14ac:dyDescent="0.25">
      <c r="A97" s="138" t="s">
        <v>835</v>
      </c>
      <c r="B97" s="136" t="s">
        <v>454</v>
      </c>
      <c r="C97" s="136"/>
      <c r="D97" s="136">
        <v>90</v>
      </c>
      <c r="E97" s="136">
        <f t="shared" si="1"/>
        <v>13587</v>
      </c>
      <c r="F97" s="136" t="s">
        <v>838</v>
      </c>
      <c r="G97" s="136"/>
    </row>
    <row r="98" spans="1:7" x14ac:dyDescent="0.25">
      <c r="A98" s="138" t="s">
        <v>835</v>
      </c>
      <c r="B98" s="136" t="s">
        <v>344</v>
      </c>
      <c r="C98" s="136">
        <v>219</v>
      </c>
      <c r="D98" s="136"/>
      <c r="E98" s="136">
        <f t="shared" si="1"/>
        <v>13806</v>
      </c>
      <c r="F98" s="136"/>
      <c r="G98" s="136"/>
    </row>
    <row r="99" spans="1:7" ht="14.25" customHeight="1" x14ac:dyDescent="0.25">
      <c r="A99" s="152" t="s">
        <v>839</v>
      </c>
      <c r="B99" s="136" t="s">
        <v>840</v>
      </c>
      <c r="C99" s="136"/>
      <c r="D99" s="136">
        <v>150</v>
      </c>
      <c r="E99" s="136">
        <f t="shared" si="1"/>
        <v>13656</v>
      </c>
      <c r="F99" s="136" t="s">
        <v>17</v>
      </c>
      <c r="G99" s="136"/>
    </row>
    <row r="100" spans="1:7" x14ac:dyDescent="0.25">
      <c r="A100" s="152" t="s">
        <v>839</v>
      </c>
      <c r="B100" s="136" t="s">
        <v>344</v>
      </c>
      <c r="C100" s="136">
        <v>249</v>
      </c>
      <c r="D100" s="136"/>
      <c r="E100" s="136">
        <f t="shared" si="1"/>
        <v>13905</v>
      </c>
      <c r="F100" s="136"/>
      <c r="G100" s="136"/>
    </row>
    <row r="101" spans="1:7" x14ac:dyDescent="0.25">
      <c r="A101" s="138" t="s">
        <v>839</v>
      </c>
      <c r="B101" s="136" t="s">
        <v>844</v>
      </c>
      <c r="C101" s="136">
        <v>1</v>
      </c>
      <c r="D101" s="136"/>
      <c r="E101" s="136">
        <f t="shared" si="1"/>
        <v>13906</v>
      </c>
      <c r="F101" s="136"/>
      <c r="G101" s="136"/>
    </row>
    <row r="102" spans="1:7" x14ac:dyDescent="0.25">
      <c r="A102" s="138" t="s">
        <v>848</v>
      </c>
      <c r="B102" s="136" t="s">
        <v>344</v>
      </c>
      <c r="C102" s="136">
        <v>205</v>
      </c>
      <c r="D102" s="136"/>
      <c r="E102" s="136">
        <f t="shared" si="1"/>
        <v>14111</v>
      </c>
      <c r="F102" s="136"/>
      <c r="G102" s="136"/>
    </row>
    <row r="103" spans="1:7" x14ac:dyDescent="0.25">
      <c r="A103" s="138" t="s">
        <v>847</v>
      </c>
      <c r="B103" s="136" t="s">
        <v>783</v>
      </c>
      <c r="C103" s="136"/>
      <c r="D103" s="136">
        <v>300</v>
      </c>
      <c r="E103" s="136">
        <f t="shared" si="1"/>
        <v>13811</v>
      </c>
      <c r="F103" s="136" t="s">
        <v>850</v>
      </c>
      <c r="G103" s="136"/>
    </row>
    <row r="104" spans="1:7" x14ac:dyDescent="0.25">
      <c r="A104" s="152" t="s">
        <v>847</v>
      </c>
      <c r="B104" s="136" t="s">
        <v>854</v>
      </c>
      <c r="C104" s="136">
        <v>100</v>
      </c>
      <c r="D104" s="136"/>
      <c r="E104" s="136">
        <f t="shared" si="1"/>
        <v>13911</v>
      </c>
      <c r="F104" s="136"/>
      <c r="G104" s="136"/>
    </row>
    <row r="105" spans="1:7" x14ac:dyDescent="0.25">
      <c r="A105" s="138" t="s">
        <v>847</v>
      </c>
      <c r="B105" s="136" t="s">
        <v>344</v>
      </c>
      <c r="C105" s="136">
        <v>347</v>
      </c>
      <c r="D105" s="136"/>
      <c r="E105" s="136">
        <f t="shared" si="1"/>
        <v>14258</v>
      </c>
      <c r="F105" s="136"/>
      <c r="G105" s="136"/>
    </row>
    <row r="106" spans="1:7" x14ac:dyDescent="0.25">
      <c r="A106" s="138" t="s">
        <v>856</v>
      </c>
      <c r="B106" s="136" t="s">
        <v>857</v>
      </c>
      <c r="C106" s="136"/>
      <c r="D106" s="136">
        <v>40</v>
      </c>
      <c r="E106" s="136">
        <f t="shared" si="1"/>
        <v>14218</v>
      </c>
      <c r="F106" s="163" t="s">
        <v>17</v>
      </c>
      <c r="G106" s="136"/>
    </row>
    <row r="107" spans="1:7" x14ac:dyDescent="0.25">
      <c r="A107" s="138" t="s">
        <v>856</v>
      </c>
      <c r="B107" s="136" t="s">
        <v>344</v>
      </c>
      <c r="C107" s="163">
        <v>114</v>
      </c>
      <c r="D107" s="136"/>
      <c r="E107" s="136">
        <f t="shared" si="1"/>
        <v>14332</v>
      </c>
      <c r="F107" s="136"/>
      <c r="G107" s="136"/>
    </row>
    <row r="108" spans="1:7" x14ac:dyDescent="0.25">
      <c r="A108" s="138" t="s">
        <v>869</v>
      </c>
      <c r="B108" s="136" t="s">
        <v>344</v>
      </c>
      <c r="C108" s="136">
        <v>297</v>
      </c>
      <c r="D108" s="136"/>
      <c r="E108" s="136">
        <f t="shared" si="1"/>
        <v>14629</v>
      </c>
      <c r="F108" s="136"/>
      <c r="G108" s="136"/>
    </row>
    <row r="109" spans="1:7" x14ac:dyDescent="0.25">
      <c r="A109" s="138" t="s">
        <v>873</v>
      </c>
      <c r="B109" s="136" t="s">
        <v>783</v>
      </c>
      <c r="C109" s="136"/>
      <c r="D109" s="136">
        <v>50</v>
      </c>
      <c r="E109" s="136">
        <f t="shared" si="1"/>
        <v>14579</v>
      </c>
      <c r="F109" s="136" t="s">
        <v>876</v>
      </c>
      <c r="G109" s="136"/>
    </row>
    <row r="110" spans="1:7" x14ac:dyDescent="0.25">
      <c r="A110" s="138" t="s">
        <v>873</v>
      </c>
      <c r="B110" s="136" t="s">
        <v>344</v>
      </c>
      <c r="C110" s="136">
        <v>166</v>
      </c>
      <c r="D110" s="136"/>
      <c r="E110" s="136">
        <f t="shared" si="1"/>
        <v>14745</v>
      </c>
      <c r="F110" s="136"/>
      <c r="G110" s="136"/>
    </row>
    <row r="111" spans="1:7" x14ac:dyDescent="0.25">
      <c r="A111" s="138" t="s">
        <v>877</v>
      </c>
      <c r="B111" s="136" t="s">
        <v>816</v>
      </c>
      <c r="C111" s="136"/>
      <c r="D111" s="136">
        <v>50</v>
      </c>
      <c r="E111" s="136">
        <f t="shared" si="1"/>
        <v>14695</v>
      </c>
      <c r="F111" s="136" t="s">
        <v>878</v>
      </c>
      <c r="G111" s="136"/>
    </row>
    <row r="112" spans="1:7" x14ac:dyDescent="0.25">
      <c r="A112" s="138" t="s">
        <v>880</v>
      </c>
      <c r="B112" s="136" t="s">
        <v>344</v>
      </c>
      <c r="C112" s="136">
        <v>329</v>
      </c>
      <c r="D112" s="136"/>
      <c r="E112" s="136">
        <f t="shared" si="1"/>
        <v>15024</v>
      </c>
      <c r="F112" s="136"/>
      <c r="G112" s="136"/>
    </row>
    <row r="113" spans="1:7" x14ac:dyDescent="0.25">
      <c r="A113" s="138" t="s">
        <v>880</v>
      </c>
      <c r="B113" s="136" t="s">
        <v>344</v>
      </c>
      <c r="C113" s="136">
        <v>124</v>
      </c>
      <c r="D113" s="136"/>
      <c r="E113" s="136">
        <f t="shared" si="1"/>
        <v>15148</v>
      </c>
      <c r="F113" s="136"/>
      <c r="G113" s="136"/>
    </row>
    <row r="114" spans="1:7" x14ac:dyDescent="0.25">
      <c r="A114" s="138" t="s">
        <v>883</v>
      </c>
      <c r="B114" s="136" t="s">
        <v>344</v>
      </c>
      <c r="C114" s="136">
        <v>163</v>
      </c>
      <c r="D114" s="136"/>
      <c r="E114" s="136">
        <f t="shared" si="1"/>
        <v>15311</v>
      </c>
      <c r="F114" s="136"/>
      <c r="G114" s="136"/>
    </row>
    <row r="115" spans="1:7" x14ac:dyDescent="0.25">
      <c r="A115" s="138" t="s">
        <v>897</v>
      </c>
      <c r="B115" s="136" t="s">
        <v>344</v>
      </c>
      <c r="C115" s="136">
        <v>335</v>
      </c>
      <c r="D115" s="136"/>
      <c r="E115" s="136">
        <f t="shared" si="1"/>
        <v>15646</v>
      </c>
      <c r="F115" s="136"/>
      <c r="G115" s="136"/>
    </row>
    <row r="116" spans="1:7" x14ac:dyDescent="0.25">
      <c r="A116" s="152" t="s">
        <v>902</v>
      </c>
      <c r="B116" s="136" t="s">
        <v>344</v>
      </c>
      <c r="C116" s="136">
        <v>169</v>
      </c>
      <c r="D116" s="136"/>
      <c r="E116" s="136">
        <f t="shared" si="1"/>
        <v>15815</v>
      </c>
      <c r="F116" s="136"/>
      <c r="G116" s="136"/>
    </row>
    <row r="117" spans="1:7" x14ac:dyDescent="0.25">
      <c r="A117" s="152" t="s">
        <v>911</v>
      </c>
      <c r="B117" s="136" t="s">
        <v>344</v>
      </c>
      <c r="C117" s="136">
        <v>191</v>
      </c>
      <c r="D117" s="136"/>
      <c r="E117" s="136">
        <f t="shared" si="1"/>
        <v>16006</v>
      </c>
      <c r="F117" s="136"/>
      <c r="G117" s="136"/>
    </row>
    <row r="118" spans="1:7" x14ac:dyDescent="0.25">
      <c r="A118" s="121" t="s">
        <v>914</v>
      </c>
      <c r="B118" s="36" t="s">
        <v>783</v>
      </c>
      <c r="C118" s="36"/>
      <c r="D118" s="136">
        <v>100</v>
      </c>
      <c r="E118" s="136">
        <f t="shared" si="1"/>
        <v>15906</v>
      </c>
      <c r="F118" s="136" t="s">
        <v>917</v>
      </c>
      <c r="G118" s="136"/>
    </row>
    <row r="119" spans="1:7" x14ac:dyDescent="0.25">
      <c r="A119" s="144"/>
      <c r="B119" s="136"/>
      <c r="C119" s="136"/>
      <c r="D119" s="136"/>
      <c r="E119" s="136"/>
      <c r="F119" s="136"/>
      <c r="G119" s="136"/>
    </row>
    <row r="120" spans="1:7" x14ac:dyDescent="0.25">
      <c r="A120" s="144"/>
      <c r="B120" s="136"/>
      <c r="C120" s="136"/>
      <c r="D120" s="136"/>
      <c r="E120" s="136"/>
      <c r="F120" s="136"/>
      <c r="G120" s="136"/>
    </row>
    <row r="121" spans="1:7" x14ac:dyDescent="0.25">
      <c r="A121" s="144"/>
      <c r="B121" s="136"/>
      <c r="C121" s="136"/>
      <c r="D121" s="136"/>
      <c r="E121" s="136"/>
      <c r="F121" s="136"/>
      <c r="G121" s="136"/>
    </row>
    <row r="122" spans="1:7" x14ac:dyDescent="0.25">
      <c r="A122" s="144"/>
      <c r="B122" s="136"/>
      <c r="C122" s="136"/>
      <c r="D122" s="136"/>
      <c r="E122" s="136"/>
      <c r="F122" s="136"/>
      <c r="G122" s="136"/>
    </row>
    <row r="123" spans="1:7" x14ac:dyDescent="0.25">
      <c r="A123" s="144"/>
      <c r="B123" s="136"/>
      <c r="C123" s="136"/>
      <c r="D123" s="136"/>
      <c r="E123" s="136"/>
      <c r="F123" s="136"/>
      <c r="G123" s="136"/>
    </row>
  </sheetData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zoomScale="110" zoomScaleNormal="110" workbookViewId="0">
      <selection activeCell="D13" sqref="D13"/>
    </sheetView>
  </sheetViews>
  <sheetFormatPr defaultRowHeight="15" x14ac:dyDescent="0.25"/>
  <cols>
    <col min="1" max="1" width="11.42578125" style="29" customWidth="1"/>
    <col min="2" max="2" width="34.140625" style="29" customWidth="1"/>
    <col min="3" max="5" width="9.140625" style="29"/>
    <col min="6" max="6" width="16.5703125" style="29" customWidth="1"/>
    <col min="7" max="7" width="22.42578125" style="29" customWidth="1"/>
  </cols>
  <sheetData>
    <row r="2" spans="1:7" ht="15.75" x14ac:dyDescent="0.25">
      <c r="A2" s="42" t="s">
        <v>45</v>
      </c>
      <c r="B2" s="33"/>
      <c r="C2" s="43"/>
      <c r="D2" s="43"/>
      <c r="E2" s="43"/>
      <c r="G2" s="32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123"/>
      <c r="B5" s="123" t="s">
        <v>246</v>
      </c>
      <c r="C5" s="123"/>
      <c r="D5" s="123"/>
      <c r="E5" s="123"/>
      <c r="F5" s="123">
        <v>571</v>
      </c>
      <c r="G5" s="123"/>
    </row>
    <row r="6" spans="1:7" x14ac:dyDescent="0.25">
      <c r="A6" s="36"/>
      <c r="B6" s="36"/>
      <c r="C6" s="36"/>
      <c r="D6" s="36"/>
      <c r="E6" s="36"/>
      <c r="F6" s="36"/>
      <c r="G6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9"/>
  <sheetViews>
    <sheetView zoomScale="110" zoomScaleNormal="110" workbookViewId="0">
      <selection activeCell="A8" sqref="A8"/>
    </sheetView>
  </sheetViews>
  <sheetFormatPr defaultRowHeight="15" x14ac:dyDescent="0.25"/>
  <cols>
    <col min="1" max="1" width="10.42578125" style="29" customWidth="1"/>
    <col min="2" max="2" width="35.5703125" style="29" customWidth="1"/>
    <col min="3" max="5" width="9.140625" style="29"/>
    <col min="6" max="6" width="14.5703125" style="29" customWidth="1"/>
    <col min="7" max="7" width="22.28515625" style="29" customWidth="1"/>
  </cols>
  <sheetData>
    <row r="3" spans="1:7" ht="15.75" x14ac:dyDescent="0.25">
      <c r="A3" s="42" t="s">
        <v>46</v>
      </c>
      <c r="B3" s="33"/>
      <c r="C3" s="43"/>
      <c r="D3" s="43"/>
      <c r="E3" s="43"/>
      <c r="G3" s="32"/>
    </row>
    <row r="4" spans="1:7" x14ac:dyDescent="0.25">
      <c r="A4" s="44"/>
      <c r="B4" s="45"/>
      <c r="C4" s="43"/>
      <c r="D4" s="43"/>
      <c r="E4" s="43"/>
    </row>
    <row r="5" spans="1:7" x14ac:dyDescent="0.25">
      <c r="A5" s="46" t="s">
        <v>2</v>
      </c>
      <c r="B5" s="34" t="s">
        <v>3</v>
      </c>
      <c r="C5" s="34" t="s">
        <v>4</v>
      </c>
      <c r="D5" s="34" t="s">
        <v>5</v>
      </c>
      <c r="E5" s="34" t="s">
        <v>6</v>
      </c>
      <c r="F5" s="35" t="s">
        <v>7</v>
      </c>
      <c r="G5" s="36" t="s">
        <v>8</v>
      </c>
    </row>
    <row r="6" spans="1:7" x14ac:dyDescent="0.25">
      <c r="A6" s="36"/>
      <c r="B6" s="36" t="s">
        <v>318</v>
      </c>
      <c r="C6" s="36"/>
      <c r="D6" s="36"/>
      <c r="E6" s="36"/>
      <c r="F6" s="36">
        <v>630</v>
      </c>
      <c r="G6" s="36"/>
    </row>
    <row r="7" spans="1:7" x14ac:dyDescent="0.25">
      <c r="A7" s="164"/>
      <c r="B7" s="164"/>
      <c r="C7" s="164"/>
      <c r="D7" s="164"/>
      <c r="E7" s="164">
        <v>630</v>
      </c>
      <c r="F7" s="164"/>
      <c r="G7" s="164"/>
    </row>
    <row r="8" spans="1:7" x14ac:dyDescent="0.25">
      <c r="A8" s="36"/>
      <c r="B8" s="36"/>
      <c r="C8" s="36"/>
      <c r="D8" s="36"/>
      <c r="E8" s="36"/>
      <c r="F8" s="36"/>
      <c r="G8" s="36"/>
    </row>
    <row r="9" spans="1:7" x14ac:dyDescent="0.25">
      <c r="A9" s="36"/>
      <c r="B9" s="36"/>
      <c r="C9" s="36"/>
      <c r="D9" s="36"/>
      <c r="E9" s="36"/>
      <c r="F9" s="36"/>
      <c r="G9" s="3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9"/>
  <sheetViews>
    <sheetView topLeftCell="A47" zoomScaleNormal="100" workbookViewId="0">
      <selection activeCell="E57" sqref="E57:E58"/>
    </sheetView>
  </sheetViews>
  <sheetFormatPr defaultRowHeight="15.75" x14ac:dyDescent="0.25"/>
  <cols>
    <col min="1" max="1" width="13.85546875" style="130" customWidth="1"/>
    <col min="2" max="2" width="33" style="130" customWidth="1"/>
    <col min="3" max="5" width="9.140625" style="130"/>
    <col min="6" max="6" width="22.28515625" style="130" customWidth="1"/>
    <col min="7" max="7" width="22.85546875" style="130" customWidth="1"/>
  </cols>
  <sheetData>
    <row r="2" spans="1:7" x14ac:dyDescent="0.25">
      <c r="A2" s="126" t="s">
        <v>21</v>
      </c>
      <c r="B2" s="127"/>
      <c r="C2" s="150"/>
      <c r="D2" s="150"/>
      <c r="E2" s="150"/>
    </row>
    <row r="3" spans="1:7" x14ac:dyDescent="0.25">
      <c r="A3" s="157"/>
      <c r="B3" s="151"/>
      <c r="C3" s="150"/>
      <c r="D3" s="150"/>
      <c r="E3" s="150"/>
    </row>
    <row r="4" spans="1:7" x14ac:dyDescent="0.25">
      <c r="A4" s="158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60" t="s">
        <v>7</v>
      </c>
      <c r="G4" s="161" t="s">
        <v>8</v>
      </c>
    </row>
    <row r="5" spans="1:7" x14ac:dyDescent="0.25">
      <c r="A5" s="249"/>
      <c r="B5" s="249" t="s">
        <v>246</v>
      </c>
      <c r="C5" s="249"/>
      <c r="D5" s="249"/>
      <c r="E5" s="249"/>
      <c r="F5" s="249">
        <v>1334</v>
      </c>
      <c r="G5" s="249"/>
    </row>
    <row r="6" spans="1:7" s="2" customFormat="1" x14ac:dyDescent="0.25">
      <c r="A6" s="250"/>
      <c r="B6" s="250"/>
      <c r="C6" s="250"/>
      <c r="D6" s="250"/>
      <c r="E6" s="250">
        <v>1334</v>
      </c>
      <c r="F6" s="250"/>
      <c r="G6" s="250"/>
    </row>
    <row r="7" spans="1:7" x14ac:dyDescent="0.25">
      <c r="A7" s="251" t="s">
        <v>252</v>
      </c>
      <c r="B7" s="161" t="s">
        <v>250</v>
      </c>
      <c r="C7" s="161">
        <v>15</v>
      </c>
      <c r="D7" s="161"/>
      <c r="E7" s="161">
        <f>E6+C7-D7</f>
        <v>1349</v>
      </c>
      <c r="F7" s="161"/>
      <c r="G7" s="161"/>
    </row>
    <row r="8" spans="1:7" x14ac:dyDescent="0.25">
      <c r="A8" s="251" t="s">
        <v>252</v>
      </c>
      <c r="B8" s="161" t="s">
        <v>253</v>
      </c>
      <c r="C8" s="161">
        <v>8</v>
      </c>
      <c r="D8" s="161"/>
      <c r="E8" s="161">
        <f t="shared" ref="E8:E56" si="0">E7+C8-D8</f>
        <v>1357</v>
      </c>
      <c r="F8" s="161"/>
      <c r="G8" s="161"/>
    </row>
    <row r="9" spans="1:7" x14ac:dyDescent="0.25">
      <c r="A9" s="246" t="s">
        <v>256</v>
      </c>
      <c r="B9" s="161" t="s">
        <v>270</v>
      </c>
      <c r="C9" s="161"/>
      <c r="D9" s="161">
        <v>53</v>
      </c>
      <c r="E9" s="161">
        <f t="shared" si="0"/>
        <v>1304</v>
      </c>
      <c r="F9" s="161" t="s">
        <v>271</v>
      </c>
      <c r="G9" s="161"/>
    </row>
    <row r="10" spans="1:7" x14ac:dyDescent="0.25">
      <c r="A10" s="251" t="s">
        <v>267</v>
      </c>
      <c r="B10" s="161" t="s">
        <v>105</v>
      </c>
      <c r="C10" s="161">
        <v>3</v>
      </c>
      <c r="D10" s="161"/>
      <c r="E10" s="161">
        <f t="shared" si="0"/>
        <v>1307</v>
      </c>
      <c r="F10" s="161"/>
      <c r="G10" s="161"/>
    </row>
    <row r="11" spans="1:7" x14ac:dyDescent="0.25">
      <c r="A11" s="251" t="s">
        <v>285</v>
      </c>
      <c r="B11" s="161" t="s">
        <v>286</v>
      </c>
      <c r="C11" s="161"/>
      <c r="D11" s="161">
        <v>3</v>
      </c>
      <c r="E11" s="161">
        <f t="shared" si="0"/>
        <v>1304</v>
      </c>
      <c r="F11" s="161" t="s">
        <v>287</v>
      </c>
      <c r="G11" s="161"/>
    </row>
    <row r="12" spans="1:7" x14ac:dyDescent="0.25">
      <c r="A12" s="247" t="s">
        <v>285</v>
      </c>
      <c r="B12" s="213" t="s">
        <v>289</v>
      </c>
      <c r="C12" s="213"/>
      <c r="D12" s="213">
        <v>42</v>
      </c>
      <c r="E12" s="213">
        <f t="shared" si="0"/>
        <v>1262</v>
      </c>
      <c r="F12" s="213" t="s">
        <v>290</v>
      </c>
      <c r="G12" s="161"/>
    </row>
    <row r="13" spans="1:7" x14ac:dyDescent="0.25">
      <c r="A13" s="251" t="s">
        <v>285</v>
      </c>
      <c r="B13" s="38" t="s">
        <v>294</v>
      </c>
      <c r="C13" s="38">
        <v>6</v>
      </c>
      <c r="D13" s="161"/>
      <c r="E13" s="161">
        <f t="shared" si="0"/>
        <v>1268</v>
      </c>
      <c r="F13" s="161"/>
      <c r="G13" s="161"/>
    </row>
    <row r="14" spans="1:7" x14ac:dyDescent="0.25">
      <c r="A14" s="251" t="s">
        <v>301</v>
      </c>
      <c r="B14" s="161" t="s">
        <v>305</v>
      </c>
      <c r="C14" s="161">
        <v>2</v>
      </c>
      <c r="D14" s="161"/>
      <c r="E14" s="161">
        <f t="shared" si="0"/>
        <v>1270</v>
      </c>
      <c r="F14" s="161"/>
      <c r="G14" s="161"/>
    </row>
    <row r="15" spans="1:7" x14ac:dyDescent="0.25">
      <c r="A15" s="251" t="s">
        <v>307</v>
      </c>
      <c r="B15" s="161" t="s">
        <v>250</v>
      </c>
      <c r="C15" s="161">
        <v>11</v>
      </c>
      <c r="D15" s="161"/>
      <c r="E15" s="161">
        <f t="shared" si="0"/>
        <v>1281</v>
      </c>
      <c r="F15" s="161"/>
      <c r="G15" s="161"/>
    </row>
    <row r="16" spans="1:7" x14ac:dyDescent="0.25">
      <c r="A16" s="246" t="s">
        <v>319</v>
      </c>
      <c r="B16" s="161" t="s">
        <v>320</v>
      </c>
      <c r="C16" s="161">
        <v>8</v>
      </c>
      <c r="D16" s="161"/>
      <c r="E16" s="161">
        <f t="shared" si="0"/>
        <v>1289</v>
      </c>
      <c r="F16" s="161"/>
      <c r="G16" s="161"/>
    </row>
    <row r="17" spans="1:7" x14ac:dyDescent="0.25">
      <c r="A17" s="246" t="s">
        <v>468</v>
      </c>
      <c r="B17" s="161" t="s">
        <v>476</v>
      </c>
      <c r="C17" s="161"/>
      <c r="D17" s="161">
        <v>12</v>
      </c>
      <c r="E17" s="161">
        <f t="shared" si="0"/>
        <v>1277</v>
      </c>
      <c r="F17" s="161" t="s">
        <v>477</v>
      </c>
      <c r="G17" s="161"/>
    </row>
    <row r="18" spans="1:7" x14ac:dyDescent="0.25">
      <c r="A18" s="294" t="s">
        <v>517</v>
      </c>
      <c r="B18" s="295" t="s">
        <v>476</v>
      </c>
      <c r="C18" s="295">
        <v>104</v>
      </c>
      <c r="D18" s="295"/>
      <c r="E18" s="250">
        <f t="shared" si="0"/>
        <v>1381</v>
      </c>
      <c r="F18" s="295"/>
      <c r="G18" s="161"/>
    </row>
    <row r="19" spans="1:7" x14ac:dyDescent="0.25">
      <c r="A19" s="152" t="s">
        <v>371</v>
      </c>
      <c r="B19" s="136" t="s">
        <v>381</v>
      </c>
      <c r="C19" s="136">
        <v>9</v>
      </c>
      <c r="D19" s="161"/>
      <c r="E19" s="161">
        <f t="shared" si="0"/>
        <v>1390</v>
      </c>
      <c r="F19" s="161"/>
      <c r="G19" s="161"/>
    </row>
    <row r="20" spans="1:7" x14ac:dyDescent="0.25">
      <c r="A20" s="138" t="s">
        <v>406</v>
      </c>
      <c r="B20" s="136" t="s">
        <v>383</v>
      </c>
      <c r="C20" s="136"/>
      <c r="D20" s="136">
        <v>15</v>
      </c>
      <c r="E20" s="161">
        <f t="shared" si="0"/>
        <v>1375</v>
      </c>
      <c r="F20" s="136" t="s">
        <v>17</v>
      </c>
      <c r="G20" s="161"/>
    </row>
    <row r="21" spans="1:7" x14ac:dyDescent="0.25">
      <c r="A21" s="152" t="s">
        <v>430</v>
      </c>
      <c r="B21" s="136" t="s">
        <v>383</v>
      </c>
      <c r="C21" s="136"/>
      <c r="D21" s="136">
        <v>15</v>
      </c>
      <c r="E21" s="161">
        <f t="shared" si="0"/>
        <v>1360</v>
      </c>
      <c r="F21" s="136" t="s">
        <v>17</v>
      </c>
      <c r="G21" s="161"/>
    </row>
    <row r="22" spans="1:7" x14ac:dyDescent="0.25">
      <c r="A22" s="238" t="s">
        <v>453</v>
      </c>
      <c r="B22" s="136" t="s">
        <v>462</v>
      </c>
      <c r="C22" s="136">
        <v>16</v>
      </c>
      <c r="D22" s="161"/>
      <c r="E22" s="161">
        <f t="shared" si="0"/>
        <v>1376</v>
      </c>
      <c r="F22" s="161"/>
      <c r="G22" s="161"/>
    </row>
    <row r="23" spans="1:7" x14ac:dyDescent="0.25">
      <c r="A23" s="152" t="s">
        <v>483</v>
      </c>
      <c r="B23" s="136" t="s">
        <v>383</v>
      </c>
      <c r="C23" s="136">
        <v>15</v>
      </c>
      <c r="D23" s="161"/>
      <c r="E23" s="161">
        <f t="shared" si="0"/>
        <v>1391</v>
      </c>
      <c r="F23" s="161"/>
      <c r="G23" s="161"/>
    </row>
    <row r="24" spans="1:7" x14ac:dyDescent="0.25">
      <c r="A24" s="138" t="s">
        <v>485</v>
      </c>
      <c r="B24" s="136" t="s">
        <v>488</v>
      </c>
      <c r="C24" s="136">
        <v>16</v>
      </c>
      <c r="D24" s="161"/>
      <c r="E24" s="161">
        <f t="shared" si="0"/>
        <v>1407</v>
      </c>
      <c r="F24" s="161"/>
      <c r="G24" s="161"/>
    </row>
    <row r="25" spans="1:7" x14ac:dyDescent="0.25">
      <c r="A25" s="138" t="s">
        <v>496</v>
      </c>
      <c r="B25" s="136" t="s">
        <v>305</v>
      </c>
      <c r="C25" s="136">
        <v>2</v>
      </c>
      <c r="D25" s="161"/>
      <c r="E25" s="161">
        <f t="shared" si="0"/>
        <v>1409</v>
      </c>
      <c r="F25" s="161"/>
      <c r="G25" s="161"/>
    </row>
    <row r="26" spans="1:7" x14ac:dyDescent="0.25">
      <c r="A26" s="138" t="s">
        <v>502</v>
      </c>
      <c r="B26" s="136" t="s">
        <v>503</v>
      </c>
      <c r="C26" s="136">
        <v>4</v>
      </c>
      <c r="D26" s="161"/>
      <c r="E26" s="161">
        <f t="shared" si="0"/>
        <v>1413</v>
      </c>
      <c r="F26" s="161"/>
      <c r="G26" s="161"/>
    </row>
    <row r="27" spans="1:7" x14ac:dyDescent="0.25">
      <c r="A27" s="152" t="s">
        <v>517</v>
      </c>
      <c r="B27" s="136" t="s">
        <v>518</v>
      </c>
      <c r="C27" s="136">
        <v>6</v>
      </c>
      <c r="D27" s="161"/>
      <c r="E27" s="161">
        <f t="shared" si="0"/>
        <v>1419</v>
      </c>
      <c r="F27" s="161"/>
      <c r="G27" s="161"/>
    </row>
    <row r="28" spans="1:7" x14ac:dyDescent="0.25">
      <c r="A28" s="152" t="s">
        <v>577</v>
      </c>
      <c r="B28" s="136" t="s">
        <v>526</v>
      </c>
      <c r="C28" s="136">
        <v>9</v>
      </c>
      <c r="D28" s="161"/>
      <c r="E28" s="161">
        <f t="shared" si="0"/>
        <v>1428</v>
      </c>
      <c r="F28" s="161"/>
      <c r="G28" s="161"/>
    </row>
    <row r="29" spans="1:7" x14ac:dyDescent="0.25">
      <c r="A29" s="152" t="s">
        <v>577</v>
      </c>
      <c r="B29" s="136" t="s">
        <v>488</v>
      </c>
      <c r="C29" s="136">
        <v>15</v>
      </c>
      <c r="D29" s="161"/>
      <c r="E29" s="161">
        <f t="shared" si="0"/>
        <v>1443</v>
      </c>
      <c r="F29" s="161"/>
      <c r="G29" s="161"/>
    </row>
    <row r="30" spans="1:7" x14ac:dyDescent="0.25">
      <c r="A30" s="167">
        <v>8106</v>
      </c>
      <c r="B30" s="136" t="s">
        <v>383</v>
      </c>
      <c r="C30" s="136">
        <v>5</v>
      </c>
      <c r="D30" s="161"/>
      <c r="E30" s="161">
        <f t="shared" si="0"/>
        <v>1448</v>
      </c>
      <c r="F30" s="161"/>
      <c r="G30" s="161"/>
    </row>
    <row r="31" spans="1:7" x14ac:dyDescent="0.25">
      <c r="A31" s="121" t="s">
        <v>595</v>
      </c>
      <c r="B31" s="36" t="s">
        <v>601</v>
      </c>
      <c r="C31" s="36">
        <v>14</v>
      </c>
      <c r="D31" s="161"/>
      <c r="E31" s="161">
        <f t="shared" si="0"/>
        <v>1462</v>
      </c>
      <c r="F31" s="161"/>
      <c r="G31" s="161"/>
    </row>
    <row r="32" spans="1:7" x14ac:dyDescent="0.25">
      <c r="A32" s="238" t="s">
        <v>645</v>
      </c>
      <c r="B32" s="136" t="s">
        <v>646</v>
      </c>
      <c r="C32" s="136">
        <v>4</v>
      </c>
      <c r="D32" s="161"/>
      <c r="E32" s="161">
        <f t="shared" si="0"/>
        <v>1466</v>
      </c>
      <c r="F32" s="161"/>
      <c r="G32" s="161"/>
    </row>
    <row r="33" spans="1:7" x14ac:dyDescent="0.25">
      <c r="A33" s="246" t="s">
        <v>647</v>
      </c>
      <c r="B33" s="161" t="s">
        <v>583</v>
      </c>
      <c r="C33" s="161"/>
      <c r="D33" s="161">
        <v>10</v>
      </c>
      <c r="E33" s="161">
        <f t="shared" si="0"/>
        <v>1456</v>
      </c>
      <c r="F33" s="161" t="s">
        <v>649</v>
      </c>
      <c r="G33" s="161"/>
    </row>
    <row r="34" spans="1:7" x14ac:dyDescent="0.25">
      <c r="A34" s="246" t="s">
        <v>658</v>
      </c>
      <c r="B34" s="161" t="s">
        <v>664</v>
      </c>
      <c r="C34" s="161">
        <v>7</v>
      </c>
      <c r="D34" s="161"/>
      <c r="E34" s="161">
        <f t="shared" si="0"/>
        <v>1463</v>
      </c>
      <c r="F34" s="161"/>
      <c r="G34" s="161"/>
    </row>
    <row r="35" spans="1:7" x14ac:dyDescent="0.25">
      <c r="A35" s="246" t="s">
        <v>658</v>
      </c>
      <c r="B35" s="161" t="s">
        <v>665</v>
      </c>
      <c r="C35" s="161">
        <v>13</v>
      </c>
      <c r="D35" s="161"/>
      <c r="E35" s="161">
        <f t="shared" si="0"/>
        <v>1476</v>
      </c>
      <c r="F35" s="161"/>
      <c r="G35" s="161"/>
    </row>
    <row r="36" spans="1:7" x14ac:dyDescent="0.25">
      <c r="A36" s="152" t="s">
        <v>680</v>
      </c>
      <c r="B36" s="136" t="s">
        <v>323</v>
      </c>
      <c r="C36" s="136">
        <v>10</v>
      </c>
      <c r="D36" s="161"/>
      <c r="E36" s="161">
        <f t="shared" si="0"/>
        <v>1486</v>
      </c>
      <c r="F36" s="161"/>
      <c r="G36" s="161"/>
    </row>
    <row r="37" spans="1:7" x14ac:dyDescent="0.25">
      <c r="A37" s="138" t="s">
        <v>683</v>
      </c>
      <c r="B37" s="136" t="s">
        <v>687</v>
      </c>
      <c r="C37" s="136">
        <v>10</v>
      </c>
      <c r="D37" s="161"/>
      <c r="E37" s="161">
        <f t="shared" si="0"/>
        <v>1496</v>
      </c>
      <c r="F37" s="161"/>
      <c r="G37" s="161"/>
    </row>
    <row r="38" spans="1:7" x14ac:dyDescent="0.25">
      <c r="A38" s="152" t="s">
        <v>701</v>
      </c>
      <c r="B38" s="136" t="s">
        <v>638</v>
      </c>
      <c r="C38" s="136"/>
      <c r="D38" s="136">
        <v>30</v>
      </c>
      <c r="E38" s="161">
        <f t="shared" si="0"/>
        <v>1466</v>
      </c>
      <c r="F38" s="136" t="s">
        <v>703</v>
      </c>
      <c r="G38" s="161"/>
    </row>
    <row r="39" spans="1:7" x14ac:dyDescent="0.25">
      <c r="A39" s="152" t="s">
        <v>701</v>
      </c>
      <c r="B39" s="136" t="s">
        <v>638</v>
      </c>
      <c r="C39" s="136"/>
      <c r="D39" s="136">
        <v>30</v>
      </c>
      <c r="E39" s="161">
        <f t="shared" si="0"/>
        <v>1436</v>
      </c>
      <c r="F39" s="136" t="s">
        <v>703</v>
      </c>
      <c r="G39" s="161"/>
    </row>
    <row r="40" spans="1:7" x14ac:dyDescent="0.25">
      <c r="A40" s="246" t="s">
        <v>741</v>
      </c>
      <c r="B40" s="161" t="s">
        <v>665</v>
      </c>
      <c r="C40" s="161">
        <v>31</v>
      </c>
      <c r="D40" s="161"/>
      <c r="E40" s="161">
        <f t="shared" si="0"/>
        <v>1467</v>
      </c>
      <c r="F40" s="161"/>
      <c r="G40" s="161"/>
    </row>
    <row r="41" spans="1:7" x14ac:dyDescent="0.25">
      <c r="A41" s="138" t="s">
        <v>747</v>
      </c>
      <c r="B41" s="136" t="s">
        <v>748</v>
      </c>
      <c r="C41" s="136"/>
      <c r="D41" s="136">
        <v>10</v>
      </c>
      <c r="E41" s="161">
        <f t="shared" si="0"/>
        <v>1457</v>
      </c>
      <c r="F41" s="136" t="s">
        <v>749</v>
      </c>
      <c r="G41" s="161"/>
    </row>
    <row r="42" spans="1:7" x14ac:dyDescent="0.25">
      <c r="A42" s="138" t="s">
        <v>775</v>
      </c>
      <c r="B42" s="136" t="s">
        <v>250</v>
      </c>
      <c r="C42" s="136"/>
      <c r="D42" s="136">
        <v>2</v>
      </c>
      <c r="E42" s="161">
        <f t="shared" si="0"/>
        <v>1455</v>
      </c>
      <c r="F42" s="136" t="s">
        <v>776</v>
      </c>
      <c r="G42" s="161"/>
    </row>
    <row r="43" spans="1:7" x14ac:dyDescent="0.25">
      <c r="A43" s="152" t="s">
        <v>779</v>
      </c>
      <c r="B43" s="136" t="s">
        <v>763</v>
      </c>
      <c r="C43" s="136">
        <v>23</v>
      </c>
      <c r="D43" s="161"/>
      <c r="E43" s="161">
        <f t="shared" si="0"/>
        <v>1478</v>
      </c>
      <c r="F43" s="161"/>
      <c r="G43" s="161"/>
    </row>
    <row r="44" spans="1:7" x14ac:dyDescent="0.25">
      <c r="A44" s="138" t="s">
        <v>790</v>
      </c>
      <c r="B44" s="136" t="s">
        <v>783</v>
      </c>
      <c r="C44" s="136"/>
      <c r="D44" s="136">
        <v>12</v>
      </c>
      <c r="E44" s="161">
        <f t="shared" si="0"/>
        <v>1466</v>
      </c>
      <c r="F44" s="136" t="s">
        <v>791</v>
      </c>
      <c r="G44" s="161"/>
    </row>
    <row r="45" spans="1:7" x14ac:dyDescent="0.25">
      <c r="A45" s="152" t="s">
        <v>788</v>
      </c>
      <c r="B45" s="136" t="s">
        <v>763</v>
      </c>
      <c r="C45" s="136">
        <v>16</v>
      </c>
      <c r="D45" s="161"/>
      <c r="E45" s="161">
        <f t="shared" si="0"/>
        <v>1482</v>
      </c>
      <c r="F45" s="161"/>
      <c r="G45" s="161"/>
    </row>
    <row r="46" spans="1:7" x14ac:dyDescent="0.25">
      <c r="A46" s="138" t="s">
        <v>803</v>
      </c>
      <c r="B46" s="136" t="s">
        <v>381</v>
      </c>
      <c r="C46" s="136">
        <v>6</v>
      </c>
      <c r="D46" s="161"/>
      <c r="E46" s="161">
        <f t="shared" si="0"/>
        <v>1488</v>
      </c>
      <c r="F46" s="161"/>
      <c r="G46" s="161"/>
    </row>
    <row r="47" spans="1:7" x14ac:dyDescent="0.25">
      <c r="A47" s="138" t="s">
        <v>803</v>
      </c>
      <c r="B47" s="136" t="s">
        <v>522</v>
      </c>
      <c r="C47" s="136">
        <v>13</v>
      </c>
      <c r="D47" s="161"/>
      <c r="E47" s="161">
        <f t="shared" si="0"/>
        <v>1501</v>
      </c>
      <c r="F47" s="161"/>
      <c r="G47" s="161"/>
    </row>
    <row r="48" spans="1:7" x14ac:dyDescent="0.25">
      <c r="A48" s="246" t="s">
        <v>820</v>
      </c>
      <c r="B48" s="161" t="s">
        <v>783</v>
      </c>
      <c r="C48" s="161"/>
      <c r="D48" s="161">
        <v>22</v>
      </c>
      <c r="E48" s="161">
        <f t="shared" si="0"/>
        <v>1479</v>
      </c>
      <c r="F48" s="161" t="s">
        <v>824</v>
      </c>
      <c r="G48" s="161"/>
    </row>
    <row r="49" spans="1:7" x14ac:dyDescent="0.25">
      <c r="A49" s="152" t="s">
        <v>820</v>
      </c>
      <c r="B49" s="136" t="s">
        <v>816</v>
      </c>
      <c r="C49" s="136"/>
      <c r="D49" s="136">
        <v>58</v>
      </c>
      <c r="E49" s="161">
        <f t="shared" si="0"/>
        <v>1421</v>
      </c>
      <c r="F49" s="136" t="s">
        <v>825</v>
      </c>
      <c r="G49" s="161"/>
    </row>
    <row r="50" spans="1:7" x14ac:dyDescent="0.25">
      <c r="A50" s="312" t="s">
        <v>820</v>
      </c>
      <c r="B50" s="216" t="s">
        <v>879</v>
      </c>
      <c r="C50" s="216"/>
      <c r="D50" s="216">
        <v>24</v>
      </c>
      <c r="E50" s="313">
        <f t="shared" si="0"/>
        <v>1397</v>
      </c>
      <c r="F50" s="216" t="s">
        <v>535</v>
      </c>
      <c r="G50" s="161"/>
    </row>
    <row r="51" spans="1:7" x14ac:dyDescent="0.25">
      <c r="A51" s="152" t="s">
        <v>848</v>
      </c>
      <c r="B51" s="136" t="s">
        <v>550</v>
      </c>
      <c r="C51" s="136">
        <v>23</v>
      </c>
      <c r="D51" s="161"/>
      <c r="E51" s="161">
        <f t="shared" si="0"/>
        <v>1420</v>
      </c>
      <c r="F51" s="161"/>
      <c r="G51" s="161"/>
    </row>
    <row r="52" spans="1:7" x14ac:dyDescent="0.25">
      <c r="A52" s="138" t="s">
        <v>847</v>
      </c>
      <c r="B52" s="136" t="s">
        <v>783</v>
      </c>
      <c r="C52" s="136"/>
      <c r="D52" s="136">
        <v>42</v>
      </c>
      <c r="E52" s="161">
        <f t="shared" si="0"/>
        <v>1378</v>
      </c>
      <c r="F52" s="136" t="s">
        <v>850</v>
      </c>
      <c r="G52" s="161"/>
    </row>
    <row r="53" spans="1:7" x14ac:dyDescent="0.25">
      <c r="A53" s="138" t="s">
        <v>847</v>
      </c>
      <c r="B53" s="136" t="s">
        <v>783</v>
      </c>
      <c r="C53" s="136"/>
      <c r="D53" s="136">
        <v>15</v>
      </c>
      <c r="E53" s="161">
        <f t="shared" si="0"/>
        <v>1363</v>
      </c>
      <c r="F53" s="136" t="s">
        <v>851</v>
      </c>
      <c r="G53" s="161"/>
    </row>
    <row r="54" spans="1:7" x14ac:dyDescent="0.25">
      <c r="A54" s="152" t="s">
        <v>856</v>
      </c>
      <c r="B54" s="136" t="s">
        <v>783</v>
      </c>
      <c r="C54" s="136"/>
      <c r="D54" s="136">
        <v>45</v>
      </c>
      <c r="E54" s="161">
        <f t="shared" si="0"/>
        <v>1318</v>
      </c>
      <c r="F54" s="213" t="s">
        <v>863</v>
      </c>
      <c r="G54" s="161"/>
    </row>
    <row r="55" spans="1:7" x14ac:dyDescent="0.25">
      <c r="A55" s="152" t="s">
        <v>856</v>
      </c>
      <c r="B55" s="136" t="s">
        <v>522</v>
      </c>
      <c r="C55" s="163">
        <v>3</v>
      </c>
      <c r="D55" s="161"/>
      <c r="E55" s="161">
        <f t="shared" si="0"/>
        <v>1321</v>
      </c>
      <c r="F55" s="161"/>
      <c r="G55" s="161"/>
    </row>
    <row r="56" spans="1:7" x14ac:dyDescent="0.25">
      <c r="A56" s="314" t="s">
        <v>880</v>
      </c>
      <c r="B56" s="216" t="s">
        <v>879</v>
      </c>
      <c r="C56" s="313"/>
      <c r="D56" s="313">
        <v>114</v>
      </c>
      <c r="E56" s="313">
        <f t="shared" si="0"/>
        <v>1207</v>
      </c>
      <c r="F56" s="313" t="s">
        <v>891</v>
      </c>
      <c r="G56" s="161"/>
    </row>
    <row r="57" spans="1:7" x14ac:dyDescent="0.25">
      <c r="A57" s="246" t="s">
        <v>914</v>
      </c>
      <c r="B57" s="161" t="s">
        <v>915</v>
      </c>
      <c r="C57" s="161"/>
      <c r="D57" s="161">
        <v>50</v>
      </c>
      <c r="E57" s="161">
        <f>E56+C57-D57</f>
        <v>1157</v>
      </c>
      <c r="F57" s="161" t="s">
        <v>918</v>
      </c>
      <c r="G57" s="161"/>
    </row>
    <row r="58" spans="1:7" x14ac:dyDescent="0.25">
      <c r="A58" s="152" t="s">
        <v>914</v>
      </c>
      <c r="B58" s="136" t="s">
        <v>275</v>
      </c>
      <c r="C58" s="136">
        <v>5</v>
      </c>
      <c r="D58" s="161"/>
      <c r="E58" s="161">
        <f>E57+C58-D58</f>
        <v>1162</v>
      </c>
      <c r="F58" s="161"/>
      <c r="G58" s="161"/>
    </row>
    <row r="59" spans="1:7" x14ac:dyDescent="0.25">
      <c r="A59" s="161"/>
      <c r="B59" s="161"/>
      <c r="C59" s="161"/>
      <c r="D59" s="161"/>
      <c r="E59" s="161"/>
      <c r="F59" s="161"/>
      <c r="G59" s="161"/>
    </row>
    <row r="60" spans="1:7" x14ac:dyDescent="0.25">
      <c r="A60" s="161"/>
      <c r="B60" s="161"/>
      <c r="C60" s="161"/>
      <c r="D60" s="161"/>
      <c r="E60" s="161"/>
      <c r="F60" s="161"/>
      <c r="G60" s="161"/>
    </row>
    <row r="61" spans="1:7" x14ac:dyDescent="0.25">
      <c r="A61" s="161"/>
      <c r="B61" s="161"/>
      <c r="C61" s="161"/>
      <c r="D61" s="161"/>
      <c r="E61" s="161"/>
      <c r="F61" s="161"/>
      <c r="G61" s="161"/>
    </row>
    <row r="62" spans="1:7" x14ac:dyDescent="0.25">
      <c r="A62" s="161"/>
      <c r="B62" s="161"/>
      <c r="C62" s="161"/>
      <c r="D62" s="161"/>
      <c r="E62" s="161"/>
      <c r="F62" s="161"/>
      <c r="G62" s="161"/>
    </row>
    <row r="63" spans="1:7" x14ac:dyDescent="0.25">
      <c r="A63" s="161"/>
      <c r="B63" s="161"/>
      <c r="C63" s="161"/>
      <c r="D63" s="161"/>
      <c r="E63" s="161"/>
      <c r="F63" s="161"/>
      <c r="G63" s="161"/>
    </row>
    <row r="64" spans="1:7" x14ac:dyDescent="0.25">
      <c r="A64" s="161"/>
      <c r="B64" s="161"/>
      <c r="C64" s="161"/>
      <c r="D64" s="161"/>
      <c r="E64" s="161"/>
      <c r="F64" s="161"/>
      <c r="G64" s="161"/>
    </row>
    <row r="65" spans="1:7" x14ac:dyDescent="0.25">
      <c r="A65" s="161"/>
      <c r="B65" s="161"/>
      <c r="C65" s="161"/>
      <c r="D65" s="161"/>
      <c r="E65" s="161"/>
      <c r="F65" s="161"/>
      <c r="G65" s="161"/>
    </row>
    <row r="66" spans="1:7" x14ac:dyDescent="0.25">
      <c r="A66" s="161"/>
      <c r="B66" s="161"/>
      <c r="C66" s="161"/>
      <c r="D66" s="161"/>
      <c r="E66" s="161"/>
      <c r="F66" s="161"/>
      <c r="G66" s="161"/>
    </row>
    <row r="67" spans="1:7" x14ac:dyDescent="0.25">
      <c r="A67" s="161"/>
      <c r="B67" s="161"/>
      <c r="C67" s="161"/>
      <c r="D67" s="161"/>
      <c r="E67" s="161"/>
      <c r="F67" s="161"/>
      <c r="G67" s="161"/>
    </row>
    <row r="68" spans="1:7" x14ac:dyDescent="0.25">
      <c r="A68" s="161"/>
      <c r="B68" s="161"/>
      <c r="C68" s="161"/>
      <c r="D68" s="161"/>
      <c r="E68" s="161"/>
      <c r="F68" s="161"/>
      <c r="G68" s="161"/>
    </row>
    <row r="69" spans="1:7" x14ac:dyDescent="0.25">
      <c r="A69" s="161"/>
      <c r="B69" s="161"/>
      <c r="C69" s="161"/>
      <c r="D69" s="161"/>
      <c r="E69" s="161"/>
      <c r="F69" s="161"/>
      <c r="G69" s="16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3"/>
  <sheetViews>
    <sheetView topLeftCell="A42" zoomScaleNormal="100" workbookViewId="0">
      <selection activeCell="E58" sqref="E58:E59"/>
    </sheetView>
  </sheetViews>
  <sheetFormatPr defaultRowHeight="15.75" x14ac:dyDescent="0.25"/>
  <cols>
    <col min="1" max="1" width="14.42578125" style="130" customWidth="1"/>
    <col min="2" max="2" width="34.28515625" style="130" customWidth="1"/>
    <col min="3" max="3" width="9.140625" style="130"/>
    <col min="4" max="4" width="9.85546875" style="130" customWidth="1"/>
    <col min="5" max="5" width="9.140625" style="130"/>
    <col min="6" max="6" width="22.85546875" style="130" customWidth="1"/>
    <col min="7" max="7" width="26.42578125" style="130" customWidth="1"/>
    <col min="8" max="8" width="9.140625" style="130"/>
  </cols>
  <sheetData>
    <row r="2" spans="1:7" x14ac:dyDescent="0.25">
      <c r="A2" s="126" t="s">
        <v>47</v>
      </c>
      <c r="B2" s="127"/>
      <c r="C2" s="150"/>
      <c r="D2" s="150"/>
      <c r="E2" s="150"/>
    </row>
    <row r="3" spans="1:7" x14ac:dyDescent="0.25">
      <c r="A3" s="157"/>
      <c r="B3" s="151"/>
      <c r="C3" s="150"/>
      <c r="D3" s="150"/>
      <c r="E3" s="150"/>
    </row>
    <row r="4" spans="1:7" x14ac:dyDescent="0.25">
      <c r="A4" s="158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60" t="s">
        <v>7</v>
      </c>
      <c r="G4" s="161" t="s">
        <v>8</v>
      </c>
    </row>
    <row r="5" spans="1:7" x14ac:dyDescent="0.25">
      <c r="A5" s="162"/>
      <c r="B5" s="162" t="s">
        <v>246</v>
      </c>
      <c r="C5" s="162"/>
      <c r="D5" s="162"/>
      <c r="E5" s="162"/>
      <c r="F5" s="162">
        <v>76</v>
      </c>
      <c r="G5" s="162"/>
    </row>
    <row r="6" spans="1:7" x14ac:dyDescent="0.25">
      <c r="A6" s="161"/>
      <c r="B6" s="161"/>
      <c r="C6" s="161"/>
      <c r="D6" s="161"/>
      <c r="E6" s="161">
        <v>76</v>
      </c>
      <c r="F6" s="161"/>
      <c r="G6" s="161"/>
    </row>
    <row r="7" spans="1:7" x14ac:dyDescent="0.25">
      <c r="A7" s="246" t="s">
        <v>256</v>
      </c>
      <c r="B7" s="161" t="s">
        <v>261</v>
      </c>
      <c r="C7" s="161"/>
      <c r="D7" s="161">
        <v>2</v>
      </c>
      <c r="E7" s="161">
        <f>E6+C7-D7</f>
        <v>74</v>
      </c>
      <c r="F7" s="161" t="s">
        <v>260</v>
      </c>
      <c r="G7" s="161"/>
    </row>
    <row r="8" spans="1:7" x14ac:dyDescent="0.25">
      <c r="A8" s="246" t="s">
        <v>267</v>
      </c>
      <c r="B8" s="161" t="s">
        <v>298</v>
      </c>
      <c r="C8" s="161">
        <v>53</v>
      </c>
      <c r="D8" s="161"/>
      <c r="E8" s="161">
        <f t="shared" ref="E8:E53" si="0">E7+C8-D8</f>
        <v>127</v>
      </c>
      <c r="F8" s="161"/>
      <c r="G8" s="161"/>
    </row>
    <row r="9" spans="1:7" x14ac:dyDescent="0.25">
      <c r="A9" s="246" t="s">
        <v>267</v>
      </c>
      <c r="B9" s="161" t="s">
        <v>273</v>
      </c>
      <c r="C9" s="161"/>
      <c r="D9" s="161">
        <v>4</v>
      </c>
      <c r="E9" s="161">
        <f t="shared" si="0"/>
        <v>123</v>
      </c>
      <c r="F9" s="161" t="s">
        <v>269</v>
      </c>
      <c r="G9" s="161"/>
    </row>
    <row r="10" spans="1:7" x14ac:dyDescent="0.25">
      <c r="A10" s="246" t="s">
        <v>267</v>
      </c>
      <c r="B10" s="161" t="s">
        <v>275</v>
      </c>
      <c r="C10" s="161"/>
      <c r="D10" s="161">
        <v>29</v>
      </c>
      <c r="E10" s="161">
        <f t="shared" si="0"/>
        <v>94</v>
      </c>
      <c r="F10" s="161" t="s">
        <v>276</v>
      </c>
      <c r="G10" s="161"/>
    </row>
    <row r="11" spans="1:7" x14ac:dyDescent="0.25">
      <c r="A11" s="246" t="s">
        <v>267</v>
      </c>
      <c r="B11" s="161" t="s">
        <v>277</v>
      </c>
      <c r="C11" s="161"/>
      <c r="D11" s="161">
        <v>20</v>
      </c>
      <c r="E11" s="161">
        <f t="shared" si="0"/>
        <v>74</v>
      </c>
      <c r="F11" s="161" t="s">
        <v>278</v>
      </c>
      <c r="G11" s="161"/>
    </row>
    <row r="12" spans="1:7" x14ac:dyDescent="0.25">
      <c r="A12" s="247" t="s">
        <v>285</v>
      </c>
      <c r="B12" s="213" t="s">
        <v>368</v>
      </c>
      <c r="C12" s="213">
        <v>42</v>
      </c>
      <c r="D12" s="161"/>
      <c r="E12" s="161">
        <f t="shared" si="0"/>
        <v>116</v>
      </c>
      <c r="F12" s="161"/>
      <c r="G12" s="161"/>
    </row>
    <row r="13" spans="1:7" x14ac:dyDescent="0.25">
      <c r="A13" s="246" t="s">
        <v>285</v>
      </c>
      <c r="B13" s="161" t="s">
        <v>273</v>
      </c>
      <c r="C13" s="161"/>
      <c r="D13" s="161">
        <v>13</v>
      </c>
      <c r="E13" s="161">
        <f t="shared" si="0"/>
        <v>103</v>
      </c>
      <c r="F13" s="161" t="s">
        <v>288</v>
      </c>
      <c r="G13" s="161"/>
    </row>
    <row r="14" spans="1:7" x14ac:dyDescent="0.25">
      <c r="A14" s="246" t="s">
        <v>295</v>
      </c>
      <c r="B14" s="161" t="s">
        <v>297</v>
      </c>
      <c r="C14" s="161"/>
      <c r="D14" s="161">
        <v>9</v>
      </c>
      <c r="E14" s="161">
        <f t="shared" si="0"/>
        <v>94</v>
      </c>
      <c r="F14" s="161" t="s">
        <v>296</v>
      </c>
      <c r="G14" s="161"/>
    </row>
    <row r="15" spans="1:7" x14ac:dyDescent="0.25">
      <c r="A15" s="248" t="s">
        <v>352</v>
      </c>
      <c r="B15" s="161" t="s">
        <v>350</v>
      </c>
      <c r="C15" s="161"/>
      <c r="D15" s="161">
        <v>10</v>
      </c>
      <c r="E15" s="161">
        <f t="shared" si="0"/>
        <v>84</v>
      </c>
      <c r="F15" s="161" t="s">
        <v>351</v>
      </c>
      <c r="G15" s="161"/>
    </row>
    <row r="16" spans="1:7" x14ac:dyDescent="0.25">
      <c r="A16" s="152" t="s">
        <v>366</v>
      </c>
      <c r="B16" s="136" t="s">
        <v>268</v>
      </c>
      <c r="C16" s="136"/>
      <c r="D16" s="136">
        <v>10</v>
      </c>
      <c r="E16" s="161">
        <f t="shared" si="0"/>
        <v>74</v>
      </c>
      <c r="F16" s="136" t="s">
        <v>367</v>
      </c>
      <c r="G16" s="161"/>
    </row>
    <row r="17" spans="1:7" x14ac:dyDescent="0.25">
      <c r="A17" s="152" t="s">
        <v>371</v>
      </c>
      <c r="B17" s="136" t="s">
        <v>323</v>
      </c>
      <c r="C17" s="136"/>
      <c r="D17" s="136">
        <v>8</v>
      </c>
      <c r="E17" s="161">
        <f t="shared" si="0"/>
        <v>66</v>
      </c>
      <c r="F17" s="136" t="s">
        <v>376</v>
      </c>
      <c r="G17" s="161"/>
    </row>
    <row r="18" spans="1:7" x14ac:dyDescent="0.25">
      <c r="A18" s="152" t="s">
        <v>394</v>
      </c>
      <c r="B18" s="136" t="s">
        <v>396</v>
      </c>
      <c r="C18" s="136">
        <v>20</v>
      </c>
      <c r="D18" s="161"/>
      <c r="E18" s="161">
        <f t="shared" si="0"/>
        <v>86</v>
      </c>
      <c r="F18" s="161"/>
      <c r="G18" s="161"/>
    </row>
    <row r="19" spans="1:7" x14ac:dyDescent="0.25">
      <c r="A19" s="258" t="s">
        <v>404</v>
      </c>
      <c r="B19" s="136" t="s">
        <v>283</v>
      </c>
      <c r="C19" s="136">
        <v>23</v>
      </c>
      <c r="D19" s="161"/>
      <c r="E19" s="161">
        <f t="shared" si="0"/>
        <v>109</v>
      </c>
      <c r="F19" s="161"/>
      <c r="G19" s="161"/>
    </row>
    <row r="20" spans="1:7" x14ac:dyDescent="0.25">
      <c r="A20" s="152" t="s">
        <v>423</v>
      </c>
      <c r="B20" s="136" t="s">
        <v>424</v>
      </c>
      <c r="C20" s="136"/>
      <c r="D20" s="136">
        <v>20</v>
      </c>
      <c r="E20" s="161">
        <f t="shared" si="0"/>
        <v>89</v>
      </c>
      <c r="F20" s="136" t="s">
        <v>425</v>
      </c>
      <c r="G20" s="161"/>
    </row>
    <row r="21" spans="1:7" x14ac:dyDescent="0.25">
      <c r="A21" s="270" t="s">
        <v>468</v>
      </c>
      <c r="B21" s="271" t="s">
        <v>478</v>
      </c>
      <c r="C21" s="271">
        <v>12</v>
      </c>
      <c r="D21" s="271"/>
      <c r="E21" s="161">
        <f t="shared" si="0"/>
        <v>101</v>
      </c>
      <c r="F21" s="136"/>
      <c r="G21" s="161"/>
    </row>
    <row r="22" spans="1:7" x14ac:dyDescent="0.25">
      <c r="A22" s="152" t="s">
        <v>468</v>
      </c>
      <c r="B22" s="136" t="s">
        <v>374</v>
      </c>
      <c r="C22" s="136"/>
      <c r="D22" s="163">
        <v>8</v>
      </c>
      <c r="E22" s="161">
        <f t="shared" si="0"/>
        <v>93</v>
      </c>
      <c r="F22" s="136" t="s">
        <v>469</v>
      </c>
      <c r="G22" s="161"/>
    </row>
    <row r="23" spans="1:7" x14ac:dyDescent="0.25">
      <c r="A23" s="152" t="s">
        <v>468</v>
      </c>
      <c r="B23" s="136" t="s">
        <v>283</v>
      </c>
      <c r="C23" s="136">
        <v>11</v>
      </c>
      <c r="D23" s="161"/>
      <c r="E23" s="161">
        <f t="shared" si="0"/>
        <v>104</v>
      </c>
      <c r="F23" s="161"/>
      <c r="G23" s="161"/>
    </row>
    <row r="24" spans="1:7" x14ac:dyDescent="0.25">
      <c r="A24" s="238" t="s">
        <v>475</v>
      </c>
      <c r="B24" s="136" t="s">
        <v>374</v>
      </c>
      <c r="C24" s="136"/>
      <c r="D24" s="163">
        <v>4</v>
      </c>
      <c r="E24" s="161">
        <f t="shared" si="0"/>
        <v>100</v>
      </c>
      <c r="F24" s="136" t="s">
        <v>474</v>
      </c>
      <c r="G24" s="161"/>
    </row>
    <row r="25" spans="1:7" x14ac:dyDescent="0.25">
      <c r="A25" s="152" t="s">
        <v>479</v>
      </c>
      <c r="B25" s="136" t="s">
        <v>277</v>
      </c>
      <c r="C25" s="136"/>
      <c r="D25" s="136">
        <v>10</v>
      </c>
      <c r="E25" s="161">
        <f t="shared" si="0"/>
        <v>90</v>
      </c>
      <c r="F25" s="136" t="s">
        <v>482</v>
      </c>
      <c r="G25" s="161"/>
    </row>
    <row r="26" spans="1:7" x14ac:dyDescent="0.25">
      <c r="A26" s="152" t="s">
        <v>479</v>
      </c>
      <c r="B26" s="161" t="s">
        <v>283</v>
      </c>
      <c r="C26" s="161">
        <v>7</v>
      </c>
      <c r="D26" s="161"/>
      <c r="E26" s="161">
        <f t="shared" si="0"/>
        <v>97</v>
      </c>
      <c r="F26" s="161"/>
      <c r="G26" s="161"/>
    </row>
    <row r="27" spans="1:7" x14ac:dyDescent="0.25">
      <c r="A27" s="138" t="s">
        <v>485</v>
      </c>
      <c r="B27" s="136" t="s">
        <v>283</v>
      </c>
      <c r="C27" s="136">
        <v>25</v>
      </c>
      <c r="D27" s="161"/>
      <c r="E27" s="161">
        <f t="shared" si="0"/>
        <v>122</v>
      </c>
      <c r="F27" s="161"/>
      <c r="G27" s="161"/>
    </row>
    <row r="28" spans="1:7" x14ac:dyDescent="0.25">
      <c r="A28" s="152" t="s">
        <v>509</v>
      </c>
      <c r="B28" s="136" t="s">
        <v>513</v>
      </c>
      <c r="C28" s="136"/>
      <c r="D28" s="136">
        <v>15</v>
      </c>
      <c r="E28" s="161">
        <f t="shared" si="0"/>
        <v>107</v>
      </c>
      <c r="F28" s="136" t="s">
        <v>514</v>
      </c>
      <c r="G28" s="161"/>
    </row>
    <row r="29" spans="1:7" x14ac:dyDescent="0.25">
      <c r="A29" s="246" t="s">
        <v>520</v>
      </c>
      <c r="B29" s="136" t="s">
        <v>283</v>
      </c>
      <c r="C29" s="161">
        <v>8</v>
      </c>
      <c r="D29" s="161"/>
      <c r="E29" s="161">
        <f t="shared" si="0"/>
        <v>115</v>
      </c>
      <c r="F29" s="161"/>
      <c r="G29" s="161"/>
    </row>
    <row r="30" spans="1:7" x14ac:dyDescent="0.25">
      <c r="A30" s="296" t="s">
        <v>517</v>
      </c>
      <c r="B30" s="176" t="s">
        <v>597</v>
      </c>
      <c r="C30" s="236">
        <v>104</v>
      </c>
      <c r="D30" s="236"/>
      <c r="E30" s="236">
        <f t="shared" si="0"/>
        <v>219</v>
      </c>
      <c r="F30" s="236"/>
      <c r="G30" s="250"/>
    </row>
    <row r="31" spans="1:7" x14ac:dyDescent="0.25">
      <c r="A31" s="152" t="s">
        <v>517</v>
      </c>
      <c r="B31" s="136" t="s">
        <v>522</v>
      </c>
      <c r="C31" s="136"/>
      <c r="D31" s="136">
        <v>15</v>
      </c>
      <c r="E31" s="161">
        <f t="shared" si="0"/>
        <v>204</v>
      </c>
      <c r="F31" s="136" t="s">
        <v>523</v>
      </c>
      <c r="G31" s="161"/>
    </row>
    <row r="32" spans="1:7" x14ac:dyDescent="0.25">
      <c r="A32" s="152" t="s">
        <v>533</v>
      </c>
      <c r="B32" s="136" t="s">
        <v>424</v>
      </c>
      <c r="C32" s="136"/>
      <c r="D32" s="136">
        <v>10</v>
      </c>
      <c r="E32" s="161">
        <f t="shared" si="0"/>
        <v>194</v>
      </c>
      <c r="F32" s="161" t="s">
        <v>534</v>
      </c>
      <c r="G32" s="161"/>
    </row>
    <row r="33" spans="1:7" x14ac:dyDescent="0.25">
      <c r="A33" s="248" t="s">
        <v>542</v>
      </c>
      <c r="B33" s="161" t="s">
        <v>283</v>
      </c>
      <c r="C33" s="161">
        <v>7</v>
      </c>
      <c r="D33" s="161"/>
      <c r="E33" s="161">
        <f t="shared" si="0"/>
        <v>201</v>
      </c>
      <c r="F33" s="161"/>
      <c r="G33" s="161"/>
    </row>
    <row r="34" spans="1:7" x14ac:dyDescent="0.25">
      <c r="A34" s="152" t="s">
        <v>545</v>
      </c>
      <c r="B34" s="136" t="s">
        <v>546</v>
      </c>
      <c r="C34" s="136"/>
      <c r="D34" s="136">
        <v>5</v>
      </c>
      <c r="E34" s="161">
        <f t="shared" si="0"/>
        <v>196</v>
      </c>
      <c r="F34" s="136" t="s">
        <v>547</v>
      </c>
      <c r="G34" s="161"/>
    </row>
    <row r="35" spans="1:7" x14ac:dyDescent="0.25">
      <c r="A35" s="138" t="s">
        <v>549</v>
      </c>
      <c r="B35" s="136" t="s">
        <v>552</v>
      </c>
      <c r="C35" s="136"/>
      <c r="D35" s="136">
        <v>5</v>
      </c>
      <c r="E35" s="161">
        <f t="shared" si="0"/>
        <v>191</v>
      </c>
      <c r="F35" s="161" t="s">
        <v>551</v>
      </c>
      <c r="G35" s="161"/>
    </row>
    <row r="36" spans="1:7" x14ac:dyDescent="0.25">
      <c r="A36" s="152" t="s">
        <v>554</v>
      </c>
      <c r="B36" s="136" t="s">
        <v>550</v>
      </c>
      <c r="C36" s="136"/>
      <c r="D36" s="136">
        <v>10</v>
      </c>
      <c r="E36" s="161">
        <f t="shared" si="0"/>
        <v>181</v>
      </c>
      <c r="F36" s="136" t="s">
        <v>556</v>
      </c>
      <c r="G36" s="161"/>
    </row>
    <row r="37" spans="1:7" x14ac:dyDescent="0.25">
      <c r="A37" s="152" t="s">
        <v>559</v>
      </c>
      <c r="B37" s="136" t="s">
        <v>283</v>
      </c>
      <c r="C37" s="136">
        <v>4</v>
      </c>
      <c r="D37" s="161"/>
      <c r="E37" s="161">
        <f t="shared" si="0"/>
        <v>185</v>
      </c>
      <c r="F37" s="161"/>
      <c r="G37" s="161"/>
    </row>
    <row r="38" spans="1:7" x14ac:dyDescent="0.25">
      <c r="A38" s="152" t="s">
        <v>595</v>
      </c>
      <c r="B38" s="136" t="s">
        <v>550</v>
      </c>
      <c r="C38" s="136"/>
      <c r="D38" s="136">
        <v>59</v>
      </c>
      <c r="E38" s="161">
        <f t="shared" si="0"/>
        <v>126</v>
      </c>
      <c r="F38" s="136" t="s">
        <v>596</v>
      </c>
      <c r="G38" s="161"/>
    </row>
    <row r="39" spans="1:7" x14ac:dyDescent="0.25">
      <c r="A39" s="242">
        <v>8112</v>
      </c>
      <c r="B39" s="161" t="s">
        <v>283</v>
      </c>
      <c r="C39" s="161">
        <v>5</v>
      </c>
      <c r="D39" s="161"/>
      <c r="E39" s="161">
        <f t="shared" si="0"/>
        <v>131</v>
      </c>
      <c r="F39" s="161"/>
      <c r="G39" s="161"/>
    </row>
    <row r="40" spans="1:7" x14ac:dyDescent="0.25">
      <c r="A40" s="152" t="s">
        <v>637</v>
      </c>
      <c r="B40" s="136" t="s">
        <v>638</v>
      </c>
      <c r="C40" s="136"/>
      <c r="D40" s="136">
        <v>10</v>
      </c>
      <c r="E40" s="161">
        <f t="shared" si="0"/>
        <v>121</v>
      </c>
      <c r="F40" s="136" t="s">
        <v>641</v>
      </c>
      <c r="G40" s="161"/>
    </row>
    <row r="41" spans="1:7" x14ac:dyDescent="0.25">
      <c r="A41" s="152" t="s">
        <v>647</v>
      </c>
      <c r="B41" s="136" t="s">
        <v>638</v>
      </c>
      <c r="C41" s="136"/>
      <c r="D41" s="136">
        <v>10</v>
      </c>
      <c r="E41" s="161">
        <f t="shared" si="0"/>
        <v>111</v>
      </c>
      <c r="F41" s="136" t="s">
        <v>648</v>
      </c>
      <c r="G41" s="161"/>
    </row>
    <row r="42" spans="1:7" x14ac:dyDescent="0.25">
      <c r="A42" s="238" t="s">
        <v>653</v>
      </c>
      <c r="B42" s="136" t="s">
        <v>638</v>
      </c>
      <c r="C42" s="136"/>
      <c r="D42" s="136">
        <v>55</v>
      </c>
      <c r="E42" s="161">
        <f t="shared" si="0"/>
        <v>56</v>
      </c>
      <c r="F42" s="152" t="s">
        <v>654</v>
      </c>
      <c r="G42" s="161"/>
    </row>
    <row r="43" spans="1:7" x14ac:dyDescent="0.25">
      <c r="A43" s="246" t="s">
        <v>668</v>
      </c>
      <c r="B43" s="161" t="s">
        <v>283</v>
      </c>
      <c r="C43" s="161">
        <v>8</v>
      </c>
      <c r="D43" s="161"/>
      <c r="E43" s="161">
        <f t="shared" si="0"/>
        <v>64</v>
      </c>
      <c r="F43" s="161"/>
      <c r="G43" s="161"/>
    </row>
    <row r="44" spans="1:7" x14ac:dyDescent="0.25">
      <c r="A44" s="152" t="s">
        <v>683</v>
      </c>
      <c r="B44" s="136" t="s">
        <v>685</v>
      </c>
      <c r="C44" s="136"/>
      <c r="D44" s="136">
        <v>10</v>
      </c>
      <c r="E44" s="161">
        <f t="shared" si="0"/>
        <v>54</v>
      </c>
      <c r="F44" s="136" t="s">
        <v>686</v>
      </c>
      <c r="G44" s="161"/>
    </row>
    <row r="45" spans="1:7" x14ac:dyDescent="0.25">
      <c r="A45" s="248" t="s">
        <v>695</v>
      </c>
      <c r="B45" s="161" t="s">
        <v>283</v>
      </c>
      <c r="C45" s="161">
        <v>14</v>
      </c>
      <c r="D45" s="161"/>
      <c r="E45" s="161">
        <f t="shared" si="0"/>
        <v>68</v>
      </c>
      <c r="F45" s="161"/>
      <c r="G45" s="161"/>
    </row>
    <row r="46" spans="1:7" x14ac:dyDescent="0.25">
      <c r="A46" s="246" t="s">
        <v>715</v>
      </c>
      <c r="B46" s="161" t="s">
        <v>275</v>
      </c>
      <c r="C46" s="161"/>
      <c r="D46" s="161">
        <v>5</v>
      </c>
      <c r="E46" s="161">
        <f t="shared" si="0"/>
        <v>63</v>
      </c>
      <c r="F46" s="161" t="s">
        <v>717</v>
      </c>
      <c r="G46" s="161"/>
    </row>
    <row r="47" spans="1:7" x14ac:dyDescent="0.25">
      <c r="A47" s="152" t="s">
        <v>724</v>
      </c>
      <c r="B47" s="136" t="s">
        <v>275</v>
      </c>
      <c r="C47" s="136"/>
      <c r="D47" s="136">
        <v>5</v>
      </c>
      <c r="E47" s="161">
        <f t="shared" si="0"/>
        <v>58</v>
      </c>
      <c r="F47" s="136" t="s">
        <v>725</v>
      </c>
      <c r="G47" s="161"/>
    </row>
    <row r="48" spans="1:7" x14ac:dyDescent="0.25">
      <c r="A48" s="238" t="s">
        <v>743</v>
      </c>
      <c r="B48" s="136" t="s">
        <v>745</v>
      </c>
      <c r="C48" s="136"/>
      <c r="D48" s="136">
        <v>6</v>
      </c>
      <c r="E48" s="161">
        <f t="shared" si="0"/>
        <v>52</v>
      </c>
      <c r="F48" s="136" t="s">
        <v>746</v>
      </c>
      <c r="G48" s="161"/>
    </row>
    <row r="49" spans="1:7" x14ac:dyDescent="0.25">
      <c r="A49" s="138" t="s">
        <v>747</v>
      </c>
      <c r="B49" s="136" t="s">
        <v>283</v>
      </c>
      <c r="C49" s="136">
        <v>4</v>
      </c>
      <c r="D49" s="161"/>
      <c r="E49" s="161">
        <f t="shared" si="0"/>
        <v>56</v>
      </c>
      <c r="F49" s="161"/>
      <c r="G49" s="161"/>
    </row>
    <row r="50" spans="1:7" x14ac:dyDescent="0.25">
      <c r="A50" s="138" t="s">
        <v>773</v>
      </c>
      <c r="B50" s="136" t="s">
        <v>283</v>
      </c>
      <c r="C50" s="136">
        <v>7</v>
      </c>
      <c r="D50" s="161"/>
      <c r="E50" s="161">
        <f t="shared" si="0"/>
        <v>63</v>
      </c>
      <c r="F50" s="161"/>
      <c r="G50" s="161"/>
    </row>
    <row r="51" spans="1:7" x14ac:dyDescent="0.25">
      <c r="A51" s="312" t="s">
        <v>820</v>
      </c>
      <c r="B51" s="216" t="s">
        <v>879</v>
      </c>
      <c r="C51" s="216">
        <v>24</v>
      </c>
      <c r="D51" s="216"/>
      <c r="E51" s="313">
        <f t="shared" si="0"/>
        <v>87</v>
      </c>
      <c r="F51" s="216" t="s">
        <v>535</v>
      </c>
      <c r="G51" s="161"/>
    </row>
    <row r="52" spans="1:7" x14ac:dyDescent="0.25">
      <c r="A52" s="246" t="s">
        <v>820</v>
      </c>
      <c r="B52" s="130" t="s">
        <v>535</v>
      </c>
      <c r="C52" s="161"/>
      <c r="D52" s="161">
        <v>24</v>
      </c>
      <c r="E52" s="161">
        <f>E51+C52-D52</f>
        <v>63</v>
      </c>
      <c r="F52" s="246" t="s">
        <v>823</v>
      </c>
      <c r="G52" s="161"/>
    </row>
    <row r="53" spans="1:7" x14ac:dyDescent="0.25">
      <c r="A53" s="152" t="s">
        <v>839</v>
      </c>
      <c r="B53" s="136" t="s">
        <v>844</v>
      </c>
      <c r="C53" s="136">
        <v>9</v>
      </c>
      <c r="D53" s="161"/>
      <c r="E53" s="161">
        <f>E52+C53-D53</f>
        <v>72</v>
      </c>
      <c r="F53" s="161"/>
      <c r="G53" s="161"/>
    </row>
    <row r="54" spans="1:7" x14ac:dyDescent="0.25">
      <c r="A54" s="314" t="s">
        <v>880</v>
      </c>
      <c r="B54" s="216" t="s">
        <v>879</v>
      </c>
      <c r="C54" s="313">
        <v>114</v>
      </c>
      <c r="D54" s="313"/>
      <c r="E54" s="313">
        <f t="shared" ref="E54:E59" si="1">E53+C54-D54</f>
        <v>186</v>
      </c>
      <c r="F54" s="313" t="s">
        <v>881</v>
      </c>
      <c r="G54" s="161"/>
    </row>
    <row r="55" spans="1:7" x14ac:dyDescent="0.25">
      <c r="A55" s="246" t="s">
        <v>880</v>
      </c>
      <c r="B55" s="161" t="s">
        <v>881</v>
      </c>
      <c r="C55" s="161"/>
      <c r="D55" s="161">
        <v>32</v>
      </c>
      <c r="E55" s="161">
        <f t="shared" si="1"/>
        <v>154</v>
      </c>
      <c r="F55" s="161" t="s">
        <v>890</v>
      </c>
      <c r="G55" s="161"/>
    </row>
    <row r="56" spans="1:7" x14ac:dyDescent="0.25">
      <c r="A56" s="246" t="s">
        <v>883</v>
      </c>
      <c r="B56" s="161" t="s">
        <v>261</v>
      </c>
      <c r="C56" s="161"/>
      <c r="D56" s="161">
        <v>8</v>
      </c>
      <c r="E56" s="161">
        <f t="shared" si="1"/>
        <v>146</v>
      </c>
      <c r="F56" s="161" t="s">
        <v>889</v>
      </c>
      <c r="G56" s="161"/>
    </row>
    <row r="57" spans="1:7" x14ac:dyDescent="0.25">
      <c r="A57" s="246" t="s">
        <v>883</v>
      </c>
      <c r="B57" s="161" t="s">
        <v>833</v>
      </c>
      <c r="C57" s="161"/>
      <c r="D57" s="161">
        <v>24</v>
      </c>
      <c r="E57" s="161">
        <f t="shared" si="1"/>
        <v>122</v>
      </c>
      <c r="F57" s="161" t="s">
        <v>892</v>
      </c>
      <c r="G57" s="161"/>
    </row>
    <row r="58" spans="1:7" x14ac:dyDescent="0.25">
      <c r="A58" s="138" t="s">
        <v>897</v>
      </c>
      <c r="B58" s="136" t="s">
        <v>899</v>
      </c>
      <c r="C58" s="136"/>
      <c r="D58" s="136">
        <v>44</v>
      </c>
      <c r="E58" s="161">
        <f t="shared" si="1"/>
        <v>78</v>
      </c>
      <c r="F58" s="136" t="s">
        <v>900</v>
      </c>
      <c r="G58" s="161"/>
    </row>
    <row r="59" spans="1:7" x14ac:dyDescent="0.25">
      <c r="A59" s="246" t="s">
        <v>902</v>
      </c>
      <c r="B59" s="136" t="s">
        <v>899</v>
      </c>
      <c r="C59" s="161"/>
      <c r="D59" s="161">
        <v>6</v>
      </c>
      <c r="E59" s="161">
        <f t="shared" si="1"/>
        <v>72</v>
      </c>
      <c r="F59" s="161" t="s">
        <v>905</v>
      </c>
      <c r="G59" s="161"/>
    </row>
    <row r="60" spans="1:7" x14ac:dyDescent="0.25">
      <c r="A60" s="161"/>
      <c r="B60" s="161"/>
      <c r="C60" s="161"/>
      <c r="D60" s="161"/>
      <c r="E60" s="161"/>
      <c r="F60" s="161"/>
      <c r="G60" s="161"/>
    </row>
    <row r="61" spans="1:7" x14ac:dyDescent="0.25">
      <c r="A61" s="161"/>
      <c r="B61" s="161"/>
      <c r="C61" s="161"/>
      <c r="D61" s="161"/>
      <c r="E61" s="161"/>
      <c r="F61" s="161"/>
      <c r="G61" s="161"/>
    </row>
    <row r="62" spans="1:7" x14ac:dyDescent="0.25">
      <c r="A62" s="161"/>
      <c r="B62" s="161"/>
      <c r="C62" s="161"/>
      <c r="D62" s="161"/>
      <c r="E62" s="161"/>
      <c r="F62" s="161"/>
      <c r="G62" s="161"/>
    </row>
    <row r="63" spans="1:7" x14ac:dyDescent="0.25">
      <c r="A63" s="161"/>
      <c r="B63" s="161"/>
      <c r="C63" s="161"/>
      <c r="D63" s="161"/>
      <c r="E63" s="161"/>
      <c r="F63" s="161"/>
      <c r="G63" s="16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9"/>
  <sheetViews>
    <sheetView topLeftCell="A197" zoomScaleNormal="100" zoomScaleSheetLayoutView="93" workbookViewId="0">
      <selection activeCell="E212" sqref="E212:E214"/>
    </sheetView>
  </sheetViews>
  <sheetFormatPr defaultRowHeight="15" x14ac:dyDescent="0.25"/>
  <cols>
    <col min="1" max="1" width="13" style="129" customWidth="1"/>
    <col min="2" max="2" width="35.85546875" style="129" customWidth="1"/>
    <col min="3" max="3" width="9.140625" style="129"/>
    <col min="4" max="4" width="10" style="129" customWidth="1"/>
    <col min="5" max="5" width="9.140625" style="129"/>
    <col min="6" max="6" width="15" style="129" customWidth="1"/>
    <col min="7" max="7" width="22.85546875" style="129" customWidth="1"/>
  </cols>
  <sheetData>
    <row r="2" spans="1:7" ht="15.75" x14ac:dyDescent="0.25">
      <c r="A2" s="126" t="s">
        <v>18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7"/>
      <c r="B5" s="137" t="s">
        <v>246</v>
      </c>
      <c r="C5" s="137"/>
      <c r="D5" s="137"/>
      <c r="E5" s="137"/>
      <c r="F5" s="145">
        <v>5778</v>
      </c>
      <c r="G5" s="137"/>
    </row>
    <row r="6" spans="1:7" x14ac:dyDescent="0.25">
      <c r="A6" s="136"/>
      <c r="B6" s="136"/>
      <c r="C6" s="136"/>
      <c r="D6" s="136"/>
      <c r="E6" s="136">
        <v>5778</v>
      </c>
      <c r="F6" s="136"/>
      <c r="G6" s="36"/>
    </row>
    <row r="7" spans="1:7" x14ac:dyDescent="0.25">
      <c r="A7" s="138" t="s">
        <v>252</v>
      </c>
      <c r="B7" s="136" t="s">
        <v>250</v>
      </c>
      <c r="C7" s="136">
        <v>10</v>
      </c>
      <c r="D7" s="136"/>
      <c r="E7" s="136">
        <f>E6+C7-D7</f>
        <v>5788</v>
      </c>
      <c r="F7" s="136"/>
      <c r="G7" s="136"/>
    </row>
    <row r="8" spans="1:7" x14ac:dyDescent="0.25">
      <c r="A8" s="138" t="s">
        <v>252</v>
      </c>
      <c r="B8" s="136" t="s">
        <v>253</v>
      </c>
      <c r="C8" s="136">
        <v>14</v>
      </c>
      <c r="D8" s="136"/>
      <c r="E8" s="136">
        <f t="shared" ref="E8:E71" si="0">E7+C8-D8</f>
        <v>5802</v>
      </c>
      <c r="F8" s="136"/>
      <c r="G8" s="136"/>
    </row>
    <row r="9" spans="1:7" x14ac:dyDescent="0.25">
      <c r="A9" s="152" t="s">
        <v>256</v>
      </c>
      <c r="B9" s="136" t="s">
        <v>257</v>
      </c>
      <c r="C9" s="136"/>
      <c r="D9" s="136">
        <v>100</v>
      </c>
      <c r="E9" s="136">
        <f t="shared" si="0"/>
        <v>5702</v>
      </c>
      <c r="F9" s="136" t="s">
        <v>258</v>
      </c>
      <c r="G9" s="136"/>
    </row>
    <row r="10" spans="1:7" x14ac:dyDescent="0.25">
      <c r="A10" s="152" t="s">
        <v>256</v>
      </c>
      <c r="B10" s="136" t="s">
        <v>257</v>
      </c>
      <c r="C10" s="136"/>
      <c r="D10" s="136">
        <v>31</v>
      </c>
      <c r="E10" s="136">
        <f t="shared" si="0"/>
        <v>5671</v>
      </c>
      <c r="F10" s="136" t="s">
        <v>259</v>
      </c>
      <c r="G10" s="136"/>
    </row>
    <row r="11" spans="1:7" x14ac:dyDescent="0.25">
      <c r="A11" s="152" t="s">
        <v>256</v>
      </c>
      <c r="B11" s="136" t="s">
        <v>261</v>
      </c>
      <c r="C11" s="136"/>
      <c r="D11" s="136">
        <v>10</v>
      </c>
      <c r="E11" s="136">
        <f t="shared" si="0"/>
        <v>5661</v>
      </c>
      <c r="F11" s="136" t="s">
        <v>260</v>
      </c>
      <c r="G11" s="136"/>
    </row>
    <row r="12" spans="1:7" x14ac:dyDescent="0.25">
      <c r="A12" s="152" t="s">
        <v>256</v>
      </c>
      <c r="B12" s="136" t="s">
        <v>264</v>
      </c>
      <c r="C12" s="136">
        <v>31</v>
      </c>
      <c r="D12" s="136"/>
      <c r="E12" s="136">
        <f t="shared" si="0"/>
        <v>5692</v>
      </c>
      <c r="F12" s="136"/>
      <c r="G12" s="136"/>
    </row>
    <row r="13" spans="1:7" x14ac:dyDescent="0.25">
      <c r="A13" s="152" t="s">
        <v>256</v>
      </c>
      <c r="B13" s="136" t="s">
        <v>265</v>
      </c>
      <c r="C13" s="136">
        <v>28</v>
      </c>
      <c r="D13" s="136"/>
      <c r="E13" s="136">
        <f t="shared" si="0"/>
        <v>5720</v>
      </c>
      <c r="F13" s="136"/>
      <c r="G13" s="136"/>
    </row>
    <row r="14" spans="1:7" x14ac:dyDescent="0.25">
      <c r="A14" s="122" t="s">
        <v>272</v>
      </c>
      <c r="B14" s="36" t="s">
        <v>273</v>
      </c>
      <c r="C14" s="36"/>
      <c r="D14" s="36">
        <v>30</v>
      </c>
      <c r="E14" s="136">
        <f t="shared" si="0"/>
        <v>5690</v>
      </c>
      <c r="F14" s="36" t="s">
        <v>274</v>
      </c>
      <c r="G14" s="136"/>
    </row>
    <row r="15" spans="1:7" x14ac:dyDescent="0.25">
      <c r="A15" s="152" t="s">
        <v>267</v>
      </c>
      <c r="B15" s="136" t="s">
        <v>275</v>
      </c>
      <c r="C15" s="136"/>
      <c r="D15" s="136">
        <v>30</v>
      </c>
      <c r="E15" s="136">
        <f t="shared" si="0"/>
        <v>5660</v>
      </c>
      <c r="F15" s="136" t="s">
        <v>276</v>
      </c>
      <c r="G15" s="136"/>
    </row>
    <row r="16" spans="1:7" x14ac:dyDescent="0.25">
      <c r="A16" s="152" t="s">
        <v>267</v>
      </c>
      <c r="B16" s="136" t="s">
        <v>277</v>
      </c>
      <c r="C16" s="136"/>
      <c r="D16" s="136">
        <v>30</v>
      </c>
      <c r="E16" s="136">
        <f t="shared" si="0"/>
        <v>5630</v>
      </c>
      <c r="F16" s="136" t="s">
        <v>278</v>
      </c>
      <c r="G16" s="136"/>
    </row>
    <row r="17" spans="1:7" x14ac:dyDescent="0.25">
      <c r="A17" s="152" t="s">
        <v>267</v>
      </c>
      <c r="B17" s="136" t="s">
        <v>283</v>
      </c>
      <c r="C17" s="136"/>
      <c r="D17" s="136">
        <v>200</v>
      </c>
      <c r="E17" s="136">
        <f t="shared" si="0"/>
        <v>5430</v>
      </c>
      <c r="F17" s="136" t="s">
        <v>284</v>
      </c>
      <c r="G17" s="136"/>
    </row>
    <row r="18" spans="1:7" x14ac:dyDescent="0.25">
      <c r="A18" s="152" t="s">
        <v>285</v>
      </c>
      <c r="B18" s="136" t="s">
        <v>273</v>
      </c>
      <c r="C18" s="136"/>
      <c r="D18" s="136">
        <v>35</v>
      </c>
      <c r="E18" s="136">
        <f t="shared" si="0"/>
        <v>5395</v>
      </c>
      <c r="F18" s="136" t="s">
        <v>288</v>
      </c>
      <c r="G18" s="136"/>
    </row>
    <row r="19" spans="1:7" x14ac:dyDescent="0.25">
      <c r="A19" s="152" t="s">
        <v>285</v>
      </c>
      <c r="B19" s="136" t="s">
        <v>257</v>
      </c>
      <c r="C19" s="136"/>
      <c r="D19" s="136">
        <v>140</v>
      </c>
      <c r="E19" s="136">
        <f t="shared" si="0"/>
        <v>5255</v>
      </c>
      <c r="F19" s="136" t="s">
        <v>292</v>
      </c>
      <c r="G19" s="136"/>
    </row>
    <row r="20" spans="1:7" x14ac:dyDescent="0.25">
      <c r="A20" s="138" t="s">
        <v>285</v>
      </c>
      <c r="B20" s="36" t="s">
        <v>294</v>
      </c>
      <c r="C20" s="36">
        <v>28</v>
      </c>
      <c r="D20" s="136"/>
      <c r="E20" s="136">
        <f t="shared" si="0"/>
        <v>5283</v>
      </c>
      <c r="F20" s="136"/>
      <c r="G20" s="136"/>
    </row>
    <row r="21" spans="1:7" x14ac:dyDescent="0.25">
      <c r="A21" s="263" t="s">
        <v>285</v>
      </c>
      <c r="B21" s="163" t="s">
        <v>182</v>
      </c>
      <c r="C21" s="163">
        <v>5</v>
      </c>
      <c r="D21" s="136"/>
      <c r="E21" s="136">
        <f t="shared" si="0"/>
        <v>5288</v>
      </c>
      <c r="F21" s="136"/>
      <c r="G21" s="136"/>
    </row>
    <row r="22" spans="1:7" x14ac:dyDescent="0.25">
      <c r="A22" s="152" t="s">
        <v>295</v>
      </c>
      <c r="B22" s="136" t="s">
        <v>297</v>
      </c>
      <c r="C22" s="136"/>
      <c r="D22" s="136">
        <v>64</v>
      </c>
      <c r="E22" s="136">
        <f t="shared" si="0"/>
        <v>5224</v>
      </c>
      <c r="F22" s="136" t="s">
        <v>296</v>
      </c>
      <c r="G22" s="136"/>
    </row>
    <row r="23" spans="1:7" x14ac:dyDescent="0.25">
      <c r="A23" s="152" t="s">
        <v>295</v>
      </c>
      <c r="B23" s="136" t="s">
        <v>283</v>
      </c>
      <c r="C23" s="136"/>
      <c r="D23" s="136">
        <v>100</v>
      </c>
      <c r="E23" s="136">
        <f t="shared" si="0"/>
        <v>5124</v>
      </c>
      <c r="F23" s="136" t="s">
        <v>304</v>
      </c>
      <c r="G23" s="136"/>
    </row>
    <row r="24" spans="1:7" x14ac:dyDescent="0.25">
      <c r="A24" s="138" t="s">
        <v>301</v>
      </c>
      <c r="B24" s="136" t="s">
        <v>305</v>
      </c>
      <c r="C24" s="136">
        <v>3</v>
      </c>
      <c r="D24" s="136"/>
      <c r="E24" s="136">
        <f t="shared" si="0"/>
        <v>5127</v>
      </c>
      <c r="F24" s="136"/>
      <c r="G24" s="136"/>
    </row>
    <row r="25" spans="1:7" x14ac:dyDescent="0.25">
      <c r="A25" s="152" t="s">
        <v>307</v>
      </c>
      <c r="B25" s="136" t="s">
        <v>257</v>
      </c>
      <c r="C25" s="136"/>
      <c r="D25" s="136">
        <v>225</v>
      </c>
      <c r="E25" s="136">
        <f t="shared" si="0"/>
        <v>4902</v>
      </c>
      <c r="F25" s="136" t="s">
        <v>308</v>
      </c>
      <c r="G25" s="136"/>
    </row>
    <row r="26" spans="1:7" x14ac:dyDescent="0.25">
      <c r="A26" s="152" t="s">
        <v>307</v>
      </c>
      <c r="B26" s="136" t="s">
        <v>264</v>
      </c>
      <c r="C26" s="136">
        <v>38</v>
      </c>
      <c r="D26" s="136"/>
      <c r="E26" s="136">
        <f t="shared" si="0"/>
        <v>4940</v>
      </c>
      <c r="F26" s="136"/>
      <c r="G26" s="136"/>
    </row>
    <row r="27" spans="1:7" x14ac:dyDescent="0.25">
      <c r="A27" s="138" t="s">
        <v>307</v>
      </c>
      <c r="B27" s="136" t="s">
        <v>250</v>
      </c>
      <c r="C27" s="136">
        <v>28</v>
      </c>
      <c r="D27" s="136"/>
      <c r="E27" s="136">
        <f t="shared" si="0"/>
        <v>4968</v>
      </c>
      <c r="F27" s="136"/>
      <c r="G27" s="136"/>
    </row>
    <row r="28" spans="1:7" x14ac:dyDescent="0.25">
      <c r="A28" s="181" t="s">
        <v>307</v>
      </c>
      <c r="B28" s="163" t="s">
        <v>257</v>
      </c>
      <c r="C28" s="163"/>
      <c r="D28" s="163">
        <v>38</v>
      </c>
      <c r="E28" s="136">
        <f t="shared" si="0"/>
        <v>4930</v>
      </c>
      <c r="F28" s="163" t="s">
        <v>335</v>
      </c>
      <c r="G28" s="136"/>
    </row>
    <row r="29" spans="1:7" x14ac:dyDescent="0.25">
      <c r="A29" s="121" t="s">
        <v>315</v>
      </c>
      <c r="B29" s="36" t="s">
        <v>316</v>
      </c>
      <c r="C29" s="36"/>
      <c r="D29" s="36">
        <v>10</v>
      </c>
      <c r="E29" s="136">
        <f t="shared" si="0"/>
        <v>4920</v>
      </c>
      <c r="F29" s="36" t="s">
        <v>317</v>
      </c>
      <c r="G29" s="136"/>
    </row>
    <row r="30" spans="1:7" x14ac:dyDescent="0.25">
      <c r="A30" s="138" t="s">
        <v>319</v>
      </c>
      <c r="B30" s="136" t="s">
        <v>320</v>
      </c>
      <c r="C30" s="163">
        <v>2</v>
      </c>
      <c r="D30" s="136"/>
      <c r="E30" s="136">
        <f t="shared" si="0"/>
        <v>4922</v>
      </c>
      <c r="F30" s="136"/>
      <c r="G30" s="136"/>
    </row>
    <row r="31" spans="1:7" x14ac:dyDescent="0.25">
      <c r="A31" s="238" t="s">
        <v>322</v>
      </c>
      <c r="B31" s="136" t="s">
        <v>323</v>
      </c>
      <c r="C31" s="136"/>
      <c r="D31" s="136">
        <v>90</v>
      </c>
      <c r="E31" s="136">
        <f t="shared" si="0"/>
        <v>4832</v>
      </c>
      <c r="F31" s="136" t="s">
        <v>325</v>
      </c>
      <c r="G31" s="136"/>
    </row>
    <row r="32" spans="1:7" x14ac:dyDescent="0.25">
      <c r="A32" s="238" t="s">
        <v>322</v>
      </c>
      <c r="B32" s="136" t="s">
        <v>326</v>
      </c>
      <c r="C32" s="136"/>
      <c r="D32" s="136">
        <v>100</v>
      </c>
      <c r="E32" s="136">
        <f t="shared" si="0"/>
        <v>4732</v>
      </c>
      <c r="F32" s="136" t="s">
        <v>327</v>
      </c>
      <c r="G32" s="136"/>
    </row>
    <row r="33" spans="1:7" x14ac:dyDescent="0.25">
      <c r="A33" s="238" t="s">
        <v>322</v>
      </c>
      <c r="B33" s="136" t="s">
        <v>328</v>
      </c>
      <c r="C33" s="136"/>
      <c r="D33" s="136">
        <v>65</v>
      </c>
      <c r="E33" s="136">
        <f t="shared" si="0"/>
        <v>4667</v>
      </c>
      <c r="F33" s="136" t="s">
        <v>329</v>
      </c>
      <c r="G33" s="136"/>
    </row>
    <row r="34" spans="1:7" x14ac:dyDescent="0.25">
      <c r="A34" s="238" t="s">
        <v>322</v>
      </c>
      <c r="B34" s="136" t="s">
        <v>330</v>
      </c>
      <c r="C34" s="136"/>
      <c r="D34" s="136">
        <v>15</v>
      </c>
      <c r="E34" s="136">
        <f t="shared" si="0"/>
        <v>4652</v>
      </c>
      <c r="F34" s="136" t="s">
        <v>331</v>
      </c>
      <c r="G34" s="136"/>
    </row>
    <row r="35" spans="1:7" x14ac:dyDescent="0.25">
      <c r="A35" s="238" t="s">
        <v>322</v>
      </c>
      <c r="B35" s="136" t="s">
        <v>332</v>
      </c>
      <c r="C35" s="136"/>
      <c r="D35" s="136">
        <v>1</v>
      </c>
      <c r="E35" s="136">
        <f t="shared" si="0"/>
        <v>4651</v>
      </c>
      <c r="F35" s="136" t="s">
        <v>106</v>
      </c>
      <c r="G35" s="136"/>
    </row>
    <row r="36" spans="1:7" x14ac:dyDescent="0.25">
      <c r="A36" s="238" t="s">
        <v>343</v>
      </c>
      <c r="B36" s="136" t="s">
        <v>341</v>
      </c>
      <c r="C36" s="136"/>
      <c r="D36" s="136">
        <v>82</v>
      </c>
      <c r="E36" s="136">
        <f t="shared" si="0"/>
        <v>4569</v>
      </c>
      <c r="F36" s="136" t="s">
        <v>342</v>
      </c>
      <c r="G36" s="136"/>
    </row>
    <row r="37" spans="1:7" x14ac:dyDescent="0.25">
      <c r="A37" s="238" t="s">
        <v>343</v>
      </c>
      <c r="B37" s="136" t="s">
        <v>350</v>
      </c>
      <c r="C37" s="136"/>
      <c r="D37" s="136">
        <v>9</v>
      </c>
      <c r="E37" s="136">
        <f t="shared" si="0"/>
        <v>4560</v>
      </c>
      <c r="F37" s="136" t="s">
        <v>351</v>
      </c>
      <c r="G37" s="136"/>
    </row>
    <row r="38" spans="1:7" x14ac:dyDescent="0.25">
      <c r="A38" s="238" t="s">
        <v>353</v>
      </c>
      <c r="B38" s="136" t="s">
        <v>250</v>
      </c>
      <c r="C38" s="136">
        <v>5</v>
      </c>
      <c r="D38" s="136"/>
      <c r="E38" s="136">
        <f t="shared" si="0"/>
        <v>4565</v>
      </c>
      <c r="F38" s="136"/>
      <c r="G38" s="136"/>
    </row>
    <row r="39" spans="1:7" x14ac:dyDescent="0.25">
      <c r="A39" s="152" t="s">
        <v>366</v>
      </c>
      <c r="B39" s="136" t="s">
        <v>268</v>
      </c>
      <c r="C39" s="136"/>
      <c r="D39" s="136">
        <v>60</v>
      </c>
      <c r="E39" s="136">
        <f t="shared" si="0"/>
        <v>4505</v>
      </c>
      <c r="F39" s="136" t="s">
        <v>367</v>
      </c>
      <c r="G39" s="136"/>
    </row>
    <row r="40" spans="1:7" x14ac:dyDescent="0.25">
      <c r="A40" s="152" t="s">
        <v>366</v>
      </c>
      <c r="B40" s="136" t="s">
        <v>370</v>
      </c>
      <c r="C40" s="136">
        <v>2</v>
      </c>
      <c r="D40" s="136"/>
      <c r="E40" s="136">
        <f t="shared" si="0"/>
        <v>4507</v>
      </c>
      <c r="F40" s="136"/>
      <c r="G40" s="136"/>
    </row>
    <row r="41" spans="1:7" x14ac:dyDescent="0.25">
      <c r="A41" s="152" t="s">
        <v>371</v>
      </c>
      <c r="B41" s="136" t="s">
        <v>374</v>
      </c>
      <c r="C41" s="136"/>
      <c r="D41" s="136">
        <v>40</v>
      </c>
      <c r="E41" s="136">
        <f t="shared" si="0"/>
        <v>4467</v>
      </c>
      <c r="F41" s="136" t="s">
        <v>375</v>
      </c>
      <c r="G41" s="136"/>
    </row>
    <row r="42" spans="1:7" x14ac:dyDescent="0.25">
      <c r="A42" s="152" t="s">
        <v>371</v>
      </c>
      <c r="B42" s="136" t="s">
        <v>323</v>
      </c>
      <c r="C42" s="136"/>
      <c r="D42" s="136">
        <v>80</v>
      </c>
      <c r="E42" s="136">
        <f t="shared" si="0"/>
        <v>4387</v>
      </c>
      <c r="F42" s="136" t="s">
        <v>376</v>
      </c>
      <c r="G42" s="136"/>
    </row>
    <row r="43" spans="1:7" x14ac:dyDescent="0.25">
      <c r="A43" s="152" t="s">
        <v>371</v>
      </c>
      <c r="B43" s="136" t="s">
        <v>379</v>
      </c>
      <c r="C43" s="136"/>
      <c r="D43" s="136">
        <v>1</v>
      </c>
      <c r="E43" s="136">
        <f t="shared" si="0"/>
        <v>4386</v>
      </c>
      <c r="F43" s="136" t="s">
        <v>380</v>
      </c>
      <c r="G43" s="136"/>
    </row>
    <row r="44" spans="1:7" x14ac:dyDescent="0.25">
      <c r="A44" s="152" t="s">
        <v>371</v>
      </c>
      <c r="B44" s="136" t="s">
        <v>381</v>
      </c>
      <c r="C44" s="136">
        <v>140</v>
      </c>
      <c r="D44" s="136"/>
      <c r="E44" s="136">
        <f t="shared" si="0"/>
        <v>4526</v>
      </c>
      <c r="F44" s="136"/>
      <c r="G44" s="136"/>
    </row>
    <row r="45" spans="1:7" x14ac:dyDescent="0.25">
      <c r="A45" s="152" t="s">
        <v>371</v>
      </c>
      <c r="B45" s="136" t="s">
        <v>382</v>
      </c>
      <c r="C45" s="136">
        <v>3</v>
      </c>
      <c r="D45" s="136"/>
      <c r="E45" s="136">
        <f t="shared" si="0"/>
        <v>4529</v>
      </c>
      <c r="F45" s="136"/>
      <c r="G45" s="136"/>
    </row>
    <row r="46" spans="1:7" x14ac:dyDescent="0.25">
      <c r="A46" s="152" t="s">
        <v>371</v>
      </c>
      <c r="B46" s="136" t="s">
        <v>383</v>
      </c>
      <c r="C46" s="136"/>
      <c r="D46" s="136">
        <v>18</v>
      </c>
      <c r="E46" s="136">
        <f t="shared" si="0"/>
        <v>4511</v>
      </c>
      <c r="F46" s="136" t="s">
        <v>17</v>
      </c>
      <c r="G46" s="136"/>
    </row>
    <row r="47" spans="1:7" x14ac:dyDescent="0.25">
      <c r="A47" s="152" t="s">
        <v>384</v>
      </c>
      <c r="B47" s="136" t="s">
        <v>388</v>
      </c>
      <c r="C47" s="136"/>
      <c r="D47" s="136">
        <v>74</v>
      </c>
      <c r="E47" s="136">
        <f t="shared" si="0"/>
        <v>4437</v>
      </c>
      <c r="F47" s="136" t="s">
        <v>389</v>
      </c>
      <c r="G47" s="136"/>
    </row>
    <row r="48" spans="1:7" x14ac:dyDescent="0.25">
      <c r="A48" s="152" t="s">
        <v>384</v>
      </c>
      <c r="B48" s="136" t="s">
        <v>390</v>
      </c>
      <c r="C48" s="136">
        <v>27</v>
      </c>
      <c r="D48" s="136"/>
      <c r="E48" s="136">
        <f t="shared" si="0"/>
        <v>4464</v>
      </c>
      <c r="F48" s="136"/>
      <c r="G48" s="136"/>
    </row>
    <row r="49" spans="1:7" x14ac:dyDescent="0.25">
      <c r="A49" s="152" t="s">
        <v>400</v>
      </c>
      <c r="B49" s="136" t="s">
        <v>328</v>
      </c>
      <c r="C49" s="136"/>
      <c r="D49" s="136">
        <v>35</v>
      </c>
      <c r="E49" s="136">
        <f t="shared" si="0"/>
        <v>4429</v>
      </c>
      <c r="F49" s="136" t="s">
        <v>401</v>
      </c>
      <c r="G49" s="136"/>
    </row>
    <row r="50" spans="1:7" x14ac:dyDescent="0.25">
      <c r="A50" s="152" t="s">
        <v>400</v>
      </c>
      <c r="B50" s="136" t="s">
        <v>405</v>
      </c>
      <c r="C50" s="136">
        <v>32</v>
      </c>
      <c r="D50" s="136"/>
      <c r="E50" s="136">
        <f t="shared" si="0"/>
        <v>4461</v>
      </c>
      <c r="F50" s="136"/>
      <c r="G50" s="136"/>
    </row>
    <row r="51" spans="1:7" x14ac:dyDescent="0.25">
      <c r="A51" s="138" t="s">
        <v>406</v>
      </c>
      <c r="B51" s="136" t="s">
        <v>383</v>
      </c>
      <c r="C51" s="136"/>
      <c r="D51" s="136">
        <v>40</v>
      </c>
      <c r="E51" s="136">
        <f t="shared" si="0"/>
        <v>4421</v>
      </c>
      <c r="F51" s="136" t="s">
        <v>17</v>
      </c>
      <c r="G51" s="136"/>
    </row>
    <row r="52" spans="1:7" x14ac:dyDescent="0.25">
      <c r="A52" s="138" t="s">
        <v>406</v>
      </c>
      <c r="B52" s="136" t="s">
        <v>383</v>
      </c>
      <c r="C52" s="136"/>
      <c r="D52" s="136">
        <v>3</v>
      </c>
      <c r="E52" s="136">
        <f t="shared" si="0"/>
        <v>4418</v>
      </c>
      <c r="F52" s="136" t="s">
        <v>17</v>
      </c>
      <c r="G52" s="136"/>
    </row>
    <row r="53" spans="1:7" x14ac:dyDescent="0.25">
      <c r="A53" s="152" t="s">
        <v>410</v>
      </c>
      <c r="B53" s="136" t="s">
        <v>264</v>
      </c>
      <c r="C53" s="136">
        <v>32</v>
      </c>
      <c r="D53" s="136"/>
      <c r="E53" s="136">
        <f t="shared" si="0"/>
        <v>4450</v>
      </c>
      <c r="F53" s="136"/>
      <c r="G53" s="136"/>
    </row>
    <row r="54" spans="1:7" x14ac:dyDescent="0.25">
      <c r="A54" s="152" t="s">
        <v>423</v>
      </c>
      <c r="B54" s="136" t="s">
        <v>424</v>
      </c>
      <c r="C54" s="136"/>
      <c r="D54" s="136">
        <v>50</v>
      </c>
      <c r="E54" s="136">
        <f t="shared" si="0"/>
        <v>4400</v>
      </c>
      <c r="F54" s="136" t="s">
        <v>425</v>
      </c>
      <c r="G54" s="136"/>
    </row>
    <row r="55" spans="1:7" x14ac:dyDescent="0.25">
      <c r="A55" s="152" t="s">
        <v>430</v>
      </c>
      <c r="B55" s="136" t="s">
        <v>264</v>
      </c>
      <c r="C55" s="136">
        <v>43</v>
      </c>
      <c r="D55" s="136"/>
      <c r="E55" s="136">
        <f t="shared" si="0"/>
        <v>4443</v>
      </c>
      <c r="F55" s="136"/>
      <c r="G55" s="136"/>
    </row>
    <row r="56" spans="1:7" x14ac:dyDescent="0.25">
      <c r="A56" s="152" t="s">
        <v>430</v>
      </c>
      <c r="B56" s="136" t="s">
        <v>383</v>
      </c>
      <c r="C56" s="136"/>
      <c r="D56" s="136">
        <v>55</v>
      </c>
      <c r="E56" s="136">
        <f t="shared" si="0"/>
        <v>4388</v>
      </c>
      <c r="F56" s="136" t="s">
        <v>17</v>
      </c>
      <c r="G56" s="136"/>
    </row>
    <row r="57" spans="1:7" x14ac:dyDescent="0.25">
      <c r="A57" s="152" t="s">
        <v>438</v>
      </c>
      <c r="B57" s="136" t="s">
        <v>439</v>
      </c>
      <c r="C57" s="136"/>
      <c r="D57" s="136">
        <v>15</v>
      </c>
      <c r="E57" s="136">
        <f t="shared" si="0"/>
        <v>4373</v>
      </c>
      <c r="F57" s="136" t="s">
        <v>440</v>
      </c>
      <c r="G57" s="136"/>
    </row>
    <row r="58" spans="1:7" x14ac:dyDescent="0.25">
      <c r="A58" s="152" t="s">
        <v>438</v>
      </c>
      <c r="B58" s="136" t="s">
        <v>382</v>
      </c>
      <c r="C58" s="136">
        <v>4</v>
      </c>
      <c r="D58" s="136"/>
      <c r="E58" s="136">
        <f t="shared" si="0"/>
        <v>4377</v>
      </c>
      <c r="F58" s="136"/>
      <c r="G58" s="136"/>
    </row>
    <row r="59" spans="1:7" x14ac:dyDescent="0.25">
      <c r="A59" s="152" t="s">
        <v>441</v>
      </c>
      <c r="B59" s="136" t="s">
        <v>447</v>
      </c>
      <c r="C59" s="136"/>
      <c r="D59" s="136">
        <v>40</v>
      </c>
      <c r="E59" s="136">
        <f t="shared" si="0"/>
        <v>4337</v>
      </c>
      <c r="F59" s="136" t="s">
        <v>446</v>
      </c>
      <c r="G59" s="136"/>
    </row>
    <row r="60" spans="1:7" x14ac:dyDescent="0.25">
      <c r="A60" s="152" t="s">
        <v>441</v>
      </c>
      <c r="B60" s="136" t="s">
        <v>448</v>
      </c>
      <c r="C60" s="136"/>
      <c r="D60" s="136">
        <v>30</v>
      </c>
      <c r="E60" s="136">
        <f t="shared" si="0"/>
        <v>4307</v>
      </c>
      <c r="F60" s="136" t="s">
        <v>449</v>
      </c>
      <c r="G60" s="136"/>
    </row>
    <row r="61" spans="1:7" x14ac:dyDescent="0.25">
      <c r="A61" s="152" t="s">
        <v>456</v>
      </c>
      <c r="B61" s="136" t="s">
        <v>457</v>
      </c>
      <c r="C61" s="136"/>
      <c r="D61" s="136">
        <v>95</v>
      </c>
      <c r="E61" s="136">
        <f t="shared" si="0"/>
        <v>4212</v>
      </c>
      <c r="F61" s="136" t="s">
        <v>458</v>
      </c>
      <c r="G61" s="136"/>
    </row>
    <row r="62" spans="1:7" x14ac:dyDescent="0.25">
      <c r="A62" s="238" t="s">
        <v>453</v>
      </c>
      <c r="B62" s="136" t="s">
        <v>462</v>
      </c>
      <c r="C62" s="136">
        <v>88</v>
      </c>
      <c r="D62" s="136"/>
      <c r="E62" s="136">
        <f t="shared" si="0"/>
        <v>4300</v>
      </c>
      <c r="F62" s="136"/>
      <c r="G62" s="136"/>
    </row>
    <row r="63" spans="1:7" x14ac:dyDescent="0.25">
      <c r="A63" s="152" t="s">
        <v>468</v>
      </c>
      <c r="B63" s="136" t="s">
        <v>374</v>
      </c>
      <c r="C63" s="136"/>
      <c r="D63" s="136">
        <v>30</v>
      </c>
      <c r="E63" s="136">
        <f t="shared" si="0"/>
        <v>4270</v>
      </c>
      <c r="F63" s="136" t="s">
        <v>469</v>
      </c>
      <c r="G63" s="136"/>
    </row>
    <row r="64" spans="1:7" x14ac:dyDescent="0.25">
      <c r="A64" s="152" t="s">
        <v>468</v>
      </c>
      <c r="B64" s="136" t="s">
        <v>472</v>
      </c>
      <c r="C64" s="136">
        <v>10</v>
      </c>
      <c r="D64" s="136"/>
      <c r="E64" s="136">
        <f t="shared" si="0"/>
        <v>4280</v>
      </c>
      <c r="F64" s="136"/>
      <c r="G64" s="136"/>
    </row>
    <row r="65" spans="1:7" x14ac:dyDescent="0.25">
      <c r="A65" s="238" t="s">
        <v>475</v>
      </c>
      <c r="B65" s="136" t="s">
        <v>374</v>
      </c>
      <c r="C65" s="136"/>
      <c r="D65" s="136">
        <v>24</v>
      </c>
      <c r="E65" s="136">
        <f t="shared" si="0"/>
        <v>4256</v>
      </c>
      <c r="F65" s="136" t="s">
        <v>474</v>
      </c>
      <c r="G65" s="136"/>
    </row>
    <row r="66" spans="1:7" x14ac:dyDescent="0.25">
      <c r="A66" s="152" t="s">
        <v>479</v>
      </c>
      <c r="B66" s="136" t="s">
        <v>277</v>
      </c>
      <c r="C66" s="136"/>
      <c r="D66" s="136">
        <v>20</v>
      </c>
      <c r="E66" s="136">
        <f t="shared" si="0"/>
        <v>4236</v>
      </c>
      <c r="F66" s="136" t="s">
        <v>482</v>
      </c>
      <c r="G66" s="136"/>
    </row>
    <row r="67" spans="1:7" x14ac:dyDescent="0.25">
      <c r="A67" s="238" t="s">
        <v>475</v>
      </c>
      <c r="B67" s="136" t="s">
        <v>283</v>
      </c>
      <c r="C67" s="136">
        <v>35</v>
      </c>
      <c r="D67" s="136"/>
      <c r="E67" s="136">
        <f t="shared" si="0"/>
        <v>4271</v>
      </c>
      <c r="F67" s="136"/>
      <c r="G67" s="136"/>
    </row>
    <row r="68" spans="1:7" x14ac:dyDescent="0.25">
      <c r="A68" s="238" t="s">
        <v>475</v>
      </c>
      <c r="B68" s="136" t="s">
        <v>283</v>
      </c>
      <c r="C68" s="136">
        <v>205</v>
      </c>
      <c r="D68" s="136"/>
      <c r="E68" s="136">
        <f t="shared" si="0"/>
        <v>4476</v>
      </c>
      <c r="F68" s="136"/>
      <c r="G68" s="136"/>
    </row>
    <row r="69" spans="1:7" x14ac:dyDescent="0.25">
      <c r="A69" s="152" t="s">
        <v>483</v>
      </c>
      <c r="B69" s="136" t="s">
        <v>383</v>
      </c>
      <c r="C69" s="136">
        <v>13</v>
      </c>
      <c r="D69" s="136"/>
      <c r="E69" s="136">
        <f t="shared" si="0"/>
        <v>4489</v>
      </c>
      <c r="F69" s="136"/>
      <c r="G69" s="136"/>
    </row>
    <row r="70" spans="1:7" x14ac:dyDescent="0.25">
      <c r="A70" s="138" t="s">
        <v>485</v>
      </c>
      <c r="B70" s="136" t="s">
        <v>488</v>
      </c>
      <c r="C70" s="136">
        <v>44</v>
      </c>
      <c r="D70" s="136"/>
      <c r="E70" s="136">
        <f t="shared" si="0"/>
        <v>4533</v>
      </c>
      <c r="F70" s="136"/>
      <c r="G70" s="136"/>
    </row>
    <row r="71" spans="1:7" x14ac:dyDescent="0.25">
      <c r="A71" s="138" t="s">
        <v>485</v>
      </c>
      <c r="B71" s="136" t="s">
        <v>283</v>
      </c>
      <c r="C71" s="136">
        <v>73</v>
      </c>
      <c r="D71" s="136"/>
      <c r="E71" s="136">
        <f t="shared" si="0"/>
        <v>4606</v>
      </c>
      <c r="F71" s="136"/>
      <c r="G71" s="136"/>
    </row>
    <row r="72" spans="1:7" x14ac:dyDescent="0.25">
      <c r="A72" s="152" t="s">
        <v>491</v>
      </c>
      <c r="B72" s="136" t="s">
        <v>221</v>
      </c>
      <c r="C72" s="136"/>
      <c r="D72" s="136">
        <v>62</v>
      </c>
      <c r="E72" s="136">
        <f t="shared" ref="E72:E137" si="1">E71+C72-D72</f>
        <v>4544</v>
      </c>
      <c r="F72" s="136" t="s">
        <v>492</v>
      </c>
      <c r="G72" s="136"/>
    </row>
    <row r="73" spans="1:7" x14ac:dyDescent="0.25">
      <c r="A73" s="138" t="s">
        <v>496</v>
      </c>
      <c r="B73" s="136" t="s">
        <v>305</v>
      </c>
      <c r="C73" s="136">
        <v>11</v>
      </c>
      <c r="D73" s="136"/>
      <c r="E73" s="136">
        <f t="shared" si="1"/>
        <v>4555</v>
      </c>
      <c r="F73" s="136"/>
      <c r="G73" s="136"/>
    </row>
    <row r="74" spans="1:7" x14ac:dyDescent="0.25">
      <c r="A74" s="152" t="s">
        <v>496</v>
      </c>
      <c r="B74" s="136" t="s">
        <v>221</v>
      </c>
      <c r="C74" s="136"/>
      <c r="D74" s="136">
        <v>13</v>
      </c>
      <c r="E74" s="136">
        <f t="shared" si="1"/>
        <v>4542</v>
      </c>
      <c r="F74" s="136" t="s">
        <v>497</v>
      </c>
      <c r="G74" s="136"/>
    </row>
    <row r="75" spans="1:7" x14ac:dyDescent="0.25">
      <c r="A75" s="138" t="s">
        <v>502</v>
      </c>
      <c r="B75" s="136" t="s">
        <v>503</v>
      </c>
      <c r="C75" s="136">
        <v>22</v>
      </c>
      <c r="D75" s="136"/>
      <c r="E75" s="136">
        <f t="shared" si="1"/>
        <v>4564</v>
      </c>
      <c r="F75" s="136"/>
      <c r="G75" s="136"/>
    </row>
    <row r="76" spans="1:7" x14ac:dyDescent="0.25">
      <c r="A76" s="152" t="s">
        <v>509</v>
      </c>
      <c r="B76" s="136" t="s">
        <v>510</v>
      </c>
      <c r="C76" s="136">
        <v>8</v>
      </c>
      <c r="D76" s="136"/>
      <c r="E76" s="136">
        <f t="shared" si="1"/>
        <v>4572</v>
      </c>
      <c r="F76" s="136"/>
      <c r="G76" s="136"/>
    </row>
    <row r="77" spans="1:7" x14ac:dyDescent="0.25">
      <c r="A77" s="152" t="s">
        <v>509</v>
      </c>
      <c r="B77" s="136" t="s">
        <v>511</v>
      </c>
      <c r="C77" s="136"/>
      <c r="D77" s="136">
        <v>18</v>
      </c>
      <c r="E77" s="136">
        <f t="shared" si="1"/>
        <v>4554</v>
      </c>
      <c r="F77" s="136" t="s">
        <v>512</v>
      </c>
      <c r="G77" s="136"/>
    </row>
    <row r="78" spans="1:7" x14ac:dyDescent="0.25">
      <c r="A78" s="152" t="s">
        <v>509</v>
      </c>
      <c r="B78" s="136" t="s">
        <v>513</v>
      </c>
      <c r="C78" s="136"/>
      <c r="D78" s="136">
        <v>40</v>
      </c>
      <c r="E78" s="136">
        <f t="shared" si="1"/>
        <v>4514</v>
      </c>
      <c r="F78" s="136" t="s">
        <v>514</v>
      </c>
      <c r="G78" s="136"/>
    </row>
    <row r="79" spans="1:7" ht="15.75" x14ac:dyDescent="0.25">
      <c r="A79" s="246" t="s">
        <v>520</v>
      </c>
      <c r="B79" s="136" t="s">
        <v>283</v>
      </c>
      <c r="C79" s="161">
        <v>144</v>
      </c>
      <c r="D79" s="136"/>
      <c r="E79" s="136">
        <f t="shared" si="1"/>
        <v>4658</v>
      </c>
      <c r="F79" s="136"/>
      <c r="G79" s="136"/>
    </row>
    <row r="80" spans="1:7" x14ac:dyDescent="0.25">
      <c r="A80" s="152" t="s">
        <v>517</v>
      </c>
      <c r="B80" s="136" t="s">
        <v>522</v>
      </c>
      <c r="C80" s="136"/>
      <c r="D80" s="136">
        <v>10</v>
      </c>
      <c r="E80" s="136">
        <f t="shared" si="1"/>
        <v>4648</v>
      </c>
      <c r="F80" s="136" t="s">
        <v>523</v>
      </c>
      <c r="G80" s="136"/>
    </row>
    <row r="81" spans="1:7" x14ac:dyDescent="0.25">
      <c r="A81" s="138" t="s">
        <v>517</v>
      </c>
      <c r="B81" s="136" t="s">
        <v>524</v>
      </c>
      <c r="C81" s="136">
        <v>4</v>
      </c>
      <c r="D81" s="136"/>
      <c r="E81" s="136">
        <f t="shared" si="1"/>
        <v>4652</v>
      </c>
      <c r="F81" s="136"/>
      <c r="G81" s="136"/>
    </row>
    <row r="82" spans="1:7" x14ac:dyDescent="0.25">
      <c r="A82" s="138" t="s">
        <v>525</v>
      </c>
      <c r="B82" s="136" t="s">
        <v>526</v>
      </c>
      <c r="C82" s="136">
        <v>29</v>
      </c>
      <c r="D82" s="136"/>
      <c r="E82" s="136">
        <f t="shared" si="1"/>
        <v>4681</v>
      </c>
      <c r="F82" s="136"/>
      <c r="G82" s="136"/>
    </row>
    <row r="83" spans="1:7" x14ac:dyDescent="0.25">
      <c r="A83" s="152" t="s">
        <v>528</v>
      </c>
      <c r="B83" s="136" t="s">
        <v>529</v>
      </c>
      <c r="C83" s="136"/>
      <c r="D83" s="136">
        <v>5</v>
      </c>
      <c r="E83" s="136">
        <f t="shared" si="1"/>
        <v>4676</v>
      </c>
      <c r="F83" s="136" t="s">
        <v>530</v>
      </c>
      <c r="G83" s="136"/>
    </row>
    <row r="84" spans="1:7" x14ac:dyDescent="0.25">
      <c r="A84" s="138" t="s">
        <v>533</v>
      </c>
      <c r="B84" s="136" t="s">
        <v>526</v>
      </c>
      <c r="C84" s="136">
        <v>25</v>
      </c>
      <c r="D84" s="136"/>
      <c r="E84" s="136">
        <f t="shared" si="1"/>
        <v>4701</v>
      </c>
      <c r="F84" s="136"/>
      <c r="G84" s="136"/>
    </row>
    <row r="85" spans="1:7" x14ac:dyDescent="0.25">
      <c r="A85" s="152" t="s">
        <v>533</v>
      </c>
      <c r="B85" s="136" t="s">
        <v>424</v>
      </c>
      <c r="C85" s="136"/>
      <c r="D85" s="136">
        <v>74</v>
      </c>
      <c r="E85" s="136">
        <f t="shared" si="1"/>
        <v>4627</v>
      </c>
      <c r="F85" s="136" t="s">
        <v>534</v>
      </c>
      <c r="G85" s="136"/>
    </row>
    <row r="86" spans="1:7" x14ac:dyDescent="0.25">
      <c r="A86" s="152" t="s">
        <v>533</v>
      </c>
      <c r="B86" s="136" t="s">
        <v>535</v>
      </c>
      <c r="C86" s="136"/>
      <c r="D86" s="136">
        <v>20</v>
      </c>
      <c r="E86" s="136">
        <f t="shared" si="1"/>
        <v>4607</v>
      </c>
      <c r="F86" s="136" t="s">
        <v>536</v>
      </c>
      <c r="G86" s="136"/>
    </row>
    <row r="87" spans="1:7" ht="15.75" x14ac:dyDescent="0.25">
      <c r="A87" s="152" t="s">
        <v>542</v>
      </c>
      <c r="B87" s="161" t="s">
        <v>283</v>
      </c>
      <c r="C87" s="161">
        <v>136</v>
      </c>
      <c r="D87" s="136"/>
      <c r="E87" s="136">
        <f t="shared" si="1"/>
        <v>4743</v>
      </c>
      <c r="F87" s="136"/>
      <c r="G87" s="136"/>
    </row>
    <row r="88" spans="1:7" x14ac:dyDescent="0.25">
      <c r="A88" s="152" t="s">
        <v>542</v>
      </c>
      <c r="B88" s="136" t="s">
        <v>283</v>
      </c>
      <c r="C88" s="136">
        <v>30</v>
      </c>
      <c r="D88" s="136"/>
      <c r="E88" s="136">
        <f t="shared" si="1"/>
        <v>4773</v>
      </c>
      <c r="F88" s="136"/>
      <c r="G88" s="136"/>
    </row>
    <row r="89" spans="1:7" x14ac:dyDescent="0.25">
      <c r="A89" s="152" t="s">
        <v>545</v>
      </c>
      <c r="B89" s="136" t="s">
        <v>546</v>
      </c>
      <c r="C89" s="136"/>
      <c r="D89" s="136">
        <v>10</v>
      </c>
      <c r="E89" s="136">
        <f t="shared" si="1"/>
        <v>4763</v>
      </c>
      <c r="F89" s="136" t="s">
        <v>547</v>
      </c>
      <c r="G89" s="136"/>
    </row>
    <row r="90" spans="1:7" ht="15.75" x14ac:dyDescent="0.25">
      <c r="A90" s="138" t="s">
        <v>549</v>
      </c>
      <c r="B90" s="136" t="s">
        <v>552</v>
      </c>
      <c r="C90" s="136"/>
      <c r="D90" s="136">
        <v>50</v>
      </c>
      <c r="E90" s="136">
        <f t="shared" si="1"/>
        <v>4713</v>
      </c>
      <c r="F90" s="161" t="s">
        <v>551</v>
      </c>
      <c r="G90" s="136"/>
    </row>
    <row r="91" spans="1:7" x14ac:dyDescent="0.25">
      <c r="A91" s="152" t="s">
        <v>554</v>
      </c>
      <c r="B91" s="136" t="s">
        <v>522</v>
      </c>
      <c r="C91" s="136"/>
      <c r="D91" s="136">
        <v>160</v>
      </c>
      <c r="E91" s="136">
        <f t="shared" si="1"/>
        <v>4553</v>
      </c>
      <c r="F91" s="136" t="s">
        <v>555</v>
      </c>
      <c r="G91" s="136"/>
    </row>
    <row r="92" spans="1:7" x14ac:dyDescent="0.25">
      <c r="A92" s="152" t="s">
        <v>554</v>
      </c>
      <c r="B92" s="136" t="s">
        <v>550</v>
      </c>
      <c r="C92" s="136"/>
      <c r="D92" s="136">
        <v>148</v>
      </c>
      <c r="E92" s="136">
        <f t="shared" si="1"/>
        <v>4405</v>
      </c>
      <c r="F92" s="136" t="s">
        <v>556</v>
      </c>
      <c r="G92" s="136"/>
    </row>
    <row r="93" spans="1:7" x14ac:dyDescent="0.25">
      <c r="A93" s="138" t="s">
        <v>554</v>
      </c>
      <c r="B93" s="136" t="s">
        <v>383</v>
      </c>
      <c r="C93" s="136">
        <v>35</v>
      </c>
      <c r="D93" s="136"/>
      <c r="E93" s="136">
        <f t="shared" si="1"/>
        <v>4440</v>
      </c>
      <c r="F93" s="136"/>
      <c r="G93" s="136"/>
    </row>
    <row r="94" spans="1:7" x14ac:dyDescent="0.25">
      <c r="A94" s="152" t="s">
        <v>559</v>
      </c>
      <c r="B94" s="136" t="s">
        <v>522</v>
      </c>
      <c r="C94" s="136"/>
      <c r="D94" s="136">
        <v>40</v>
      </c>
      <c r="E94" s="136">
        <f t="shared" si="1"/>
        <v>4400</v>
      </c>
      <c r="F94" s="136" t="s">
        <v>560</v>
      </c>
      <c r="G94" s="136"/>
    </row>
    <row r="95" spans="1:7" x14ac:dyDescent="0.25">
      <c r="A95" s="152" t="s">
        <v>559</v>
      </c>
      <c r="B95" s="136" t="s">
        <v>283</v>
      </c>
      <c r="C95" s="136">
        <v>116</v>
      </c>
      <c r="D95" s="136"/>
      <c r="E95" s="136">
        <f t="shared" si="1"/>
        <v>4516</v>
      </c>
      <c r="F95" s="136"/>
      <c r="G95" s="136"/>
    </row>
    <row r="96" spans="1:7" x14ac:dyDescent="0.25">
      <c r="A96" s="152" t="s">
        <v>562</v>
      </c>
      <c r="B96" s="136" t="s">
        <v>511</v>
      </c>
      <c r="C96" s="136"/>
      <c r="D96" s="136">
        <v>90</v>
      </c>
      <c r="E96" s="136">
        <f t="shared" si="1"/>
        <v>4426</v>
      </c>
      <c r="F96" s="136" t="s">
        <v>564</v>
      </c>
      <c r="G96" s="136"/>
    </row>
    <row r="97" spans="1:7" x14ac:dyDescent="0.25">
      <c r="A97" s="152" t="s">
        <v>562</v>
      </c>
      <c r="B97" s="136" t="s">
        <v>124</v>
      </c>
      <c r="C97" s="136"/>
      <c r="D97" s="136">
        <v>2</v>
      </c>
      <c r="E97" s="136">
        <f t="shared" si="1"/>
        <v>4424</v>
      </c>
      <c r="F97" s="136" t="s">
        <v>565</v>
      </c>
      <c r="G97" s="136"/>
    </row>
    <row r="98" spans="1:7" x14ac:dyDescent="0.25">
      <c r="A98" s="152" t="s">
        <v>567</v>
      </c>
      <c r="B98" s="136" t="s">
        <v>424</v>
      </c>
      <c r="C98" s="136"/>
      <c r="D98" s="136">
        <v>50</v>
      </c>
      <c r="E98" s="136">
        <f t="shared" si="1"/>
        <v>4374</v>
      </c>
      <c r="F98" s="136" t="s">
        <v>568</v>
      </c>
      <c r="G98" s="136"/>
    </row>
    <row r="99" spans="1:7" x14ac:dyDescent="0.25">
      <c r="A99" s="152" t="s">
        <v>567</v>
      </c>
      <c r="B99" s="136" t="s">
        <v>526</v>
      </c>
      <c r="C99" s="136">
        <v>25</v>
      </c>
      <c r="D99" s="136"/>
      <c r="E99" s="136">
        <f t="shared" si="1"/>
        <v>4399</v>
      </c>
      <c r="F99" s="136"/>
      <c r="G99" s="136"/>
    </row>
    <row r="100" spans="1:7" x14ac:dyDescent="0.25">
      <c r="A100" s="152" t="s">
        <v>573</v>
      </c>
      <c r="B100" s="136" t="s">
        <v>574</v>
      </c>
      <c r="C100" s="136"/>
      <c r="D100" s="136">
        <v>10</v>
      </c>
      <c r="E100" s="136">
        <f t="shared" si="1"/>
        <v>4389</v>
      </c>
      <c r="F100" s="136" t="s">
        <v>17</v>
      </c>
      <c r="G100" s="136"/>
    </row>
    <row r="101" spans="1:7" x14ac:dyDescent="0.25">
      <c r="A101" s="152" t="s">
        <v>573</v>
      </c>
      <c r="B101" s="136" t="s">
        <v>575</v>
      </c>
      <c r="C101" s="136">
        <v>5</v>
      </c>
      <c r="D101" s="136"/>
      <c r="E101" s="136">
        <f t="shared" si="1"/>
        <v>4394</v>
      </c>
      <c r="F101" s="136"/>
      <c r="G101" s="136"/>
    </row>
    <row r="102" spans="1:7" x14ac:dyDescent="0.25">
      <c r="A102" s="152" t="s">
        <v>577</v>
      </c>
      <c r="B102" s="136" t="s">
        <v>526</v>
      </c>
      <c r="C102" s="136">
        <v>33</v>
      </c>
      <c r="D102" s="136"/>
      <c r="E102" s="136">
        <f t="shared" si="1"/>
        <v>4427</v>
      </c>
      <c r="F102" s="136"/>
      <c r="G102" s="136"/>
    </row>
    <row r="103" spans="1:7" x14ac:dyDescent="0.25">
      <c r="A103" s="152" t="s">
        <v>577</v>
      </c>
      <c r="B103" s="136" t="s">
        <v>283</v>
      </c>
      <c r="C103" s="136">
        <v>56</v>
      </c>
      <c r="D103" s="136"/>
      <c r="E103" s="136">
        <f t="shared" si="1"/>
        <v>4483</v>
      </c>
      <c r="F103" s="136"/>
      <c r="G103" s="136"/>
    </row>
    <row r="104" spans="1:7" x14ac:dyDescent="0.25">
      <c r="A104" s="152" t="s">
        <v>577</v>
      </c>
      <c r="B104" s="136" t="s">
        <v>488</v>
      </c>
      <c r="C104" s="136">
        <v>16</v>
      </c>
      <c r="D104" s="136"/>
      <c r="E104" s="136">
        <f t="shared" si="1"/>
        <v>4499</v>
      </c>
      <c r="F104" s="136"/>
      <c r="G104" s="136"/>
    </row>
    <row r="105" spans="1:7" x14ac:dyDescent="0.25">
      <c r="A105" s="152" t="s">
        <v>581</v>
      </c>
      <c r="B105" s="136" t="s">
        <v>550</v>
      </c>
      <c r="C105" s="136"/>
      <c r="D105" s="136">
        <v>37</v>
      </c>
      <c r="E105" s="136">
        <f t="shared" si="1"/>
        <v>4462</v>
      </c>
      <c r="F105" s="136" t="s">
        <v>582</v>
      </c>
      <c r="G105" s="136"/>
    </row>
    <row r="106" spans="1:7" x14ac:dyDescent="0.25">
      <c r="A106" s="138" t="s">
        <v>581</v>
      </c>
      <c r="B106" s="136" t="s">
        <v>583</v>
      </c>
      <c r="C106" s="136"/>
      <c r="D106" s="136">
        <v>86</v>
      </c>
      <c r="E106" s="136">
        <f t="shared" si="1"/>
        <v>4376</v>
      </c>
      <c r="F106" s="136" t="s">
        <v>584</v>
      </c>
      <c r="G106" s="1"/>
    </row>
    <row r="107" spans="1:7" x14ac:dyDescent="0.25">
      <c r="A107" s="152" t="s">
        <v>591</v>
      </c>
      <c r="B107" s="136" t="s">
        <v>550</v>
      </c>
      <c r="C107" s="136"/>
      <c r="D107" s="136">
        <v>80</v>
      </c>
      <c r="E107" s="136">
        <f t="shared" si="1"/>
        <v>4296</v>
      </c>
      <c r="F107" s="136" t="s">
        <v>592</v>
      </c>
      <c r="G107" s="136"/>
    </row>
    <row r="108" spans="1:7" x14ac:dyDescent="0.25">
      <c r="A108" s="152" t="s">
        <v>591</v>
      </c>
      <c r="B108" s="136" t="s">
        <v>550</v>
      </c>
      <c r="C108" s="136"/>
      <c r="D108" s="136">
        <v>160</v>
      </c>
      <c r="E108" s="136">
        <f t="shared" si="1"/>
        <v>4136</v>
      </c>
      <c r="F108" s="136" t="s">
        <v>593</v>
      </c>
      <c r="G108" s="136"/>
    </row>
    <row r="109" spans="1:7" x14ac:dyDescent="0.25">
      <c r="A109" s="152" t="s">
        <v>591</v>
      </c>
      <c r="B109" s="136" t="s">
        <v>594</v>
      </c>
      <c r="C109" s="136">
        <v>35</v>
      </c>
      <c r="D109" s="136"/>
      <c r="E109" s="136">
        <f t="shared" si="1"/>
        <v>4171</v>
      </c>
      <c r="F109" s="136"/>
      <c r="G109" s="136"/>
    </row>
    <row r="110" spans="1:7" x14ac:dyDescent="0.25">
      <c r="A110" s="238" t="s">
        <v>591</v>
      </c>
      <c r="B110" s="136" t="s">
        <v>383</v>
      </c>
      <c r="C110" s="136">
        <v>33</v>
      </c>
      <c r="D110" s="136"/>
      <c r="E110" s="136">
        <f t="shared" si="1"/>
        <v>4204</v>
      </c>
      <c r="F110" s="136"/>
      <c r="G110" s="136"/>
    </row>
    <row r="111" spans="1:7" x14ac:dyDescent="0.25">
      <c r="A111" s="152" t="s">
        <v>595</v>
      </c>
      <c r="B111" s="136" t="s">
        <v>550</v>
      </c>
      <c r="C111" s="136"/>
      <c r="D111" s="136">
        <v>70</v>
      </c>
      <c r="E111" s="136">
        <f t="shared" si="1"/>
        <v>4134</v>
      </c>
      <c r="F111" s="136" t="s">
        <v>596</v>
      </c>
      <c r="G111" s="136"/>
    </row>
    <row r="112" spans="1:7" x14ac:dyDescent="0.25">
      <c r="A112" s="152" t="s">
        <v>598</v>
      </c>
      <c r="B112" s="136" t="s">
        <v>221</v>
      </c>
      <c r="C112" s="136">
        <v>1</v>
      </c>
      <c r="D112" s="136"/>
      <c r="E112" s="136">
        <f t="shared" si="1"/>
        <v>4135</v>
      </c>
      <c r="F112" s="136"/>
      <c r="G112" s="136"/>
    </row>
    <row r="113" spans="1:7" x14ac:dyDescent="0.25">
      <c r="A113" s="121" t="s">
        <v>595</v>
      </c>
      <c r="B113" s="36" t="s">
        <v>601</v>
      </c>
      <c r="C113" s="36">
        <v>30</v>
      </c>
      <c r="D113" s="136"/>
      <c r="E113" s="136">
        <f t="shared" si="1"/>
        <v>4165</v>
      </c>
      <c r="F113" s="136"/>
      <c r="G113" s="136"/>
    </row>
    <row r="114" spans="1:7" x14ac:dyDescent="0.25">
      <c r="A114" s="152" t="s">
        <v>602</v>
      </c>
      <c r="B114" s="136" t="s">
        <v>382</v>
      </c>
      <c r="C114" s="136"/>
      <c r="D114" s="136">
        <v>24</v>
      </c>
      <c r="E114" s="136">
        <f t="shared" si="1"/>
        <v>4141</v>
      </c>
      <c r="F114" s="136" t="s">
        <v>603</v>
      </c>
      <c r="G114" s="136"/>
    </row>
    <row r="115" spans="1:7" x14ac:dyDescent="0.25">
      <c r="A115" s="152" t="s">
        <v>627</v>
      </c>
      <c r="B115" s="136" t="s">
        <v>424</v>
      </c>
      <c r="C115" s="136"/>
      <c r="D115" s="136">
        <v>150</v>
      </c>
      <c r="E115" s="136">
        <f t="shared" si="1"/>
        <v>3991</v>
      </c>
      <c r="F115" s="136" t="s">
        <v>628</v>
      </c>
      <c r="G115" s="136"/>
    </row>
    <row r="116" spans="1:7" ht="15.75" x14ac:dyDescent="0.25">
      <c r="A116" s="242">
        <v>8112</v>
      </c>
      <c r="B116" s="161" t="s">
        <v>283</v>
      </c>
      <c r="C116" s="161">
        <v>45</v>
      </c>
      <c r="D116" s="136"/>
      <c r="E116" s="136">
        <f t="shared" si="1"/>
        <v>4036</v>
      </c>
      <c r="F116" s="136"/>
      <c r="G116" s="136"/>
    </row>
    <row r="117" spans="1:7" x14ac:dyDescent="0.25">
      <c r="A117" s="152" t="s">
        <v>637</v>
      </c>
      <c r="B117" s="136" t="s">
        <v>638</v>
      </c>
      <c r="C117" s="136"/>
      <c r="D117" s="136">
        <v>30</v>
      </c>
      <c r="E117" s="136">
        <f t="shared" si="1"/>
        <v>4006</v>
      </c>
      <c r="F117" s="136" t="s">
        <v>640</v>
      </c>
      <c r="G117" s="136"/>
    </row>
    <row r="118" spans="1:7" x14ac:dyDescent="0.25">
      <c r="A118" s="152" t="s">
        <v>637</v>
      </c>
      <c r="B118" s="136" t="s">
        <v>638</v>
      </c>
      <c r="C118" s="136"/>
      <c r="D118" s="136">
        <v>100</v>
      </c>
      <c r="E118" s="136">
        <f t="shared" si="1"/>
        <v>3906</v>
      </c>
      <c r="F118" s="136" t="s">
        <v>641</v>
      </c>
      <c r="G118" s="136"/>
    </row>
    <row r="119" spans="1:7" x14ac:dyDescent="0.25">
      <c r="A119" s="152" t="s">
        <v>637</v>
      </c>
      <c r="B119" s="136" t="s">
        <v>638</v>
      </c>
      <c r="C119" s="136"/>
      <c r="D119" s="136">
        <v>16</v>
      </c>
      <c r="E119" s="136">
        <f t="shared" si="1"/>
        <v>3890</v>
      </c>
      <c r="F119" s="136" t="s">
        <v>642</v>
      </c>
      <c r="G119" s="136"/>
    </row>
    <row r="120" spans="1:7" x14ac:dyDescent="0.25">
      <c r="A120" s="238" t="s">
        <v>645</v>
      </c>
      <c r="B120" s="136" t="s">
        <v>646</v>
      </c>
      <c r="C120" s="136">
        <v>27</v>
      </c>
      <c r="D120" s="136"/>
      <c r="E120" s="136">
        <f t="shared" si="1"/>
        <v>3917</v>
      </c>
      <c r="F120" s="136"/>
      <c r="G120" s="136"/>
    </row>
    <row r="121" spans="1:7" x14ac:dyDescent="0.25">
      <c r="A121" s="152" t="s">
        <v>637</v>
      </c>
      <c r="B121" s="136" t="s">
        <v>221</v>
      </c>
      <c r="C121" s="136">
        <v>4</v>
      </c>
      <c r="D121" s="136"/>
      <c r="E121" s="136">
        <f t="shared" si="1"/>
        <v>3921</v>
      </c>
      <c r="F121" s="136"/>
      <c r="G121" s="136"/>
    </row>
    <row r="122" spans="1:7" x14ac:dyDescent="0.25">
      <c r="A122" s="152" t="s">
        <v>647</v>
      </c>
      <c r="B122" s="136" t="s">
        <v>526</v>
      </c>
      <c r="C122" s="136">
        <v>24</v>
      </c>
      <c r="D122" s="136"/>
      <c r="E122" s="136">
        <f t="shared" si="1"/>
        <v>3945</v>
      </c>
      <c r="F122" s="136"/>
      <c r="G122" s="136"/>
    </row>
    <row r="123" spans="1:7" x14ac:dyDescent="0.25">
      <c r="A123" s="238" t="s">
        <v>653</v>
      </c>
      <c r="B123" s="136" t="s">
        <v>638</v>
      </c>
      <c r="C123" s="136"/>
      <c r="D123" s="136">
        <v>170</v>
      </c>
      <c r="E123" s="136">
        <f t="shared" si="1"/>
        <v>3775</v>
      </c>
      <c r="F123" s="152" t="s">
        <v>654</v>
      </c>
      <c r="G123" s="136"/>
    </row>
    <row r="124" spans="1:7" x14ac:dyDescent="0.25">
      <c r="A124" s="138" t="s">
        <v>655</v>
      </c>
      <c r="B124" s="136" t="s">
        <v>526</v>
      </c>
      <c r="C124" s="136">
        <v>44</v>
      </c>
      <c r="D124" s="136"/>
      <c r="E124" s="136">
        <f t="shared" si="1"/>
        <v>3819</v>
      </c>
      <c r="F124" s="136"/>
      <c r="G124" s="136"/>
    </row>
    <row r="125" spans="1:7" x14ac:dyDescent="0.25">
      <c r="A125" s="138" t="s">
        <v>655</v>
      </c>
      <c r="B125" s="136" t="s">
        <v>526</v>
      </c>
      <c r="C125" s="136">
        <v>61</v>
      </c>
      <c r="D125" s="136"/>
      <c r="E125" s="136">
        <f t="shared" si="1"/>
        <v>3880</v>
      </c>
      <c r="F125" s="136"/>
      <c r="G125" s="136"/>
    </row>
    <row r="126" spans="1:7" x14ac:dyDescent="0.25">
      <c r="A126" s="138" t="s">
        <v>658</v>
      </c>
      <c r="B126" s="136" t="s">
        <v>488</v>
      </c>
      <c r="C126" s="136">
        <v>1</v>
      </c>
      <c r="D126" s="136"/>
      <c r="E126" s="136">
        <f t="shared" si="1"/>
        <v>3881</v>
      </c>
      <c r="F126" s="136"/>
      <c r="G126" s="136"/>
    </row>
    <row r="127" spans="1:7" ht="15.75" x14ac:dyDescent="0.25">
      <c r="A127" s="246" t="s">
        <v>658</v>
      </c>
      <c r="B127" s="161" t="s">
        <v>664</v>
      </c>
      <c r="C127" s="161">
        <v>12</v>
      </c>
      <c r="D127" s="136"/>
      <c r="E127" s="136">
        <f t="shared" si="1"/>
        <v>3893</v>
      </c>
      <c r="F127" s="136"/>
      <c r="G127" s="136"/>
    </row>
    <row r="128" spans="1:7" ht="15.75" x14ac:dyDescent="0.25">
      <c r="A128" s="246" t="s">
        <v>668</v>
      </c>
      <c r="B128" s="161" t="s">
        <v>283</v>
      </c>
      <c r="C128" s="161">
        <v>33</v>
      </c>
      <c r="D128" s="136"/>
      <c r="E128" s="136">
        <f t="shared" si="1"/>
        <v>3926</v>
      </c>
      <c r="F128" s="136"/>
      <c r="G128" s="136"/>
    </row>
    <row r="129" spans="1:7" ht="15.75" x14ac:dyDescent="0.25">
      <c r="A129" s="246" t="s">
        <v>668</v>
      </c>
      <c r="B129" s="136" t="s">
        <v>341</v>
      </c>
      <c r="C129" s="136">
        <v>123</v>
      </c>
      <c r="D129" s="136"/>
      <c r="E129" s="136">
        <f t="shared" si="1"/>
        <v>4049</v>
      </c>
      <c r="F129" s="136"/>
      <c r="G129" s="136"/>
    </row>
    <row r="130" spans="1:7" x14ac:dyDescent="0.25">
      <c r="A130" s="152" t="s">
        <v>680</v>
      </c>
      <c r="B130" s="136" t="s">
        <v>323</v>
      </c>
      <c r="C130" s="136">
        <v>21</v>
      </c>
      <c r="D130" s="136"/>
      <c r="E130" s="136">
        <f t="shared" si="1"/>
        <v>4070</v>
      </c>
      <c r="F130" s="136"/>
      <c r="G130" s="136"/>
    </row>
    <row r="131" spans="1:7" x14ac:dyDescent="0.25">
      <c r="A131" s="138" t="s">
        <v>683</v>
      </c>
      <c r="B131" s="136" t="s">
        <v>687</v>
      </c>
      <c r="C131" s="136">
        <v>11</v>
      </c>
      <c r="D131" s="136"/>
      <c r="E131" s="136">
        <f t="shared" si="1"/>
        <v>4081</v>
      </c>
      <c r="F131" s="136"/>
      <c r="G131" s="136"/>
    </row>
    <row r="132" spans="1:7" x14ac:dyDescent="0.25">
      <c r="A132" s="152" t="s">
        <v>683</v>
      </c>
      <c r="B132" s="136" t="s">
        <v>688</v>
      </c>
      <c r="C132" s="136">
        <v>6</v>
      </c>
      <c r="D132" s="136"/>
      <c r="E132" s="136">
        <f t="shared" si="1"/>
        <v>4087</v>
      </c>
      <c r="F132" s="136"/>
      <c r="G132" s="136"/>
    </row>
    <row r="133" spans="1:7" x14ac:dyDescent="0.25">
      <c r="A133" s="152" t="s">
        <v>689</v>
      </c>
      <c r="B133" s="136" t="s">
        <v>424</v>
      </c>
      <c r="C133" s="136"/>
      <c r="D133" s="136">
        <v>50</v>
      </c>
      <c r="E133" s="136">
        <f t="shared" si="1"/>
        <v>4037</v>
      </c>
      <c r="F133" s="136" t="s">
        <v>691</v>
      </c>
      <c r="G133" s="136"/>
    </row>
    <row r="134" spans="1:7" x14ac:dyDescent="0.25">
      <c r="A134" s="138" t="s">
        <v>695</v>
      </c>
      <c r="B134" s="136" t="s">
        <v>698</v>
      </c>
      <c r="C134" s="136">
        <v>12</v>
      </c>
      <c r="D134" s="136"/>
      <c r="E134" s="136">
        <f t="shared" si="1"/>
        <v>4049</v>
      </c>
      <c r="F134" s="136"/>
      <c r="G134" s="136"/>
    </row>
    <row r="135" spans="1:7" ht="15.75" x14ac:dyDescent="0.25">
      <c r="A135" s="248" t="s">
        <v>695</v>
      </c>
      <c r="B135" s="161" t="s">
        <v>283</v>
      </c>
      <c r="C135" s="161">
        <v>107</v>
      </c>
      <c r="D135" s="136"/>
      <c r="E135" s="136">
        <f t="shared" si="1"/>
        <v>4156</v>
      </c>
      <c r="F135" s="136"/>
      <c r="G135" s="136"/>
    </row>
    <row r="136" spans="1:7" x14ac:dyDescent="0.25">
      <c r="A136" s="152" t="s">
        <v>701</v>
      </c>
      <c r="B136" s="136" t="s">
        <v>583</v>
      </c>
      <c r="C136" s="136"/>
      <c r="D136" s="136">
        <v>10</v>
      </c>
      <c r="E136" s="136">
        <f t="shared" si="1"/>
        <v>4146</v>
      </c>
      <c r="F136" s="136" t="s">
        <v>702</v>
      </c>
      <c r="G136" s="136"/>
    </row>
    <row r="137" spans="1:7" x14ac:dyDescent="0.25">
      <c r="A137" s="152" t="s">
        <v>701</v>
      </c>
      <c r="B137" s="136" t="s">
        <v>638</v>
      </c>
      <c r="C137" s="136"/>
      <c r="D137" s="136">
        <v>150</v>
      </c>
      <c r="E137" s="136">
        <f t="shared" si="1"/>
        <v>3996</v>
      </c>
      <c r="F137" s="136" t="s">
        <v>703</v>
      </c>
      <c r="G137" s="136"/>
    </row>
    <row r="138" spans="1:7" x14ac:dyDescent="0.25">
      <c r="A138" s="121" t="s">
        <v>701</v>
      </c>
      <c r="B138" s="36" t="s">
        <v>529</v>
      </c>
      <c r="C138" s="36">
        <v>7</v>
      </c>
      <c r="D138" s="136"/>
      <c r="E138" s="136">
        <f t="shared" ref="E138:E205" si="2">E137+C138-D138</f>
        <v>4003</v>
      </c>
      <c r="F138" s="136"/>
      <c r="G138" s="136"/>
    </row>
    <row r="139" spans="1:7" x14ac:dyDescent="0.25">
      <c r="A139" s="152" t="s">
        <v>710</v>
      </c>
      <c r="B139" s="136" t="s">
        <v>638</v>
      </c>
      <c r="C139" s="136"/>
      <c r="D139" s="136">
        <v>150</v>
      </c>
      <c r="E139" s="136">
        <f t="shared" si="2"/>
        <v>3853</v>
      </c>
      <c r="F139" s="136" t="s">
        <v>711</v>
      </c>
      <c r="G139" s="136"/>
    </row>
    <row r="140" spans="1:7" ht="15.75" x14ac:dyDescent="0.25">
      <c r="A140" s="246" t="s">
        <v>715</v>
      </c>
      <c r="B140" s="161" t="s">
        <v>275</v>
      </c>
      <c r="C140" s="161"/>
      <c r="D140" s="161">
        <v>30</v>
      </c>
      <c r="E140" s="136">
        <f t="shared" si="2"/>
        <v>3823</v>
      </c>
      <c r="F140" s="161" t="s">
        <v>717</v>
      </c>
      <c r="G140" s="136"/>
    </row>
    <row r="141" spans="1:7" ht="15.75" x14ac:dyDescent="0.25">
      <c r="A141" s="246" t="s">
        <v>715</v>
      </c>
      <c r="B141" s="136" t="s">
        <v>522</v>
      </c>
      <c r="C141" s="136">
        <v>45</v>
      </c>
      <c r="D141" s="136"/>
      <c r="E141" s="136">
        <f t="shared" si="2"/>
        <v>3868</v>
      </c>
      <c r="F141" s="136"/>
      <c r="G141" s="136"/>
    </row>
    <row r="142" spans="1:7" x14ac:dyDescent="0.25">
      <c r="A142" s="138" t="s">
        <v>719</v>
      </c>
      <c r="B142" s="136" t="s">
        <v>721</v>
      </c>
      <c r="C142" s="136"/>
      <c r="D142" s="136">
        <v>45</v>
      </c>
      <c r="E142" s="136">
        <f t="shared" si="2"/>
        <v>3823</v>
      </c>
      <c r="F142" s="136" t="s">
        <v>722</v>
      </c>
      <c r="G142" s="136"/>
    </row>
    <row r="143" spans="1:7" x14ac:dyDescent="0.25">
      <c r="A143" s="152" t="s">
        <v>724</v>
      </c>
      <c r="B143" s="136" t="s">
        <v>275</v>
      </c>
      <c r="C143" s="136"/>
      <c r="D143" s="136">
        <v>35</v>
      </c>
      <c r="E143" s="136">
        <f t="shared" si="2"/>
        <v>3788</v>
      </c>
      <c r="F143" s="136" t="s">
        <v>725</v>
      </c>
      <c r="G143" s="136"/>
    </row>
    <row r="144" spans="1:7" x14ac:dyDescent="0.25">
      <c r="A144" s="152" t="s">
        <v>724</v>
      </c>
      <c r="B144" s="136" t="s">
        <v>221</v>
      </c>
      <c r="C144" s="136">
        <v>11</v>
      </c>
      <c r="D144" s="136"/>
      <c r="E144" s="136">
        <f t="shared" si="2"/>
        <v>3799</v>
      </c>
      <c r="F144" s="136"/>
      <c r="G144" s="136"/>
    </row>
    <row r="145" spans="1:7" x14ac:dyDescent="0.25">
      <c r="A145" s="152" t="s">
        <v>724</v>
      </c>
      <c r="B145" s="136" t="s">
        <v>526</v>
      </c>
      <c r="C145" s="136">
        <v>42</v>
      </c>
      <c r="D145" s="136"/>
      <c r="E145" s="136">
        <f t="shared" si="2"/>
        <v>3841</v>
      </c>
      <c r="F145" s="136"/>
      <c r="G145" s="136"/>
    </row>
    <row r="146" spans="1:7" x14ac:dyDescent="0.25">
      <c r="A146" s="138" t="s">
        <v>728</v>
      </c>
      <c r="B146" s="136" t="s">
        <v>721</v>
      </c>
      <c r="C146" s="136"/>
      <c r="D146" s="136">
        <v>243</v>
      </c>
      <c r="E146" s="136">
        <f t="shared" si="2"/>
        <v>3598</v>
      </c>
      <c r="F146" s="136" t="s">
        <v>729</v>
      </c>
      <c r="G146" s="136"/>
    </row>
    <row r="147" spans="1:7" x14ac:dyDescent="0.25">
      <c r="A147" s="152" t="s">
        <v>735</v>
      </c>
      <c r="B147" s="136" t="s">
        <v>257</v>
      </c>
      <c r="C147" s="136">
        <v>90</v>
      </c>
      <c r="D147" s="136"/>
      <c r="E147" s="136">
        <f t="shared" si="2"/>
        <v>3688</v>
      </c>
      <c r="F147" s="136"/>
      <c r="G147" s="136"/>
    </row>
    <row r="148" spans="1:7" x14ac:dyDescent="0.25">
      <c r="A148" s="152" t="s">
        <v>735</v>
      </c>
      <c r="B148" s="136" t="s">
        <v>721</v>
      </c>
      <c r="C148" s="136"/>
      <c r="D148" s="136">
        <v>48</v>
      </c>
      <c r="E148" s="136">
        <f t="shared" si="2"/>
        <v>3640</v>
      </c>
      <c r="F148" s="136" t="s">
        <v>737</v>
      </c>
      <c r="G148" s="136"/>
    </row>
    <row r="149" spans="1:7" x14ac:dyDescent="0.25">
      <c r="A149" s="152" t="s">
        <v>735</v>
      </c>
      <c r="B149" s="136" t="s">
        <v>221</v>
      </c>
      <c r="C149" s="136">
        <v>10</v>
      </c>
      <c r="D149" s="136"/>
      <c r="E149" s="136">
        <f t="shared" si="2"/>
        <v>3650</v>
      </c>
      <c r="F149" s="136"/>
      <c r="G149" s="136"/>
    </row>
    <row r="150" spans="1:7" x14ac:dyDescent="0.25">
      <c r="A150" s="152" t="s">
        <v>739</v>
      </c>
      <c r="B150" s="136" t="s">
        <v>221</v>
      </c>
      <c r="C150" s="136">
        <v>26</v>
      </c>
      <c r="D150" s="136"/>
      <c r="E150" s="136">
        <f t="shared" si="2"/>
        <v>3676</v>
      </c>
      <c r="F150" s="136"/>
      <c r="G150" s="136"/>
    </row>
    <row r="151" spans="1:7" ht="15.75" x14ac:dyDescent="0.25">
      <c r="A151" s="246" t="s">
        <v>744</v>
      </c>
      <c r="B151" s="161" t="s">
        <v>665</v>
      </c>
      <c r="C151" s="161">
        <v>11</v>
      </c>
      <c r="D151" s="136"/>
      <c r="E151" s="136">
        <f t="shared" si="2"/>
        <v>3687</v>
      </c>
      <c r="F151" s="136"/>
      <c r="G151" s="136"/>
    </row>
    <row r="152" spans="1:7" x14ac:dyDescent="0.25">
      <c r="A152" s="238" t="s">
        <v>743</v>
      </c>
      <c r="B152" s="136" t="s">
        <v>745</v>
      </c>
      <c r="C152" s="136"/>
      <c r="D152" s="136">
        <v>6</v>
      </c>
      <c r="E152" s="136">
        <f t="shared" si="2"/>
        <v>3681</v>
      </c>
      <c r="F152" s="136" t="s">
        <v>746</v>
      </c>
      <c r="G152" s="136"/>
    </row>
    <row r="153" spans="1:7" x14ac:dyDescent="0.25">
      <c r="A153" s="138" t="s">
        <v>747</v>
      </c>
      <c r="B153" s="136" t="s">
        <v>748</v>
      </c>
      <c r="C153" s="136"/>
      <c r="D153" s="136">
        <v>20</v>
      </c>
      <c r="E153" s="136">
        <f t="shared" si="2"/>
        <v>3661</v>
      </c>
      <c r="F153" s="136" t="s">
        <v>749</v>
      </c>
      <c r="G153" s="136"/>
    </row>
    <row r="154" spans="1:7" x14ac:dyDescent="0.25">
      <c r="A154" s="138" t="s">
        <v>747</v>
      </c>
      <c r="B154" s="136" t="s">
        <v>283</v>
      </c>
      <c r="C154" s="136">
        <v>18</v>
      </c>
      <c r="D154" s="136"/>
      <c r="E154" s="136">
        <f t="shared" si="2"/>
        <v>3679</v>
      </c>
      <c r="F154" s="136"/>
      <c r="G154" s="136"/>
    </row>
    <row r="155" spans="1:7" x14ac:dyDescent="0.25">
      <c r="A155" s="138" t="s">
        <v>747</v>
      </c>
      <c r="B155" s="136" t="s">
        <v>750</v>
      </c>
      <c r="C155" s="136">
        <v>1</v>
      </c>
      <c r="D155" s="136"/>
      <c r="E155" s="136">
        <f t="shared" si="2"/>
        <v>3680</v>
      </c>
      <c r="F155" s="136"/>
      <c r="G155" s="136"/>
    </row>
    <row r="156" spans="1:7" x14ac:dyDescent="0.25">
      <c r="A156" s="152" t="s">
        <v>752</v>
      </c>
      <c r="B156" s="136" t="s">
        <v>221</v>
      </c>
      <c r="C156" s="136">
        <v>10</v>
      </c>
      <c r="D156" s="136"/>
      <c r="E156" s="136">
        <f t="shared" si="2"/>
        <v>3690</v>
      </c>
      <c r="F156" s="136"/>
      <c r="G156" s="136"/>
    </row>
    <row r="157" spans="1:7" x14ac:dyDescent="0.25">
      <c r="A157" s="152" t="s">
        <v>756</v>
      </c>
      <c r="B157" s="136" t="s">
        <v>221</v>
      </c>
      <c r="C157" s="136">
        <v>11</v>
      </c>
      <c r="D157" s="136"/>
      <c r="E157" s="136">
        <f t="shared" si="2"/>
        <v>3701</v>
      </c>
      <c r="F157" s="136"/>
      <c r="G157" s="136"/>
    </row>
    <row r="158" spans="1:7" x14ac:dyDescent="0.25">
      <c r="A158" s="238" t="s">
        <v>756</v>
      </c>
      <c r="B158" s="136" t="s">
        <v>757</v>
      </c>
      <c r="C158" s="136">
        <v>67</v>
      </c>
      <c r="D158" s="136"/>
      <c r="E158" s="136">
        <f t="shared" si="2"/>
        <v>3768</v>
      </c>
      <c r="F158" s="136"/>
      <c r="G158" s="136"/>
    </row>
    <row r="159" spans="1:7" x14ac:dyDescent="0.25">
      <c r="A159" s="152" t="s">
        <v>758</v>
      </c>
      <c r="B159" s="136" t="s">
        <v>221</v>
      </c>
      <c r="C159" s="136">
        <v>18</v>
      </c>
      <c r="D159" s="136"/>
      <c r="E159" s="136">
        <f t="shared" si="2"/>
        <v>3786</v>
      </c>
      <c r="F159" s="136"/>
      <c r="G159" s="136"/>
    </row>
    <row r="160" spans="1:7" x14ac:dyDescent="0.25">
      <c r="A160" s="152" t="s">
        <v>758</v>
      </c>
      <c r="B160" s="136" t="s">
        <v>221</v>
      </c>
      <c r="C160" s="136">
        <v>24</v>
      </c>
      <c r="D160" s="136"/>
      <c r="E160" s="136">
        <f t="shared" si="2"/>
        <v>3810</v>
      </c>
      <c r="F160" s="136"/>
      <c r="G160" s="136"/>
    </row>
    <row r="161" spans="1:7" x14ac:dyDescent="0.25">
      <c r="A161" s="152" t="s">
        <v>762</v>
      </c>
      <c r="B161" s="136" t="s">
        <v>763</v>
      </c>
      <c r="C161" s="136">
        <v>20</v>
      </c>
      <c r="D161" s="136"/>
      <c r="E161" s="136">
        <f t="shared" si="2"/>
        <v>3830</v>
      </c>
      <c r="F161" s="136"/>
      <c r="G161" s="136"/>
    </row>
    <row r="162" spans="1:7" x14ac:dyDescent="0.25">
      <c r="A162" s="152" t="s">
        <v>764</v>
      </c>
      <c r="B162" s="136" t="s">
        <v>638</v>
      </c>
      <c r="C162" s="136"/>
      <c r="D162" s="136">
        <v>15</v>
      </c>
      <c r="E162" s="136">
        <f t="shared" si="2"/>
        <v>3815</v>
      </c>
      <c r="F162" s="136" t="s">
        <v>769</v>
      </c>
      <c r="G162" s="136"/>
    </row>
    <row r="163" spans="1:7" x14ac:dyDescent="0.25">
      <c r="A163" s="152" t="s">
        <v>764</v>
      </c>
      <c r="B163" s="136" t="s">
        <v>638</v>
      </c>
      <c r="C163" s="136"/>
      <c r="D163" s="136">
        <v>45</v>
      </c>
      <c r="E163" s="136">
        <f t="shared" si="2"/>
        <v>3770</v>
      </c>
      <c r="F163" s="136" t="s">
        <v>770</v>
      </c>
      <c r="G163" s="136"/>
    </row>
    <row r="164" spans="1:7" x14ac:dyDescent="0.25">
      <c r="A164" s="238" t="s">
        <v>764</v>
      </c>
      <c r="B164" s="136" t="s">
        <v>763</v>
      </c>
      <c r="C164" s="136">
        <v>86</v>
      </c>
      <c r="D164" s="136"/>
      <c r="E164" s="136">
        <f t="shared" si="2"/>
        <v>3856</v>
      </c>
      <c r="F164" s="136"/>
      <c r="G164" s="136"/>
    </row>
    <row r="165" spans="1:7" x14ac:dyDescent="0.25">
      <c r="A165" s="152" t="s">
        <v>764</v>
      </c>
      <c r="B165" s="136" t="s">
        <v>526</v>
      </c>
      <c r="C165" s="136">
        <v>37</v>
      </c>
      <c r="D165" s="136"/>
      <c r="E165" s="136">
        <f t="shared" si="2"/>
        <v>3893</v>
      </c>
      <c r="F165" s="136"/>
      <c r="G165" s="136"/>
    </row>
    <row r="166" spans="1:7" x14ac:dyDescent="0.25">
      <c r="A166" s="238" t="s">
        <v>771</v>
      </c>
      <c r="B166" s="136" t="s">
        <v>763</v>
      </c>
      <c r="C166" s="136">
        <v>60</v>
      </c>
      <c r="D166" s="136"/>
      <c r="E166" s="136">
        <f t="shared" si="2"/>
        <v>3953</v>
      </c>
      <c r="F166" s="136"/>
      <c r="G166" s="136"/>
    </row>
    <row r="167" spans="1:7" x14ac:dyDescent="0.25">
      <c r="A167" s="152" t="s">
        <v>773</v>
      </c>
      <c r="B167" s="136" t="s">
        <v>763</v>
      </c>
      <c r="C167" s="136">
        <v>87</v>
      </c>
      <c r="D167" s="136"/>
      <c r="E167" s="136">
        <f t="shared" si="2"/>
        <v>4040</v>
      </c>
      <c r="F167" s="136"/>
      <c r="G167" s="136"/>
    </row>
    <row r="168" spans="1:7" x14ac:dyDescent="0.25">
      <c r="A168" s="138" t="s">
        <v>773</v>
      </c>
      <c r="B168" s="136" t="s">
        <v>283</v>
      </c>
      <c r="C168" s="136">
        <v>13</v>
      </c>
      <c r="D168" s="136"/>
      <c r="E168" s="136">
        <f t="shared" si="2"/>
        <v>4053</v>
      </c>
      <c r="F168" s="136"/>
      <c r="G168" s="136"/>
    </row>
    <row r="169" spans="1:7" x14ac:dyDescent="0.25">
      <c r="A169" s="152" t="s">
        <v>775</v>
      </c>
      <c r="B169" s="136" t="s">
        <v>763</v>
      </c>
      <c r="C169" s="136">
        <v>32</v>
      </c>
      <c r="D169" s="136"/>
      <c r="E169" s="136">
        <f t="shared" si="2"/>
        <v>4085</v>
      </c>
      <c r="F169" s="136"/>
      <c r="G169" s="136"/>
    </row>
    <row r="170" spans="1:7" x14ac:dyDescent="0.25">
      <c r="A170" s="152" t="s">
        <v>775</v>
      </c>
      <c r="B170" s="136" t="s">
        <v>763</v>
      </c>
      <c r="C170" s="136">
        <v>20</v>
      </c>
      <c r="D170" s="136"/>
      <c r="E170" s="136">
        <f t="shared" si="2"/>
        <v>4105</v>
      </c>
      <c r="F170" s="136"/>
      <c r="G170" s="136"/>
    </row>
    <row r="171" spans="1:7" x14ac:dyDescent="0.25">
      <c r="A171" s="152" t="s">
        <v>779</v>
      </c>
      <c r="B171" s="136" t="s">
        <v>763</v>
      </c>
      <c r="C171" s="136">
        <v>42</v>
      </c>
      <c r="D171" s="136"/>
      <c r="E171" s="136">
        <f t="shared" si="2"/>
        <v>4147</v>
      </c>
      <c r="F171" s="136"/>
      <c r="G171" s="136"/>
    </row>
    <row r="172" spans="1:7" x14ac:dyDescent="0.25">
      <c r="A172" s="152" t="s">
        <v>779</v>
      </c>
      <c r="B172" s="136" t="s">
        <v>763</v>
      </c>
      <c r="C172" s="136">
        <v>15</v>
      </c>
      <c r="D172" s="136"/>
      <c r="E172" s="136">
        <f t="shared" si="2"/>
        <v>4162</v>
      </c>
      <c r="F172" s="136"/>
      <c r="G172" s="136"/>
    </row>
    <row r="173" spans="1:7" x14ac:dyDescent="0.25">
      <c r="A173" s="152" t="s">
        <v>788</v>
      </c>
      <c r="B173" s="136" t="s">
        <v>763</v>
      </c>
      <c r="C173" s="136">
        <v>45</v>
      </c>
      <c r="D173" s="136"/>
      <c r="E173" s="136">
        <f t="shared" si="2"/>
        <v>4207</v>
      </c>
      <c r="F173" s="136"/>
      <c r="G173" s="136"/>
    </row>
    <row r="174" spans="1:7" x14ac:dyDescent="0.25">
      <c r="A174" s="152" t="s">
        <v>788</v>
      </c>
      <c r="B174" s="136" t="s">
        <v>763</v>
      </c>
      <c r="C174" s="136">
        <v>30</v>
      </c>
      <c r="D174" s="136"/>
      <c r="E174" s="136">
        <f t="shared" si="2"/>
        <v>4237</v>
      </c>
      <c r="F174" s="136"/>
      <c r="G174" s="136"/>
    </row>
    <row r="175" spans="1:7" x14ac:dyDescent="0.25">
      <c r="A175" s="152" t="s">
        <v>794</v>
      </c>
      <c r="B175" s="136" t="s">
        <v>221</v>
      </c>
      <c r="C175" s="136">
        <v>24</v>
      </c>
      <c r="D175" s="136"/>
      <c r="E175" s="136">
        <f t="shared" si="2"/>
        <v>4261</v>
      </c>
      <c r="F175" s="136"/>
      <c r="G175" s="136"/>
    </row>
    <row r="176" spans="1:7" x14ac:dyDescent="0.25">
      <c r="A176" s="138" t="s">
        <v>802</v>
      </c>
      <c r="B176" s="136" t="s">
        <v>721</v>
      </c>
      <c r="C176" s="136">
        <v>92</v>
      </c>
      <c r="D176" s="136"/>
      <c r="E176" s="136">
        <f t="shared" si="2"/>
        <v>4353</v>
      </c>
      <c r="F176" s="136"/>
      <c r="G176" s="136"/>
    </row>
    <row r="177" spans="1:7" x14ac:dyDescent="0.25">
      <c r="A177" s="138" t="s">
        <v>803</v>
      </c>
      <c r="B177" s="136" t="s">
        <v>381</v>
      </c>
      <c r="C177" s="136">
        <v>50</v>
      </c>
      <c r="D177" s="136"/>
      <c r="E177" s="136">
        <f t="shared" si="2"/>
        <v>4403</v>
      </c>
      <c r="F177" s="136"/>
      <c r="G177" s="136"/>
    </row>
    <row r="178" spans="1:7" x14ac:dyDescent="0.25">
      <c r="A178" s="138" t="s">
        <v>803</v>
      </c>
      <c r="B178" s="136" t="s">
        <v>522</v>
      </c>
      <c r="C178" s="136">
        <v>54</v>
      </c>
      <c r="D178" s="136"/>
      <c r="E178" s="136">
        <f t="shared" si="2"/>
        <v>4457</v>
      </c>
      <c r="F178" s="136"/>
      <c r="G178" s="136"/>
    </row>
    <row r="179" spans="1:7" x14ac:dyDescent="0.25">
      <c r="A179" s="152" t="s">
        <v>804</v>
      </c>
      <c r="B179" s="136" t="s">
        <v>809</v>
      </c>
      <c r="C179" s="136">
        <v>61</v>
      </c>
      <c r="D179" s="136"/>
      <c r="E179" s="136">
        <f t="shared" si="2"/>
        <v>4518</v>
      </c>
      <c r="F179" s="136"/>
      <c r="G179" s="136"/>
    </row>
    <row r="180" spans="1:7" x14ac:dyDescent="0.25">
      <c r="A180" s="152" t="s">
        <v>811</v>
      </c>
      <c r="B180" s="136" t="s">
        <v>814</v>
      </c>
      <c r="C180" s="136"/>
      <c r="D180" s="136">
        <v>30</v>
      </c>
      <c r="E180" s="136">
        <f t="shared" si="2"/>
        <v>4488</v>
      </c>
      <c r="F180" s="136" t="s">
        <v>815</v>
      </c>
      <c r="G180" s="136"/>
    </row>
    <row r="181" spans="1:7" x14ac:dyDescent="0.25">
      <c r="A181" s="152" t="s">
        <v>820</v>
      </c>
      <c r="B181" s="136" t="s">
        <v>816</v>
      </c>
      <c r="C181" s="136"/>
      <c r="D181" s="136">
        <v>240</v>
      </c>
      <c r="E181" s="136">
        <f t="shared" si="2"/>
        <v>4248</v>
      </c>
      <c r="F181" s="136" t="s">
        <v>825</v>
      </c>
      <c r="G181" s="136"/>
    </row>
    <row r="182" spans="1:7" x14ac:dyDescent="0.25">
      <c r="A182" s="138" t="s">
        <v>827</v>
      </c>
      <c r="B182" s="136" t="s">
        <v>382</v>
      </c>
      <c r="C182" s="136">
        <v>15</v>
      </c>
      <c r="D182" s="136"/>
      <c r="E182" s="136">
        <f t="shared" si="2"/>
        <v>4263</v>
      </c>
      <c r="F182" s="136"/>
      <c r="G182" s="136"/>
    </row>
    <row r="183" spans="1:7" x14ac:dyDescent="0.25">
      <c r="A183" s="152" t="s">
        <v>832</v>
      </c>
      <c r="B183" s="136" t="s">
        <v>833</v>
      </c>
      <c r="C183" s="136"/>
      <c r="D183" s="136">
        <v>200</v>
      </c>
      <c r="E183" s="136">
        <f t="shared" si="2"/>
        <v>4063</v>
      </c>
      <c r="F183" s="163" t="s">
        <v>846</v>
      </c>
      <c r="G183" s="136"/>
    </row>
    <row r="184" spans="1:7" x14ac:dyDescent="0.25">
      <c r="A184" s="138" t="s">
        <v>835</v>
      </c>
      <c r="B184" s="136" t="s">
        <v>783</v>
      </c>
      <c r="C184" s="136"/>
      <c r="D184" s="136">
        <v>33</v>
      </c>
      <c r="E184" s="136">
        <f t="shared" si="2"/>
        <v>4030</v>
      </c>
      <c r="F184" s="163" t="s">
        <v>845</v>
      </c>
      <c r="G184" s="136"/>
    </row>
    <row r="185" spans="1:7" x14ac:dyDescent="0.25">
      <c r="A185" s="152" t="s">
        <v>839</v>
      </c>
      <c r="B185" s="136" t="s">
        <v>833</v>
      </c>
      <c r="C185" s="136"/>
      <c r="D185" s="136">
        <v>150</v>
      </c>
      <c r="E185" s="136">
        <f t="shared" si="2"/>
        <v>3880</v>
      </c>
      <c r="F185" s="136" t="s">
        <v>842</v>
      </c>
      <c r="G185" s="136"/>
    </row>
    <row r="186" spans="1:7" x14ac:dyDescent="0.25">
      <c r="A186" s="152" t="s">
        <v>839</v>
      </c>
      <c r="B186" s="136" t="s">
        <v>783</v>
      </c>
      <c r="C186" s="136"/>
      <c r="D186" s="136">
        <v>67</v>
      </c>
      <c r="E186" s="136">
        <f t="shared" si="2"/>
        <v>3813</v>
      </c>
      <c r="F186" s="136" t="s">
        <v>843</v>
      </c>
      <c r="G186" s="136"/>
    </row>
    <row r="187" spans="1:7" x14ac:dyDescent="0.25">
      <c r="A187" s="152" t="s">
        <v>839</v>
      </c>
      <c r="B187" s="136" t="s">
        <v>844</v>
      </c>
      <c r="C187" s="136">
        <v>11</v>
      </c>
      <c r="D187" s="136"/>
      <c r="E187" s="136">
        <f t="shared" si="2"/>
        <v>3824</v>
      </c>
      <c r="F187" s="136"/>
      <c r="G187" s="136"/>
    </row>
    <row r="188" spans="1:7" x14ac:dyDescent="0.25">
      <c r="A188" s="138" t="s">
        <v>848</v>
      </c>
      <c r="B188" s="136" t="s">
        <v>849</v>
      </c>
      <c r="C188" s="136"/>
      <c r="D188" s="136">
        <v>2</v>
      </c>
      <c r="E188" s="136">
        <f t="shared" si="2"/>
        <v>3822</v>
      </c>
      <c r="F188" s="136"/>
      <c r="G188" s="136"/>
    </row>
    <row r="189" spans="1:7" x14ac:dyDescent="0.25">
      <c r="A189" s="152" t="s">
        <v>848</v>
      </c>
      <c r="B189" s="136" t="s">
        <v>550</v>
      </c>
      <c r="C189" s="136">
        <v>26</v>
      </c>
      <c r="D189" s="136"/>
      <c r="E189" s="136">
        <f t="shared" si="2"/>
        <v>3848</v>
      </c>
      <c r="F189" s="136"/>
      <c r="G189" s="136"/>
    </row>
    <row r="190" spans="1:7" x14ac:dyDescent="0.25">
      <c r="A190" s="152" t="s">
        <v>848</v>
      </c>
      <c r="B190" s="136" t="s">
        <v>550</v>
      </c>
      <c r="C190" s="136">
        <v>95</v>
      </c>
      <c r="D190" s="136"/>
      <c r="E190" s="136">
        <f t="shared" si="2"/>
        <v>3943</v>
      </c>
      <c r="F190" s="136"/>
      <c r="G190" s="136"/>
    </row>
    <row r="191" spans="1:7" x14ac:dyDescent="0.25">
      <c r="A191" s="152" t="s">
        <v>847</v>
      </c>
      <c r="B191" s="136" t="s">
        <v>783</v>
      </c>
      <c r="C191" s="136"/>
      <c r="D191" s="136">
        <v>165</v>
      </c>
      <c r="E191" s="136">
        <f t="shared" si="2"/>
        <v>3778</v>
      </c>
      <c r="F191" s="136" t="s">
        <v>852</v>
      </c>
      <c r="G191" s="136"/>
    </row>
    <row r="192" spans="1:7" x14ac:dyDescent="0.25">
      <c r="A192" s="152" t="s">
        <v>856</v>
      </c>
      <c r="B192" s="136" t="s">
        <v>858</v>
      </c>
      <c r="C192" s="136"/>
      <c r="D192" s="36">
        <v>6</v>
      </c>
      <c r="E192" s="136">
        <f t="shared" si="2"/>
        <v>3772</v>
      </c>
      <c r="F192" s="48" t="s">
        <v>17</v>
      </c>
      <c r="G192" s="136"/>
    </row>
    <row r="193" spans="1:7" x14ac:dyDescent="0.25">
      <c r="A193" s="152" t="s">
        <v>856</v>
      </c>
      <c r="B193" s="136" t="s">
        <v>783</v>
      </c>
      <c r="C193" s="136"/>
      <c r="D193" s="136">
        <v>15</v>
      </c>
      <c r="E193" s="136">
        <f t="shared" si="2"/>
        <v>3757</v>
      </c>
      <c r="F193" s="163" t="s">
        <v>863</v>
      </c>
      <c r="G193" s="136"/>
    </row>
    <row r="194" spans="1:7" x14ac:dyDescent="0.25">
      <c r="A194" s="152" t="s">
        <v>856</v>
      </c>
      <c r="B194" s="136" t="s">
        <v>522</v>
      </c>
      <c r="C194" s="163">
        <v>77</v>
      </c>
      <c r="D194" s="136"/>
      <c r="E194" s="136">
        <f t="shared" si="2"/>
        <v>3834</v>
      </c>
      <c r="F194" s="136"/>
      <c r="G194" s="136"/>
    </row>
    <row r="195" spans="1:7" x14ac:dyDescent="0.25">
      <c r="A195" s="138" t="s">
        <v>869</v>
      </c>
      <c r="B195" s="136" t="s">
        <v>221</v>
      </c>
      <c r="C195" s="136">
        <v>5</v>
      </c>
      <c r="D195" s="136"/>
      <c r="E195" s="136">
        <f t="shared" si="2"/>
        <v>3839</v>
      </c>
      <c r="F195" s="136"/>
      <c r="G195" s="136"/>
    </row>
    <row r="196" spans="1:7" x14ac:dyDescent="0.25">
      <c r="A196" s="138" t="s">
        <v>880</v>
      </c>
      <c r="B196" s="136" t="s">
        <v>522</v>
      </c>
      <c r="C196" s="136">
        <v>69</v>
      </c>
      <c r="D196" s="136"/>
      <c r="E196" s="136">
        <f t="shared" si="2"/>
        <v>3908</v>
      </c>
      <c r="F196" s="136"/>
      <c r="G196" s="136"/>
    </row>
    <row r="197" spans="1:7" x14ac:dyDescent="0.25">
      <c r="A197" s="138" t="s">
        <v>883</v>
      </c>
      <c r="B197" s="136" t="s">
        <v>814</v>
      </c>
      <c r="C197" s="136"/>
      <c r="D197" s="136">
        <v>9</v>
      </c>
      <c r="E197" s="136">
        <f t="shared" si="2"/>
        <v>3899</v>
      </c>
      <c r="F197" s="136" t="s">
        <v>889</v>
      </c>
      <c r="G197" s="136"/>
    </row>
    <row r="198" spans="1:7" ht="15.75" x14ac:dyDescent="0.25">
      <c r="A198" s="246" t="s">
        <v>883</v>
      </c>
      <c r="B198" s="161" t="s">
        <v>833</v>
      </c>
      <c r="C198" s="161"/>
      <c r="D198" s="161">
        <v>16</v>
      </c>
      <c r="E198" s="136">
        <f t="shared" si="2"/>
        <v>3883</v>
      </c>
      <c r="F198" s="161" t="s">
        <v>892</v>
      </c>
      <c r="G198" s="136"/>
    </row>
    <row r="199" spans="1:7" x14ac:dyDescent="0.25">
      <c r="A199" s="152" t="s">
        <v>883</v>
      </c>
      <c r="B199" s="136" t="s">
        <v>757</v>
      </c>
      <c r="C199" s="136">
        <v>33</v>
      </c>
      <c r="D199" s="136"/>
      <c r="E199" s="136">
        <f t="shared" si="2"/>
        <v>3916</v>
      </c>
      <c r="F199" s="136"/>
      <c r="G199" s="136"/>
    </row>
    <row r="200" spans="1:7" x14ac:dyDescent="0.25">
      <c r="A200" s="138" t="s">
        <v>893</v>
      </c>
      <c r="B200" s="136" t="s">
        <v>783</v>
      </c>
      <c r="C200" s="136"/>
      <c r="D200" s="136">
        <v>72</v>
      </c>
      <c r="E200" s="136">
        <f t="shared" si="2"/>
        <v>3844</v>
      </c>
      <c r="F200" s="136" t="s">
        <v>894</v>
      </c>
      <c r="G200" s="136"/>
    </row>
    <row r="201" spans="1:7" x14ac:dyDescent="0.25">
      <c r="A201" s="138" t="s">
        <v>897</v>
      </c>
      <c r="B201" s="136" t="s">
        <v>632</v>
      </c>
      <c r="C201" s="136"/>
      <c r="D201" s="136">
        <v>33</v>
      </c>
      <c r="E201" s="136">
        <f t="shared" si="2"/>
        <v>3811</v>
      </c>
      <c r="F201" s="152" t="s">
        <v>896</v>
      </c>
      <c r="G201" s="136"/>
    </row>
    <row r="202" spans="1:7" x14ac:dyDescent="0.25">
      <c r="A202" s="138" t="s">
        <v>897</v>
      </c>
      <c r="B202" s="136" t="s">
        <v>899</v>
      </c>
      <c r="C202" s="136"/>
      <c r="D202" s="136">
        <v>183</v>
      </c>
      <c r="E202" s="136">
        <f t="shared" si="2"/>
        <v>3628</v>
      </c>
      <c r="F202" s="136" t="s">
        <v>900</v>
      </c>
      <c r="G202" s="136"/>
    </row>
    <row r="203" spans="1:7" x14ac:dyDescent="0.25">
      <c r="A203" s="138" t="s">
        <v>897</v>
      </c>
      <c r="B203" s="136" t="s">
        <v>901</v>
      </c>
      <c r="C203" s="136">
        <v>95</v>
      </c>
      <c r="D203" s="136"/>
      <c r="E203" s="136">
        <f t="shared" si="2"/>
        <v>3723</v>
      </c>
      <c r="F203" s="136"/>
      <c r="G203" s="136"/>
    </row>
    <row r="204" spans="1:7" x14ac:dyDescent="0.25">
      <c r="A204" s="152" t="s">
        <v>902</v>
      </c>
      <c r="B204" s="136" t="s">
        <v>783</v>
      </c>
      <c r="C204" s="136"/>
      <c r="D204" s="136">
        <v>80</v>
      </c>
      <c r="E204" s="136">
        <f t="shared" si="2"/>
        <v>3643</v>
      </c>
      <c r="F204" s="136" t="s">
        <v>906</v>
      </c>
      <c r="G204" s="136"/>
    </row>
    <row r="205" spans="1:7" x14ac:dyDescent="0.25">
      <c r="A205" s="152" t="s">
        <v>902</v>
      </c>
      <c r="B205" s="136" t="s">
        <v>257</v>
      </c>
      <c r="C205" s="136">
        <v>102</v>
      </c>
      <c r="D205" s="136"/>
      <c r="E205" s="136">
        <f t="shared" si="2"/>
        <v>3745</v>
      </c>
      <c r="F205" s="136"/>
      <c r="G205" s="136"/>
    </row>
    <row r="206" spans="1:7" x14ac:dyDescent="0.25">
      <c r="A206" s="152" t="s">
        <v>902</v>
      </c>
      <c r="B206" s="136" t="s">
        <v>907</v>
      </c>
      <c r="C206" s="136"/>
      <c r="D206" s="136">
        <v>9</v>
      </c>
      <c r="E206" s="136">
        <f t="shared" ref="E206:E214" si="3">E205+C206-D206</f>
        <v>3736</v>
      </c>
      <c r="F206" s="136"/>
      <c r="G206" s="136"/>
    </row>
    <row r="207" spans="1:7" x14ac:dyDescent="0.25">
      <c r="A207" s="152" t="s">
        <v>902</v>
      </c>
      <c r="B207" s="136" t="s">
        <v>907</v>
      </c>
      <c r="C207" s="136"/>
      <c r="D207" s="136">
        <v>9</v>
      </c>
      <c r="E207" s="136">
        <f t="shared" si="3"/>
        <v>3727</v>
      </c>
      <c r="F207" s="136"/>
      <c r="G207" s="136"/>
    </row>
    <row r="208" spans="1:7" x14ac:dyDescent="0.25">
      <c r="A208" s="152" t="s">
        <v>902</v>
      </c>
      <c r="B208" s="136" t="s">
        <v>908</v>
      </c>
      <c r="C208" s="136">
        <v>80</v>
      </c>
      <c r="D208" s="136"/>
      <c r="E208" s="136">
        <f t="shared" si="3"/>
        <v>3807</v>
      </c>
      <c r="F208" s="136"/>
      <c r="G208" s="136"/>
    </row>
    <row r="209" spans="1:7" x14ac:dyDescent="0.25">
      <c r="A209" s="152" t="s">
        <v>911</v>
      </c>
      <c r="B209" s="36" t="s">
        <v>912</v>
      </c>
      <c r="C209" s="36">
        <v>8</v>
      </c>
      <c r="D209" s="136"/>
      <c r="E209" s="136">
        <f t="shared" si="3"/>
        <v>3815</v>
      </c>
      <c r="F209" s="136"/>
      <c r="G209" s="136"/>
    </row>
    <row r="210" spans="1:7" x14ac:dyDescent="0.25">
      <c r="A210" s="152" t="s">
        <v>911</v>
      </c>
      <c r="B210" s="136" t="s">
        <v>275</v>
      </c>
      <c r="C210" s="136">
        <v>29</v>
      </c>
      <c r="D210" s="136"/>
      <c r="E210" s="136">
        <f t="shared" si="3"/>
        <v>3844</v>
      </c>
      <c r="F210" s="136"/>
      <c r="G210" s="136"/>
    </row>
    <row r="211" spans="1:7" x14ac:dyDescent="0.25">
      <c r="A211" s="152" t="s">
        <v>911</v>
      </c>
      <c r="B211" s="136" t="s">
        <v>522</v>
      </c>
      <c r="C211" s="136">
        <v>41</v>
      </c>
      <c r="D211" s="136"/>
      <c r="E211" s="136">
        <f t="shared" si="3"/>
        <v>3885</v>
      </c>
      <c r="F211" s="136"/>
      <c r="G211" s="136"/>
    </row>
    <row r="212" spans="1:7" x14ac:dyDescent="0.25">
      <c r="A212" s="152" t="s">
        <v>914</v>
      </c>
      <c r="B212" s="136" t="s">
        <v>915</v>
      </c>
      <c r="C212" s="136"/>
      <c r="D212" s="136">
        <v>20</v>
      </c>
      <c r="E212" s="136">
        <f t="shared" si="3"/>
        <v>3865</v>
      </c>
      <c r="F212" s="136" t="s">
        <v>916</v>
      </c>
      <c r="G212" s="136"/>
    </row>
    <row r="213" spans="1:7" x14ac:dyDescent="0.25">
      <c r="A213" s="152" t="s">
        <v>914</v>
      </c>
      <c r="B213" s="136" t="s">
        <v>783</v>
      </c>
      <c r="C213" s="136"/>
      <c r="D213" s="136">
        <v>50</v>
      </c>
      <c r="E213" s="136">
        <f t="shared" si="3"/>
        <v>3815</v>
      </c>
      <c r="F213" s="136" t="s">
        <v>917</v>
      </c>
      <c r="G213" s="136"/>
    </row>
    <row r="214" spans="1:7" ht="15.75" x14ac:dyDescent="0.25">
      <c r="A214" s="246" t="s">
        <v>914</v>
      </c>
      <c r="B214" s="161" t="s">
        <v>915</v>
      </c>
      <c r="C214" s="161"/>
      <c r="D214" s="161">
        <v>10</v>
      </c>
      <c r="E214" s="136">
        <f t="shared" si="3"/>
        <v>3805</v>
      </c>
      <c r="F214" s="161" t="s">
        <v>918</v>
      </c>
      <c r="G214" s="136"/>
    </row>
    <row r="215" spans="1:7" x14ac:dyDescent="0.25">
      <c r="A215" s="136"/>
      <c r="B215" s="136"/>
      <c r="C215" s="136"/>
      <c r="D215" s="136"/>
      <c r="E215" s="136"/>
      <c r="F215" s="136"/>
      <c r="G215" s="136"/>
    </row>
    <row r="216" spans="1:7" x14ac:dyDescent="0.25">
      <c r="A216" s="136"/>
      <c r="B216" s="136"/>
      <c r="C216" s="136"/>
      <c r="D216" s="136"/>
      <c r="E216" s="136"/>
      <c r="F216" s="136"/>
      <c r="G216" s="136"/>
    </row>
    <row r="217" spans="1:7" x14ac:dyDescent="0.25">
      <c r="A217" s="136"/>
      <c r="B217" s="136"/>
      <c r="C217" s="136"/>
      <c r="D217" s="136"/>
      <c r="E217" s="136"/>
      <c r="F217" s="136"/>
      <c r="G217" s="136"/>
    </row>
    <row r="218" spans="1:7" x14ac:dyDescent="0.25">
      <c r="A218" s="136"/>
      <c r="B218" s="136"/>
      <c r="C218" s="136"/>
      <c r="D218" s="136"/>
      <c r="E218" s="136"/>
      <c r="F218" s="136"/>
      <c r="G218" s="136"/>
    </row>
    <row r="219" spans="1:7" x14ac:dyDescent="0.25">
      <c r="A219" s="136"/>
      <c r="B219" s="136"/>
      <c r="C219" s="136"/>
      <c r="D219" s="136"/>
      <c r="E219" s="136"/>
      <c r="F219" s="136"/>
      <c r="G219" s="136"/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8" sqref="A8:C8"/>
    </sheetView>
  </sheetViews>
  <sheetFormatPr defaultRowHeight="15" x14ac:dyDescent="0.25"/>
  <cols>
    <col min="1" max="1" width="12.140625" style="129" customWidth="1"/>
    <col min="2" max="2" width="29.140625" style="129" customWidth="1"/>
    <col min="3" max="5" width="9.140625" style="129"/>
    <col min="6" max="6" width="14.140625" style="129" customWidth="1"/>
    <col min="7" max="7" width="23.42578125" style="129" customWidth="1"/>
  </cols>
  <sheetData>
    <row r="2" spans="1:7" ht="15.75" x14ac:dyDescent="0.25">
      <c r="A2" s="126" t="s">
        <v>48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6"/>
      <c r="B5" s="136" t="s">
        <v>333</v>
      </c>
      <c r="C5" s="136"/>
      <c r="D5" s="136"/>
      <c r="E5" s="136"/>
      <c r="F5" s="136">
        <v>157</v>
      </c>
      <c r="G5" s="136"/>
    </row>
    <row r="6" spans="1:7" x14ac:dyDescent="0.25">
      <c r="A6" s="172"/>
      <c r="B6" s="172"/>
      <c r="C6" s="172"/>
      <c r="D6" s="172"/>
      <c r="E6" s="172">
        <v>157</v>
      </c>
      <c r="F6" s="172"/>
      <c r="G6" s="172"/>
    </row>
    <row r="7" spans="1:7" x14ac:dyDescent="0.25">
      <c r="A7" s="152" t="s">
        <v>343</v>
      </c>
      <c r="B7" s="136" t="s">
        <v>349</v>
      </c>
      <c r="C7" s="136">
        <v>15</v>
      </c>
      <c r="D7" s="136"/>
      <c r="E7" s="136">
        <f>E6+C7-D7</f>
        <v>172</v>
      </c>
      <c r="F7" s="136"/>
      <c r="G7" s="136"/>
    </row>
    <row r="8" spans="1:7" x14ac:dyDescent="0.25">
      <c r="D8" s="136"/>
      <c r="E8" s="136"/>
      <c r="F8" s="136"/>
      <c r="G8" s="136"/>
    </row>
    <row r="9" spans="1:7" x14ac:dyDescent="0.25">
      <c r="A9" s="136"/>
      <c r="B9" s="136"/>
      <c r="C9" s="136"/>
      <c r="D9" s="136"/>
      <c r="E9" s="136"/>
      <c r="F9" s="136"/>
      <c r="G9" s="136"/>
    </row>
    <row r="10" spans="1:7" x14ac:dyDescent="0.25">
      <c r="A10" s="136"/>
      <c r="B10" s="136"/>
      <c r="C10" s="136"/>
      <c r="D10" s="136"/>
      <c r="E10" s="136"/>
      <c r="F10" s="136"/>
      <c r="G10" s="136"/>
    </row>
    <row r="11" spans="1:7" x14ac:dyDescent="0.25">
      <c r="A11" s="136"/>
      <c r="B11" s="136"/>
      <c r="C11" s="136"/>
      <c r="D11" s="136"/>
      <c r="E11" s="136"/>
      <c r="F11" s="136"/>
      <c r="G11" s="136"/>
    </row>
    <row r="12" spans="1:7" x14ac:dyDescent="0.25">
      <c r="A12" s="136"/>
      <c r="B12" s="136"/>
      <c r="C12" s="136"/>
      <c r="D12" s="136"/>
      <c r="E12" s="136"/>
      <c r="F12" s="136"/>
      <c r="G12" s="136"/>
    </row>
    <row r="13" spans="1:7" x14ac:dyDescent="0.25">
      <c r="A13" s="136"/>
      <c r="B13" s="136"/>
      <c r="C13" s="136"/>
      <c r="D13" s="136"/>
      <c r="E13" s="136"/>
      <c r="F13" s="136"/>
      <c r="G13" s="136"/>
    </row>
    <row r="14" spans="1:7" x14ac:dyDescent="0.25">
      <c r="A14" s="136"/>
      <c r="B14" s="136"/>
      <c r="C14" s="136"/>
      <c r="D14" s="136"/>
      <c r="E14" s="136"/>
      <c r="F14" s="136"/>
      <c r="G14" s="136"/>
    </row>
    <row r="15" spans="1:7" x14ac:dyDescent="0.25">
      <c r="A15" s="136"/>
      <c r="B15" s="136"/>
      <c r="C15" s="136"/>
      <c r="D15" s="136"/>
      <c r="E15" s="136"/>
      <c r="F15" s="136"/>
      <c r="G15" s="136"/>
    </row>
    <row r="16" spans="1:7" x14ac:dyDescent="0.25">
      <c r="A16" s="136"/>
      <c r="B16" s="136"/>
      <c r="C16" s="136"/>
      <c r="D16" s="136"/>
      <c r="E16" s="136"/>
      <c r="F16" s="136"/>
      <c r="G16" s="136"/>
    </row>
    <row r="17" spans="1:7" x14ac:dyDescent="0.25">
      <c r="A17" s="136"/>
      <c r="B17" s="136"/>
      <c r="C17" s="136"/>
      <c r="D17" s="136"/>
      <c r="E17" s="136"/>
      <c r="F17" s="136"/>
      <c r="G17" s="136"/>
    </row>
    <row r="18" spans="1:7" x14ac:dyDescent="0.25">
      <c r="A18" s="136"/>
      <c r="B18" s="136"/>
      <c r="C18" s="136"/>
      <c r="D18" s="136"/>
      <c r="E18" s="136"/>
      <c r="F18" s="136"/>
      <c r="G18" s="136"/>
    </row>
  </sheetData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F12" sqref="F12"/>
    </sheetView>
  </sheetViews>
  <sheetFormatPr defaultRowHeight="15" x14ac:dyDescent="0.25"/>
  <cols>
    <col min="1" max="1" width="18.5703125" style="129" customWidth="1"/>
    <col min="2" max="2" width="28.85546875" style="129" customWidth="1"/>
    <col min="3" max="5" width="9.140625" style="129"/>
    <col min="6" max="6" width="15.7109375" style="129" customWidth="1"/>
    <col min="7" max="7" width="22.42578125" style="129" customWidth="1"/>
  </cols>
  <sheetData>
    <row r="2" spans="1:7" ht="15.75" x14ac:dyDescent="0.25">
      <c r="A2" s="126" t="s">
        <v>707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3"/>
      <c r="B5" s="134" t="s">
        <v>243</v>
      </c>
      <c r="C5" s="134"/>
      <c r="D5" s="134"/>
      <c r="E5" s="134">
        <v>81</v>
      </c>
      <c r="F5" s="135"/>
      <c r="G5" s="136"/>
    </row>
    <row r="6" spans="1:7" x14ac:dyDescent="0.25">
      <c r="A6" s="152" t="s">
        <v>315</v>
      </c>
      <c r="B6" s="136" t="s">
        <v>316</v>
      </c>
      <c r="C6" s="136"/>
      <c r="D6" s="136">
        <v>8</v>
      </c>
      <c r="E6" s="136">
        <f>E5+C6-D6</f>
        <v>73</v>
      </c>
      <c r="F6" s="136" t="s">
        <v>317</v>
      </c>
      <c r="G6" s="136"/>
    </row>
    <row r="7" spans="1:7" x14ac:dyDescent="0.25">
      <c r="A7" s="152" t="s">
        <v>528</v>
      </c>
      <c r="B7" s="136" t="s">
        <v>529</v>
      </c>
      <c r="C7" s="136"/>
      <c r="D7" s="136">
        <v>2</v>
      </c>
      <c r="E7" s="136">
        <f>E6+C7-D7</f>
        <v>71</v>
      </c>
      <c r="F7" s="136" t="s">
        <v>530</v>
      </c>
      <c r="G7" s="136"/>
    </row>
    <row r="8" spans="1:7" x14ac:dyDescent="0.25">
      <c r="A8" s="121" t="s">
        <v>701</v>
      </c>
      <c r="B8" s="36" t="s">
        <v>529</v>
      </c>
      <c r="C8" s="36">
        <v>3</v>
      </c>
      <c r="D8" s="136"/>
      <c r="E8" s="136"/>
      <c r="F8" s="136"/>
      <c r="G8" s="136"/>
    </row>
    <row r="9" spans="1:7" x14ac:dyDescent="0.25">
      <c r="A9" s="121" t="s">
        <v>701</v>
      </c>
      <c r="B9" s="36" t="s">
        <v>529</v>
      </c>
      <c r="C9" s="136">
        <v>5</v>
      </c>
      <c r="D9" s="136"/>
      <c r="E9" s="136"/>
      <c r="F9" s="136" t="s">
        <v>708</v>
      </c>
      <c r="G9" s="136"/>
    </row>
    <row r="10" spans="1:7" x14ac:dyDescent="0.25">
      <c r="A10" s="152" t="s">
        <v>911</v>
      </c>
      <c r="B10" s="36" t="s">
        <v>912</v>
      </c>
      <c r="C10" s="36">
        <v>7</v>
      </c>
      <c r="D10" s="136"/>
      <c r="E10" s="136"/>
      <c r="F10" s="136"/>
      <c r="G10" s="136"/>
    </row>
    <row r="11" spans="1:7" x14ac:dyDescent="0.25">
      <c r="A11" s="152" t="s">
        <v>911</v>
      </c>
      <c r="B11" s="36" t="s">
        <v>912</v>
      </c>
      <c r="C11" s="136">
        <v>3</v>
      </c>
      <c r="D11" s="136"/>
      <c r="E11" s="136"/>
      <c r="F11" s="136" t="s">
        <v>913</v>
      </c>
      <c r="G11" s="136"/>
    </row>
    <row r="12" spans="1:7" x14ac:dyDescent="0.25">
      <c r="A12" s="136"/>
      <c r="B12" s="136"/>
      <c r="C12" s="136"/>
      <c r="D12" s="136"/>
      <c r="E12" s="136"/>
      <c r="F12" s="136"/>
      <c r="G12" s="136"/>
    </row>
    <row r="13" spans="1:7" x14ac:dyDescent="0.25">
      <c r="A13" s="136"/>
      <c r="B13" s="136"/>
      <c r="C13" s="136"/>
      <c r="D13" s="136"/>
      <c r="E13" s="136"/>
      <c r="F13" s="136"/>
      <c r="G13" s="136"/>
    </row>
    <row r="14" spans="1:7" x14ac:dyDescent="0.25">
      <c r="A14" s="136"/>
      <c r="B14" s="136"/>
      <c r="C14" s="136"/>
      <c r="D14" s="136"/>
      <c r="E14" s="136"/>
      <c r="F14" s="136"/>
      <c r="G14" s="136"/>
    </row>
    <row r="15" spans="1:7" x14ac:dyDescent="0.25">
      <c r="A15" s="136"/>
      <c r="B15" s="136"/>
      <c r="C15" s="136"/>
      <c r="D15" s="136"/>
      <c r="E15" s="136"/>
      <c r="F15" s="136"/>
      <c r="G15" s="136"/>
    </row>
    <row r="16" spans="1:7" x14ac:dyDescent="0.25">
      <c r="A16" s="136"/>
      <c r="B16" s="136"/>
      <c r="C16" s="136"/>
      <c r="D16" s="136"/>
      <c r="E16" s="136"/>
      <c r="F16" s="136"/>
      <c r="G16" s="136"/>
    </row>
    <row r="17" spans="1:7" x14ac:dyDescent="0.25">
      <c r="A17" s="136"/>
      <c r="B17" s="136"/>
      <c r="C17" s="136"/>
      <c r="D17" s="136"/>
      <c r="E17" s="136"/>
      <c r="F17" s="136"/>
      <c r="G17" s="136"/>
    </row>
    <row r="18" spans="1:7" x14ac:dyDescent="0.25">
      <c r="A18" s="136"/>
      <c r="B18" s="136"/>
      <c r="C18" s="136"/>
      <c r="D18" s="136"/>
      <c r="E18" s="136"/>
      <c r="F18" s="136"/>
      <c r="G18" s="136"/>
    </row>
    <row r="19" spans="1:7" x14ac:dyDescent="0.25">
      <c r="A19" s="136"/>
      <c r="B19" s="136"/>
      <c r="C19" s="136"/>
      <c r="D19" s="136"/>
      <c r="E19" s="136"/>
      <c r="F19" s="136"/>
      <c r="G19" s="136"/>
    </row>
    <row r="20" spans="1:7" x14ac:dyDescent="0.25">
      <c r="A20" s="136"/>
      <c r="B20" s="136"/>
      <c r="C20" s="136"/>
      <c r="D20" s="136"/>
      <c r="E20" s="136"/>
      <c r="F20" s="136"/>
      <c r="G20" s="13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"/>
  <sheetViews>
    <sheetView workbookViewId="0">
      <selection activeCell="G11" sqref="G11"/>
    </sheetView>
  </sheetViews>
  <sheetFormatPr defaultRowHeight="15" x14ac:dyDescent="0.25"/>
  <cols>
    <col min="2" max="2" width="22.42578125" customWidth="1"/>
    <col min="6" max="6" width="15.42578125" customWidth="1"/>
    <col min="7" max="7" width="25.7109375" customWidth="1"/>
  </cols>
  <sheetData>
    <row r="3" spans="1:7" ht="15.75" x14ac:dyDescent="0.25">
      <c r="A3" s="7" t="s">
        <v>49</v>
      </c>
      <c r="B3" s="8"/>
      <c r="C3" s="9"/>
      <c r="D3" s="9"/>
      <c r="E3" s="9"/>
      <c r="G3" s="5"/>
    </row>
    <row r="4" spans="1:7" x14ac:dyDescent="0.25">
      <c r="A4" s="10"/>
      <c r="B4" s="11"/>
      <c r="C4" s="9"/>
      <c r="D4" s="9"/>
      <c r="E4" s="9"/>
    </row>
    <row r="5" spans="1:7" x14ac:dyDescent="0.25">
      <c r="A5" s="12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4" t="s">
        <v>7</v>
      </c>
      <c r="G5" s="15" t="s">
        <v>8</v>
      </c>
    </row>
    <row r="6" spans="1:7" x14ac:dyDescent="0.25">
      <c r="A6" s="12"/>
      <c r="B6" s="13" t="s">
        <v>334</v>
      </c>
      <c r="C6" s="13"/>
      <c r="D6" s="13"/>
      <c r="E6" s="13">
        <v>200</v>
      </c>
      <c r="F6" s="14"/>
      <c r="G6" s="1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2"/>
  <sheetViews>
    <sheetView topLeftCell="A11" zoomScaleNormal="100" workbookViewId="0">
      <selection activeCell="E18" sqref="E18:E20"/>
    </sheetView>
  </sheetViews>
  <sheetFormatPr defaultRowHeight="15" x14ac:dyDescent="0.25"/>
  <cols>
    <col min="1" max="1" width="11.85546875" style="29" customWidth="1"/>
    <col min="2" max="2" width="32.7109375" style="29" customWidth="1"/>
    <col min="3" max="5" width="9.140625" style="29"/>
    <col min="6" max="6" width="14" style="29" customWidth="1"/>
    <col min="7" max="7" width="24.28515625" style="29" customWidth="1"/>
  </cols>
  <sheetData>
    <row r="2" spans="1:7" ht="15.75" x14ac:dyDescent="0.25">
      <c r="A2" s="42" t="s">
        <v>50</v>
      </c>
      <c r="B2" s="33"/>
      <c r="C2" s="43"/>
      <c r="D2" s="43"/>
      <c r="E2" s="43"/>
      <c r="G2" s="32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117"/>
      <c r="B5" s="36" t="s">
        <v>318</v>
      </c>
      <c r="C5" s="36"/>
      <c r="D5" s="48"/>
      <c r="E5" s="36"/>
      <c r="F5" s="48">
        <v>1488</v>
      </c>
      <c r="G5" s="36"/>
    </row>
    <row r="6" spans="1:7" x14ac:dyDescent="0.25">
      <c r="A6" s="165"/>
      <c r="B6" s="164"/>
      <c r="C6" s="164"/>
      <c r="D6" s="166"/>
      <c r="E6" s="164">
        <v>1488</v>
      </c>
      <c r="F6" s="166"/>
      <c r="G6" s="164"/>
    </row>
    <row r="7" spans="1:7" x14ac:dyDescent="0.25">
      <c r="A7" s="121" t="s">
        <v>319</v>
      </c>
      <c r="B7" s="36" t="s">
        <v>321</v>
      </c>
      <c r="C7" s="36">
        <v>148</v>
      </c>
      <c r="D7" s="36"/>
      <c r="E7" s="36">
        <f>E6+C7-D7</f>
        <v>1636</v>
      </c>
      <c r="F7" s="36"/>
      <c r="G7" s="36"/>
    </row>
    <row r="8" spans="1:7" x14ac:dyDescent="0.25">
      <c r="A8" s="237" t="s">
        <v>343</v>
      </c>
      <c r="B8" s="36" t="s">
        <v>321</v>
      </c>
      <c r="C8" s="36">
        <v>108</v>
      </c>
      <c r="D8" s="36"/>
      <c r="E8" s="36">
        <f>E7+C8-D8</f>
        <v>1744</v>
      </c>
      <c r="F8" s="36"/>
      <c r="G8" s="36"/>
    </row>
    <row r="9" spans="1:7" x14ac:dyDescent="0.25">
      <c r="A9" s="138" t="s">
        <v>394</v>
      </c>
      <c r="B9" s="136" t="s">
        <v>283</v>
      </c>
      <c r="C9" s="136">
        <v>9</v>
      </c>
      <c r="D9" s="36"/>
      <c r="E9" s="36">
        <f t="shared" ref="E9:E20" si="0">E8+C9-D9</f>
        <v>1753</v>
      </c>
      <c r="F9" s="36"/>
      <c r="G9" s="36"/>
    </row>
    <row r="10" spans="1:7" x14ac:dyDescent="0.25">
      <c r="A10" s="121" t="s">
        <v>438</v>
      </c>
      <c r="B10" s="36" t="s">
        <v>105</v>
      </c>
      <c r="C10" s="36">
        <v>50</v>
      </c>
      <c r="D10" s="36"/>
      <c r="E10" s="36">
        <f t="shared" si="0"/>
        <v>1803</v>
      </c>
      <c r="F10" s="36"/>
      <c r="G10" s="36"/>
    </row>
    <row r="11" spans="1:7" x14ac:dyDescent="0.25">
      <c r="A11" s="121" t="s">
        <v>438</v>
      </c>
      <c r="B11" s="36" t="s">
        <v>431</v>
      </c>
      <c r="C11" s="36"/>
      <c r="D11" s="36">
        <v>50</v>
      </c>
      <c r="E11" s="36">
        <f t="shared" si="0"/>
        <v>1753</v>
      </c>
      <c r="F11" s="36" t="s">
        <v>17</v>
      </c>
      <c r="G11" s="36"/>
    </row>
    <row r="12" spans="1:7" x14ac:dyDescent="0.25">
      <c r="A12" s="138" t="s">
        <v>485</v>
      </c>
      <c r="B12" s="136" t="s">
        <v>283</v>
      </c>
      <c r="C12" s="136">
        <v>2</v>
      </c>
      <c r="D12" s="36"/>
      <c r="E12" s="36">
        <f t="shared" si="0"/>
        <v>1755</v>
      </c>
      <c r="F12" s="36"/>
      <c r="G12" s="36"/>
    </row>
    <row r="13" spans="1:7" x14ac:dyDescent="0.25">
      <c r="A13" s="152" t="s">
        <v>559</v>
      </c>
      <c r="B13" s="136" t="s">
        <v>283</v>
      </c>
      <c r="C13" s="136">
        <v>1</v>
      </c>
      <c r="D13" s="36"/>
      <c r="E13" s="36">
        <f t="shared" si="0"/>
        <v>1756</v>
      </c>
      <c r="F13" s="36"/>
      <c r="G13" s="36"/>
    </row>
    <row r="14" spans="1:7" x14ac:dyDescent="0.25">
      <c r="A14" s="121" t="s">
        <v>715</v>
      </c>
      <c r="B14" s="36" t="s">
        <v>716</v>
      </c>
      <c r="C14" s="36"/>
      <c r="D14" s="36">
        <v>180</v>
      </c>
      <c r="E14" s="36">
        <f t="shared" si="0"/>
        <v>1576</v>
      </c>
      <c r="F14" s="36" t="s">
        <v>17</v>
      </c>
      <c r="G14" s="36"/>
    </row>
    <row r="15" spans="1:7" x14ac:dyDescent="0.25">
      <c r="A15" s="121" t="s">
        <v>718</v>
      </c>
      <c r="B15" s="36" t="s">
        <v>716</v>
      </c>
      <c r="C15" s="36"/>
      <c r="D15" s="36">
        <v>180</v>
      </c>
      <c r="E15" s="36">
        <f t="shared" si="0"/>
        <v>1396</v>
      </c>
      <c r="F15" s="36" t="s">
        <v>17</v>
      </c>
      <c r="G15" s="36"/>
    </row>
    <row r="16" spans="1:7" x14ac:dyDescent="0.25">
      <c r="A16" s="121" t="s">
        <v>741</v>
      </c>
      <c r="B16" s="36" t="s">
        <v>742</v>
      </c>
      <c r="C16" s="36">
        <v>36</v>
      </c>
      <c r="D16" s="36"/>
      <c r="E16" s="36">
        <f t="shared" si="0"/>
        <v>1432</v>
      </c>
      <c r="F16" s="36"/>
      <c r="G16" s="36"/>
    </row>
    <row r="17" spans="1:7" x14ac:dyDescent="0.25">
      <c r="A17" s="152" t="s">
        <v>827</v>
      </c>
      <c r="B17" s="136" t="s">
        <v>831</v>
      </c>
      <c r="C17" s="136"/>
      <c r="D17" s="136">
        <v>30</v>
      </c>
      <c r="E17" s="36">
        <f t="shared" si="0"/>
        <v>1402</v>
      </c>
      <c r="F17" s="136" t="s">
        <v>17</v>
      </c>
      <c r="G17" s="36"/>
    </row>
    <row r="18" spans="1:7" x14ac:dyDescent="0.25">
      <c r="A18" s="152" t="s">
        <v>835</v>
      </c>
      <c r="B18" s="136" t="s">
        <v>831</v>
      </c>
      <c r="C18" s="136"/>
      <c r="D18" s="136">
        <v>50</v>
      </c>
      <c r="E18" s="36">
        <f t="shared" si="0"/>
        <v>1352</v>
      </c>
      <c r="F18" s="136" t="s">
        <v>17</v>
      </c>
      <c r="G18" s="36"/>
    </row>
    <row r="19" spans="1:7" x14ac:dyDescent="0.25">
      <c r="A19" s="152" t="s">
        <v>839</v>
      </c>
      <c r="B19" s="136" t="s">
        <v>840</v>
      </c>
      <c r="C19" s="136"/>
      <c r="D19" s="136">
        <v>32</v>
      </c>
      <c r="E19" s="36">
        <f t="shared" si="0"/>
        <v>1320</v>
      </c>
      <c r="F19" s="136" t="s">
        <v>17</v>
      </c>
      <c r="G19" s="36"/>
    </row>
    <row r="20" spans="1:7" x14ac:dyDescent="0.25">
      <c r="A20" s="138" t="s">
        <v>847</v>
      </c>
      <c r="B20" s="136" t="s">
        <v>783</v>
      </c>
      <c r="C20" s="136"/>
      <c r="D20" s="136">
        <v>60</v>
      </c>
      <c r="E20" s="36">
        <f t="shared" si="0"/>
        <v>1260</v>
      </c>
      <c r="F20" s="136" t="s">
        <v>850</v>
      </c>
      <c r="G20" s="36"/>
    </row>
    <row r="21" spans="1:7" x14ac:dyDescent="0.25">
      <c r="A21" s="36"/>
      <c r="B21" s="36"/>
      <c r="C21" s="36"/>
      <c r="D21" s="36"/>
      <c r="E21" s="36"/>
      <c r="F21" s="36"/>
      <c r="G21" s="36"/>
    </row>
    <row r="22" spans="1:7" x14ac:dyDescent="0.25">
      <c r="A22" s="36"/>
      <c r="B22" s="36"/>
      <c r="C22" s="36"/>
      <c r="D22" s="36"/>
      <c r="E22" s="36"/>
      <c r="F22" s="36"/>
      <c r="G22" s="36"/>
    </row>
    <row r="23" spans="1:7" x14ac:dyDescent="0.25">
      <c r="A23" s="36"/>
      <c r="B23" s="36"/>
      <c r="C23" s="36"/>
      <c r="D23" s="36"/>
      <c r="E23" s="36"/>
      <c r="F23" s="36"/>
      <c r="G23" s="36"/>
    </row>
    <row r="24" spans="1:7" x14ac:dyDescent="0.25">
      <c r="A24" s="36"/>
      <c r="B24" s="36"/>
      <c r="C24" s="36"/>
      <c r="D24" s="36"/>
      <c r="E24" s="36"/>
      <c r="F24" s="36"/>
      <c r="G24" s="36"/>
    </row>
    <row r="25" spans="1:7" x14ac:dyDescent="0.25">
      <c r="A25" s="36"/>
      <c r="B25" s="36"/>
      <c r="C25" s="36"/>
      <c r="D25" s="36"/>
      <c r="E25" s="36"/>
      <c r="F25" s="36"/>
      <c r="G25" s="36"/>
    </row>
    <row r="26" spans="1:7" x14ac:dyDescent="0.25">
      <c r="A26" s="36"/>
      <c r="B26" s="36"/>
      <c r="C26" s="36"/>
      <c r="D26" s="36"/>
      <c r="E26" s="36"/>
      <c r="F26" s="36"/>
      <c r="G26" s="36"/>
    </row>
    <row r="27" spans="1:7" x14ac:dyDescent="0.25">
      <c r="A27" s="36"/>
      <c r="B27" s="36"/>
      <c r="C27" s="36"/>
      <c r="D27" s="36"/>
      <c r="E27" s="36"/>
      <c r="F27" s="36"/>
      <c r="G27" s="36"/>
    </row>
    <row r="28" spans="1:7" x14ac:dyDescent="0.25">
      <c r="A28" s="36"/>
      <c r="B28" s="36"/>
      <c r="C28" s="36"/>
      <c r="D28" s="36"/>
      <c r="E28" s="36"/>
      <c r="F28" s="36"/>
      <c r="G28" s="36"/>
    </row>
    <row r="29" spans="1:7" x14ac:dyDescent="0.25">
      <c r="A29" s="36"/>
      <c r="B29" s="36"/>
      <c r="C29" s="36"/>
      <c r="D29" s="36"/>
      <c r="E29" s="36"/>
      <c r="F29" s="36"/>
      <c r="G29" s="36"/>
    </row>
    <row r="30" spans="1:7" x14ac:dyDescent="0.25">
      <c r="A30" s="36"/>
      <c r="B30" s="36"/>
      <c r="C30" s="36"/>
      <c r="D30" s="36"/>
      <c r="E30" s="36"/>
      <c r="F30" s="36"/>
      <c r="G30" s="36"/>
    </row>
    <row r="31" spans="1:7" x14ac:dyDescent="0.25">
      <c r="A31" s="36"/>
      <c r="B31" s="36"/>
      <c r="C31" s="36"/>
      <c r="D31" s="36"/>
      <c r="E31" s="36"/>
      <c r="F31" s="36"/>
      <c r="G31" s="36"/>
    </row>
    <row r="32" spans="1:7" x14ac:dyDescent="0.25">
      <c r="A32" s="36"/>
      <c r="B32" s="36"/>
      <c r="C32" s="36"/>
      <c r="D32" s="36"/>
      <c r="E32" s="36"/>
      <c r="F32" s="36"/>
      <c r="G32" s="36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8"/>
  <sheetViews>
    <sheetView topLeftCell="A87" zoomScaleNormal="100" workbookViewId="0">
      <selection activeCell="E98" sqref="E98:E100"/>
    </sheetView>
  </sheetViews>
  <sheetFormatPr defaultRowHeight="15" x14ac:dyDescent="0.25"/>
  <cols>
    <col min="1" max="1" width="13.140625" style="129" customWidth="1"/>
    <col min="2" max="2" width="33.85546875" style="129" customWidth="1"/>
    <col min="3" max="3" width="9.140625" style="129"/>
    <col min="4" max="4" width="9.5703125" style="129" customWidth="1"/>
    <col min="5" max="5" width="9.140625" style="129"/>
    <col min="6" max="6" width="15.42578125" style="129" customWidth="1"/>
    <col min="7" max="7" width="23.5703125" style="129" customWidth="1"/>
  </cols>
  <sheetData>
    <row r="2" spans="1:7" x14ac:dyDescent="0.25">
      <c r="A2" s="140" t="s">
        <v>24</v>
      </c>
      <c r="B2" s="141"/>
      <c r="C2" s="128"/>
      <c r="D2" s="128"/>
      <c r="E2" s="128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7"/>
      <c r="B5" s="137" t="s">
        <v>246</v>
      </c>
      <c r="C5" s="137"/>
      <c r="D5" s="137"/>
      <c r="E5" s="137"/>
      <c r="F5" s="137">
        <v>27836</v>
      </c>
      <c r="G5" s="137"/>
    </row>
    <row r="6" spans="1:7" x14ac:dyDescent="0.25">
      <c r="A6" s="136"/>
      <c r="B6" s="136"/>
      <c r="C6" s="136"/>
      <c r="D6" s="136"/>
      <c r="E6" s="136">
        <v>27836</v>
      </c>
      <c r="F6" s="136"/>
      <c r="G6" s="136"/>
    </row>
    <row r="7" spans="1:7" x14ac:dyDescent="0.25">
      <c r="A7" s="138" t="s">
        <v>252</v>
      </c>
      <c r="B7" s="136" t="s">
        <v>250</v>
      </c>
      <c r="C7" s="136">
        <v>276</v>
      </c>
      <c r="D7" s="136"/>
      <c r="E7" s="136">
        <f>E6+C7-D7</f>
        <v>28112</v>
      </c>
      <c r="F7" s="136"/>
      <c r="G7" s="136"/>
    </row>
    <row r="8" spans="1:7" x14ac:dyDescent="0.25">
      <c r="A8" s="138" t="s">
        <v>252</v>
      </c>
      <c r="B8" s="136" t="s">
        <v>253</v>
      </c>
      <c r="C8" s="136">
        <v>443</v>
      </c>
      <c r="D8" s="136"/>
      <c r="E8" s="136">
        <f t="shared" ref="E8:E71" si="0">E7+C8-D8</f>
        <v>28555</v>
      </c>
      <c r="F8" s="136"/>
      <c r="G8" s="136"/>
    </row>
    <row r="9" spans="1:7" x14ac:dyDescent="0.25">
      <c r="A9" s="152" t="s">
        <v>267</v>
      </c>
      <c r="B9" s="136" t="s">
        <v>268</v>
      </c>
      <c r="C9" s="136"/>
      <c r="D9" s="136">
        <v>50</v>
      </c>
      <c r="E9" s="136">
        <f t="shared" si="0"/>
        <v>28505</v>
      </c>
      <c r="F9" s="136" t="s">
        <v>269</v>
      </c>
      <c r="G9" s="136"/>
    </row>
    <row r="10" spans="1:7" x14ac:dyDescent="0.25">
      <c r="A10" s="152" t="s">
        <v>285</v>
      </c>
      <c r="B10" s="136" t="s">
        <v>273</v>
      </c>
      <c r="C10" s="136"/>
      <c r="D10" s="136">
        <v>420</v>
      </c>
      <c r="E10" s="136">
        <f t="shared" si="0"/>
        <v>28085</v>
      </c>
      <c r="F10" s="136" t="s">
        <v>288</v>
      </c>
      <c r="G10" s="136"/>
    </row>
    <row r="11" spans="1:7" x14ac:dyDescent="0.25">
      <c r="A11" s="138" t="s">
        <v>285</v>
      </c>
      <c r="B11" s="36" t="s">
        <v>294</v>
      </c>
      <c r="C11" s="36">
        <v>120</v>
      </c>
      <c r="D11" s="136"/>
      <c r="E11" s="136">
        <f t="shared" si="0"/>
        <v>28205</v>
      </c>
      <c r="F11" s="136"/>
      <c r="G11" s="136"/>
    </row>
    <row r="12" spans="1:7" x14ac:dyDescent="0.25">
      <c r="A12" s="152" t="s">
        <v>295</v>
      </c>
      <c r="B12" s="136" t="s">
        <v>297</v>
      </c>
      <c r="C12" s="136"/>
      <c r="D12" s="136">
        <v>130</v>
      </c>
      <c r="E12" s="136">
        <f t="shared" si="0"/>
        <v>28075</v>
      </c>
      <c r="F12" s="136" t="s">
        <v>296</v>
      </c>
      <c r="G12" s="136"/>
    </row>
    <row r="13" spans="1:7" x14ac:dyDescent="0.25">
      <c r="A13" s="152" t="s">
        <v>295</v>
      </c>
      <c r="B13" s="136" t="s">
        <v>299</v>
      </c>
      <c r="C13" s="136"/>
      <c r="D13" s="136">
        <v>350</v>
      </c>
      <c r="E13" s="136">
        <f t="shared" si="0"/>
        <v>27725</v>
      </c>
      <c r="F13" s="136" t="s">
        <v>300</v>
      </c>
      <c r="G13" s="136"/>
    </row>
    <row r="14" spans="1:7" x14ac:dyDescent="0.25">
      <c r="A14" s="138" t="s">
        <v>306</v>
      </c>
      <c r="B14" s="136" t="s">
        <v>305</v>
      </c>
      <c r="C14" s="136">
        <v>126</v>
      </c>
      <c r="D14" s="136"/>
      <c r="E14" s="136">
        <f t="shared" si="0"/>
        <v>27851</v>
      </c>
      <c r="F14" s="136"/>
      <c r="G14" s="136"/>
    </row>
    <row r="15" spans="1:7" x14ac:dyDescent="0.25">
      <c r="A15" s="152" t="s">
        <v>315</v>
      </c>
      <c r="B15" s="136" t="s">
        <v>316</v>
      </c>
      <c r="C15" s="136"/>
      <c r="D15" s="136">
        <v>8</v>
      </c>
      <c r="E15" s="136">
        <f t="shared" si="0"/>
        <v>27843</v>
      </c>
      <c r="F15" s="136" t="s">
        <v>317</v>
      </c>
      <c r="G15" s="136"/>
    </row>
    <row r="16" spans="1:7" x14ac:dyDescent="0.25">
      <c r="A16" s="138" t="s">
        <v>319</v>
      </c>
      <c r="B16" s="136" t="s">
        <v>320</v>
      </c>
      <c r="C16" s="136">
        <v>11</v>
      </c>
      <c r="D16" s="136"/>
      <c r="E16" s="136">
        <f t="shared" si="0"/>
        <v>27854</v>
      </c>
      <c r="F16" s="136"/>
      <c r="G16" s="136"/>
    </row>
    <row r="17" spans="1:7" x14ac:dyDescent="0.25">
      <c r="A17" s="238" t="s">
        <v>353</v>
      </c>
      <c r="B17" s="136" t="s">
        <v>359</v>
      </c>
      <c r="C17" s="136">
        <v>8</v>
      </c>
      <c r="D17" s="136"/>
      <c r="E17" s="136">
        <f t="shared" si="0"/>
        <v>27862</v>
      </c>
      <c r="F17" s="136"/>
      <c r="G17" s="136"/>
    </row>
    <row r="18" spans="1:7" x14ac:dyDescent="0.25">
      <c r="A18" s="152" t="s">
        <v>371</v>
      </c>
      <c r="B18" s="136" t="s">
        <v>312</v>
      </c>
      <c r="C18" s="136"/>
      <c r="D18" s="136">
        <v>30</v>
      </c>
      <c r="E18" s="136">
        <f t="shared" si="0"/>
        <v>27832</v>
      </c>
      <c r="F18" s="136" t="s">
        <v>372</v>
      </c>
      <c r="G18" s="136"/>
    </row>
    <row r="19" spans="1:7" x14ac:dyDescent="0.25">
      <c r="A19" s="152" t="s">
        <v>371</v>
      </c>
      <c r="B19" s="136" t="s">
        <v>264</v>
      </c>
      <c r="C19" s="136">
        <v>634</v>
      </c>
      <c r="D19" s="136"/>
      <c r="E19" s="136">
        <f t="shared" si="0"/>
        <v>28466</v>
      </c>
      <c r="F19" s="136"/>
      <c r="G19" s="136"/>
    </row>
    <row r="20" spans="1:7" x14ac:dyDescent="0.25">
      <c r="A20" s="152" t="s">
        <v>371</v>
      </c>
      <c r="B20" s="136" t="s">
        <v>383</v>
      </c>
      <c r="C20" s="136"/>
      <c r="D20" s="163">
        <v>110</v>
      </c>
      <c r="E20" s="136">
        <f t="shared" si="0"/>
        <v>28356</v>
      </c>
      <c r="F20" s="136" t="s">
        <v>17</v>
      </c>
      <c r="G20" s="136"/>
    </row>
    <row r="21" spans="1:7" x14ac:dyDescent="0.25">
      <c r="A21" s="138" t="s">
        <v>394</v>
      </c>
      <c r="B21" s="136" t="s">
        <v>283</v>
      </c>
      <c r="C21" s="136">
        <v>225</v>
      </c>
      <c r="D21" s="136"/>
      <c r="E21" s="136">
        <f t="shared" si="0"/>
        <v>28581</v>
      </c>
      <c r="F21" s="136"/>
      <c r="G21" s="136"/>
    </row>
    <row r="22" spans="1:7" x14ac:dyDescent="0.25">
      <c r="A22" s="258" t="s">
        <v>404</v>
      </c>
      <c r="B22" s="136" t="s">
        <v>283</v>
      </c>
      <c r="C22" s="136">
        <v>107</v>
      </c>
      <c r="D22" s="136"/>
      <c r="E22" s="136">
        <f t="shared" si="0"/>
        <v>28688</v>
      </c>
      <c r="F22" s="136"/>
      <c r="G22" s="136"/>
    </row>
    <row r="23" spans="1:7" x14ac:dyDescent="0.25">
      <c r="A23" s="152" t="s">
        <v>400</v>
      </c>
      <c r="B23" s="136" t="s">
        <v>405</v>
      </c>
      <c r="C23" s="136">
        <v>450</v>
      </c>
      <c r="D23" s="136"/>
      <c r="E23" s="136">
        <f t="shared" si="0"/>
        <v>29138</v>
      </c>
      <c r="F23" s="136"/>
      <c r="G23" s="136"/>
    </row>
    <row r="24" spans="1:7" x14ac:dyDescent="0.25">
      <c r="A24" s="138" t="s">
        <v>406</v>
      </c>
      <c r="B24" s="136" t="s">
        <v>383</v>
      </c>
      <c r="C24" s="136"/>
      <c r="D24" s="136">
        <v>200</v>
      </c>
      <c r="E24" s="136">
        <f t="shared" si="0"/>
        <v>28938</v>
      </c>
      <c r="F24" s="136" t="s">
        <v>17</v>
      </c>
      <c r="G24" s="136"/>
    </row>
    <row r="25" spans="1:7" x14ac:dyDescent="0.25">
      <c r="A25" s="138" t="s">
        <v>406</v>
      </c>
      <c r="B25" s="136" t="s">
        <v>383</v>
      </c>
      <c r="C25" s="136"/>
      <c r="D25" s="136">
        <v>5</v>
      </c>
      <c r="E25" s="136">
        <f t="shared" si="0"/>
        <v>28933</v>
      </c>
      <c r="F25" s="136" t="s">
        <v>17</v>
      </c>
      <c r="G25" s="136"/>
    </row>
    <row r="26" spans="1:7" x14ac:dyDescent="0.25">
      <c r="A26" s="152" t="s">
        <v>430</v>
      </c>
      <c r="B26" s="136" t="s">
        <v>264</v>
      </c>
      <c r="C26" s="136">
        <v>30</v>
      </c>
      <c r="D26" s="136"/>
      <c r="E26" s="136">
        <f t="shared" si="0"/>
        <v>28963</v>
      </c>
      <c r="F26" s="136"/>
      <c r="G26" s="136"/>
    </row>
    <row r="27" spans="1:7" x14ac:dyDescent="0.25">
      <c r="A27" s="152" t="s">
        <v>430</v>
      </c>
      <c r="B27" s="136" t="s">
        <v>383</v>
      </c>
      <c r="C27" s="136"/>
      <c r="D27" s="136">
        <v>150</v>
      </c>
      <c r="E27" s="136">
        <f t="shared" si="0"/>
        <v>28813</v>
      </c>
      <c r="F27" s="136" t="s">
        <v>17</v>
      </c>
      <c r="G27" s="136"/>
    </row>
    <row r="28" spans="1:7" x14ac:dyDescent="0.25">
      <c r="A28" s="152" t="s">
        <v>438</v>
      </c>
      <c r="B28" s="136" t="s">
        <v>382</v>
      </c>
      <c r="C28" s="136">
        <v>8</v>
      </c>
      <c r="D28" s="136"/>
      <c r="E28" s="136">
        <f t="shared" si="0"/>
        <v>28821</v>
      </c>
      <c r="F28" s="136"/>
      <c r="G28" s="136"/>
    </row>
    <row r="29" spans="1:7" x14ac:dyDescent="0.25">
      <c r="A29" s="152" t="s">
        <v>459</v>
      </c>
      <c r="B29" s="156" t="s">
        <v>414</v>
      </c>
      <c r="C29" s="136"/>
      <c r="D29" s="136">
        <v>100</v>
      </c>
      <c r="E29" s="136">
        <f t="shared" si="0"/>
        <v>28721</v>
      </c>
      <c r="F29" s="136" t="s">
        <v>461</v>
      </c>
      <c r="G29" s="136"/>
    </row>
    <row r="30" spans="1:7" x14ac:dyDescent="0.25">
      <c r="A30" s="238" t="s">
        <v>453</v>
      </c>
      <c r="B30" s="136" t="s">
        <v>462</v>
      </c>
      <c r="C30" s="136">
        <v>390</v>
      </c>
      <c r="D30" s="136"/>
      <c r="E30" s="136">
        <f t="shared" si="0"/>
        <v>29111</v>
      </c>
      <c r="F30" s="136"/>
      <c r="G30" s="136"/>
    </row>
    <row r="31" spans="1:7" x14ac:dyDescent="0.25">
      <c r="A31" s="152" t="s">
        <v>468</v>
      </c>
      <c r="B31" s="136" t="s">
        <v>472</v>
      </c>
      <c r="C31" s="136">
        <v>17</v>
      </c>
      <c r="D31" s="136"/>
      <c r="E31" s="136">
        <f t="shared" si="0"/>
        <v>29128</v>
      </c>
      <c r="F31" s="136"/>
      <c r="G31" s="136"/>
    </row>
    <row r="32" spans="1:7" x14ac:dyDescent="0.25">
      <c r="A32" s="138" t="s">
        <v>473</v>
      </c>
      <c r="B32" s="136" t="s">
        <v>283</v>
      </c>
      <c r="C32" s="136">
        <v>141</v>
      </c>
      <c r="D32" s="136"/>
      <c r="E32" s="136">
        <f t="shared" si="0"/>
        <v>29269</v>
      </c>
      <c r="F32" s="136"/>
      <c r="G32" s="136"/>
    </row>
    <row r="33" spans="1:7" x14ac:dyDescent="0.25">
      <c r="A33" s="238" t="s">
        <v>475</v>
      </c>
      <c r="B33" s="136" t="s">
        <v>283</v>
      </c>
      <c r="C33" s="136">
        <v>26</v>
      </c>
      <c r="D33" s="136"/>
      <c r="E33" s="136">
        <f t="shared" si="0"/>
        <v>29295</v>
      </c>
      <c r="F33" s="136"/>
      <c r="G33" s="136"/>
    </row>
    <row r="34" spans="1:7" x14ac:dyDescent="0.25">
      <c r="A34" s="238" t="s">
        <v>475</v>
      </c>
      <c r="B34" s="136" t="s">
        <v>283</v>
      </c>
      <c r="C34" s="136">
        <v>301</v>
      </c>
      <c r="D34" s="136"/>
      <c r="E34" s="136">
        <f t="shared" si="0"/>
        <v>29596</v>
      </c>
      <c r="F34" s="136"/>
      <c r="G34" s="136"/>
    </row>
    <row r="35" spans="1:7" x14ac:dyDescent="0.25">
      <c r="A35" s="138" t="s">
        <v>485</v>
      </c>
      <c r="B35" s="136" t="s">
        <v>488</v>
      </c>
      <c r="C35" s="136">
        <v>116</v>
      </c>
      <c r="D35" s="136"/>
      <c r="E35" s="136">
        <f t="shared" si="0"/>
        <v>29712</v>
      </c>
      <c r="F35" s="136"/>
      <c r="G35" s="136"/>
    </row>
    <row r="36" spans="1:7" x14ac:dyDescent="0.25">
      <c r="A36" s="152" t="s">
        <v>485</v>
      </c>
      <c r="B36" s="136" t="s">
        <v>283</v>
      </c>
      <c r="C36" s="136">
        <v>111</v>
      </c>
      <c r="D36" s="136"/>
      <c r="E36" s="136">
        <f t="shared" si="0"/>
        <v>29823</v>
      </c>
      <c r="F36" s="136"/>
      <c r="G36" s="136"/>
    </row>
    <row r="37" spans="1:7" x14ac:dyDescent="0.25">
      <c r="A37" s="138" t="s">
        <v>496</v>
      </c>
      <c r="B37" s="136" t="s">
        <v>305</v>
      </c>
      <c r="C37" s="136">
        <v>52</v>
      </c>
      <c r="D37" s="136"/>
      <c r="E37" s="136">
        <f t="shared" si="0"/>
        <v>29875</v>
      </c>
      <c r="F37" s="136"/>
      <c r="G37" s="136"/>
    </row>
    <row r="38" spans="1:7" x14ac:dyDescent="0.25">
      <c r="A38" s="138" t="s">
        <v>502</v>
      </c>
      <c r="B38" s="136" t="s">
        <v>503</v>
      </c>
      <c r="C38" s="136">
        <v>80</v>
      </c>
      <c r="D38" s="136"/>
      <c r="E38" s="136">
        <f t="shared" si="0"/>
        <v>29955</v>
      </c>
      <c r="F38" s="136"/>
      <c r="G38" s="136"/>
    </row>
    <row r="39" spans="1:7" ht="15.75" x14ac:dyDescent="0.25">
      <c r="A39" s="246" t="s">
        <v>520</v>
      </c>
      <c r="B39" s="136" t="s">
        <v>283</v>
      </c>
      <c r="C39" s="161">
        <v>30</v>
      </c>
      <c r="D39" s="136"/>
      <c r="E39" s="136">
        <f t="shared" si="0"/>
        <v>29985</v>
      </c>
      <c r="F39" s="136"/>
      <c r="G39" s="136"/>
    </row>
    <row r="40" spans="1:7" x14ac:dyDescent="0.25">
      <c r="A40" s="152" t="s">
        <v>542</v>
      </c>
      <c r="B40" s="136" t="s">
        <v>283</v>
      </c>
      <c r="C40" s="136">
        <v>40</v>
      </c>
      <c r="D40" s="136"/>
      <c r="E40" s="136">
        <f t="shared" si="0"/>
        <v>30025</v>
      </c>
      <c r="F40" s="136"/>
      <c r="G40" s="136"/>
    </row>
    <row r="41" spans="1:7" x14ac:dyDescent="0.25">
      <c r="A41" s="152" t="s">
        <v>542</v>
      </c>
      <c r="B41" s="136" t="s">
        <v>283</v>
      </c>
      <c r="C41" s="136">
        <v>144</v>
      </c>
      <c r="D41" s="136"/>
      <c r="E41" s="136">
        <f t="shared" si="0"/>
        <v>30169</v>
      </c>
      <c r="F41" s="136"/>
      <c r="G41" s="136"/>
    </row>
    <row r="42" spans="1:7" x14ac:dyDescent="0.25">
      <c r="A42" s="138" t="s">
        <v>549</v>
      </c>
      <c r="B42" s="136" t="s">
        <v>552</v>
      </c>
      <c r="C42" s="136"/>
      <c r="D42" s="136">
        <v>100</v>
      </c>
      <c r="E42" s="136">
        <f t="shared" si="0"/>
        <v>30069</v>
      </c>
      <c r="F42" s="136" t="s">
        <v>551</v>
      </c>
      <c r="G42" s="136"/>
    </row>
    <row r="43" spans="1:7" x14ac:dyDescent="0.25">
      <c r="A43" s="121" t="s">
        <v>549</v>
      </c>
      <c r="B43" s="136" t="s">
        <v>414</v>
      </c>
      <c r="C43" s="36">
        <v>41</v>
      </c>
      <c r="D43" s="136"/>
      <c r="E43" s="136">
        <f t="shared" si="0"/>
        <v>30110</v>
      </c>
      <c r="F43" s="136"/>
      <c r="G43" s="136"/>
    </row>
    <row r="44" spans="1:7" x14ac:dyDescent="0.25">
      <c r="A44" s="152" t="s">
        <v>554</v>
      </c>
      <c r="B44" s="136" t="s">
        <v>550</v>
      </c>
      <c r="C44" s="136"/>
      <c r="D44" s="136">
        <v>400</v>
      </c>
      <c r="E44" s="136">
        <f t="shared" si="0"/>
        <v>29710</v>
      </c>
      <c r="F44" s="136" t="s">
        <v>556</v>
      </c>
      <c r="G44" s="136"/>
    </row>
    <row r="45" spans="1:7" x14ac:dyDescent="0.25">
      <c r="A45" s="138" t="s">
        <v>554</v>
      </c>
      <c r="B45" s="136" t="s">
        <v>383</v>
      </c>
      <c r="C45" s="136">
        <v>100</v>
      </c>
      <c r="D45" s="136"/>
      <c r="E45" s="136">
        <f t="shared" si="0"/>
        <v>29810</v>
      </c>
      <c r="F45" s="136"/>
      <c r="G45" s="136"/>
    </row>
    <row r="46" spans="1:7" x14ac:dyDescent="0.25">
      <c r="A46" s="152" t="s">
        <v>559</v>
      </c>
      <c r="B46" s="136" t="s">
        <v>283</v>
      </c>
      <c r="C46" s="136">
        <v>206</v>
      </c>
      <c r="D46" s="136"/>
      <c r="E46" s="136">
        <f t="shared" si="0"/>
        <v>30016</v>
      </c>
      <c r="F46" s="136"/>
      <c r="G46" s="136"/>
    </row>
    <row r="47" spans="1:7" x14ac:dyDescent="0.25">
      <c r="A47" s="152" t="s">
        <v>577</v>
      </c>
      <c r="B47" s="136" t="s">
        <v>283</v>
      </c>
      <c r="C47" s="136">
        <v>42</v>
      </c>
      <c r="D47" s="136"/>
      <c r="E47" s="136">
        <f t="shared" si="0"/>
        <v>30058</v>
      </c>
      <c r="F47" s="136"/>
      <c r="G47" s="136"/>
    </row>
    <row r="48" spans="1:7" x14ac:dyDescent="0.25">
      <c r="A48" s="152" t="s">
        <v>577</v>
      </c>
      <c r="B48" s="36" t="s">
        <v>488</v>
      </c>
      <c r="C48" s="36">
        <v>84</v>
      </c>
      <c r="D48" s="136"/>
      <c r="E48" s="136">
        <f t="shared" si="0"/>
        <v>30142</v>
      </c>
      <c r="F48" s="136"/>
      <c r="G48" s="136"/>
    </row>
    <row r="49" spans="1:7" x14ac:dyDescent="0.25">
      <c r="A49" s="152" t="s">
        <v>581</v>
      </c>
      <c r="B49" s="136" t="s">
        <v>550</v>
      </c>
      <c r="C49" s="136"/>
      <c r="D49" s="136">
        <v>50</v>
      </c>
      <c r="E49" s="136">
        <f t="shared" si="0"/>
        <v>30092</v>
      </c>
      <c r="F49" s="136" t="s">
        <v>582</v>
      </c>
      <c r="G49" s="136"/>
    </row>
    <row r="50" spans="1:7" x14ac:dyDescent="0.25">
      <c r="A50" s="138" t="s">
        <v>581</v>
      </c>
      <c r="B50" s="136" t="s">
        <v>583</v>
      </c>
      <c r="C50" s="136"/>
      <c r="D50" s="136">
        <v>200</v>
      </c>
      <c r="E50" s="136">
        <f t="shared" si="0"/>
        <v>29892</v>
      </c>
      <c r="F50" s="136" t="s">
        <v>584</v>
      </c>
      <c r="G50" s="136"/>
    </row>
    <row r="51" spans="1:7" x14ac:dyDescent="0.25">
      <c r="A51" s="152" t="s">
        <v>591</v>
      </c>
      <c r="B51" s="136" t="s">
        <v>550</v>
      </c>
      <c r="C51" s="136"/>
      <c r="D51" s="136">
        <v>150</v>
      </c>
      <c r="E51" s="136">
        <f t="shared" si="0"/>
        <v>29742</v>
      </c>
      <c r="F51" s="136" t="s">
        <v>592</v>
      </c>
      <c r="G51" s="136"/>
    </row>
    <row r="52" spans="1:7" x14ac:dyDescent="0.25">
      <c r="A52" s="121" t="s">
        <v>595</v>
      </c>
      <c r="B52" s="36" t="s">
        <v>601</v>
      </c>
      <c r="C52" s="36">
        <v>126</v>
      </c>
      <c r="D52" s="136"/>
      <c r="E52" s="136">
        <f t="shared" si="0"/>
        <v>29868</v>
      </c>
      <c r="F52" s="136"/>
      <c r="G52" s="136"/>
    </row>
    <row r="53" spans="1:7" x14ac:dyDescent="0.25">
      <c r="A53" s="152" t="s">
        <v>602</v>
      </c>
      <c r="B53" s="136" t="s">
        <v>382</v>
      </c>
      <c r="C53" s="136"/>
      <c r="D53" s="136">
        <v>36</v>
      </c>
      <c r="E53" s="136">
        <f t="shared" si="0"/>
        <v>29832</v>
      </c>
      <c r="F53" s="136" t="s">
        <v>603</v>
      </c>
      <c r="G53" s="136"/>
    </row>
    <row r="54" spans="1:7" x14ac:dyDescent="0.25">
      <c r="A54" s="138" t="s">
        <v>625</v>
      </c>
      <c r="B54" s="136" t="s">
        <v>626</v>
      </c>
      <c r="C54" s="136">
        <v>5</v>
      </c>
      <c r="D54" s="136"/>
      <c r="E54" s="136">
        <f t="shared" si="0"/>
        <v>29837</v>
      </c>
      <c r="F54" s="136"/>
      <c r="G54" s="136"/>
    </row>
    <row r="55" spans="1:7" x14ac:dyDescent="0.25">
      <c r="A55" s="152" t="s">
        <v>634</v>
      </c>
      <c r="B55" s="136" t="s">
        <v>519</v>
      </c>
      <c r="C55" s="136">
        <v>60</v>
      </c>
      <c r="D55" s="136"/>
      <c r="E55" s="136">
        <f t="shared" si="0"/>
        <v>29897</v>
      </c>
      <c r="F55" s="136"/>
      <c r="G55" s="136"/>
    </row>
    <row r="56" spans="1:7" x14ac:dyDescent="0.25">
      <c r="A56" s="238" t="s">
        <v>663</v>
      </c>
      <c r="B56" s="156" t="s">
        <v>414</v>
      </c>
      <c r="C56" s="136">
        <v>54</v>
      </c>
      <c r="D56" s="136"/>
      <c r="E56" s="136">
        <f t="shared" si="0"/>
        <v>29951</v>
      </c>
      <c r="F56" s="136"/>
      <c r="G56" s="136"/>
    </row>
    <row r="57" spans="1:7" ht="15.75" x14ac:dyDescent="0.25">
      <c r="A57" s="246" t="s">
        <v>658</v>
      </c>
      <c r="B57" s="161" t="s">
        <v>664</v>
      </c>
      <c r="C57" s="161">
        <v>8</v>
      </c>
      <c r="D57" s="136"/>
      <c r="E57" s="136">
        <f t="shared" si="0"/>
        <v>29959</v>
      </c>
      <c r="F57" s="136"/>
      <c r="G57" s="136"/>
    </row>
    <row r="58" spans="1:7" x14ac:dyDescent="0.25">
      <c r="A58" s="238" t="s">
        <v>666</v>
      </c>
      <c r="B58" s="136" t="s">
        <v>638</v>
      </c>
      <c r="C58" s="136"/>
      <c r="D58" s="136">
        <v>500</v>
      </c>
      <c r="E58" s="136">
        <f t="shared" si="0"/>
        <v>29459</v>
      </c>
      <c r="F58" s="136" t="s">
        <v>667</v>
      </c>
      <c r="G58" s="136"/>
    </row>
    <row r="59" spans="1:7" ht="15.75" x14ac:dyDescent="0.25">
      <c r="A59" s="246" t="s">
        <v>658</v>
      </c>
      <c r="B59" s="136" t="s">
        <v>283</v>
      </c>
      <c r="C59" s="136">
        <v>108</v>
      </c>
      <c r="D59" s="136"/>
      <c r="E59" s="136">
        <f t="shared" si="0"/>
        <v>29567</v>
      </c>
      <c r="F59" s="136"/>
      <c r="G59" s="136"/>
    </row>
    <row r="60" spans="1:7" x14ac:dyDescent="0.25">
      <c r="A60" s="152" t="s">
        <v>669</v>
      </c>
      <c r="B60" s="136" t="s">
        <v>583</v>
      </c>
      <c r="C60" s="136"/>
      <c r="D60" s="136">
        <v>20</v>
      </c>
      <c r="E60" s="136">
        <f t="shared" si="0"/>
        <v>29547</v>
      </c>
      <c r="F60" s="136" t="s">
        <v>670</v>
      </c>
      <c r="G60" s="136"/>
    </row>
    <row r="61" spans="1:7" x14ac:dyDescent="0.25">
      <c r="A61" s="138" t="s">
        <v>683</v>
      </c>
      <c r="B61" s="136" t="s">
        <v>687</v>
      </c>
      <c r="C61" s="136">
        <v>225</v>
      </c>
      <c r="D61" s="136"/>
      <c r="E61" s="136">
        <f t="shared" si="0"/>
        <v>29772</v>
      </c>
      <c r="F61" s="136"/>
      <c r="G61" s="136"/>
    </row>
    <row r="62" spans="1:7" x14ac:dyDescent="0.25">
      <c r="A62" s="152" t="s">
        <v>689</v>
      </c>
      <c r="B62" s="136" t="s">
        <v>638</v>
      </c>
      <c r="C62" s="136"/>
      <c r="D62" s="136">
        <v>300</v>
      </c>
      <c r="E62" s="136">
        <f t="shared" si="0"/>
        <v>29472</v>
      </c>
      <c r="F62" s="136" t="s">
        <v>690</v>
      </c>
      <c r="G62" s="136"/>
    </row>
    <row r="63" spans="1:7" x14ac:dyDescent="0.25">
      <c r="A63" s="138" t="s">
        <v>695</v>
      </c>
      <c r="B63" s="136" t="s">
        <v>638</v>
      </c>
      <c r="C63" s="136"/>
      <c r="D63" s="136">
        <v>1200</v>
      </c>
      <c r="E63" s="136">
        <f t="shared" si="0"/>
        <v>28272</v>
      </c>
      <c r="F63" s="136" t="s">
        <v>697</v>
      </c>
      <c r="G63" s="136"/>
    </row>
    <row r="64" spans="1:7" x14ac:dyDescent="0.25">
      <c r="A64" s="138" t="s">
        <v>695</v>
      </c>
      <c r="B64" s="136" t="s">
        <v>283</v>
      </c>
      <c r="C64" s="136">
        <v>212</v>
      </c>
      <c r="D64" s="136"/>
      <c r="E64" s="136">
        <f t="shared" si="0"/>
        <v>28484</v>
      </c>
      <c r="F64" s="136"/>
      <c r="G64" s="136"/>
    </row>
    <row r="65" spans="1:7" x14ac:dyDescent="0.25">
      <c r="A65" s="152" t="s">
        <v>701</v>
      </c>
      <c r="B65" s="136" t="s">
        <v>583</v>
      </c>
      <c r="C65" s="136"/>
      <c r="D65" s="136">
        <v>200</v>
      </c>
      <c r="E65" s="136">
        <f t="shared" si="0"/>
        <v>28284</v>
      </c>
      <c r="F65" s="136" t="s">
        <v>702</v>
      </c>
      <c r="G65" s="136"/>
    </row>
    <row r="66" spans="1:7" x14ac:dyDescent="0.25">
      <c r="A66" s="152" t="s">
        <v>701</v>
      </c>
      <c r="B66" s="136" t="s">
        <v>638</v>
      </c>
      <c r="C66" s="136"/>
      <c r="D66" s="136">
        <v>300</v>
      </c>
      <c r="E66" s="136">
        <f t="shared" si="0"/>
        <v>27984</v>
      </c>
      <c r="F66" s="136" t="s">
        <v>703</v>
      </c>
      <c r="G66" s="136"/>
    </row>
    <row r="67" spans="1:7" x14ac:dyDescent="0.25">
      <c r="A67" s="121" t="s">
        <v>701</v>
      </c>
      <c r="B67" s="36" t="s">
        <v>529</v>
      </c>
      <c r="C67" s="36">
        <v>8</v>
      </c>
      <c r="D67" s="136"/>
      <c r="E67" s="136">
        <f t="shared" si="0"/>
        <v>27992</v>
      </c>
      <c r="F67" s="136"/>
      <c r="G67" s="136"/>
    </row>
    <row r="68" spans="1:7" x14ac:dyDescent="0.25">
      <c r="A68" s="238" t="s">
        <v>739</v>
      </c>
      <c r="B68" s="136" t="s">
        <v>572</v>
      </c>
      <c r="C68" s="136"/>
      <c r="D68" s="136">
        <v>100</v>
      </c>
      <c r="E68" s="136">
        <f t="shared" si="0"/>
        <v>27892</v>
      </c>
      <c r="F68" s="136" t="s">
        <v>17</v>
      </c>
      <c r="G68" s="136"/>
    </row>
    <row r="69" spans="1:7" x14ac:dyDescent="0.25">
      <c r="A69" s="138" t="s">
        <v>747</v>
      </c>
      <c r="B69" s="136" t="s">
        <v>283</v>
      </c>
      <c r="C69" s="136">
        <v>20</v>
      </c>
      <c r="D69" s="136"/>
      <c r="E69" s="136">
        <f t="shared" si="0"/>
        <v>27912</v>
      </c>
      <c r="F69" s="136"/>
      <c r="G69" s="136"/>
    </row>
    <row r="70" spans="1:7" x14ac:dyDescent="0.25">
      <c r="A70" s="152" t="s">
        <v>762</v>
      </c>
      <c r="B70" s="136" t="s">
        <v>763</v>
      </c>
      <c r="C70" s="136">
        <v>247</v>
      </c>
      <c r="D70" s="136"/>
      <c r="E70" s="136">
        <f t="shared" si="0"/>
        <v>28159</v>
      </c>
      <c r="F70" s="136"/>
      <c r="G70" s="136"/>
    </row>
    <row r="71" spans="1:7" x14ac:dyDescent="0.25">
      <c r="A71" s="152" t="s">
        <v>764</v>
      </c>
      <c r="B71" s="136" t="s">
        <v>765</v>
      </c>
      <c r="C71" s="136"/>
      <c r="D71" s="136">
        <v>28</v>
      </c>
      <c r="E71" s="136">
        <f t="shared" si="0"/>
        <v>28131</v>
      </c>
      <c r="F71" s="136" t="s">
        <v>766</v>
      </c>
      <c r="G71" s="136"/>
    </row>
    <row r="72" spans="1:7" x14ac:dyDescent="0.25">
      <c r="A72" s="238" t="s">
        <v>764</v>
      </c>
      <c r="B72" s="136" t="s">
        <v>763</v>
      </c>
      <c r="C72" s="136">
        <v>100</v>
      </c>
      <c r="D72" s="136"/>
      <c r="E72" s="136">
        <f>E71+C72-D72</f>
        <v>28231</v>
      </c>
      <c r="F72" s="136"/>
      <c r="G72" s="136"/>
    </row>
    <row r="73" spans="1:7" x14ac:dyDescent="0.25">
      <c r="A73" s="152" t="s">
        <v>773</v>
      </c>
      <c r="B73" s="136" t="s">
        <v>763</v>
      </c>
      <c r="C73" s="136">
        <v>2</v>
      </c>
      <c r="D73" s="136"/>
      <c r="E73" s="136">
        <f>E72+C73-D73</f>
        <v>28233</v>
      </c>
      <c r="F73" s="136"/>
      <c r="G73" s="136"/>
    </row>
    <row r="74" spans="1:7" x14ac:dyDescent="0.25">
      <c r="A74" s="152" t="s">
        <v>773</v>
      </c>
      <c r="B74" s="136" t="s">
        <v>283</v>
      </c>
      <c r="C74" s="136">
        <v>82</v>
      </c>
      <c r="D74" s="136"/>
      <c r="E74" s="136">
        <f>E73+C74-D74</f>
        <v>28315</v>
      </c>
      <c r="F74" s="136"/>
      <c r="G74" s="136"/>
    </row>
    <row r="75" spans="1:7" x14ac:dyDescent="0.25">
      <c r="A75" s="138" t="s">
        <v>775</v>
      </c>
      <c r="B75" s="136" t="s">
        <v>250</v>
      </c>
      <c r="C75" s="136"/>
      <c r="D75" s="136">
        <v>64</v>
      </c>
      <c r="E75" s="136">
        <f>E74+C75-D75</f>
        <v>28251</v>
      </c>
      <c r="F75" s="136" t="s">
        <v>776</v>
      </c>
      <c r="G75" s="136"/>
    </row>
    <row r="76" spans="1:7" x14ac:dyDescent="0.25">
      <c r="A76" s="152" t="s">
        <v>779</v>
      </c>
      <c r="B76" s="136" t="s">
        <v>763</v>
      </c>
      <c r="C76" s="136">
        <v>350</v>
      </c>
      <c r="D76" s="136"/>
      <c r="E76" s="136">
        <f>E75+C76-D76</f>
        <v>28601</v>
      </c>
      <c r="F76" s="136"/>
      <c r="G76" s="136"/>
    </row>
    <row r="77" spans="1:7" x14ac:dyDescent="0.25">
      <c r="A77" s="152" t="s">
        <v>779</v>
      </c>
      <c r="B77" s="136" t="s">
        <v>763</v>
      </c>
      <c r="C77" s="136">
        <v>350</v>
      </c>
      <c r="D77" s="136"/>
      <c r="E77" s="136">
        <f>E76+C77-D77</f>
        <v>28951</v>
      </c>
      <c r="F77" s="136"/>
      <c r="G77" s="136"/>
    </row>
    <row r="78" spans="1:7" x14ac:dyDescent="0.25">
      <c r="A78" s="152" t="s">
        <v>786</v>
      </c>
      <c r="B78" s="136" t="s">
        <v>180</v>
      </c>
      <c r="C78" s="136">
        <v>441</v>
      </c>
      <c r="D78" s="136"/>
      <c r="E78" s="136">
        <f>E77+C78-D78</f>
        <v>29392</v>
      </c>
      <c r="F78" s="136"/>
      <c r="G78" s="136"/>
    </row>
    <row r="79" spans="1:7" x14ac:dyDescent="0.25">
      <c r="A79" s="152" t="s">
        <v>788</v>
      </c>
      <c r="B79" s="136" t="s">
        <v>792</v>
      </c>
      <c r="C79" s="136"/>
      <c r="D79" s="136">
        <v>100</v>
      </c>
      <c r="E79" s="136">
        <f>E78+C79-D79</f>
        <v>29292</v>
      </c>
      <c r="F79" s="136" t="s">
        <v>793</v>
      </c>
      <c r="G79" s="136"/>
    </row>
    <row r="80" spans="1:7" x14ac:dyDescent="0.25">
      <c r="A80" s="152" t="s">
        <v>798</v>
      </c>
      <c r="B80" s="136" t="s">
        <v>273</v>
      </c>
      <c r="C80" s="136"/>
      <c r="D80" s="136">
        <v>50</v>
      </c>
      <c r="E80" s="136">
        <f>E79+C80-D80</f>
        <v>29242</v>
      </c>
      <c r="F80" s="136" t="s">
        <v>799</v>
      </c>
      <c r="G80" s="136"/>
    </row>
    <row r="81" spans="1:7" x14ac:dyDescent="0.25">
      <c r="A81" s="138" t="s">
        <v>804</v>
      </c>
      <c r="B81" s="136" t="s">
        <v>783</v>
      </c>
      <c r="C81" s="136"/>
      <c r="D81" s="136">
        <v>600</v>
      </c>
      <c r="E81" s="136">
        <f>E80+C81-D81</f>
        <v>28642</v>
      </c>
      <c r="F81" s="136" t="s">
        <v>810</v>
      </c>
      <c r="G81" s="136"/>
    </row>
    <row r="82" spans="1:7" x14ac:dyDescent="0.25">
      <c r="A82" s="138" t="s">
        <v>827</v>
      </c>
      <c r="B82" s="136" t="s">
        <v>382</v>
      </c>
      <c r="C82" s="136">
        <v>32</v>
      </c>
      <c r="D82" s="136"/>
      <c r="E82" s="136">
        <f>E81+C82-D82</f>
        <v>28674</v>
      </c>
      <c r="F82" s="136"/>
      <c r="G82" s="136"/>
    </row>
    <row r="83" spans="1:7" x14ac:dyDescent="0.25">
      <c r="A83" s="138" t="s">
        <v>839</v>
      </c>
      <c r="B83" s="136" t="s">
        <v>844</v>
      </c>
      <c r="C83" s="136">
        <v>70</v>
      </c>
      <c r="D83" s="136"/>
      <c r="E83" s="136">
        <f>E82+C83-D83</f>
        <v>28744</v>
      </c>
      <c r="F83" s="136"/>
      <c r="G83" s="136"/>
    </row>
    <row r="84" spans="1:7" x14ac:dyDescent="0.25">
      <c r="A84" s="138" t="s">
        <v>848</v>
      </c>
      <c r="B84" s="136" t="s">
        <v>849</v>
      </c>
      <c r="C84" s="136"/>
      <c r="D84" s="136">
        <v>10</v>
      </c>
      <c r="E84" s="136">
        <f>E83+C84-D84</f>
        <v>28734</v>
      </c>
      <c r="F84" s="136" t="s">
        <v>17</v>
      </c>
      <c r="G84" s="136"/>
    </row>
    <row r="85" spans="1:7" x14ac:dyDescent="0.25">
      <c r="A85" s="152" t="s">
        <v>848</v>
      </c>
      <c r="B85" s="136" t="s">
        <v>550</v>
      </c>
      <c r="C85" s="136">
        <v>151</v>
      </c>
      <c r="D85" s="136"/>
      <c r="E85" s="136">
        <f>E84+C85-D85</f>
        <v>28885</v>
      </c>
      <c r="F85" s="136"/>
      <c r="G85" s="136"/>
    </row>
    <row r="86" spans="1:7" x14ac:dyDescent="0.25">
      <c r="A86" s="152" t="s">
        <v>856</v>
      </c>
      <c r="B86" s="136" t="s">
        <v>858</v>
      </c>
      <c r="C86" s="136"/>
      <c r="D86" s="36">
        <v>25</v>
      </c>
      <c r="E86" s="136">
        <f>E85+C86-D86</f>
        <v>28860</v>
      </c>
      <c r="F86" s="48" t="s">
        <v>17</v>
      </c>
      <c r="G86" s="136"/>
    </row>
    <row r="87" spans="1:7" x14ac:dyDescent="0.25">
      <c r="A87" s="152" t="s">
        <v>856</v>
      </c>
      <c r="B87" s="136" t="s">
        <v>859</v>
      </c>
      <c r="C87" s="136"/>
      <c r="D87" s="136">
        <v>1356</v>
      </c>
      <c r="E87" s="136">
        <f>E86+C87-D87</f>
        <v>27504</v>
      </c>
      <c r="F87" s="181" t="s">
        <v>860</v>
      </c>
      <c r="G87" s="136"/>
    </row>
    <row r="88" spans="1:7" x14ac:dyDescent="0.25">
      <c r="A88" s="152" t="s">
        <v>856</v>
      </c>
      <c r="B88" s="136" t="s">
        <v>861</v>
      </c>
      <c r="C88" s="136"/>
      <c r="D88" s="136">
        <v>1500</v>
      </c>
      <c r="E88" s="136">
        <f>E87+C88-D88</f>
        <v>26004</v>
      </c>
      <c r="F88" s="181" t="s">
        <v>862</v>
      </c>
      <c r="G88" s="136"/>
    </row>
    <row r="89" spans="1:7" x14ac:dyDescent="0.25">
      <c r="A89" s="152" t="s">
        <v>865</v>
      </c>
      <c r="B89" s="136" t="s">
        <v>783</v>
      </c>
      <c r="C89" s="136"/>
      <c r="D89" s="136">
        <v>500</v>
      </c>
      <c r="E89" s="136">
        <f>E88+C89-D89</f>
        <v>25504</v>
      </c>
      <c r="F89" s="163" t="s">
        <v>866</v>
      </c>
      <c r="G89" s="136"/>
    </row>
    <row r="90" spans="1:7" x14ac:dyDescent="0.25">
      <c r="A90" s="152" t="s">
        <v>869</v>
      </c>
      <c r="B90" s="136" t="s">
        <v>859</v>
      </c>
      <c r="C90" s="136"/>
      <c r="D90" s="136">
        <v>1000</v>
      </c>
      <c r="E90" s="136">
        <f>E89+C90-D90</f>
        <v>24504</v>
      </c>
      <c r="F90" s="163" t="s">
        <v>870</v>
      </c>
      <c r="G90" s="136"/>
    </row>
    <row r="91" spans="1:7" x14ac:dyDescent="0.25">
      <c r="A91" s="152" t="s">
        <v>869</v>
      </c>
      <c r="B91" s="136" t="s">
        <v>812</v>
      </c>
      <c r="C91" s="136"/>
      <c r="D91" s="136">
        <v>500</v>
      </c>
      <c r="E91" s="136">
        <f t="shared" ref="E91:E100" si="1">E90+C91-D91</f>
        <v>24004</v>
      </c>
      <c r="F91" s="163" t="s">
        <v>872</v>
      </c>
      <c r="G91" s="136"/>
    </row>
    <row r="92" spans="1:7" x14ac:dyDescent="0.25">
      <c r="A92" s="138" t="s">
        <v>880</v>
      </c>
      <c r="B92" s="136" t="s">
        <v>816</v>
      </c>
      <c r="C92" s="136"/>
      <c r="D92" s="136">
        <v>300</v>
      </c>
      <c r="E92" s="136">
        <f t="shared" si="1"/>
        <v>23704</v>
      </c>
      <c r="F92" s="136" t="s">
        <v>882</v>
      </c>
      <c r="G92" s="136"/>
    </row>
    <row r="93" spans="1:7" x14ac:dyDescent="0.25">
      <c r="A93" s="138" t="s">
        <v>880</v>
      </c>
      <c r="B93" s="136" t="s">
        <v>816</v>
      </c>
      <c r="C93" s="136"/>
      <c r="D93" s="136">
        <v>200</v>
      </c>
      <c r="E93" s="136">
        <f t="shared" si="1"/>
        <v>23504</v>
      </c>
      <c r="F93" s="136" t="s">
        <v>882</v>
      </c>
      <c r="G93" s="136"/>
    </row>
    <row r="94" spans="1:7" x14ac:dyDescent="0.25">
      <c r="A94" s="138" t="s">
        <v>893</v>
      </c>
      <c r="B94" s="136" t="s">
        <v>783</v>
      </c>
      <c r="C94" s="136"/>
      <c r="D94" s="136">
        <v>300</v>
      </c>
      <c r="E94" s="136">
        <f t="shared" si="1"/>
        <v>23204</v>
      </c>
      <c r="F94" s="136" t="s">
        <v>895</v>
      </c>
      <c r="G94" s="136"/>
    </row>
    <row r="95" spans="1:7" x14ac:dyDescent="0.25">
      <c r="A95" s="152" t="s">
        <v>902</v>
      </c>
      <c r="B95" s="136" t="s">
        <v>783</v>
      </c>
      <c r="C95" s="136"/>
      <c r="D95" s="136">
        <v>300</v>
      </c>
      <c r="E95" s="136">
        <f t="shared" si="1"/>
        <v>22904</v>
      </c>
      <c r="F95" s="136" t="s">
        <v>904</v>
      </c>
      <c r="G95" s="136"/>
    </row>
    <row r="96" spans="1:7" x14ac:dyDescent="0.25">
      <c r="A96" s="152" t="s">
        <v>902</v>
      </c>
      <c r="B96" s="136" t="s">
        <v>783</v>
      </c>
      <c r="C96" s="136"/>
      <c r="D96" s="136">
        <v>700</v>
      </c>
      <c r="E96" s="136">
        <f t="shared" si="1"/>
        <v>22204</v>
      </c>
      <c r="F96" s="136" t="s">
        <v>906</v>
      </c>
      <c r="G96" s="136"/>
    </row>
    <row r="97" spans="1:7" x14ac:dyDescent="0.25">
      <c r="A97" s="152" t="s">
        <v>902</v>
      </c>
      <c r="B97" s="136" t="s">
        <v>907</v>
      </c>
      <c r="C97" s="136"/>
      <c r="D97" s="136">
        <v>20</v>
      </c>
      <c r="E97" s="136">
        <f t="shared" si="1"/>
        <v>22184</v>
      </c>
      <c r="F97" s="136"/>
      <c r="G97" s="136"/>
    </row>
    <row r="98" spans="1:7" x14ac:dyDescent="0.25">
      <c r="A98" s="152" t="s">
        <v>902</v>
      </c>
      <c r="B98" s="136" t="s">
        <v>907</v>
      </c>
      <c r="C98" s="136"/>
      <c r="D98" s="136">
        <v>20</v>
      </c>
      <c r="E98" s="136">
        <f t="shared" si="1"/>
        <v>22164</v>
      </c>
      <c r="F98" s="136"/>
      <c r="G98" s="136"/>
    </row>
    <row r="99" spans="1:7" x14ac:dyDescent="0.25">
      <c r="A99" s="121" t="s">
        <v>914</v>
      </c>
      <c r="B99" s="36" t="s">
        <v>783</v>
      </c>
      <c r="C99" s="36"/>
      <c r="D99" s="136">
        <v>1000</v>
      </c>
      <c r="E99" s="136">
        <f t="shared" si="1"/>
        <v>21164</v>
      </c>
      <c r="F99" s="136" t="s">
        <v>917</v>
      </c>
      <c r="G99" s="136"/>
    </row>
    <row r="100" spans="1:7" ht="15.75" x14ac:dyDescent="0.25">
      <c r="A100" s="246" t="s">
        <v>914</v>
      </c>
      <c r="B100" s="161" t="s">
        <v>915</v>
      </c>
      <c r="C100" s="161"/>
      <c r="D100" s="161">
        <v>280</v>
      </c>
      <c r="E100" s="136">
        <f t="shared" si="1"/>
        <v>20884</v>
      </c>
      <c r="F100" s="161" t="s">
        <v>918</v>
      </c>
      <c r="G100" s="136"/>
    </row>
    <row r="101" spans="1:7" x14ac:dyDescent="0.25">
      <c r="A101" s="136"/>
      <c r="B101" s="136"/>
      <c r="C101" s="136"/>
      <c r="D101" s="136"/>
      <c r="E101" s="136"/>
      <c r="F101" s="136"/>
      <c r="G101" s="136"/>
    </row>
    <row r="102" spans="1:7" x14ac:dyDescent="0.25">
      <c r="A102" s="136"/>
      <c r="B102" s="136"/>
      <c r="C102" s="136"/>
      <c r="D102" s="136"/>
      <c r="E102" s="136"/>
      <c r="F102" s="136"/>
      <c r="G102" s="136"/>
    </row>
    <row r="103" spans="1:7" x14ac:dyDescent="0.25">
      <c r="A103" s="136"/>
      <c r="B103" s="136"/>
      <c r="C103" s="136"/>
      <c r="D103" s="136"/>
      <c r="E103" s="136"/>
      <c r="F103" s="136"/>
      <c r="G103" s="136"/>
    </row>
    <row r="104" spans="1:7" x14ac:dyDescent="0.25">
      <c r="A104" s="136"/>
      <c r="B104" s="136"/>
      <c r="C104" s="136"/>
      <c r="D104" s="136"/>
      <c r="E104" s="136"/>
      <c r="F104" s="136"/>
      <c r="G104" s="136"/>
    </row>
    <row r="105" spans="1:7" x14ac:dyDescent="0.25">
      <c r="A105" s="136"/>
      <c r="B105" s="136"/>
      <c r="C105" s="136"/>
      <c r="D105" s="136"/>
      <c r="E105" s="136"/>
      <c r="F105" s="136"/>
      <c r="G105" s="136"/>
    </row>
    <row r="106" spans="1:7" x14ac:dyDescent="0.25">
      <c r="A106" s="136"/>
      <c r="B106" s="136"/>
      <c r="C106" s="136"/>
      <c r="D106" s="136"/>
      <c r="E106" s="136"/>
      <c r="F106" s="136"/>
      <c r="G106" s="136"/>
    </row>
    <row r="107" spans="1:7" x14ac:dyDescent="0.25">
      <c r="A107" s="136"/>
      <c r="B107" s="136"/>
      <c r="C107" s="136"/>
      <c r="D107" s="136"/>
      <c r="E107" s="136"/>
      <c r="F107" s="136"/>
      <c r="G107" s="136"/>
    </row>
    <row r="108" spans="1:7" x14ac:dyDescent="0.25">
      <c r="A108" s="136"/>
      <c r="B108" s="136"/>
      <c r="C108" s="136"/>
      <c r="D108" s="136"/>
      <c r="E108" s="136"/>
      <c r="F108" s="136"/>
      <c r="G108" s="13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5"/>
  <sheetViews>
    <sheetView topLeftCell="A13" zoomScaleNormal="100" workbookViewId="0">
      <selection activeCell="F31" sqref="F31"/>
    </sheetView>
  </sheetViews>
  <sheetFormatPr defaultRowHeight="15" x14ac:dyDescent="0.25"/>
  <cols>
    <col min="1" max="1" width="12.28515625" style="29" customWidth="1"/>
    <col min="2" max="2" width="36.85546875" style="29" customWidth="1"/>
    <col min="3" max="5" width="9.140625" style="29"/>
    <col min="6" max="6" width="14.85546875" style="29" customWidth="1"/>
    <col min="7" max="7" width="22.28515625" customWidth="1"/>
  </cols>
  <sheetData>
    <row r="2" spans="1:7" ht="15.75" x14ac:dyDescent="0.25">
      <c r="A2" s="140" t="s">
        <v>51</v>
      </c>
      <c r="B2" s="141"/>
      <c r="C2" s="128"/>
      <c r="D2" s="128"/>
      <c r="E2" s="128"/>
      <c r="F2" s="129"/>
      <c r="G2" s="130"/>
    </row>
    <row r="3" spans="1:7" x14ac:dyDescent="0.25">
      <c r="A3" s="131"/>
      <c r="B3" s="132"/>
      <c r="C3" s="128"/>
      <c r="D3" s="128"/>
      <c r="E3" s="128"/>
      <c r="F3" s="129"/>
      <c r="G3" s="129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9"/>
      <c r="B5" s="139" t="s">
        <v>246</v>
      </c>
      <c r="C5" s="139"/>
      <c r="D5" s="139"/>
      <c r="E5" s="139"/>
      <c r="F5" s="139">
        <v>128</v>
      </c>
      <c r="G5" s="139"/>
    </row>
    <row r="6" spans="1:7" x14ac:dyDescent="0.25">
      <c r="A6" s="136"/>
      <c r="B6" s="136"/>
      <c r="C6" s="136"/>
      <c r="D6" s="136"/>
      <c r="E6" s="136">
        <v>128</v>
      </c>
      <c r="F6" s="136"/>
      <c r="G6" s="136"/>
    </row>
    <row r="7" spans="1:7" x14ac:dyDescent="0.25">
      <c r="A7" s="138" t="s">
        <v>306</v>
      </c>
      <c r="B7" s="136" t="s">
        <v>305</v>
      </c>
      <c r="C7" s="136">
        <v>81</v>
      </c>
      <c r="D7" s="136"/>
      <c r="E7" s="136">
        <f>E6+C7-D7</f>
        <v>209</v>
      </c>
      <c r="F7" s="136"/>
      <c r="G7" s="136"/>
    </row>
    <row r="8" spans="1:7" x14ac:dyDescent="0.25">
      <c r="A8" s="138" t="s">
        <v>394</v>
      </c>
      <c r="B8" s="136" t="s">
        <v>283</v>
      </c>
      <c r="C8" s="136">
        <v>18</v>
      </c>
      <c r="D8" s="136"/>
      <c r="E8" s="136">
        <f t="shared" ref="E8:E31" si="0">E7+C8-D8</f>
        <v>227</v>
      </c>
      <c r="F8" s="136"/>
      <c r="G8" s="136"/>
    </row>
    <row r="9" spans="1:7" x14ac:dyDescent="0.25">
      <c r="A9" s="152" t="s">
        <v>400</v>
      </c>
      <c r="B9" s="136" t="s">
        <v>283</v>
      </c>
      <c r="C9" s="136">
        <v>1</v>
      </c>
      <c r="D9" s="136"/>
      <c r="E9" s="136">
        <f t="shared" si="0"/>
        <v>228</v>
      </c>
      <c r="F9" s="136"/>
      <c r="G9" s="136"/>
    </row>
    <row r="10" spans="1:7" x14ac:dyDescent="0.25">
      <c r="A10" s="152" t="s">
        <v>459</v>
      </c>
      <c r="B10" s="156" t="s">
        <v>414</v>
      </c>
      <c r="C10" s="136"/>
      <c r="D10" s="136">
        <v>100</v>
      </c>
      <c r="E10" s="136">
        <f t="shared" si="0"/>
        <v>128</v>
      </c>
      <c r="F10" s="136" t="s">
        <v>461</v>
      </c>
      <c r="G10" s="136"/>
    </row>
    <row r="11" spans="1:7" x14ac:dyDescent="0.25">
      <c r="A11" s="138" t="s">
        <v>473</v>
      </c>
      <c r="B11" s="136" t="s">
        <v>283</v>
      </c>
      <c r="C11" s="136">
        <v>9</v>
      </c>
      <c r="D11" s="136"/>
      <c r="E11" s="136">
        <f t="shared" si="0"/>
        <v>137</v>
      </c>
      <c r="F11" s="136"/>
      <c r="G11" s="136"/>
    </row>
    <row r="12" spans="1:7" x14ac:dyDescent="0.25">
      <c r="A12" s="238" t="s">
        <v>475</v>
      </c>
      <c r="B12" s="136" t="s">
        <v>283</v>
      </c>
      <c r="C12" s="136">
        <v>13</v>
      </c>
      <c r="D12" s="136"/>
      <c r="E12" s="136">
        <f t="shared" si="0"/>
        <v>150</v>
      </c>
      <c r="F12" s="136"/>
      <c r="G12" s="136"/>
    </row>
    <row r="13" spans="1:7" x14ac:dyDescent="0.25">
      <c r="A13" s="138" t="s">
        <v>485</v>
      </c>
      <c r="B13" s="136" t="s">
        <v>488</v>
      </c>
      <c r="C13" s="136">
        <v>32</v>
      </c>
      <c r="D13" s="136"/>
      <c r="E13" s="136">
        <f t="shared" si="0"/>
        <v>182</v>
      </c>
      <c r="F13" s="136"/>
      <c r="G13" s="136"/>
    </row>
    <row r="14" spans="1:7" x14ac:dyDescent="0.25">
      <c r="A14" s="152" t="s">
        <v>485</v>
      </c>
      <c r="B14" s="136" t="s">
        <v>283</v>
      </c>
      <c r="C14" s="136">
        <v>5</v>
      </c>
      <c r="D14" s="136"/>
      <c r="E14" s="136">
        <f t="shared" si="0"/>
        <v>187</v>
      </c>
      <c r="F14" s="136"/>
      <c r="G14" s="136"/>
    </row>
    <row r="15" spans="1:7" x14ac:dyDescent="0.25">
      <c r="A15" s="152" t="s">
        <v>542</v>
      </c>
      <c r="B15" s="136" t="s">
        <v>283</v>
      </c>
      <c r="C15" s="136">
        <v>6</v>
      </c>
      <c r="D15" s="136"/>
      <c r="E15" s="136">
        <f t="shared" si="0"/>
        <v>193</v>
      </c>
      <c r="F15" s="136"/>
      <c r="G15" s="136"/>
    </row>
    <row r="16" spans="1:7" x14ac:dyDescent="0.25">
      <c r="A16" s="152" t="s">
        <v>542</v>
      </c>
      <c r="B16" s="136" t="s">
        <v>283</v>
      </c>
      <c r="C16" s="136">
        <v>4</v>
      </c>
      <c r="D16" s="136"/>
      <c r="E16" s="136">
        <f t="shared" si="0"/>
        <v>197</v>
      </c>
      <c r="F16" s="136"/>
      <c r="G16" s="136"/>
    </row>
    <row r="17" spans="1:7" x14ac:dyDescent="0.25">
      <c r="A17" s="121" t="s">
        <v>549</v>
      </c>
      <c r="B17" s="136" t="s">
        <v>414</v>
      </c>
      <c r="C17" s="36">
        <v>41</v>
      </c>
      <c r="D17" s="136"/>
      <c r="E17" s="136">
        <f t="shared" si="0"/>
        <v>238</v>
      </c>
      <c r="F17" s="136"/>
      <c r="G17" s="136"/>
    </row>
    <row r="18" spans="1:7" x14ac:dyDescent="0.25">
      <c r="A18" s="152" t="s">
        <v>559</v>
      </c>
      <c r="B18" s="136" t="s">
        <v>283</v>
      </c>
      <c r="C18" s="136">
        <v>9</v>
      </c>
      <c r="D18" s="136"/>
      <c r="E18" s="136">
        <f t="shared" si="0"/>
        <v>247</v>
      </c>
      <c r="F18" s="136"/>
      <c r="G18" s="136"/>
    </row>
    <row r="19" spans="1:7" x14ac:dyDescent="0.25">
      <c r="A19" s="152" t="s">
        <v>577</v>
      </c>
      <c r="B19" s="136" t="s">
        <v>283</v>
      </c>
      <c r="C19" s="136">
        <v>1</v>
      </c>
      <c r="D19" s="136"/>
      <c r="E19" s="136">
        <f t="shared" si="0"/>
        <v>248</v>
      </c>
      <c r="F19" s="136"/>
      <c r="G19" s="136"/>
    </row>
    <row r="20" spans="1:7" x14ac:dyDescent="0.25">
      <c r="A20" s="152" t="s">
        <v>577</v>
      </c>
      <c r="B20" s="36" t="s">
        <v>488</v>
      </c>
      <c r="C20" s="36">
        <v>44</v>
      </c>
      <c r="D20" s="36"/>
      <c r="E20" s="136">
        <f t="shared" si="0"/>
        <v>292</v>
      </c>
      <c r="F20" s="36"/>
      <c r="G20" s="1"/>
    </row>
    <row r="21" spans="1:7" x14ac:dyDescent="0.25">
      <c r="A21" s="138" t="s">
        <v>581</v>
      </c>
      <c r="B21" s="136" t="s">
        <v>583</v>
      </c>
      <c r="C21" s="136"/>
      <c r="D21" s="136">
        <v>40</v>
      </c>
      <c r="E21" s="136">
        <f t="shared" si="0"/>
        <v>252</v>
      </c>
      <c r="F21" s="136" t="s">
        <v>584</v>
      </c>
      <c r="G21" s="1"/>
    </row>
    <row r="22" spans="1:7" x14ac:dyDescent="0.25">
      <c r="A22" s="152" t="s">
        <v>634</v>
      </c>
      <c r="B22" s="136" t="s">
        <v>519</v>
      </c>
      <c r="C22" s="136">
        <v>5</v>
      </c>
      <c r="D22" s="136"/>
      <c r="E22" s="136">
        <f t="shared" si="0"/>
        <v>257</v>
      </c>
      <c r="F22" s="36"/>
      <c r="G22" s="1"/>
    </row>
    <row r="23" spans="1:7" x14ac:dyDescent="0.25">
      <c r="A23" s="238" t="s">
        <v>663</v>
      </c>
      <c r="B23" s="156" t="s">
        <v>414</v>
      </c>
      <c r="C23" s="136">
        <v>59</v>
      </c>
      <c r="D23" s="36"/>
      <c r="E23" s="136">
        <f t="shared" si="0"/>
        <v>316</v>
      </c>
      <c r="F23" s="36"/>
      <c r="G23" s="1"/>
    </row>
    <row r="24" spans="1:7" x14ac:dyDescent="0.25">
      <c r="A24" s="152" t="s">
        <v>669</v>
      </c>
      <c r="B24" s="136" t="s">
        <v>583</v>
      </c>
      <c r="C24" s="136"/>
      <c r="D24" s="136">
        <v>20</v>
      </c>
      <c r="E24" s="136">
        <f t="shared" si="0"/>
        <v>296</v>
      </c>
      <c r="F24" s="136" t="s">
        <v>670</v>
      </c>
      <c r="G24" s="1"/>
    </row>
    <row r="25" spans="1:7" x14ac:dyDescent="0.25">
      <c r="A25" s="138" t="s">
        <v>695</v>
      </c>
      <c r="B25" s="136" t="s">
        <v>283</v>
      </c>
      <c r="C25" s="136">
        <v>2</v>
      </c>
      <c r="D25" s="36"/>
      <c r="E25" s="136">
        <f t="shared" si="0"/>
        <v>298</v>
      </c>
      <c r="F25" s="36"/>
      <c r="G25" s="1"/>
    </row>
    <row r="26" spans="1:7" x14ac:dyDescent="0.25">
      <c r="A26" s="152" t="s">
        <v>701</v>
      </c>
      <c r="B26" s="136" t="s">
        <v>583</v>
      </c>
      <c r="C26" s="136"/>
      <c r="D26" s="136">
        <v>50</v>
      </c>
      <c r="E26" s="136">
        <f t="shared" si="0"/>
        <v>248</v>
      </c>
      <c r="F26" s="136" t="s">
        <v>702</v>
      </c>
      <c r="G26" s="1"/>
    </row>
    <row r="27" spans="1:7" x14ac:dyDescent="0.25">
      <c r="A27" s="152" t="s">
        <v>764</v>
      </c>
      <c r="B27" s="136" t="s">
        <v>765</v>
      </c>
      <c r="C27" s="136"/>
      <c r="D27" s="136">
        <v>44</v>
      </c>
      <c r="E27" s="136">
        <f t="shared" si="0"/>
        <v>204</v>
      </c>
      <c r="F27" s="136" t="s">
        <v>766</v>
      </c>
      <c r="G27" s="1"/>
    </row>
    <row r="28" spans="1:7" x14ac:dyDescent="0.25">
      <c r="A28" s="152" t="s">
        <v>773</v>
      </c>
      <c r="B28" s="136" t="s">
        <v>283</v>
      </c>
      <c r="C28" s="136">
        <v>1</v>
      </c>
      <c r="D28" s="36"/>
      <c r="E28" s="136">
        <f t="shared" si="0"/>
        <v>205</v>
      </c>
      <c r="F28" s="36"/>
      <c r="G28" s="1"/>
    </row>
    <row r="29" spans="1:7" x14ac:dyDescent="0.25">
      <c r="A29" s="152" t="s">
        <v>788</v>
      </c>
      <c r="B29" s="136" t="s">
        <v>792</v>
      </c>
      <c r="C29" s="136"/>
      <c r="D29" s="136">
        <v>100</v>
      </c>
      <c r="E29" s="136">
        <f t="shared" si="0"/>
        <v>105</v>
      </c>
      <c r="F29" s="136" t="s">
        <v>793</v>
      </c>
      <c r="G29" s="1"/>
    </row>
    <row r="30" spans="1:7" x14ac:dyDescent="0.25">
      <c r="A30" s="138" t="s">
        <v>839</v>
      </c>
      <c r="B30" s="136" t="s">
        <v>844</v>
      </c>
      <c r="C30" s="136">
        <v>1</v>
      </c>
      <c r="D30" s="36"/>
      <c r="E30" s="136">
        <f t="shared" si="0"/>
        <v>106</v>
      </c>
      <c r="F30" s="36"/>
      <c r="G30" s="1"/>
    </row>
    <row r="31" spans="1:7" x14ac:dyDescent="0.25">
      <c r="A31" s="152" t="s">
        <v>869</v>
      </c>
      <c r="B31" s="136" t="s">
        <v>180</v>
      </c>
      <c r="C31" s="136">
        <v>559</v>
      </c>
      <c r="D31" s="36"/>
      <c r="E31" s="136">
        <f t="shared" si="0"/>
        <v>665</v>
      </c>
      <c r="F31" s="36"/>
      <c r="G31" s="1"/>
    </row>
    <row r="32" spans="1:7" x14ac:dyDescent="0.25">
      <c r="A32" s="36"/>
      <c r="B32" s="36"/>
      <c r="C32" s="36"/>
      <c r="D32" s="36"/>
      <c r="E32" s="36"/>
      <c r="F32" s="36"/>
      <c r="G32" s="1"/>
    </row>
    <row r="33" spans="1:7" x14ac:dyDescent="0.25">
      <c r="A33" s="36"/>
      <c r="B33" s="36"/>
      <c r="C33" s="36"/>
      <c r="D33" s="36"/>
      <c r="E33" s="36"/>
      <c r="F33" s="36"/>
      <c r="G33" s="1"/>
    </row>
    <row r="34" spans="1:7" x14ac:dyDescent="0.25">
      <c r="A34" s="36"/>
      <c r="B34" s="36"/>
      <c r="C34" s="36"/>
      <c r="D34" s="36"/>
      <c r="E34" s="36"/>
      <c r="F34" s="36"/>
      <c r="G34" s="1"/>
    </row>
    <row r="35" spans="1:7" x14ac:dyDescent="0.25">
      <c r="A35" s="36"/>
      <c r="B35" s="36"/>
      <c r="C35" s="36"/>
      <c r="D35" s="36"/>
      <c r="E35" s="36"/>
      <c r="F35" s="36"/>
      <c r="G35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G16" sqref="G16"/>
    </sheetView>
  </sheetViews>
  <sheetFormatPr defaultRowHeight="15" x14ac:dyDescent="0.25"/>
  <cols>
    <col min="2" max="2" width="18.85546875" customWidth="1"/>
    <col min="6" max="6" width="14.85546875" customWidth="1"/>
    <col min="7" max="7" width="22.42578125" customWidth="1"/>
  </cols>
  <sheetData>
    <row r="2" spans="1:7" ht="15.75" x14ac:dyDescent="0.25">
      <c r="A2" s="7" t="s">
        <v>52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2"/>
      <c r="B5" s="13" t="s">
        <v>334</v>
      </c>
      <c r="C5" s="13"/>
      <c r="D5" s="13"/>
      <c r="E5" s="119"/>
      <c r="F5" s="1">
        <v>99</v>
      </c>
      <c r="G5" s="15"/>
    </row>
    <row r="6" spans="1:7" x14ac:dyDescent="0.25">
      <c r="A6" s="168"/>
      <c r="B6" s="168"/>
      <c r="C6" s="168"/>
      <c r="D6" s="168"/>
      <c r="E6" s="168">
        <v>99</v>
      </c>
      <c r="F6" s="168"/>
      <c r="G6" s="168"/>
    </row>
    <row r="7" spans="1:7" x14ac:dyDescent="0.25">
      <c r="A7" s="114" t="s">
        <v>865</v>
      </c>
      <c r="B7" s="1" t="s">
        <v>861</v>
      </c>
      <c r="C7" s="1"/>
      <c r="D7" s="1">
        <v>80</v>
      </c>
      <c r="E7" s="1">
        <f>E6+C7-D7</f>
        <v>19</v>
      </c>
      <c r="F7" s="1" t="s">
        <v>868</v>
      </c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</sheetData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G10" sqref="G10"/>
    </sheetView>
  </sheetViews>
  <sheetFormatPr defaultRowHeight="15" x14ac:dyDescent="0.25"/>
  <cols>
    <col min="1" max="1" width="10.42578125" customWidth="1"/>
    <col min="2" max="2" width="19.140625" customWidth="1"/>
    <col min="6" max="6" width="18" customWidth="1"/>
    <col min="7" max="7" width="29.140625" customWidth="1"/>
  </cols>
  <sheetData>
    <row r="2" spans="1:7" ht="15.75" x14ac:dyDescent="0.25">
      <c r="A2" s="7" t="s">
        <v>218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18">
        <v>44491</v>
      </c>
      <c r="B5" s="13" t="s">
        <v>219</v>
      </c>
      <c r="C5" s="13"/>
      <c r="D5" s="13">
        <v>2</v>
      </c>
      <c r="E5" s="119"/>
      <c r="F5" s="1"/>
      <c r="G5" s="15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zoomScaleNormal="100" workbookViewId="0">
      <selection activeCell="F7" sqref="F7"/>
    </sheetView>
  </sheetViews>
  <sheetFormatPr defaultRowHeight="15" x14ac:dyDescent="0.25"/>
  <cols>
    <col min="1" max="1" width="11.28515625" style="29" customWidth="1"/>
    <col min="2" max="2" width="29.28515625" style="29" customWidth="1"/>
    <col min="3" max="5" width="9.140625" style="29"/>
    <col min="6" max="6" width="21.85546875" style="29" customWidth="1"/>
    <col min="7" max="7" width="23.7109375" customWidth="1"/>
  </cols>
  <sheetData>
    <row r="2" spans="1:7" ht="15.75" x14ac:dyDescent="0.25">
      <c r="A2" s="42" t="s">
        <v>29</v>
      </c>
      <c r="B2" s="33"/>
      <c r="C2" s="43"/>
      <c r="D2" s="43"/>
      <c r="E2" s="43"/>
      <c r="G2" s="5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15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2413</v>
      </c>
      <c r="G5" s="1"/>
    </row>
    <row r="6" spans="1:7" x14ac:dyDescent="0.25">
      <c r="A6" s="164"/>
      <c r="B6" s="164"/>
      <c r="C6" s="164"/>
      <c r="D6" s="164"/>
      <c r="E6" s="164">
        <v>2413</v>
      </c>
      <c r="F6" s="164"/>
      <c r="G6" s="168"/>
    </row>
    <row r="7" spans="1:7" x14ac:dyDescent="0.25">
      <c r="A7" s="121" t="s">
        <v>914</v>
      </c>
      <c r="B7" s="36" t="s">
        <v>783</v>
      </c>
      <c r="C7" s="36"/>
      <c r="D7" s="36">
        <v>120</v>
      </c>
      <c r="E7" s="36">
        <f>E6+C7-D7</f>
        <v>2293</v>
      </c>
      <c r="F7" s="136" t="s">
        <v>917</v>
      </c>
      <c r="G7" s="1"/>
    </row>
    <row r="8" spans="1:7" x14ac:dyDescent="0.25">
      <c r="A8" s="36"/>
      <c r="B8" s="36"/>
      <c r="C8" s="36"/>
      <c r="D8" s="36"/>
      <c r="E8" s="36"/>
      <c r="F8" s="36"/>
      <c r="G8" s="1"/>
    </row>
    <row r="9" spans="1:7" x14ac:dyDescent="0.25">
      <c r="A9" s="36"/>
      <c r="B9" s="36"/>
      <c r="C9" s="36"/>
      <c r="D9" s="36"/>
      <c r="E9" s="36"/>
      <c r="F9" s="36"/>
      <c r="G9" s="1"/>
    </row>
    <row r="10" spans="1:7" x14ac:dyDescent="0.25">
      <c r="A10" s="36"/>
      <c r="B10" s="36"/>
      <c r="C10" s="36"/>
      <c r="D10" s="36"/>
      <c r="E10" s="36"/>
      <c r="F10" s="36"/>
      <c r="G10" s="1"/>
    </row>
    <row r="11" spans="1:7" x14ac:dyDescent="0.25">
      <c r="A11" s="36"/>
      <c r="B11" s="36"/>
      <c r="C11" s="36"/>
      <c r="D11" s="36"/>
      <c r="E11" s="36"/>
      <c r="F11" s="36"/>
      <c r="G11" s="1"/>
    </row>
    <row r="12" spans="1:7" x14ac:dyDescent="0.25">
      <c r="A12" s="36"/>
      <c r="B12" s="36"/>
      <c r="C12" s="36"/>
      <c r="D12" s="36"/>
      <c r="E12" s="36"/>
      <c r="F12" s="36"/>
      <c r="G12" s="1"/>
    </row>
    <row r="13" spans="1:7" x14ac:dyDescent="0.25">
      <c r="A13" s="36"/>
      <c r="B13" s="36"/>
      <c r="C13" s="36"/>
      <c r="D13" s="36"/>
      <c r="E13" s="36"/>
      <c r="F13" s="36"/>
      <c r="G13" s="1"/>
    </row>
    <row r="14" spans="1:7" x14ac:dyDescent="0.25">
      <c r="A14" s="36"/>
      <c r="B14" s="36"/>
      <c r="C14" s="36"/>
      <c r="D14" s="36"/>
      <c r="E14" s="36"/>
      <c r="F14" s="36"/>
      <c r="G14" s="1"/>
    </row>
    <row r="15" spans="1:7" x14ac:dyDescent="0.25">
      <c r="A15" s="36"/>
      <c r="B15" s="36"/>
      <c r="C15" s="36"/>
      <c r="D15" s="36"/>
      <c r="E15" s="36"/>
      <c r="F15" s="36"/>
      <c r="G15" s="1"/>
    </row>
    <row r="16" spans="1:7" x14ac:dyDescent="0.25">
      <c r="A16" s="36"/>
      <c r="B16" s="36"/>
      <c r="C16" s="36"/>
      <c r="D16" s="36"/>
      <c r="E16" s="36"/>
      <c r="F16" s="36"/>
      <c r="G16" s="1"/>
    </row>
    <row r="17" spans="1:7" x14ac:dyDescent="0.25">
      <c r="A17" s="36"/>
      <c r="B17" s="36"/>
      <c r="C17" s="36"/>
      <c r="D17" s="36"/>
      <c r="E17" s="36"/>
      <c r="F17" s="36"/>
      <c r="G17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topLeftCell="A4" zoomScale="110" zoomScaleNormal="110" workbookViewId="0">
      <selection activeCell="A10" sqref="A10:XFD10"/>
    </sheetView>
  </sheetViews>
  <sheetFormatPr defaultRowHeight="15" x14ac:dyDescent="0.25"/>
  <cols>
    <col min="1" max="1" width="12.28515625" style="50" customWidth="1"/>
    <col min="2" max="2" width="32" style="29" customWidth="1"/>
    <col min="3" max="5" width="9.140625" style="29"/>
    <col min="6" max="6" width="17.5703125" style="29" customWidth="1"/>
    <col min="7" max="7" width="27.85546875" customWidth="1"/>
  </cols>
  <sheetData>
    <row r="2" spans="1:7" ht="15.75" x14ac:dyDescent="0.25">
      <c r="A2" s="42" t="s">
        <v>16</v>
      </c>
      <c r="B2" s="33"/>
      <c r="C2" s="43"/>
      <c r="D2" s="43"/>
      <c r="E2" s="43"/>
      <c r="G2" s="5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15" t="s">
        <v>8</v>
      </c>
    </row>
    <row r="5" spans="1:7" x14ac:dyDescent="0.25">
      <c r="A5" s="117"/>
      <c r="B5" s="36" t="s">
        <v>318</v>
      </c>
      <c r="C5" s="36"/>
      <c r="D5" s="36"/>
      <c r="E5" s="36"/>
      <c r="F5" s="36">
        <v>97</v>
      </c>
      <c r="G5" s="1"/>
    </row>
    <row r="6" spans="1:7" x14ac:dyDescent="0.25">
      <c r="A6" s="165"/>
      <c r="B6" s="164"/>
      <c r="C6" s="164"/>
      <c r="D6" s="164"/>
      <c r="E6" s="164">
        <v>97</v>
      </c>
      <c r="F6" s="164"/>
      <c r="G6" s="168"/>
    </row>
    <row r="7" spans="1:7" x14ac:dyDescent="0.25">
      <c r="A7" s="152" t="s">
        <v>311</v>
      </c>
      <c r="B7" s="136" t="s">
        <v>312</v>
      </c>
      <c r="C7" s="136"/>
      <c r="D7" s="136">
        <v>3</v>
      </c>
      <c r="E7" s="36">
        <f>E6+C7-D7</f>
        <v>94</v>
      </c>
      <c r="F7" s="136" t="s">
        <v>313</v>
      </c>
      <c r="G7" s="1" t="s">
        <v>437</v>
      </c>
    </row>
    <row r="8" spans="1:7" x14ac:dyDescent="0.25">
      <c r="A8" s="152" t="s">
        <v>430</v>
      </c>
      <c r="B8" s="136" t="s">
        <v>383</v>
      </c>
      <c r="C8" s="136"/>
      <c r="D8" s="136">
        <v>4</v>
      </c>
      <c r="E8" s="36">
        <f>E7+C8-D8</f>
        <v>90</v>
      </c>
      <c r="F8" s="136" t="s">
        <v>17</v>
      </c>
      <c r="G8" s="1" t="s">
        <v>436</v>
      </c>
    </row>
    <row r="9" spans="1:7" x14ac:dyDescent="0.25">
      <c r="A9" s="152" t="s">
        <v>602</v>
      </c>
      <c r="B9" s="136" t="s">
        <v>382</v>
      </c>
      <c r="C9" s="136"/>
      <c r="D9" s="136">
        <v>24</v>
      </c>
      <c r="E9" s="36">
        <f>E8+C9-D9</f>
        <v>66</v>
      </c>
      <c r="F9" s="136" t="s">
        <v>603</v>
      </c>
      <c r="G9" s="1"/>
    </row>
    <row r="10" spans="1:7" x14ac:dyDescent="0.25">
      <c r="A10" s="138" t="s">
        <v>827</v>
      </c>
      <c r="B10" s="136" t="s">
        <v>382</v>
      </c>
      <c r="C10" s="136">
        <v>24</v>
      </c>
      <c r="D10" s="36"/>
      <c r="E10" s="36">
        <f>E9+C10-D10</f>
        <v>90</v>
      </c>
      <c r="F10" s="36"/>
      <c r="G10" s="1"/>
    </row>
    <row r="11" spans="1:7" x14ac:dyDescent="0.25">
      <c r="A11" s="39"/>
      <c r="B11" s="36"/>
      <c r="C11" s="36"/>
      <c r="D11" s="36"/>
      <c r="E11" s="36"/>
      <c r="F11" s="36"/>
      <c r="G11" s="1"/>
    </row>
    <row r="12" spans="1:7" x14ac:dyDescent="0.25">
      <c r="A12" s="39"/>
      <c r="B12" s="36"/>
      <c r="C12" s="36"/>
      <c r="D12" s="36"/>
      <c r="E12" s="36"/>
      <c r="F12" s="36"/>
      <c r="G12" s="1"/>
    </row>
    <row r="13" spans="1:7" x14ac:dyDescent="0.25">
      <c r="A13" s="39"/>
      <c r="B13" s="36"/>
      <c r="C13" s="36"/>
      <c r="D13" s="36"/>
      <c r="E13" s="36"/>
      <c r="F13" s="36"/>
      <c r="G13" s="1"/>
    </row>
    <row r="14" spans="1:7" x14ac:dyDescent="0.25">
      <c r="A14" s="39"/>
      <c r="B14" s="36"/>
      <c r="C14" s="36"/>
      <c r="D14" s="36"/>
      <c r="E14" s="36"/>
      <c r="F14" s="36"/>
      <c r="G14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64"/>
  <sheetViews>
    <sheetView workbookViewId="0">
      <selection activeCell="E15" sqref="E15:E17"/>
    </sheetView>
  </sheetViews>
  <sheetFormatPr defaultRowHeight="15" x14ac:dyDescent="0.25"/>
  <cols>
    <col min="1" max="1" width="13.140625" style="129" customWidth="1"/>
    <col min="2" max="2" width="28.7109375" style="129" customWidth="1"/>
    <col min="3" max="5" width="9.140625" style="129"/>
    <col min="6" max="6" width="15.85546875" style="129" customWidth="1"/>
    <col min="7" max="7" width="22.42578125" style="129" customWidth="1"/>
  </cols>
  <sheetData>
    <row r="1" spans="1:7" ht="14.25" customHeight="1" x14ac:dyDescent="0.25"/>
    <row r="2" spans="1:7" ht="18.75" customHeight="1" x14ac:dyDescent="0.25">
      <c r="A2" s="126" t="s">
        <v>186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9"/>
      <c r="B5" s="139" t="s">
        <v>246</v>
      </c>
      <c r="C5" s="139"/>
      <c r="D5" s="139"/>
      <c r="E5" s="139"/>
      <c r="F5" s="139">
        <v>1492</v>
      </c>
      <c r="G5" s="139"/>
    </row>
    <row r="6" spans="1:7" x14ac:dyDescent="0.25">
      <c r="A6" s="136"/>
      <c r="B6" s="136"/>
      <c r="C6" s="136"/>
      <c r="D6" s="136"/>
      <c r="E6" s="136">
        <v>1492</v>
      </c>
      <c r="F6" s="136"/>
      <c r="G6" s="136"/>
    </row>
    <row r="7" spans="1:7" x14ac:dyDescent="0.25">
      <c r="A7" s="138" t="s">
        <v>249</v>
      </c>
      <c r="B7" s="136" t="s">
        <v>250</v>
      </c>
      <c r="C7" s="136">
        <v>63</v>
      </c>
      <c r="D7" s="136"/>
      <c r="E7" s="136">
        <f>E6+C7-D7</f>
        <v>1555</v>
      </c>
      <c r="F7" s="136"/>
      <c r="G7" s="136"/>
    </row>
    <row r="8" spans="1:7" x14ac:dyDescent="0.25">
      <c r="A8" s="238" t="s">
        <v>353</v>
      </c>
      <c r="B8" s="136" t="s">
        <v>359</v>
      </c>
      <c r="C8" s="136">
        <v>3</v>
      </c>
      <c r="D8" s="136"/>
      <c r="E8" s="136">
        <f t="shared" ref="E8:E17" si="0">E7+C8-D8</f>
        <v>1558</v>
      </c>
      <c r="F8" s="136" t="s">
        <v>358</v>
      </c>
      <c r="G8" s="136"/>
    </row>
    <row r="9" spans="1:7" x14ac:dyDescent="0.25">
      <c r="A9" s="152" t="s">
        <v>371</v>
      </c>
      <c r="B9" s="136" t="s">
        <v>383</v>
      </c>
      <c r="C9" s="136"/>
      <c r="D9" s="163">
        <v>2</v>
      </c>
      <c r="E9" s="136">
        <f t="shared" si="0"/>
        <v>1556</v>
      </c>
      <c r="F9" s="136" t="s">
        <v>17</v>
      </c>
      <c r="G9" s="136"/>
    </row>
    <row r="10" spans="1:7" x14ac:dyDescent="0.25">
      <c r="A10" s="138" t="s">
        <v>406</v>
      </c>
      <c r="B10" s="136" t="s">
        <v>383</v>
      </c>
      <c r="C10" s="136"/>
      <c r="D10" s="136">
        <v>15</v>
      </c>
      <c r="E10" s="136">
        <f t="shared" si="0"/>
        <v>1541</v>
      </c>
      <c r="F10" s="136" t="s">
        <v>17</v>
      </c>
      <c r="G10" s="136"/>
    </row>
    <row r="11" spans="1:7" x14ac:dyDescent="0.25">
      <c r="A11" s="152" t="s">
        <v>430</v>
      </c>
      <c r="B11" s="136" t="s">
        <v>383</v>
      </c>
      <c r="C11" s="136"/>
      <c r="D11" s="136">
        <v>20</v>
      </c>
      <c r="E11" s="136">
        <f t="shared" si="0"/>
        <v>1521</v>
      </c>
      <c r="F11" s="136" t="s">
        <v>17</v>
      </c>
      <c r="G11" s="136"/>
    </row>
    <row r="12" spans="1:7" x14ac:dyDescent="0.25">
      <c r="A12" s="152" t="s">
        <v>459</v>
      </c>
      <c r="B12" s="156" t="s">
        <v>414</v>
      </c>
      <c r="C12" s="136"/>
      <c r="D12" s="136">
        <v>128</v>
      </c>
      <c r="E12" s="136">
        <f t="shared" si="0"/>
        <v>1393</v>
      </c>
      <c r="F12" s="136" t="s">
        <v>461</v>
      </c>
      <c r="G12" s="136"/>
    </row>
    <row r="13" spans="1:7" x14ac:dyDescent="0.25">
      <c r="A13" s="121" t="s">
        <v>549</v>
      </c>
      <c r="B13" s="136" t="s">
        <v>414</v>
      </c>
      <c r="C13" s="163">
        <v>107</v>
      </c>
      <c r="D13" s="136"/>
      <c r="E13" s="136">
        <f t="shared" si="0"/>
        <v>1500</v>
      </c>
      <c r="F13" s="136"/>
      <c r="G13" s="136"/>
    </row>
    <row r="14" spans="1:7" x14ac:dyDescent="0.25">
      <c r="A14" s="152" t="s">
        <v>562</v>
      </c>
      <c r="B14" s="156" t="s">
        <v>414</v>
      </c>
      <c r="C14" s="136">
        <v>4</v>
      </c>
      <c r="D14" s="136"/>
      <c r="E14" s="136">
        <f t="shared" si="0"/>
        <v>1504</v>
      </c>
      <c r="F14" s="136"/>
      <c r="G14" s="136"/>
    </row>
    <row r="15" spans="1:7" x14ac:dyDescent="0.25">
      <c r="A15" s="167">
        <v>8106</v>
      </c>
      <c r="B15" s="136" t="s">
        <v>383</v>
      </c>
      <c r="C15" s="136">
        <v>8</v>
      </c>
      <c r="D15" s="136"/>
      <c r="E15" s="136">
        <f t="shared" si="0"/>
        <v>1512</v>
      </c>
      <c r="F15" s="136"/>
      <c r="G15" s="136"/>
    </row>
    <row r="16" spans="1:7" x14ac:dyDescent="0.25">
      <c r="A16" s="238" t="s">
        <v>663</v>
      </c>
      <c r="B16" s="156" t="s">
        <v>414</v>
      </c>
      <c r="C16" s="136">
        <v>17</v>
      </c>
      <c r="D16" s="136"/>
      <c r="E16" s="136">
        <f t="shared" si="0"/>
        <v>1529</v>
      </c>
      <c r="F16" s="136"/>
      <c r="G16" s="136"/>
    </row>
    <row r="17" spans="1:7" x14ac:dyDescent="0.25">
      <c r="A17" s="138" t="s">
        <v>683</v>
      </c>
      <c r="B17" s="136" t="s">
        <v>687</v>
      </c>
      <c r="C17" s="136">
        <v>15</v>
      </c>
      <c r="D17" s="136"/>
      <c r="E17" s="136">
        <f t="shared" si="0"/>
        <v>1544</v>
      </c>
      <c r="F17" s="136"/>
      <c r="G17" s="136"/>
    </row>
    <row r="18" spans="1:7" x14ac:dyDescent="0.25">
      <c r="A18" s="136"/>
      <c r="B18" s="136"/>
      <c r="C18" s="136"/>
      <c r="D18" s="136"/>
      <c r="E18" s="136"/>
      <c r="F18" s="136"/>
      <c r="G18" s="136"/>
    </row>
    <row r="19" spans="1:7" x14ac:dyDescent="0.25">
      <c r="A19" s="136"/>
      <c r="B19" s="136"/>
      <c r="C19" s="136"/>
      <c r="D19" s="136"/>
      <c r="E19" s="136"/>
      <c r="F19" s="136"/>
      <c r="G19" s="136"/>
    </row>
    <row r="20" spans="1:7" x14ac:dyDescent="0.25">
      <c r="A20" s="136"/>
      <c r="B20" s="136"/>
      <c r="C20" s="136"/>
      <c r="D20" s="136"/>
      <c r="E20" s="136"/>
      <c r="F20" s="136"/>
      <c r="G20" s="136"/>
    </row>
    <row r="21" spans="1:7" x14ac:dyDescent="0.25">
      <c r="A21" s="136"/>
      <c r="B21" s="136"/>
      <c r="C21" s="136"/>
      <c r="D21" s="136"/>
      <c r="E21" s="136"/>
      <c r="F21" s="136"/>
      <c r="G21" s="136"/>
    </row>
    <row r="22" spans="1:7" x14ac:dyDescent="0.25">
      <c r="A22" s="136"/>
      <c r="B22" s="136"/>
      <c r="C22" s="136"/>
      <c r="D22" s="136"/>
      <c r="E22" s="136"/>
      <c r="F22" s="136"/>
      <c r="G22" s="136"/>
    </row>
    <row r="1048564" spans="5:5" x14ac:dyDescent="0.25">
      <c r="E1048564" s="136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D10" sqref="D10"/>
    </sheetView>
  </sheetViews>
  <sheetFormatPr defaultRowHeight="15" x14ac:dyDescent="0.25"/>
  <cols>
    <col min="1" max="1" width="11.85546875" style="29" customWidth="1"/>
    <col min="2" max="2" width="30.28515625" style="29" customWidth="1"/>
    <col min="3" max="5" width="9.140625" style="29"/>
    <col min="6" max="6" width="14.7109375" style="29" customWidth="1"/>
    <col min="7" max="7" width="22.7109375" style="29" customWidth="1"/>
  </cols>
  <sheetData>
    <row r="2" spans="1:7" ht="18.75" customHeight="1" x14ac:dyDescent="0.25">
      <c r="A2" s="42" t="s">
        <v>114</v>
      </c>
      <c r="B2" s="33"/>
      <c r="C2" s="43"/>
      <c r="D2" s="43"/>
      <c r="E2" s="43"/>
      <c r="G2" s="32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124"/>
      <c r="B5" s="124" t="s">
        <v>246</v>
      </c>
      <c r="C5" s="124"/>
      <c r="D5" s="124"/>
      <c r="E5" s="124"/>
      <c r="F5" s="124">
        <v>359</v>
      </c>
      <c r="G5" s="36"/>
    </row>
    <row r="6" spans="1:7" x14ac:dyDescent="0.25">
      <c r="A6" s="36"/>
      <c r="B6" s="36"/>
      <c r="C6" s="36"/>
      <c r="D6" s="36"/>
      <c r="E6" s="36">
        <v>359</v>
      </c>
      <c r="F6" s="36"/>
      <c r="G6" s="36"/>
    </row>
    <row r="7" spans="1:7" x14ac:dyDescent="0.25">
      <c r="A7" s="238" t="s">
        <v>353</v>
      </c>
      <c r="B7" s="136" t="s">
        <v>250</v>
      </c>
      <c r="C7" s="136">
        <v>15</v>
      </c>
      <c r="D7" s="36"/>
      <c r="E7" s="36">
        <f>E6+C7-D7</f>
        <v>374</v>
      </c>
      <c r="F7" s="36"/>
      <c r="G7" s="36"/>
    </row>
    <row r="8" spans="1:7" x14ac:dyDescent="0.25">
      <c r="A8" s="152" t="s">
        <v>438</v>
      </c>
      <c r="B8" s="136" t="s">
        <v>382</v>
      </c>
      <c r="C8" s="136">
        <v>6</v>
      </c>
      <c r="D8" s="36"/>
      <c r="E8" s="36">
        <f>E7+C8-D8</f>
        <v>380</v>
      </c>
      <c r="F8" s="36"/>
      <c r="G8" s="36"/>
    </row>
    <row r="9" spans="1:7" x14ac:dyDescent="0.25">
      <c r="A9" s="138" t="s">
        <v>775</v>
      </c>
      <c r="B9" s="136" t="s">
        <v>250</v>
      </c>
      <c r="C9" s="136"/>
      <c r="D9" s="136">
        <v>15</v>
      </c>
      <c r="E9" s="136"/>
      <c r="F9" s="136" t="s">
        <v>776</v>
      </c>
      <c r="G9" s="36"/>
    </row>
    <row r="10" spans="1:7" x14ac:dyDescent="0.25">
      <c r="A10" s="138" t="s">
        <v>775</v>
      </c>
      <c r="B10" s="136" t="s">
        <v>250</v>
      </c>
      <c r="C10" s="136"/>
      <c r="D10" s="136">
        <v>3</v>
      </c>
      <c r="E10" s="136"/>
      <c r="F10" s="136" t="s">
        <v>776</v>
      </c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  <row r="15" spans="1:7" x14ac:dyDescent="0.25">
      <c r="A15" s="36"/>
      <c r="B15" s="36"/>
      <c r="C15" s="36"/>
      <c r="D15" s="36"/>
      <c r="E15" s="36"/>
      <c r="F15" s="36"/>
      <c r="G15" s="36"/>
    </row>
    <row r="16" spans="1:7" x14ac:dyDescent="0.25">
      <c r="A16" s="36"/>
      <c r="B16" s="36"/>
      <c r="C16" s="36"/>
      <c r="D16" s="36"/>
      <c r="E16" s="36"/>
      <c r="F16" s="36"/>
      <c r="G16" s="36"/>
    </row>
    <row r="17" spans="1:7" x14ac:dyDescent="0.25">
      <c r="A17" s="36"/>
      <c r="B17" s="36"/>
      <c r="C17" s="36"/>
      <c r="D17" s="36"/>
      <c r="E17" s="36"/>
      <c r="F17" s="36"/>
      <c r="G17" s="36"/>
    </row>
    <row r="18" spans="1:7" x14ac:dyDescent="0.25">
      <c r="A18" s="36"/>
      <c r="B18" s="36"/>
      <c r="C18" s="36"/>
      <c r="D18" s="36"/>
      <c r="E18" s="36"/>
      <c r="F18" s="36"/>
      <c r="G18" s="36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1"/>
  <sheetViews>
    <sheetView topLeftCell="A39" zoomScaleNormal="100" workbookViewId="0">
      <selection activeCell="E54" sqref="E54:E56"/>
    </sheetView>
  </sheetViews>
  <sheetFormatPr defaultRowHeight="15" x14ac:dyDescent="0.25"/>
  <cols>
    <col min="1" max="1" width="13.7109375" style="129" customWidth="1"/>
    <col min="2" max="2" width="36.5703125" style="129" customWidth="1"/>
    <col min="3" max="5" width="9.140625" style="129"/>
    <col min="6" max="6" width="14.7109375" style="129" customWidth="1"/>
    <col min="7" max="7" width="23.7109375" style="129" customWidth="1"/>
  </cols>
  <sheetData>
    <row r="2" spans="1:7" x14ac:dyDescent="0.25">
      <c r="A2" s="140" t="s">
        <v>53</v>
      </c>
      <c r="B2" s="141"/>
      <c r="C2" s="128"/>
      <c r="D2" s="128"/>
      <c r="E2" s="128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9"/>
      <c r="B5" s="139" t="s">
        <v>246</v>
      </c>
      <c r="C5" s="139"/>
      <c r="D5" s="139"/>
      <c r="E5" s="139"/>
      <c r="F5" s="139">
        <v>2362</v>
      </c>
      <c r="G5" s="139"/>
    </row>
    <row r="6" spans="1:7" x14ac:dyDescent="0.25">
      <c r="A6" s="136"/>
      <c r="B6" s="136"/>
      <c r="C6" s="136"/>
      <c r="D6" s="136"/>
      <c r="E6" s="136">
        <v>2362</v>
      </c>
      <c r="F6" s="136"/>
      <c r="G6" s="136"/>
    </row>
    <row r="7" spans="1:7" x14ac:dyDescent="0.25">
      <c r="A7" s="138" t="s">
        <v>252</v>
      </c>
      <c r="B7" s="136" t="s">
        <v>250</v>
      </c>
      <c r="C7" s="136">
        <v>72</v>
      </c>
      <c r="D7" s="136"/>
      <c r="E7" s="136">
        <f>E6+C7-D7</f>
        <v>2434</v>
      </c>
      <c r="F7" s="136"/>
      <c r="G7" s="136"/>
    </row>
    <row r="8" spans="1:7" x14ac:dyDescent="0.25">
      <c r="A8" s="138" t="s">
        <v>252</v>
      </c>
      <c r="B8" s="136" t="s">
        <v>251</v>
      </c>
      <c r="C8" s="136">
        <v>13</v>
      </c>
      <c r="D8" s="136"/>
      <c r="E8" s="136">
        <f t="shared" ref="E8:E56" si="0">E7+C8-D8</f>
        <v>2447</v>
      </c>
      <c r="F8" s="136"/>
      <c r="G8" s="136"/>
    </row>
    <row r="9" spans="1:7" x14ac:dyDescent="0.25">
      <c r="A9" s="138" t="s">
        <v>285</v>
      </c>
      <c r="B9" s="36" t="s">
        <v>294</v>
      </c>
      <c r="C9" s="36">
        <v>19</v>
      </c>
      <c r="D9" s="136"/>
      <c r="E9" s="136">
        <f t="shared" si="0"/>
        <v>2466</v>
      </c>
      <c r="F9" s="136"/>
      <c r="G9" s="136"/>
    </row>
    <row r="10" spans="1:7" x14ac:dyDescent="0.25">
      <c r="A10" s="152" t="s">
        <v>295</v>
      </c>
      <c r="B10" s="136" t="s">
        <v>297</v>
      </c>
      <c r="C10" s="136"/>
      <c r="D10" s="136">
        <v>4</v>
      </c>
      <c r="E10" s="136">
        <f t="shared" si="0"/>
        <v>2462</v>
      </c>
      <c r="F10" s="136" t="s">
        <v>296</v>
      </c>
      <c r="G10" s="136"/>
    </row>
    <row r="11" spans="1:7" x14ac:dyDescent="0.25">
      <c r="A11" s="138" t="s">
        <v>319</v>
      </c>
      <c r="B11" s="136" t="s">
        <v>320</v>
      </c>
      <c r="C11" s="136">
        <v>6</v>
      </c>
      <c r="D11" s="136"/>
      <c r="E11" s="136">
        <f t="shared" si="0"/>
        <v>2468</v>
      </c>
      <c r="F11" s="136"/>
      <c r="G11" s="136"/>
    </row>
    <row r="12" spans="1:7" x14ac:dyDescent="0.25">
      <c r="A12" s="152" t="s">
        <v>366</v>
      </c>
      <c r="B12" s="136" t="s">
        <v>268</v>
      </c>
      <c r="C12" s="136"/>
      <c r="D12" s="136">
        <v>50</v>
      </c>
      <c r="E12" s="136">
        <f t="shared" si="0"/>
        <v>2418</v>
      </c>
      <c r="F12" s="136" t="s">
        <v>367</v>
      </c>
      <c r="G12" s="136"/>
    </row>
    <row r="13" spans="1:7" x14ac:dyDescent="0.25">
      <c r="A13" s="152" t="s">
        <v>371</v>
      </c>
      <c r="B13" s="136" t="s">
        <v>312</v>
      </c>
      <c r="C13" s="136"/>
      <c r="D13" s="136">
        <v>5</v>
      </c>
      <c r="E13" s="136">
        <f t="shared" si="0"/>
        <v>2413</v>
      </c>
      <c r="F13" s="136" t="s">
        <v>372</v>
      </c>
      <c r="G13" s="136"/>
    </row>
    <row r="14" spans="1:7" x14ac:dyDescent="0.25">
      <c r="A14" s="152" t="s">
        <v>371</v>
      </c>
      <c r="B14" s="136" t="s">
        <v>383</v>
      </c>
      <c r="C14" s="136"/>
      <c r="D14" s="163">
        <v>2</v>
      </c>
      <c r="E14" s="136">
        <f t="shared" si="0"/>
        <v>2411</v>
      </c>
      <c r="F14" s="136" t="s">
        <v>17</v>
      </c>
      <c r="G14" s="136"/>
    </row>
    <row r="15" spans="1:7" x14ac:dyDescent="0.25">
      <c r="A15" s="152" t="s">
        <v>394</v>
      </c>
      <c r="B15" s="136" t="s">
        <v>396</v>
      </c>
      <c r="C15" s="136">
        <v>170</v>
      </c>
      <c r="D15" s="136"/>
      <c r="E15" s="136">
        <f t="shared" si="0"/>
        <v>2581</v>
      </c>
      <c r="F15" s="136"/>
      <c r="G15" s="136"/>
    </row>
    <row r="16" spans="1:7" x14ac:dyDescent="0.25">
      <c r="A16" s="152" t="s">
        <v>400</v>
      </c>
      <c r="B16" s="136" t="s">
        <v>396</v>
      </c>
      <c r="C16" s="136">
        <v>47</v>
      </c>
      <c r="D16" s="136"/>
      <c r="E16" s="136">
        <f t="shared" si="0"/>
        <v>2628</v>
      </c>
      <c r="F16" s="136"/>
      <c r="G16" s="136"/>
    </row>
    <row r="17" spans="1:7" x14ac:dyDescent="0.25">
      <c r="A17" s="152" t="s">
        <v>400</v>
      </c>
      <c r="B17" s="136" t="s">
        <v>405</v>
      </c>
      <c r="C17" s="136">
        <v>113</v>
      </c>
      <c r="D17" s="136"/>
      <c r="E17" s="136">
        <f t="shared" si="0"/>
        <v>2741</v>
      </c>
      <c r="F17" s="136"/>
      <c r="G17" s="136"/>
    </row>
    <row r="18" spans="1:7" x14ac:dyDescent="0.25">
      <c r="A18" s="138" t="s">
        <v>406</v>
      </c>
      <c r="B18" s="136" t="s">
        <v>383</v>
      </c>
      <c r="C18" s="136"/>
      <c r="D18" s="136">
        <v>20</v>
      </c>
      <c r="E18" s="136">
        <f t="shared" si="0"/>
        <v>2721</v>
      </c>
      <c r="F18" s="136" t="s">
        <v>17</v>
      </c>
      <c r="G18" s="136"/>
    </row>
    <row r="19" spans="1:7" x14ac:dyDescent="0.25">
      <c r="A19" s="152" t="s">
        <v>430</v>
      </c>
      <c r="B19" s="136" t="s">
        <v>383</v>
      </c>
      <c r="C19" s="136"/>
      <c r="D19" s="136">
        <v>30</v>
      </c>
      <c r="E19" s="136">
        <f t="shared" si="0"/>
        <v>2691</v>
      </c>
      <c r="F19" s="136" t="s">
        <v>17</v>
      </c>
      <c r="G19" s="136"/>
    </row>
    <row r="20" spans="1:7" x14ac:dyDescent="0.25">
      <c r="A20" s="152" t="s">
        <v>459</v>
      </c>
      <c r="B20" s="156" t="s">
        <v>414</v>
      </c>
      <c r="C20" s="136"/>
      <c r="D20" s="136">
        <v>128</v>
      </c>
      <c r="E20" s="136">
        <f t="shared" si="0"/>
        <v>2563</v>
      </c>
      <c r="F20" s="136" t="s">
        <v>461</v>
      </c>
      <c r="G20" s="136"/>
    </row>
    <row r="21" spans="1:7" x14ac:dyDescent="0.25">
      <c r="A21" s="152" t="s">
        <v>459</v>
      </c>
      <c r="B21" s="136" t="s">
        <v>463</v>
      </c>
      <c r="C21" s="136">
        <v>68</v>
      </c>
      <c r="D21" s="136"/>
      <c r="E21" s="136">
        <f t="shared" si="0"/>
        <v>2631</v>
      </c>
      <c r="F21" s="136"/>
      <c r="G21" s="136"/>
    </row>
    <row r="22" spans="1:7" x14ac:dyDescent="0.25">
      <c r="A22" s="138" t="s">
        <v>473</v>
      </c>
      <c r="B22" s="136" t="s">
        <v>283</v>
      </c>
      <c r="C22" s="136">
        <v>20</v>
      </c>
      <c r="D22" s="136"/>
      <c r="E22" s="136">
        <f t="shared" si="0"/>
        <v>2651</v>
      </c>
      <c r="F22" s="136"/>
      <c r="G22" s="136"/>
    </row>
    <row r="23" spans="1:7" x14ac:dyDescent="0.25">
      <c r="A23" s="238" t="s">
        <v>475</v>
      </c>
      <c r="B23" s="136" t="s">
        <v>283</v>
      </c>
      <c r="C23" s="136">
        <v>22</v>
      </c>
      <c r="D23" s="136"/>
      <c r="E23" s="136">
        <f t="shared" si="0"/>
        <v>2673</v>
      </c>
      <c r="F23" s="136"/>
      <c r="G23" s="136"/>
    </row>
    <row r="24" spans="1:7" x14ac:dyDescent="0.25">
      <c r="A24" s="138" t="s">
        <v>485</v>
      </c>
      <c r="B24" s="136" t="s">
        <v>283</v>
      </c>
      <c r="C24" s="136">
        <v>57</v>
      </c>
      <c r="D24" s="136"/>
      <c r="E24" s="136">
        <f t="shared" si="0"/>
        <v>2730</v>
      </c>
      <c r="F24" s="136"/>
      <c r="G24" s="136"/>
    </row>
    <row r="25" spans="1:7" x14ac:dyDescent="0.25">
      <c r="A25" s="138" t="s">
        <v>502</v>
      </c>
      <c r="B25" s="136" t="s">
        <v>503</v>
      </c>
      <c r="C25" s="136">
        <v>17</v>
      </c>
      <c r="D25" s="136"/>
      <c r="E25" s="136">
        <f t="shared" si="0"/>
        <v>2747</v>
      </c>
      <c r="F25" s="136"/>
      <c r="G25" s="136"/>
    </row>
    <row r="26" spans="1:7" ht="15.75" x14ac:dyDescent="0.25">
      <c r="A26" s="246" t="s">
        <v>520</v>
      </c>
      <c r="B26" s="136" t="s">
        <v>283</v>
      </c>
      <c r="C26" s="161">
        <v>5</v>
      </c>
      <c r="D26" s="136"/>
      <c r="E26" s="136">
        <f t="shared" si="0"/>
        <v>2752</v>
      </c>
      <c r="F26" s="136"/>
      <c r="G26" s="136"/>
    </row>
    <row r="27" spans="1:7" x14ac:dyDescent="0.25">
      <c r="A27" s="121" t="s">
        <v>549</v>
      </c>
      <c r="B27" s="136" t="s">
        <v>414</v>
      </c>
      <c r="C27" s="163">
        <v>87</v>
      </c>
      <c r="D27" s="136"/>
      <c r="E27" s="136">
        <f t="shared" si="0"/>
        <v>2839</v>
      </c>
      <c r="F27" s="136"/>
      <c r="G27" s="136"/>
    </row>
    <row r="28" spans="1:7" x14ac:dyDescent="0.25">
      <c r="A28" s="152" t="s">
        <v>559</v>
      </c>
      <c r="B28" s="136" t="s">
        <v>283</v>
      </c>
      <c r="C28" s="136">
        <v>62</v>
      </c>
      <c r="D28" s="136"/>
      <c r="E28" s="136">
        <f t="shared" si="0"/>
        <v>2901</v>
      </c>
      <c r="F28" s="136"/>
      <c r="G28" s="136"/>
    </row>
    <row r="29" spans="1:7" x14ac:dyDescent="0.25">
      <c r="A29" s="152" t="s">
        <v>577</v>
      </c>
      <c r="B29" s="136" t="s">
        <v>283</v>
      </c>
      <c r="C29" s="136">
        <v>17</v>
      </c>
      <c r="D29" s="136"/>
      <c r="E29" s="136">
        <f t="shared" si="0"/>
        <v>2918</v>
      </c>
      <c r="F29" s="136"/>
      <c r="G29" s="136"/>
    </row>
    <row r="30" spans="1:7" x14ac:dyDescent="0.25">
      <c r="A30" s="152" t="s">
        <v>577</v>
      </c>
      <c r="B30" s="36" t="s">
        <v>488</v>
      </c>
      <c r="C30" s="36">
        <v>14</v>
      </c>
      <c r="D30" s="136"/>
      <c r="E30" s="136">
        <f t="shared" si="0"/>
        <v>2932</v>
      </c>
      <c r="F30" s="136"/>
      <c r="G30" s="136"/>
    </row>
    <row r="31" spans="1:7" x14ac:dyDescent="0.25">
      <c r="A31" s="138" t="s">
        <v>581</v>
      </c>
      <c r="B31" s="136" t="s">
        <v>583</v>
      </c>
      <c r="C31" s="136"/>
      <c r="D31" s="136">
        <v>20</v>
      </c>
      <c r="E31" s="136">
        <f t="shared" si="0"/>
        <v>2912</v>
      </c>
      <c r="F31" s="136" t="s">
        <v>585</v>
      </c>
      <c r="G31" s="136"/>
    </row>
    <row r="32" spans="1:7" x14ac:dyDescent="0.25">
      <c r="A32" s="167">
        <v>8106</v>
      </c>
      <c r="B32" s="136" t="s">
        <v>383</v>
      </c>
      <c r="C32" s="136">
        <v>20</v>
      </c>
      <c r="D32" s="136"/>
      <c r="E32" s="136">
        <f t="shared" si="0"/>
        <v>2932</v>
      </c>
      <c r="F32" s="136"/>
      <c r="G32" s="136"/>
    </row>
    <row r="33" spans="1:7" x14ac:dyDescent="0.25">
      <c r="A33" s="121" t="s">
        <v>595</v>
      </c>
      <c r="B33" s="36" t="s">
        <v>601</v>
      </c>
      <c r="C33" s="36">
        <v>28</v>
      </c>
      <c r="D33" s="136"/>
      <c r="E33" s="136">
        <f t="shared" si="0"/>
        <v>2960</v>
      </c>
      <c r="F33" s="136"/>
      <c r="G33" s="136"/>
    </row>
    <row r="34" spans="1:7" ht="15.75" x14ac:dyDescent="0.25">
      <c r="A34" s="242">
        <v>8112</v>
      </c>
      <c r="B34" s="161" t="s">
        <v>283</v>
      </c>
      <c r="C34" s="161">
        <v>13</v>
      </c>
      <c r="D34" s="136"/>
      <c r="E34" s="136">
        <f t="shared" si="0"/>
        <v>2973</v>
      </c>
      <c r="F34" s="136"/>
      <c r="G34" s="136"/>
    </row>
    <row r="35" spans="1:7" x14ac:dyDescent="0.25">
      <c r="A35" s="152" t="s">
        <v>637</v>
      </c>
      <c r="B35" s="136" t="s">
        <v>638</v>
      </c>
      <c r="C35" s="136"/>
      <c r="D35" s="136">
        <v>50</v>
      </c>
      <c r="E35" s="136">
        <f t="shared" si="0"/>
        <v>2923</v>
      </c>
      <c r="F35" s="136" t="s">
        <v>640</v>
      </c>
      <c r="G35" s="136"/>
    </row>
    <row r="36" spans="1:7" x14ac:dyDescent="0.25">
      <c r="A36" s="152" t="s">
        <v>647</v>
      </c>
      <c r="B36" s="136" t="s">
        <v>638</v>
      </c>
      <c r="C36" s="136"/>
      <c r="D36" s="136">
        <v>85</v>
      </c>
      <c r="E36" s="136">
        <f t="shared" si="0"/>
        <v>2838</v>
      </c>
      <c r="F36" s="136" t="s">
        <v>648</v>
      </c>
      <c r="G36" s="136"/>
    </row>
    <row r="37" spans="1:7" x14ac:dyDescent="0.25">
      <c r="A37" s="238" t="s">
        <v>663</v>
      </c>
      <c r="B37" s="156" t="s">
        <v>414</v>
      </c>
      <c r="C37" s="136">
        <v>41</v>
      </c>
      <c r="D37" s="136"/>
      <c r="E37" s="136">
        <f t="shared" si="0"/>
        <v>2879</v>
      </c>
      <c r="F37" s="136"/>
      <c r="G37" s="136"/>
    </row>
    <row r="38" spans="1:7" ht="15.75" x14ac:dyDescent="0.25">
      <c r="A38" s="246" t="s">
        <v>668</v>
      </c>
      <c r="B38" s="161" t="s">
        <v>283</v>
      </c>
      <c r="C38" s="161">
        <v>13</v>
      </c>
      <c r="D38" s="136"/>
      <c r="E38" s="136">
        <f t="shared" si="0"/>
        <v>2892</v>
      </c>
      <c r="F38" s="136"/>
      <c r="G38" s="136"/>
    </row>
    <row r="39" spans="1:7" x14ac:dyDescent="0.25">
      <c r="A39" s="138" t="s">
        <v>683</v>
      </c>
      <c r="B39" s="136" t="s">
        <v>687</v>
      </c>
      <c r="C39" s="136">
        <v>8</v>
      </c>
      <c r="D39" s="136"/>
      <c r="E39" s="136">
        <f t="shared" si="0"/>
        <v>2900</v>
      </c>
      <c r="F39" s="136"/>
      <c r="G39" s="136"/>
    </row>
    <row r="40" spans="1:7" ht="15.75" x14ac:dyDescent="0.25">
      <c r="A40" s="248" t="s">
        <v>695</v>
      </c>
      <c r="B40" s="161" t="s">
        <v>283</v>
      </c>
      <c r="C40" s="161">
        <v>28</v>
      </c>
      <c r="D40" s="136"/>
      <c r="E40" s="136">
        <f t="shared" si="0"/>
        <v>2928</v>
      </c>
      <c r="F40" s="136"/>
      <c r="G40" s="136"/>
    </row>
    <row r="41" spans="1:7" ht="15.75" x14ac:dyDescent="0.25">
      <c r="A41" s="138" t="s">
        <v>747</v>
      </c>
      <c r="B41" s="161" t="s">
        <v>283</v>
      </c>
      <c r="C41" s="136">
        <v>2</v>
      </c>
      <c r="D41" s="136"/>
      <c r="E41" s="136">
        <f t="shared" si="0"/>
        <v>2930</v>
      </c>
      <c r="F41" s="136"/>
      <c r="G41" s="136"/>
    </row>
    <row r="42" spans="1:7" x14ac:dyDescent="0.25">
      <c r="A42" s="152" t="s">
        <v>764</v>
      </c>
      <c r="B42" s="136" t="s">
        <v>765</v>
      </c>
      <c r="C42" s="136"/>
      <c r="D42" s="136">
        <v>14</v>
      </c>
      <c r="E42" s="136">
        <f t="shared" si="0"/>
        <v>2916</v>
      </c>
      <c r="F42" s="136" t="s">
        <v>766</v>
      </c>
      <c r="G42" s="136"/>
    </row>
    <row r="43" spans="1:7" x14ac:dyDescent="0.25">
      <c r="A43" s="138" t="s">
        <v>773</v>
      </c>
      <c r="B43" s="136" t="s">
        <v>283</v>
      </c>
      <c r="C43" s="136">
        <v>13</v>
      </c>
      <c r="D43" s="136"/>
      <c r="E43" s="136">
        <f t="shared" si="0"/>
        <v>2929</v>
      </c>
      <c r="F43" s="136"/>
      <c r="G43" s="136"/>
    </row>
    <row r="44" spans="1:7" x14ac:dyDescent="0.25">
      <c r="A44" s="152" t="s">
        <v>788</v>
      </c>
      <c r="B44" s="136" t="s">
        <v>792</v>
      </c>
      <c r="C44" s="136"/>
      <c r="D44" s="136">
        <v>30</v>
      </c>
      <c r="E44" s="136">
        <f t="shared" si="0"/>
        <v>2899</v>
      </c>
      <c r="F44" s="136" t="s">
        <v>793</v>
      </c>
      <c r="G44" s="136"/>
    </row>
    <row r="45" spans="1:7" x14ac:dyDescent="0.25">
      <c r="A45" s="152" t="s">
        <v>820</v>
      </c>
      <c r="B45" s="136" t="s">
        <v>816</v>
      </c>
      <c r="C45" s="136"/>
      <c r="D45" s="136">
        <v>80</v>
      </c>
      <c r="E45" s="136">
        <f t="shared" si="0"/>
        <v>2819</v>
      </c>
      <c r="F45" s="136" t="s">
        <v>825</v>
      </c>
      <c r="G45" s="136"/>
    </row>
    <row r="46" spans="1:7" x14ac:dyDescent="0.25">
      <c r="A46" s="138" t="s">
        <v>839</v>
      </c>
      <c r="B46" s="136" t="s">
        <v>844</v>
      </c>
      <c r="C46" s="136">
        <v>16</v>
      </c>
      <c r="D46" s="136"/>
      <c r="E46" s="136">
        <f t="shared" si="0"/>
        <v>2835</v>
      </c>
      <c r="F46" s="136"/>
      <c r="G46" s="136"/>
    </row>
    <row r="47" spans="1:7" x14ac:dyDescent="0.25">
      <c r="A47" s="138" t="s">
        <v>847</v>
      </c>
      <c r="B47" s="136" t="s">
        <v>783</v>
      </c>
      <c r="C47" s="136"/>
      <c r="D47" s="136">
        <v>100</v>
      </c>
      <c r="E47" s="136">
        <f t="shared" si="0"/>
        <v>2735</v>
      </c>
      <c r="F47" s="136" t="s">
        <v>850</v>
      </c>
      <c r="G47" s="136"/>
    </row>
    <row r="48" spans="1:7" x14ac:dyDescent="0.25">
      <c r="A48" s="152" t="s">
        <v>856</v>
      </c>
      <c r="B48" s="136" t="s">
        <v>861</v>
      </c>
      <c r="C48" s="136"/>
      <c r="D48" s="136">
        <v>200</v>
      </c>
      <c r="E48" s="136">
        <f t="shared" si="0"/>
        <v>2535</v>
      </c>
      <c r="F48" s="181" t="s">
        <v>862</v>
      </c>
      <c r="G48" s="136"/>
    </row>
    <row r="49" spans="1:7" x14ac:dyDescent="0.25">
      <c r="A49" s="152" t="s">
        <v>865</v>
      </c>
      <c r="B49" s="136" t="s">
        <v>861</v>
      </c>
      <c r="C49" s="136"/>
      <c r="D49" s="136">
        <v>100</v>
      </c>
      <c r="E49" s="136">
        <f t="shared" si="0"/>
        <v>2435</v>
      </c>
      <c r="F49" s="163" t="s">
        <v>867</v>
      </c>
      <c r="G49" s="136"/>
    </row>
    <row r="50" spans="1:7" x14ac:dyDescent="0.25">
      <c r="A50" s="152" t="s">
        <v>869</v>
      </c>
      <c r="B50" s="136" t="s">
        <v>812</v>
      </c>
      <c r="C50" s="136"/>
      <c r="D50" s="136">
        <v>50</v>
      </c>
      <c r="E50" s="136">
        <f t="shared" si="0"/>
        <v>2385</v>
      </c>
      <c r="F50" s="136" t="s">
        <v>872</v>
      </c>
      <c r="G50" s="136"/>
    </row>
    <row r="51" spans="1:7" x14ac:dyDescent="0.25">
      <c r="A51" s="138" t="s">
        <v>873</v>
      </c>
      <c r="B51" s="136" t="s">
        <v>874</v>
      </c>
      <c r="C51" s="136"/>
      <c r="D51" s="136">
        <v>50</v>
      </c>
      <c r="E51" s="136">
        <f t="shared" si="0"/>
        <v>2335</v>
      </c>
      <c r="F51" s="136" t="s">
        <v>875</v>
      </c>
      <c r="G51" s="136"/>
    </row>
    <row r="52" spans="1:7" x14ac:dyDescent="0.25">
      <c r="A52" s="138" t="s">
        <v>873</v>
      </c>
      <c r="B52" s="136" t="s">
        <v>783</v>
      </c>
      <c r="C52" s="136"/>
      <c r="D52" s="136">
        <v>50</v>
      </c>
      <c r="E52" s="136">
        <f t="shared" si="0"/>
        <v>2285</v>
      </c>
      <c r="F52" s="136" t="s">
        <v>876</v>
      </c>
      <c r="G52" s="136"/>
    </row>
    <row r="53" spans="1:7" x14ac:dyDescent="0.25">
      <c r="A53" s="138" t="s">
        <v>877</v>
      </c>
      <c r="B53" s="136" t="s">
        <v>816</v>
      </c>
      <c r="C53" s="136"/>
      <c r="D53" s="136">
        <v>50</v>
      </c>
      <c r="E53" s="136">
        <f t="shared" si="0"/>
        <v>2235</v>
      </c>
      <c r="F53" s="136" t="s">
        <v>878</v>
      </c>
      <c r="G53" s="136"/>
    </row>
    <row r="54" spans="1:7" x14ac:dyDescent="0.25">
      <c r="A54" s="138" t="s">
        <v>880</v>
      </c>
      <c r="B54" s="136" t="s">
        <v>816</v>
      </c>
      <c r="C54" s="136"/>
      <c r="D54" s="136">
        <v>100</v>
      </c>
      <c r="E54" s="136">
        <f t="shared" si="0"/>
        <v>2135</v>
      </c>
      <c r="F54" s="136" t="s">
        <v>882</v>
      </c>
      <c r="G54" s="136"/>
    </row>
    <row r="55" spans="1:7" x14ac:dyDescent="0.25">
      <c r="A55" s="138" t="s">
        <v>893</v>
      </c>
      <c r="B55" s="136" t="s">
        <v>783</v>
      </c>
      <c r="C55" s="136"/>
      <c r="D55" s="136">
        <v>80</v>
      </c>
      <c r="E55" s="136">
        <f t="shared" si="0"/>
        <v>2055</v>
      </c>
      <c r="F55" s="136" t="s">
        <v>894</v>
      </c>
      <c r="G55" s="136"/>
    </row>
    <row r="56" spans="1:7" x14ac:dyDescent="0.25">
      <c r="A56" s="152" t="s">
        <v>902</v>
      </c>
      <c r="B56" s="136" t="s">
        <v>783</v>
      </c>
      <c r="C56" s="136"/>
      <c r="D56" s="136">
        <v>180</v>
      </c>
      <c r="E56" s="136">
        <f t="shared" si="0"/>
        <v>1875</v>
      </c>
      <c r="F56" s="136" t="s">
        <v>906</v>
      </c>
      <c r="G56" s="136"/>
    </row>
    <row r="57" spans="1:7" x14ac:dyDescent="0.25">
      <c r="A57" s="136"/>
      <c r="B57" s="136"/>
      <c r="C57" s="136"/>
      <c r="D57" s="136"/>
      <c r="E57" s="136"/>
      <c r="F57" s="136"/>
      <c r="G57" s="136"/>
    </row>
    <row r="58" spans="1:7" x14ac:dyDescent="0.25">
      <c r="A58" s="136"/>
      <c r="B58" s="136"/>
      <c r="C58" s="136"/>
      <c r="D58" s="136"/>
      <c r="E58" s="136"/>
      <c r="F58" s="136"/>
      <c r="G58" s="136"/>
    </row>
    <row r="59" spans="1:7" x14ac:dyDescent="0.25">
      <c r="A59" s="136"/>
      <c r="B59" s="136"/>
      <c r="C59" s="136"/>
      <c r="D59" s="136"/>
      <c r="E59" s="136"/>
      <c r="F59" s="136"/>
      <c r="G59" s="136"/>
    </row>
    <row r="60" spans="1:7" x14ac:dyDescent="0.25">
      <c r="A60" s="136"/>
      <c r="B60" s="136"/>
      <c r="C60" s="136"/>
      <c r="D60" s="136"/>
      <c r="E60" s="136"/>
      <c r="F60" s="136"/>
      <c r="G60" s="136"/>
    </row>
    <row r="61" spans="1:7" x14ac:dyDescent="0.25">
      <c r="A61" s="136"/>
      <c r="B61" s="136"/>
      <c r="C61" s="136"/>
      <c r="D61" s="136"/>
      <c r="E61" s="136"/>
      <c r="F61" s="136"/>
      <c r="G61" s="136"/>
    </row>
  </sheetData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zoomScale="110" zoomScaleNormal="110" workbookViewId="0">
      <selection activeCell="E12" sqref="E12"/>
    </sheetView>
  </sheetViews>
  <sheetFormatPr defaultRowHeight="15" x14ac:dyDescent="0.25"/>
  <cols>
    <col min="2" max="2" width="26.5703125" customWidth="1"/>
    <col min="3" max="3" width="7.140625" customWidth="1"/>
    <col min="4" max="4" width="8.7109375" customWidth="1"/>
    <col min="5" max="5" width="7.5703125" customWidth="1"/>
    <col min="6" max="6" width="12.28515625" customWidth="1"/>
    <col min="7" max="7" width="20.7109375" customWidth="1"/>
  </cols>
  <sheetData>
    <row r="2" spans="1:7" ht="15.75" x14ac:dyDescent="0.25">
      <c r="A2" s="7" t="s">
        <v>108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25"/>
      <c r="B5" s="125" t="s">
        <v>246</v>
      </c>
      <c r="C5" s="125"/>
      <c r="D5" s="125"/>
      <c r="E5" s="125"/>
      <c r="F5" s="125">
        <v>39</v>
      </c>
      <c r="G5" s="125"/>
    </row>
    <row r="6" spans="1:7" x14ac:dyDescent="0.25">
      <c r="A6" s="1"/>
      <c r="B6" s="1"/>
      <c r="C6" s="1"/>
      <c r="D6" s="1"/>
      <c r="E6" s="1">
        <v>39</v>
      </c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6"/>
  <sheetViews>
    <sheetView topLeftCell="A54" zoomScaleNormal="100" workbookViewId="0">
      <selection activeCell="E70" sqref="E70:E72"/>
    </sheetView>
  </sheetViews>
  <sheetFormatPr defaultRowHeight="15" x14ac:dyDescent="0.25"/>
  <cols>
    <col min="1" max="1" width="12.85546875" style="129" customWidth="1"/>
    <col min="2" max="2" width="38.140625" style="129" customWidth="1"/>
    <col min="3" max="3" width="9.140625" style="129"/>
    <col min="4" max="4" width="9.5703125" style="129" customWidth="1"/>
    <col min="5" max="5" width="9.140625" style="129"/>
    <col min="6" max="6" width="19.7109375" style="129" customWidth="1"/>
    <col min="7" max="7" width="23.28515625" style="129" customWidth="1"/>
  </cols>
  <sheetData>
    <row r="2" spans="1:7" ht="15.75" x14ac:dyDescent="0.25">
      <c r="A2" s="126" t="s">
        <v>15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9"/>
      <c r="B5" s="139" t="s">
        <v>246</v>
      </c>
      <c r="C5" s="139"/>
      <c r="D5" s="139"/>
      <c r="E5" s="139"/>
      <c r="F5" s="139">
        <v>5964</v>
      </c>
      <c r="G5" s="139"/>
    </row>
    <row r="6" spans="1:7" x14ac:dyDescent="0.25">
      <c r="A6" s="136"/>
      <c r="B6" s="136"/>
      <c r="C6" s="136"/>
      <c r="D6" s="136"/>
      <c r="E6" s="136">
        <v>5964</v>
      </c>
      <c r="F6" s="136"/>
      <c r="G6" s="136"/>
    </row>
    <row r="7" spans="1:7" x14ac:dyDescent="0.25">
      <c r="A7" s="138" t="s">
        <v>249</v>
      </c>
      <c r="B7" s="136" t="s">
        <v>250</v>
      </c>
      <c r="C7" s="136">
        <v>20</v>
      </c>
      <c r="D7" s="136"/>
      <c r="E7" s="136">
        <f>E6+C7-D7</f>
        <v>5984</v>
      </c>
      <c r="F7" s="136"/>
      <c r="G7" s="136"/>
    </row>
    <row r="8" spans="1:7" x14ac:dyDescent="0.25">
      <c r="A8" s="138" t="s">
        <v>249</v>
      </c>
      <c r="B8" s="136" t="s">
        <v>251</v>
      </c>
      <c r="C8" s="136">
        <v>12</v>
      </c>
      <c r="D8" s="136"/>
      <c r="E8" s="136">
        <f t="shared" ref="E8:E71" si="0">E7+C8-D8</f>
        <v>5996</v>
      </c>
      <c r="F8" s="136"/>
      <c r="G8" s="136"/>
    </row>
    <row r="9" spans="1:7" x14ac:dyDescent="0.25">
      <c r="A9" s="152" t="s">
        <v>267</v>
      </c>
      <c r="B9" s="136" t="s">
        <v>283</v>
      </c>
      <c r="C9" s="136"/>
      <c r="D9" s="136">
        <v>60</v>
      </c>
      <c r="E9" s="136">
        <f t="shared" si="0"/>
        <v>5936</v>
      </c>
      <c r="F9" s="136" t="s">
        <v>284</v>
      </c>
      <c r="G9" s="136"/>
    </row>
    <row r="10" spans="1:7" x14ac:dyDescent="0.25">
      <c r="A10" s="152" t="s">
        <v>285</v>
      </c>
      <c r="B10" s="136" t="s">
        <v>273</v>
      </c>
      <c r="C10" s="136"/>
      <c r="D10" s="136">
        <v>65</v>
      </c>
      <c r="E10" s="136">
        <f t="shared" si="0"/>
        <v>5871</v>
      </c>
      <c r="F10" s="136" t="s">
        <v>288</v>
      </c>
      <c r="G10" s="136"/>
    </row>
    <row r="11" spans="1:7" x14ac:dyDescent="0.25">
      <c r="A11" s="138" t="s">
        <v>285</v>
      </c>
      <c r="B11" s="36" t="s">
        <v>294</v>
      </c>
      <c r="C11" s="36">
        <v>32</v>
      </c>
      <c r="D11" s="136"/>
      <c r="E11" s="136">
        <f t="shared" si="0"/>
        <v>5903</v>
      </c>
      <c r="F11" s="136"/>
      <c r="G11" s="136"/>
    </row>
    <row r="12" spans="1:7" x14ac:dyDescent="0.25">
      <c r="A12" s="152" t="s">
        <v>295</v>
      </c>
      <c r="B12" s="136" t="s">
        <v>297</v>
      </c>
      <c r="C12" s="136"/>
      <c r="D12" s="136">
        <v>20</v>
      </c>
      <c r="E12" s="136">
        <f t="shared" si="0"/>
        <v>5883</v>
      </c>
      <c r="F12" s="136" t="s">
        <v>296</v>
      </c>
      <c r="G12" s="136"/>
    </row>
    <row r="13" spans="1:7" x14ac:dyDescent="0.25">
      <c r="A13" s="138" t="s">
        <v>306</v>
      </c>
      <c r="B13" s="136" t="s">
        <v>305</v>
      </c>
      <c r="C13" s="136">
        <v>20</v>
      </c>
      <c r="D13" s="136"/>
      <c r="E13" s="136">
        <f t="shared" si="0"/>
        <v>5903</v>
      </c>
      <c r="F13" s="136"/>
      <c r="G13" s="136"/>
    </row>
    <row r="14" spans="1:7" x14ac:dyDescent="0.25">
      <c r="A14" s="138" t="s">
        <v>319</v>
      </c>
      <c r="B14" s="136" t="s">
        <v>320</v>
      </c>
      <c r="C14" s="136">
        <v>4</v>
      </c>
      <c r="D14" s="136"/>
      <c r="E14" s="136">
        <f t="shared" si="0"/>
        <v>5907</v>
      </c>
      <c r="F14" s="136"/>
      <c r="G14" s="136"/>
    </row>
    <row r="15" spans="1:7" x14ac:dyDescent="0.25">
      <c r="A15" s="138" t="s">
        <v>319</v>
      </c>
      <c r="B15" s="136" t="s">
        <v>182</v>
      </c>
      <c r="C15" s="136">
        <v>5</v>
      </c>
      <c r="D15" s="136"/>
      <c r="E15" s="136">
        <f t="shared" si="0"/>
        <v>5912</v>
      </c>
      <c r="F15" s="136"/>
      <c r="G15" s="136"/>
    </row>
    <row r="16" spans="1:7" x14ac:dyDescent="0.25">
      <c r="A16" s="152" t="s">
        <v>394</v>
      </c>
      <c r="B16" s="136" t="s">
        <v>396</v>
      </c>
      <c r="C16" s="136">
        <v>28</v>
      </c>
      <c r="D16" s="136"/>
      <c r="E16" s="136">
        <f t="shared" si="0"/>
        <v>5940</v>
      </c>
      <c r="F16" s="136"/>
      <c r="G16" s="136"/>
    </row>
    <row r="17" spans="1:7" x14ac:dyDescent="0.25">
      <c r="A17" s="152" t="s">
        <v>400</v>
      </c>
      <c r="B17" s="136" t="s">
        <v>396</v>
      </c>
      <c r="C17" s="136">
        <v>22</v>
      </c>
      <c r="D17" s="136"/>
      <c r="E17" s="136">
        <f t="shared" si="0"/>
        <v>5962</v>
      </c>
      <c r="F17" s="136"/>
      <c r="G17" s="136"/>
    </row>
    <row r="18" spans="1:7" x14ac:dyDescent="0.25">
      <c r="A18" s="152" t="s">
        <v>400</v>
      </c>
      <c r="B18" s="136" t="s">
        <v>405</v>
      </c>
      <c r="C18" s="136">
        <v>38</v>
      </c>
      <c r="D18" s="136"/>
      <c r="E18" s="136">
        <f t="shared" si="0"/>
        <v>6000</v>
      </c>
      <c r="F18" s="136"/>
      <c r="G18" s="136"/>
    </row>
    <row r="19" spans="1:7" x14ac:dyDescent="0.25">
      <c r="A19" s="258" t="s">
        <v>404</v>
      </c>
      <c r="B19" s="136" t="s">
        <v>182</v>
      </c>
      <c r="C19" s="136">
        <v>15</v>
      </c>
      <c r="D19" s="136"/>
      <c r="E19" s="136">
        <f t="shared" si="0"/>
        <v>6015</v>
      </c>
      <c r="F19" s="136"/>
      <c r="G19" s="136"/>
    </row>
    <row r="20" spans="1:7" x14ac:dyDescent="0.25">
      <c r="A20" s="152" t="s">
        <v>430</v>
      </c>
      <c r="B20" s="136" t="s">
        <v>264</v>
      </c>
      <c r="C20" s="136">
        <v>32</v>
      </c>
      <c r="D20" s="136"/>
      <c r="E20" s="136">
        <f t="shared" si="0"/>
        <v>6047</v>
      </c>
      <c r="F20" s="136"/>
      <c r="G20" s="136"/>
    </row>
    <row r="21" spans="1:7" x14ac:dyDescent="0.25">
      <c r="A21" s="152" t="s">
        <v>456</v>
      </c>
      <c r="B21" s="156" t="s">
        <v>414</v>
      </c>
      <c r="C21" s="136"/>
      <c r="D21" s="136">
        <v>60</v>
      </c>
      <c r="E21" s="136">
        <f t="shared" si="0"/>
        <v>5987</v>
      </c>
      <c r="F21" s="136" t="s">
        <v>461</v>
      </c>
      <c r="G21" s="136"/>
    </row>
    <row r="22" spans="1:7" x14ac:dyDescent="0.25">
      <c r="A22" s="152" t="s">
        <v>456</v>
      </c>
      <c r="B22" s="136" t="s">
        <v>463</v>
      </c>
      <c r="C22" s="136">
        <v>66</v>
      </c>
      <c r="D22" s="136"/>
      <c r="E22" s="136">
        <f t="shared" si="0"/>
        <v>6053</v>
      </c>
      <c r="F22" s="136"/>
      <c r="G22" s="136"/>
    </row>
    <row r="23" spans="1:7" x14ac:dyDescent="0.25">
      <c r="A23" s="152" t="s">
        <v>468</v>
      </c>
      <c r="B23" s="136" t="s">
        <v>489</v>
      </c>
      <c r="C23" s="136">
        <v>22</v>
      </c>
      <c r="D23" s="136"/>
      <c r="E23" s="136">
        <f t="shared" si="0"/>
        <v>6075</v>
      </c>
      <c r="F23" s="136"/>
      <c r="G23" s="136"/>
    </row>
    <row r="24" spans="1:7" x14ac:dyDescent="0.25">
      <c r="A24" s="138" t="s">
        <v>473</v>
      </c>
      <c r="B24" s="136" t="s">
        <v>283</v>
      </c>
      <c r="C24" s="136">
        <v>10</v>
      </c>
      <c r="D24" s="136"/>
      <c r="E24" s="136">
        <f t="shared" si="0"/>
        <v>6085</v>
      </c>
      <c r="F24" s="136"/>
      <c r="G24" s="136"/>
    </row>
    <row r="25" spans="1:7" x14ac:dyDescent="0.25">
      <c r="A25" s="238" t="s">
        <v>475</v>
      </c>
      <c r="B25" s="136" t="s">
        <v>283</v>
      </c>
      <c r="C25" s="136">
        <v>31</v>
      </c>
      <c r="D25" s="136"/>
      <c r="E25" s="136">
        <f t="shared" si="0"/>
        <v>6116</v>
      </c>
      <c r="F25" s="136"/>
      <c r="G25" s="136"/>
    </row>
    <row r="26" spans="1:7" x14ac:dyDescent="0.25">
      <c r="A26" s="138" t="s">
        <v>485</v>
      </c>
      <c r="B26" s="136" t="s">
        <v>488</v>
      </c>
      <c r="C26" s="136">
        <v>20</v>
      </c>
      <c r="D26" s="136"/>
      <c r="E26" s="136">
        <f t="shared" si="0"/>
        <v>6136</v>
      </c>
      <c r="F26" s="136"/>
      <c r="G26" s="136"/>
    </row>
    <row r="27" spans="1:7" x14ac:dyDescent="0.25">
      <c r="A27" s="138" t="s">
        <v>485</v>
      </c>
      <c r="B27" s="136" t="s">
        <v>283</v>
      </c>
      <c r="C27" s="136">
        <v>38</v>
      </c>
      <c r="D27" s="136"/>
      <c r="E27" s="136">
        <f t="shared" si="0"/>
        <v>6174</v>
      </c>
      <c r="F27" s="136"/>
      <c r="G27" s="136"/>
    </row>
    <row r="28" spans="1:7" s="3" customFormat="1" x14ac:dyDescent="0.25">
      <c r="A28" s="138" t="s">
        <v>485</v>
      </c>
      <c r="B28" s="136" t="s">
        <v>182</v>
      </c>
      <c r="C28" s="136">
        <v>21</v>
      </c>
      <c r="D28" s="136"/>
      <c r="E28" s="136">
        <f t="shared" si="0"/>
        <v>6195</v>
      </c>
      <c r="F28" s="136"/>
      <c r="G28" s="136"/>
    </row>
    <row r="29" spans="1:7" x14ac:dyDescent="0.25">
      <c r="A29" s="258" t="s">
        <v>490</v>
      </c>
      <c r="B29" s="36" t="s">
        <v>182</v>
      </c>
      <c r="C29" s="36">
        <v>12</v>
      </c>
      <c r="D29" s="136"/>
      <c r="E29" s="136">
        <f t="shared" si="0"/>
        <v>6207</v>
      </c>
      <c r="F29" s="136"/>
      <c r="G29" s="136"/>
    </row>
    <row r="30" spans="1:7" x14ac:dyDescent="0.25">
      <c r="A30" s="138" t="s">
        <v>496</v>
      </c>
      <c r="B30" s="136" t="s">
        <v>305</v>
      </c>
      <c r="C30" s="136">
        <v>21</v>
      </c>
      <c r="D30" s="136"/>
      <c r="E30" s="136">
        <f t="shared" si="0"/>
        <v>6228</v>
      </c>
      <c r="F30" s="136"/>
      <c r="G30" s="136"/>
    </row>
    <row r="31" spans="1:7" x14ac:dyDescent="0.25">
      <c r="A31" s="138" t="s">
        <v>502</v>
      </c>
      <c r="B31" s="136" t="s">
        <v>503</v>
      </c>
      <c r="C31" s="136">
        <v>8</v>
      </c>
      <c r="D31" s="136"/>
      <c r="E31" s="136">
        <f t="shared" si="0"/>
        <v>6236</v>
      </c>
      <c r="F31" s="136"/>
      <c r="G31" s="136"/>
    </row>
    <row r="32" spans="1:7" ht="15.75" x14ac:dyDescent="0.25">
      <c r="A32" s="246" t="s">
        <v>517</v>
      </c>
      <c r="B32" s="136" t="s">
        <v>283</v>
      </c>
      <c r="C32" s="161">
        <v>3</v>
      </c>
      <c r="D32" s="136"/>
      <c r="E32" s="136">
        <f t="shared" si="0"/>
        <v>6239</v>
      </c>
      <c r="F32" s="136"/>
      <c r="G32" s="136"/>
    </row>
    <row r="33" spans="1:7" x14ac:dyDescent="0.25">
      <c r="A33" s="152" t="s">
        <v>533</v>
      </c>
      <c r="B33" s="136" t="s">
        <v>532</v>
      </c>
      <c r="C33" s="136">
        <v>34</v>
      </c>
      <c r="D33" s="136"/>
      <c r="E33" s="136">
        <f t="shared" si="0"/>
        <v>6273</v>
      </c>
      <c r="F33" s="136"/>
      <c r="G33" s="136"/>
    </row>
    <row r="34" spans="1:7" x14ac:dyDescent="0.25">
      <c r="A34" s="121" t="s">
        <v>549</v>
      </c>
      <c r="B34" s="136" t="s">
        <v>414</v>
      </c>
      <c r="C34" s="163">
        <v>29</v>
      </c>
      <c r="D34" s="136"/>
      <c r="E34" s="136">
        <f t="shared" si="0"/>
        <v>6302</v>
      </c>
      <c r="F34" s="136"/>
      <c r="G34" s="136"/>
    </row>
    <row r="35" spans="1:7" x14ac:dyDescent="0.25">
      <c r="A35" s="152" t="s">
        <v>559</v>
      </c>
      <c r="B35" s="136" t="s">
        <v>283</v>
      </c>
      <c r="C35" s="136">
        <v>6</v>
      </c>
      <c r="D35" s="136"/>
      <c r="E35" s="136">
        <f t="shared" si="0"/>
        <v>6308</v>
      </c>
      <c r="F35" s="136"/>
      <c r="G35" s="136"/>
    </row>
    <row r="36" spans="1:7" x14ac:dyDescent="0.25">
      <c r="A36" s="152" t="s">
        <v>562</v>
      </c>
      <c r="B36" s="156" t="s">
        <v>414</v>
      </c>
      <c r="C36" s="136">
        <v>4</v>
      </c>
      <c r="D36" s="136"/>
      <c r="E36" s="136">
        <f t="shared" si="0"/>
        <v>6312</v>
      </c>
      <c r="F36" s="136"/>
      <c r="G36" s="136"/>
    </row>
    <row r="37" spans="1:7" x14ac:dyDescent="0.25">
      <c r="A37" s="138" t="s">
        <v>569</v>
      </c>
      <c r="B37" s="136" t="s">
        <v>572</v>
      </c>
      <c r="C37" s="136"/>
      <c r="D37" s="136">
        <v>15</v>
      </c>
      <c r="E37" s="136">
        <f t="shared" si="0"/>
        <v>6297</v>
      </c>
      <c r="F37" s="136"/>
      <c r="G37" s="136"/>
    </row>
    <row r="38" spans="1:7" x14ac:dyDescent="0.25">
      <c r="A38" s="138" t="s">
        <v>569</v>
      </c>
      <c r="B38" s="136" t="s">
        <v>572</v>
      </c>
      <c r="C38" s="136"/>
      <c r="D38" s="136">
        <v>7</v>
      </c>
      <c r="E38" s="136">
        <f t="shared" si="0"/>
        <v>6290</v>
      </c>
      <c r="F38" s="136"/>
      <c r="G38" s="136"/>
    </row>
    <row r="39" spans="1:7" x14ac:dyDescent="0.25">
      <c r="A39" s="152" t="s">
        <v>577</v>
      </c>
      <c r="B39" s="136" t="s">
        <v>283</v>
      </c>
      <c r="C39" s="136">
        <v>7</v>
      </c>
      <c r="D39" s="136"/>
      <c r="E39" s="136">
        <f t="shared" si="0"/>
        <v>6297</v>
      </c>
      <c r="F39" s="136"/>
      <c r="G39" s="136"/>
    </row>
    <row r="40" spans="1:7" x14ac:dyDescent="0.25">
      <c r="A40" s="152" t="s">
        <v>577</v>
      </c>
      <c r="B40" s="36" t="s">
        <v>488</v>
      </c>
      <c r="C40" s="36">
        <v>26</v>
      </c>
      <c r="D40" s="136"/>
      <c r="E40" s="136">
        <f t="shared" si="0"/>
        <v>6323</v>
      </c>
      <c r="F40" s="136"/>
      <c r="G40" s="136"/>
    </row>
    <row r="41" spans="1:7" x14ac:dyDescent="0.25">
      <c r="A41" s="152" t="s">
        <v>581</v>
      </c>
      <c r="B41" s="136" t="s">
        <v>550</v>
      </c>
      <c r="C41" s="136"/>
      <c r="D41" s="136">
        <v>25</v>
      </c>
      <c r="E41" s="136">
        <f t="shared" si="0"/>
        <v>6298</v>
      </c>
      <c r="F41" s="136" t="s">
        <v>582</v>
      </c>
      <c r="G41" s="136"/>
    </row>
    <row r="42" spans="1:7" x14ac:dyDescent="0.25">
      <c r="A42" s="138" t="s">
        <v>581</v>
      </c>
      <c r="B42" s="136" t="s">
        <v>583</v>
      </c>
      <c r="C42" s="136"/>
      <c r="D42" s="136">
        <v>40</v>
      </c>
      <c r="E42" s="136">
        <f t="shared" si="0"/>
        <v>6258</v>
      </c>
      <c r="F42" s="136" t="s">
        <v>585</v>
      </c>
      <c r="G42" s="136"/>
    </row>
    <row r="43" spans="1:7" x14ac:dyDescent="0.25">
      <c r="A43" s="152" t="s">
        <v>591</v>
      </c>
      <c r="B43" s="136" t="s">
        <v>550</v>
      </c>
      <c r="C43" s="136"/>
      <c r="D43" s="136">
        <v>25</v>
      </c>
      <c r="E43" s="136">
        <f t="shared" si="0"/>
        <v>6233</v>
      </c>
      <c r="F43" s="136" t="s">
        <v>592</v>
      </c>
      <c r="G43" s="136"/>
    </row>
    <row r="44" spans="1:7" x14ac:dyDescent="0.25">
      <c r="A44" s="121" t="s">
        <v>595</v>
      </c>
      <c r="B44" s="36" t="s">
        <v>601</v>
      </c>
      <c r="C44" s="36">
        <v>35</v>
      </c>
      <c r="D44" s="136"/>
      <c r="E44" s="136">
        <f t="shared" si="0"/>
        <v>6268</v>
      </c>
      <c r="F44" s="136"/>
      <c r="G44" s="136"/>
    </row>
    <row r="45" spans="1:7" ht="15.75" x14ac:dyDescent="0.25">
      <c r="A45" s="242">
        <v>8112</v>
      </c>
      <c r="B45" s="161" t="s">
        <v>283</v>
      </c>
      <c r="C45" s="161">
        <v>14</v>
      </c>
      <c r="D45" s="136"/>
      <c r="E45" s="136">
        <f t="shared" si="0"/>
        <v>6282</v>
      </c>
      <c r="F45" s="136"/>
      <c r="G45" s="136"/>
    </row>
    <row r="46" spans="1:7" x14ac:dyDescent="0.25">
      <c r="A46" s="238" t="s">
        <v>645</v>
      </c>
      <c r="B46" s="136" t="s">
        <v>646</v>
      </c>
      <c r="C46" s="136">
        <v>16</v>
      </c>
      <c r="D46" s="136"/>
      <c r="E46" s="136">
        <f t="shared" si="0"/>
        <v>6298</v>
      </c>
      <c r="F46" s="136"/>
      <c r="G46" s="136"/>
    </row>
    <row r="47" spans="1:7" x14ac:dyDescent="0.25">
      <c r="A47" s="138" t="s">
        <v>658</v>
      </c>
      <c r="B47" s="136" t="s">
        <v>488</v>
      </c>
      <c r="C47" s="136">
        <v>9</v>
      </c>
      <c r="D47" s="136"/>
      <c r="E47" s="136">
        <f t="shared" si="0"/>
        <v>6307</v>
      </c>
      <c r="F47" s="136"/>
      <c r="G47" s="136"/>
    </row>
    <row r="48" spans="1:7" x14ac:dyDescent="0.25">
      <c r="A48" s="238" t="s">
        <v>663</v>
      </c>
      <c r="B48" s="156" t="s">
        <v>414</v>
      </c>
      <c r="C48" s="136">
        <v>27</v>
      </c>
      <c r="D48" s="136"/>
      <c r="E48" s="136">
        <f t="shared" si="0"/>
        <v>6334</v>
      </c>
      <c r="F48" s="136"/>
      <c r="G48" s="136"/>
    </row>
    <row r="49" spans="1:7" x14ac:dyDescent="0.25">
      <c r="A49" s="238" t="s">
        <v>666</v>
      </c>
      <c r="B49" s="136" t="s">
        <v>638</v>
      </c>
      <c r="C49" s="136"/>
      <c r="D49" s="136">
        <v>200</v>
      </c>
      <c r="E49" s="136">
        <f t="shared" si="0"/>
        <v>6134</v>
      </c>
      <c r="F49" s="136" t="s">
        <v>667</v>
      </c>
      <c r="G49" s="136"/>
    </row>
    <row r="50" spans="1:7" ht="15.75" x14ac:dyDescent="0.25">
      <c r="A50" s="246" t="s">
        <v>668</v>
      </c>
      <c r="B50" s="161" t="s">
        <v>283</v>
      </c>
      <c r="C50" s="161">
        <v>21</v>
      </c>
      <c r="D50" s="136"/>
      <c r="E50" s="136">
        <f t="shared" si="0"/>
        <v>6155</v>
      </c>
      <c r="F50" s="136"/>
      <c r="G50" s="136"/>
    </row>
    <row r="51" spans="1:7" ht="15.75" x14ac:dyDescent="0.25">
      <c r="A51" s="248" t="s">
        <v>695</v>
      </c>
      <c r="B51" s="161" t="s">
        <v>283</v>
      </c>
      <c r="C51" s="161">
        <v>13</v>
      </c>
      <c r="D51" s="136"/>
      <c r="E51" s="136">
        <f t="shared" si="0"/>
        <v>6168</v>
      </c>
      <c r="F51" s="136"/>
      <c r="G51" s="136"/>
    </row>
    <row r="52" spans="1:7" x14ac:dyDescent="0.25">
      <c r="A52" s="152" t="s">
        <v>701</v>
      </c>
      <c r="B52" s="136" t="s">
        <v>583</v>
      </c>
      <c r="C52" s="136"/>
      <c r="D52" s="136">
        <v>35</v>
      </c>
      <c r="E52" s="136">
        <f t="shared" si="0"/>
        <v>6133</v>
      </c>
      <c r="F52" s="136" t="s">
        <v>702</v>
      </c>
      <c r="G52" s="136"/>
    </row>
    <row r="53" spans="1:7" x14ac:dyDescent="0.25">
      <c r="A53" s="152" t="s">
        <v>701</v>
      </c>
      <c r="B53" s="136" t="s">
        <v>638</v>
      </c>
      <c r="C53" s="136"/>
      <c r="D53" s="136">
        <v>100</v>
      </c>
      <c r="E53" s="136">
        <f t="shared" si="0"/>
        <v>6033</v>
      </c>
      <c r="F53" s="136" t="s">
        <v>703</v>
      </c>
      <c r="G53" s="136"/>
    </row>
    <row r="54" spans="1:7" x14ac:dyDescent="0.25">
      <c r="A54" s="138" t="s">
        <v>747</v>
      </c>
      <c r="B54" s="136" t="s">
        <v>748</v>
      </c>
      <c r="C54" s="136"/>
      <c r="D54" s="136">
        <v>10</v>
      </c>
      <c r="E54" s="136">
        <f t="shared" si="0"/>
        <v>6023</v>
      </c>
      <c r="F54" s="136" t="s">
        <v>749</v>
      </c>
      <c r="G54" s="136"/>
    </row>
    <row r="55" spans="1:7" ht="15.75" x14ac:dyDescent="0.25">
      <c r="A55" s="138" t="s">
        <v>747</v>
      </c>
      <c r="B55" s="161" t="s">
        <v>283</v>
      </c>
      <c r="C55" s="136">
        <v>9</v>
      </c>
      <c r="D55" s="136"/>
      <c r="E55" s="136">
        <f t="shared" si="0"/>
        <v>6032</v>
      </c>
      <c r="F55" s="136"/>
      <c r="G55" s="136"/>
    </row>
    <row r="56" spans="1:7" x14ac:dyDescent="0.25">
      <c r="A56" s="152" t="s">
        <v>764</v>
      </c>
      <c r="B56" s="136" t="s">
        <v>638</v>
      </c>
      <c r="C56" s="136"/>
      <c r="D56" s="136">
        <v>20</v>
      </c>
      <c r="E56" s="136">
        <f t="shared" si="0"/>
        <v>6012</v>
      </c>
      <c r="F56" s="136" t="s">
        <v>769</v>
      </c>
      <c r="G56" s="136"/>
    </row>
    <row r="57" spans="1:7" x14ac:dyDescent="0.25">
      <c r="A57" s="152" t="s">
        <v>764</v>
      </c>
      <c r="B57" s="136" t="s">
        <v>638</v>
      </c>
      <c r="C57" s="136"/>
      <c r="D57" s="136">
        <v>60</v>
      </c>
      <c r="E57" s="136">
        <f t="shared" si="0"/>
        <v>5952</v>
      </c>
      <c r="F57" s="136" t="s">
        <v>770</v>
      </c>
      <c r="G57" s="136"/>
    </row>
    <row r="58" spans="1:7" x14ac:dyDescent="0.25">
      <c r="A58" s="138" t="s">
        <v>773</v>
      </c>
      <c r="B58" s="136" t="s">
        <v>283</v>
      </c>
      <c r="C58" s="136">
        <v>16</v>
      </c>
      <c r="D58" s="136"/>
      <c r="E58" s="136">
        <f t="shared" si="0"/>
        <v>5968</v>
      </c>
      <c r="F58" s="136"/>
      <c r="G58" s="136"/>
    </row>
    <row r="59" spans="1:7" x14ac:dyDescent="0.25">
      <c r="A59" s="138" t="s">
        <v>775</v>
      </c>
      <c r="B59" s="136" t="s">
        <v>250</v>
      </c>
      <c r="C59" s="136"/>
      <c r="D59" s="136">
        <v>20</v>
      </c>
      <c r="E59" s="136">
        <f t="shared" si="0"/>
        <v>5948</v>
      </c>
      <c r="F59" s="136" t="s">
        <v>776</v>
      </c>
      <c r="G59" s="136"/>
    </row>
    <row r="60" spans="1:7" x14ac:dyDescent="0.25">
      <c r="A60" s="152" t="s">
        <v>779</v>
      </c>
      <c r="B60" s="136" t="s">
        <v>763</v>
      </c>
      <c r="C60" s="136">
        <v>50</v>
      </c>
      <c r="D60" s="136"/>
      <c r="E60" s="136">
        <f t="shared" si="0"/>
        <v>5998</v>
      </c>
      <c r="F60" s="136"/>
      <c r="G60" s="136"/>
    </row>
    <row r="61" spans="1:7" x14ac:dyDescent="0.25">
      <c r="A61" s="138" t="s">
        <v>790</v>
      </c>
      <c r="B61" s="136" t="s">
        <v>783</v>
      </c>
      <c r="C61" s="136"/>
      <c r="D61" s="136">
        <v>12</v>
      </c>
      <c r="E61" s="136">
        <f t="shared" si="0"/>
        <v>5986</v>
      </c>
      <c r="F61" s="136" t="s">
        <v>791</v>
      </c>
      <c r="G61" s="136"/>
    </row>
    <row r="62" spans="1:7" x14ac:dyDescent="0.25">
      <c r="A62" s="138" t="s">
        <v>804</v>
      </c>
      <c r="B62" s="136" t="s">
        <v>783</v>
      </c>
      <c r="C62" s="136"/>
      <c r="D62" s="136">
        <v>80</v>
      </c>
      <c r="E62" s="136">
        <f t="shared" si="0"/>
        <v>5906</v>
      </c>
      <c r="F62" s="136" t="s">
        <v>810</v>
      </c>
      <c r="G62" s="136"/>
    </row>
    <row r="63" spans="1:7" x14ac:dyDescent="0.25">
      <c r="A63" s="138" t="s">
        <v>839</v>
      </c>
      <c r="B63" s="136" t="s">
        <v>844</v>
      </c>
      <c r="C63" s="136">
        <v>2</v>
      </c>
      <c r="D63" s="136"/>
      <c r="E63" s="136">
        <f t="shared" si="0"/>
        <v>5908</v>
      </c>
      <c r="F63" s="136"/>
      <c r="G63" s="136"/>
    </row>
    <row r="64" spans="1:7" x14ac:dyDescent="0.25">
      <c r="A64" s="138" t="s">
        <v>848</v>
      </c>
      <c r="B64" s="136" t="s">
        <v>849</v>
      </c>
      <c r="C64" s="136"/>
      <c r="D64" s="136">
        <v>6</v>
      </c>
      <c r="E64" s="136">
        <f t="shared" si="0"/>
        <v>5902</v>
      </c>
      <c r="F64" s="136" t="s">
        <v>17</v>
      </c>
      <c r="G64" s="136"/>
    </row>
    <row r="65" spans="1:7" x14ac:dyDescent="0.25">
      <c r="A65" s="138" t="s">
        <v>847</v>
      </c>
      <c r="B65" s="136" t="s">
        <v>783</v>
      </c>
      <c r="C65" s="136"/>
      <c r="D65" s="136">
        <v>100</v>
      </c>
      <c r="E65" s="136">
        <f t="shared" si="0"/>
        <v>5802</v>
      </c>
      <c r="F65" s="136" t="s">
        <v>850</v>
      </c>
      <c r="G65" s="136"/>
    </row>
    <row r="66" spans="1:7" x14ac:dyDescent="0.25">
      <c r="A66" s="152" t="s">
        <v>856</v>
      </c>
      <c r="B66" s="136" t="s">
        <v>858</v>
      </c>
      <c r="C66" s="136"/>
      <c r="D66" s="36">
        <v>12</v>
      </c>
      <c r="E66" s="136">
        <f t="shared" si="0"/>
        <v>5790</v>
      </c>
      <c r="F66" s="48" t="s">
        <v>17</v>
      </c>
      <c r="G66" s="136"/>
    </row>
    <row r="67" spans="1:7" x14ac:dyDescent="0.25">
      <c r="A67" s="152" t="s">
        <v>869</v>
      </c>
      <c r="B67" s="136" t="s">
        <v>812</v>
      </c>
      <c r="C67" s="136"/>
      <c r="D67" s="136">
        <v>50</v>
      </c>
      <c r="E67" s="136">
        <f t="shared" si="0"/>
        <v>5740</v>
      </c>
      <c r="F67" s="136" t="s">
        <v>872</v>
      </c>
      <c r="G67" s="136"/>
    </row>
    <row r="68" spans="1:7" x14ac:dyDescent="0.25">
      <c r="A68" s="138" t="s">
        <v>873</v>
      </c>
      <c r="B68" s="136" t="s">
        <v>874</v>
      </c>
      <c r="C68" s="136"/>
      <c r="D68" s="136">
        <v>50</v>
      </c>
      <c r="E68" s="136">
        <f t="shared" si="0"/>
        <v>5690</v>
      </c>
      <c r="F68" s="136" t="s">
        <v>875</v>
      </c>
      <c r="G68" s="136"/>
    </row>
    <row r="69" spans="1:7" x14ac:dyDescent="0.25">
      <c r="A69" s="138" t="s">
        <v>880</v>
      </c>
      <c r="B69" s="136" t="s">
        <v>816</v>
      </c>
      <c r="C69" s="136"/>
      <c r="D69" s="136">
        <v>48</v>
      </c>
      <c r="E69" s="136">
        <f t="shared" si="0"/>
        <v>5642</v>
      </c>
      <c r="F69" s="136" t="s">
        <v>882</v>
      </c>
      <c r="G69" s="136"/>
    </row>
    <row r="70" spans="1:7" x14ac:dyDescent="0.25">
      <c r="A70" s="138" t="s">
        <v>893</v>
      </c>
      <c r="B70" s="136" t="s">
        <v>783</v>
      </c>
      <c r="C70" s="136"/>
      <c r="D70" s="136">
        <v>60</v>
      </c>
      <c r="E70" s="136">
        <f t="shared" si="0"/>
        <v>5582</v>
      </c>
      <c r="F70" s="136" t="s">
        <v>894</v>
      </c>
      <c r="G70" s="136"/>
    </row>
    <row r="71" spans="1:7" x14ac:dyDescent="0.25">
      <c r="A71" s="152" t="s">
        <v>902</v>
      </c>
      <c r="B71" s="136" t="s">
        <v>783</v>
      </c>
      <c r="C71" s="136"/>
      <c r="D71" s="136">
        <v>60</v>
      </c>
      <c r="E71" s="136">
        <f t="shared" si="0"/>
        <v>5522</v>
      </c>
      <c r="F71" s="136" t="s">
        <v>906</v>
      </c>
      <c r="G71" s="136"/>
    </row>
    <row r="72" spans="1:7" ht="15.75" x14ac:dyDescent="0.25">
      <c r="A72" s="246" t="s">
        <v>914</v>
      </c>
      <c r="B72" s="161" t="s">
        <v>915</v>
      </c>
      <c r="C72" s="161"/>
      <c r="D72" s="161">
        <v>40</v>
      </c>
      <c r="E72" s="136">
        <f t="shared" ref="E72" si="1">E71+C72-D72</f>
        <v>5482</v>
      </c>
      <c r="F72" s="161" t="s">
        <v>918</v>
      </c>
      <c r="G72" s="136"/>
    </row>
    <row r="73" spans="1:7" x14ac:dyDescent="0.25">
      <c r="A73" s="136"/>
      <c r="B73" s="136"/>
      <c r="C73" s="136"/>
      <c r="D73" s="136"/>
      <c r="E73" s="136"/>
      <c r="F73" s="136"/>
      <c r="G73" s="136"/>
    </row>
    <row r="74" spans="1:7" x14ac:dyDescent="0.25">
      <c r="A74" s="136"/>
      <c r="B74" s="136"/>
      <c r="C74" s="136"/>
      <c r="D74" s="136"/>
      <c r="E74" s="136"/>
      <c r="F74" s="136"/>
      <c r="G74" s="136"/>
    </row>
    <row r="75" spans="1:7" x14ac:dyDescent="0.25">
      <c r="A75" s="136"/>
      <c r="B75" s="136"/>
      <c r="C75" s="136"/>
      <c r="D75" s="136"/>
      <c r="E75" s="136"/>
      <c r="F75" s="136"/>
      <c r="G75" s="136"/>
    </row>
    <row r="76" spans="1:7" x14ac:dyDescent="0.25">
      <c r="A76" s="136"/>
      <c r="B76" s="136"/>
      <c r="C76" s="136"/>
      <c r="D76" s="136"/>
      <c r="E76" s="136"/>
      <c r="F76" s="136"/>
      <c r="G76" s="136"/>
    </row>
  </sheetData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0"/>
  <sheetViews>
    <sheetView topLeftCell="A20" zoomScaleNormal="100" workbookViewId="0">
      <selection activeCell="E36" sqref="E36:E38"/>
    </sheetView>
  </sheetViews>
  <sheetFormatPr defaultRowHeight="15" x14ac:dyDescent="0.25"/>
  <cols>
    <col min="1" max="1" width="12.140625" style="129" customWidth="1"/>
    <col min="2" max="2" width="34.85546875" style="129" customWidth="1"/>
    <col min="3" max="5" width="9.140625" style="129"/>
    <col min="6" max="6" width="15.140625" style="129" customWidth="1"/>
    <col min="7" max="7" width="23.140625" style="129" customWidth="1"/>
  </cols>
  <sheetData>
    <row r="2" spans="1:7" ht="15.75" x14ac:dyDescent="0.25">
      <c r="A2" s="126" t="s">
        <v>54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7"/>
      <c r="B5" s="137" t="s">
        <v>246</v>
      </c>
      <c r="C5" s="137"/>
      <c r="D5" s="137"/>
      <c r="E5" s="137"/>
      <c r="F5" s="137">
        <v>531</v>
      </c>
      <c r="G5" s="137"/>
    </row>
    <row r="6" spans="1:7" x14ac:dyDescent="0.25">
      <c r="A6" s="136"/>
      <c r="B6" s="136"/>
      <c r="C6" s="136"/>
      <c r="D6" s="136"/>
      <c r="E6" s="136">
        <v>531</v>
      </c>
      <c r="F6" s="136"/>
      <c r="G6" s="136"/>
    </row>
    <row r="7" spans="1:7" x14ac:dyDescent="0.25">
      <c r="A7" s="138" t="s">
        <v>249</v>
      </c>
      <c r="B7" s="136" t="s">
        <v>251</v>
      </c>
      <c r="C7" s="136">
        <v>8</v>
      </c>
      <c r="D7" s="136"/>
      <c r="E7" s="136">
        <f>E6+C7-D7</f>
        <v>539</v>
      </c>
      <c r="F7" s="136"/>
      <c r="G7" s="136"/>
    </row>
    <row r="8" spans="1:7" x14ac:dyDescent="0.25">
      <c r="A8" s="138" t="s">
        <v>285</v>
      </c>
      <c r="B8" s="136" t="s">
        <v>294</v>
      </c>
      <c r="C8" s="136">
        <v>40</v>
      </c>
      <c r="D8" s="136"/>
      <c r="E8" s="136">
        <f>E7+C8-D8</f>
        <v>579</v>
      </c>
      <c r="F8" s="136"/>
      <c r="G8" s="136"/>
    </row>
    <row r="9" spans="1:7" x14ac:dyDescent="0.25">
      <c r="A9" s="152" t="s">
        <v>400</v>
      </c>
      <c r="B9" s="136" t="s">
        <v>405</v>
      </c>
      <c r="C9" s="136">
        <v>24</v>
      </c>
      <c r="D9" s="136"/>
      <c r="E9" s="136">
        <f t="shared" ref="E9:E38" si="0">E8+C9-D9</f>
        <v>603</v>
      </c>
      <c r="F9" s="136"/>
      <c r="G9" s="136"/>
    </row>
    <row r="10" spans="1:7" x14ac:dyDescent="0.25">
      <c r="A10" s="138" t="s">
        <v>406</v>
      </c>
      <c r="B10" s="136" t="s">
        <v>383</v>
      </c>
      <c r="C10" s="136"/>
      <c r="D10" s="136">
        <v>25</v>
      </c>
      <c r="E10" s="136">
        <f t="shared" si="0"/>
        <v>578</v>
      </c>
      <c r="F10" s="136" t="s">
        <v>17</v>
      </c>
      <c r="G10" s="136"/>
    </row>
    <row r="11" spans="1:7" x14ac:dyDescent="0.25">
      <c r="A11" s="152" t="s">
        <v>430</v>
      </c>
      <c r="B11" s="136" t="s">
        <v>264</v>
      </c>
      <c r="C11" s="136">
        <v>25</v>
      </c>
      <c r="D11" s="136"/>
      <c r="E11" s="136">
        <f t="shared" si="0"/>
        <v>603</v>
      </c>
      <c r="F11" s="136"/>
      <c r="G11" s="136"/>
    </row>
    <row r="12" spans="1:7" x14ac:dyDescent="0.25">
      <c r="A12" s="152" t="s">
        <v>430</v>
      </c>
      <c r="B12" s="136" t="s">
        <v>383</v>
      </c>
      <c r="C12" s="136"/>
      <c r="D12" s="136">
        <v>40</v>
      </c>
      <c r="E12" s="136">
        <f t="shared" si="0"/>
        <v>563</v>
      </c>
      <c r="F12" s="136" t="s">
        <v>17</v>
      </c>
      <c r="G12" s="136"/>
    </row>
    <row r="13" spans="1:7" x14ac:dyDescent="0.25">
      <c r="A13" s="152" t="s">
        <v>456</v>
      </c>
      <c r="B13" s="156" t="s">
        <v>414</v>
      </c>
      <c r="C13" s="136"/>
      <c r="D13" s="136">
        <v>20</v>
      </c>
      <c r="E13" s="136">
        <f t="shared" si="0"/>
        <v>543</v>
      </c>
      <c r="F13" s="136" t="s">
        <v>461</v>
      </c>
      <c r="G13" s="136"/>
    </row>
    <row r="14" spans="1:7" x14ac:dyDescent="0.25">
      <c r="A14" s="152" t="s">
        <v>456</v>
      </c>
      <c r="B14" s="136" t="s">
        <v>463</v>
      </c>
      <c r="C14" s="136">
        <v>16</v>
      </c>
      <c r="D14" s="136"/>
      <c r="E14" s="136">
        <f t="shared" si="0"/>
        <v>559</v>
      </c>
      <c r="F14" s="136"/>
      <c r="G14" s="136"/>
    </row>
    <row r="15" spans="1:7" x14ac:dyDescent="0.25">
      <c r="A15" s="152" t="s">
        <v>468</v>
      </c>
      <c r="B15" s="136" t="s">
        <v>472</v>
      </c>
      <c r="C15" s="136">
        <v>50</v>
      </c>
      <c r="D15" s="136"/>
      <c r="E15" s="136">
        <f t="shared" si="0"/>
        <v>609</v>
      </c>
      <c r="F15" s="136"/>
      <c r="G15" s="136"/>
    </row>
    <row r="16" spans="1:7" x14ac:dyDescent="0.25">
      <c r="A16" s="238" t="s">
        <v>475</v>
      </c>
      <c r="B16" s="136" t="s">
        <v>283</v>
      </c>
      <c r="C16" s="136">
        <v>9</v>
      </c>
      <c r="D16" s="136"/>
      <c r="E16" s="136">
        <f t="shared" si="0"/>
        <v>618</v>
      </c>
      <c r="F16" s="136"/>
      <c r="G16" s="136"/>
    </row>
    <row r="17" spans="1:7" x14ac:dyDescent="0.25">
      <c r="A17" s="152" t="s">
        <v>483</v>
      </c>
      <c r="B17" s="136" t="s">
        <v>383</v>
      </c>
      <c r="C17" s="136">
        <v>40</v>
      </c>
      <c r="D17" s="136"/>
      <c r="E17" s="136">
        <f t="shared" si="0"/>
        <v>658</v>
      </c>
      <c r="F17" s="136"/>
      <c r="G17" s="136"/>
    </row>
    <row r="18" spans="1:7" x14ac:dyDescent="0.25">
      <c r="A18" s="138" t="s">
        <v>485</v>
      </c>
      <c r="B18" s="136" t="s">
        <v>283</v>
      </c>
      <c r="C18" s="136">
        <v>11</v>
      </c>
      <c r="D18" s="136"/>
      <c r="E18" s="136">
        <f t="shared" si="0"/>
        <v>669</v>
      </c>
      <c r="F18" s="136"/>
      <c r="G18" s="136"/>
    </row>
    <row r="19" spans="1:7" x14ac:dyDescent="0.25">
      <c r="A19" s="152" t="s">
        <v>559</v>
      </c>
      <c r="B19" s="136" t="s">
        <v>283</v>
      </c>
      <c r="C19" s="136">
        <v>2</v>
      </c>
      <c r="D19" s="136"/>
      <c r="E19" s="136">
        <f t="shared" si="0"/>
        <v>671</v>
      </c>
      <c r="F19" s="136"/>
      <c r="G19" s="136"/>
    </row>
    <row r="20" spans="1:7" x14ac:dyDescent="0.25">
      <c r="A20" s="152" t="s">
        <v>562</v>
      </c>
      <c r="B20" s="136" t="s">
        <v>414</v>
      </c>
      <c r="C20" s="136">
        <v>10</v>
      </c>
      <c r="D20" s="136"/>
      <c r="E20" s="136">
        <f t="shared" si="0"/>
        <v>681</v>
      </c>
      <c r="F20" s="136"/>
      <c r="G20" s="136"/>
    </row>
    <row r="21" spans="1:7" x14ac:dyDescent="0.25">
      <c r="A21" s="138" t="s">
        <v>569</v>
      </c>
      <c r="B21" s="136" t="s">
        <v>572</v>
      </c>
      <c r="C21" s="136"/>
      <c r="D21" s="136">
        <v>15</v>
      </c>
      <c r="E21" s="136">
        <f t="shared" si="0"/>
        <v>666</v>
      </c>
      <c r="F21" s="136" t="s">
        <v>17</v>
      </c>
      <c r="G21" s="136"/>
    </row>
    <row r="22" spans="1:7" x14ac:dyDescent="0.25">
      <c r="A22" s="138" t="s">
        <v>569</v>
      </c>
      <c r="B22" s="136" t="s">
        <v>572</v>
      </c>
      <c r="C22" s="136"/>
      <c r="D22" s="136">
        <v>15</v>
      </c>
      <c r="E22" s="136">
        <f t="shared" si="0"/>
        <v>651</v>
      </c>
      <c r="F22" s="136" t="s">
        <v>17</v>
      </c>
      <c r="G22" s="136"/>
    </row>
    <row r="23" spans="1:7" x14ac:dyDescent="0.25">
      <c r="A23" s="152" t="s">
        <v>577</v>
      </c>
      <c r="B23" s="136" t="s">
        <v>283</v>
      </c>
      <c r="C23" s="136">
        <v>1</v>
      </c>
      <c r="D23" s="136"/>
      <c r="E23" s="136">
        <f t="shared" si="0"/>
        <v>652</v>
      </c>
      <c r="F23" s="136"/>
      <c r="G23" s="136"/>
    </row>
    <row r="24" spans="1:7" x14ac:dyDescent="0.25">
      <c r="A24" s="138" t="s">
        <v>581</v>
      </c>
      <c r="B24" s="136" t="s">
        <v>583</v>
      </c>
      <c r="C24" s="136"/>
      <c r="D24" s="136">
        <v>40</v>
      </c>
      <c r="E24" s="136">
        <f t="shared" si="0"/>
        <v>612</v>
      </c>
      <c r="F24" s="136" t="s">
        <v>585</v>
      </c>
      <c r="G24" s="136"/>
    </row>
    <row r="25" spans="1:7" x14ac:dyDescent="0.25">
      <c r="A25" s="167">
        <v>8106</v>
      </c>
      <c r="B25" s="136" t="s">
        <v>383</v>
      </c>
      <c r="C25" s="136">
        <v>17</v>
      </c>
      <c r="D25" s="136"/>
      <c r="E25" s="136">
        <f t="shared" si="0"/>
        <v>629</v>
      </c>
      <c r="F25" s="136"/>
      <c r="G25" s="136"/>
    </row>
    <row r="26" spans="1:7" x14ac:dyDescent="0.25">
      <c r="A26" s="152" t="s">
        <v>637</v>
      </c>
      <c r="B26" s="136" t="s">
        <v>638</v>
      </c>
      <c r="C26" s="136"/>
      <c r="D26" s="136">
        <v>25</v>
      </c>
      <c r="E26" s="136">
        <f t="shared" si="0"/>
        <v>604</v>
      </c>
      <c r="F26" s="136" t="s">
        <v>641</v>
      </c>
      <c r="G26" s="136"/>
    </row>
    <row r="27" spans="1:7" x14ac:dyDescent="0.25">
      <c r="A27" s="238" t="s">
        <v>653</v>
      </c>
      <c r="B27" s="136" t="s">
        <v>638</v>
      </c>
      <c r="C27" s="136"/>
      <c r="D27" s="136">
        <v>95</v>
      </c>
      <c r="E27" s="136">
        <f t="shared" si="0"/>
        <v>509</v>
      </c>
      <c r="F27" s="152" t="s">
        <v>654</v>
      </c>
      <c r="G27" s="136"/>
    </row>
    <row r="28" spans="1:7" x14ac:dyDescent="0.25">
      <c r="A28" s="238" t="s">
        <v>663</v>
      </c>
      <c r="B28" s="156" t="s">
        <v>414</v>
      </c>
      <c r="C28" s="136">
        <v>10</v>
      </c>
      <c r="D28" s="136"/>
      <c r="E28" s="136">
        <f t="shared" si="0"/>
        <v>519</v>
      </c>
      <c r="F28" s="136"/>
      <c r="G28" s="136"/>
    </row>
    <row r="29" spans="1:7" ht="15.75" x14ac:dyDescent="0.25">
      <c r="A29" s="246" t="s">
        <v>668</v>
      </c>
      <c r="B29" s="161" t="s">
        <v>283</v>
      </c>
      <c r="C29" s="161">
        <v>7</v>
      </c>
      <c r="D29" s="136"/>
      <c r="E29" s="136">
        <f t="shared" si="0"/>
        <v>526</v>
      </c>
      <c r="F29" s="136"/>
      <c r="G29" s="136"/>
    </row>
    <row r="30" spans="1:7" x14ac:dyDescent="0.25">
      <c r="A30" s="152" t="s">
        <v>669</v>
      </c>
      <c r="B30" s="136" t="s">
        <v>583</v>
      </c>
      <c r="C30" s="136"/>
      <c r="D30" s="136">
        <v>10</v>
      </c>
      <c r="E30" s="136">
        <f t="shared" si="0"/>
        <v>516</v>
      </c>
      <c r="F30" s="136" t="s">
        <v>670</v>
      </c>
      <c r="G30" s="136"/>
    </row>
    <row r="31" spans="1:7" x14ac:dyDescent="0.25">
      <c r="A31" s="138" t="s">
        <v>683</v>
      </c>
      <c r="B31" s="136" t="s">
        <v>687</v>
      </c>
      <c r="C31" s="136">
        <v>28</v>
      </c>
      <c r="D31" s="136"/>
      <c r="E31" s="136">
        <f t="shared" si="0"/>
        <v>544</v>
      </c>
      <c r="F31" s="136"/>
      <c r="G31" s="136"/>
    </row>
    <row r="32" spans="1:7" ht="15.75" x14ac:dyDescent="0.25">
      <c r="A32" s="248" t="s">
        <v>695</v>
      </c>
      <c r="B32" s="161" t="s">
        <v>283</v>
      </c>
      <c r="C32" s="161">
        <v>5</v>
      </c>
      <c r="D32" s="136"/>
      <c r="E32" s="136">
        <f t="shared" si="0"/>
        <v>549</v>
      </c>
      <c r="F32" s="136"/>
      <c r="G32" s="136"/>
    </row>
    <row r="33" spans="1:7" x14ac:dyDescent="0.25">
      <c r="A33" s="152" t="s">
        <v>701</v>
      </c>
      <c r="B33" s="136" t="s">
        <v>583</v>
      </c>
      <c r="C33" s="136"/>
      <c r="D33" s="136">
        <v>25</v>
      </c>
      <c r="E33" s="136">
        <f t="shared" si="0"/>
        <v>524</v>
      </c>
      <c r="F33" s="136" t="s">
        <v>702</v>
      </c>
      <c r="G33" s="136"/>
    </row>
    <row r="34" spans="1:7" x14ac:dyDescent="0.25">
      <c r="A34" s="138" t="s">
        <v>734</v>
      </c>
      <c r="B34" s="136" t="s">
        <v>572</v>
      </c>
      <c r="C34" s="136"/>
      <c r="D34" s="136">
        <v>50</v>
      </c>
      <c r="E34" s="136">
        <f t="shared" si="0"/>
        <v>474</v>
      </c>
      <c r="F34" s="136" t="s">
        <v>17</v>
      </c>
      <c r="G34" s="136"/>
    </row>
    <row r="35" spans="1:7" ht="15.75" x14ac:dyDescent="0.25">
      <c r="A35" s="138" t="s">
        <v>747</v>
      </c>
      <c r="B35" s="161" t="s">
        <v>283</v>
      </c>
      <c r="C35" s="136">
        <v>2</v>
      </c>
      <c r="D35" s="136"/>
      <c r="E35" s="136">
        <f t="shared" si="0"/>
        <v>476</v>
      </c>
      <c r="F35" s="136"/>
      <c r="G35" s="136"/>
    </row>
    <row r="36" spans="1:7" x14ac:dyDescent="0.25">
      <c r="A36" s="138" t="s">
        <v>773</v>
      </c>
      <c r="B36" s="136" t="s">
        <v>283</v>
      </c>
      <c r="C36" s="136">
        <v>5</v>
      </c>
      <c r="D36" s="136"/>
      <c r="E36" s="136">
        <f t="shared" si="0"/>
        <v>481</v>
      </c>
      <c r="F36" s="136"/>
      <c r="G36" s="136"/>
    </row>
    <row r="37" spans="1:7" x14ac:dyDescent="0.25">
      <c r="A37" s="138" t="s">
        <v>790</v>
      </c>
      <c r="B37" s="136" t="s">
        <v>783</v>
      </c>
      <c r="C37" s="136"/>
      <c r="D37" s="136">
        <v>10</v>
      </c>
      <c r="E37" s="136">
        <f t="shared" si="0"/>
        <v>471</v>
      </c>
      <c r="F37" s="136" t="s">
        <v>791</v>
      </c>
      <c r="G37" s="136"/>
    </row>
    <row r="38" spans="1:7" x14ac:dyDescent="0.25">
      <c r="A38" s="152" t="s">
        <v>902</v>
      </c>
      <c r="B38" s="136" t="s">
        <v>783</v>
      </c>
      <c r="C38" s="136"/>
      <c r="D38" s="136">
        <v>80</v>
      </c>
      <c r="E38" s="136">
        <f t="shared" si="0"/>
        <v>391</v>
      </c>
      <c r="F38" s="136" t="s">
        <v>906</v>
      </c>
      <c r="G38" s="136"/>
    </row>
    <row r="39" spans="1:7" x14ac:dyDescent="0.25">
      <c r="A39" s="136"/>
      <c r="B39" s="136"/>
      <c r="C39" s="136"/>
      <c r="D39" s="136"/>
      <c r="E39" s="136"/>
      <c r="F39" s="136"/>
      <c r="G39" s="136"/>
    </row>
    <row r="40" spans="1:7" x14ac:dyDescent="0.25">
      <c r="A40" s="136"/>
      <c r="B40" s="136"/>
      <c r="C40" s="136"/>
      <c r="D40" s="136"/>
      <c r="E40" s="136"/>
      <c r="F40" s="136"/>
      <c r="G40" s="13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"/>
  <sheetViews>
    <sheetView workbookViewId="0">
      <selection activeCell="B6" sqref="B6"/>
    </sheetView>
  </sheetViews>
  <sheetFormatPr defaultRowHeight="15" x14ac:dyDescent="0.25"/>
  <cols>
    <col min="2" max="2" width="19.140625" customWidth="1"/>
    <col min="6" max="6" width="13" customWidth="1"/>
    <col min="7" max="7" width="21.85546875" customWidth="1"/>
  </cols>
  <sheetData>
    <row r="2" spans="1:7" ht="15.75" x14ac:dyDescent="0.25">
      <c r="A2" s="7" t="s">
        <v>55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2"/>
      <c r="B5" s="13" t="s">
        <v>243</v>
      </c>
      <c r="C5" s="13"/>
      <c r="D5" s="13"/>
      <c r="E5" s="13">
        <v>17</v>
      </c>
      <c r="F5" s="14"/>
      <c r="G5" s="15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0"/>
  <sheetViews>
    <sheetView topLeftCell="A68" zoomScaleNormal="100" workbookViewId="0">
      <selection activeCell="E81" sqref="E81:E83"/>
    </sheetView>
  </sheetViews>
  <sheetFormatPr defaultRowHeight="15" x14ac:dyDescent="0.25"/>
  <cols>
    <col min="1" max="1" width="14.28515625" style="147" customWidth="1"/>
    <col min="2" max="2" width="33" style="129" customWidth="1"/>
    <col min="3" max="5" width="9.140625" style="129"/>
    <col min="6" max="6" width="20.5703125" style="129" customWidth="1"/>
    <col min="7" max="7" width="22.28515625" style="129" customWidth="1"/>
  </cols>
  <sheetData>
    <row r="2" spans="1:7" ht="15.75" x14ac:dyDescent="0.25">
      <c r="A2" s="126" t="s">
        <v>14</v>
      </c>
      <c r="B2" s="127"/>
      <c r="C2" s="128"/>
      <c r="D2" s="128"/>
      <c r="E2" s="128"/>
      <c r="G2" s="130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48"/>
      <c r="B5" s="137" t="s">
        <v>246</v>
      </c>
      <c r="C5" s="137"/>
      <c r="D5" s="137"/>
      <c r="E5" s="137"/>
      <c r="F5" s="137">
        <v>3132</v>
      </c>
      <c r="G5" s="137"/>
    </row>
    <row r="6" spans="1:7" x14ac:dyDescent="0.25">
      <c r="A6" s="144"/>
      <c r="B6" s="136"/>
      <c r="C6" s="136"/>
      <c r="D6" s="136"/>
      <c r="E6" s="136">
        <v>3132</v>
      </c>
      <c r="F6" s="136"/>
      <c r="G6" s="136"/>
    </row>
    <row r="7" spans="1:7" x14ac:dyDescent="0.25">
      <c r="A7" s="138" t="s">
        <v>272</v>
      </c>
      <c r="B7" s="136" t="s">
        <v>273</v>
      </c>
      <c r="C7" s="136"/>
      <c r="D7" s="136">
        <v>25</v>
      </c>
      <c r="E7" s="136">
        <f>E6+C7-D7</f>
        <v>3107</v>
      </c>
      <c r="F7" s="136" t="s">
        <v>274</v>
      </c>
      <c r="G7" s="136"/>
    </row>
    <row r="8" spans="1:7" x14ac:dyDescent="0.25">
      <c r="A8" s="152" t="s">
        <v>267</v>
      </c>
      <c r="B8" s="136" t="s">
        <v>283</v>
      </c>
      <c r="C8" s="136"/>
      <c r="D8" s="136">
        <v>50</v>
      </c>
      <c r="E8" s="136">
        <f t="shared" ref="E8:E76" si="0">E7+C8-D8</f>
        <v>3057</v>
      </c>
      <c r="F8" s="136" t="s">
        <v>284</v>
      </c>
      <c r="G8" s="136"/>
    </row>
    <row r="9" spans="1:7" x14ac:dyDescent="0.25">
      <c r="A9" s="138" t="s">
        <v>285</v>
      </c>
      <c r="B9" s="136" t="s">
        <v>294</v>
      </c>
      <c r="C9" s="136">
        <v>22</v>
      </c>
      <c r="D9" s="136"/>
      <c r="E9" s="136">
        <f t="shared" si="0"/>
        <v>3079</v>
      </c>
      <c r="F9" s="136"/>
      <c r="G9" s="136"/>
    </row>
    <row r="10" spans="1:7" x14ac:dyDescent="0.25">
      <c r="A10" s="152" t="s">
        <v>295</v>
      </c>
      <c r="B10" s="136" t="s">
        <v>297</v>
      </c>
      <c r="C10" s="136"/>
      <c r="D10" s="136">
        <v>49</v>
      </c>
      <c r="E10" s="136">
        <f t="shared" si="0"/>
        <v>3030</v>
      </c>
      <c r="F10" s="136" t="s">
        <v>296</v>
      </c>
      <c r="G10" s="136"/>
    </row>
    <row r="11" spans="1:7" x14ac:dyDescent="0.25">
      <c r="A11" s="138" t="s">
        <v>306</v>
      </c>
      <c r="B11" s="136" t="s">
        <v>305</v>
      </c>
      <c r="C11" s="136">
        <v>35</v>
      </c>
      <c r="D11" s="136"/>
      <c r="E11" s="136">
        <f t="shared" si="0"/>
        <v>3065</v>
      </c>
      <c r="F11" s="136"/>
      <c r="G11" s="136"/>
    </row>
    <row r="12" spans="1:7" x14ac:dyDescent="0.25">
      <c r="A12" s="152" t="s">
        <v>315</v>
      </c>
      <c r="B12" s="136" t="s">
        <v>316</v>
      </c>
      <c r="C12" s="136"/>
      <c r="D12" s="136">
        <v>8</v>
      </c>
      <c r="E12" s="136">
        <f t="shared" si="0"/>
        <v>3057</v>
      </c>
      <c r="F12" s="136" t="s">
        <v>317</v>
      </c>
      <c r="G12" s="136"/>
    </row>
    <row r="13" spans="1:7" x14ac:dyDescent="0.25">
      <c r="A13" s="138" t="s">
        <v>319</v>
      </c>
      <c r="B13" s="136" t="s">
        <v>182</v>
      </c>
      <c r="C13" s="136">
        <v>13</v>
      </c>
      <c r="D13" s="136"/>
      <c r="E13" s="136">
        <f t="shared" si="0"/>
        <v>3070</v>
      </c>
      <c r="F13" s="136"/>
      <c r="G13" s="136"/>
    </row>
    <row r="14" spans="1:7" x14ac:dyDescent="0.25">
      <c r="A14" s="233">
        <v>44576</v>
      </c>
      <c r="B14" s="136" t="s">
        <v>326</v>
      </c>
      <c r="C14" s="136"/>
      <c r="D14" s="136">
        <v>50</v>
      </c>
      <c r="E14" s="136">
        <f t="shared" si="0"/>
        <v>3020</v>
      </c>
      <c r="F14" s="136" t="s">
        <v>327</v>
      </c>
      <c r="G14" s="136"/>
    </row>
    <row r="15" spans="1:7" x14ac:dyDescent="0.25">
      <c r="A15" s="152" t="s">
        <v>343</v>
      </c>
      <c r="B15" s="136" t="s">
        <v>349</v>
      </c>
      <c r="C15" s="136">
        <v>46</v>
      </c>
      <c r="D15" s="136"/>
      <c r="E15" s="136">
        <f t="shared" si="0"/>
        <v>3066</v>
      </c>
      <c r="F15" s="136"/>
      <c r="G15" s="136"/>
    </row>
    <row r="16" spans="1:7" x14ac:dyDescent="0.25">
      <c r="A16" s="152" t="s">
        <v>371</v>
      </c>
      <c r="B16" s="136" t="s">
        <v>264</v>
      </c>
      <c r="C16" s="136">
        <v>50</v>
      </c>
      <c r="D16" s="136"/>
      <c r="E16" s="136">
        <f t="shared" si="0"/>
        <v>3116</v>
      </c>
      <c r="F16" s="136"/>
      <c r="G16" s="136"/>
    </row>
    <row r="17" spans="1:7" x14ac:dyDescent="0.25">
      <c r="A17" s="152" t="s">
        <v>371</v>
      </c>
      <c r="B17" s="136" t="s">
        <v>383</v>
      </c>
      <c r="C17" s="136"/>
      <c r="D17" s="136">
        <v>60</v>
      </c>
      <c r="E17" s="136">
        <f t="shared" si="0"/>
        <v>3056</v>
      </c>
      <c r="F17" s="136" t="s">
        <v>17</v>
      </c>
      <c r="G17" s="136"/>
    </row>
    <row r="18" spans="1:7" x14ac:dyDescent="0.25">
      <c r="A18" s="152" t="s">
        <v>400</v>
      </c>
      <c r="B18" s="136" t="s">
        <v>405</v>
      </c>
      <c r="C18" s="136">
        <v>54</v>
      </c>
      <c r="D18" s="136"/>
      <c r="E18" s="136">
        <f t="shared" si="0"/>
        <v>3110</v>
      </c>
      <c r="F18" s="136"/>
      <c r="G18" s="136"/>
    </row>
    <row r="19" spans="1:7" x14ac:dyDescent="0.25">
      <c r="A19" s="258" t="s">
        <v>404</v>
      </c>
      <c r="B19" s="136" t="s">
        <v>182</v>
      </c>
      <c r="C19" s="136">
        <v>35</v>
      </c>
      <c r="D19" s="136"/>
      <c r="E19" s="136">
        <f t="shared" si="0"/>
        <v>3145</v>
      </c>
      <c r="F19" s="136"/>
      <c r="G19" s="136"/>
    </row>
    <row r="20" spans="1:7" x14ac:dyDescent="0.25">
      <c r="A20" s="138" t="s">
        <v>406</v>
      </c>
      <c r="B20" s="136" t="s">
        <v>383</v>
      </c>
      <c r="C20" s="136"/>
      <c r="D20" s="136">
        <v>25</v>
      </c>
      <c r="E20" s="136">
        <f t="shared" si="0"/>
        <v>3120</v>
      </c>
      <c r="F20" s="136" t="s">
        <v>17</v>
      </c>
      <c r="G20" s="136"/>
    </row>
    <row r="21" spans="1:7" ht="15.75" x14ac:dyDescent="0.25">
      <c r="A21" s="246" t="s">
        <v>416</v>
      </c>
      <c r="B21" s="161" t="s">
        <v>422</v>
      </c>
      <c r="C21" s="161">
        <v>48</v>
      </c>
      <c r="D21" s="136"/>
      <c r="E21" s="136">
        <f t="shared" si="0"/>
        <v>3168</v>
      </c>
      <c r="F21" s="136"/>
      <c r="G21" s="136"/>
    </row>
    <row r="22" spans="1:7" x14ac:dyDescent="0.25">
      <c r="A22" s="152" t="s">
        <v>430</v>
      </c>
      <c r="B22" s="136" t="s">
        <v>383</v>
      </c>
      <c r="C22" s="136"/>
      <c r="D22" s="136">
        <v>30</v>
      </c>
      <c r="E22" s="136">
        <f t="shared" si="0"/>
        <v>3138</v>
      </c>
      <c r="F22" s="136" t="s">
        <v>17</v>
      </c>
      <c r="G22" s="136"/>
    </row>
    <row r="23" spans="1:7" x14ac:dyDescent="0.25">
      <c r="A23" s="152" t="s">
        <v>456</v>
      </c>
      <c r="B23" s="136" t="s">
        <v>463</v>
      </c>
      <c r="C23" s="136">
        <v>50</v>
      </c>
      <c r="D23" s="136"/>
      <c r="E23" s="136">
        <f t="shared" si="0"/>
        <v>3188</v>
      </c>
      <c r="F23" s="136"/>
      <c r="G23" s="136"/>
    </row>
    <row r="24" spans="1:7" x14ac:dyDescent="0.25">
      <c r="A24" s="152" t="s">
        <v>468</v>
      </c>
      <c r="B24" s="136" t="s">
        <v>221</v>
      </c>
      <c r="C24" s="136"/>
      <c r="D24" s="136">
        <v>488</v>
      </c>
      <c r="E24" s="136">
        <f t="shared" si="0"/>
        <v>2700</v>
      </c>
      <c r="F24" s="136" t="s">
        <v>471</v>
      </c>
      <c r="G24" s="136"/>
    </row>
    <row r="25" spans="1:7" x14ac:dyDescent="0.25">
      <c r="A25" s="152" t="s">
        <v>468</v>
      </c>
      <c r="B25" s="136" t="s">
        <v>472</v>
      </c>
      <c r="C25" s="136">
        <v>46</v>
      </c>
      <c r="D25" s="136"/>
      <c r="E25" s="136">
        <f t="shared" si="0"/>
        <v>2746</v>
      </c>
      <c r="F25" s="136"/>
      <c r="G25" s="136"/>
    </row>
    <row r="26" spans="1:7" x14ac:dyDescent="0.25">
      <c r="A26" s="138" t="s">
        <v>479</v>
      </c>
      <c r="B26" s="136" t="s">
        <v>480</v>
      </c>
      <c r="C26" s="136"/>
      <c r="D26" s="136">
        <v>40</v>
      </c>
      <c r="E26" s="136">
        <f t="shared" si="0"/>
        <v>2706</v>
      </c>
      <c r="F26" s="136" t="s">
        <v>481</v>
      </c>
      <c r="G26" s="136"/>
    </row>
    <row r="27" spans="1:7" x14ac:dyDescent="0.25">
      <c r="A27" s="238" t="s">
        <v>475</v>
      </c>
      <c r="B27" s="136" t="s">
        <v>283</v>
      </c>
      <c r="C27" s="136">
        <v>59</v>
      </c>
      <c r="D27" s="136"/>
      <c r="E27" s="136">
        <f t="shared" si="0"/>
        <v>2765</v>
      </c>
      <c r="F27" s="136"/>
      <c r="G27" s="136"/>
    </row>
    <row r="28" spans="1:7" x14ac:dyDescent="0.25">
      <c r="A28" s="152" t="s">
        <v>483</v>
      </c>
      <c r="B28" s="136" t="s">
        <v>383</v>
      </c>
      <c r="C28" s="136">
        <v>30</v>
      </c>
      <c r="D28" s="136"/>
      <c r="E28" s="136">
        <f t="shared" si="0"/>
        <v>2795</v>
      </c>
      <c r="F28" s="136"/>
      <c r="G28" s="136"/>
    </row>
    <row r="29" spans="1:7" x14ac:dyDescent="0.25">
      <c r="A29" s="138" t="s">
        <v>485</v>
      </c>
      <c r="B29" s="136" t="s">
        <v>488</v>
      </c>
      <c r="C29" s="136">
        <v>50</v>
      </c>
      <c r="D29" s="136"/>
      <c r="E29" s="136">
        <f t="shared" si="0"/>
        <v>2845</v>
      </c>
      <c r="F29" s="136"/>
      <c r="G29" s="136"/>
    </row>
    <row r="30" spans="1:7" x14ac:dyDescent="0.25">
      <c r="A30" s="138" t="s">
        <v>485</v>
      </c>
      <c r="B30" s="136" t="s">
        <v>283</v>
      </c>
      <c r="C30" s="136">
        <v>8</v>
      </c>
      <c r="D30" s="136"/>
      <c r="E30" s="136">
        <f t="shared" si="0"/>
        <v>2853</v>
      </c>
      <c r="F30" s="136"/>
      <c r="G30" s="136"/>
    </row>
    <row r="31" spans="1:7" x14ac:dyDescent="0.25">
      <c r="A31" s="138" t="s">
        <v>496</v>
      </c>
      <c r="B31" s="136" t="s">
        <v>305</v>
      </c>
      <c r="C31" s="136">
        <v>39</v>
      </c>
      <c r="D31" s="136"/>
      <c r="E31" s="136">
        <f t="shared" si="0"/>
        <v>2892</v>
      </c>
      <c r="F31" s="136"/>
      <c r="G31" s="136"/>
    </row>
    <row r="32" spans="1:7" x14ac:dyDescent="0.25">
      <c r="A32" s="138" t="s">
        <v>502</v>
      </c>
      <c r="B32" s="136" t="s">
        <v>503</v>
      </c>
      <c r="C32" s="136">
        <v>8</v>
      </c>
      <c r="D32" s="136"/>
      <c r="E32" s="136">
        <f t="shared" si="0"/>
        <v>2900</v>
      </c>
      <c r="F32" s="136"/>
      <c r="G32" s="136"/>
    </row>
    <row r="33" spans="1:7" ht="15.75" x14ac:dyDescent="0.25">
      <c r="A33" s="246" t="s">
        <v>520</v>
      </c>
      <c r="B33" s="136" t="s">
        <v>283</v>
      </c>
      <c r="C33" s="161">
        <v>6</v>
      </c>
      <c r="D33" s="136"/>
      <c r="E33" s="136">
        <f t="shared" si="0"/>
        <v>2906</v>
      </c>
      <c r="F33" s="136"/>
      <c r="G33" s="136"/>
    </row>
    <row r="34" spans="1:7" ht="15.75" x14ac:dyDescent="0.25">
      <c r="A34" s="248" t="s">
        <v>542</v>
      </c>
      <c r="B34" s="161" t="s">
        <v>283</v>
      </c>
      <c r="C34" s="161">
        <v>67</v>
      </c>
      <c r="D34" s="136"/>
      <c r="E34" s="136">
        <f t="shared" si="0"/>
        <v>2973</v>
      </c>
      <c r="F34" s="136"/>
      <c r="G34" s="136"/>
    </row>
    <row r="35" spans="1:7" x14ac:dyDescent="0.25">
      <c r="A35" s="152" t="s">
        <v>559</v>
      </c>
      <c r="B35" s="136" t="s">
        <v>283</v>
      </c>
      <c r="C35" s="136">
        <v>17</v>
      </c>
      <c r="D35" s="136"/>
      <c r="E35" s="136">
        <f t="shared" si="0"/>
        <v>2990</v>
      </c>
      <c r="F35" s="136"/>
      <c r="G35" s="136"/>
    </row>
    <row r="36" spans="1:7" x14ac:dyDescent="0.25">
      <c r="A36" s="138" t="s">
        <v>569</v>
      </c>
      <c r="B36" s="136" t="s">
        <v>572</v>
      </c>
      <c r="C36" s="136"/>
      <c r="D36" s="136">
        <v>15</v>
      </c>
      <c r="E36" s="136">
        <f t="shared" si="0"/>
        <v>2975</v>
      </c>
      <c r="F36" s="136" t="s">
        <v>17</v>
      </c>
      <c r="G36" s="136"/>
    </row>
    <row r="37" spans="1:7" x14ac:dyDescent="0.25">
      <c r="A37" s="138" t="s">
        <v>569</v>
      </c>
      <c r="B37" s="136" t="s">
        <v>572</v>
      </c>
      <c r="C37" s="136"/>
      <c r="D37" s="136">
        <v>15</v>
      </c>
      <c r="E37" s="136">
        <f t="shared" si="0"/>
        <v>2960</v>
      </c>
      <c r="F37" s="136" t="s">
        <v>17</v>
      </c>
      <c r="G37" s="136"/>
    </row>
    <row r="38" spans="1:7" x14ac:dyDescent="0.25">
      <c r="A38" s="152" t="s">
        <v>581</v>
      </c>
      <c r="B38" s="136" t="s">
        <v>550</v>
      </c>
      <c r="C38" s="136"/>
      <c r="D38" s="136">
        <v>25</v>
      </c>
      <c r="E38" s="136">
        <f t="shared" si="0"/>
        <v>2935</v>
      </c>
      <c r="F38" s="136" t="s">
        <v>582</v>
      </c>
      <c r="G38" s="136"/>
    </row>
    <row r="39" spans="1:7" x14ac:dyDescent="0.25">
      <c r="A39" s="138" t="s">
        <v>581</v>
      </c>
      <c r="B39" s="136" t="s">
        <v>583</v>
      </c>
      <c r="C39" s="136"/>
      <c r="D39" s="136">
        <v>50</v>
      </c>
      <c r="E39" s="136">
        <f t="shared" si="0"/>
        <v>2885</v>
      </c>
      <c r="F39" s="136" t="s">
        <v>585</v>
      </c>
      <c r="G39" s="136"/>
    </row>
    <row r="40" spans="1:7" x14ac:dyDescent="0.25">
      <c r="A40" s="152" t="s">
        <v>591</v>
      </c>
      <c r="B40" s="136" t="s">
        <v>550</v>
      </c>
      <c r="C40" s="136"/>
      <c r="D40" s="136">
        <v>25</v>
      </c>
      <c r="E40" s="136">
        <f t="shared" si="0"/>
        <v>2860</v>
      </c>
      <c r="F40" s="136" t="s">
        <v>592</v>
      </c>
      <c r="G40" s="136"/>
    </row>
    <row r="41" spans="1:7" x14ac:dyDescent="0.25">
      <c r="A41" s="152" t="s">
        <v>591</v>
      </c>
      <c r="B41" s="152" t="s">
        <v>221</v>
      </c>
      <c r="C41" s="136">
        <v>20</v>
      </c>
      <c r="D41" s="136"/>
      <c r="E41" s="136">
        <f t="shared" si="0"/>
        <v>2880</v>
      </c>
      <c r="F41" s="136"/>
      <c r="G41" s="136"/>
    </row>
    <row r="42" spans="1:7" x14ac:dyDescent="0.25">
      <c r="A42" s="167">
        <v>8106</v>
      </c>
      <c r="B42" s="136" t="s">
        <v>383</v>
      </c>
      <c r="C42" s="136">
        <v>46</v>
      </c>
      <c r="D42" s="136"/>
      <c r="E42" s="136">
        <f t="shared" si="0"/>
        <v>2926</v>
      </c>
      <c r="F42" s="136"/>
      <c r="G42" s="136"/>
    </row>
    <row r="43" spans="1:7" x14ac:dyDescent="0.25">
      <c r="A43" s="152" t="s">
        <v>598</v>
      </c>
      <c r="B43" s="136" t="s">
        <v>221</v>
      </c>
      <c r="C43" s="136">
        <v>50</v>
      </c>
      <c r="D43" s="136"/>
      <c r="E43" s="136">
        <f t="shared" si="0"/>
        <v>2976</v>
      </c>
      <c r="F43" s="136"/>
      <c r="G43" s="136"/>
    </row>
    <row r="44" spans="1:7" x14ac:dyDescent="0.25">
      <c r="A44" s="121" t="s">
        <v>595</v>
      </c>
      <c r="B44" s="36" t="s">
        <v>601</v>
      </c>
      <c r="C44" s="36">
        <v>14</v>
      </c>
      <c r="D44" s="136"/>
      <c r="E44" s="136">
        <f t="shared" si="0"/>
        <v>2990</v>
      </c>
      <c r="F44" s="136"/>
      <c r="G44" s="136"/>
    </row>
    <row r="45" spans="1:7" x14ac:dyDescent="0.25">
      <c r="A45" s="152" t="s">
        <v>602</v>
      </c>
      <c r="B45" s="136" t="s">
        <v>382</v>
      </c>
      <c r="C45" s="136"/>
      <c r="D45" s="136">
        <v>24</v>
      </c>
      <c r="E45" s="136">
        <f t="shared" si="0"/>
        <v>2966</v>
      </c>
      <c r="F45" s="136" t="s">
        <v>603</v>
      </c>
      <c r="G45" s="136"/>
    </row>
    <row r="46" spans="1:7" ht="15.75" x14ac:dyDescent="0.25">
      <c r="A46" s="242">
        <v>8112</v>
      </c>
      <c r="B46" s="161" t="s">
        <v>283</v>
      </c>
      <c r="C46" s="161">
        <v>22</v>
      </c>
      <c r="D46" s="136"/>
      <c r="E46" s="136">
        <f t="shared" si="0"/>
        <v>2988</v>
      </c>
      <c r="F46" s="136"/>
      <c r="G46" s="136"/>
    </row>
    <row r="47" spans="1:7" x14ac:dyDescent="0.25">
      <c r="A47" s="152" t="s">
        <v>637</v>
      </c>
      <c r="B47" s="136" t="s">
        <v>638</v>
      </c>
      <c r="C47" s="136"/>
      <c r="D47" s="136">
        <v>20</v>
      </c>
      <c r="E47" s="136">
        <f t="shared" si="0"/>
        <v>2968</v>
      </c>
      <c r="F47" s="136" t="s">
        <v>640</v>
      </c>
      <c r="G47" s="136"/>
    </row>
    <row r="48" spans="1:7" x14ac:dyDescent="0.25">
      <c r="A48" s="238" t="s">
        <v>645</v>
      </c>
      <c r="B48" s="136" t="s">
        <v>646</v>
      </c>
      <c r="C48" s="136">
        <v>13</v>
      </c>
      <c r="D48" s="136"/>
      <c r="E48" s="136">
        <f t="shared" si="0"/>
        <v>2981</v>
      </c>
      <c r="F48" s="136"/>
      <c r="G48" s="136"/>
    </row>
    <row r="49" spans="1:7" x14ac:dyDescent="0.25">
      <c r="A49" s="238" t="s">
        <v>653</v>
      </c>
      <c r="B49" s="136" t="s">
        <v>638</v>
      </c>
      <c r="C49" s="136"/>
      <c r="D49" s="136">
        <v>140</v>
      </c>
      <c r="E49" s="136">
        <f t="shared" si="0"/>
        <v>2841</v>
      </c>
      <c r="F49" s="152" t="s">
        <v>654</v>
      </c>
      <c r="G49" s="136"/>
    </row>
    <row r="50" spans="1:7" x14ac:dyDescent="0.25">
      <c r="A50" s="138" t="s">
        <v>658</v>
      </c>
      <c r="B50" s="136" t="s">
        <v>659</v>
      </c>
      <c r="C50" s="136"/>
      <c r="D50" s="136">
        <v>150</v>
      </c>
      <c r="E50" s="136">
        <f t="shared" si="0"/>
        <v>2691</v>
      </c>
      <c r="F50" s="136" t="s">
        <v>660</v>
      </c>
      <c r="G50" s="136"/>
    </row>
    <row r="51" spans="1:7" ht="15.75" x14ac:dyDescent="0.25">
      <c r="A51" s="246" t="s">
        <v>668</v>
      </c>
      <c r="B51" s="161" t="s">
        <v>283</v>
      </c>
      <c r="C51" s="161">
        <v>15</v>
      </c>
      <c r="D51" s="136"/>
      <c r="E51" s="136">
        <f t="shared" si="0"/>
        <v>2706</v>
      </c>
      <c r="F51" s="136"/>
      <c r="G51" s="136"/>
    </row>
    <row r="52" spans="1:7" x14ac:dyDescent="0.25">
      <c r="A52" s="138" t="s">
        <v>683</v>
      </c>
      <c r="B52" s="136" t="s">
        <v>687</v>
      </c>
      <c r="C52" s="136">
        <v>39</v>
      </c>
      <c r="D52" s="136"/>
      <c r="E52" s="136">
        <f t="shared" si="0"/>
        <v>2745</v>
      </c>
      <c r="F52" s="136"/>
      <c r="G52" s="136"/>
    </row>
    <row r="53" spans="1:7" x14ac:dyDescent="0.25">
      <c r="A53" s="138" t="s">
        <v>695</v>
      </c>
      <c r="B53" s="136" t="s">
        <v>638</v>
      </c>
      <c r="C53" s="136"/>
      <c r="D53" s="136">
        <v>150</v>
      </c>
      <c r="E53" s="136">
        <f t="shared" si="0"/>
        <v>2595</v>
      </c>
      <c r="F53" s="136" t="s">
        <v>697</v>
      </c>
      <c r="G53" s="136"/>
    </row>
    <row r="54" spans="1:7" ht="15.75" x14ac:dyDescent="0.25">
      <c r="A54" s="248" t="s">
        <v>695</v>
      </c>
      <c r="B54" s="161" t="s">
        <v>283</v>
      </c>
      <c r="C54" s="161">
        <v>32</v>
      </c>
      <c r="D54" s="136"/>
      <c r="E54" s="136">
        <f t="shared" si="0"/>
        <v>2627</v>
      </c>
      <c r="F54" s="136"/>
      <c r="G54" s="136"/>
    </row>
    <row r="55" spans="1:7" x14ac:dyDescent="0.25">
      <c r="A55" s="121" t="s">
        <v>732</v>
      </c>
      <c r="B55" s="36" t="s">
        <v>529</v>
      </c>
      <c r="C55" s="36">
        <v>8</v>
      </c>
      <c r="D55" s="136"/>
      <c r="E55" s="136">
        <f t="shared" si="0"/>
        <v>2635</v>
      </c>
      <c r="F55" s="136"/>
      <c r="G55" s="136"/>
    </row>
    <row r="56" spans="1:7" x14ac:dyDescent="0.25">
      <c r="A56" s="138" t="s">
        <v>733</v>
      </c>
      <c r="B56" s="136" t="s">
        <v>221</v>
      </c>
      <c r="C56" s="136">
        <v>70</v>
      </c>
      <c r="D56" s="136"/>
      <c r="E56" s="136">
        <f t="shared" si="0"/>
        <v>2705</v>
      </c>
      <c r="F56" s="136"/>
      <c r="G56" s="136"/>
    </row>
    <row r="57" spans="1:7" x14ac:dyDescent="0.25">
      <c r="A57" s="138" t="s">
        <v>734</v>
      </c>
      <c r="B57" s="136" t="s">
        <v>572</v>
      </c>
      <c r="C57" s="136"/>
      <c r="D57" s="136">
        <v>30</v>
      </c>
      <c r="E57" s="136">
        <f t="shared" si="0"/>
        <v>2675</v>
      </c>
      <c r="F57" s="136" t="s">
        <v>17</v>
      </c>
      <c r="G57" s="136"/>
    </row>
    <row r="58" spans="1:7" x14ac:dyDescent="0.25">
      <c r="A58" s="152" t="s">
        <v>735</v>
      </c>
      <c r="B58" s="136" t="s">
        <v>221</v>
      </c>
      <c r="C58" s="136">
        <v>70</v>
      </c>
      <c r="D58" s="136"/>
      <c r="E58" s="136">
        <f t="shared" si="0"/>
        <v>2745</v>
      </c>
      <c r="F58" s="136"/>
      <c r="G58" s="136"/>
    </row>
    <row r="59" spans="1:7" x14ac:dyDescent="0.25">
      <c r="A59" s="152" t="s">
        <v>752</v>
      </c>
      <c r="B59" s="136" t="s">
        <v>221</v>
      </c>
      <c r="C59" s="136">
        <v>68</v>
      </c>
      <c r="D59" s="136"/>
      <c r="E59" s="136">
        <f t="shared" si="0"/>
        <v>2813</v>
      </c>
      <c r="F59" s="136"/>
      <c r="G59" s="136"/>
    </row>
    <row r="60" spans="1:7" x14ac:dyDescent="0.25">
      <c r="A60" s="152" t="s">
        <v>756</v>
      </c>
      <c r="B60" s="136" t="s">
        <v>221</v>
      </c>
      <c r="C60" s="136">
        <v>70</v>
      </c>
      <c r="D60" s="136"/>
      <c r="E60" s="136">
        <f t="shared" si="0"/>
        <v>2883</v>
      </c>
      <c r="F60" s="136"/>
      <c r="G60" s="136"/>
    </row>
    <row r="61" spans="1:7" x14ac:dyDescent="0.25">
      <c r="A61" s="152" t="s">
        <v>758</v>
      </c>
      <c r="B61" s="136" t="s">
        <v>221</v>
      </c>
      <c r="C61" s="136">
        <v>60</v>
      </c>
      <c r="D61" s="136"/>
      <c r="E61" s="136">
        <f t="shared" si="0"/>
        <v>2943</v>
      </c>
      <c r="F61" s="136"/>
      <c r="G61" s="136"/>
    </row>
    <row r="62" spans="1:7" x14ac:dyDescent="0.25">
      <c r="A62" s="152" t="s">
        <v>758</v>
      </c>
      <c r="B62" s="136" t="s">
        <v>221</v>
      </c>
      <c r="C62" s="136">
        <v>70</v>
      </c>
      <c r="D62" s="136"/>
      <c r="E62" s="136">
        <f t="shared" si="0"/>
        <v>3013</v>
      </c>
      <c r="F62" s="136"/>
      <c r="G62" s="136"/>
    </row>
    <row r="63" spans="1:7" x14ac:dyDescent="0.25">
      <c r="A63" s="152" t="s">
        <v>764</v>
      </c>
      <c r="B63" s="136" t="s">
        <v>638</v>
      </c>
      <c r="C63" s="136"/>
      <c r="D63" s="136">
        <v>150</v>
      </c>
      <c r="E63" s="136">
        <f t="shared" si="0"/>
        <v>2863</v>
      </c>
      <c r="F63" s="136" t="s">
        <v>770</v>
      </c>
      <c r="G63" s="136"/>
    </row>
    <row r="64" spans="1:7" x14ac:dyDescent="0.25">
      <c r="A64" s="152" t="s">
        <v>764</v>
      </c>
      <c r="B64" s="136" t="s">
        <v>414</v>
      </c>
      <c r="C64" s="136">
        <v>13</v>
      </c>
      <c r="D64" s="136"/>
      <c r="E64" s="136">
        <f t="shared" si="0"/>
        <v>2876</v>
      </c>
      <c r="F64" s="136"/>
      <c r="G64" s="136"/>
    </row>
    <row r="65" spans="1:7" x14ac:dyDescent="0.25">
      <c r="A65" s="138" t="s">
        <v>773</v>
      </c>
      <c r="B65" s="136" t="s">
        <v>283</v>
      </c>
      <c r="C65" s="136">
        <v>7</v>
      </c>
      <c r="D65" s="136"/>
      <c r="E65" s="136">
        <f t="shared" si="0"/>
        <v>2883</v>
      </c>
      <c r="F65" s="136"/>
      <c r="G65" s="136"/>
    </row>
    <row r="66" spans="1:7" x14ac:dyDescent="0.25">
      <c r="A66" s="152" t="s">
        <v>779</v>
      </c>
      <c r="B66" s="136" t="s">
        <v>763</v>
      </c>
      <c r="C66" s="136">
        <v>50</v>
      </c>
      <c r="D66" s="136"/>
      <c r="E66" s="136">
        <f t="shared" si="0"/>
        <v>2933</v>
      </c>
      <c r="F66" s="136"/>
      <c r="G66" s="136"/>
    </row>
    <row r="67" spans="1:7" x14ac:dyDescent="0.25">
      <c r="A67" s="152" t="s">
        <v>788</v>
      </c>
      <c r="B67" s="136" t="s">
        <v>275</v>
      </c>
      <c r="C67" s="136"/>
      <c r="D67" s="136">
        <v>40</v>
      </c>
      <c r="E67" s="136">
        <f t="shared" si="0"/>
        <v>2893</v>
      </c>
      <c r="F67" s="136" t="s">
        <v>789</v>
      </c>
      <c r="G67" s="136"/>
    </row>
    <row r="68" spans="1:7" x14ac:dyDescent="0.25">
      <c r="A68" s="138" t="s">
        <v>790</v>
      </c>
      <c r="B68" s="136" t="s">
        <v>783</v>
      </c>
      <c r="C68" s="136"/>
      <c r="D68" s="136">
        <v>20</v>
      </c>
      <c r="E68" s="136">
        <f t="shared" si="0"/>
        <v>2873</v>
      </c>
      <c r="F68" s="136" t="s">
        <v>791</v>
      </c>
      <c r="G68" s="136"/>
    </row>
    <row r="69" spans="1:7" x14ac:dyDescent="0.25">
      <c r="A69" s="152" t="s">
        <v>794</v>
      </c>
      <c r="B69" s="136" t="s">
        <v>221</v>
      </c>
      <c r="C69" s="136">
        <v>44</v>
      </c>
      <c r="D69" s="136"/>
      <c r="E69" s="136">
        <f t="shared" si="0"/>
        <v>2917</v>
      </c>
      <c r="F69" s="136"/>
      <c r="G69" s="136"/>
    </row>
    <row r="70" spans="1:7" x14ac:dyDescent="0.25">
      <c r="A70" s="152" t="s">
        <v>798</v>
      </c>
      <c r="B70" s="136" t="s">
        <v>273</v>
      </c>
      <c r="C70" s="136"/>
      <c r="D70" s="136">
        <v>15</v>
      </c>
      <c r="E70" s="136">
        <f t="shared" si="0"/>
        <v>2902</v>
      </c>
      <c r="F70" s="136" t="s">
        <v>799</v>
      </c>
      <c r="G70" s="136"/>
    </row>
    <row r="71" spans="1:7" x14ac:dyDescent="0.25">
      <c r="A71" s="138" t="s">
        <v>804</v>
      </c>
      <c r="B71" s="136" t="s">
        <v>783</v>
      </c>
      <c r="C71" s="136"/>
      <c r="D71" s="136">
        <v>165</v>
      </c>
      <c r="E71" s="136">
        <f t="shared" si="0"/>
        <v>2737</v>
      </c>
      <c r="F71" s="136" t="s">
        <v>810</v>
      </c>
      <c r="G71" s="136"/>
    </row>
    <row r="72" spans="1:7" x14ac:dyDescent="0.25">
      <c r="A72" s="152" t="s">
        <v>820</v>
      </c>
      <c r="B72" s="136" t="s">
        <v>816</v>
      </c>
      <c r="C72" s="136"/>
      <c r="D72" s="136">
        <v>125</v>
      </c>
      <c r="E72" s="136">
        <f t="shared" si="0"/>
        <v>2612</v>
      </c>
      <c r="F72" s="136" t="s">
        <v>825</v>
      </c>
      <c r="G72" s="136"/>
    </row>
    <row r="73" spans="1:7" x14ac:dyDescent="0.25">
      <c r="A73" s="138" t="s">
        <v>827</v>
      </c>
      <c r="B73" s="136" t="s">
        <v>382</v>
      </c>
      <c r="C73" s="136">
        <v>20</v>
      </c>
      <c r="D73" s="136"/>
      <c r="E73" s="136">
        <f t="shared" si="0"/>
        <v>2632</v>
      </c>
      <c r="F73" s="136"/>
      <c r="G73" s="136"/>
    </row>
    <row r="74" spans="1:7" x14ac:dyDescent="0.25">
      <c r="A74" s="138" t="s">
        <v>839</v>
      </c>
      <c r="B74" s="136" t="s">
        <v>844</v>
      </c>
      <c r="C74" s="136">
        <v>4</v>
      </c>
      <c r="D74" s="136"/>
      <c r="E74" s="136">
        <f t="shared" si="0"/>
        <v>2636</v>
      </c>
      <c r="F74" s="136"/>
      <c r="G74" s="136"/>
    </row>
    <row r="75" spans="1:7" x14ac:dyDescent="0.25">
      <c r="A75" s="138" t="s">
        <v>869</v>
      </c>
      <c r="B75" s="136" t="s">
        <v>221</v>
      </c>
      <c r="C75" s="136">
        <v>14</v>
      </c>
      <c r="D75" s="136"/>
      <c r="E75" s="136">
        <f t="shared" si="0"/>
        <v>2650</v>
      </c>
      <c r="F75" s="136"/>
      <c r="G75" s="136"/>
    </row>
    <row r="76" spans="1:7" x14ac:dyDescent="0.25">
      <c r="A76" s="138" t="s">
        <v>873</v>
      </c>
      <c r="B76" s="136" t="s">
        <v>874</v>
      </c>
      <c r="C76" s="136"/>
      <c r="D76" s="136">
        <v>60</v>
      </c>
      <c r="E76" s="136">
        <f t="shared" si="0"/>
        <v>2590</v>
      </c>
      <c r="F76" s="136" t="s">
        <v>875</v>
      </c>
      <c r="G76" s="136"/>
    </row>
    <row r="77" spans="1:7" x14ac:dyDescent="0.25">
      <c r="A77" s="138" t="s">
        <v>873</v>
      </c>
      <c r="B77" s="136" t="s">
        <v>783</v>
      </c>
      <c r="C77" s="136"/>
      <c r="D77" s="136">
        <v>50</v>
      </c>
      <c r="E77" s="136">
        <f t="shared" ref="E77:E83" si="1">E76+C77-D77</f>
        <v>2540</v>
      </c>
      <c r="F77" s="136" t="s">
        <v>876</v>
      </c>
      <c r="G77" s="136"/>
    </row>
    <row r="78" spans="1:7" x14ac:dyDescent="0.25">
      <c r="A78" s="138" t="s">
        <v>877</v>
      </c>
      <c r="B78" s="136" t="s">
        <v>816</v>
      </c>
      <c r="C78" s="136"/>
      <c r="D78" s="136">
        <v>50</v>
      </c>
      <c r="E78" s="136">
        <f t="shared" si="1"/>
        <v>2490</v>
      </c>
      <c r="F78" s="136" t="s">
        <v>878</v>
      </c>
      <c r="G78" s="136"/>
    </row>
    <row r="79" spans="1:7" x14ac:dyDescent="0.25">
      <c r="A79" s="138" t="s">
        <v>893</v>
      </c>
      <c r="B79" s="136" t="s">
        <v>783</v>
      </c>
      <c r="C79" s="136"/>
      <c r="D79" s="136">
        <v>40</v>
      </c>
      <c r="E79" s="136">
        <f t="shared" si="1"/>
        <v>2450</v>
      </c>
      <c r="F79" s="136" t="s">
        <v>894</v>
      </c>
      <c r="G79" s="136"/>
    </row>
    <row r="80" spans="1:7" x14ac:dyDescent="0.25">
      <c r="A80" s="152" t="s">
        <v>902</v>
      </c>
      <c r="B80" s="136" t="s">
        <v>783</v>
      </c>
      <c r="C80" s="136"/>
      <c r="D80" s="136">
        <v>20</v>
      </c>
      <c r="E80" s="136">
        <f t="shared" si="1"/>
        <v>2430</v>
      </c>
      <c r="F80" s="136" t="s">
        <v>906</v>
      </c>
      <c r="G80" s="136"/>
    </row>
    <row r="81" spans="1:7" x14ac:dyDescent="0.25">
      <c r="A81" s="152" t="s">
        <v>902</v>
      </c>
      <c r="B81" s="136" t="s">
        <v>907</v>
      </c>
      <c r="C81" s="136"/>
      <c r="D81" s="136">
        <v>6</v>
      </c>
      <c r="E81" s="136">
        <f t="shared" si="1"/>
        <v>2424</v>
      </c>
      <c r="F81" s="136"/>
      <c r="G81" s="136"/>
    </row>
    <row r="82" spans="1:7" x14ac:dyDescent="0.25">
      <c r="A82" s="152" t="s">
        <v>902</v>
      </c>
      <c r="B82" s="136" t="s">
        <v>907</v>
      </c>
      <c r="C82" s="136"/>
      <c r="D82" s="136">
        <v>6</v>
      </c>
      <c r="E82" s="136">
        <f t="shared" si="1"/>
        <v>2418</v>
      </c>
      <c r="F82" s="136"/>
      <c r="G82" s="136"/>
    </row>
    <row r="83" spans="1:7" ht="15.75" x14ac:dyDescent="0.25">
      <c r="A83" s="246" t="s">
        <v>914</v>
      </c>
      <c r="B83" s="161" t="s">
        <v>915</v>
      </c>
      <c r="C83" s="161"/>
      <c r="D83" s="161">
        <v>40</v>
      </c>
      <c r="E83" s="136">
        <f t="shared" si="1"/>
        <v>2378</v>
      </c>
      <c r="F83" s="161" t="s">
        <v>918</v>
      </c>
      <c r="G83" s="136"/>
    </row>
    <row r="84" spans="1:7" x14ac:dyDescent="0.25">
      <c r="A84" s="144"/>
      <c r="B84" s="136"/>
      <c r="C84" s="136"/>
      <c r="D84" s="136"/>
      <c r="E84" s="136"/>
      <c r="F84" s="136"/>
      <c r="G84" s="136"/>
    </row>
    <row r="85" spans="1:7" x14ac:dyDescent="0.25">
      <c r="A85" s="144"/>
      <c r="B85" s="136"/>
      <c r="C85" s="136"/>
      <c r="D85" s="136"/>
      <c r="E85" s="136"/>
      <c r="F85" s="136"/>
      <c r="G85" s="136"/>
    </row>
    <row r="86" spans="1:7" x14ac:dyDescent="0.25">
      <c r="A86" s="144"/>
      <c r="B86" s="136"/>
      <c r="C86" s="136"/>
      <c r="D86" s="136"/>
      <c r="E86" s="136"/>
      <c r="F86" s="136"/>
      <c r="G86" s="136"/>
    </row>
    <row r="87" spans="1:7" x14ac:dyDescent="0.25">
      <c r="A87" s="144"/>
      <c r="B87" s="136"/>
      <c r="C87" s="136"/>
      <c r="D87" s="136"/>
      <c r="E87" s="136"/>
      <c r="F87" s="136"/>
      <c r="G87" s="136"/>
    </row>
    <row r="88" spans="1:7" x14ac:dyDescent="0.25">
      <c r="A88" s="144"/>
      <c r="B88" s="136"/>
      <c r="C88" s="136"/>
      <c r="D88" s="136"/>
      <c r="E88" s="136"/>
      <c r="F88" s="136"/>
      <c r="G88" s="136"/>
    </row>
    <row r="89" spans="1:7" x14ac:dyDescent="0.25">
      <c r="A89" s="144"/>
      <c r="B89" s="136"/>
      <c r="C89" s="136"/>
      <c r="D89" s="136"/>
      <c r="E89" s="136"/>
      <c r="F89" s="136"/>
      <c r="G89" s="136"/>
    </row>
    <row r="90" spans="1:7" x14ac:dyDescent="0.25">
      <c r="A90" s="144"/>
      <c r="B90" s="136"/>
      <c r="C90" s="136"/>
      <c r="D90" s="136"/>
      <c r="E90" s="136"/>
      <c r="F90" s="136"/>
      <c r="G90" s="136"/>
    </row>
  </sheetData>
  <pageMargins left="0.7" right="0.7" top="0.75" bottom="0.75" header="0.3" footer="0.3"/>
  <pageSetup paperSize="9"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zoomScale="120" zoomScaleNormal="120" workbookViewId="0">
      <selection activeCell="E7" sqref="E7:E8"/>
    </sheetView>
  </sheetViews>
  <sheetFormatPr defaultRowHeight="15" x14ac:dyDescent="0.25"/>
  <cols>
    <col min="1" max="1" width="11.85546875" style="284" customWidth="1"/>
    <col min="2" max="2" width="27.85546875" style="284" customWidth="1"/>
    <col min="3" max="5" width="9.140625" style="284"/>
    <col min="6" max="6" width="14.140625" style="284" customWidth="1"/>
    <col min="7" max="7" width="21.5703125" style="284" customWidth="1"/>
    <col min="8" max="8" width="9.140625" style="129"/>
  </cols>
  <sheetData>
    <row r="2" spans="1:7" x14ac:dyDescent="0.25">
      <c r="A2" s="288" t="s">
        <v>27</v>
      </c>
      <c r="B2" s="289"/>
      <c r="C2" s="290"/>
      <c r="D2" s="290"/>
      <c r="E2" s="290"/>
    </row>
    <row r="3" spans="1:7" x14ac:dyDescent="0.25">
      <c r="A3" s="291"/>
      <c r="B3" s="292"/>
      <c r="C3" s="290"/>
      <c r="D3" s="290"/>
      <c r="E3" s="290"/>
    </row>
    <row r="4" spans="1:7" x14ac:dyDescent="0.25">
      <c r="A4" s="293" t="s">
        <v>2</v>
      </c>
      <c r="B4" s="285" t="s">
        <v>3</v>
      </c>
      <c r="C4" s="285" t="s">
        <v>4</v>
      </c>
      <c r="D4" s="285" t="s">
        <v>5</v>
      </c>
      <c r="E4" s="285" t="s">
        <v>6</v>
      </c>
      <c r="F4" s="286" t="s">
        <v>7</v>
      </c>
      <c r="G4" s="205" t="s">
        <v>8</v>
      </c>
    </row>
    <row r="5" spans="1:7" x14ac:dyDescent="0.25">
      <c r="A5" s="205"/>
      <c r="B5" s="205" t="s">
        <v>318</v>
      </c>
      <c r="C5" s="205"/>
      <c r="D5" s="205"/>
      <c r="E5" s="205"/>
      <c r="F5" s="205">
        <v>2049</v>
      </c>
      <c r="G5" s="205"/>
    </row>
    <row r="6" spans="1:7" x14ac:dyDescent="0.25">
      <c r="A6" s="287"/>
      <c r="B6" s="287"/>
      <c r="C6" s="287"/>
      <c r="D6" s="287"/>
      <c r="E6" s="287">
        <v>2049</v>
      </c>
      <c r="F6" s="287"/>
      <c r="G6" s="287"/>
    </row>
    <row r="7" spans="1:7" ht="15.75" x14ac:dyDescent="0.25">
      <c r="A7" s="246" t="s">
        <v>416</v>
      </c>
      <c r="B7" s="161" t="s">
        <v>422</v>
      </c>
      <c r="C7" s="161">
        <v>14</v>
      </c>
      <c r="D7" s="205"/>
      <c r="E7" s="205">
        <f>E6+C7-D7</f>
        <v>2063</v>
      </c>
      <c r="F7" s="205"/>
      <c r="G7" s="205"/>
    </row>
    <row r="8" spans="1:7" x14ac:dyDescent="0.25">
      <c r="A8" s="152" t="s">
        <v>573</v>
      </c>
      <c r="B8" s="136" t="s">
        <v>575</v>
      </c>
      <c r="C8" s="136">
        <v>9</v>
      </c>
      <c r="D8" s="205"/>
      <c r="E8" s="205">
        <f>E7+C8-D8</f>
        <v>2072</v>
      </c>
      <c r="F8" s="205"/>
      <c r="G8" s="205"/>
    </row>
    <row r="9" spans="1:7" x14ac:dyDescent="0.25">
      <c r="A9" s="205"/>
      <c r="B9" s="205"/>
      <c r="C9" s="205"/>
      <c r="D9" s="205"/>
      <c r="E9" s="205"/>
      <c r="F9" s="205"/>
      <c r="G9" s="205"/>
    </row>
  </sheetData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zoomScale="120" zoomScaleNormal="120" workbookViewId="0">
      <selection activeCell="B10" sqref="B10"/>
    </sheetView>
  </sheetViews>
  <sheetFormatPr defaultRowHeight="15" x14ac:dyDescent="0.25"/>
  <cols>
    <col min="1" max="1" width="10.7109375" style="29" customWidth="1"/>
    <col min="2" max="2" width="35.5703125" style="29" customWidth="1"/>
    <col min="3" max="5" width="9.140625" style="29"/>
    <col min="6" max="6" width="18.7109375" style="29" customWidth="1"/>
    <col min="7" max="7" width="23.85546875" customWidth="1"/>
  </cols>
  <sheetData>
    <row r="2" spans="1:7" ht="15.75" x14ac:dyDescent="0.25">
      <c r="A2" s="42" t="s">
        <v>26</v>
      </c>
      <c r="B2" s="33"/>
      <c r="C2" s="43"/>
      <c r="D2" s="43"/>
      <c r="E2" s="43"/>
      <c r="G2" s="5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15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4722</v>
      </c>
      <c r="G5" s="1"/>
    </row>
    <row r="6" spans="1:7" x14ac:dyDescent="0.25">
      <c r="A6" s="164"/>
      <c r="B6" s="164"/>
      <c r="C6" s="164"/>
      <c r="D6" s="164"/>
      <c r="E6" s="164">
        <v>4722</v>
      </c>
      <c r="F6" s="164"/>
      <c r="G6" s="168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zoomScaleNormal="100" workbookViewId="0">
      <selection activeCell="E7" sqref="E7:E8"/>
    </sheetView>
  </sheetViews>
  <sheetFormatPr defaultRowHeight="15" x14ac:dyDescent="0.25"/>
  <cols>
    <col min="1" max="1" width="13.42578125" style="147" customWidth="1"/>
    <col min="2" max="2" width="30.28515625" style="129" customWidth="1"/>
    <col min="3" max="5" width="9.140625" style="129"/>
    <col min="6" max="6" width="15.42578125" style="129" customWidth="1"/>
    <col min="7" max="7" width="21" style="129" customWidth="1"/>
  </cols>
  <sheetData>
    <row r="2" spans="1:7" x14ac:dyDescent="0.25">
      <c r="A2" s="140" t="s">
        <v>30</v>
      </c>
      <c r="B2" s="141"/>
      <c r="C2" s="128"/>
      <c r="D2" s="128"/>
      <c r="E2" s="128"/>
    </row>
    <row r="3" spans="1:7" x14ac:dyDescent="0.25">
      <c r="A3" s="131"/>
      <c r="B3" s="132"/>
      <c r="C3" s="128"/>
      <c r="D3" s="128"/>
      <c r="E3" s="128"/>
    </row>
    <row r="4" spans="1:7" x14ac:dyDescent="0.25">
      <c r="A4" s="133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44"/>
      <c r="B5" s="136" t="s">
        <v>318</v>
      </c>
      <c r="C5" s="136"/>
      <c r="D5" s="136"/>
      <c r="E5" s="136"/>
      <c r="F5" s="136">
        <v>2648</v>
      </c>
      <c r="G5" s="136"/>
    </row>
    <row r="6" spans="1:7" x14ac:dyDescent="0.25">
      <c r="A6" s="171"/>
      <c r="B6" s="172"/>
      <c r="C6" s="172"/>
      <c r="D6" s="172"/>
      <c r="E6" s="172">
        <v>2648</v>
      </c>
      <c r="F6" s="172"/>
      <c r="G6" s="172"/>
    </row>
    <row r="7" spans="1:7" x14ac:dyDescent="0.25">
      <c r="A7" s="264" t="s">
        <v>404</v>
      </c>
      <c r="B7" s="163" t="s">
        <v>182</v>
      </c>
      <c r="C7" s="163">
        <v>41</v>
      </c>
      <c r="D7" s="136"/>
      <c r="E7" s="136">
        <f>E6+C7-D7</f>
        <v>2689</v>
      </c>
      <c r="F7" s="136"/>
      <c r="G7" s="136"/>
    </row>
    <row r="8" spans="1:7" x14ac:dyDescent="0.25">
      <c r="A8" s="152" t="s">
        <v>517</v>
      </c>
      <c r="B8" s="136" t="s">
        <v>518</v>
      </c>
      <c r="C8" s="136">
        <v>10</v>
      </c>
      <c r="D8" s="136"/>
      <c r="E8" s="136">
        <f>E7+C8-D8</f>
        <v>2699</v>
      </c>
      <c r="F8" s="136"/>
      <c r="G8" s="136"/>
    </row>
    <row r="9" spans="1:7" x14ac:dyDescent="0.25">
      <c r="A9" s="144"/>
      <c r="B9" s="136"/>
      <c r="C9" s="136"/>
      <c r="D9" s="136"/>
      <c r="E9" s="136"/>
      <c r="F9" s="136"/>
      <c r="G9" s="136"/>
    </row>
    <row r="10" spans="1:7" x14ac:dyDescent="0.25">
      <c r="A10" s="144"/>
      <c r="B10" s="136"/>
      <c r="C10" s="136"/>
      <c r="D10" s="136"/>
      <c r="E10" s="136"/>
      <c r="F10" s="136"/>
      <c r="G10" s="136"/>
    </row>
    <row r="11" spans="1:7" x14ac:dyDescent="0.25">
      <c r="A11" s="144"/>
      <c r="B11" s="136"/>
      <c r="C11" s="136"/>
      <c r="D11" s="136"/>
      <c r="E11" s="136"/>
      <c r="F11" s="136"/>
      <c r="G11" s="136"/>
    </row>
    <row r="12" spans="1:7" x14ac:dyDescent="0.25">
      <c r="A12" s="144"/>
      <c r="B12" s="136"/>
      <c r="C12" s="136"/>
      <c r="D12" s="136"/>
      <c r="E12" s="136"/>
      <c r="F12" s="136"/>
      <c r="G12" s="136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zoomScaleNormal="100" workbookViewId="0">
      <selection activeCell="F14" sqref="F14"/>
    </sheetView>
  </sheetViews>
  <sheetFormatPr defaultRowHeight="15" x14ac:dyDescent="0.25"/>
  <cols>
    <col min="1" max="1" width="11.42578125" customWidth="1"/>
    <col min="2" max="2" width="29.5703125" customWidth="1"/>
    <col min="6" max="6" width="20.140625" customWidth="1"/>
    <col min="7" max="7" width="21.85546875" customWidth="1"/>
  </cols>
  <sheetData>
    <row r="2" spans="1:7" ht="15.75" x14ac:dyDescent="0.25">
      <c r="A2" s="7" t="s">
        <v>31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36"/>
      <c r="B5" s="136" t="s">
        <v>318</v>
      </c>
      <c r="C5" s="136"/>
      <c r="D5" s="136"/>
      <c r="E5" s="136"/>
      <c r="F5" s="136">
        <v>2896</v>
      </c>
      <c r="G5" s="136"/>
    </row>
    <row r="6" spans="1:7" x14ac:dyDescent="0.25">
      <c r="A6" s="172"/>
      <c r="B6" s="172"/>
      <c r="C6" s="172"/>
      <c r="D6" s="172"/>
      <c r="E6" s="172">
        <v>2896</v>
      </c>
      <c r="F6" s="172"/>
      <c r="G6" s="172"/>
    </row>
    <row r="7" spans="1:7" x14ac:dyDescent="0.25">
      <c r="A7" s="136"/>
      <c r="B7" s="136"/>
      <c r="C7" s="136"/>
      <c r="D7" s="136"/>
      <c r="E7" s="136"/>
      <c r="F7" s="136"/>
      <c r="G7" s="136"/>
    </row>
    <row r="8" spans="1:7" x14ac:dyDescent="0.25">
      <c r="A8" s="136"/>
      <c r="B8" s="136"/>
      <c r="C8" s="136"/>
      <c r="D8" s="136"/>
      <c r="E8" s="136"/>
      <c r="F8" s="136"/>
      <c r="G8" s="136"/>
    </row>
    <row r="9" spans="1:7" x14ac:dyDescent="0.25">
      <c r="A9" s="136"/>
      <c r="B9" s="136"/>
      <c r="C9" s="136"/>
      <c r="D9" s="136"/>
      <c r="E9" s="136"/>
      <c r="F9" s="136"/>
      <c r="G9" s="136"/>
    </row>
    <row r="10" spans="1:7" x14ac:dyDescent="0.25">
      <c r="A10" s="136"/>
      <c r="B10" s="136"/>
      <c r="C10" s="136"/>
      <c r="D10" s="136"/>
      <c r="E10" s="136"/>
      <c r="F10" s="136"/>
      <c r="G10" s="136"/>
    </row>
    <row r="11" spans="1:7" x14ac:dyDescent="0.25">
      <c r="A11" s="136"/>
      <c r="B11" s="136"/>
      <c r="C11" s="136"/>
      <c r="D11" s="136"/>
      <c r="E11" s="136"/>
      <c r="F11" s="136"/>
      <c r="G11" s="136"/>
    </row>
    <row r="12" spans="1:7" x14ac:dyDescent="0.25">
      <c r="A12" s="136"/>
      <c r="B12" s="136"/>
      <c r="C12" s="136"/>
      <c r="D12" s="136"/>
      <c r="E12" s="136"/>
      <c r="F12" s="136"/>
      <c r="G12" s="136"/>
    </row>
    <row r="13" spans="1:7" x14ac:dyDescent="0.25">
      <c r="A13" s="136"/>
      <c r="B13" s="136"/>
      <c r="C13" s="136"/>
      <c r="D13" s="136"/>
      <c r="E13" s="136"/>
      <c r="F13" s="136"/>
      <c r="G13" s="136"/>
    </row>
    <row r="14" spans="1:7" x14ac:dyDescent="0.25">
      <c r="A14" s="136"/>
      <c r="B14" s="136"/>
      <c r="C14" s="136"/>
      <c r="D14" s="136"/>
      <c r="E14" s="136"/>
      <c r="F14" s="136"/>
      <c r="G14" s="136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zoomScale="110" zoomScaleNormal="110" workbookViewId="0">
      <selection activeCell="F12" sqref="F12"/>
    </sheetView>
  </sheetViews>
  <sheetFormatPr defaultRowHeight="15" x14ac:dyDescent="0.25"/>
  <cols>
    <col min="1" max="1" width="12.140625" style="106" customWidth="1"/>
    <col min="2" max="2" width="28" customWidth="1"/>
    <col min="3" max="3" width="8" customWidth="1"/>
    <col min="6" max="6" width="18.5703125" customWidth="1"/>
    <col min="7" max="7" width="21.85546875" customWidth="1"/>
  </cols>
  <sheetData>
    <row r="2" spans="1:7" ht="15.75" x14ac:dyDescent="0.25">
      <c r="A2" s="7" t="s">
        <v>32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39"/>
      <c r="B5" s="36" t="s">
        <v>318</v>
      </c>
      <c r="C5" s="36"/>
      <c r="D5" s="36"/>
      <c r="E5" s="36"/>
      <c r="F5" s="36">
        <v>2687</v>
      </c>
      <c r="G5" s="1"/>
    </row>
    <row r="6" spans="1:7" x14ac:dyDescent="0.25">
      <c r="A6" s="173"/>
      <c r="B6" s="164"/>
      <c r="C6" s="164"/>
      <c r="D6" s="164"/>
      <c r="E6" s="164">
        <v>2687</v>
      </c>
      <c r="F6" s="164"/>
      <c r="G6" s="168"/>
    </row>
    <row r="7" spans="1:7" x14ac:dyDescent="0.25">
      <c r="A7" s="39"/>
      <c r="B7" s="36"/>
      <c r="C7" s="36"/>
      <c r="D7" s="36"/>
      <c r="E7" s="36"/>
      <c r="F7" s="36"/>
      <c r="G7" s="1"/>
    </row>
    <row r="8" spans="1:7" x14ac:dyDescent="0.25">
      <c r="A8" s="39"/>
      <c r="B8" s="36"/>
      <c r="C8" s="36"/>
      <c r="D8" s="36"/>
      <c r="E8" s="36"/>
      <c r="F8" s="36"/>
      <c r="G8" s="1"/>
    </row>
    <row r="9" spans="1:7" x14ac:dyDescent="0.25">
      <c r="A9" s="39"/>
      <c r="B9" s="36"/>
      <c r="C9" s="36"/>
      <c r="D9" s="36"/>
      <c r="E9" s="36"/>
      <c r="F9" s="36"/>
      <c r="G9" s="1"/>
    </row>
    <row r="10" spans="1:7" x14ac:dyDescent="0.25">
      <c r="A10" s="39"/>
      <c r="B10" s="36"/>
      <c r="C10" s="36"/>
      <c r="D10" s="36"/>
      <c r="E10" s="36"/>
      <c r="F10" s="36"/>
      <c r="G10" s="1"/>
    </row>
    <row r="11" spans="1:7" x14ac:dyDescent="0.25">
      <c r="A11" s="39"/>
      <c r="B11" s="36"/>
      <c r="C11" s="36"/>
      <c r="D11" s="36"/>
      <c r="E11" s="36"/>
      <c r="F11" s="36"/>
      <c r="G11" s="1"/>
    </row>
    <row r="12" spans="1:7" x14ac:dyDescent="0.25">
      <c r="A12" s="39"/>
      <c r="B12" s="36"/>
      <c r="C12" s="36"/>
      <c r="D12" s="36"/>
      <c r="E12" s="36"/>
      <c r="F12" s="36"/>
      <c r="G12" s="1"/>
    </row>
    <row r="13" spans="1:7" x14ac:dyDescent="0.25">
      <c r="A13" s="39"/>
      <c r="B13" s="36"/>
      <c r="C13" s="36"/>
      <c r="D13" s="36"/>
      <c r="E13" s="36"/>
      <c r="F13" s="36"/>
      <c r="G13" s="1"/>
    </row>
    <row r="14" spans="1:7" x14ac:dyDescent="0.25">
      <c r="A14" s="39"/>
      <c r="B14" s="36"/>
      <c r="C14" s="36"/>
      <c r="D14" s="36"/>
      <c r="E14" s="36"/>
      <c r="F14" s="36"/>
      <c r="G14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zoomScaleNormal="100" workbookViewId="0">
      <selection activeCell="E7" sqref="E7:E9"/>
    </sheetView>
  </sheetViews>
  <sheetFormatPr defaultRowHeight="15" x14ac:dyDescent="0.25"/>
  <cols>
    <col min="1" max="1" width="13.42578125" style="29" customWidth="1"/>
    <col min="2" max="2" width="28.42578125" style="29" customWidth="1"/>
    <col min="3" max="5" width="9.140625" style="29"/>
    <col min="6" max="6" width="15" style="29" customWidth="1"/>
    <col min="7" max="7" width="22.140625" customWidth="1"/>
  </cols>
  <sheetData>
    <row r="2" spans="1:7" ht="15.75" x14ac:dyDescent="0.25">
      <c r="A2" s="42" t="s">
        <v>33</v>
      </c>
      <c r="B2" s="33"/>
      <c r="C2" s="43"/>
      <c r="D2" s="43"/>
      <c r="E2" s="43"/>
      <c r="G2" s="5"/>
    </row>
    <row r="3" spans="1:7" x14ac:dyDescent="0.25">
      <c r="A3" s="44"/>
      <c r="B3" s="45"/>
      <c r="C3" s="43"/>
      <c r="D3" s="43"/>
      <c r="E3" s="43"/>
    </row>
    <row r="4" spans="1:7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15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5170</v>
      </c>
      <c r="G5" s="1"/>
    </row>
    <row r="6" spans="1:7" x14ac:dyDescent="0.25">
      <c r="A6" s="164"/>
      <c r="B6" s="164"/>
      <c r="C6" s="164"/>
      <c r="D6" s="164"/>
      <c r="E6" s="164">
        <v>5170</v>
      </c>
      <c r="F6" s="164"/>
      <c r="G6" s="168"/>
    </row>
    <row r="7" spans="1:7" ht="15.75" x14ac:dyDescent="0.25">
      <c r="A7" s="246" t="s">
        <v>416</v>
      </c>
      <c r="B7" s="161" t="s">
        <v>422</v>
      </c>
      <c r="C7" s="161">
        <v>20</v>
      </c>
      <c r="D7" s="36"/>
      <c r="E7" s="36">
        <f>E6+C7-D7</f>
        <v>5190</v>
      </c>
      <c r="F7" s="36"/>
      <c r="G7" s="1"/>
    </row>
    <row r="8" spans="1:7" x14ac:dyDescent="0.25">
      <c r="A8" s="272" t="s">
        <v>517</v>
      </c>
      <c r="B8" s="205" t="s">
        <v>518</v>
      </c>
      <c r="C8" s="205">
        <v>19</v>
      </c>
      <c r="D8" s="36"/>
      <c r="E8" s="36">
        <f t="shared" ref="E8:E9" si="0">E7+C8-D8</f>
        <v>5209</v>
      </c>
      <c r="F8" s="36"/>
      <c r="G8" s="1"/>
    </row>
    <row r="9" spans="1:7" x14ac:dyDescent="0.25">
      <c r="A9" s="152" t="s">
        <v>573</v>
      </c>
      <c r="B9" s="136" t="s">
        <v>575</v>
      </c>
      <c r="C9" s="136">
        <v>5</v>
      </c>
      <c r="D9" s="36"/>
      <c r="E9" s="36">
        <f t="shared" si="0"/>
        <v>5214</v>
      </c>
      <c r="F9" s="36"/>
      <c r="G9" s="1"/>
    </row>
    <row r="10" spans="1:7" x14ac:dyDescent="0.25">
      <c r="A10" s="36"/>
      <c r="B10" s="36"/>
      <c r="C10" s="36"/>
      <c r="D10" s="36"/>
      <c r="E10" s="36"/>
      <c r="F10" s="36"/>
      <c r="G10" s="1"/>
    </row>
    <row r="11" spans="1:7" x14ac:dyDescent="0.25">
      <c r="A11" s="36"/>
      <c r="B11" s="36"/>
      <c r="C11" s="36"/>
      <c r="D11" s="36"/>
      <c r="E11" s="36"/>
      <c r="F11" s="36"/>
      <c r="G11" s="1"/>
    </row>
    <row r="12" spans="1:7" x14ac:dyDescent="0.25">
      <c r="A12" s="36"/>
      <c r="B12" s="36"/>
      <c r="C12" s="36"/>
      <c r="D12" s="36"/>
      <c r="E12" s="36"/>
      <c r="F12" s="36"/>
      <c r="G12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B6" sqref="B6"/>
    </sheetView>
  </sheetViews>
  <sheetFormatPr defaultRowHeight="15" x14ac:dyDescent="0.25"/>
  <cols>
    <col min="2" max="2" width="28.28515625" customWidth="1"/>
    <col min="6" max="6" width="18.5703125" customWidth="1"/>
    <col min="7" max="7" width="28.7109375" customWidth="1"/>
  </cols>
  <sheetData>
    <row r="2" spans="1:7" ht="15.75" x14ac:dyDescent="0.25">
      <c r="A2" s="7" t="s">
        <v>34</v>
      </c>
      <c r="B2" s="8"/>
      <c r="C2" s="9"/>
      <c r="D2" s="9"/>
      <c r="E2" s="9"/>
      <c r="G2" s="5"/>
    </row>
    <row r="3" spans="1:7" x14ac:dyDescent="0.25">
      <c r="A3" s="10"/>
      <c r="B3" s="11"/>
      <c r="C3" s="9"/>
      <c r="D3" s="9"/>
      <c r="E3" s="9"/>
    </row>
    <row r="4" spans="1:7" x14ac:dyDescent="0.25">
      <c r="A4" s="12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2"/>
      <c r="B5" s="13" t="s">
        <v>243</v>
      </c>
      <c r="C5" s="13"/>
      <c r="D5" s="13"/>
      <c r="E5" s="13">
        <v>28</v>
      </c>
      <c r="F5" s="14"/>
      <c r="G5" s="26" t="s">
        <v>72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A6" sqref="A6"/>
    </sheetView>
  </sheetViews>
  <sheetFormatPr defaultRowHeight="15" x14ac:dyDescent="0.25"/>
  <cols>
    <col min="2" max="2" width="29" customWidth="1"/>
    <col min="6" max="6" width="18.85546875" customWidth="1"/>
    <col min="7" max="7" width="23.7109375" customWidth="1"/>
  </cols>
  <sheetData>
    <row r="2" spans="1:7" ht="15.75" x14ac:dyDescent="0.25">
      <c r="A2" s="24" t="s">
        <v>36</v>
      </c>
      <c r="B2" s="24"/>
      <c r="C2" s="24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 t="s">
        <v>243</v>
      </c>
      <c r="C5" s="1"/>
      <c r="D5" s="1"/>
      <c r="E5" s="31">
        <v>76</v>
      </c>
      <c r="F5" s="1"/>
      <c r="G5" s="1"/>
    </row>
    <row r="6" spans="1:7" x14ac:dyDescent="0.25">
      <c r="A6" s="114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D13" sqref="D13"/>
    </sheetView>
  </sheetViews>
  <sheetFormatPr defaultRowHeight="15" x14ac:dyDescent="0.25"/>
  <cols>
    <col min="1" max="1" width="11.140625" style="129" customWidth="1"/>
    <col min="2" max="2" width="25.140625" style="129" customWidth="1"/>
    <col min="3" max="5" width="9.140625" style="129"/>
    <col min="6" max="6" width="13.85546875" style="129" customWidth="1"/>
    <col min="7" max="7" width="22.140625" style="129" customWidth="1"/>
  </cols>
  <sheetData>
    <row r="2" spans="1:7" x14ac:dyDescent="0.25">
      <c r="A2" s="177" t="s">
        <v>56</v>
      </c>
      <c r="B2" s="177"/>
      <c r="C2" s="177"/>
      <c r="D2" s="178"/>
      <c r="E2" s="178"/>
    </row>
    <row r="3" spans="1:7" x14ac:dyDescent="0.25">
      <c r="A3" s="178"/>
      <c r="B3" s="178"/>
      <c r="C3" s="178"/>
      <c r="D3" s="178"/>
      <c r="E3" s="178"/>
    </row>
    <row r="4" spans="1:7" x14ac:dyDescent="0.25">
      <c r="A4" s="134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hidden="1" x14ac:dyDescent="0.25">
      <c r="A5" s="136"/>
      <c r="B5" s="136" t="s">
        <v>20</v>
      </c>
      <c r="C5" s="136"/>
      <c r="D5" s="136"/>
      <c r="E5" s="176">
        <v>22</v>
      </c>
      <c r="F5" s="136"/>
      <c r="G5" s="136"/>
    </row>
    <row r="6" spans="1:7" hidden="1" x14ac:dyDescent="0.25">
      <c r="A6" s="167">
        <v>44289</v>
      </c>
      <c r="B6" s="136" t="s">
        <v>0</v>
      </c>
      <c r="C6" s="136">
        <v>9</v>
      </c>
      <c r="D6" s="136"/>
      <c r="E6" s="136">
        <f>E5+C6-D6</f>
        <v>31</v>
      </c>
      <c r="F6" s="136" t="s">
        <v>85</v>
      </c>
      <c r="G6" s="136"/>
    </row>
    <row r="7" spans="1:7" x14ac:dyDescent="0.25">
      <c r="A7" s="136"/>
      <c r="B7" s="136" t="s">
        <v>318</v>
      </c>
      <c r="C7" s="136"/>
      <c r="D7" s="136"/>
      <c r="E7" s="136">
        <v>31</v>
      </c>
      <c r="F7" s="136"/>
      <c r="G7" s="136"/>
    </row>
    <row r="8" spans="1:7" x14ac:dyDescent="0.25">
      <c r="A8" s="136"/>
      <c r="B8" s="136"/>
      <c r="C8" s="136"/>
      <c r="D8" s="136"/>
      <c r="E8" s="136"/>
      <c r="F8" s="136"/>
      <c r="G8" s="136"/>
    </row>
    <row r="9" spans="1:7" x14ac:dyDescent="0.25">
      <c r="A9" s="136"/>
      <c r="B9" s="136"/>
      <c r="C9" s="136"/>
      <c r="D9" s="136"/>
      <c r="E9" s="136"/>
      <c r="F9" s="136"/>
      <c r="G9" s="136"/>
    </row>
    <row r="10" spans="1:7" x14ac:dyDescent="0.25">
      <c r="A10" s="136"/>
      <c r="B10" s="136"/>
      <c r="C10" s="136"/>
      <c r="D10" s="136"/>
      <c r="E10" s="136"/>
      <c r="F10" s="136"/>
      <c r="G10" s="136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F18" sqref="F18"/>
    </sheetView>
  </sheetViews>
  <sheetFormatPr defaultRowHeight="15" x14ac:dyDescent="0.25"/>
  <cols>
    <col min="1" max="1" width="13" customWidth="1"/>
    <col min="2" max="2" width="25.85546875" customWidth="1"/>
    <col min="6" max="6" width="15.140625" customWidth="1"/>
    <col min="7" max="7" width="23.5703125" customWidth="1"/>
  </cols>
  <sheetData>
    <row r="2" spans="1:7" ht="15.75" x14ac:dyDescent="0.25">
      <c r="A2" s="24" t="s">
        <v>57</v>
      </c>
      <c r="B2" s="24"/>
      <c r="C2" s="24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hidden="1" x14ac:dyDescent="0.25">
      <c r="A5" s="36"/>
      <c r="B5" s="36" t="s">
        <v>20</v>
      </c>
      <c r="C5" s="36"/>
      <c r="D5" s="36"/>
      <c r="E5" s="36">
        <v>176</v>
      </c>
      <c r="F5" s="36"/>
      <c r="G5" s="36"/>
    </row>
    <row r="6" spans="1:7" hidden="1" x14ac:dyDescent="0.25">
      <c r="A6" s="36" t="s">
        <v>147</v>
      </c>
      <c r="B6" s="36" t="s">
        <v>28</v>
      </c>
      <c r="C6" s="36">
        <v>67</v>
      </c>
      <c r="D6" s="36"/>
      <c r="E6" s="36">
        <f>E5+C6-D6</f>
        <v>243</v>
      </c>
      <c r="F6" s="36"/>
      <c r="G6" s="36"/>
    </row>
    <row r="7" spans="1:7" x14ac:dyDescent="0.25">
      <c r="A7" s="36"/>
      <c r="B7" s="36" t="s">
        <v>318</v>
      </c>
      <c r="C7" s="36"/>
      <c r="D7" s="36"/>
      <c r="E7" s="36"/>
      <c r="F7" s="36">
        <v>243</v>
      </c>
      <c r="G7" s="36"/>
    </row>
    <row r="8" spans="1:7" x14ac:dyDescent="0.25">
      <c r="A8" s="164"/>
      <c r="B8" s="164"/>
      <c r="C8" s="164"/>
      <c r="D8" s="164"/>
      <c r="E8" s="164">
        <v>243</v>
      </c>
      <c r="F8" s="164"/>
      <c r="G8" s="164"/>
    </row>
    <row r="9" spans="1:7" x14ac:dyDescent="0.25">
      <c r="A9" s="36"/>
      <c r="B9" s="36"/>
      <c r="C9" s="36"/>
      <c r="D9" s="36"/>
      <c r="E9" s="36"/>
      <c r="F9" s="36"/>
      <c r="G9" s="36"/>
    </row>
    <row r="10" spans="1:7" x14ac:dyDescent="0.25">
      <c r="A10" s="29"/>
      <c r="B10" s="29"/>
      <c r="C10" s="29"/>
      <c r="D10" s="29"/>
      <c r="E10" s="29"/>
      <c r="F10" s="29"/>
      <c r="G10" s="29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zoomScale="120" zoomScaleNormal="120" workbookViewId="0">
      <selection activeCell="B14" sqref="B14"/>
    </sheetView>
  </sheetViews>
  <sheetFormatPr defaultRowHeight="15" x14ac:dyDescent="0.25"/>
  <cols>
    <col min="1" max="1" width="13.7109375" customWidth="1"/>
    <col min="2" max="2" width="32" customWidth="1"/>
    <col min="6" max="6" width="18.42578125" customWidth="1"/>
    <col min="7" max="7" width="22.7109375" customWidth="1"/>
  </cols>
  <sheetData>
    <row r="2" spans="1:7" ht="15.75" x14ac:dyDescent="0.25">
      <c r="A2" s="24" t="s">
        <v>35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 t="s">
        <v>318</v>
      </c>
      <c r="C5" s="1"/>
      <c r="D5" s="1"/>
      <c r="E5" s="1"/>
      <c r="F5" s="1">
        <v>990</v>
      </c>
      <c r="G5" s="1"/>
    </row>
    <row r="6" spans="1:7" x14ac:dyDescent="0.25">
      <c r="A6" s="168"/>
      <c r="B6" s="168"/>
      <c r="C6" s="168"/>
      <c r="D6" s="168"/>
      <c r="E6" s="168">
        <v>990</v>
      </c>
      <c r="F6" s="168"/>
      <c r="G6" s="168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zoomScale="120" zoomScaleNormal="120" workbookViewId="0">
      <selection activeCell="C14" sqref="C14"/>
    </sheetView>
  </sheetViews>
  <sheetFormatPr defaultRowHeight="15" x14ac:dyDescent="0.25"/>
  <cols>
    <col min="1" max="1" width="12.140625" customWidth="1"/>
    <col min="2" max="2" width="33.7109375" customWidth="1"/>
    <col min="6" max="6" width="15" customWidth="1"/>
    <col min="7" max="7" width="24" customWidth="1"/>
  </cols>
  <sheetData>
    <row r="2" spans="1:7" ht="15.75" x14ac:dyDescent="0.25">
      <c r="A2" s="24" t="s">
        <v>37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20"/>
      <c r="B5" s="1" t="s">
        <v>318</v>
      </c>
      <c r="C5" s="1"/>
      <c r="D5" s="1"/>
      <c r="E5" s="1"/>
      <c r="F5" s="1">
        <v>1161</v>
      </c>
      <c r="G5" s="1"/>
    </row>
    <row r="6" spans="1:7" x14ac:dyDescent="0.25">
      <c r="A6" s="170"/>
      <c r="B6" s="168"/>
      <c r="C6" s="168"/>
      <c r="D6" s="168"/>
      <c r="E6" s="168">
        <v>1161</v>
      </c>
      <c r="F6" s="168"/>
      <c r="G6" s="168"/>
    </row>
    <row r="7" spans="1:7" x14ac:dyDescent="0.25">
      <c r="A7" s="20"/>
      <c r="B7" s="1"/>
      <c r="C7" s="1"/>
      <c r="D7" s="1"/>
      <c r="E7" s="1"/>
      <c r="F7" s="1"/>
      <c r="G7" s="1"/>
    </row>
    <row r="8" spans="1:7" x14ac:dyDescent="0.25">
      <c r="A8" s="20"/>
      <c r="B8" s="1"/>
      <c r="C8" s="1"/>
      <c r="D8" s="1"/>
      <c r="E8" s="1"/>
      <c r="F8" s="1"/>
      <c r="G8" s="1"/>
    </row>
    <row r="9" spans="1:7" x14ac:dyDescent="0.25">
      <c r="A9" s="20"/>
      <c r="B9" s="1"/>
      <c r="C9" s="1"/>
      <c r="D9" s="1"/>
      <c r="E9" s="1"/>
      <c r="F9" s="1"/>
      <c r="G9" s="1"/>
    </row>
    <row r="10" spans="1:7" x14ac:dyDescent="0.25">
      <c r="A10" s="20"/>
      <c r="B10" s="1"/>
      <c r="C10" s="1"/>
      <c r="D10" s="1"/>
      <c r="E10" s="1"/>
      <c r="F10" s="1"/>
      <c r="G10" s="1"/>
    </row>
    <row r="11" spans="1:7" x14ac:dyDescent="0.25">
      <c r="A11" s="20"/>
      <c r="B11" s="1"/>
      <c r="C11" s="1"/>
      <c r="D11" s="1"/>
      <c r="E11" s="1"/>
      <c r="F11" s="1"/>
      <c r="G11" s="1"/>
    </row>
    <row r="12" spans="1:7" x14ac:dyDescent="0.25">
      <c r="A12" s="20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5"/>
  <sheetViews>
    <sheetView zoomScale="96" zoomScaleNormal="96" workbookViewId="0">
      <selection activeCell="E20" sqref="E20:E22"/>
    </sheetView>
  </sheetViews>
  <sheetFormatPr defaultRowHeight="15" x14ac:dyDescent="0.25"/>
  <cols>
    <col min="1" max="1" width="11.28515625" style="103" customWidth="1"/>
    <col min="2" max="2" width="31.42578125" style="103" customWidth="1"/>
    <col min="3" max="5" width="9.140625" style="103"/>
    <col min="6" max="6" width="16.28515625" style="103" customWidth="1"/>
    <col min="7" max="7" width="23.28515625" customWidth="1"/>
  </cols>
  <sheetData>
    <row r="2" spans="1:7" x14ac:dyDescent="0.25">
      <c r="A2" s="111" t="s">
        <v>38</v>
      </c>
      <c r="B2" s="112"/>
      <c r="C2" s="112"/>
      <c r="D2" s="113"/>
      <c r="E2" s="113"/>
    </row>
    <row r="3" spans="1:7" x14ac:dyDescent="0.25">
      <c r="A3" s="113"/>
      <c r="B3" s="113"/>
      <c r="C3" s="113"/>
      <c r="D3" s="113"/>
      <c r="E3" s="113"/>
    </row>
    <row r="4" spans="1:7" x14ac:dyDescent="0.25">
      <c r="A4" s="104" t="s">
        <v>2</v>
      </c>
      <c r="B4" s="104" t="s">
        <v>3</v>
      </c>
      <c r="C4" s="104" t="s">
        <v>4</v>
      </c>
      <c r="D4" s="104" t="s">
        <v>5</v>
      </c>
      <c r="E4" s="104" t="s">
        <v>6</v>
      </c>
      <c r="F4" s="105" t="s">
        <v>7</v>
      </c>
      <c r="G4" s="15" t="s">
        <v>8</v>
      </c>
    </row>
    <row r="5" spans="1:7" x14ac:dyDescent="0.25">
      <c r="A5" s="88"/>
      <c r="B5" s="88" t="s">
        <v>318</v>
      </c>
      <c r="C5" s="88"/>
      <c r="D5" s="88"/>
      <c r="E5" s="88"/>
      <c r="F5" s="88">
        <v>2377</v>
      </c>
      <c r="G5" s="1"/>
    </row>
    <row r="6" spans="1:7" x14ac:dyDescent="0.25">
      <c r="A6" s="169"/>
      <c r="B6" s="169"/>
      <c r="C6" s="169"/>
      <c r="D6" s="169"/>
      <c r="E6" s="169">
        <v>2377</v>
      </c>
      <c r="F6" s="169"/>
      <c r="G6" s="168"/>
    </row>
    <row r="7" spans="1:7" x14ac:dyDescent="0.25">
      <c r="A7" s="269" t="s">
        <v>577</v>
      </c>
      <c r="B7" s="88" t="s">
        <v>578</v>
      </c>
      <c r="C7" s="88"/>
      <c r="D7" s="88">
        <v>450</v>
      </c>
      <c r="E7" s="88">
        <f>E6+C7-D7</f>
        <v>1927</v>
      </c>
      <c r="F7" s="88" t="s">
        <v>579</v>
      </c>
      <c r="G7" s="1"/>
    </row>
    <row r="8" spans="1:7" x14ac:dyDescent="0.25">
      <c r="A8" s="269" t="s">
        <v>577</v>
      </c>
      <c r="B8" s="88" t="s">
        <v>578</v>
      </c>
      <c r="C8" s="88"/>
      <c r="D8" s="88">
        <v>450</v>
      </c>
      <c r="E8" s="88">
        <f t="shared" ref="E8:E22" si="0">E7+C8-D8</f>
        <v>1477</v>
      </c>
      <c r="F8" s="88" t="s">
        <v>580</v>
      </c>
      <c r="G8" s="1"/>
    </row>
    <row r="9" spans="1:7" x14ac:dyDescent="0.25">
      <c r="A9" s="269" t="s">
        <v>671</v>
      </c>
      <c r="B9" s="88" t="s">
        <v>632</v>
      </c>
      <c r="C9" s="88"/>
      <c r="D9" s="88">
        <v>600</v>
      </c>
      <c r="E9" s="88">
        <f t="shared" si="0"/>
        <v>877</v>
      </c>
      <c r="F9" s="88" t="s">
        <v>672</v>
      </c>
      <c r="G9" s="1"/>
    </row>
    <row r="10" spans="1:7" x14ac:dyDescent="0.25">
      <c r="A10" s="269" t="s">
        <v>712</v>
      </c>
      <c r="B10" s="88" t="s">
        <v>632</v>
      </c>
      <c r="C10" s="88"/>
      <c r="D10" s="88">
        <v>300</v>
      </c>
      <c r="E10" s="88">
        <f t="shared" si="0"/>
        <v>577</v>
      </c>
      <c r="F10" s="88" t="s">
        <v>713</v>
      </c>
      <c r="G10" s="1"/>
    </row>
    <row r="11" spans="1:7" x14ac:dyDescent="0.25">
      <c r="A11" s="269" t="s">
        <v>712</v>
      </c>
      <c r="B11" s="88" t="s">
        <v>632</v>
      </c>
      <c r="C11" s="88"/>
      <c r="D11" s="88">
        <v>200</v>
      </c>
      <c r="E11" s="88">
        <f t="shared" si="0"/>
        <v>377</v>
      </c>
      <c r="F11" s="88" t="s">
        <v>714</v>
      </c>
      <c r="G11" s="1"/>
    </row>
    <row r="12" spans="1:7" x14ac:dyDescent="0.25">
      <c r="A12" s="269" t="s">
        <v>728</v>
      </c>
      <c r="B12" s="88" t="s">
        <v>632</v>
      </c>
      <c r="C12" s="88"/>
      <c r="D12" s="88">
        <v>100</v>
      </c>
      <c r="E12" s="88">
        <f t="shared" si="0"/>
        <v>277</v>
      </c>
      <c r="F12" s="88" t="s">
        <v>731</v>
      </c>
      <c r="G12" s="1"/>
    </row>
    <row r="13" spans="1:7" x14ac:dyDescent="0.25">
      <c r="A13" s="269" t="s">
        <v>771</v>
      </c>
      <c r="B13" s="88" t="s">
        <v>578</v>
      </c>
      <c r="C13" s="88">
        <v>550</v>
      </c>
      <c r="D13" s="88"/>
      <c r="E13" s="88">
        <f t="shared" si="0"/>
        <v>827</v>
      </c>
      <c r="F13" s="88"/>
      <c r="G13" s="1"/>
    </row>
    <row r="14" spans="1:7" x14ac:dyDescent="0.25">
      <c r="A14" s="121" t="s">
        <v>804</v>
      </c>
      <c r="B14" s="36" t="s">
        <v>632</v>
      </c>
      <c r="C14" s="36">
        <v>62</v>
      </c>
      <c r="D14" s="88"/>
      <c r="E14" s="88">
        <f t="shared" si="0"/>
        <v>889</v>
      </c>
      <c r="F14" s="88"/>
      <c r="G14" s="1"/>
    </row>
    <row r="15" spans="1:7" x14ac:dyDescent="0.25">
      <c r="A15" s="121" t="s">
        <v>804</v>
      </c>
      <c r="B15" s="88" t="s">
        <v>578</v>
      </c>
      <c r="C15" s="88">
        <v>295</v>
      </c>
      <c r="D15" s="88"/>
      <c r="E15" s="88">
        <f t="shared" si="0"/>
        <v>1184</v>
      </c>
      <c r="F15" s="88"/>
      <c r="G15" s="1"/>
    </row>
    <row r="16" spans="1:7" x14ac:dyDescent="0.25">
      <c r="A16" s="269" t="s">
        <v>827</v>
      </c>
      <c r="B16" s="88" t="s">
        <v>632</v>
      </c>
      <c r="C16" s="88">
        <v>300</v>
      </c>
      <c r="D16" s="88"/>
      <c r="E16" s="88">
        <f t="shared" si="0"/>
        <v>1484</v>
      </c>
      <c r="F16" s="88"/>
      <c r="G16" s="1"/>
    </row>
    <row r="17" spans="1:7" x14ac:dyDescent="0.25">
      <c r="A17" s="121" t="s">
        <v>869</v>
      </c>
      <c r="B17" s="36" t="s">
        <v>632</v>
      </c>
      <c r="C17" s="36">
        <v>100</v>
      </c>
      <c r="D17" s="88"/>
      <c r="E17" s="88">
        <f t="shared" si="0"/>
        <v>1584</v>
      </c>
      <c r="F17" s="88"/>
      <c r="G17" s="1"/>
    </row>
    <row r="18" spans="1:7" x14ac:dyDescent="0.25">
      <c r="A18" s="269" t="s">
        <v>873</v>
      </c>
      <c r="B18" s="88" t="s">
        <v>632</v>
      </c>
      <c r="C18" s="88">
        <v>300</v>
      </c>
      <c r="D18" s="88"/>
      <c r="E18" s="88">
        <f t="shared" si="0"/>
        <v>1884</v>
      </c>
      <c r="F18" s="88"/>
      <c r="G18" s="1"/>
    </row>
    <row r="19" spans="1:7" x14ac:dyDescent="0.25">
      <c r="A19" s="269" t="s">
        <v>873</v>
      </c>
      <c r="B19" s="88" t="s">
        <v>632</v>
      </c>
      <c r="C19" s="88">
        <v>111</v>
      </c>
      <c r="D19" s="88"/>
      <c r="E19" s="88">
        <f t="shared" si="0"/>
        <v>1995</v>
      </c>
      <c r="F19" s="88"/>
      <c r="G19" s="1"/>
    </row>
    <row r="20" spans="1:7" x14ac:dyDescent="0.25">
      <c r="A20" s="121" t="s">
        <v>880</v>
      </c>
      <c r="B20" s="88" t="s">
        <v>632</v>
      </c>
      <c r="C20" s="36">
        <v>96</v>
      </c>
      <c r="D20" s="88"/>
      <c r="E20" s="88">
        <f t="shared" si="0"/>
        <v>2091</v>
      </c>
      <c r="F20" s="88"/>
      <c r="G20" s="1"/>
    </row>
    <row r="21" spans="1:7" x14ac:dyDescent="0.25">
      <c r="A21" s="121" t="s">
        <v>880</v>
      </c>
      <c r="B21" s="88" t="s">
        <v>632</v>
      </c>
      <c r="C21" s="88">
        <v>64</v>
      </c>
      <c r="D21" s="88"/>
      <c r="E21" s="88">
        <f t="shared" si="0"/>
        <v>2155</v>
      </c>
      <c r="F21" s="88"/>
      <c r="G21" s="1"/>
    </row>
    <row r="22" spans="1:7" x14ac:dyDescent="0.25">
      <c r="A22" s="269" t="s">
        <v>897</v>
      </c>
      <c r="B22" s="88" t="s">
        <v>632</v>
      </c>
      <c r="C22" s="88">
        <v>106</v>
      </c>
      <c r="D22" s="88"/>
      <c r="E22" s="88">
        <f t="shared" si="0"/>
        <v>2261</v>
      </c>
      <c r="F22" s="88"/>
      <c r="G22" s="1"/>
    </row>
    <row r="23" spans="1:7" x14ac:dyDescent="0.25">
      <c r="A23" s="88"/>
      <c r="B23" s="88"/>
      <c r="C23" s="88"/>
      <c r="D23" s="88"/>
      <c r="E23" s="88"/>
      <c r="F23" s="88"/>
      <c r="G23" s="1"/>
    </row>
    <row r="24" spans="1:7" x14ac:dyDescent="0.25">
      <c r="A24" s="88"/>
      <c r="B24" s="88"/>
      <c r="C24" s="88"/>
      <c r="D24" s="88"/>
      <c r="E24" s="88"/>
      <c r="F24" s="88"/>
      <c r="G24" s="1"/>
    </row>
    <row r="25" spans="1:7" x14ac:dyDescent="0.25">
      <c r="A25" s="88"/>
      <c r="B25" s="88"/>
      <c r="C25" s="88"/>
      <c r="D25" s="88"/>
      <c r="E25" s="88"/>
      <c r="F25" s="88"/>
      <c r="G25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zoomScale="120" zoomScaleNormal="120" workbookViewId="0">
      <selection activeCell="F14" sqref="F14"/>
    </sheetView>
  </sheetViews>
  <sheetFormatPr defaultRowHeight="15" x14ac:dyDescent="0.25"/>
  <cols>
    <col min="1" max="1" width="10.28515625" customWidth="1"/>
    <col min="2" max="2" width="35.7109375" customWidth="1"/>
    <col min="6" max="6" width="14.85546875" customWidth="1"/>
    <col min="7" max="7" width="23.85546875" customWidth="1"/>
  </cols>
  <sheetData>
    <row r="2" spans="1:7" ht="15.75" x14ac:dyDescent="0.25">
      <c r="A2" s="24" t="s">
        <v>39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 t="s">
        <v>318</v>
      </c>
      <c r="C5" s="1"/>
      <c r="D5" s="1"/>
      <c r="E5" s="1"/>
      <c r="F5" s="1">
        <v>1181</v>
      </c>
      <c r="G5" s="1"/>
    </row>
    <row r="6" spans="1:7" x14ac:dyDescent="0.25">
      <c r="A6" s="168"/>
      <c r="B6" s="168"/>
      <c r="C6" s="168"/>
      <c r="D6" s="168"/>
      <c r="E6" s="168">
        <v>1181</v>
      </c>
      <c r="F6" s="168"/>
      <c r="G6" s="168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E7" sqref="E7:E8"/>
    </sheetView>
  </sheetViews>
  <sheetFormatPr defaultRowHeight="15" x14ac:dyDescent="0.25"/>
  <cols>
    <col min="1" max="1" width="11.7109375" customWidth="1"/>
    <col min="2" max="2" width="19.85546875" customWidth="1"/>
    <col min="7" max="7" width="20.7109375" customWidth="1"/>
  </cols>
  <sheetData>
    <row r="2" spans="1:7" ht="15.75" x14ac:dyDescent="0.25">
      <c r="A2" s="24" t="s">
        <v>58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3"/>
      <c r="B5" s="13" t="s">
        <v>243</v>
      </c>
      <c r="C5" s="13"/>
      <c r="D5" s="13"/>
      <c r="E5" s="179">
        <v>310</v>
      </c>
      <c r="F5" s="14"/>
      <c r="G5" s="15"/>
    </row>
    <row r="6" spans="1:7" x14ac:dyDescent="0.25">
      <c r="A6" s="138" t="s">
        <v>569</v>
      </c>
      <c r="B6" s="136" t="s">
        <v>572</v>
      </c>
      <c r="C6" s="136"/>
      <c r="D6" s="136">
        <v>20</v>
      </c>
      <c r="E6" s="136">
        <f>E5+C6-D6</f>
        <v>290</v>
      </c>
      <c r="F6" s="136" t="s">
        <v>17</v>
      </c>
      <c r="G6" s="1"/>
    </row>
    <row r="7" spans="1:7" x14ac:dyDescent="0.25">
      <c r="A7" s="138" t="s">
        <v>569</v>
      </c>
      <c r="B7" s="136" t="s">
        <v>572</v>
      </c>
      <c r="C7" s="136"/>
      <c r="D7" s="136">
        <v>20</v>
      </c>
      <c r="E7" s="136">
        <f>E6+C7-D7</f>
        <v>270</v>
      </c>
      <c r="F7" s="136" t="s">
        <v>17</v>
      </c>
      <c r="G7" s="1"/>
    </row>
    <row r="8" spans="1:7" x14ac:dyDescent="0.25">
      <c r="A8" s="114" t="s">
        <v>699</v>
      </c>
      <c r="B8" s="1" t="s">
        <v>700</v>
      </c>
      <c r="C8" s="1">
        <v>27</v>
      </c>
      <c r="D8" s="1"/>
      <c r="E8" s="136">
        <f>E7+C8-D8</f>
        <v>297</v>
      </c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E11" sqref="E11:E13"/>
    </sheetView>
  </sheetViews>
  <sheetFormatPr defaultRowHeight="15.75" x14ac:dyDescent="0.25"/>
  <cols>
    <col min="1" max="1" width="14.42578125" style="130" customWidth="1"/>
    <col min="2" max="2" width="20.28515625" style="130" customWidth="1"/>
    <col min="3" max="5" width="9.140625" style="130"/>
    <col min="6" max="6" width="15.7109375" style="130" customWidth="1"/>
    <col min="7" max="7" width="22.5703125" style="130" customWidth="1"/>
    <col min="8" max="8" width="9.140625" style="130"/>
  </cols>
  <sheetData>
    <row r="2" spans="1:7" x14ac:dyDescent="0.25">
      <c r="A2" s="174" t="s">
        <v>59</v>
      </c>
      <c r="B2" s="306"/>
      <c r="C2" s="306"/>
      <c r="D2" s="175"/>
      <c r="E2" s="175"/>
    </row>
    <row r="3" spans="1:7" x14ac:dyDescent="0.25">
      <c r="A3" s="175"/>
      <c r="B3" s="175"/>
      <c r="C3" s="175"/>
      <c r="D3" s="175"/>
      <c r="E3" s="175"/>
    </row>
    <row r="4" spans="1:7" x14ac:dyDescent="0.25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160" t="s">
        <v>7</v>
      </c>
      <c r="G4" s="161" t="s">
        <v>8</v>
      </c>
    </row>
    <row r="5" spans="1:7" x14ac:dyDescent="0.25">
      <c r="A5" s="159"/>
      <c r="B5" s="159" t="s">
        <v>243</v>
      </c>
      <c r="C5" s="159"/>
      <c r="D5" s="159"/>
      <c r="E5" s="307">
        <v>1220</v>
      </c>
      <c r="F5" s="160"/>
      <c r="G5" s="161"/>
    </row>
    <row r="6" spans="1:7" x14ac:dyDescent="0.25">
      <c r="A6" s="251" t="s">
        <v>569</v>
      </c>
      <c r="B6" s="161" t="s">
        <v>572</v>
      </c>
      <c r="C6" s="161"/>
      <c r="D6" s="161">
        <v>15</v>
      </c>
      <c r="E6" s="161">
        <f>E5+C6-D6</f>
        <v>1205</v>
      </c>
      <c r="F6" s="161" t="s">
        <v>17</v>
      </c>
      <c r="G6" s="161"/>
    </row>
    <row r="7" spans="1:7" x14ac:dyDescent="0.25">
      <c r="A7" s="251" t="s">
        <v>569</v>
      </c>
      <c r="B7" s="161" t="s">
        <v>572</v>
      </c>
      <c r="C7" s="161"/>
      <c r="D7" s="161">
        <v>15</v>
      </c>
      <c r="E7" s="161">
        <f>E6+C7-D7</f>
        <v>1190</v>
      </c>
      <c r="F7" s="161" t="s">
        <v>17</v>
      </c>
      <c r="G7" s="161"/>
    </row>
    <row r="8" spans="1:7" x14ac:dyDescent="0.25">
      <c r="A8" s="246" t="s">
        <v>699</v>
      </c>
      <c r="B8" s="161" t="s">
        <v>700</v>
      </c>
      <c r="C8" s="161">
        <v>30</v>
      </c>
      <c r="D8" s="161"/>
      <c r="E8" s="161">
        <f t="shared" ref="E8:E13" si="0">E7+C8-D8</f>
        <v>1220</v>
      </c>
      <c r="F8" s="161"/>
      <c r="G8" s="161"/>
    </row>
    <row r="9" spans="1:7" x14ac:dyDescent="0.25">
      <c r="A9" s="246" t="s">
        <v>782</v>
      </c>
      <c r="B9" s="161" t="s">
        <v>783</v>
      </c>
      <c r="C9" s="161"/>
      <c r="D9" s="161">
        <v>224</v>
      </c>
      <c r="E9" s="161">
        <f t="shared" si="0"/>
        <v>996</v>
      </c>
      <c r="F9" s="161" t="s">
        <v>784</v>
      </c>
      <c r="G9" s="161"/>
    </row>
    <row r="10" spans="1:7" x14ac:dyDescent="0.25">
      <c r="A10" s="246" t="s">
        <v>820</v>
      </c>
      <c r="B10" s="161" t="s">
        <v>783</v>
      </c>
      <c r="C10" s="161"/>
      <c r="D10" s="161">
        <v>30</v>
      </c>
      <c r="E10" s="161">
        <f t="shared" si="0"/>
        <v>966</v>
      </c>
      <c r="F10" s="161" t="s">
        <v>824</v>
      </c>
      <c r="G10" s="161"/>
    </row>
    <row r="11" spans="1:7" x14ac:dyDescent="0.25">
      <c r="A11" s="138" t="s">
        <v>832</v>
      </c>
      <c r="B11" s="136" t="s">
        <v>816</v>
      </c>
      <c r="C11" s="136"/>
      <c r="D11" s="136">
        <v>34</v>
      </c>
      <c r="E11" s="161">
        <f t="shared" si="0"/>
        <v>932</v>
      </c>
      <c r="F11" s="163" t="s">
        <v>834</v>
      </c>
      <c r="G11" s="161"/>
    </row>
    <row r="12" spans="1:7" x14ac:dyDescent="0.25">
      <c r="A12" s="152" t="s">
        <v>839</v>
      </c>
      <c r="B12" s="136" t="s">
        <v>783</v>
      </c>
      <c r="C12" s="136"/>
      <c r="D12" s="136">
        <v>24</v>
      </c>
      <c r="E12" s="161">
        <f t="shared" si="0"/>
        <v>908</v>
      </c>
      <c r="F12" s="136" t="s">
        <v>843</v>
      </c>
      <c r="G12" s="161"/>
    </row>
    <row r="13" spans="1:7" x14ac:dyDescent="0.25">
      <c r="A13" s="138" t="s">
        <v>880</v>
      </c>
      <c r="B13" s="136" t="s">
        <v>816</v>
      </c>
      <c r="C13" s="136"/>
      <c r="D13" s="136">
        <v>40</v>
      </c>
      <c r="E13" s="161">
        <f t="shared" si="0"/>
        <v>868</v>
      </c>
      <c r="F13" s="136" t="s">
        <v>882</v>
      </c>
      <c r="G13" s="161"/>
    </row>
    <row r="14" spans="1:7" x14ac:dyDescent="0.25">
      <c r="A14" s="161"/>
      <c r="B14" s="161"/>
      <c r="C14" s="161"/>
      <c r="D14" s="161"/>
      <c r="E14" s="161"/>
      <c r="F14" s="161"/>
      <c r="G14" s="161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workbookViewId="0">
      <selection activeCell="A8" sqref="A8:G8"/>
    </sheetView>
  </sheetViews>
  <sheetFormatPr defaultRowHeight="15" x14ac:dyDescent="0.25"/>
  <cols>
    <col min="1" max="1" width="9.140625" style="29"/>
    <col min="2" max="2" width="27.42578125" style="29" customWidth="1"/>
    <col min="3" max="6" width="9.140625" style="29"/>
    <col min="7" max="7" width="25.7109375" style="29" customWidth="1"/>
    <col min="8" max="9" width="9.140625" style="29"/>
  </cols>
  <sheetData>
    <row r="2" spans="1:7" ht="15.75" x14ac:dyDescent="0.25">
      <c r="A2" s="70" t="s">
        <v>60</v>
      </c>
      <c r="B2" s="71"/>
      <c r="C2" s="71"/>
      <c r="D2" s="72"/>
      <c r="E2" s="72"/>
    </row>
    <row r="3" spans="1:7" x14ac:dyDescent="0.25">
      <c r="A3" s="72"/>
      <c r="B3" s="72"/>
      <c r="C3" s="72"/>
      <c r="D3" s="72"/>
      <c r="E3" s="72"/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hidden="1" x14ac:dyDescent="0.25">
      <c r="A5" s="34"/>
      <c r="B5" s="34" t="s">
        <v>20</v>
      </c>
      <c r="C5" s="34"/>
      <c r="D5" s="34"/>
      <c r="E5" s="49">
        <v>328</v>
      </c>
      <c r="F5" s="35"/>
      <c r="G5" s="36"/>
    </row>
    <row r="6" spans="1:7" hidden="1" x14ac:dyDescent="0.25">
      <c r="A6" s="37">
        <v>44292</v>
      </c>
      <c r="B6" s="36" t="s">
        <v>83</v>
      </c>
      <c r="C6" s="36">
        <v>120</v>
      </c>
      <c r="D6" s="36"/>
      <c r="E6" s="36">
        <f>E5+C6-D6</f>
        <v>448</v>
      </c>
      <c r="F6" s="36"/>
      <c r="G6" s="36"/>
    </row>
    <row r="7" spans="1:7" x14ac:dyDescent="0.25">
      <c r="A7" s="36"/>
      <c r="B7" s="36" t="s">
        <v>333</v>
      </c>
      <c r="C7" s="36"/>
      <c r="D7" s="36"/>
      <c r="E7" s="36"/>
      <c r="F7" s="36">
        <v>448</v>
      </c>
      <c r="G7" s="36"/>
    </row>
    <row r="8" spans="1:7" x14ac:dyDescent="0.25">
      <c r="A8" s="164"/>
      <c r="B8" s="164"/>
      <c r="C8" s="164"/>
      <c r="D8" s="164"/>
      <c r="E8" s="164">
        <v>448</v>
      </c>
      <c r="F8" s="164"/>
      <c r="G8" s="164"/>
    </row>
    <row r="9" spans="1:7" x14ac:dyDescent="0.25">
      <c r="A9" s="36"/>
      <c r="B9" s="36"/>
      <c r="C9" s="36"/>
      <c r="D9" s="36"/>
      <c r="E9" s="36"/>
      <c r="F9" s="36"/>
      <c r="G9" s="36"/>
    </row>
    <row r="10" spans="1:7" x14ac:dyDescent="0.25">
      <c r="A10" s="36"/>
      <c r="B10" s="36"/>
      <c r="C10" s="36"/>
      <c r="D10" s="36"/>
      <c r="E10" s="36"/>
      <c r="F10" s="36"/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  <row r="15" spans="1:7" x14ac:dyDescent="0.25">
      <c r="A15" s="36"/>
      <c r="B15" s="36"/>
      <c r="C15" s="36"/>
      <c r="D15" s="36"/>
      <c r="E15" s="36"/>
      <c r="F15" s="36"/>
      <c r="G15" s="36"/>
    </row>
    <row r="16" spans="1:7" x14ac:dyDescent="0.25">
      <c r="A16" s="36"/>
      <c r="B16" s="36"/>
      <c r="C16" s="36"/>
      <c r="D16" s="36"/>
      <c r="E16" s="36"/>
      <c r="F16" s="36"/>
      <c r="G16" s="36"/>
    </row>
    <row r="17" spans="1:7" x14ac:dyDescent="0.25">
      <c r="A17" s="36"/>
      <c r="B17" s="36"/>
      <c r="C17" s="36"/>
      <c r="D17" s="36"/>
      <c r="E17" s="36"/>
      <c r="F17" s="36"/>
      <c r="G17" s="36"/>
    </row>
    <row r="18" spans="1:7" x14ac:dyDescent="0.25">
      <c r="A18" s="36"/>
      <c r="B18" s="36"/>
      <c r="C18" s="36"/>
      <c r="D18" s="36"/>
      <c r="E18" s="36"/>
      <c r="F18" s="36"/>
      <c r="G18" s="36"/>
    </row>
    <row r="19" spans="1:7" x14ac:dyDescent="0.25">
      <c r="A19" s="36"/>
      <c r="B19" s="36"/>
      <c r="C19" s="36"/>
      <c r="D19" s="36"/>
      <c r="E19" s="36"/>
      <c r="F19" s="36"/>
      <c r="G19" s="36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2"/>
  <sheetViews>
    <sheetView zoomScaleNormal="100" workbookViewId="0">
      <selection activeCell="F16" sqref="F16"/>
    </sheetView>
  </sheetViews>
  <sheetFormatPr defaultRowHeight="15" x14ac:dyDescent="0.25"/>
  <cols>
    <col min="1" max="1" width="12" style="284" customWidth="1"/>
    <col min="2" max="2" width="32" style="284" customWidth="1"/>
    <col min="3" max="3" width="8.42578125" style="284" customWidth="1"/>
    <col min="4" max="5" width="9.140625" style="284"/>
    <col min="6" max="6" width="13.7109375" style="284" customWidth="1"/>
    <col min="7" max="7" width="22" style="284" customWidth="1"/>
  </cols>
  <sheetData>
    <row r="2" spans="1:7" x14ac:dyDescent="0.25">
      <c r="A2" s="281" t="s">
        <v>40</v>
      </c>
      <c r="B2" s="282"/>
      <c r="C2" s="282"/>
      <c r="D2" s="283"/>
      <c r="E2" s="283"/>
    </row>
    <row r="3" spans="1:7" x14ac:dyDescent="0.25">
      <c r="A3" s="283"/>
      <c r="B3" s="283"/>
      <c r="C3" s="283"/>
      <c r="D3" s="283"/>
      <c r="E3" s="283"/>
    </row>
    <row r="4" spans="1:7" x14ac:dyDescent="0.25">
      <c r="A4" s="285" t="s">
        <v>2</v>
      </c>
      <c r="B4" s="285" t="s">
        <v>3</v>
      </c>
      <c r="C4" s="285" t="s">
        <v>4</v>
      </c>
      <c r="D4" s="285" t="s">
        <v>5</v>
      </c>
      <c r="E4" s="285" t="s">
        <v>6</v>
      </c>
      <c r="F4" s="286" t="s">
        <v>7</v>
      </c>
      <c r="G4" s="205" t="s">
        <v>8</v>
      </c>
    </row>
    <row r="5" spans="1:7" x14ac:dyDescent="0.25">
      <c r="A5" s="205"/>
      <c r="B5" s="205" t="s">
        <v>318</v>
      </c>
      <c r="C5" s="205"/>
      <c r="D5" s="205"/>
      <c r="E5" s="205"/>
      <c r="F5" s="205">
        <v>417</v>
      </c>
      <c r="G5" s="205"/>
    </row>
    <row r="6" spans="1:7" x14ac:dyDescent="0.25">
      <c r="A6" s="287"/>
      <c r="B6" s="287"/>
      <c r="C6" s="287"/>
      <c r="D6" s="287"/>
      <c r="E6" s="287">
        <v>417</v>
      </c>
      <c r="F6" s="287"/>
      <c r="G6" s="287"/>
    </row>
    <row r="7" spans="1:7" x14ac:dyDescent="0.25">
      <c r="A7" s="273" t="s">
        <v>410</v>
      </c>
      <c r="B7" s="205" t="s">
        <v>414</v>
      </c>
      <c r="C7" s="205"/>
      <c r="D7" s="205">
        <v>20</v>
      </c>
      <c r="E7" s="205">
        <f>E6+C7-D7</f>
        <v>397</v>
      </c>
      <c r="F7" s="205" t="s">
        <v>415</v>
      </c>
      <c r="G7" s="205"/>
    </row>
    <row r="8" spans="1:7" x14ac:dyDescent="0.25">
      <c r="A8" s="274" t="s">
        <v>416</v>
      </c>
      <c r="B8" s="275" t="s">
        <v>414</v>
      </c>
      <c r="C8" s="275"/>
      <c r="D8" s="275">
        <v>60</v>
      </c>
      <c r="E8" s="205">
        <f t="shared" ref="E8:E16" si="0">E7+C8-D8</f>
        <v>337</v>
      </c>
      <c r="F8" s="275" t="s">
        <v>420</v>
      </c>
    </row>
    <row r="9" spans="1:7" x14ac:dyDescent="0.25">
      <c r="A9" s="272" t="s">
        <v>516</v>
      </c>
      <c r="B9" s="275" t="s">
        <v>414</v>
      </c>
      <c r="C9" s="205"/>
      <c r="D9" s="205">
        <v>40</v>
      </c>
      <c r="E9" s="205">
        <f t="shared" si="0"/>
        <v>297</v>
      </c>
      <c r="F9" s="205" t="s">
        <v>460</v>
      </c>
      <c r="G9" s="205"/>
    </row>
    <row r="10" spans="1:7" x14ac:dyDescent="0.25">
      <c r="A10" s="276" t="s">
        <v>491</v>
      </c>
      <c r="B10" s="205" t="s">
        <v>414</v>
      </c>
      <c r="C10" s="205"/>
      <c r="D10" s="205">
        <v>40</v>
      </c>
      <c r="E10" s="205">
        <f t="shared" si="0"/>
        <v>257</v>
      </c>
      <c r="F10" s="205" t="s">
        <v>494</v>
      </c>
      <c r="G10" s="205"/>
    </row>
    <row r="11" spans="1:7" x14ac:dyDescent="0.25">
      <c r="A11" s="272" t="s">
        <v>517</v>
      </c>
      <c r="B11" s="205" t="s">
        <v>518</v>
      </c>
      <c r="C11" s="205">
        <v>15</v>
      </c>
      <c r="D11" s="205"/>
      <c r="E11" s="205">
        <f t="shared" si="0"/>
        <v>272</v>
      </c>
      <c r="F11" s="205"/>
      <c r="G11" s="205"/>
    </row>
    <row r="12" spans="1:7" x14ac:dyDescent="0.25">
      <c r="A12" s="272" t="s">
        <v>562</v>
      </c>
      <c r="B12" s="275" t="s">
        <v>414</v>
      </c>
      <c r="C12" s="205">
        <v>29</v>
      </c>
      <c r="D12" s="205"/>
      <c r="E12" s="205">
        <f t="shared" si="0"/>
        <v>301</v>
      </c>
      <c r="F12" s="205"/>
      <c r="G12" s="205"/>
    </row>
    <row r="13" spans="1:7" x14ac:dyDescent="0.25">
      <c r="A13" s="305" t="s">
        <v>644</v>
      </c>
      <c r="B13" s="275" t="s">
        <v>414</v>
      </c>
      <c r="C13" s="205">
        <v>105</v>
      </c>
      <c r="D13" s="205"/>
      <c r="E13" s="205">
        <f t="shared" si="0"/>
        <v>406</v>
      </c>
      <c r="F13" s="205"/>
      <c r="G13" s="205"/>
    </row>
    <row r="14" spans="1:7" x14ac:dyDescent="0.25">
      <c r="A14" s="238" t="s">
        <v>828</v>
      </c>
      <c r="B14" s="156" t="s">
        <v>414</v>
      </c>
      <c r="C14" s="136">
        <v>26</v>
      </c>
      <c r="D14" s="205"/>
      <c r="E14" s="205">
        <f t="shared" si="0"/>
        <v>432</v>
      </c>
      <c r="F14" s="205"/>
      <c r="G14" s="205"/>
    </row>
    <row r="15" spans="1:7" x14ac:dyDescent="0.25">
      <c r="A15" s="272" t="s">
        <v>827</v>
      </c>
      <c r="B15" s="272" t="s">
        <v>816</v>
      </c>
      <c r="C15" s="205"/>
      <c r="D15" s="205">
        <v>70</v>
      </c>
      <c r="E15" s="205">
        <f t="shared" si="0"/>
        <v>362</v>
      </c>
      <c r="F15" s="205" t="s">
        <v>829</v>
      </c>
      <c r="G15" s="205"/>
    </row>
    <row r="16" spans="1:7" x14ac:dyDescent="0.25">
      <c r="A16" s="152" t="s">
        <v>914</v>
      </c>
      <c r="B16" s="136" t="s">
        <v>783</v>
      </c>
      <c r="C16" s="136"/>
      <c r="D16" s="136">
        <v>100</v>
      </c>
      <c r="E16" s="205">
        <f t="shared" si="0"/>
        <v>262</v>
      </c>
      <c r="F16" s="136" t="s">
        <v>917</v>
      </c>
      <c r="G16" s="205"/>
    </row>
    <row r="17" spans="1:7" x14ac:dyDescent="0.25">
      <c r="A17" s="205"/>
      <c r="B17" s="205"/>
      <c r="C17" s="205"/>
      <c r="D17" s="205"/>
      <c r="E17" s="205"/>
      <c r="F17" s="205"/>
      <c r="G17" s="205"/>
    </row>
    <row r="18" spans="1:7" x14ac:dyDescent="0.25">
      <c r="A18" s="205"/>
      <c r="B18" s="205"/>
      <c r="C18" s="205"/>
      <c r="D18" s="205"/>
      <c r="E18" s="205"/>
      <c r="F18" s="205"/>
      <c r="G18" s="205"/>
    </row>
    <row r="19" spans="1:7" x14ac:dyDescent="0.25">
      <c r="A19" s="205"/>
      <c r="B19" s="205"/>
      <c r="C19" s="205"/>
      <c r="D19" s="205"/>
      <c r="E19" s="205"/>
      <c r="F19" s="205"/>
      <c r="G19" s="205"/>
    </row>
    <row r="20" spans="1:7" x14ac:dyDescent="0.25">
      <c r="A20" s="205"/>
      <c r="B20" s="205"/>
      <c r="C20" s="205"/>
      <c r="D20" s="205"/>
      <c r="E20" s="205"/>
      <c r="F20" s="205"/>
      <c r="G20" s="205"/>
    </row>
    <row r="21" spans="1:7" x14ac:dyDescent="0.25">
      <c r="A21" s="205"/>
      <c r="B21" s="205"/>
      <c r="C21" s="205"/>
      <c r="D21" s="205"/>
      <c r="E21" s="205"/>
      <c r="F21" s="205"/>
      <c r="G21" s="205"/>
    </row>
    <row r="22" spans="1:7" x14ac:dyDescent="0.25">
      <c r="A22" s="205"/>
      <c r="B22" s="205"/>
      <c r="C22" s="205"/>
      <c r="D22" s="205"/>
      <c r="E22" s="205"/>
      <c r="F22" s="205"/>
      <c r="G22" s="205"/>
    </row>
  </sheetData>
  <pageMargins left="0.7" right="0.7" top="0.75" bottom="0.75" header="0.3" footer="0.3"/>
  <pageSetup paperSize="9" orientation="portrait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7"/>
  <sheetViews>
    <sheetView zoomScale="110" zoomScaleNormal="110" workbookViewId="0">
      <selection activeCell="G11" sqref="G11"/>
    </sheetView>
  </sheetViews>
  <sheetFormatPr defaultRowHeight="15" x14ac:dyDescent="0.25"/>
  <cols>
    <col min="1" max="1" width="10.85546875" customWidth="1"/>
    <col min="2" max="2" width="25.85546875" customWidth="1"/>
    <col min="6" max="6" width="14" customWidth="1"/>
    <col min="7" max="7" width="22.7109375" customWidth="1"/>
  </cols>
  <sheetData>
    <row r="2" spans="1:7" ht="15.75" x14ac:dyDescent="0.25">
      <c r="A2" s="24" t="s">
        <v>61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 t="s">
        <v>318</v>
      </c>
      <c r="C5" s="1"/>
      <c r="D5" s="1"/>
      <c r="E5" s="1"/>
      <c r="F5" s="1">
        <v>602</v>
      </c>
      <c r="G5" s="1"/>
    </row>
    <row r="6" spans="1:7" x14ac:dyDescent="0.25">
      <c r="A6" s="168"/>
      <c r="B6" s="168"/>
      <c r="C6" s="168"/>
      <c r="D6" s="168"/>
      <c r="E6" s="168">
        <v>602</v>
      </c>
      <c r="F6" s="168"/>
      <c r="G6" s="168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3"/>
  <sheetViews>
    <sheetView topLeftCell="A11" zoomScaleNormal="100" workbookViewId="0">
      <selection activeCell="C28" sqref="A28:C28"/>
    </sheetView>
  </sheetViews>
  <sheetFormatPr defaultRowHeight="15" x14ac:dyDescent="0.25"/>
  <cols>
    <col min="1" max="1" width="12" style="29" customWidth="1"/>
    <col min="2" max="2" width="27.140625" style="29" customWidth="1"/>
    <col min="3" max="5" width="9.140625" style="29"/>
    <col min="6" max="6" width="15.140625" style="29" customWidth="1"/>
    <col min="7" max="7" width="26.85546875" style="29" customWidth="1"/>
  </cols>
  <sheetData>
    <row r="2" spans="1:7" ht="15.75" x14ac:dyDescent="0.25">
      <c r="A2" s="70" t="s">
        <v>41</v>
      </c>
      <c r="B2" s="71"/>
      <c r="C2" s="71"/>
      <c r="D2" s="72"/>
      <c r="E2" s="72"/>
    </row>
    <row r="3" spans="1:7" x14ac:dyDescent="0.25">
      <c r="A3" s="72"/>
      <c r="B3" s="72"/>
      <c r="C3" s="72"/>
      <c r="D3" s="72"/>
      <c r="E3" s="72"/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2564</v>
      </c>
      <c r="G5" s="36"/>
    </row>
    <row r="6" spans="1:7" x14ac:dyDescent="0.25">
      <c r="A6" s="164"/>
      <c r="B6" s="164"/>
      <c r="C6" s="164"/>
      <c r="D6" s="164"/>
      <c r="E6" s="164">
        <v>2564</v>
      </c>
      <c r="F6" s="164"/>
      <c r="G6" s="164"/>
    </row>
    <row r="7" spans="1:7" x14ac:dyDescent="0.25">
      <c r="A7" s="138" t="s">
        <v>410</v>
      </c>
      <c r="B7" s="136" t="s">
        <v>414</v>
      </c>
      <c r="C7" s="136"/>
      <c r="D7" s="136">
        <v>25</v>
      </c>
      <c r="E7" s="136">
        <f>E6+C7-D7</f>
        <v>2539</v>
      </c>
      <c r="F7" s="136" t="s">
        <v>415</v>
      </c>
      <c r="G7" s="36"/>
    </row>
    <row r="8" spans="1:7" x14ac:dyDescent="0.25">
      <c r="A8" s="138" t="s">
        <v>416</v>
      </c>
      <c r="B8" s="136" t="s">
        <v>414</v>
      </c>
      <c r="C8" s="136"/>
      <c r="D8" s="136">
        <v>25</v>
      </c>
      <c r="E8" s="136">
        <f t="shared" ref="E8:E28" si="0">E7+C8-D8</f>
        <v>2514</v>
      </c>
      <c r="F8" s="136" t="s">
        <v>420</v>
      </c>
      <c r="G8" s="36"/>
    </row>
    <row r="9" spans="1:7" x14ac:dyDescent="0.25">
      <c r="A9" s="237" t="s">
        <v>485</v>
      </c>
      <c r="B9" s="36" t="s">
        <v>182</v>
      </c>
      <c r="C9" s="36">
        <v>65</v>
      </c>
      <c r="D9" s="36"/>
      <c r="E9" s="136">
        <f t="shared" si="0"/>
        <v>2579</v>
      </c>
      <c r="F9" s="36"/>
      <c r="G9" s="36"/>
    </row>
    <row r="10" spans="1:7" x14ac:dyDescent="0.25">
      <c r="A10" s="258" t="s">
        <v>490</v>
      </c>
      <c r="B10" s="136" t="s">
        <v>414</v>
      </c>
      <c r="C10" s="136"/>
      <c r="D10" s="136">
        <v>20</v>
      </c>
      <c r="E10" s="136">
        <f t="shared" si="0"/>
        <v>2559</v>
      </c>
      <c r="F10" s="136" t="s">
        <v>494</v>
      </c>
      <c r="G10" s="36"/>
    </row>
    <row r="11" spans="1:7" x14ac:dyDescent="0.25">
      <c r="A11" s="258" t="s">
        <v>490</v>
      </c>
      <c r="B11" s="36" t="s">
        <v>182</v>
      </c>
      <c r="C11" s="36">
        <v>51</v>
      </c>
      <c r="D11" s="36"/>
      <c r="E11" s="136">
        <f t="shared" si="0"/>
        <v>2610</v>
      </c>
      <c r="F11" s="36"/>
      <c r="G11" s="36"/>
    </row>
    <row r="12" spans="1:7" x14ac:dyDescent="0.25">
      <c r="A12" s="121" t="s">
        <v>562</v>
      </c>
      <c r="B12" s="156" t="s">
        <v>414</v>
      </c>
      <c r="C12" s="36">
        <v>15</v>
      </c>
      <c r="D12" s="36"/>
      <c r="E12" s="136">
        <f t="shared" si="0"/>
        <v>2625</v>
      </c>
      <c r="F12" s="36"/>
      <c r="G12" s="36"/>
    </row>
    <row r="13" spans="1:7" x14ac:dyDescent="0.25">
      <c r="A13" s="237" t="s">
        <v>644</v>
      </c>
      <c r="B13" s="156" t="s">
        <v>414</v>
      </c>
      <c r="C13" s="36">
        <v>46</v>
      </c>
      <c r="D13" s="36"/>
      <c r="E13" s="136">
        <f t="shared" si="0"/>
        <v>2671</v>
      </c>
      <c r="F13" s="36"/>
      <c r="G13" s="36"/>
    </row>
    <row r="14" spans="1:7" x14ac:dyDescent="0.25">
      <c r="A14" s="238" t="s">
        <v>663</v>
      </c>
      <c r="B14" s="156" t="s">
        <v>414</v>
      </c>
      <c r="C14" s="136">
        <v>9</v>
      </c>
      <c r="D14" s="36"/>
      <c r="E14" s="136">
        <f t="shared" si="0"/>
        <v>2680</v>
      </c>
      <c r="F14" s="36"/>
      <c r="G14" s="36"/>
    </row>
    <row r="15" spans="1:7" x14ac:dyDescent="0.25">
      <c r="A15" s="269" t="s">
        <v>671</v>
      </c>
      <c r="B15" s="88" t="s">
        <v>632</v>
      </c>
      <c r="C15" s="88"/>
      <c r="D15" s="88">
        <v>100</v>
      </c>
      <c r="E15" s="136">
        <f t="shared" si="0"/>
        <v>2580</v>
      </c>
      <c r="F15" s="88" t="s">
        <v>672</v>
      </c>
      <c r="G15" s="36"/>
    </row>
    <row r="16" spans="1:7" x14ac:dyDescent="0.25">
      <c r="A16" s="269" t="s">
        <v>712</v>
      </c>
      <c r="B16" s="88" t="s">
        <v>632</v>
      </c>
      <c r="C16" s="88"/>
      <c r="D16" s="88">
        <v>50</v>
      </c>
      <c r="E16" s="136">
        <f t="shared" si="0"/>
        <v>2530</v>
      </c>
      <c r="F16" s="88" t="s">
        <v>714</v>
      </c>
      <c r="G16" s="36"/>
    </row>
    <row r="17" spans="1:7" x14ac:dyDescent="0.25">
      <c r="A17" s="121" t="s">
        <v>719</v>
      </c>
      <c r="B17" s="88" t="s">
        <v>632</v>
      </c>
      <c r="C17" s="36"/>
      <c r="D17" s="36">
        <v>160</v>
      </c>
      <c r="E17" s="136">
        <f t="shared" si="0"/>
        <v>2370</v>
      </c>
      <c r="F17" s="36" t="s">
        <v>720</v>
      </c>
      <c r="G17" s="36"/>
    </row>
    <row r="18" spans="1:7" x14ac:dyDescent="0.25">
      <c r="A18" s="121" t="s">
        <v>719</v>
      </c>
      <c r="B18" s="88" t="s">
        <v>632</v>
      </c>
      <c r="C18" s="36"/>
      <c r="D18" s="36">
        <v>170</v>
      </c>
      <c r="E18" s="136">
        <f t="shared" si="0"/>
        <v>2200</v>
      </c>
      <c r="F18" s="36" t="s">
        <v>723</v>
      </c>
      <c r="G18" s="36"/>
    </row>
    <row r="19" spans="1:7" x14ac:dyDescent="0.25">
      <c r="A19" s="121" t="s">
        <v>726</v>
      </c>
      <c r="B19" s="88" t="s">
        <v>632</v>
      </c>
      <c r="C19" s="36"/>
      <c r="D19" s="36">
        <v>160</v>
      </c>
      <c r="E19" s="136">
        <f t="shared" si="0"/>
        <v>2040</v>
      </c>
      <c r="F19" s="36" t="s">
        <v>727</v>
      </c>
      <c r="G19" s="36"/>
    </row>
    <row r="20" spans="1:7" s="29" customFormat="1" ht="14.25" x14ac:dyDescent="0.2">
      <c r="A20" s="121" t="s">
        <v>728</v>
      </c>
      <c r="B20" s="36" t="s">
        <v>632</v>
      </c>
      <c r="C20" s="36"/>
      <c r="D20" s="36">
        <v>60</v>
      </c>
      <c r="E20" s="36">
        <f t="shared" si="0"/>
        <v>1980</v>
      </c>
      <c r="F20" s="36" t="s">
        <v>731</v>
      </c>
      <c r="G20" s="36"/>
    </row>
    <row r="21" spans="1:7" s="29" customFormat="1" ht="14.25" x14ac:dyDescent="0.2">
      <c r="A21" s="121" t="s">
        <v>739</v>
      </c>
      <c r="B21" s="36" t="s">
        <v>632</v>
      </c>
      <c r="C21" s="36"/>
      <c r="D21" s="36">
        <v>160</v>
      </c>
      <c r="E21" s="36">
        <f t="shared" si="0"/>
        <v>1820</v>
      </c>
      <c r="F21" s="36" t="s">
        <v>740</v>
      </c>
      <c r="G21" s="36"/>
    </row>
    <row r="22" spans="1:7" x14ac:dyDescent="0.25">
      <c r="A22" s="121" t="s">
        <v>803</v>
      </c>
      <c r="B22" s="36" t="s">
        <v>632</v>
      </c>
      <c r="C22" s="36">
        <v>160</v>
      </c>
      <c r="D22" s="36"/>
      <c r="E22" s="36">
        <f t="shared" si="0"/>
        <v>1980</v>
      </c>
      <c r="F22" s="36"/>
      <c r="G22" s="36"/>
    </row>
    <row r="23" spans="1:7" x14ac:dyDescent="0.25">
      <c r="A23" s="121" t="s">
        <v>804</v>
      </c>
      <c r="B23" s="36" t="s">
        <v>632</v>
      </c>
      <c r="C23" s="36">
        <v>130</v>
      </c>
      <c r="D23" s="36"/>
      <c r="E23" s="36">
        <f t="shared" si="0"/>
        <v>2110</v>
      </c>
      <c r="F23" s="36"/>
      <c r="G23" s="36"/>
    </row>
    <row r="24" spans="1:7" x14ac:dyDescent="0.25">
      <c r="A24" s="121" t="s">
        <v>848</v>
      </c>
      <c r="B24" s="36" t="s">
        <v>632</v>
      </c>
      <c r="C24" s="36">
        <v>160</v>
      </c>
      <c r="D24" s="36"/>
      <c r="E24" s="36">
        <f t="shared" si="0"/>
        <v>2270</v>
      </c>
      <c r="F24" s="36"/>
      <c r="G24" s="36"/>
    </row>
    <row r="25" spans="1:7" x14ac:dyDescent="0.25">
      <c r="A25" s="121" t="s">
        <v>847</v>
      </c>
      <c r="B25" s="36" t="s">
        <v>632</v>
      </c>
      <c r="C25" s="36">
        <v>150</v>
      </c>
      <c r="D25" s="36"/>
      <c r="E25" s="36">
        <f t="shared" si="0"/>
        <v>2420</v>
      </c>
      <c r="F25" s="36"/>
      <c r="G25" s="36"/>
    </row>
    <row r="26" spans="1:7" x14ac:dyDescent="0.25">
      <c r="A26" s="121" t="s">
        <v>869</v>
      </c>
      <c r="B26" s="36" t="s">
        <v>632</v>
      </c>
      <c r="C26" s="36">
        <v>101</v>
      </c>
      <c r="D26" s="36"/>
      <c r="E26" s="36">
        <f t="shared" si="0"/>
        <v>2521</v>
      </c>
      <c r="F26" s="36"/>
      <c r="G26" s="36"/>
    </row>
    <row r="27" spans="1:7" x14ac:dyDescent="0.25">
      <c r="A27" s="269" t="s">
        <v>873</v>
      </c>
      <c r="B27" s="88" t="s">
        <v>632</v>
      </c>
      <c r="C27" s="88">
        <v>98</v>
      </c>
      <c r="D27" s="36"/>
      <c r="E27" s="36">
        <f t="shared" si="0"/>
        <v>2619</v>
      </c>
      <c r="F27" s="36"/>
      <c r="G27" s="36"/>
    </row>
    <row r="28" spans="1:7" x14ac:dyDescent="0.25">
      <c r="A28" s="121" t="s">
        <v>880</v>
      </c>
      <c r="B28" s="88" t="s">
        <v>632</v>
      </c>
      <c r="C28" s="36">
        <v>61</v>
      </c>
      <c r="D28" s="36"/>
      <c r="E28" s="36">
        <f t="shared" si="0"/>
        <v>2680</v>
      </c>
      <c r="F28" s="36"/>
      <c r="G28" s="36"/>
    </row>
    <row r="29" spans="1:7" x14ac:dyDescent="0.25">
      <c r="A29" s="36"/>
      <c r="B29" s="36"/>
      <c r="C29" s="36"/>
      <c r="D29" s="36"/>
      <c r="E29" s="36"/>
      <c r="F29" s="36"/>
      <c r="G29" s="36"/>
    </row>
    <row r="30" spans="1:7" x14ac:dyDescent="0.25">
      <c r="A30" s="36"/>
      <c r="B30" s="36"/>
      <c r="C30" s="36"/>
      <c r="D30" s="36"/>
      <c r="E30" s="36"/>
      <c r="F30" s="36"/>
      <c r="G30" s="36"/>
    </row>
    <row r="31" spans="1:7" x14ac:dyDescent="0.25">
      <c r="A31" s="36"/>
      <c r="B31" s="36"/>
      <c r="C31" s="36"/>
      <c r="D31" s="36"/>
      <c r="E31" s="36"/>
      <c r="F31" s="36"/>
      <c r="G31" s="36"/>
    </row>
    <row r="32" spans="1:7" x14ac:dyDescent="0.25">
      <c r="A32" s="36"/>
      <c r="B32" s="36"/>
      <c r="C32" s="36"/>
      <c r="D32" s="36"/>
      <c r="E32" s="36"/>
      <c r="F32" s="36"/>
      <c r="G32" s="36"/>
    </row>
    <row r="33" spans="1:7" x14ac:dyDescent="0.25">
      <c r="A33" s="36"/>
      <c r="B33" s="36"/>
      <c r="C33" s="36"/>
      <c r="D33" s="36"/>
      <c r="E33" s="36"/>
      <c r="F33" s="36"/>
      <c r="G33" s="36"/>
    </row>
  </sheetData>
  <pageMargins left="0.7" right="0.7" top="0.75" bottom="0.75" header="0.3" footer="0.3"/>
  <pageSetup paperSize="9"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workbookViewId="0">
      <selection activeCell="E9" sqref="E9:E11"/>
    </sheetView>
  </sheetViews>
  <sheetFormatPr defaultRowHeight="15" x14ac:dyDescent="0.25"/>
  <cols>
    <col min="1" max="1" width="12" style="129" customWidth="1"/>
    <col min="2" max="2" width="27.85546875" style="129" customWidth="1"/>
    <col min="3" max="5" width="9.28515625" style="129" bestFit="1" customWidth="1"/>
    <col min="6" max="6" width="16" style="129" customWidth="1"/>
    <col min="7" max="7" width="24.140625" style="129" customWidth="1"/>
  </cols>
  <sheetData>
    <row r="2" spans="1:7" x14ac:dyDescent="0.25">
      <c r="A2" s="177" t="s">
        <v>62</v>
      </c>
      <c r="B2" s="182"/>
      <c r="C2" s="182"/>
      <c r="D2" s="178"/>
      <c r="E2" s="178"/>
    </row>
    <row r="3" spans="1:7" x14ac:dyDescent="0.25">
      <c r="A3" s="178"/>
      <c r="B3" s="178"/>
      <c r="C3" s="178"/>
      <c r="D3" s="178"/>
      <c r="E3" s="178"/>
    </row>
    <row r="4" spans="1:7" x14ac:dyDescent="0.25">
      <c r="A4" s="134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6"/>
      <c r="B5" s="136" t="s">
        <v>318</v>
      </c>
      <c r="C5" s="136"/>
      <c r="D5" s="136"/>
      <c r="E5" s="136"/>
      <c r="F5" s="136">
        <v>2782</v>
      </c>
      <c r="G5" s="136"/>
    </row>
    <row r="6" spans="1:7" x14ac:dyDescent="0.25">
      <c r="A6" s="172"/>
      <c r="B6" s="172"/>
      <c r="C6" s="172"/>
      <c r="D6" s="172"/>
      <c r="E6" s="172">
        <v>2782</v>
      </c>
      <c r="F6" s="172"/>
      <c r="G6" s="172"/>
    </row>
    <row r="7" spans="1:7" x14ac:dyDescent="0.25">
      <c r="A7" s="138" t="s">
        <v>410</v>
      </c>
      <c r="B7" s="136" t="s">
        <v>414</v>
      </c>
      <c r="C7" s="136"/>
      <c r="D7" s="136">
        <v>30</v>
      </c>
      <c r="E7" s="136">
        <f>E6+C7-D7</f>
        <v>2752</v>
      </c>
      <c r="F7" s="136" t="s">
        <v>415</v>
      </c>
      <c r="G7" s="36"/>
    </row>
    <row r="8" spans="1:7" x14ac:dyDescent="0.25">
      <c r="A8" s="138" t="s">
        <v>416</v>
      </c>
      <c r="B8" s="136" t="s">
        <v>414</v>
      </c>
      <c r="C8" s="136"/>
      <c r="D8" s="136">
        <v>20</v>
      </c>
      <c r="E8" s="136">
        <f t="shared" ref="E8:E11" si="0">E7+C8-D8</f>
        <v>2732</v>
      </c>
      <c r="F8" s="136" t="s">
        <v>420</v>
      </c>
      <c r="G8" s="136"/>
    </row>
    <row r="9" spans="1:7" x14ac:dyDescent="0.25">
      <c r="A9" s="121" t="s">
        <v>562</v>
      </c>
      <c r="B9" s="156" t="s">
        <v>414</v>
      </c>
      <c r="C9" s="36">
        <v>1</v>
      </c>
      <c r="D9" s="136"/>
      <c r="E9" s="136">
        <f t="shared" si="0"/>
        <v>2733</v>
      </c>
      <c r="F9" s="136"/>
      <c r="G9" s="136"/>
    </row>
    <row r="10" spans="1:7" x14ac:dyDescent="0.25">
      <c r="A10" s="237" t="s">
        <v>644</v>
      </c>
      <c r="B10" s="156" t="s">
        <v>414</v>
      </c>
      <c r="C10" s="36">
        <v>48</v>
      </c>
      <c r="D10" s="136"/>
      <c r="E10" s="136">
        <f t="shared" si="0"/>
        <v>2781</v>
      </c>
      <c r="F10" s="136"/>
      <c r="G10" s="136"/>
    </row>
    <row r="11" spans="1:7" x14ac:dyDescent="0.25">
      <c r="A11" s="238" t="s">
        <v>663</v>
      </c>
      <c r="B11" s="156" t="s">
        <v>414</v>
      </c>
      <c r="C11" s="136">
        <v>1</v>
      </c>
      <c r="D11" s="136"/>
      <c r="E11" s="136">
        <f t="shared" si="0"/>
        <v>2782</v>
      </c>
      <c r="F11" s="136"/>
      <c r="G11" s="136"/>
    </row>
    <row r="12" spans="1:7" x14ac:dyDescent="0.25">
      <c r="A12" s="136"/>
      <c r="B12" s="136"/>
      <c r="C12" s="136"/>
      <c r="D12" s="136"/>
      <c r="E12" s="136"/>
      <c r="F12" s="136"/>
      <c r="G12" s="136"/>
    </row>
    <row r="13" spans="1:7" x14ac:dyDescent="0.25">
      <c r="A13" s="136"/>
      <c r="B13" s="136"/>
      <c r="C13" s="136"/>
      <c r="D13" s="136"/>
      <c r="E13" s="136"/>
      <c r="F13" s="136"/>
      <c r="G13" s="136"/>
    </row>
    <row r="14" spans="1:7" x14ac:dyDescent="0.25">
      <c r="A14" s="136"/>
      <c r="B14" s="136"/>
      <c r="C14" s="136"/>
      <c r="D14" s="136"/>
      <c r="E14" s="136"/>
      <c r="F14" s="136"/>
      <c r="G14" s="136"/>
    </row>
    <row r="15" spans="1:7" x14ac:dyDescent="0.25">
      <c r="A15" s="136"/>
      <c r="B15" s="136"/>
      <c r="C15" s="136"/>
      <c r="D15" s="136"/>
      <c r="E15" s="136"/>
      <c r="F15" s="136"/>
      <c r="G15" s="136"/>
    </row>
    <row r="16" spans="1:7" x14ac:dyDescent="0.25">
      <c r="A16" s="136"/>
      <c r="B16" s="136"/>
      <c r="C16" s="136"/>
      <c r="D16" s="136"/>
      <c r="E16" s="136"/>
      <c r="F16" s="136"/>
      <c r="G16" s="136"/>
    </row>
    <row r="17" spans="1:7" x14ac:dyDescent="0.25">
      <c r="A17" s="136"/>
      <c r="B17" s="136"/>
      <c r="C17" s="136"/>
      <c r="D17" s="136"/>
      <c r="E17" s="136"/>
      <c r="F17" s="136"/>
      <c r="G17" s="136"/>
    </row>
    <row r="18" spans="1:7" x14ac:dyDescent="0.25">
      <c r="A18" s="136"/>
      <c r="B18" s="136"/>
      <c r="C18" s="136"/>
      <c r="D18" s="136"/>
      <c r="E18" s="136"/>
      <c r="F18" s="136"/>
      <c r="G18" s="136"/>
    </row>
    <row r="19" spans="1:7" x14ac:dyDescent="0.25">
      <c r="A19" s="136"/>
      <c r="B19" s="136"/>
      <c r="C19" s="136"/>
      <c r="D19" s="136"/>
      <c r="E19" s="136"/>
      <c r="F19" s="136"/>
      <c r="G19" s="136"/>
    </row>
    <row r="20" spans="1:7" x14ac:dyDescent="0.25">
      <c r="A20" s="136"/>
      <c r="B20" s="136"/>
      <c r="C20" s="136"/>
      <c r="D20" s="136"/>
      <c r="E20" s="136"/>
      <c r="F20" s="136"/>
      <c r="G20" s="136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C12" sqref="C12"/>
    </sheetView>
  </sheetViews>
  <sheetFormatPr defaultRowHeight="15" x14ac:dyDescent="0.25"/>
  <cols>
    <col min="1" max="1" width="12" style="29" customWidth="1"/>
    <col min="2" max="2" width="28" style="29" customWidth="1"/>
    <col min="3" max="5" width="9.140625" style="29"/>
    <col min="6" max="6" width="17.7109375" style="29" customWidth="1"/>
    <col min="7" max="7" width="25.85546875" style="29" customWidth="1"/>
  </cols>
  <sheetData>
    <row r="2" spans="1:7" ht="15.75" x14ac:dyDescent="0.25">
      <c r="A2" s="70" t="s">
        <v>63</v>
      </c>
      <c r="B2" s="71"/>
      <c r="C2" s="71"/>
      <c r="D2" s="72"/>
      <c r="E2" s="72"/>
    </row>
    <row r="3" spans="1:7" x14ac:dyDescent="0.25">
      <c r="A3" s="72"/>
      <c r="B3" s="72"/>
      <c r="C3" s="72"/>
      <c r="D3" s="72"/>
      <c r="E3" s="72"/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111</v>
      </c>
      <c r="G5" s="36"/>
    </row>
    <row r="6" spans="1:7" x14ac:dyDescent="0.25">
      <c r="A6" s="164"/>
      <c r="B6" s="164"/>
      <c r="C6" s="164"/>
      <c r="D6" s="164"/>
      <c r="E6" s="164">
        <v>111</v>
      </c>
      <c r="F6" s="164"/>
      <c r="G6" s="164"/>
    </row>
    <row r="7" spans="1:7" x14ac:dyDescent="0.25">
      <c r="A7" s="138" t="s">
        <v>416</v>
      </c>
      <c r="B7" s="136" t="s">
        <v>414</v>
      </c>
      <c r="C7" s="136"/>
      <c r="D7" s="136">
        <v>20</v>
      </c>
      <c r="E7" s="36">
        <f>E6+C7-D7</f>
        <v>91</v>
      </c>
      <c r="F7" s="36" t="s">
        <v>421</v>
      </c>
      <c r="G7" s="36"/>
    </row>
    <row r="8" spans="1:7" x14ac:dyDescent="0.25">
      <c r="A8" s="269" t="s">
        <v>459</v>
      </c>
      <c r="B8" s="156" t="s">
        <v>414</v>
      </c>
      <c r="C8" s="88"/>
      <c r="D8" s="88">
        <v>62</v>
      </c>
      <c r="E8" s="36">
        <f>E7+C8-D8</f>
        <v>29</v>
      </c>
      <c r="F8" s="88" t="s">
        <v>460</v>
      </c>
      <c r="G8" s="36"/>
    </row>
    <row r="9" spans="1:7" x14ac:dyDescent="0.25">
      <c r="A9" s="121" t="s">
        <v>562</v>
      </c>
      <c r="B9" s="156" t="s">
        <v>414</v>
      </c>
      <c r="C9" s="36">
        <v>60</v>
      </c>
      <c r="D9" s="36"/>
      <c r="E9" s="36">
        <f t="shared" ref="E9:E10" si="0">E8+C9-D9</f>
        <v>89</v>
      </c>
      <c r="F9" s="36"/>
      <c r="G9" s="36"/>
    </row>
    <row r="10" spans="1:7" x14ac:dyDescent="0.25">
      <c r="A10" s="237" t="s">
        <v>644</v>
      </c>
      <c r="B10" s="156" t="s">
        <v>414</v>
      </c>
      <c r="C10" s="36">
        <v>21</v>
      </c>
      <c r="D10" s="36"/>
      <c r="E10" s="36">
        <f t="shared" si="0"/>
        <v>110</v>
      </c>
      <c r="F10" s="36"/>
      <c r="G10" s="36"/>
    </row>
    <row r="11" spans="1:7" x14ac:dyDescent="0.25">
      <c r="A11" s="152" t="s">
        <v>764</v>
      </c>
      <c r="B11" s="136" t="s">
        <v>414</v>
      </c>
      <c r="C11" s="136">
        <v>1</v>
      </c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  <row r="15" spans="1:7" x14ac:dyDescent="0.25">
      <c r="A15" s="36"/>
      <c r="B15" s="36"/>
      <c r="C15" s="36"/>
      <c r="D15" s="36"/>
      <c r="E15" s="36"/>
      <c r="F15" s="36"/>
      <c r="G15" s="36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zoomScale="120" zoomScaleNormal="120" workbookViewId="0">
      <selection activeCell="E8" sqref="E8"/>
    </sheetView>
  </sheetViews>
  <sheetFormatPr defaultRowHeight="15" x14ac:dyDescent="0.25"/>
  <cols>
    <col min="1" max="1" width="10.42578125" customWidth="1"/>
    <col min="2" max="2" width="28.140625" customWidth="1"/>
    <col min="6" max="6" width="19.140625" customWidth="1"/>
    <col min="7" max="7" width="24.7109375" customWidth="1"/>
  </cols>
  <sheetData>
    <row r="2" spans="1:7" ht="15.75" x14ac:dyDescent="0.25">
      <c r="A2" s="24" t="s">
        <v>64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 t="s">
        <v>318</v>
      </c>
      <c r="C5" s="1"/>
      <c r="D5" s="1"/>
      <c r="E5" s="1"/>
      <c r="F5" s="1">
        <v>806</v>
      </c>
      <c r="G5" s="1"/>
    </row>
    <row r="6" spans="1:7" x14ac:dyDescent="0.25">
      <c r="A6" s="168"/>
      <c r="B6" s="168"/>
      <c r="C6" s="168"/>
      <c r="D6" s="168"/>
      <c r="E6" s="168">
        <v>806</v>
      </c>
      <c r="F6" s="168"/>
      <c r="G6" s="168"/>
    </row>
    <row r="7" spans="1:7" x14ac:dyDescent="0.25">
      <c r="A7" s="252" t="s">
        <v>352</v>
      </c>
      <c r="B7" s="1" t="s">
        <v>182</v>
      </c>
      <c r="C7" s="1">
        <v>18</v>
      </c>
      <c r="D7" s="1"/>
      <c r="E7" s="1">
        <f>E6+C7-D7</f>
        <v>824</v>
      </c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F13" sqref="F13"/>
    </sheetView>
  </sheetViews>
  <sheetFormatPr defaultRowHeight="15" x14ac:dyDescent="0.25"/>
  <cols>
    <col min="2" max="2" width="18.42578125" customWidth="1"/>
    <col min="6" max="6" width="18.28515625" customWidth="1"/>
    <col min="7" max="7" width="25.85546875" customWidth="1"/>
  </cols>
  <sheetData>
    <row r="2" spans="1:7" ht="15.75" x14ac:dyDescent="0.25">
      <c r="A2" s="24" t="s">
        <v>65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3"/>
      <c r="B5" s="13" t="s">
        <v>243</v>
      </c>
      <c r="C5" s="13"/>
      <c r="D5" s="13"/>
      <c r="E5" s="180">
        <v>63</v>
      </c>
      <c r="F5" s="14"/>
      <c r="G5" s="15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zoomScale="120" zoomScaleNormal="120" workbookViewId="0">
      <selection activeCell="B8" sqref="A8:B8"/>
    </sheetView>
  </sheetViews>
  <sheetFormatPr defaultRowHeight="15" x14ac:dyDescent="0.25"/>
  <cols>
    <col min="1" max="1" width="12.28515625" customWidth="1"/>
    <col min="2" max="2" width="27.7109375" customWidth="1"/>
    <col min="6" max="6" width="14.28515625" customWidth="1"/>
    <col min="7" max="7" width="20.85546875" customWidth="1"/>
  </cols>
  <sheetData>
    <row r="2" spans="1:7" ht="15.75" x14ac:dyDescent="0.25">
      <c r="A2" s="24" t="s">
        <v>66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 t="s">
        <v>318</v>
      </c>
      <c r="C5" s="1"/>
      <c r="D5" s="1"/>
      <c r="E5" s="1"/>
      <c r="F5" s="1">
        <v>2188</v>
      </c>
      <c r="G5" s="1"/>
    </row>
    <row r="6" spans="1:7" x14ac:dyDescent="0.25">
      <c r="A6" s="168"/>
      <c r="B6" s="168"/>
      <c r="C6" s="168"/>
      <c r="D6" s="168"/>
      <c r="E6" s="168">
        <v>2188</v>
      </c>
      <c r="F6" s="168"/>
      <c r="G6" s="168"/>
    </row>
    <row r="7" spans="1:7" x14ac:dyDescent="0.25">
      <c r="A7" s="252" t="s">
        <v>352</v>
      </c>
      <c r="B7" s="1" t="s">
        <v>182</v>
      </c>
      <c r="C7" s="1">
        <v>86</v>
      </c>
      <c r="D7" s="1"/>
      <c r="E7" s="1">
        <f>E6+C7-D7</f>
        <v>2274</v>
      </c>
      <c r="F7" s="1"/>
      <c r="G7" s="1"/>
    </row>
    <row r="8" spans="1:7" x14ac:dyDescent="0.25">
      <c r="A8" s="114"/>
      <c r="B8" s="1"/>
      <c r="C8" s="1"/>
      <c r="D8" s="1"/>
      <c r="E8" s="1"/>
      <c r="F8" s="1"/>
      <c r="G8" s="1"/>
    </row>
  </sheetData>
  <pageMargins left="0.7" right="0.7" top="0.75" bottom="0.75" header="0.3" footer="0.3"/>
  <pageSetup paperSize="9"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zoomScale="110" zoomScaleNormal="110" workbookViewId="0">
      <selection activeCell="J14" sqref="J14"/>
    </sheetView>
  </sheetViews>
  <sheetFormatPr defaultRowHeight="15" x14ac:dyDescent="0.25"/>
  <cols>
    <col min="1" max="1" width="12.85546875" style="29" customWidth="1"/>
    <col min="2" max="2" width="24.85546875" style="29" customWidth="1"/>
    <col min="3" max="5" width="9.140625" style="29"/>
    <col min="6" max="6" width="13.28515625" style="29" customWidth="1"/>
    <col min="7" max="7" width="25.85546875" style="29" customWidth="1"/>
  </cols>
  <sheetData>
    <row r="2" spans="1:7" x14ac:dyDescent="0.25">
      <c r="A2" s="78" t="s">
        <v>87</v>
      </c>
      <c r="B2" s="78"/>
      <c r="C2" s="58"/>
      <c r="D2" s="58"/>
      <c r="E2" s="58"/>
      <c r="F2" s="58"/>
    </row>
    <row r="3" spans="1:7" x14ac:dyDescent="0.25">
      <c r="A3" s="58"/>
      <c r="B3" s="58"/>
      <c r="C3" s="58"/>
      <c r="D3" s="58"/>
      <c r="E3" s="58"/>
      <c r="F3" s="58"/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2643</v>
      </c>
      <c r="G5" s="36"/>
    </row>
    <row r="6" spans="1:7" x14ac:dyDescent="0.25">
      <c r="A6" s="164"/>
      <c r="B6" s="164"/>
      <c r="C6" s="164"/>
      <c r="D6" s="164"/>
      <c r="E6" s="164">
        <v>2643</v>
      </c>
      <c r="F6" s="164"/>
      <c r="G6" s="164"/>
    </row>
    <row r="7" spans="1:7" x14ac:dyDescent="0.25">
      <c r="A7" s="36"/>
      <c r="B7" s="36"/>
      <c r="C7" s="36"/>
      <c r="D7" s="36"/>
      <c r="E7" s="36"/>
      <c r="F7" s="36"/>
      <c r="G7" s="36"/>
    </row>
    <row r="8" spans="1:7" x14ac:dyDescent="0.25">
      <c r="A8" s="36"/>
      <c r="B8" s="36"/>
      <c r="C8" s="36"/>
      <c r="D8" s="36"/>
      <c r="E8" s="36"/>
      <c r="F8" s="36"/>
      <c r="G8" s="36"/>
    </row>
    <row r="9" spans="1:7" x14ac:dyDescent="0.25">
      <c r="A9" s="36"/>
      <c r="B9" s="36"/>
      <c r="C9" s="36"/>
      <c r="D9" s="36"/>
      <c r="E9" s="36"/>
      <c r="F9" s="36"/>
      <c r="G9" s="36"/>
    </row>
    <row r="10" spans="1:7" x14ac:dyDescent="0.25">
      <c r="A10" s="36"/>
      <c r="B10" s="36"/>
      <c r="C10" s="36"/>
      <c r="D10" s="36"/>
      <c r="E10" s="36"/>
      <c r="F10" s="36"/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  <row r="15" spans="1:7" x14ac:dyDescent="0.25">
      <c r="A15" s="36"/>
      <c r="B15" s="36"/>
      <c r="C15" s="36"/>
      <c r="D15" s="36"/>
      <c r="E15" s="36"/>
      <c r="F15" s="36"/>
      <c r="G15" s="36"/>
    </row>
    <row r="16" spans="1:7" x14ac:dyDescent="0.25">
      <c r="A16" s="36"/>
      <c r="B16" s="36"/>
      <c r="C16" s="36"/>
      <c r="D16" s="36"/>
      <c r="E16" s="36"/>
      <c r="F16" s="36"/>
      <c r="G16" s="36"/>
    </row>
    <row r="17" spans="1:7" x14ac:dyDescent="0.25">
      <c r="A17" s="36"/>
      <c r="B17" s="36"/>
      <c r="C17" s="36"/>
      <c r="D17" s="36"/>
      <c r="E17" s="36"/>
      <c r="F17" s="36"/>
      <c r="G17" s="36"/>
    </row>
    <row r="18" spans="1:7" x14ac:dyDescent="0.25">
      <c r="A18" s="36"/>
      <c r="B18" s="36"/>
      <c r="C18" s="36"/>
      <c r="D18" s="36"/>
      <c r="E18" s="36"/>
      <c r="F18" s="36"/>
      <c r="G18" s="36"/>
    </row>
    <row r="19" spans="1:7" x14ac:dyDescent="0.25">
      <c r="A19" s="36"/>
      <c r="B19" s="36"/>
      <c r="C19" s="36"/>
      <c r="D19" s="36"/>
      <c r="E19" s="36"/>
      <c r="F19" s="36"/>
      <c r="G19" s="36"/>
    </row>
    <row r="20" spans="1:7" x14ac:dyDescent="0.25">
      <c r="A20" s="36"/>
      <c r="B20" s="36"/>
      <c r="C20" s="36"/>
      <c r="D20" s="36"/>
      <c r="E20" s="36"/>
      <c r="F20" s="36"/>
      <c r="G20" s="36"/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zoomScale="110" zoomScaleNormal="110" workbookViewId="0">
      <selection activeCell="E10" sqref="E10:E12"/>
    </sheetView>
  </sheetViews>
  <sheetFormatPr defaultRowHeight="15" x14ac:dyDescent="0.25"/>
  <cols>
    <col min="1" max="1" width="13.85546875" style="29" customWidth="1"/>
    <col min="2" max="2" width="27" style="29" customWidth="1"/>
    <col min="3" max="5" width="9.140625" style="29"/>
    <col min="6" max="6" width="19" style="29" customWidth="1"/>
    <col min="7" max="7" width="22" style="29" customWidth="1"/>
  </cols>
  <sheetData>
    <row r="2" spans="1:7" x14ac:dyDescent="0.25">
      <c r="A2" s="75" t="s">
        <v>96</v>
      </c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1372</v>
      </c>
      <c r="G5" s="36"/>
    </row>
    <row r="6" spans="1:7" x14ac:dyDescent="0.25">
      <c r="A6" s="164"/>
      <c r="B6" s="164"/>
      <c r="C6" s="164"/>
      <c r="D6" s="164"/>
      <c r="E6" s="164">
        <v>1372</v>
      </c>
      <c r="F6" s="164"/>
      <c r="G6" s="164"/>
    </row>
    <row r="7" spans="1:7" x14ac:dyDescent="0.25">
      <c r="A7" s="121" t="s">
        <v>315</v>
      </c>
      <c r="B7" s="36" t="s">
        <v>316</v>
      </c>
      <c r="C7" s="36"/>
      <c r="D7" s="36">
        <v>16</v>
      </c>
      <c r="E7" s="36">
        <f>E6+C7-D7</f>
        <v>1356</v>
      </c>
      <c r="F7" s="36" t="s">
        <v>317</v>
      </c>
      <c r="G7" s="36"/>
    </row>
    <row r="8" spans="1:7" x14ac:dyDescent="0.25">
      <c r="A8" s="152" t="s">
        <v>528</v>
      </c>
      <c r="B8" s="136" t="s">
        <v>529</v>
      </c>
      <c r="C8" s="136"/>
      <c r="D8" s="136">
        <v>6</v>
      </c>
      <c r="E8" s="36">
        <f>E7+C8-D8</f>
        <v>1350</v>
      </c>
      <c r="F8" s="136" t="s">
        <v>530</v>
      </c>
      <c r="G8" s="36"/>
    </row>
    <row r="9" spans="1:7" x14ac:dyDescent="0.25">
      <c r="A9" s="121" t="s">
        <v>573</v>
      </c>
      <c r="B9" s="36" t="s">
        <v>575</v>
      </c>
      <c r="C9" s="36">
        <v>35</v>
      </c>
      <c r="D9" s="36"/>
      <c r="E9" s="36">
        <f t="shared" ref="E9:E12" si="0">E8+C9-D9</f>
        <v>1385</v>
      </c>
      <c r="F9" s="36"/>
      <c r="G9" s="36"/>
    </row>
    <row r="10" spans="1:7" x14ac:dyDescent="0.25">
      <c r="A10" s="121" t="s">
        <v>701</v>
      </c>
      <c r="B10" s="36" t="s">
        <v>529</v>
      </c>
      <c r="C10" s="36">
        <v>13</v>
      </c>
      <c r="D10" s="36"/>
      <c r="E10" s="36">
        <f t="shared" si="0"/>
        <v>1398</v>
      </c>
      <c r="F10" s="36"/>
      <c r="G10" s="36"/>
    </row>
    <row r="11" spans="1:7" x14ac:dyDescent="0.25">
      <c r="A11" s="138" t="s">
        <v>835</v>
      </c>
      <c r="B11" s="136" t="s">
        <v>454</v>
      </c>
      <c r="C11" s="136"/>
      <c r="D11" s="136">
        <v>40</v>
      </c>
      <c r="E11" s="36">
        <f t="shared" si="0"/>
        <v>1358</v>
      </c>
      <c r="F11" s="136" t="s">
        <v>838</v>
      </c>
      <c r="G11" s="36"/>
    </row>
    <row r="12" spans="1:7" x14ac:dyDescent="0.25">
      <c r="A12" s="152" t="s">
        <v>911</v>
      </c>
      <c r="B12" s="36" t="s">
        <v>912</v>
      </c>
      <c r="C12" s="36">
        <v>13</v>
      </c>
      <c r="D12" s="36"/>
      <c r="E12" s="36">
        <f t="shared" si="0"/>
        <v>1371</v>
      </c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  <row r="14" spans="1:7" x14ac:dyDescent="0.25">
      <c r="A14" s="36"/>
      <c r="B14" s="36"/>
      <c r="C14" s="36"/>
      <c r="D14" s="36"/>
      <c r="E14" s="36"/>
      <c r="F14" s="36"/>
      <c r="G14" s="36"/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zoomScaleNormal="100" workbookViewId="0">
      <selection activeCell="E8" sqref="E8:E9"/>
    </sheetView>
  </sheetViews>
  <sheetFormatPr defaultRowHeight="15" x14ac:dyDescent="0.25"/>
  <cols>
    <col min="1" max="1" width="13.28515625" style="29" customWidth="1"/>
    <col min="2" max="2" width="31.42578125" style="29" customWidth="1"/>
    <col min="3" max="5" width="9.140625" style="29"/>
    <col min="6" max="6" width="16.85546875" style="29" customWidth="1"/>
    <col min="7" max="7" width="26" style="29" customWidth="1"/>
  </cols>
  <sheetData>
    <row r="2" spans="1:7" x14ac:dyDescent="0.25">
      <c r="A2" s="79" t="s">
        <v>84</v>
      </c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3253</v>
      </c>
      <c r="G5" s="36"/>
    </row>
    <row r="6" spans="1:7" x14ac:dyDescent="0.25">
      <c r="A6" s="164"/>
      <c r="B6" s="164"/>
      <c r="C6" s="164"/>
      <c r="D6" s="164"/>
      <c r="E6" s="164">
        <v>3253</v>
      </c>
      <c r="F6" s="164"/>
      <c r="G6" s="164"/>
    </row>
    <row r="7" spans="1:7" x14ac:dyDescent="0.25">
      <c r="A7" s="121" t="s">
        <v>315</v>
      </c>
      <c r="B7" s="36" t="s">
        <v>316</v>
      </c>
      <c r="C7" s="36"/>
      <c r="D7" s="36">
        <v>8</v>
      </c>
      <c r="E7" s="36">
        <f>E6+C7-D7</f>
        <v>3245</v>
      </c>
      <c r="F7" s="36" t="s">
        <v>317</v>
      </c>
      <c r="G7" s="36"/>
    </row>
    <row r="8" spans="1:7" x14ac:dyDescent="0.25">
      <c r="A8" s="138" t="s">
        <v>835</v>
      </c>
      <c r="B8" s="136" t="s">
        <v>454</v>
      </c>
      <c r="C8" s="136"/>
      <c r="D8" s="136">
        <v>45</v>
      </c>
      <c r="E8" s="36">
        <f>E7+C8-D8</f>
        <v>3200</v>
      </c>
      <c r="F8" s="136" t="s">
        <v>838</v>
      </c>
      <c r="G8" s="36"/>
    </row>
    <row r="9" spans="1:7" x14ac:dyDescent="0.25">
      <c r="A9" s="152" t="s">
        <v>911</v>
      </c>
      <c r="B9" s="36" t="s">
        <v>912</v>
      </c>
      <c r="C9" s="36">
        <v>8</v>
      </c>
      <c r="D9" s="36"/>
      <c r="E9" s="36">
        <f>E8+C9-D9</f>
        <v>3208</v>
      </c>
      <c r="F9" s="36"/>
      <c r="G9" s="36"/>
    </row>
    <row r="10" spans="1:7" x14ac:dyDescent="0.25">
      <c r="A10" s="36"/>
      <c r="B10" s="36"/>
      <c r="C10" s="36"/>
      <c r="D10" s="36"/>
      <c r="E10" s="36"/>
      <c r="F10" s="36"/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zoomScaleNormal="100" workbookViewId="0">
      <selection activeCell="C19" sqref="C19"/>
    </sheetView>
  </sheetViews>
  <sheetFormatPr defaultRowHeight="15" x14ac:dyDescent="0.25"/>
  <cols>
    <col min="1" max="1" width="11.7109375" style="29" customWidth="1"/>
    <col min="2" max="2" width="38.7109375" style="29" customWidth="1"/>
    <col min="3" max="5" width="9.140625" style="29"/>
    <col min="6" max="6" width="14.7109375" style="29" customWidth="1"/>
    <col min="7" max="7" width="24.140625" style="29" customWidth="1"/>
  </cols>
  <sheetData>
    <row r="2" spans="1:7" x14ac:dyDescent="0.25">
      <c r="A2" s="76" t="s">
        <v>78</v>
      </c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/>
      <c r="C5" s="36"/>
      <c r="D5" s="36"/>
      <c r="E5" s="36"/>
      <c r="F5" s="36">
        <v>7406</v>
      </c>
      <c r="G5" s="36"/>
    </row>
    <row r="6" spans="1:7" x14ac:dyDescent="0.25">
      <c r="A6" s="164"/>
      <c r="B6" s="164" t="s">
        <v>314</v>
      </c>
      <c r="C6" s="164"/>
      <c r="D6" s="164"/>
      <c r="E6" s="164">
        <v>7406</v>
      </c>
      <c r="F6" s="164"/>
      <c r="G6" s="164"/>
    </row>
    <row r="7" spans="1:7" x14ac:dyDescent="0.25">
      <c r="A7" s="121" t="s">
        <v>315</v>
      </c>
      <c r="B7" s="36" t="s">
        <v>316</v>
      </c>
      <c r="C7" s="36"/>
      <c r="D7" s="36">
        <v>24</v>
      </c>
      <c r="E7" s="36">
        <f>E6+C7-D7</f>
        <v>7382</v>
      </c>
      <c r="F7" s="36" t="s">
        <v>317</v>
      </c>
      <c r="G7" s="36"/>
    </row>
    <row r="8" spans="1:7" x14ac:dyDescent="0.25">
      <c r="A8" s="152" t="s">
        <v>528</v>
      </c>
      <c r="B8" s="136" t="s">
        <v>529</v>
      </c>
      <c r="C8" s="136"/>
      <c r="D8" s="136">
        <v>14</v>
      </c>
      <c r="E8" s="36">
        <f t="shared" ref="E8:E19" si="0">E7+C8-D8</f>
        <v>7368</v>
      </c>
      <c r="F8" s="136" t="s">
        <v>530</v>
      </c>
      <c r="G8" s="36"/>
    </row>
    <row r="9" spans="1:7" x14ac:dyDescent="0.25">
      <c r="A9" s="121" t="s">
        <v>673</v>
      </c>
      <c r="B9" s="36" t="s">
        <v>674</v>
      </c>
      <c r="C9" s="36"/>
      <c r="D9" s="36">
        <v>230</v>
      </c>
      <c r="E9" s="36">
        <f t="shared" si="0"/>
        <v>7138</v>
      </c>
      <c r="F9" s="36" t="s">
        <v>675</v>
      </c>
      <c r="G9" s="36"/>
    </row>
    <row r="10" spans="1:7" x14ac:dyDescent="0.25">
      <c r="A10" s="121" t="s">
        <v>673</v>
      </c>
      <c r="B10" s="36" t="s">
        <v>674</v>
      </c>
      <c r="C10" s="36"/>
      <c r="D10" s="36">
        <v>200</v>
      </c>
      <c r="E10" s="36">
        <f t="shared" si="0"/>
        <v>6938</v>
      </c>
      <c r="F10" s="36" t="s">
        <v>676</v>
      </c>
      <c r="G10" s="36"/>
    </row>
    <row r="11" spans="1:7" x14ac:dyDescent="0.25">
      <c r="A11" s="121" t="s">
        <v>677</v>
      </c>
      <c r="B11" s="36" t="s">
        <v>674</v>
      </c>
      <c r="C11" s="36"/>
      <c r="D11" s="36">
        <v>240</v>
      </c>
      <c r="E11" s="36">
        <f t="shared" si="0"/>
        <v>6698</v>
      </c>
      <c r="F11" s="36" t="s">
        <v>678</v>
      </c>
      <c r="G11" s="36"/>
    </row>
    <row r="12" spans="1:7" x14ac:dyDescent="0.25">
      <c r="A12" s="121" t="s">
        <v>677</v>
      </c>
      <c r="B12" s="36" t="s">
        <v>674</v>
      </c>
      <c r="C12" s="36"/>
      <c r="D12" s="36">
        <v>230</v>
      </c>
      <c r="E12" s="36">
        <f t="shared" si="0"/>
        <v>6468</v>
      </c>
      <c r="F12" s="36" t="s">
        <v>679</v>
      </c>
      <c r="G12" s="36"/>
    </row>
    <row r="13" spans="1:7" x14ac:dyDescent="0.25">
      <c r="A13" s="121" t="s">
        <v>681</v>
      </c>
      <c r="B13" s="36" t="s">
        <v>674</v>
      </c>
      <c r="C13" s="36"/>
      <c r="D13" s="36">
        <v>250</v>
      </c>
      <c r="E13" s="36">
        <f t="shared" si="0"/>
        <v>6218</v>
      </c>
      <c r="F13" s="36" t="s">
        <v>682</v>
      </c>
      <c r="G13" s="36"/>
    </row>
    <row r="14" spans="1:7" x14ac:dyDescent="0.25">
      <c r="A14" s="121" t="s">
        <v>692</v>
      </c>
      <c r="B14" s="36" t="s">
        <v>674</v>
      </c>
      <c r="C14" s="36"/>
      <c r="D14" s="36">
        <v>900</v>
      </c>
      <c r="E14" s="36">
        <f t="shared" si="0"/>
        <v>5318</v>
      </c>
      <c r="F14" s="36" t="s">
        <v>693</v>
      </c>
      <c r="G14" s="36"/>
    </row>
    <row r="15" spans="1:7" x14ac:dyDescent="0.25">
      <c r="A15" s="121" t="s">
        <v>701</v>
      </c>
      <c r="B15" s="36" t="s">
        <v>529</v>
      </c>
      <c r="C15" s="36">
        <v>34</v>
      </c>
      <c r="D15" s="36"/>
      <c r="E15" s="36">
        <f t="shared" si="0"/>
        <v>5352</v>
      </c>
      <c r="F15" s="36"/>
      <c r="G15" s="36"/>
    </row>
    <row r="16" spans="1:7" x14ac:dyDescent="0.25">
      <c r="A16" s="121" t="s">
        <v>778</v>
      </c>
      <c r="B16" s="36" t="s">
        <v>674</v>
      </c>
      <c r="C16" s="36">
        <v>350</v>
      </c>
      <c r="D16" s="36"/>
      <c r="E16" s="36">
        <f t="shared" si="0"/>
        <v>5702</v>
      </c>
      <c r="F16" s="36"/>
      <c r="G16" s="36"/>
    </row>
    <row r="17" spans="1:7" x14ac:dyDescent="0.25">
      <c r="A17" s="121" t="s">
        <v>780</v>
      </c>
      <c r="B17" s="36" t="s">
        <v>674</v>
      </c>
      <c r="C17" s="36">
        <v>405</v>
      </c>
      <c r="D17" s="36"/>
      <c r="E17" s="36">
        <f t="shared" si="0"/>
        <v>6107</v>
      </c>
      <c r="F17" s="36"/>
      <c r="G17" s="36"/>
    </row>
    <row r="18" spans="1:7" x14ac:dyDescent="0.25">
      <c r="A18" s="152" t="s">
        <v>883</v>
      </c>
      <c r="B18" s="136" t="s">
        <v>588</v>
      </c>
      <c r="C18" s="136">
        <v>3</v>
      </c>
      <c r="D18" s="36"/>
      <c r="E18" s="36">
        <f t="shared" si="0"/>
        <v>6110</v>
      </c>
      <c r="F18" s="36"/>
      <c r="G18" s="36"/>
    </row>
    <row r="19" spans="1:7" x14ac:dyDescent="0.25">
      <c r="A19" s="152" t="s">
        <v>911</v>
      </c>
      <c r="B19" s="36" t="s">
        <v>912</v>
      </c>
      <c r="C19" s="36">
        <v>21</v>
      </c>
      <c r="D19" s="36"/>
      <c r="E19" s="36">
        <f t="shared" si="0"/>
        <v>6131</v>
      </c>
      <c r="F19" s="36"/>
      <c r="G19" s="36"/>
    </row>
    <row r="20" spans="1:7" x14ac:dyDescent="0.25">
      <c r="A20" s="36"/>
      <c r="B20" s="36"/>
      <c r="C20" s="36"/>
      <c r="D20" s="36"/>
      <c r="E20" s="36"/>
      <c r="F20" s="36"/>
      <c r="G20" s="36"/>
    </row>
    <row r="21" spans="1:7" x14ac:dyDescent="0.25">
      <c r="A21" s="36"/>
      <c r="B21" s="36"/>
      <c r="C21" s="36"/>
      <c r="D21" s="36"/>
      <c r="E21" s="36"/>
      <c r="F21" s="36"/>
      <c r="G21" s="36"/>
    </row>
  </sheetData>
  <pageMargins left="0.7" right="0.7" top="0.75" bottom="0.75" header="0.3" footer="0.3"/>
  <pageSetup paperSize="9"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C8" sqref="C8"/>
    </sheetView>
  </sheetViews>
  <sheetFormatPr defaultRowHeight="15" x14ac:dyDescent="0.25"/>
  <cols>
    <col min="1" max="1" width="9.140625" style="129"/>
    <col min="2" max="2" width="26.7109375" style="129" customWidth="1"/>
    <col min="3" max="5" width="9.140625" style="129"/>
    <col min="6" max="6" width="16.85546875" style="129" customWidth="1"/>
    <col min="7" max="7" width="29.5703125" style="129" customWidth="1"/>
  </cols>
  <sheetData>
    <row r="2" spans="1:7" x14ac:dyDescent="0.25">
      <c r="A2" s="297" t="s">
        <v>590</v>
      </c>
    </row>
    <row r="4" spans="1:7" x14ac:dyDescent="0.25">
      <c r="A4" s="134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52" t="s">
        <v>589</v>
      </c>
      <c r="B5" s="136" t="s">
        <v>511</v>
      </c>
      <c r="C5" s="136"/>
      <c r="D5" s="136">
        <v>100</v>
      </c>
      <c r="E5" s="136"/>
      <c r="F5" s="136" t="s">
        <v>586</v>
      </c>
      <c r="G5" s="136"/>
    </row>
    <row r="6" spans="1:7" x14ac:dyDescent="0.25">
      <c r="A6" s="152" t="s">
        <v>595</v>
      </c>
      <c r="B6" s="136" t="s">
        <v>511</v>
      </c>
      <c r="C6" s="136"/>
      <c r="D6" s="136">
        <v>100</v>
      </c>
      <c r="E6" s="136"/>
      <c r="F6" s="136" t="s">
        <v>600</v>
      </c>
      <c r="G6" s="136"/>
    </row>
    <row r="7" spans="1:7" x14ac:dyDescent="0.25">
      <c r="A7" s="152" t="s">
        <v>883</v>
      </c>
      <c r="B7" s="136" t="s">
        <v>588</v>
      </c>
      <c r="C7" s="136">
        <v>98</v>
      </c>
      <c r="D7" s="136"/>
      <c r="E7" s="136"/>
      <c r="F7" s="136"/>
      <c r="G7" s="136"/>
    </row>
    <row r="8" spans="1:7" x14ac:dyDescent="0.25">
      <c r="A8" s="136"/>
      <c r="B8" s="136"/>
      <c r="C8" s="136"/>
      <c r="D8" s="136"/>
      <c r="E8" s="136"/>
      <c r="F8" s="136"/>
      <c r="G8" s="136"/>
    </row>
    <row r="9" spans="1:7" x14ac:dyDescent="0.25">
      <c r="A9" s="136"/>
      <c r="B9" s="136"/>
      <c r="C9" s="136"/>
      <c r="D9" s="136"/>
      <c r="E9" s="136"/>
      <c r="F9" s="136"/>
      <c r="G9" s="136"/>
    </row>
    <row r="10" spans="1:7" x14ac:dyDescent="0.25">
      <c r="A10" s="136"/>
      <c r="B10" s="136"/>
      <c r="C10" s="136"/>
      <c r="D10" s="136"/>
      <c r="E10" s="136"/>
      <c r="F10" s="136"/>
      <c r="G10" s="136"/>
    </row>
    <row r="11" spans="1:7" x14ac:dyDescent="0.25">
      <c r="A11" s="136"/>
      <c r="B11" s="136"/>
      <c r="C11" s="136"/>
      <c r="D11" s="136"/>
      <c r="E11" s="136"/>
      <c r="F11" s="136"/>
      <c r="G11" s="136"/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workbookViewId="0">
      <selection activeCell="E8" sqref="E8:E10"/>
    </sheetView>
  </sheetViews>
  <sheetFormatPr defaultRowHeight="15" x14ac:dyDescent="0.25"/>
  <cols>
    <col min="1" max="1" width="12.5703125" style="29" customWidth="1"/>
    <col min="2" max="2" width="27" style="29" customWidth="1"/>
    <col min="3" max="3" width="9.28515625" style="29" customWidth="1"/>
    <col min="4" max="4" width="9.140625" style="29" customWidth="1"/>
    <col min="5" max="5" width="9.140625" style="29"/>
    <col min="6" max="6" width="15.85546875" style="29" customWidth="1"/>
    <col min="7" max="7" width="26.7109375" style="29" customWidth="1"/>
  </cols>
  <sheetData>
    <row r="2" spans="1:7" x14ac:dyDescent="0.25">
      <c r="A2" s="75" t="s">
        <v>98</v>
      </c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318</v>
      </c>
      <c r="C5" s="36"/>
      <c r="D5" s="36"/>
      <c r="E5" s="36"/>
      <c r="F5" s="36">
        <v>2597</v>
      </c>
      <c r="G5" s="36"/>
    </row>
    <row r="6" spans="1:7" x14ac:dyDescent="0.25">
      <c r="A6" s="164"/>
      <c r="B6" s="164"/>
      <c r="C6" s="164"/>
      <c r="D6" s="164"/>
      <c r="E6" s="164">
        <v>2597</v>
      </c>
      <c r="F6" s="164"/>
      <c r="G6" s="164"/>
    </row>
    <row r="7" spans="1:7" x14ac:dyDescent="0.25">
      <c r="A7" s="152" t="s">
        <v>591</v>
      </c>
      <c r="B7" s="136" t="s">
        <v>594</v>
      </c>
      <c r="C7" s="136">
        <v>9</v>
      </c>
      <c r="D7" s="36"/>
      <c r="E7" s="36">
        <f>E6+C7-D7</f>
        <v>2606</v>
      </c>
      <c r="F7" s="36"/>
      <c r="G7" s="36"/>
    </row>
    <row r="8" spans="1:7" x14ac:dyDescent="0.25">
      <c r="A8" s="121" t="s">
        <v>701</v>
      </c>
      <c r="B8" s="36" t="s">
        <v>709</v>
      </c>
      <c r="C8" s="36">
        <v>1</v>
      </c>
      <c r="D8" s="36"/>
      <c r="E8" s="36">
        <f t="shared" ref="E8:E10" si="0">E7+C8-D8</f>
        <v>2607</v>
      </c>
      <c r="F8" s="36" t="s">
        <v>219</v>
      </c>
      <c r="G8" s="36"/>
    </row>
    <row r="9" spans="1:7" x14ac:dyDescent="0.25">
      <c r="A9" s="121" t="s">
        <v>753</v>
      </c>
      <c r="B9" s="36" t="s">
        <v>709</v>
      </c>
      <c r="C9" s="36"/>
      <c r="D9" s="36">
        <v>1</v>
      </c>
      <c r="E9" s="36">
        <f t="shared" si="0"/>
        <v>2606</v>
      </c>
      <c r="F9" s="36" t="s">
        <v>755</v>
      </c>
      <c r="G9" s="36"/>
    </row>
    <row r="10" spans="1:7" x14ac:dyDescent="0.25">
      <c r="A10" s="138" t="s">
        <v>835</v>
      </c>
      <c r="B10" s="136" t="s">
        <v>454</v>
      </c>
      <c r="C10" s="136"/>
      <c r="D10" s="136">
        <v>75</v>
      </c>
      <c r="E10" s="36">
        <f t="shared" si="0"/>
        <v>2531</v>
      </c>
      <c r="F10" s="136" t="s">
        <v>838</v>
      </c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G13"/>
  <sheetViews>
    <sheetView zoomScaleNormal="100" workbookViewId="0">
      <selection activeCell="E9" sqref="E9:E10"/>
    </sheetView>
  </sheetViews>
  <sheetFormatPr defaultRowHeight="15" x14ac:dyDescent="0.25"/>
  <cols>
    <col min="1" max="1" width="13.28515625" style="29" customWidth="1"/>
    <col min="2" max="2" width="21.42578125" style="29" customWidth="1"/>
    <col min="3" max="5" width="9.140625" style="29"/>
    <col min="6" max="6" width="14.85546875" style="29" customWidth="1"/>
    <col min="7" max="7" width="26.140625" style="29" customWidth="1"/>
  </cols>
  <sheetData>
    <row r="2" spans="1:7" x14ac:dyDescent="0.25">
      <c r="A2" s="79" t="s">
        <v>88</v>
      </c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122"/>
      <c r="B5" s="36" t="s">
        <v>318</v>
      </c>
      <c r="C5" s="36"/>
      <c r="D5" s="36"/>
      <c r="E5" s="36"/>
      <c r="F5" s="36">
        <v>12800</v>
      </c>
      <c r="G5" s="36"/>
    </row>
    <row r="6" spans="1:7" x14ac:dyDescent="0.25">
      <c r="A6" s="183"/>
      <c r="B6" s="164"/>
      <c r="C6" s="164"/>
      <c r="D6" s="164"/>
      <c r="E6" s="164">
        <v>12800</v>
      </c>
      <c r="F6" s="164"/>
      <c r="G6" s="164"/>
    </row>
    <row r="7" spans="1:7" x14ac:dyDescent="0.25">
      <c r="A7" s="121" t="s">
        <v>315</v>
      </c>
      <c r="B7" s="36" t="s">
        <v>316</v>
      </c>
      <c r="C7" s="36"/>
      <c r="D7" s="36">
        <v>44</v>
      </c>
      <c r="E7" s="36">
        <f>E6+C7-D7</f>
        <v>12756</v>
      </c>
      <c r="F7" s="36" t="s">
        <v>317</v>
      </c>
      <c r="G7" s="36"/>
    </row>
    <row r="8" spans="1:7" x14ac:dyDescent="0.25">
      <c r="A8" s="152" t="s">
        <v>528</v>
      </c>
      <c r="B8" s="136" t="s">
        <v>529</v>
      </c>
      <c r="C8" s="136"/>
      <c r="D8" s="136">
        <v>25</v>
      </c>
      <c r="E8" s="36">
        <f>E7+C8-D8</f>
        <v>12731</v>
      </c>
      <c r="F8" s="136" t="s">
        <v>530</v>
      </c>
      <c r="G8" s="36"/>
    </row>
    <row r="9" spans="1:7" x14ac:dyDescent="0.25">
      <c r="A9" s="121" t="s">
        <v>701</v>
      </c>
      <c r="B9" s="36" t="s">
        <v>529</v>
      </c>
      <c r="C9" s="36">
        <v>46</v>
      </c>
      <c r="D9" s="36"/>
      <c r="E9" s="36">
        <f>E8+C9-D9</f>
        <v>12777</v>
      </c>
      <c r="F9" s="36"/>
      <c r="G9" s="36"/>
    </row>
    <row r="10" spans="1:7" x14ac:dyDescent="0.25">
      <c r="A10" s="152" t="s">
        <v>911</v>
      </c>
      <c r="B10" s="36" t="s">
        <v>912</v>
      </c>
      <c r="C10" s="36">
        <v>59</v>
      </c>
      <c r="D10" s="36"/>
      <c r="E10" s="36">
        <f>E9+C10-D10</f>
        <v>12836</v>
      </c>
      <c r="F10" s="36"/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</sheetData>
  <pageMargins left="0.7" right="0.7" top="0.75" bottom="0.75" header="0.3" footer="0.3"/>
  <pageSetup paperSize="9"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G8"/>
  <sheetViews>
    <sheetView zoomScale="120" zoomScaleNormal="120" workbookViewId="0">
      <selection activeCell="E8" sqref="E8"/>
    </sheetView>
  </sheetViews>
  <sheetFormatPr defaultRowHeight="15" x14ac:dyDescent="0.25"/>
  <cols>
    <col min="1" max="1" width="12.5703125" style="29" customWidth="1"/>
    <col min="2" max="2" width="25.140625" style="29" customWidth="1"/>
    <col min="3" max="3" width="9.140625" style="29"/>
    <col min="4" max="4" width="11.5703125" style="29" customWidth="1"/>
    <col min="5" max="5" width="9.140625" style="29"/>
    <col min="6" max="6" width="14.5703125" style="29" customWidth="1"/>
    <col min="7" max="7" width="28.85546875" style="29" customWidth="1"/>
  </cols>
  <sheetData>
    <row r="2" spans="1:7" s="6" customFormat="1" ht="15.75" x14ac:dyDescent="0.25">
      <c r="A2" s="75" t="s">
        <v>89</v>
      </c>
      <c r="B2" s="32"/>
      <c r="C2" s="32"/>
      <c r="D2" s="32"/>
      <c r="E2" s="32"/>
      <c r="F2" s="32"/>
      <c r="G2" s="32"/>
    </row>
    <row r="3" spans="1:7" s="6" customFormat="1" ht="15.75" x14ac:dyDescent="0.25">
      <c r="A3" s="32"/>
      <c r="B3" s="32"/>
      <c r="C3" s="32"/>
      <c r="D3" s="32"/>
      <c r="E3" s="32"/>
      <c r="F3" s="32"/>
      <c r="G3" s="32"/>
    </row>
    <row r="4" spans="1:7" s="6" customFormat="1" ht="15.75" x14ac:dyDescent="0.25">
      <c r="A4" s="64" t="s">
        <v>2</v>
      </c>
      <c r="B4" s="64" t="s">
        <v>3</v>
      </c>
      <c r="C4" s="64" t="s">
        <v>4</v>
      </c>
      <c r="D4" s="64" t="s">
        <v>5</v>
      </c>
      <c r="E4" s="64" t="s">
        <v>6</v>
      </c>
      <c r="F4" s="77" t="s">
        <v>7</v>
      </c>
      <c r="G4" s="38" t="s">
        <v>8</v>
      </c>
    </row>
    <row r="5" spans="1:7" x14ac:dyDescent="0.25">
      <c r="A5" s="1"/>
      <c r="B5" s="1" t="s">
        <v>318</v>
      </c>
      <c r="C5" s="1"/>
      <c r="D5" s="1"/>
      <c r="E5" s="36"/>
      <c r="F5" s="36">
        <v>1231</v>
      </c>
      <c r="G5" s="36"/>
    </row>
    <row r="6" spans="1:7" x14ac:dyDescent="0.25">
      <c r="A6" s="164"/>
      <c r="B6" s="164"/>
      <c r="C6" s="164"/>
      <c r="D6" s="164"/>
      <c r="E6" s="164">
        <v>1231</v>
      </c>
      <c r="F6" s="164"/>
      <c r="G6" s="164"/>
    </row>
    <row r="7" spans="1:7" x14ac:dyDescent="0.25">
      <c r="A7" s="252" t="s">
        <v>352</v>
      </c>
      <c r="B7" s="1" t="s">
        <v>182</v>
      </c>
      <c r="C7" s="1">
        <v>11</v>
      </c>
      <c r="D7" s="36"/>
      <c r="E7" s="36">
        <f>E6+C7-D7</f>
        <v>1242</v>
      </c>
      <c r="F7" s="36"/>
      <c r="G7" s="36"/>
    </row>
    <row r="8" spans="1:7" x14ac:dyDescent="0.25">
      <c r="A8" s="36"/>
      <c r="B8" s="36"/>
      <c r="C8" s="36"/>
      <c r="D8" s="36"/>
      <c r="E8" s="36"/>
      <c r="F8" s="36"/>
      <c r="G8" s="36"/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E8" sqref="E8:E11"/>
    </sheetView>
  </sheetViews>
  <sheetFormatPr defaultRowHeight="15" x14ac:dyDescent="0.25"/>
  <cols>
    <col min="1" max="1" width="11.5703125" style="29" customWidth="1"/>
    <col min="2" max="2" width="28.85546875" style="29" customWidth="1"/>
    <col min="3" max="5" width="9.140625" style="29"/>
    <col min="6" max="6" width="14.85546875" style="29" customWidth="1"/>
  </cols>
  <sheetData>
    <row r="2" spans="1:6" x14ac:dyDescent="0.25">
      <c r="A2" s="73" t="s">
        <v>97</v>
      </c>
      <c r="B2" s="74"/>
    </row>
    <row r="3" spans="1:6" x14ac:dyDescent="0.25">
      <c r="A3" s="50"/>
    </row>
    <row r="4" spans="1:6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</row>
    <row r="5" spans="1:6" x14ac:dyDescent="0.25">
      <c r="A5" s="36"/>
      <c r="B5" s="36" t="s">
        <v>318</v>
      </c>
      <c r="C5" s="36"/>
      <c r="D5" s="36"/>
      <c r="E5" s="36"/>
      <c r="F5" s="36">
        <v>1061</v>
      </c>
    </row>
    <row r="6" spans="1:6" x14ac:dyDescent="0.25">
      <c r="A6" s="164"/>
      <c r="B6" s="164"/>
      <c r="C6" s="164"/>
      <c r="D6" s="164"/>
      <c r="E6" s="164">
        <v>1061</v>
      </c>
      <c r="F6" s="164"/>
    </row>
    <row r="7" spans="1:6" x14ac:dyDescent="0.25">
      <c r="A7" s="121" t="s">
        <v>315</v>
      </c>
      <c r="B7" s="36" t="s">
        <v>316</v>
      </c>
      <c r="C7" s="36"/>
      <c r="D7" s="36">
        <v>44</v>
      </c>
      <c r="E7" s="36">
        <f>E6+C7-D7</f>
        <v>1017</v>
      </c>
      <c r="F7" s="36" t="s">
        <v>317</v>
      </c>
    </row>
    <row r="8" spans="1:6" x14ac:dyDescent="0.25">
      <c r="A8" s="152" t="s">
        <v>528</v>
      </c>
      <c r="B8" s="136" t="s">
        <v>529</v>
      </c>
      <c r="C8" s="136"/>
      <c r="D8" s="136">
        <v>25</v>
      </c>
      <c r="E8" s="36">
        <f>E7+C8-D8</f>
        <v>992</v>
      </c>
      <c r="F8" s="136" t="s">
        <v>530</v>
      </c>
    </row>
    <row r="9" spans="1:6" x14ac:dyDescent="0.25">
      <c r="A9" s="121" t="s">
        <v>701</v>
      </c>
      <c r="B9" s="36" t="s">
        <v>529</v>
      </c>
      <c r="C9" s="36">
        <v>18</v>
      </c>
      <c r="D9" s="36"/>
      <c r="E9" s="36">
        <f t="shared" ref="E9:E11" si="0">E8+C9-D9</f>
        <v>1010</v>
      </c>
      <c r="F9" s="36"/>
    </row>
    <row r="10" spans="1:6" x14ac:dyDescent="0.25">
      <c r="A10" s="121" t="s">
        <v>701</v>
      </c>
      <c r="B10" s="36" t="s">
        <v>709</v>
      </c>
      <c r="C10" s="36">
        <v>1</v>
      </c>
      <c r="D10" s="36"/>
      <c r="E10" s="36">
        <f t="shared" si="0"/>
        <v>1011</v>
      </c>
      <c r="F10" s="36" t="s">
        <v>219</v>
      </c>
    </row>
    <row r="11" spans="1:6" x14ac:dyDescent="0.25">
      <c r="A11" s="152" t="s">
        <v>911</v>
      </c>
      <c r="B11" s="36" t="s">
        <v>912</v>
      </c>
      <c r="C11" s="36">
        <v>44</v>
      </c>
      <c r="D11" s="36"/>
      <c r="E11" s="36">
        <f t="shared" si="0"/>
        <v>1055</v>
      </c>
      <c r="F11" s="36"/>
    </row>
    <row r="12" spans="1:6" x14ac:dyDescent="0.25">
      <c r="A12" s="36"/>
      <c r="B12" s="36"/>
      <c r="C12" s="36"/>
      <c r="D12" s="36"/>
      <c r="E12" s="36"/>
      <c r="F12" s="36"/>
    </row>
    <row r="13" spans="1:6" x14ac:dyDescent="0.25">
      <c r="A13" s="36"/>
      <c r="B13" s="36"/>
      <c r="C13" s="36"/>
      <c r="D13" s="36"/>
      <c r="E13" s="36"/>
      <c r="F13" s="36"/>
    </row>
    <row r="14" spans="1:6" x14ac:dyDescent="0.25">
      <c r="A14" s="36"/>
      <c r="B14" s="36"/>
      <c r="C14" s="36"/>
      <c r="D14" s="36"/>
      <c r="E14" s="36"/>
      <c r="F14" s="36"/>
    </row>
    <row r="15" spans="1:6" x14ac:dyDescent="0.25">
      <c r="A15" s="36"/>
      <c r="B15" s="36"/>
      <c r="C15" s="36"/>
      <c r="D15" s="36"/>
      <c r="E15" s="36"/>
      <c r="F15" s="36"/>
    </row>
    <row r="16" spans="1:6" x14ac:dyDescent="0.25">
      <c r="A16" s="36"/>
      <c r="B16" s="36"/>
      <c r="C16" s="36"/>
      <c r="D16" s="36"/>
      <c r="E16" s="36"/>
      <c r="F16" s="36"/>
    </row>
    <row r="17" spans="1:6" x14ac:dyDescent="0.25">
      <c r="A17" s="36"/>
      <c r="B17" s="36"/>
      <c r="C17" s="36"/>
      <c r="D17" s="36"/>
      <c r="E17" s="36"/>
      <c r="F17" s="36"/>
    </row>
    <row r="18" spans="1:6" x14ac:dyDescent="0.25">
      <c r="A18" s="36"/>
      <c r="B18" s="36"/>
      <c r="C18" s="36"/>
      <c r="D18" s="36"/>
      <c r="E18" s="36"/>
      <c r="F18" s="36"/>
    </row>
    <row r="19" spans="1:6" x14ac:dyDescent="0.25">
      <c r="A19" s="36"/>
      <c r="B19" s="36"/>
      <c r="C19" s="36"/>
      <c r="D19" s="36"/>
      <c r="E19" s="36"/>
      <c r="F19" s="36"/>
    </row>
    <row r="20" spans="1:6" x14ac:dyDescent="0.25">
      <c r="A20" s="36"/>
      <c r="B20" s="36"/>
      <c r="C20" s="36"/>
      <c r="D20" s="36"/>
      <c r="E20" s="36"/>
      <c r="F20" s="36"/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>
      <selection activeCell="C6" sqref="A6:C6"/>
    </sheetView>
  </sheetViews>
  <sheetFormatPr defaultRowHeight="15" x14ac:dyDescent="0.25"/>
  <cols>
    <col min="1" max="1" width="12.7109375" customWidth="1"/>
    <col min="2" max="2" width="20.42578125" customWidth="1"/>
    <col min="4" max="4" width="9.28515625" customWidth="1"/>
    <col min="6" max="6" width="19.7109375" customWidth="1"/>
  </cols>
  <sheetData>
    <row r="2" spans="1:6" x14ac:dyDescent="0.25">
      <c r="A2" s="73" t="s">
        <v>587</v>
      </c>
      <c r="B2" s="74"/>
      <c r="C2" s="29"/>
      <c r="D2" s="29"/>
      <c r="E2" s="29"/>
      <c r="F2" s="29"/>
    </row>
    <row r="3" spans="1:6" x14ac:dyDescent="0.25">
      <c r="A3" s="50"/>
      <c r="B3" s="29"/>
      <c r="C3" s="29"/>
      <c r="D3" s="29"/>
      <c r="E3" s="29"/>
      <c r="F3" s="29"/>
    </row>
    <row r="4" spans="1:6" x14ac:dyDescent="0.25">
      <c r="A4" s="46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</row>
    <row r="5" spans="1:6" x14ac:dyDescent="0.25">
      <c r="A5" s="152" t="s">
        <v>589</v>
      </c>
      <c r="B5" s="136" t="s">
        <v>588</v>
      </c>
      <c r="C5" s="136"/>
      <c r="D5" s="136">
        <v>40</v>
      </c>
      <c r="E5" s="136"/>
      <c r="F5" s="136" t="s">
        <v>586</v>
      </c>
    </row>
    <row r="6" spans="1:6" x14ac:dyDescent="0.25">
      <c r="A6" s="152" t="s">
        <v>883</v>
      </c>
      <c r="B6" s="136" t="s">
        <v>588</v>
      </c>
      <c r="C6" s="136">
        <v>37</v>
      </c>
      <c r="D6" s="136"/>
      <c r="E6" s="136"/>
      <c r="F6" s="136"/>
    </row>
    <row r="7" spans="1:6" x14ac:dyDescent="0.25">
      <c r="A7" s="136"/>
      <c r="B7" s="136"/>
      <c r="C7" s="136"/>
      <c r="D7" s="136"/>
      <c r="E7" s="136"/>
      <c r="F7" s="136"/>
    </row>
    <row r="8" spans="1:6" x14ac:dyDescent="0.25">
      <c r="A8" s="136"/>
      <c r="B8" s="136"/>
      <c r="C8" s="136"/>
      <c r="D8" s="136"/>
      <c r="E8" s="136"/>
      <c r="F8" s="136"/>
    </row>
    <row r="9" spans="1:6" x14ac:dyDescent="0.25">
      <c r="A9" s="136"/>
      <c r="B9" s="136"/>
      <c r="C9" s="136"/>
      <c r="D9" s="136"/>
      <c r="E9" s="136"/>
      <c r="F9" s="136"/>
    </row>
    <row r="10" spans="1:6" x14ac:dyDescent="0.25">
      <c r="A10" s="136"/>
      <c r="B10" s="136"/>
      <c r="C10" s="136"/>
      <c r="D10" s="136"/>
      <c r="E10" s="136"/>
      <c r="F10" s="136"/>
    </row>
    <row r="11" spans="1:6" x14ac:dyDescent="0.25">
      <c r="A11" s="136"/>
      <c r="B11" s="136"/>
      <c r="C11" s="136"/>
      <c r="D11" s="136"/>
      <c r="E11" s="136"/>
      <c r="F11" s="136"/>
    </row>
    <row r="12" spans="1:6" x14ac:dyDescent="0.25">
      <c r="A12" s="136"/>
      <c r="B12" s="136"/>
      <c r="C12" s="136"/>
      <c r="D12" s="136"/>
      <c r="E12" s="136"/>
      <c r="F12" s="136"/>
    </row>
    <row r="13" spans="1:6" x14ac:dyDescent="0.25">
      <c r="A13" s="136"/>
      <c r="B13" s="136"/>
      <c r="C13" s="136"/>
      <c r="D13" s="136"/>
      <c r="E13" s="136"/>
      <c r="F13" s="136"/>
    </row>
    <row r="14" spans="1:6" x14ac:dyDescent="0.25">
      <c r="A14" s="136"/>
      <c r="B14" s="136"/>
      <c r="C14" s="136"/>
      <c r="D14" s="136"/>
      <c r="E14" s="136"/>
      <c r="F14" s="136"/>
    </row>
    <row r="15" spans="1:6" x14ac:dyDescent="0.25">
      <c r="A15" s="136"/>
      <c r="B15" s="136"/>
      <c r="C15" s="136"/>
      <c r="D15" s="136"/>
      <c r="E15" s="136"/>
      <c r="F15" s="136"/>
    </row>
    <row r="16" spans="1:6" x14ac:dyDescent="0.25">
      <c r="A16" s="129"/>
      <c r="B16" s="129"/>
      <c r="C16" s="129"/>
      <c r="D16" s="129"/>
      <c r="E16" s="129"/>
      <c r="F16" s="129"/>
    </row>
    <row r="17" spans="1:6" x14ac:dyDescent="0.25">
      <c r="A17" s="129"/>
      <c r="B17" s="129"/>
      <c r="C17" s="129"/>
      <c r="D17" s="129"/>
      <c r="E17" s="129"/>
      <c r="F17" s="129"/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C6" sqref="C6"/>
    </sheetView>
  </sheetViews>
  <sheetFormatPr defaultRowHeight="15" x14ac:dyDescent="0.25"/>
  <cols>
    <col min="1" max="1" width="13.28515625" customWidth="1"/>
    <col min="2" max="2" width="21.42578125" customWidth="1"/>
  </cols>
  <sheetData>
    <row r="1" spans="1:6" ht="15.75" x14ac:dyDescent="0.25">
      <c r="A1" s="174" t="s">
        <v>409</v>
      </c>
      <c r="B1" s="174"/>
      <c r="C1" s="175"/>
      <c r="D1" s="175"/>
      <c r="E1" s="175"/>
      <c r="F1" s="130"/>
    </row>
    <row r="2" spans="1:6" ht="15.75" x14ac:dyDescent="0.25">
      <c r="A2" s="175"/>
      <c r="B2" s="175"/>
      <c r="C2" s="175"/>
      <c r="D2" s="175"/>
      <c r="E2" s="175"/>
      <c r="F2" s="130"/>
    </row>
    <row r="3" spans="1:6" ht="15.75" x14ac:dyDescent="0.25">
      <c r="A3" s="159" t="s">
        <v>2</v>
      </c>
      <c r="B3" s="159" t="s">
        <v>3</v>
      </c>
      <c r="C3" s="159" t="s">
        <v>4</v>
      </c>
      <c r="D3" s="159" t="s">
        <v>5</v>
      </c>
      <c r="E3" s="159" t="s">
        <v>6</v>
      </c>
      <c r="F3" s="160" t="s">
        <v>7</v>
      </c>
    </row>
    <row r="5" spans="1:6" x14ac:dyDescent="0.25">
      <c r="A5" s="259" t="s">
        <v>408</v>
      </c>
      <c r="B5" t="s">
        <v>182</v>
      </c>
      <c r="C5">
        <v>108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A10" sqref="A10:B10"/>
    </sheetView>
  </sheetViews>
  <sheetFormatPr defaultRowHeight="15" x14ac:dyDescent="0.25"/>
  <cols>
    <col min="1" max="1" width="11.85546875" style="129" customWidth="1"/>
    <col min="2" max="2" width="25.7109375" style="129" customWidth="1"/>
    <col min="3" max="3" width="9.140625" style="129"/>
    <col min="4" max="4" width="11" style="129" customWidth="1"/>
    <col min="5" max="5" width="9.140625" style="129"/>
    <col min="6" max="6" width="19.7109375" style="129" customWidth="1"/>
  </cols>
  <sheetData>
    <row r="1" spans="1:6" ht="15.75" x14ac:dyDescent="0.25">
      <c r="A1" s="174" t="s">
        <v>199</v>
      </c>
      <c r="B1" s="174"/>
      <c r="C1" s="175"/>
      <c r="D1" s="175"/>
      <c r="E1" s="175"/>
      <c r="F1" s="130"/>
    </row>
    <row r="2" spans="1:6" ht="15.75" x14ac:dyDescent="0.25">
      <c r="A2" s="175"/>
      <c r="B2" s="175"/>
      <c r="C2" s="175"/>
      <c r="D2" s="175"/>
      <c r="E2" s="175"/>
      <c r="F2" s="130"/>
    </row>
    <row r="3" spans="1:6" ht="15.75" x14ac:dyDescent="0.25">
      <c r="A3" s="159" t="s">
        <v>2</v>
      </c>
      <c r="B3" s="159" t="s">
        <v>3</v>
      </c>
      <c r="C3" s="159" t="s">
        <v>4</v>
      </c>
      <c r="D3" s="159" t="s">
        <v>5</v>
      </c>
      <c r="E3" s="159" t="s">
        <v>6</v>
      </c>
      <c r="F3" s="160" t="s">
        <v>7</v>
      </c>
    </row>
    <row r="4" spans="1:6" hidden="1" x14ac:dyDescent="0.25">
      <c r="A4" s="136"/>
      <c r="B4" s="136" t="s">
        <v>112</v>
      </c>
      <c r="C4" s="136"/>
      <c r="D4" s="136"/>
      <c r="E4" s="136">
        <v>288</v>
      </c>
      <c r="F4" s="136"/>
    </row>
    <row r="5" spans="1:6" hidden="1" x14ac:dyDescent="0.25">
      <c r="A5" s="136" t="s">
        <v>198</v>
      </c>
      <c r="B5" s="136" t="s">
        <v>182</v>
      </c>
      <c r="C5" s="136">
        <v>130</v>
      </c>
      <c r="D5" s="136"/>
      <c r="E5" s="136">
        <f>E4+C5-D5</f>
        <v>418</v>
      </c>
      <c r="F5" s="136"/>
    </row>
    <row r="6" spans="1:6" x14ac:dyDescent="0.25">
      <c r="A6" s="136"/>
      <c r="B6" s="136" t="s">
        <v>318</v>
      </c>
      <c r="C6" s="136"/>
      <c r="D6" s="136"/>
      <c r="E6" s="136"/>
      <c r="F6" s="136">
        <v>418</v>
      </c>
    </row>
    <row r="7" spans="1:6" x14ac:dyDescent="0.25">
      <c r="A7" s="172"/>
      <c r="B7" s="172"/>
      <c r="C7" s="172"/>
      <c r="D7" s="172"/>
      <c r="E7" s="172">
        <v>418</v>
      </c>
      <c r="F7" s="172"/>
    </row>
    <row r="8" spans="1:6" x14ac:dyDescent="0.25">
      <c r="A8" s="252" t="s">
        <v>352</v>
      </c>
      <c r="B8" s="1" t="s">
        <v>182</v>
      </c>
      <c r="C8" s="1">
        <v>47</v>
      </c>
      <c r="D8" s="136"/>
      <c r="E8" s="136">
        <f>E7+C8-D8</f>
        <v>465</v>
      </c>
      <c r="F8" s="136"/>
    </row>
    <row r="9" spans="1:6" x14ac:dyDescent="0.25">
      <c r="A9" s="152" t="s">
        <v>408</v>
      </c>
      <c r="B9" s="1" t="s">
        <v>182</v>
      </c>
      <c r="C9" s="136">
        <v>20</v>
      </c>
      <c r="D9" s="136"/>
      <c r="E9" s="136">
        <f>E8+C9-D9</f>
        <v>485</v>
      </c>
      <c r="F9" s="136"/>
    </row>
    <row r="10" spans="1:6" x14ac:dyDescent="0.25">
      <c r="C10" s="136"/>
      <c r="D10" s="136"/>
      <c r="E10" s="136"/>
      <c r="F10" s="136"/>
    </row>
    <row r="11" spans="1:6" x14ac:dyDescent="0.25">
      <c r="A11" s="136"/>
      <c r="B11" s="136"/>
      <c r="C11" s="136"/>
      <c r="D11" s="136"/>
      <c r="E11" s="136"/>
      <c r="F11" s="136"/>
    </row>
    <row r="12" spans="1:6" x14ac:dyDescent="0.25">
      <c r="A12" s="136"/>
      <c r="B12" s="136"/>
      <c r="C12" s="136"/>
      <c r="D12" s="136"/>
      <c r="E12" s="136"/>
      <c r="F12" s="136"/>
    </row>
    <row r="13" spans="1:6" x14ac:dyDescent="0.25">
      <c r="A13" s="136"/>
      <c r="B13" s="136"/>
      <c r="C13" s="136"/>
      <c r="D13" s="136"/>
      <c r="E13" s="136"/>
      <c r="F13" s="136"/>
    </row>
    <row r="14" spans="1:6" x14ac:dyDescent="0.25">
      <c r="A14" s="136"/>
      <c r="B14" s="136"/>
      <c r="C14" s="136"/>
      <c r="D14" s="136"/>
      <c r="E14" s="136"/>
      <c r="F14" s="136"/>
    </row>
    <row r="15" spans="1:6" x14ac:dyDescent="0.25">
      <c r="A15" s="136"/>
      <c r="B15" s="136"/>
      <c r="C15" s="136"/>
      <c r="D15" s="136"/>
      <c r="E15" s="136"/>
      <c r="F15" s="136"/>
    </row>
    <row r="16" spans="1:6" x14ac:dyDescent="0.25">
      <c r="A16" s="136"/>
      <c r="B16" s="136"/>
      <c r="C16" s="136"/>
      <c r="D16" s="136"/>
      <c r="E16" s="136"/>
      <c r="F16" s="136"/>
    </row>
    <row r="17" spans="1:6" x14ac:dyDescent="0.25">
      <c r="A17" s="136"/>
      <c r="B17" s="136"/>
      <c r="C17" s="136"/>
      <c r="D17" s="136"/>
      <c r="E17" s="136"/>
      <c r="F17" s="136"/>
    </row>
    <row r="18" spans="1:6" x14ac:dyDescent="0.25">
      <c r="A18" s="136"/>
      <c r="B18" s="136"/>
      <c r="C18" s="136"/>
      <c r="D18" s="136"/>
      <c r="E18" s="136"/>
      <c r="F18" s="136"/>
    </row>
    <row r="19" spans="1:6" x14ac:dyDescent="0.25">
      <c r="A19" s="136"/>
      <c r="B19" s="136"/>
      <c r="C19" s="136"/>
      <c r="D19" s="136"/>
      <c r="E19" s="136"/>
      <c r="F19" s="136"/>
    </row>
    <row r="20" spans="1:6" x14ac:dyDescent="0.25">
      <c r="A20" s="136"/>
      <c r="B20" s="136"/>
      <c r="C20" s="136"/>
      <c r="D20" s="136"/>
      <c r="E20" s="136"/>
      <c r="F20" s="136"/>
    </row>
    <row r="21" spans="1:6" x14ac:dyDescent="0.25">
      <c r="A21" s="136"/>
      <c r="B21" s="136"/>
      <c r="C21" s="136"/>
      <c r="D21" s="136"/>
      <c r="E21" s="136"/>
      <c r="F21" s="136"/>
    </row>
    <row r="22" spans="1:6" x14ac:dyDescent="0.25">
      <c r="A22" s="136"/>
      <c r="B22" s="136"/>
      <c r="C22" s="136"/>
      <c r="D22" s="136"/>
      <c r="E22" s="136"/>
      <c r="F22" s="136"/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workbookViewId="0">
      <selection activeCell="A12" sqref="A12"/>
    </sheetView>
  </sheetViews>
  <sheetFormatPr defaultRowHeight="15" x14ac:dyDescent="0.25"/>
  <cols>
    <col min="1" max="1" width="15.7109375" style="129" customWidth="1"/>
    <col min="2" max="2" width="28.140625" style="129" customWidth="1"/>
    <col min="3" max="3" width="8.5703125" style="129" customWidth="1"/>
    <col min="4" max="4" width="9.5703125" style="129" customWidth="1"/>
    <col min="5" max="5" width="8.7109375" style="129" customWidth="1"/>
    <col min="6" max="6" width="15.7109375" style="129" customWidth="1"/>
    <col min="7" max="7" width="22.28515625" style="129" customWidth="1"/>
  </cols>
  <sheetData>
    <row r="2" spans="1:7" x14ac:dyDescent="0.25">
      <c r="A2" s="177" t="s">
        <v>360</v>
      </c>
      <c r="B2" s="182"/>
      <c r="C2" s="182"/>
      <c r="D2" s="178"/>
      <c r="E2" s="178"/>
    </row>
    <row r="3" spans="1:7" x14ac:dyDescent="0.25">
      <c r="A3" s="178"/>
      <c r="B3" s="178"/>
      <c r="C3" s="178"/>
      <c r="D3" s="178"/>
      <c r="E3" s="178"/>
    </row>
    <row r="4" spans="1:7" x14ac:dyDescent="0.25">
      <c r="A4" s="256" t="s">
        <v>2</v>
      </c>
      <c r="B4" s="256" t="s">
        <v>3</v>
      </c>
      <c r="C4" s="277" t="s">
        <v>4</v>
      </c>
      <c r="D4" s="277" t="s">
        <v>5</v>
      </c>
      <c r="E4" s="277" t="s">
        <v>6</v>
      </c>
      <c r="F4" s="257" t="s">
        <v>7</v>
      </c>
      <c r="G4" s="163" t="s">
        <v>8</v>
      </c>
    </row>
    <row r="5" spans="1:7" x14ac:dyDescent="0.25">
      <c r="A5" s="238" t="s">
        <v>361</v>
      </c>
      <c r="B5" s="134" t="s">
        <v>369</v>
      </c>
      <c r="C5" s="134">
        <v>75</v>
      </c>
      <c r="D5" s="134"/>
      <c r="E5" s="134">
        <v>75</v>
      </c>
      <c r="F5" s="135"/>
      <c r="G5" s="167"/>
    </row>
    <row r="6" spans="1:7" x14ac:dyDescent="0.25">
      <c r="A6" s="238" t="s">
        <v>361</v>
      </c>
      <c r="B6" s="136" t="s">
        <v>362</v>
      </c>
      <c r="C6" s="136"/>
      <c r="D6" s="136">
        <v>75</v>
      </c>
      <c r="E6" s="136">
        <v>0</v>
      </c>
      <c r="F6" s="136" t="s">
        <v>363</v>
      </c>
      <c r="G6" s="136"/>
    </row>
    <row r="7" spans="1:7" x14ac:dyDescent="0.25">
      <c r="A7" s="152" t="s">
        <v>397</v>
      </c>
      <c r="B7" s="136" t="s">
        <v>399</v>
      </c>
      <c r="C7" s="136">
        <v>50</v>
      </c>
      <c r="D7" s="136"/>
      <c r="E7" s="136">
        <v>50</v>
      </c>
      <c r="F7" s="136"/>
      <c r="G7" s="136"/>
    </row>
    <row r="8" spans="1:7" x14ac:dyDescent="0.25">
      <c r="A8" s="152" t="s">
        <v>397</v>
      </c>
      <c r="B8" s="136" t="s">
        <v>398</v>
      </c>
      <c r="C8" s="136"/>
      <c r="D8" s="136">
        <v>20</v>
      </c>
      <c r="E8" s="136">
        <f>E7+C8-D8</f>
        <v>30</v>
      </c>
      <c r="F8" s="136" t="s">
        <v>17</v>
      </c>
      <c r="G8" s="136"/>
    </row>
    <row r="9" spans="1:7" x14ac:dyDescent="0.25">
      <c r="A9" s="152" t="s">
        <v>397</v>
      </c>
      <c r="B9" s="136" t="s">
        <v>398</v>
      </c>
      <c r="C9" s="136"/>
      <c r="D9" s="136">
        <v>30</v>
      </c>
      <c r="E9" s="136">
        <f>E8+C9-D9</f>
        <v>0</v>
      </c>
      <c r="F9" s="136"/>
      <c r="G9" s="136"/>
    </row>
    <row r="10" spans="1:7" x14ac:dyDescent="0.25">
      <c r="A10" s="152" t="s">
        <v>525</v>
      </c>
      <c r="B10" s="136" t="s">
        <v>527</v>
      </c>
      <c r="C10" s="136">
        <v>40</v>
      </c>
      <c r="D10" s="136"/>
      <c r="E10" s="136">
        <f>E9+C10-D10</f>
        <v>40</v>
      </c>
      <c r="F10" s="136"/>
      <c r="G10" s="136"/>
    </row>
    <row r="11" spans="1:7" x14ac:dyDescent="0.25">
      <c r="A11" s="152" t="s">
        <v>533</v>
      </c>
      <c r="B11" s="136" t="s">
        <v>362</v>
      </c>
      <c r="C11" s="136"/>
      <c r="D11" s="136">
        <v>40</v>
      </c>
      <c r="E11" s="136">
        <f>E10+C11-D11</f>
        <v>0</v>
      </c>
      <c r="F11" s="136" t="s">
        <v>538</v>
      </c>
      <c r="G11" s="136"/>
    </row>
    <row r="12" spans="1:7" x14ac:dyDescent="0.25">
      <c r="A12" s="152" t="s">
        <v>624</v>
      </c>
      <c r="B12" s="136"/>
      <c r="C12" s="136"/>
      <c r="D12" s="136"/>
      <c r="E12" s="136"/>
      <c r="F12" s="136"/>
      <c r="G12" s="136"/>
    </row>
    <row r="13" spans="1:7" x14ac:dyDescent="0.25">
      <c r="A13" s="136"/>
      <c r="B13" s="136"/>
      <c r="C13" s="136"/>
      <c r="D13" s="136"/>
      <c r="E13" s="136"/>
      <c r="F13" s="136"/>
      <c r="G13" s="136"/>
    </row>
    <row r="14" spans="1:7" x14ac:dyDescent="0.25">
      <c r="A14" s="136"/>
      <c r="B14" s="136"/>
      <c r="C14" s="136"/>
      <c r="D14" s="136"/>
      <c r="E14" s="136"/>
      <c r="F14" s="136"/>
      <c r="G14" s="136"/>
    </row>
    <row r="15" spans="1:7" x14ac:dyDescent="0.25">
      <c r="A15" s="136"/>
      <c r="B15" s="136"/>
      <c r="C15" s="136"/>
      <c r="D15" s="136"/>
      <c r="E15" s="136"/>
      <c r="F15" s="136"/>
      <c r="G15" s="136"/>
    </row>
    <row r="16" spans="1:7" x14ac:dyDescent="0.25">
      <c r="A16" s="136"/>
      <c r="B16" s="136"/>
      <c r="C16" s="136"/>
      <c r="D16" s="136"/>
      <c r="E16" s="136"/>
      <c r="F16" s="136"/>
      <c r="G16" s="136"/>
    </row>
    <row r="17" spans="1:7" x14ac:dyDescent="0.25">
      <c r="A17" s="136"/>
      <c r="B17" s="136"/>
      <c r="C17" s="136"/>
      <c r="D17" s="136"/>
      <c r="E17" s="136"/>
      <c r="F17" s="136"/>
      <c r="G17" s="136"/>
    </row>
    <row r="18" spans="1:7" x14ac:dyDescent="0.25">
      <c r="A18" s="136"/>
      <c r="B18" s="136"/>
      <c r="C18" s="136"/>
      <c r="D18" s="136"/>
      <c r="E18" s="136"/>
      <c r="F18" s="136"/>
      <c r="G18" s="136"/>
    </row>
    <row r="19" spans="1:7" x14ac:dyDescent="0.25">
      <c r="A19" s="136"/>
      <c r="B19" s="136"/>
      <c r="C19" s="136"/>
      <c r="D19" s="136"/>
      <c r="E19" s="136"/>
      <c r="F19" s="136"/>
      <c r="G19" s="136"/>
    </row>
    <row r="20" spans="1:7" x14ac:dyDescent="0.25">
      <c r="A20" s="136"/>
      <c r="B20" s="136"/>
      <c r="C20" s="136"/>
      <c r="D20" s="136"/>
      <c r="E20" s="136"/>
      <c r="F20" s="136"/>
      <c r="G20" s="136"/>
    </row>
    <row r="21" spans="1:7" x14ac:dyDescent="0.25">
      <c r="A21" s="136"/>
      <c r="B21" s="136"/>
      <c r="C21" s="136"/>
      <c r="D21" s="136"/>
      <c r="E21" s="136"/>
      <c r="F21" s="136"/>
      <c r="G21" s="136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F9" sqref="F9"/>
    </sheetView>
  </sheetViews>
  <sheetFormatPr defaultRowHeight="15" x14ac:dyDescent="0.25"/>
  <cols>
    <col min="1" max="1" width="13" customWidth="1"/>
    <col min="2" max="2" width="30.7109375" customWidth="1"/>
    <col min="6" max="6" width="17" customWidth="1"/>
    <col min="7" max="7" width="26.42578125" customWidth="1"/>
  </cols>
  <sheetData>
    <row r="2" spans="1:7" ht="15.75" x14ac:dyDescent="0.25">
      <c r="A2" s="24" t="s">
        <v>67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25" t="s">
        <v>69</v>
      </c>
      <c r="B5" s="13" t="s">
        <v>336</v>
      </c>
      <c r="C5" s="13">
        <v>67</v>
      </c>
      <c r="D5" s="13"/>
      <c r="E5" s="13"/>
      <c r="F5" s="14"/>
      <c r="G5" s="26" t="s">
        <v>72</v>
      </c>
    </row>
    <row r="6" spans="1:7" x14ac:dyDescent="0.25">
      <c r="A6" s="114" t="s">
        <v>581</v>
      </c>
      <c r="B6" s="1" t="s">
        <v>511</v>
      </c>
      <c r="C6" s="1"/>
      <c r="D6" s="1">
        <v>100</v>
      </c>
      <c r="E6" s="1"/>
      <c r="F6" s="1" t="s">
        <v>586</v>
      </c>
      <c r="G6" s="1"/>
    </row>
    <row r="7" spans="1:7" x14ac:dyDescent="0.25">
      <c r="A7" s="152" t="s">
        <v>624</v>
      </c>
      <c r="B7" s="1" t="s">
        <v>527</v>
      </c>
      <c r="C7" s="1">
        <v>30</v>
      </c>
      <c r="D7" s="1"/>
      <c r="E7" s="1">
        <v>30</v>
      </c>
      <c r="F7" s="1"/>
      <c r="G7" s="1"/>
    </row>
    <row r="8" spans="1:7" x14ac:dyDescent="0.25">
      <c r="A8" s="152" t="s">
        <v>624</v>
      </c>
      <c r="B8" s="1" t="s">
        <v>632</v>
      </c>
      <c r="C8" s="1"/>
      <c r="D8" s="1">
        <v>30</v>
      </c>
      <c r="E8" s="1">
        <v>0</v>
      </c>
      <c r="F8" s="1" t="s">
        <v>633</v>
      </c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B6" sqref="B6"/>
    </sheetView>
  </sheetViews>
  <sheetFormatPr defaultRowHeight="15" x14ac:dyDescent="0.25"/>
  <cols>
    <col min="2" max="2" width="33.7109375" customWidth="1"/>
    <col min="7" max="7" width="23.28515625" customWidth="1"/>
  </cols>
  <sheetData>
    <row r="2" spans="1:7" ht="15.75" x14ac:dyDescent="0.25">
      <c r="A2" s="24" t="s">
        <v>70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25" t="s">
        <v>69</v>
      </c>
      <c r="B5" s="13" t="s">
        <v>336</v>
      </c>
      <c r="C5" s="13">
        <v>181</v>
      </c>
      <c r="D5" s="13"/>
      <c r="E5" s="13"/>
      <c r="F5" s="14"/>
      <c r="G5" s="26" t="s">
        <v>72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B6" sqref="B6"/>
    </sheetView>
  </sheetViews>
  <sheetFormatPr defaultRowHeight="15" x14ac:dyDescent="0.25"/>
  <cols>
    <col min="1" max="1" width="13.28515625" customWidth="1"/>
    <col min="2" max="2" width="25.85546875" customWidth="1"/>
    <col min="7" max="7" width="24.85546875" customWidth="1"/>
  </cols>
  <sheetData>
    <row r="2" spans="1:7" ht="15.75" x14ac:dyDescent="0.25">
      <c r="A2" s="24" t="s">
        <v>71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25" t="s">
        <v>69</v>
      </c>
      <c r="B5" s="13" t="s">
        <v>336</v>
      </c>
      <c r="C5" s="13">
        <v>68</v>
      </c>
      <c r="D5" s="13"/>
      <c r="E5" s="13"/>
      <c r="F5" s="14"/>
      <c r="G5" s="26" t="s">
        <v>72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workbookViewId="0">
      <selection activeCell="E12" sqref="E12:E14"/>
    </sheetView>
  </sheetViews>
  <sheetFormatPr defaultRowHeight="15" x14ac:dyDescent="0.25"/>
  <cols>
    <col min="1" max="1" width="13.5703125" style="129" customWidth="1"/>
    <col min="2" max="2" width="26.140625" style="129" customWidth="1"/>
    <col min="3" max="5" width="9.140625" style="129"/>
    <col min="6" max="6" width="23.140625" style="129" customWidth="1"/>
    <col min="7" max="7" width="24.7109375" style="129" customWidth="1"/>
    <col min="8" max="8" width="9.140625" style="129"/>
  </cols>
  <sheetData>
    <row r="2" spans="1:8" x14ac:dyDescent="0.25">
      <c r="A2" s="177" t="s">
        <v>73</v>
      </c>
      <c r="B2" s="182"/>
      <c r="C2" s="182"/>
      <c r="D2" s="178"/>
      <c r="E2" s="178"/>
    </row>
    <row r="3" spans="1:8" x14ac:dyDescent="0.25">
      <c r="A3" s="178"/>
      <c r="B3" s="178"/>
      <c r="C3" s="178"/>
      <c r="D3" s="178"/>
      <c r="E3" s="178"/>
    </row>
    <row r="4" spans="1:8" s="308" customFormat="1" ht="14.25" x14ac:dyDescent="0.2">
      <c r="A4" s="134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  <c r="H4" s="129"/>
    </row>
    <row r="5" spans="1:8" s="308" customFormat="1" ht="14.25" x14ac:dyDescent="0.2">
      <c r="A5" s="136"/>
      <c r="B5" s="136" t="s">
        <v>337</v>
      </c>
      <c r="C5" s="136"/>
      <c r="D5" s="136"/>
      <c r="E5" s="136"/>
      <c r="F5" s="136">
        <v>1397</v>
      </c>
      <c r="G5" s="136"/>
      <c r="H5" s="129"/>
    </row>
    <row r="6" spans="1:8" s="308" customFormat="1" ht="14.25" x14ac:dyDescent="0.2">
      <c r="A6" s="172"/>
      <c r="B6" s="172"/>
      <c r="C6" s="172"/>
      <c r="D6" s="172"/>
      <c r="E6" s="172">
        <v>1397</v>
      </c>
      <c r="F6" s="172"/>
      <c r="G6" s="172"/>
      <c r="H6" s="129"/>
    </row>
    <row r="7" spans="1:8" s="308" customFormat="1" ht="14.25" x14ac:dyDescent="0.2">
      <c r="A7" s="238" t="s">
        <v>352</v>
      </c>
      <c r="B7" s="136" t="s">
        <v>508</v>
      </c>
      <c r="C7" s="136"/>
      <c r="D7" s="136">
        <v>65</v>
      </c>
      <c r="E7" s="136">
        <f t="shared" ref="E7:E14" si="0">E6+C7-D7</f>
        <v>1332</v>
      </c>
      <c r="F7" s="136"/>
      <c r="G7" s="136"/>
      <c r="H7" s="129"/>
    </row>
    <row r="8" spans="1:8" s="308" customFormat="1" ht="14.25" x14ac:dyDescent="0.2">
      <c r="A8" s="152" t="s">
        <v>738</v>
      </c>
      <c r="B8" s="136" t="s">
        <v>508</v>
      </c>
      <c r="C8" s="136"/>
      <c r="D8" s="136">
        <v>20</v>
      </c>
      <c r="E8" s="136">
        <f t="shared" si="0"/>
        <v>1312</v>
      </c>
      <c r="F8" s="136"/>
      <c r="G8" s="136"/>
      <c r="H8" s="129"/>
    </row>
    <row r="9" spans="1:8" s="308" customFormat="1" ht="14.25" x14ac:dyDescent="0.2">
      <c r="A9" s="152" t="s">
        <v>753</v>
      </c>
      <c r="B9" s="136" t="s">
        <v>508</v>
      </c>
      <c r="C9" s="136"/>
      <c r="D9" s="136">
        <v>50</v>
      </c>
      <c r="E9" s="136">
        <f t="shared" si="0"/>
        <v>1262</v>
      </c>
      <c r="F9" s="136" t="s">
        <v>754</v>
      </c>
      <c r="G9" s="136"/>
      <c r="H9" s="129"/>
    </row>
    <row r="10" spans="1:8" s="284" customFormat="1" ht="14.25" x14ac:dyDescent="0.2">
      <c r="A10" s="152" t="s">
        <v>804</v>
      </c>
      <c r="B10" s="136" t="s">
        <v>635</v>
      </c>
      <c r="C10" s="136"/>
      <c r="D10" s="136">
        <v>60</v>
      </c>
      <c r="E10" s="136">
        <f t="shared" si="0"/>
        <v>1202</v>
      </c>
      <c r="F10" s="136" t="s">
        <v>805</v>
      </c>
      <c r="G10" s="136"/>
      <c r="H10" s="129"/>
    </row>
    <row r="11" spans="1:8" s="308" customFormat="1" ht="14.25" x14ac:dyDescent="0.2">
      <c r="A11" s="152" t="s">
        <v>811</v>
      </c>
      <c r="B11" s="136" t="s">
        <v>812</v>
      </c>
      <c r="C11" s="136"/>
      <c r="D11" s="136">
        <v>60</v>
      </c>
      <c r="E11" s="136">
        <f t="shared" si="0"/>
        <v>1142</v>
      </c>
      <c r="F11" s="136" t="s">
        <v>813</v>
      </c>
      <c r="G11" s="136"/>
      <c r="H11" s="129"/>
    </row>
    <row r="12" spans="1:8" s="308" customFormat="1" ht="14.25" x14ac:dyDescent="0.2">
      <c r="A12" s="152" t="s">
        <v>811</v>
      </c>
      <c r="B12" s="136" t="s">
        <v>819</v>
      </c>
      <c r="C12" s="136"/>
      <c r="D12" s="136">
        <v>50</v>
      </c>
      <c r="E12" s="136">
        <f t="shared" si="0"/>
        <v>1092</v>
      </c>
      <c r="F12" s="136" t="s">
        <v>754</v>
      </c>
      <c r="G12" s="136"/>
      <c r="H12" s="129"/>
    </row>
    <row r="13" spans="1:8" x14ac:dyDescent="0.25">
      <c r="A13" s="138" t="s">
        <v>883</v>
      </c>
      <c r="B13" s="136" t="s">
        <v>886</v>
      </c>
      <c r="C13" s="136"/>
      <c r="D13" s="136">
        <v>15</v>
      </c>
      <c r="E13" s="136">
        <f t="shared" si="0"/>
        <v>1077</v>
      </c>
      <c r="F13" s="136" t="s">
        <v>887</v>
      </c>
      <c r="G13" s="136"/>
    </row>
    <row r="14" spans="1:8" x14ac:dyDescent="0.25">
      <c r="A14" s="138" t="s">
        <v>883</v>
      </c>
      <c r="B14" s="136" t="s">
        <v>812</v>
      </c>
      <c r="C14" s="136"/>
      <c r="D14" s="136">
        <v>200</v>
      </c>
      <c r="E14" s="136">
        <f t="shared" si="0"/>
        <v>877</v>
      </c>
      <c r="F14" s="136" t="s">
        <v>888</v>
      </c>
      <c r="G14" s="136"/>
    </row>
    <row r="15" spans="1:8" x14ac:dyDescent="0.25">
      <c r="A15" s="136"/>
      <c r="B15" s="136"/>
      <c r="C15" s="136"/>
      <c r="D15" s="136"/>
      <c r="E15" s="136"/>
      <c r="F15" s="136"/>
      <c r="G15" s="136"/>
    </row>
    <row r="16" spans="1:8" x14ac:dyDescent="0.25">
      <c r="A16" s="136"/>
      <c r="B16" s="136"/>
      <c r="C16" s="136"/>
      <c r="D16" s="136"/>
      <c r="E16" s="136"/>
      <c r="F16" s="136"/>
      <c r="G16" s="136"/>
    </row>
    <row r="17" spans="1:7" x14ac:dyDescent="0.25">
      <c r="A17" s="136"/>
      <c r="B17" s="136"/>
      <c r="C17" s="136"/>
      <c r="D17" s="136"/>
      <c r="E17" s="136"/>
      <c r="F17" s="136"/>
      <c r="G17" s="136"/>
    </row>
    <row r="18" spans="1:7" x14ac:dyDescent="0.25">
      <c r="A18" s="136"/>
      <c r="B18" s="136"/>
      <c r="C18" s="136"/>
      <c r="D18" s="136"/>
      <c r="E18" s="136"/>
      <c r="F18" s="136"/>
      <c r="G18" s="136"/>
    </row>
    <row r="19" spans="1:7" x14ac:dyDescent="0.25">
      <c r="A19" s="136"/>
      <c r="B19" s="136"/>
      <c r="C19" s="136"/>
      <c r="D19" s="136"/>
      <c r="E19" s="136"/>
      <c r="F19" s="136"/>
      <c r="G19" s="136"/>
    </row>
    <row r="20" spans="1:7" x14ac:dyDescent="0.25">
      <c r="A20" s="136"/>
      <c r="B20" s="136"/>
      <c r="C20" s="136"/>
      <c r="D20" s="136"/>
      <c r="E20" s="136"/>
      <c r="F20" s="136"/>
      <c r="G20" s="136"/>
    </row>
    <row r="21" spans="1:7" x14ac:dyDescent="0.25">
      <c r="A21" s="136"/>
      <c r="B21" s="136"/>
      <c r="C21" s="136"/>
      <c r="D21" s="136"/>
      <c r="E21" s="136"/>
      <c r="F21" s="136"/>
      <c r="G21" s="136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zoomScaleNormal="100" workbookViewId="0">
      <selection activeCell="E15" sqref="E15"/>
    </sheetView>
  </sheetViews>
  <sheetFormatPr defaultRowHeight="15" x14ac:dyDescent="0.25"/>
  <cols>
    <col min="1" max="1" width="13.85546875" style="29" customWidth="1"/>
    <col min="2" max="2" width="35.7109375" style="29" customWidth="1"/>
    <col min="3" max="5" width="9.140625" style="29"/>
    <col min="6" max="6" width="20.42578125" style="29" customWidth="1"/>
    <col min="7" max="7" width="23.5703125" style="29" customWidth="1"/>
  </cols>
  <sheetData>
    <row r="2" spans="1:7" x14ac:dyDescent="0.25">
      <c r="A2" s="56" t="s">
        <v>74</v>
      </c>
      <c r="B2" s="57"/>
      <c r="C2" s="57"/>
      <c r="D2" s="58"/>
      <c r="E2" s="58"/>
    </row>
    <row r="3" spans="1:7" x14ac:dyDescent="0.25">
      <c r="A3" s="58"/>
      <c r="B3" s="58"/>
      <c r="C3" s="58"/>
      <c r="D3" s="58"/>
      <c r="E3" s="58"/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333</v>
      </c>
      <c r="C5" s="36"/>
      <c r="D5" s="36"/>
      <c r="E5" s="36"/>
      <c r="F5" s="36">
        <v>291</v>
      </c>
      <c r="G5" s="36"/>
    </row>
    <row r="6" spans="1:7" x14ac:dyDescent="0.25">
      <c r="A6" s="123"/>
      <c r="B6" s="123"/>
      <c r="C6" s="123"/>
      <c r="D6" s="123"/>
      <c r="E6" s="123">
        <v>291</v>
      </c>
      <c r="F6" s="123"/>
      <c r="G6" s="123"/>
    </row>
    <row r="7" spans="1:7" x14ac:dyDescent="0.25">
      <c r="A7" s="36"/>
      <c r="B7" s="36"/>
      <c r="C7" s="36"/>
      <c r="D7" s="36"/>
      <c r="E7" s="36"/>
      <c r="F7" s="36"/>
      <c r="G7" s="36"/>
    </row>
    <row r="8" spans="1:7" x14ac:dyDescent="0.25">
      <c r="A8" s="36"/>
      <c r="B8" s="36"/>
      <c r="C8" s="36"/>
      <c r="D8" s="36"/>
      <c r="E8" s="36"/>
      <c r="F8" s="36"/>
      <c r="G8" s="36"/>
    </row>
    <row r="9" spans="1:7" x14ac:dyDescent="0.25">
      <c r="A9" s="36"/>
      <c r="B9" s="36"/>
      <c r="C9" s="36"/>
      <c r="D9" s="36"/>
      <c r="E9" s="36"/>
      <c r="F9" s="36"/>
      <c r="G9" s="36"/>
    </row>
    <row r="10" spans="1:7" x14ac:dyDescent="0.25">
      <c r="A10" s="36"/>
      <c r="B10" s="36"/>
      <c r="C10" s="36"/>
      <c r="D10" s="36"/>
      <c r="E10" s="36"/>
      <c r="F10" s="36"/>
      <c r="G10" s="36"/>
    </row>
    <row r="11" spans="1:7" x14ac:dyDescent="0.25">
      <c r="A11" s="36"/>
      <c r="B11" s="36"/>
      <c r="C11" s="36"/>
      <c r="D11" s="36"/>
      <c r="E11" s="36"/>
      <c r="F11" s="36"/>
      <c r="G11" s="36"/>
    </row>
    <row r="12" spans="1:7" x14ac:dyDescent="0.25">
      <c r="A12" s="36"/>
      <c r="B12" s="36"/>
      <c r="C12" s="36"/>
      <c r="D12" s="36"/>
      <c r="E12" s="36"/>
      <c r="F12" s="36"/>
      <c r="G12" s="36"/>
    </row>
    <row r="13" spans="1:7" x14ac:dyDescent="0.25">
      <c r="A13" s="36"/>
      <c r="B13" s="36"/>
      <c r="C13" s="36"/>
      <c r="D13" s="36"/>
      <c r="E13" s="36"/>
      <c r="F13" s="36"/>
      <c r="G13" s="36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F10" sqref="F10"/>
    </sheetView>
  </sheetViews>
  <sheetFormatPr defaultRowHeight="15" x14ac:dyDescent="0.25"/>
  <cols>
    <col min="1" max="1" width="11.42578125" style="191" customWidth="1"/>
    <col min="2" max="2" width="29.42578125" style="191" customWidth="1"/>
    <col min="3" max="5" width="9.140625" style="191"/>
    <col min="6" max="6" width="27.85546875" style="191" customWidth="1"/>
  </cols>
  <sheetData>
    <row r="1" spans="1:6" ht="15.75" x14ac:dyDescent="0.25">
      <c r="A1" s="184" t="s">
        <v>95</v>
      </c>
      <c r="B1" s="184"/>
      <c r="C1" s="185"/>
      <c r="D1" s="185"/>
      <c r="E1" s="185"/>
      <c r="F1" s="186"/>
    </row>
    <row r="2" spans="1:6" ht="15.75" x14ac:dyDescent="0.25">
      <c r="A2" s="185"/>
      <c r="B2" s="185"/>
      <c r="C2" s="185"/>
      <c r="D2" s="185"/>
      <c r="E2" s="185"/>
      <c r="F2" s="186"/>
    </row>
    <row r="3" spans="1:6" ht="15.75" x14ac:dyDescent="0.25">
      <c r="A3" s="187" t="s">
        <v>2</v>
      </c>
      <c r="B3" s="187" t="s">
        <v>3</v>
      </c>
      <c r="C3" s="187" t="s">
        <v>4</v>
      </c>
      <c r="D3" s="187" t="s">
        <v>5</v>
      </c>
      <c r="E3" s="187" t="s">
        <v>6</v>
      </c>
      <c r="F3" s="188" t="s">
        <v>7</v>
      </c>
    </row>
    <row r="4" spans="1:6" x14ac:dyDescent="0.25">
      <c r="A4" s="189"/>
      <c r="B4" s="189" t="s">
        <v>318</v>
      </c>
      <c r="C4" s="189"/>
      <c r="D4" s="189"/>
      <c r="E4" s="189"/>
      <c r="F4" s="189">
        <v>345</v>
      </c>
    </row>
    <row r="5" spans="1:6" x14ac:dyDescent="0.25">
      <c r="A5" s="190"/>
      <c r="B5" s="190"/>
      <c r="C5" s="190"/>
      <c r="D5" s="190"/>
      <c r="E5" s="190">
        <v>345</v>
      </c>
      <c r="F5" s="190"/>
    </row>
    <row r="6" spans="1:6" x14ac:dyDescent="0.25">
      <c r="A6" s="265" t="s">
        <v>430</v>
      </c>
      <c r="B6" s="189" t="s">
        <v>431</v>
      </c>
      <c r="C6" s="189"/>
      <c r="D6" s="189">
        <v>100</v>
      </c>
      <c r="E6" s="189">
        <f>E5+C6-D6</f>
        <v>245</v>
      </c>
      <c r="F6" s="189" t="s">
        <v>432</v>
      </c>
    </row>
    <row r="7" spans="1:6" x14ac:dyDescent="0.25">
      <c r="A7" s="265" t="s">
        <v>430</v>
      </c>
      <c r="B7" s="189" t="s">
        <v>433</v>
      </c>
      <c r="C7" s="189">
        <v>100</v>
      </c>
      <c r="D7" s="189"/>
      <c r="E7" s="189">
        <f t="shared" ref="E7:E9" si="0">E6+C7-D7</f>
        <v>345</v>
      </c>
      <c r="F7" s="189"/>
    </row>
    <row r="8" spans="1:6" x14ac:dyDescent="0.25">
      <c r="A8" s="152" t="s">
        <v>554</v>
      </c>
      <c r="B8" s="136" t="s">
        <v>527</v>
      </c>
      <c r="C8" s="136">
        <v>40</v>
      </c>
      <c r="E8" s="189">
        <f t="shared" si="0"/>
        <v>385</v>
      </c>
    </row>
    <row r="9" spans="1:6" x14ac:dyDescent="0.25">
      <c r="A9" s="152" t="s">
        <v>554</v>
      </c>
      <c r="B9" s="136" t="s">
        <v>557</v>
      </c>
      <c r="C9" s="189"/>
      <c r="D9" s="189">
        <v>40</v>
      </c>
      <c r="E9" s="189">
        <f t="shared" si="0"/>
        <v>345</v>
      </c>
      <c r="F9" s="189" t="s">
        <v>17</v>
      </c>
    </row>
    <row r="10" spans="1:6" x14ac:dyDescent="0.25">
      <c r="A10" s="189"/>
      <c r="B10" s="189"/>
      <c r="C10" s="189"/>
      <c r="D10" s="189"/>
      <c r="E10" s="189"/>
      <c r="F10" s="189"/>
    </row>
    <row r="11" spans="1:6" x14ac:dyDescent="0.25">
      <c r="A11" s="189"/>
      <c r="B11" s="189"/>
      <c r="C11" s="189"/>
      <c r="D11" s="189"/>
      <c r="E11" s="189"/>
      <c r="F11" s="189"/>
    </row>
    <row r="12" spans="1:6" x14ac:dyDescent="0.25">
      <c r="A12" s="189"/>
      <c r="B12" s="189"/>
      <c r="C12" s="189"/>
      <c r="D12" s="189"/>
      <c r="E12" s="189"/>
      <c r="F12" s="189"/>
    </row>
    <row r="13" spans="1:6" x14ac:dyDescent="0.25">
      <c r="A13" s="189"/>
      <c r="B13" s="189"/>
      <c r="C13" s="189"/>
      <c r="D13" s="189"/>
      <c r="E13" s="189"/>
      <c r="F13" s="189"/>
    </row>
    <row r="14" spans="1:6" x14ac:dyDescent="0.25">
      <c r="A14" s="189"/>
      <c r="B14" s="189"/>
      <c r="C14" s="189"/>
      <c r="D14" s="189"/>
      <c r="E14" s="189"/>
      <c r="F14" s="189"/>
    </row>
    <row r="15" spans="1:6" x14ac:dyDescent="0.25">
      <c r="A15" s="189"/>
      <c r="B15" s="189"/>
      <c r="C15" s="189"/>
      <c r="D15" s="189"/>
      <c r="E15" s="189"/>
      <c r="F15" s="189"/>
    </row>
    <row r="16" spans="1:6" x14ac:dyDescent="0.25">
      <c r="A16" s="189"/>
      <c r="B16" s="189"/>
      <c r="C16" s="189"/>
      <c r="D16" s="189"/>
      <c r="E16" s="189"/>
      <c r="F16" s="189"/>
    </row>
    <row r="17" spans="1:6" x14ac:dyDescent="0.25">
      <c r="A17" s="189"/>
      <c r="B17" s="189"/>
      <c r="C17" s="189"/>
      <c r="D17" s="189"/>
      <c r="E17" s="189"/>
      <c r="F17" s="189"/>
    </row>
    <row r="18" spans="1:6" x14ac:dyDescent="0.25">
      <c r="A18" s="189"/>
      <c r="B18" s="189"/>
      <c r="C18" s="189"/>
      <c r="D18" s="189"/>
      <c r="E18" s="189"/>
      <c r="F18" s="189"/>
    </row>
    <row r="19" spans="1:6" x14ac:dyDescent="0.25">
      <c r="A19" s="189"/>
      <c r="B19" s="189"/>
      <c r="C19" s="189"/>
      <c r="D19" s="189"/>
      <c r="E19" s="189"/>
      <c r="F19" s="189"/>
    </row>
    <row r="20" spans="1:6" x14ac:dyDescent="0.25">
      <c r="A20" s="189"/>
      <c r="B20" s="189"/>
      <c r="C20" s="189"/>
      <c r="D20" s="189"/>
      <c r="E20" s="189"/>
      <c r="F20" s="189"/>
    </row>
    <row r="21" spans="1:6" x14ac:dyDescent="0.25">
      <c r="A21" s="189"/>
      <c r="B21" s="189"/>
      <c r="C21" s="189"/>
      <c r="D21" s="189"/>
      <c r="E21" s="189"/>
      <c r="F21" s="189"/>
    </row>
    <row r="22" spans="1:6" x14ac:dyDescent="0.25">
      <c r="A22" s="189"/>
      <c r="B22" s="189"/>
      <c r="C22" s="189"/>
      <c r="D22" s="189"/>
      <c r="E22" s="189"/>
      <c r="F22" s="189"/>
    </row>
  </sheetData>
  <pageMargins left="0.7" right="0.7" top="0.75" bottom="0.75" header="0.3" footer="0.3"/>
  <pageSetup paperSize="9" orientation="portrait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B5" sqref="B5"/>
    </sheetView>
  </sheetViews>
  <sheetFormatPr defaultRowHeight="15" x14ac:dyDescent="0.25"/>
  <cols>
    <col min="1" max="1" width="13.140625" customWidth="1"/>
    <col min="2" max="2" width="16.7109375" customWidth="1"/>
    <col min="7" max="7" width="23" customWidth="1"/>
  </cols>
  <sheetData>
    <row r="2" spans="1:7" ht="15.75" x14ac:dyDescent="0.25">
      <c r="A2" s="24" t="s">
        <v>75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25" t="s">
        <v>69</v>
      </c>
      <c r="B5" s="13" t="s">
        <v>68</v>
      </c>
      <c r="C5" s="13">
        <v>29</v>
      </c>
      <c r="D5" s="13"/>
      <c r="E5" s="13"/>
      <c r="F5" s="14"/>
      <c r="G5" s="26" t="s">
        <v>72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4" sqref="E4"/>
    </sheetView>
  </sheetViews>
  <sheetFormatPr defaultRowHeight="15" x14ac:dyDescent="0.25"/>
  <cols>
    <col min="1" max="1" width="9.140625" style="29"/>
    <col min="2" max="2" width="18.85546875" style="29" customWidth="1"/>
    <col min="3" max="5" width="9.140625" style="29"/>
    <col min="6" max="6" width="17.5703125" style="29" customWidth="1"/>
    <col min="7" max="7" width="9.140625" style="29"/>
  </cols>
  <sheetData>
    <row r="1" spans="1:6" x14ac:dyDescent="0.25">
      <c r="A1" s="66" t="s">
        <v>91</v>
      </c>
      <c r="B1" s="66"/>
      <c r="C1" s="66" t="s">
        <v>92</v>
      </c>
      <c r="D1" s="66"/>
      <c r="E1" s="66"/>
      <c r="F1" s="66"/>
    </row>
    <row r="2" spans="1:6" x14ac:dyDescent="0.25">
      <c r="A2" s="68"/>
      <c r="B2" s="68"/>
      <c r="C2" s="68"/>
      <c r="D2" s="68"/>
      <c r="E2" s="68"/>
      <c r="F2" s="68"/>
    </row>
    <row r="3" spans="1:6" x14ac:dyDescent="0.25">
      <c r="A3" s="61" t="s">
        <v>2</v>
      </c>
      <c r="B3" s="61" t="s">
        <v>7</v>
      </c>
      <c r="C3" s="61" t="s">
        <v>4</v>
      </c>
      <c r="D3" s="61" t="s">
        <v>5</v>
      </c>
      <c r="E3" s="61" t="s">
        <v>6</v>
      </c>
      <c r="F3" s="61" t="s">
        <v>7</v>
      </c>
    </row>
    <row r="4" spans="1:6" x14ac:dyDescent="0.25">
      <c r="A4" s="61"/>
      <c r="B4" s="61" t="s">
        <v>243</v>
      </c>
      <c r="C4" s="61"/>
      <c r="D4" s="61"/>
      <c r="E4" s="192">
        <v>138</v>
      </c>
      <c r="F4" s="61"/>
    </row>
    <row r="5" spans="1:6" x14ac:dyDescent="0.25">
      <c r="A5" s="36"/>
      <c r="B5" s="36"/>
      <c r="C5" s="36"/>
      <c r="D5" s="36"/>
      <c r="E5" s="36"/>
      <c r="F5" s="36"/>
    </row>
    <row r="6" spans="1:6" x14ac:dyDescent="0.25">
      <c r="A6" s="36"/>
      <c r="B6" s="36"/>
      <c r="C6" s="36"/>
      <c r="D6" s="36"/>
      <c r="E6" s="36"/>
      <c r="F6" s="36"/>
    </row>
    <row r="7" spans="1:6" x14ac:dyDescent="0.25">
      <c r="A7" s="36"/>
      <c r="B7" s="36"/>
      <c r="C7" s="36"/>
      <c r="D7" s="36"/>
      <c r="E7" s="36"/>
      <c r="F7" s="36"/>
    </row>
    <row r="8" spans="1:6" x14ac:dyDescent="0.25">
      <c r="A8" s="36"/>
      <c r="B8" s="36"/>
      <c r="C8" s="36"/>
      <c r="D8" s="36"/>
      <c r="E8" s="36"/>
      <c r="F8" s="36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I16" sqref="I16"/>
    </sheetView>
  </sheetViews>
  <sheetFormatPr defaultRowHeight="15" x14ac:dyDescent="0.25"/>
  <cols>
    <col min="1" max="1" width="12" style="29" customWidth="1"/>
    <col min="2" max="2" width="28.7109375" style="29" customWidth="1"/>
    <col min="3" max="5" width="9" style="29"/>
    <col min="6" max="6" width="16.7109375" style="29" customWidth="1"/>
    <col min="7" max="7" width="9.140625" style="29"/>
  </cols>
  <sheetData>
    <row r="1" spans="1:7" x14ac:dyDescent="0.25">
      <c r="A1" s="89" t="s">
        <v>91</v>
      </c>
      <c r="B1" s="89"/>
      <c r="C1" s="89" t="s">
        <v>183</v>
      </c>
      <c r="D1" s="89"/>
      <c r="E1" s="89"/>
    </row>
    <row r="2" spans="1:7" x14ac:dyDescent="0.25">
      <c r="A2" s="90"/>
      <c r="B2" s="90"/>
      <c r="C2" s="90"/>
      <c r="D2" s="90"/>
      <c r="E2" s="90"/>
    </row>
    <row r="3" spans="1:7" x14ac:dyDescent="0.25">
      <c r="A3" s="110" t="s">
        <v>2</v>
      </c>
      <c r="B3" s="110" t="s">
        <v>7</v>
      </c>
      <c r="C3" s="110" t="s">
        <v>4</v>
      </c>
      <c r="D3" s="110" t="s">
        <v>5</v>
      </c>
      <c r="E3" s="110" t="s">
        <v>6</v>
      </c>
      <c r="F3" s="310" t="s">
        <v>94</v>
      </c>
      <c r="G3" s="310"/>
    </row>
    <row r="4" spans="1:7" x14ac:dyDescent="0.25">
      <c r="A4" s="36"/>
      <c r="B4" s="36" t="s">
        <v>318</v>
      </c>
      <c r="C4" s="36"/>
      <c r="D4" s="36"/>
      <c r="E4" s="36"/>
      <c r="F4" s="36">
        <v>1257</v>
      </c>
      <c r="G4" s="36"/>
    </row>
    <row r="5" spans="1:7" x14ac:dyDescent="0.25">
      <c r="A5" s="123"/>
      <c r="B5" s="123"/>
      <c r="C5" s="123"/>
      <c r="D5" s="123"/>
      <c r="E5" s="123">
        <v>1257</v>
      </c>
      <c r="F5" s="123"/>
      <c r="G5" s="123"/>
    </row>
    <row r="6" spans="1:7" x14ac:dyDescent="0.25">
      <c r="A6" s="36"/>
      <c r="B6" s="36"/>
      <c r="C6" s="36"/>
      <c r="D6" s="36"/>
      <c r="E6" s="36"/>
      <c r="F6" s="36"/>
      <c r="G6" s="36"/>
    </row>
    <row r="7" spans="1:7" x14ac:dyDescent="0.25">
      <c r="A7" s="36"/>
      <c r="B7" s="36"/>
      <c r="C7" s="36"/>
      <c r="D7" s="36"/>
      <c r="E7" s="36"/>
      <c r="F7" s="36"/>
      <c r="G7" s="36"/>
    </row>
    <row r="8" spans="1:7" x14ac:dyDescent="0.25">
      <c r="A8" s="36"/>
      <c r="B8" s="36"/>
      <c r="C8" s="36"/>
      <c r="D8" s="36"/>
      <c r="E8" s="36"/>
      <c r="F8" s="36"/>
      <c r="G8" s="36"/>
    </row>
  </sheetData>
  <mergeCells count="1">
    <mergeCell ref="F3:G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9" sqref="F9"/>
    </sheetView>
  </sheetViews>
  <sheetFormatPr defaultRowHeight="15" x14ac:dyDescent="0.25"/>
  <cols>
    <col min="1" max="1" width="16.42578125" style="129" customWidth="1"/>
    <col min="2" max="2" width="25.42578125" style="129" customWidth="1"/>
    <col min="3" max="5" width="9.140625" style="129"/>
    <col min="6" max="6" width="17.42578125" style="129" customWidth="1"/>
  </cols>
  <sheetData>
    <row r="1" spans="1:7" x14ac:dyDescent="0.25">
      <c r="A1" s="195" t="s">
        <v>91</v>
      </c>
      <c r="B1" s="195" t="s">
        <v>118</v>
      </c>
      <c r="D1" s="195"/>
      <c r="E1" s="195"/>
      <c r="F1" s="195"/>
      <c r="G1" s="29"/>
    </row>
    <row r="2" spans="1:7" x14ac:dyDescent="0.25">
      <c r="A2" s="196"/>
      <c r="B2" s="196"/>
      <c r="C2" s="196"/>
      <c r="D2" s="196"/>
      <c r="E2" s="196"/>
      <c r="F2" s="196"/>
      <c r="G2" s="29"/>
    </row>
    <row r="3" spans="1:7" x14ac:dyDescent="0.25">
      <c r="A3" s="197" t="s">
        <v>2</v>
      </c>
      <c r="B3" s="197" t="s">
        <v>338</v>
      </c>
      <c r="C3" s="197" t="s">
        <v>4</v>
      </c>
      <c r="D3" s="197" t="s">
        <v>5</v>
      </c>
      <c r="E3" s="197" t="s">
        <v>6</v>
      </c>
      <c r="F3" s="197" t="s">
        <v>7</v>
      </c>
      <c r="G3" s="29"/>
    </row>
    <row r="4" spans="1:7" x14ac:dyDescent="0.25">
      <c r="A4" s="136"/>
      <c r="B4" s="197" t="s">
        <v>334</v>
      </c>
      <c r="C4" s="136"/>
      <c r="D4" s="136"/>
      <c r="E4" s="136"/>
      <c r="F4" s="136">
        <v>185</v>
      </c>
    </row>
    <row r="5" spans="1:7" x14ac:dyDescent="0.25">
      <c r="A5" s="137"/>
      <c r="B5" s="137"/>
      <c r="C5" s="137"/>
      <c r="D5" s="137"/>
      <c r="E5" s="137">
        <v>185</v>
      </c>
      <c r="F5" s="137"/>
    </row>
    <row r="6" spans="1:7" x14ac:dyDescent="0.25">
      <c r="A6" s="152" t="s">
        <v>343</v>
      </c>
      <c r="B6" s="136" t="s">
        <v>349</v>
      </c>
      <c r="C6" s="136">
        <v>9</v>
      </c>
      <c r="D6" s="136"/>
      <c r="E6" s="136">
        <f>E5+C6-D6</f>
        <v>194</v>
      </c>
      <c r="F6" s="136"/>
    </row>
    <row r="7" spans="1:7" x14ac:dyDescent="0.25">
      <c r="A7" s="152" t="s">
        <v>496</v>
      </c>
      <c r="B7" s="1" t="s">
        <v>349</v>
      </c>
      <c r="C7" s="136">
        <v>2</v>
      </c>
      <c r="D7" s="136"/>
      <c r="E7" s="136">
        <f t="shared" ref="E7:E8" si="0">E6+C7-D7</f>
        <v>196</v>
      </c>
      <c r="F7" s="136"/>
    </row>
    <row r="8" spans="1:7" x14ac:dyDescent="0.25">
      <c r="A8" s="152" t="s">
        <v>517</v>
      </c>
      <c r="B8" s="136" t="s">
        <v>518</v>
      </c>
      <c r="C8" s="136">
        <v>3</v>
      </c>
      <c r="D8" s="136"/>
      <c r="E8" s="136">
        <f t="shared" si="0"/>
        <v>199</v>
      </c>
      <c r="F8" s="136"/>
    </row>
    <row r="9" spans="1:7" x14ac:dyDescent="0.25">
      <c r="A9" s="136"/>
      <c r="B9" s="136"/>
      <c r="C9" s="136"/>
      <c r="D9" s="136"/>
      <c r="E9" s="136"/>
      <c r="F9" s="136"/>
    </row>
    <row r="10" spans="1:7" x14ac:dyDescent="0.25">
      <c r="A10" s="136"/>
      <c r="B10" s="136"/>
      <c r="C10" s="136"/>
      <c r="D10" s="136"/>
      <c r="E10" s="136"/>
      <c r="F10" s="136"/>
    </row>
    <row r="11" spans="1:7" x14ac:dyDescent="0.25">
      <c r="A11" s="136"/>
      <c r="B11" s="136"/>
      <c r="C11" s="136"/>
      <c r="D11" s="136"/>
      <c r="E11" s="136"/>
      <c r="F11" s="136"/>
    </row>
    <row r="12" spans="1:7" x14ac:dyDescent="0.25">
      <c r="A12" s="136"/>
      <c r="B12" s="136"/>
      <c r="C12" s="136"/>
      <c r="D12" s="136"/>
      <c r="E12" s="136"/>
      <c r="F12" s="136"/>
    </row>
    <row r="13" spans="1:7" x14ac:dyDescent="0.25">
      <c r="A13" s="136"/>
      <c r="B13" s="136"/>
      <c r="C13" s="136"/>
      <c r="D13" s="136"/>
      <c r="E13" s="136"/>
      <c r="F13" s="136"/>
    </row>
    <row r="14" spans="1:7" x14ac:dyDescent="0.25">
      <c r="A14" s="136"/>
      <c r="B14" s="136"/>
      <c r="C14" s="136"/>
      <c r="D14" s="136"/>
      <c r="E14" s="136"/>
      <c r="F14" s="136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F9" sqref="F9"/>
    </sheetView>
  </sheetViews>
  <sheetFormatPr defaultRowHeight="15" x14ac:dyDescent="0.25"/>
  <cols>
    <col min="2" max="2" width="15.42578125" customWidth="1"/>
  </cols>
  <sheetData>
    <row r="1" spans="1:8" x14ac:dyDescent="0.25">
      <c r="A1" s="65" t="s">
        <v>91</v>
      </c>
      <c r="B1" s="66"/>
      <c r="C1" s="66" t="s">
        <v>93</v>
      </c>
      <c r="D1" s="66"/>
      <c r="E1" s="66"/>
      <c r="F1" s="66"/>
      <c r="G1" s="29"/>
      <c r="H1" s="29"/>
    </row>
    <row r="2" spans="1:8" x14ac:dyDescent="0.25">
      <c r="A2" s="67"/>
      <c r="B2" s="68"/>
      <c r="C2" s="68"/>
      <c r="D2" s="68"/>
      <c r="E2" s="68"/>
      <c r="F2" s="68"/>
      <c r="G2" s="29"/>
      <c r="H2" s="29"/>
    </row>
    <row r="3" spans="1:8" x14ac:dyDescent="0.25">
      <c r="A3" s="69" t="s">
        <v>2</v>
      </c>
      <c r="B3" s="61" t="s">
        <v>7</v>
      </c>
      <c r="C3" s="61" t="s">
        <v>4</v>
      </c>
      <c r="D3" s="61" t="s">
        <v>5</v>
      </c>
      <c r="E3" s="61" t="s">
        <v>6</v>
      </c>
      <c r="F3" s="61"/>
      <c r="G3" s="310" t="s">
        <v>94</v>
      </c>
      <c r="H3" s="310"/>
    </row>
    <row r="4" spans="1:8" x14ac:dyDescent="0.25">
      <c r="A4" s="36"/>
      <c r="B4" s="36"/>
      <c r="C4" s="36"/>
      <c r="D4" s="36"/>
      <c r="E4" s="198">
        <v>55</v>
      </c>
      <c r="F4" s="36"/>
      <c r="G4" s="36"/>
      <c r="H4" s="36"/>
    </row>
  </sheetData>
  <mergeCells count="1">
    <mergeCell ref="G3:H3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>
      <selection activeCell="C14" sqref="C14"/>
    </sheetView>
  </sheetViews>
  <sheetFormatPr defaultRowHeight="15" x14ac:dyDescent="0.25"/>
  <cols>
    <col min="1" max="1" width="13.5703125" style="129" customWidth="1"/>
    <col min="2" max="2" width="35.140625" style="129" customWidth="1"/>
    <col min="3" max="7" width="9.140625" style="129"/>
  </cols>
  <sheetData>
    <row r="2" spans="1:5" x14ac:dyDescent="0.25">
      <c r="A2" s="195" t="s">
        <v>236</v>
      </c>
      <c r="B2" s="195"/>
      <c r="C2" s="195"/>
      <c r="D2" s="195"/>
      <c r="E2" s="195"/>
    </row>
    <row r="3" spans="1:5" x14ac:dyDescent="0.25">
      <c r="A3" s="196"/>
      <c r="B3" s="196"/>
      <c r="C3" s="196"/>
      <c r="D3" s="196"/>
      <c r="E3" s="196"/>
    </row>
    <row r="4" spans="1:5" x14ac:dyDescent="0.25">
      <c r="A4" s="235" t="s">
        <v>2</v>
      </c>
      <c r="B4" s="235" t="s">
        <v>7</v>
      </c>
      <c r="C4" s="235" t="s">
        <v>4</v>
      </c>
      <c r="D4" s="235" t="s">
        <v>5</v>
      </c>
      <c r="E4" s="235" t="s">
        <v>6</v>
      </c>
    </row>
    <row r="5" spans="1:5" hidden="1" x14ac:dyDescent="0.25">
      <c r="A5" s="136"/>
      <c r="B5" s="163" t="s">
        <v>167</v>
      </c>
      <c r="C5" s="136"/>
      <c r="D5" s="136"/>
      <c r="E5" s="136">
        <v>24</v>
      </c>
    </row>
    <row r="6" spans="1:5" hidden="1" x14ac:dyDescent="0.25">
      <c r="A6" s="136" t="s">
        <v>168</v>
      </c>
      <c r="B6" s="240" t="s">
        <v>237</v>
      </c>
      <c r="C6" s="136"/>
      <c r="D6" s="136">
        <v>8</v>
      </c>
      <c r="E6" s="136">
        <f>E5+C6-D6</f>
        <v>16</v>
      </c>
    </row>
    <row r="7" spans="1:5" hidden="1" x14ac:dyDescent="0.25">
      <c r="A7" s="136" t="s">
        <v>174</v>
      </c>
      <c r="B7" s="136" t="s">
        <v>169</v>
      </c>
      <c r="C7" s="241"/>
      <c r="D7" s="136">
        <v>8</v>
      </c>
      <c r="E7" s="136">
        <f>E6+C7-D7</f>
        <v>8</v>
      </c>
    </row>
    <row r="8" spans="1:5" hidden="1" x14ac:dyDescent="0.25">
      <c r="A8" s="136" t="s">
        <v>230</v>
      </c>
      <c r="B8" s="136" t="s">
        <v>169</v>
      </c>
      <c r="C8" s="136"/>
      <c r="D8" s="136">
        <v>2</v>
      </c>
      <c r="E8" s="136">
        <f t="shared" ref="E8:E9" si="0">E7+C8-D8</f>
        <v>6</v>
      </c>
    </row>
    <row r="9" spans="1:5" hidden="1" x14ac:dyDescent="0.25">
      <c r="A9" s="136" t="s">
        <v>225</v>
      </c>
      <c r="B9" s="136" t="s">
        <v>202</v>
      </c>
      <c r="C9" s="136">
        <v>2</v>
      </c>
      <c r="D9" s="136"/>
      <c r="E9" s="136">
        <f t="shared" si="0"/>
        <v>8</v>
      </c>
    </row>
    <row r="10" spans="1:5" x14ac:dyDescent="0.25">
      <c r="A10" s="136"/>
      <c r="B10" s="136"/>
      <c r="C10" s="136"/>
      <c r="D10" s="136"/>
      <c r="E10" s="136"/>
    </row>
    <row r="11" spans="1:5" x14ac:dyDescent="0.25">
      <c r="A11" s="136"/>
      <c r="B11" s="137" t="s">
        <v>318</v>
      </c>
      <c r="C11" s="137"/>
      <c r="D11" s="137"/>
      <c r="E11" s="137">
        <v>8</v>
      </c>
    </row>
    <row r="12" spans="1:5" x14ac:dyDescent="0.25">
      <c r="A12" s="152" t="s">
        <v>343</v>
      </c>
      <c r="B12" s="136" t="s">
        <v>349</v>
      </c>
      <c r="C12" s="136">
        <v>2</v>
      </c>
      <c r="D12" s="136"/>
      <c r="E12" s="136">
        <f>E11+C12-D12</f>
        <v>10</v>
      </c>
    </row>
    <row r="13" spans="1:5" x14ac:dyDescent="0.25">
      <c r="A13" s="152" t="s">
        <v>496</v>
      </c>
      <c r="B13" s="1" t="s">
        <v>349</v>
      </c>
      <c r="C13" s="136">
        <v>2</v>
      </c>
      <c r="D13" s="136"/>
      <c r="E13" s="136"/>
    </row>
    <row r="14" spans="1:5" x14ac:dyDescent="0.25">
      <c r="A14" s="136"/>
      <c r="B14" s="136"/>
      <c r="C14" s="136"/>
      <c r="D14" s="136"/>
      <c r="E14" s="136"/>
    </row>
    <row r="15" spans="1:5" x14ac:dyDescent="0.25">
      <c r="A15" s="136"/>
      <c r="B15" s="136"/>
      <c r="C15" s="136"/>
      <c r="D15" s="136"/>
      <c r="E15" s="136"/>
    </row>
    <row r="16" spans="1:5" x14ac:dyDescent="0.25">
      <c r="A16" s="136"/>
      <c r="B16" s="136"/>
      <c r="C16" s="136"/>
      <c r="D16" s="136"/>
      <c r="E16" s="136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selection activeCell="B6" sqref="B6"/>
    </sheetView>
  </sheetViews>
  <sheetFormatPr defaultRowHeight="15" x14ac:dyDescent="0.25"/>
  <cols>
    <col min="1" max="1" width="9.140625" style="29"/>
    <col min="2" max="2" width="27.7109375" style="29" customWidth="1"/>
    <col min="3" max="9" width="9.140625" style="29"/>
  </cols>
  <sheetData>
    <row r="2" spans="1:8" x14ac:dyDescent="0.25">
      <c r="A2" s="65" t="s">
        <v>116</v>
      </c>
      <c r="B2" s="66"/>
      <c r="C2" s="66"/>
      <c r="D2" s="66"/>
      <c r="E2" s="66"/>
      <c r="F2" s="66"/>
    </row>
    <row r="3" spans="1:8" x14ac:dyDescent="0.25">
      <c r="A3" s="67"/>
      <c r="B3" s="68"/>
      <c r="C3" s="68"/>
      <c r="D3" s="68"/>
      <c r="E3" s="68"/>
      <c r="F3" s="68"/>
    </row>
    <row r="4" spans="1:8" x14ac:dyDescent="0.25">
      <c r="A4" s="69" t="s">
        <v>2</v>
      </c>
      <c r="B4" s="61" t="s">
        <v>7</v>
      </c>
      <c r="C4" s="61" t="s">
        <v>4</v>
      </c>
      <c r="D4" s="61" t="s">
        <v>5</v>
      </c>
      <c r="E4" s="61" t="s">
        <v>6</v>
      </c>
      <c r="F4" s="61"/>
      <c r="G4" s="310" t="s">
        <v>94</v>
      </c>
      <c r="H4" s="310"/>
    </row>
    <row r="5" spans="1:8" x14ac:dyDescent="0.25">
      <c r="A5" s="36"/>
      <c r="B5" s="36" t="s">
        <v>243</v>
      </c>
      <c r="C5" s="36"/>
      <c r="D5" s="36"/>
      <c r="E5" s="198">
        <v>281</v>
      </c>
      <c r="F5" s="36"/>
      <c r="G5" s="36"/>
      <c r="H5" s="36"/>
    </row>
  </sheetData>
  <mergeCells count="1">
    <mergeCell ref="G4:H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selection activeCell="E5" sqref="E5"/>
    </sheetView>
  </sheetViews>
  <sheetFormatPr defaultRowHeight="15" x14ac:dyDescent="0.25"/>
  <cols>
    <col min="2" max="2" width="20.140625" customWidth="1"/>
  </cols>
  <sheetData>
    <row r="2" spans="1:9" x14ac:dyDescent="0.25">
      <c r="A2" s="65" t="s">
        <v>117</v>
      </c>
      <c r="B2" s="66"/>
      <c r="C2" s="66"/>
      <c r="D2" s="66"/>
      <c r="E2" s="66"/>
      <c r="F2" s="66"/>
      <c r="G2" s="29"/>
      <c r="H2" s="29"/>
      <c r="I2" s="29"/>
    </row>
    <row r="3" spans="1:9" x14ac:dyDescent="0.25">
      <c r="A3" s="67"/>
      <c r="B3" s="68"/>
      <c r="C3" s="68"/>
      <c r="D3" s="68"/>
      <c r="E3" s="68"/>
      <c r="F3" s="68"/>
      <c r="G3" s="29"/>
      <c r="H3" s="29"/>
      <c r="I3" s="29"/>
    </row>
    <row r="4" spans="1:9" x14ac:dyDescent="0.25">
      <c r="A4" s="69" t="s">
        <v>2</v>
      </c>
      <c r="B4" s="61" t="s">
        <v>7</v>
      </c>
      <c r="C4" s="61" t="s">
        <v>4</v>
      </c>
      <c r="D4" s="61" t="s">
        <v>5</v>
      </c>
      <c r="E4" s="61" t="s">
        <v>6</v>
      </c>
      <c r="F4" s="61"/>
      <c r="G4" s="310" t="s">
        <v>94</v>
      </c>
      <c r="H4" s="310"/>
      <c r="I4" s="29"/>
    </row>
    <row r="5" spans="1:9" x14ac:dyDescent="0.25">
      <c r="A5" s="36"/>
      <c r="B5" s="36" t="s">
        <v>243</v>
      </c>
      <c r="C5" s="36"/>
      <c r="D5" s="36"/>
      <c r="E5" s="198">
        <v>318</v>
      </c>
      <c r="F5" s="36"/>
      <c r="G5" s="36"/>
      <c r="H5" s="36"/>
      <c r="I5" s="29"/>
    </row>
  </sheetData>
  <mergeCells count="1">
    <mergeCell ref="G4:H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>
      <selection activeCell="F11" sqref="F11"/>
    </sheetView>
  </sheetViews>
  <sheetFormatPr defaultRowHeight="15" x14ac:dyDescent="0.25"/>
  <cols>
    <col min="1" max="1" width="13.7109375" style="129" customWidth="1"/>
    <col min="2" max="2" width="26.85546875" style="129" customWidth="1"/>
    <col min="3" max="5" width="9.140625" style="129"/>
    <col min="6" max="6" width="18.140625" style="129" customWidth="1"/>
  </cols>
  <sheetData>
    <row r="2" spans="1:6" x14ac:dyDescent="0.25">
      <c r="A2" s="195" t="s">
        <v>91</v>
      </c>
      <c r="B2" s="195"/>
      <c r="C2" s="195" t="s">
        <v>195</v>
      </c>
      <c r="D2" s="195"/>
      <c r="E2" s="195"/>
    </row>
    <row r="3" spans="1:6" x14ac:dyDescent="0.25">
      <c r="A3" s="196"/>
      <c r="B3" s="196"/>
      <c r="C3" s="196"/>
      <c r="D3" s="196"/>
      <c r="E3" s="196"/>
    </row>
    <row r="4" spans="1:6" x14ac:dyDescent="0.25">
      <c r="A4" s="199" t="s">
        <v>2</v>
      </c>
      <c r="B4" s="199" t="s">
        <v>7</v>
      </c>
      <c r="C4" s="199" t="s">
        <v>4</v>
      </c>
      <c r="D4" s="199" t="s">
        <v>5</v>
      </c>
      <c r="E4" s="199" t="s">
        <v>6</v>
      </c>
      <c r="F4" s="199" t="s">
        <v>7</v>
      </c>
    </row>
    <row r="5" spans="1:6" x14ac:dyDescent="0.25">
      <c r="A5" s="136"/>
      <c r="B5" s="136" t="s">
        <v>318</v>
      </c>
      <c r="C5" s="136"/>
      <c r="D5" s="136"/>
      <c r="E5" s="136"/>
      <c r="F5" s="136">
        <v>141</v>
      </c>
    </row>
    <row r="6" spans="1:6" x14ac:dyDescent="0.25">
      <c r="A6" s="137"/>
      <c r="B6" s="137"/>
      <c r="C6" s="137"/>
      <c r="D6" s="137"/>
      <c r="E6" s="137">
        <v>141</v>
      </c>
      <c r="F6" s="137"/>
    </row>
    <row r="7" spans="1:6" x14ac:dyDescent="0.25">
      <c r="A7" s="136"/>
      <c r="B7" s="136"/>
      <c r="C7" s="136"/>
      <c r="D7" s="136"/>
      <c r="E7" s="136"/>
      <c r="F7" s="136"/>
    </row>
    <row r="8" spans="1:6" x14ac:dyDescent="0.25">
      <c r="A8" s="136"/>
      <c r="B8" s="136"/>
      <c r="C8" s="136"/>
      <c r="D8" s="136"/>
      <c r="E8" s="136"/>
      <c r="F8" s="136"/>
    </row>
    <row r="9" spans="1:6" x14ac:dyDescent="0.25">
      <c r="A9" s="136"/>
      <c r="B9" s="136"/>
      <c r="C9" s="136"/>
      <c r="D9" s="136"/>
      <c r="E9" s="136"/>
      <c r="F9" s="136"/>
    </row>
    <row r="10" spans="1:6" x14ac:dyDescent="0.25">
      <c r="A10" s="136"/>
      <c r="B10" s="136"/>
      <c r="C10" s="136"/>
      <c r="D10" s="136"/>
      <c r="E10" s="136"/>
      <c r="F10" s="136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E11" sqref="E11"/>
    </sheetView>
  </sheetViews>
  <sheetFormatPr defaultRowHeight="15" x14ac:dyDescent="0.25"/>
  <cols>
    <col min="1" max="1" width="12.140625" style="129" customWidth="1"/>
    <col min="2" max="2" width="17.7109375" style="129" customWidth="1"/>
    <col min="3" max="5" width="9.140625" style="129"/>
    <col min="6" max="6" width="18.5703125" style="129" customWidth="1"/>
  </cols>
  <sheetData>
    <row r="2" spans="1:6" x14ac:dyDescent="0.25">
      <c r="A2" s="200" t="s">
        <v>91</v>
      </c>
      <c r="B2" s="200"/>
      <c r="C2" s="200" t="s">
        <v>193</v>
      </c>
      <c r="D2" s="200"/>
      <c r="E2" s="200"/>
    </row>
    <row r="3" spans="1:6" x14ac:dyDescent="0.25">
      <c r="A3" s="201"/>
      <c r="B3" s="201"/>
      <c r="C3" s="201"/>
      <c r="D3" s="201"/>
      <c r="E3" s="201"/>
    </row>
    <row r="4" spans="1:6" x14ac:dyDescent="0.25">
      <c r="A4" s="199" t="s">
        <v>2</v>
      </c>
      <c r="B4" s="199" t="s">
        <v>7</v>
      </c>
      <c r="C4" s="199" t="s">
        <v>4</v>
      </c>
      <c r="D4" s="199" t="s">
        <v>5</v>
      </c>
      <c r="E4" s="199" t="s">
        <v>6</v>
      </c>
      <c r="F4" s="199" t="s">
        <v>7</v>
      </c>
    </row>
    <row r="5" spans="1:6" x14ac:dyDescent="0.25">
      <c r="A5" s="136"/>
      <c r="B5" s="136" t="s">
        <v>318</v>
      </c>
      <c r="C5" s="136"/>
      <c r="D5" s="136"/>
      <c r="E5" s="136"/>
      <c r="F5" s="136">
        <v>333</v>
      </c>
    </row>
    <row r="6" spans="1:6" x14ac:dyDescent="0.25">
      <c r="A6" s="137"/>
      <c r="B6" s="137"/>
      <c r="C6" s="137"/>
      <c r="D6" s="137"/>
      <c r="E6" s="137">
        <v>333</v>
      </c>
      <c r="F6" s="137"/>
    </row>
    <row r="7" spans="1:6" x14ac:dyDescent="0.25">
      <c r="A7" s="136"/>
      <c r="B7" s="136"/>
      <c r="C7" s="136"/>
      <c r="D7" s="136"/>
      <c r="E7" s="136"/>
      <c r="F7" s="136"/>
    </row>
    <row r="8" spans="1:6" x14ac:dyDescent="0.25">
      <c r="A8" s="136"/>
      <c r="B8" s="136"/>
      <c r="C8" s="136"/>
      <c r="D8" s="136"/>
      <c r="E8" s="136"/>
      <c r="F8" s="136"/>
    </row>
    <row r="9" spans="1:6" x14ac:dyDescent="0.25">
      <c r="A9" s="136"/>
      <c r="B9" s="136"/>
      <c r="C9" s="136"/>
      <c r="D9" s="136"/>
      <c r="E9" s="136"/>
      <c r="F9" s="136"/>
    </row>
    <row r="10" spans="1:6" x14ac:dyDescent="0.25">
      <c r="A10" s="136"/>
      <c r="B10" s="136"/>
      <c r="C10" s="136"/>
      <c r="D10" s="136"/>
      <c r="E10" s="136"/>
      <c r="F10" s="136"/>
    </row>
    <row r="11" spans="1:6" x14ac:dyDescent="0.25">
      <c r="A11" s="136"/>
      <c r="B11" s="136"/>
      <c r="C11" s="136"/>
      <c r="D11" s="136"/>
      <c r="E11" s="136"/>
      <c r="F11" s="136"/>
    </row>
    <row r="12" spans="1:6" x14ac:dyDescent="0.25">
      <c r="A12" s="136"/>
      <c r="B12" s="136"/>
      <c r="C12" s="136"/>
      <c r="D12" s="136"/>
      <c r="E12" s="136"/>
      <c r="F12" s="136"/>
    </row>
    <row r="13" spans="1:6" x14ac:dyDescent="0.25">
      <c r="A13" s="136"/>
      <c r="B13" s="136"/>
      <c r="C13" s="136"/>
      <c r="D13" s="136"/>
      <c r="E13" s="136"/>
      <c r="F13" s="136"/>
    </row>
    <row r="14" spans="1:6" x14ac:dyDescent="0.25">
      <c r="A14" s="136"/>
      <c r="B14" s="136"/>
      <c r="C14" s="136"/>
      <c r="D14" s="136"/>
      <c r="E14" s="136"/>
      <c r="F14" s="136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workbookViewId="0">
      <selection activeCell="F22" sqref="F22"/>
    </sheetView>
  </sheetViews>
  <sheetFormatPr defaultRowHeight="15" x14ac:dyDescent="0.25"/>
  <cols>
    <col min="1" max="1" width="11.7109375" style="29" customWidth="1"/>
    <col min="2" max="2" width="23.85546875" style="29" customWidth="1"/>
    <col min="3" max="5" width="9.140625" style="29"/>
    <col min="6" max="6" width="18.5703125" style="29" customWidth="1"/>
  </cols>
  <sheetData>
    <row r="2" spans="1:6" x14ac:dyDescent="0.25">
      <c r="A2" s="65" t="s">
        <v>91</v>
      </c>
      <c r="B2" s="66"/>
      <c r="C2" s="66" t="s">
        <v>191</v>
      </c>
      <c r="D2" s="66"/>
      <c r="E2" s="66"/>
    </row>
    <row r="3" spans="1:6" x14ac:dyDescent="0.25">
      <c r="A3" s="67"/>
      <c r="B3" s="68"/>
      <c r="C3" s="68"/>
      <c r="D3" s="68"/>
      <c r="E3" s="68"/>
    </row>
    <row r="4" spans="1:6" x14ac:dyDescent="0.25">
      <c r="A4" s="69" t="s">
        <v>2</v>
      </c>
      <c r="B4" s="61" t="s">
        <v>7</v>
      </c>
      <c r="C4" s="61" t="s">
        <v>4</v>
      </c>
      <c r="D4" s="61" t="s">
        <v>5</v>
      </c>
      <c r="E4" s="61" t="s">
        <v>6</v>
      </c>
      <c r="F4" s="61" t="s">
        <v>7</v>
      </c>
    </row>
    <row r="5" spans="1:6" hidden="1" x14ac:dyDescent="0.25">
      <c r="A5" s="36"/>
      <c r="B5" s="40" t="s">
        <v>20</v>
      </c>
      <c r="C5" s="36"/>
      <c r="D5" s="36"/>
      <c r="E5" s="36">
        <v>647</v>
      </c>
      <c r="F5" s="36"/>
    </row>
    <row r="6" spans="1:6" hidden="1" x14ac:dyDescent="0.25">
      <c r="A6" s="37">
        <v>44355</v>
      </c>
      <c r="B6" s="36" t="s">
        <v>182</v>
      </c>
      <c r="C6" s="36"/>
      <c r="D6" s="36">
        <v>56</v>
      </c>
      <c r="E6" s="36">
        <f>E5+C6-D6</f>
        <v>591</v>
      </c>
      <c r="F6" s="36" t="s">
        <v>192</v>
      </c>
    </row>
    <row r="7" spans="1:6" hidden="1" x14ac:dyDescent="0.25">
      <c r="A7" s="37">
        <v>44385</v>
      </c>
      <c r="B7" s="36" t="s">
        <v>182</v>
      </c>
      <c r="C7" s="36"/>
      <c r="D7" s="36">
        <v>31</v>
      </c>
      <c r="E7" s="36">
        <f>E6+C7-D7</f>
        <v>560</v>
      </c>
      <c r="F7" s="36" t="s">
        <v>194</v>
      </c>
    </row>
    <row r="8" spans="1:6" hidden="1" x14ac:dyDescent="0.25">
      <c r="A8" s="37">
        <v>44264</v>
      </c>
      <c r="B8" s="36" t="s">
        <v>182</v>
      </c>
      <c r="C8" s="36">
        <v>23</v>
      </c>
      <c r="D8" s="36"/>
      <c r="E8" s="36">
        <f t="shared" ref="E8:E10" si="0">E7+C8-D8</f>
        <v>583</v>
      </c>
      <c r="F8" s="36"/>
    </row>
    <row r="9" spans="1:6" hidden="1" x14ac:dyDescent="0.25">
      <c r="A9" s="37">
        <v>44457</v>
      </c>
      <c r="B9" s="36" t="s">
        <v>182</v>
      </c>
      <c r="C9" s="36">
        <v>45</v>
      </c>
      <c r="D9" s="36"/>
      <c r="E9" s="36">
        <f t="shared" si="0"/>
        <v>628</v>
      </c>
      <c r="F9" s="36"/>
    </row>
    <row r="10" spans="1:6" hidden="1" x14ac:dyDescent="0.25">
      <c r="A10" s="37">
        <v>44462</v>
      </c>
      <c r="B10" s="36" t="s">
        <v>182</v>
      </c>
      <c r="C10" s="36">
        <v>7</v>
      </c>
      <c r="D10" s="36"/>
      <c r="E10" s="36">
        <f t="shared" si="0"/>
        <v>635</v>
      </c>
      <c r="F10" s="36"/>
    </row>
    <row r="11" spans="1:6" x14ac:dyDescent="0.25">
      <c r="A11" s="36"/>
      <c r="B11" s="36" t="s">
        <v>318</v>
      </c>
      <c r="C11" s="36"/>
      <c r="D11" s="36"/>
      <c r="E11" s="36"/>
      <c r="F11" s="36">
        <v>635</v>
      </c>
    </row>
    <row r="12" spans="1:6" x14ac:dyDescent="0.25">
      <c r="A12" s="123"/>
      <c r="B12" s="123"/>
      <c r="C12" s="123"/>
      <c r="D12" s="123"/>
      <c r="E12" s="123">
        <v>635</v>
      </c>
      <c r="F12" s="123"/>
    </row>
    <row r="13" spans="1:6" x14ac:dyDescent="0.25">
      <c r="A13" s="36"/>
      <c r="B13" s="36"/>
      <c r="C13" s="36"/>
      <c r="D13" s="36"/>
      <c r="E13" s="36"/>
      <c r="F13" s="36"/>
    </row>
    <row r="14" spans="1:6" x14ac:dyDescent="0.25">
      <c r="A14" s="36"/>
      <c r="B14" s="36"/>
      <c r="C14" s="36"/>
      <c r="D14" s="36"/>
      <c r="E14" s="36"/>
      <c r="F14" s="36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"/>
  <sheetViews>
    <sheetView workbookViewId="0">
      <selection activeCell="E5" sqref="E5"/>
    </sheetView>
  </sheetViews>
  <sheetFormatPr defaultRowHeight="15" x14ac:dyDescent="0.25"/>
  <cols>
    <col min="1" max="1" width="9.140625" style="129"/>
    <col min="2" max="2" width="18.5703125" style="129" customWidth="1"/>
    <col min="3" max="8" width="9.140625" style="129"/>
  </cols>
  <sheetData>
    <row r="2" spans="1:9" x14ac:dyDescent="0.25">
      <c r="A2" s="202" t="s">
        <v>117</v>
      </c>
      <c r="B2" s="195"/>
      <c r="C2" s="195"/>
      <c r="D2" s="195"/>
      <c r="E2" s="195"/>
      <c r="F2" s="195"/>
      <c r="I2" s="29"/>
    </row>
    <row r="3" spans="1:9" x14ac:dyDescent="0.25">
      <c r="A3" s="203"/>
      <c r="B3" s="196"/>
      <c r="C3" s="196"/>
      <c r="D3" s="196"/>
      <c r="E3" s="196"/>
      <c r="F3" s="196"/>
      <c r="I3" s="29"/>
    </row>
    <row r="4" spans="1:9" x14ac:dyDescent="0.25">
      <c r="A4" s="204" t="s">
        <v>2</v>
      </c>
      <c r="B4" s="197" t="s">
        <v>7</v>
      </c>
      <c r="C4" s="197" t="s">
        <v>4</v>
      </c>
      <c r="D4" s="197" t="s">
        <v>5</v>
      </c>
      <c r="E4" s="197" t="s">
        <v>6</v>
      </c>
      <c r="F4" s="197"/>
      <c r="G4" s="311" t="s">
        <v>94</v>
      </c>
      <c r="H4" s="311"/>
      <c r="I4" s="29"/>
    </row>
    <row r="5" spans="1:9" x14ac:dyDescent="0.25">
      <c r="A5" s="136"/>
      <c r="B5" s="136" t="s">
        <v>20</v>
      </c>
      <c r="C5" s="136"/>
      <c r="D5" s="136"/>
      <c r="E5" s="145">
        <v>67</v>
      </c>
      <c r="F5" s="136"/>
      <c r="G5" s="136"/>
      <c r="H5" s="136"/>
      <c r="I5" s="29"/>
    </row>
  </sheetData>
  <mergeCells count="1">
    <mergeCell ref="G4:H4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J21" sqref="J21"/>
    </sheetView>
  </sheetViews>
  <sheetFormatPr defaultRowHeight="15" x14ac:dyDescent="0.25"/>
  <cols>
    <col min="1" max="1" width="12.85546875" style="29" customWidth="1"/>
    <col min="2" max="2" width="24.7109375" style="29" customWidth="1"/>
    <col min="3" max="5" width="9.140625" style="29"/>
    <col min="6" max="6" width="16.140625" style="29" customWidth="1"/>
  </cols>
  <sheetData>
    <row r="1" spans="1:6" x14ac:dyDescent="0.25">
      <c r="A1" s="59" t="s">
        <v>188</v>
      </c>
      <c r="B1" s="59"/>
      <c r="C1" s="59"/>
      <c r="D1" s="59"/>
      <c r="E1" s="59"/>
    </row>
    <row r="2" spans="1:6" x14ac:dyDescent="0.25">
      <c r="A2" s="59"/>
      <c r="B2" s="60"/>
      <c r="C2" s="59"/>
      <c r="D2" s="59"/>
      <c r="E2" s="59"/>
    </row>
    <row r="3" spans="1:6" x14ac:dyDescent="0.25">
      <c r="A3" s="110" t="s">
        <v>2</v>
      </c>
      <c r="B3" s="110" t="s">
        <v>7</v>
      </c>
      <c r="C3" s="110" t="s">
        <v>4</v>
      </c>
      <c r="D3" s="110" t="s">
        <v>5</v>
      </c>
      <c r="E3" s="110" t="s">
        <v>6</v>
      </c>
      <c r="F3" s="110" t="s">
        <v>7</v>
      </c>
    </row>
    <row r="4" spans="1:6" ht="15.75" hidden="1" x14ac:dyDescent="0.25">
      <c r="A4" s="36"/>
      <c r="B4" s="40" t="s">
        <v>20</v>
      </c>
      <c r="C4" s="36"/>
      <c r="D4" s="36"/>
      <c r="E4" s="38">
        <v>1657</v>
      </c>
      <c r="F4" s="36"/>
    </row>
    <row r="5" spans="1:6" hidden="1" x14ac:dyDescent="0.25">
      <c r="A5" s="37">
        <v>44355</v>
      </c>
      <c r="B5" s="36" t="s">
        <v>182</v>
      </c>
      <c r="C5" s="36"/>
      <c r="D5" s="36">
        <v>260</v>
      </c>
      <c r="E5" s="36">
        <f>E4+C5-D5</f>
        <v>1397</v>
      </c>
      <c r="F5" s="36" t="s">
        <v>190</v>
      </c>
    </row>
    <row r="6" spans="1:6" hidden="1" x14ac:dyDescent="0.25">
      <c r="A6" s="37">
        <v>44385</v>
      </c>
      <c r="B6" s="36" t="s">
        <v>182</v>
      </c>
      <c r="C6" s="36"/>
      <c r="D6" s="36">
        <v>156</v>
      </c>
      <c r="E6" s="36">
        <f>E5+C6-D6</f>
        <v>1241</v>
      </c>
      <c r="F6" s="36" t="s">
        <v>194</v>
      </c>
    </row>
    <row r="7" spans="1:6" hidden="1" x14ac:dyDescent="0.25">
      <c r="A7" s="36" t="s">
        <v>197</v>
      </c>
      <c r="B7" s="36" t="s">
        <v>182</v>
      </c>
      <c r="C7" s="36">
        <v>130</v>
      </c>
      <c r="D7" s="36"/>
      <c r="E7" s="36">
        <f t="shared" ref="E7:E12" si="0">E6+C7-D7</f>
        <v>1371</v>
      </c>
      <c r="F7" s="36"/>
    </row>
    <row r="8" spans="1:6" hidden="1" x14ac:dyDescent="0.25">
      <c r="A8" s="36" t="s">
        <v>198</v>
      </c>
      <c r="B8" s="36" t="s">
        <v>182</v>
      </c>
      <c r="C8" s="36">
        <v>16</v>
      </c>
      <c r="D8" s="36"/>
      <c r="E8" s="36">
        <f t="shared" si="0"/>
        <v>1387</v>
      </c>
      <c r="F8" s="36"/>
    </row>
    <row r="9" spans="1:6" hidden="1" x14ac:dyDescent="0.25">
      <c r="A9" s="37">
        <v>44264</v>
      </c>
      <c r="B9" s="36" t="s">
        <v>182</v>
      </c>
      <c r="C9" s="36">
        <v>42</v>
      </c>
      <c r="D9" s="36"/>
      <c r="E9" s="36">
        <f t="shared" si="0"/>
        <v>1429</v>
      </c>
      <c r="F9" s="36"/>
    </row>
    <row r="10" spans="1:6" hidden="1" x14ac:dyDescent="0.25">
      <c r="A10" s="21">
        <v>44356</v>
      </c>
      <c r="B10" s="36" t="s">
        <v>182</v>
      </c>
      <c r="C10" s="1">
        <v>24</v>
      </c>
      <c r="D10" s="36"/>
      <c r="E10" s="36">
        <f t="shared" si="0"/>
        <v>1453</v>
      </c>
      <c r="F10" s="36"/>
    </row>
    <row r="11" spans="1:6" hidden="1" x14ac:dyDescent="0.25">
      <c r="A11" s="37">
        <v>44457</v>
      </c>
      <c r="B11" s="36" t="s">
        <v>182</v>
      </c>
      <c r="C11" s="36">
        <v>130</v>
      </c>
      <c r="D11" s="36"/>
      <c r="E11" s="36">
        <f t="shared" si="0"/>
        <v>1583</v>
      </c>
      <c r="F11" s="36"/>
    </row>
    <row r="12" spans="1:6" hidden="1" x14ac:dyDescent="0.25">
      <c r="A12" s="37">
        <v>44462</v>
      </c>
      <c r="B12" s="36" t="s">
        <v>182</v>
      </c>
      <c r="C12" s="36">
        <v>38</v>
      </c>
      <c r="D12" s="36"/>
      <c r="E12" s="36">
        <f t="shared" si="0"/>
        <v>1621</v>
      </c>
      <c r="F12" s="36"/>
    </row>
    <row r="13" spans="1:6" x14ac:dyDescent="0.25">
      <c r="A13" s="36"/>
      <c r="B13" s="36" t="s">
        <v>318</v>
      </c>
      <c r="C13" s="36"/>
      <c r="D13" s="36"/>
      <c r="E13" s="36"/>
      <c r="F13" s="36">
        <v>1621</v>
      </c>
    </row>
    <row r="14" spans="1:6" x14ac:dyDescent="0.25">
      <c r="A14" s="123"/>
      <c r="B14" s="123"/>
      <c r="C14" s="123"/>
      <c r="D14" s="123"/>
      <c r="E14" s="123">
        <v>1621</v>
      </c>
      <c r="F14" s="123"/>
    </row>
    <row r="15" spans="1:6" x14ac:dyDescent="0.25">
      <c r="A15" s="36"/>
      <c r="B15" s="36"/>
      <c r="C15" s="36"/>
      <c r="D15" s="36"/>
      <c r="E15" s="36"/>
      <c r="F15" s="36"/>
    </row>
    <row r="16" spans="1:6" x14ac:dyDescent="0.25">
      <c r="A16" s="36"/>
      <c r="B16" s="36"/>
      <c r="C16" s="36"/>
      <c r="D16" s="36"/>
      <c r="E16" s="36"/>
      <c r="F16" s="36"/>
    </row>
    <row r="17" spans="1:6" x14ac:dyDescent="0.25">
      <c r="A17" s="36"/>
      <c r="B17" s="36"/>
      <c r="C17" s="36"/>
      <c r="D17" s="36"/>
      <c r="E17" s="36"/>
      <c r="F17" s="36"/>
    </row>
    <row r="18" spans="1:6" x14ac:dyDescent="0.25">
      <c r="A18" s="36"/>
      <c r="B18" s="36"/>
      <c r="C18" s="36"/>
      <c r="D18" s="36"/>
      <c r="E18" s="36"/>
      <c r="F18" s="36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K25" sqref="K25"/>
    </sheetView>
  </sheetViews>
  <sheetFormatPr defaultRowHeight="15" x14ac:dyDescent="0.25"/>
  <cols>
    <col min="1" max="1" width="14.140625" style="129" customWidth="1"/>
    <col min="2" max="2" width="18.5703125" style="129" customWidth="1"/>
    <col min="3" max="5" width="9.140625" style="129"/>
    <col min="6" max="6" width="15.5703125" style="129" customWidth="1"/>
  </cols>
  <sheetData>
    <row r="2" spans="1:6" x14ac:dyDescent="0.25">
      <c r="A2" s="207" t="s">
        <v>189</v>
      </c>
      <c r="B2" s="207"/>
      <c r="C2" s="207"/>
      <c r="D2" s="207"/>
      <c r="E2" s="207"/>
    </row>
    <row r="3" spans="1:6" x14ac:dyDescent="0.25">
      <c r="A3" s="207"/>
      <c r="B3" s="208"/>
      <c r="C3" s="207"/>
      <c r="D3" s="207"/>
      <c r="E3" s="207"/>
    </row>
    <row r="4" spans="1:6" x14ac:dyDescent="0.25">
      <c r="A4" s="199" t="s">
        <v>2</v>
      </c>
      <c r="B4" s="199" t="s">
        <v>7</v>
      </c>
      <c r="C4" s="199" t="s">
        <v>4</v>
      </c>
      <c r="D4" s="199" t="s">
        <v>5</v>
      </c>
      <c r="E4" s="199" t="s">
        <v>6</v>
      </c>
      <c r="F4" s="199" t="s">
        <v>7</v>
      </c>
    </row>
    <row r="5" spans="1:6" hidden="1" x14ac:dyDescent="0.25">
      <c r="A5" s="136"/>
      <c r="B5" s="143" t="s">
        <v>20</v>
      </c>
      <c r="C5" s="136"/>
      <c r="D5" s="136"/>
      <c r="E5" s="136">
        <v>296</v>
      </c>
      <c r="F5" s="136"/>
    </row>
    <row r="6" spans="1:6" hidden="1" x14ac:dyDescent="0.25">
      <c r="A6" s="167">
        <v>44355</v>
      </c>
      <c r="B6" s="136" t="s">
        <v>182</v>
      </c>
      <c r="C6" s="136"/>
      <c r="D6" s="136">
        <v>90</v>
      </c>
      <c r="E6" s="136">
        <f>E5+C6-D6</f>
        <v>206</v>
      </c>
      <c r="F6" s="136" t="s">
        <v>190</v>
      </c>
    </row>
    <row r="7" spans="1:6" hidden="1" x14ac:dyDescent="0.25">
      <c r="A7" s="167">
        <v>44385</v>
      </c>
      <c r="B7" s="136" t="s">
        <v>182</v>
      </c>
      <c r="C7" s="136"/>
      <c r="D7" s="136">
        <v>66</v>
      </c>
      <c r="E7" s="136">
        <f>E6+C7-D7</f>
        <v>140</v>
      </c>
      <c r="F7" s="136" t="s">
        <v>194</v>
      </c>
    </row>
    <row r="8" spans="1:6" hidden="1" x14ac:dyDescent="0.25">
      <c r="A8" s="167">
        <v>44385</v>
      </c>
      <c r="B8" s="136" t="s">
        <v>182</v>
      </c>
      <c r="C8" s="136"/>
      <c r="D8" s="136">
        <v>30</v>
      </c>
      <c r="E8" s="136">
        <f>E7+C8-D8</f>
        <v>110</v>
      </c>
      <c r="F8" s="136" t="s">
        <v>196</v>
      </c>
    </row>
    <row r="9" spans="1:6" hidden="1" x14ac:dyDescent="0.25">
      <c r="A9" s="136" t="s">
        <v>198</v>
      </c>
      <c r="B9" s="136" t="s">
        <v>182</v>
      </c>
      <c r="C9" s="136">
        <v>6</v>
      </c>
      <c r="D9" s="136"/>
      <c r="E9" s="136">
        <f t="shared" ref="E9:E13" si="0">E8+C9-D9</f>
        <v>116</v>
      </c>
      <c r="F9" s="136"/>
    </row>
    <row r="10" spans="1:6" hidden="1" x14ac:dyDescent="0.25">
      <c r="A10" s="167">
        <v>44264</v>
      </c>
      <c r="B10" s="136" t="s">
        <v>182</v>
      </c>
      <c r="C10" s="136">
        <v>20</v>
      </c>
      <c r="D10" s="136"/>
      <c r="E10" s="136">
        <f t="shared" si="0"/>
        <v>136</v>
      </c>
      <c r="F10" s="136"/>
    </row>
    <row r="11" spans="1:6" hidden="1" x14ac:dyDescent="0.25">
      <c r="A11" s="167">
        <v>44356</v>
      </c>
      <c r="B11" s="136" t="s">
        <v>182</v>
      </c>
      <c r="C11" s="136">
        <v>6</v>
      </c>
      <c r="D11" s="136"/>
      <c r="E11" s="136">
        <f t="shared" si="0"/>
        <v>142</v>
      </c>
      <c r="F11" s="136"/>
    </row>
    <row r="12" spans="1:6" hidden="1" x14ac:dyDescent="0.25">
      <c r="A12" s="167">
        <v>44457</v>
      </c>
      <c r="B12" s="136" t="s">
        <v>182</v>
      </c>
      <c r="C12" s="136">
        <v>57</v>
      </c>
      <c r="D12" s="136"/>
      <c r="E12" s="136">
        <f t="shared" si="0"/>
        <v>199</v>
      </c>
      <c r="F12" s="136"/>
    </row>
    <row r="13" spans="1:6" hidden="1" x14ac:dyDescent="0.25">
      <c r="A13" s="167">
        <v>44462</v>
      </c>
      <c r="B13" s="136" t="s">
        <v>182</v>
      </c>
      <c r="C13" s="136">
        <v>30</v>
      </c>
      <c r="D13" s="136"/>
      <c r="E13" s="136">
        <f t="shared" si="0"/>
        <v>229</v>
      </c>
      <c r="F13" s="136"/>
    </row>
    <row r="14" spans="1:6" x14ac:dyDescent="0.25">
      <c r="A14" s="136"/>
      <c r="B14" s="136" t="s">
        <v>318</v>
      </c>
      <c r="C14" s="136"/>
      <c r="D14" s="136"/>
      <c r="E14" s="136"/>
      <c r="F14" s="136">
        <v>229</v>
      </c>
    </row>
    <row r="15" spans="1:6" x14ac:dyDescent="0.25">
      <c r="A15" s="137"/>
      <c r="B15" s="137"/>
      <c r="C15" s="137"/>
      <c r="D15" s="137"/>
      <c r="E15" s="137">
        <v>229</v>
      </c>
      <c r="F15" s="137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"/>
  <sheetViews>
    <sheetView workbookViewId="0">
      <selection activeCell="A15" sqref="A15:XFD15"/>
    </sheetView>
  </sheetViews>
  <sheetFormatPr defaultRowHeight="15" x14ac:dyDescent="0.25"/>
  <cols>
    <col min="1" max="1" width="9.85546875" style="129" bestFit="1" customWidth="1"/>
    <col min="2" max="2" width="23.42578125" style="129" customWidth="1"/>
    <col min="3" max="5" width="9.140625" style="129"/>
    <col min="6" max="6" width="15.140625" style="129" customWidth="1"/>
  </cols>
  <sheetData>
    <row r="2" spans="1:6" x14ac:dyDescent="0.25">
      <c r="A2" s="178" t="s">
        <v>767</v>
      </c>
      <c r="B2" s="178"/>
      <c r="C2" s="178"/>
      <c r="D2" s="178"/>
      <c r="E2" s="178"/>
    </row>
    <row r="3" spans="1:6" x14ac:dyDescent="0.25">
      <c r="A3" s="178"/>
      <c r="B3" s="178"/>
      <c r="C3" s="178"/>
      <c r="D3" s="178"/>
      <c r="E3" s="178"/>
    </row>
    <row r="4" spans="1:6" x14ac:dyDescent="0.25">
      <c r="A4" s="197" t="s">
        <v>2</v>
      </c>
      <c r="B4" s="197" t="s">
        <v>7</v>
      </c>
      <c r="C4" s="197" t="s">
        <v>4</v>
      </c>
      <c r="D4" s="197" t="s">
        <v>5</v>
      </c>
      <c r="E4" s="197" t="s">
        <v>6</v>
      </c>
      <c r="F4" s="197" t="s">
        <v>7</v>
      </c>
    </row>
    <row r="5" spans="1:6" x14ac:dyDescent="0.25">
      <c r="A5" s="136"/>
      <c r="B5" s="136" t="s">
        <v>20</v>
      </c>
      <c r="C5" s="136"/>
      <c r="D5" s="136"/>
      <c r="E5" s="145">
        <v>5</v>
      </c>
      <c r="F5" s="136"/>
    </row>
    <row r="6" spans="1:6" x14ac:dyDescent="0.25">
      <c r="A6" s="152" t="s">
        <v>764</v>
      </c>
      <c r="B6" s="136" t="s">
        <v>638</v>
      </c>
      <c r="C6" s="136"/>
      <c r="D6" s="136">
        <v>50</v>
      </c>
      <c r="E6" s="136"/>
      <c r="F6" s="136" t="s">
        <v>768</v>
      </c>
    </row>
    <row r="7" spans="1:6" x14ac:dyDescent="0.25">
      <c r="A7" s="152" t="s">
        <v>764</v>
      </c>
      <c r="B7" s="136" t="s">
        <v>638</v>
      </c>
      <c r="C7" s="136"/>
      <c r="D7" s="136">
        <v>30</v>
      </c>
      <c r="E7" s="136"/>
      <c r="F7" s="136" t="s">
        <v>770</v>
      </c>
    </row>
    <row r="8" spans="1:6" x14ac:dyDescent="0.25">
      <c r="A8" s="152" t="s">
        <v>771</v>
      </c>
      <c r="B8" s="136" t="s">
        <v>638</v>
      </c>
      <c r="C8" s="136"/>
      <c r="D8" s="136">
        <v>120</v>
      </c>
      <c r="E8" s="136"/>
      <c r="F8" s="136" t="s">
        <v>772</v>
      </c>
    </row>
    <row r="9" spans="1:6" x14ac:dyDescent="0.25">
      <c r="A9" s="152" t="s">
        <v>773</v>
      </c>
      <c r="B9" s="136" t="s">
        <v>638</v>
      </c>
      <c r="C9" s="136"/>
      <c r="D9" s="136">
        <v>100</v>
      </c>
      <c r="E9" s="136"/>
      <c r="F9" s="136" t="s">
        <v>774</v>
      </c>
    </row>
    <row r="10" spans="1:6" x14ac:dyDescent="0.25">
      <c r="A10" s="152" t="s">
        <v>775</v>
      </c>
      <c r="B10" s="136" t="s">
        <v>638</v>
      </c>
      <c r="C10" s="136"/>
      <c r="D10" s="136">
        <v>100</v>
      </c>
      <c r="E10" s="136"/>
      <c r="F10" s="136" t="s">
        <v>777</v>
      </c>
    </row>
    <row r="11" spans="1:6" x14ac:dyDescent="0.25">
      <c r="A11" s="152" t="s">
        <v>811</v>
      </c>
      <c r="B11" s="136" t="s">
        <v>812</v>
      </c>
      <c r="C11" s="136"/>
      <c r="D11" s="163">
        <v>100</v>
      </c>
      <c r="E11" s="136"/>
      <c r="F11" s="136" t="s">
        <v>813</v>
      </c>
    </row>
    <row r="12" spans="1:6" x14ac:dyDescent="0.25">
      <c r="A12" s="152" t="s">
        <v>827</v>
      </c>
      <c r="B12" s="136" t="s">
        <v>812</v>
      </c>
      <c r="C12" s="136"/>
      <c r="D12" s="136">
        <v>50</v>
      </c>
      <c r="E12" s="136"/>
      <c r="F12" s="136" t="s">
        <v>830</v>
      </c>
    </row>
    <row r="13" spans="1:6" x14ac:dyDescent="0.25">
      <c r="A13" s="238" t="s">
        <v>839</v>
      </c>
      <c r="B13" s="136" t="s">
        <v>812</v>
      </c>
      <c r="C13" s="136"/>
      <c r="D13" s="136">
        <v>150</v>
      </c>
      <c r="E13" s="136"/>
      <c r="F13" s="136" t="s">
        <v>841</v>
      </c>
    </row>
    <row r="14" spans="1:6" x14ac:dyDescent="0.25">
      <c r="A14" s="152" t="s">
        <v>847</v>
      </c>
      <c r="B14" s="136" t="s">
        <v>812</v>
      </c>
      <c r="C14" s="136"/>
      <c r="D14" s="136">
        <v>110</v>
      </c>
      <c r="E14" s="136"/>
      <c r="F14" s="136" t="s">
        <v>853</v>
      </c>
    </row>
    <row r="15" spans="1:6" x14ac:dyDescent="0.25">
      <c r="A15" s="152" t="s">
        <v>869</v>
      </c>
      <c r="B15" s="136" t="s">
        <v>812</v>
      </c>
      <c r="C15" s="136"/>
      <c r="D15" s="136">
        <v>110</v>
      </c>
      <c r="E15" s="136"/>
      <c r="F15" s="136" t="s">
        <v>871</v>
      </c>
    </row>
    <row r="16" spans="1:6" x14ac:dyDescent="0.25">
      <c r="A16" s="136"/>
      <c r="B16" s="136"/>
      <c r="C16" s="136"/>
      <c r="D16" s="136"/>
      <c r="E16" s="136"/>
      <c r="F16" s="136"/>
    </row>
    <row r="17" spans="1:6" x14ac:dyDescent="0.25">
      <c r="A17" s="136"/>
      <c r="B17" s="136"/>
      <c r="C17" s="136"/>
      <c r="D17" s="136"/>
      <c r="E17" s="136"/>
      <c r="F17" s="136"/>
    </row>
    <row r="18" spans="1:6" x14ac:dyDescent="0.25">
      <c r="A18" s="136"/>
      <c r="B18" s="136"/>
      <c r="C18" s="136"/>
      <c r="D18" s="136"/>
      <c r="E18" s="136"/>
      <c r="F18" s="136"/>
    </row>
    <row r="19" spans="1:6" x14ac:dyDescent="0.25">
      <c r="A19" s="136"/>
      <c r="B19" s="136"/>
      <c r="C19" s="136"/>
      <c r="D19" s="136"/>
      <c r="E19" s="136"/>
      <c r="F19" s="136"/>
    </row>
    <row r="20" spans="1:6" x14ac:dyDescent="0.25">
      <c r="A20" s="136"/>
      <c r="B20" s="136"/>
      <c r="C20" s="136"/>
      <c r="D20" s="136"/>
      <c r="E20" s="136"/>
      <c r="F20" s="136"/>
    </row>
    <row r="21" spans="1:6" x14ac:dyDescent="0.25">
      <c r="A21" s="136"/>
      <c r="B21" s="136"/>
      <c r="C21" s="136"/>
      <c r="D21" s="136"/>
      <c r="E21" s="136"/>
      <c r="F21" s="136"/>
    </row>
    <row r="22" spans="1:6" x14ac:dyDescent="0.25">
      <c r="A22" s="136"/>
      <c r="B22" s="136"/>
      <c r="C22" s="136"/>
      <c r="D22" s="136"/>
      <c r="E22" s="136"/>
      <c r="F22" s="136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F15"/>
  <sheetViews>
    <sheetView workbookViewId="0">
      <selection activeCell="A8" sqref="A8:F8"/>
    </sheetView>
  </sheetViews>
  <sheetFormatPr defaultRowHeight="15" x14ac:dyDescent="0.25"/>
  <cols>
    <col min="1" max="1" width="14.28515625" style="147" customWidth="1"/>
    <col min="2" max="2" width="19.7109375" style="129" customWidth="1"/>
    <col min="3" max="4" width="9.140625" style="129"/>
    <col min="5" max="5" width="11.42578125" style="129" customWidth="1"/>
    <col min="6" max="6" width="16" style="129" customWidth="1"/>
  </cols>
  <sheetData>
    <row r="2" spans="1:6" x14ac:dyDescent="0.25">
      <c r="A2" s="315" t="s">
        <v>339</v>
      </c>
      <c r="B2" s="178"/>
      <c r="C2" s="178"/>
      <c r="D2" s="178"/>
      <c r="E2" s="178"/>
    </row>
    <row r="3" spans="1:6" x14ac:dyDescent="0.25">
      <c r="A3" s="315"/>
      <c r="B3" s="178"/>
      <c r="C3" s="178"/>
      <c r="D3" s="178"/>
      <c r="E3" s="178"/>
    </row>
    <row r="4" spans="1:6" x14ac:dyDescent="0.25">
      <c r="A4" s="204" t="s">
        <v>2</v>
      </c>
      <c r="B4" s="197" t="s">
        <v>7</v>
      </c>
      <c r="C4" s="197" t="s">
        <v>4</v>
      </c>
      <c r="D4" s="197" t="s">
        <v>5</v>
      </c>
      <c r="E4" s="197" t="s">
        <v>6</v>
      </c>
      <c r="F4" s="197" t="s">
        <v>7</v>
      </c>
    </row>
    <row r="5" spans="1:6" x14ac:dyDescent="0.25">
      <c r="A5" s="144"/>
      <c r="B5" s="136" t="s">
        <v>318</v>
      </c>
      <c r="C5" s="136"/>
      <c r="D5" s="136"/>
      <c r="E5" s="136"/>
      <c r="F5" s="136">
        <v>1536</v>
      </c>
    </row>
    <row r="6" spans="1:6" x14ac:dyDescent="0.25">
      <c r="A6" s="148"/>
      <c r="B6" s="137"/>
      <c r="C6" s="137"/>
      <c r="D6" s="137"/>
      <c r="E6" s="137">
        <v>1536</v>
      </c>
      <c r="F6" s="137"/>
    </row>
    <row r="7" spans="1:6" x14ac:dyDescent="0.25">
      <c r="A7" s="258" t="s">
        <v>856</v>
      </c>
      <c r="B7" s="136" t="s">
        <v>783</v>
      </c>
      <c r="C7" s="136"/>
      <c r="D7" s="136">
        <v>150</v>
      </c>
      <c r="E7" s="136"/>
      <c r="F7" s="136" t="s">
        <v>864</v>
      </c>
    </row>
    <row r="8" spans="1:6" x14ac:dyDescent="0.25">
      <c r="A8" s="138" t="s">
        <v>893</v>
      </c>
      <c r="B8" s="136" t="s">
        <v>783</v>
      </c>
      <c r="C8" s="136"/>
      <c r="D8" s="136">
        <v>100</v>
      </c>
      <c r="E8" s="136"/>
      <c r="F8" s="136" t="s">
        <v>895</v>
      </c>
    </row>
    <row r="9" spans="1:6" x14ac:dyDescent="0.25">
      <c r="A9" s="144"/>
      <c r="B9" s="136"/>
      <c r="C9" s="136"/>
      <c r="D9" s="136"/>
      <c r="E9" s="136"/>
      <c r="F9" s="136"/>
    </row>
    <row r="10" spans="1:6" x14ac:dyDescent="0.25">
      <c r="A10" s="144"/>
      <c r="B10" s="136"/>
      <c r="C10" s="136"/>
      <c r="D10" s="136"/>
      <c r="E10" s="136"/>
      <c r="F10" s="136"/>
    </row>
    <row r="11" spans="1:6" x14ac:dyDescent="0.25">
      <c r="A11" s="144"/>
      <c r="B11" s="136"/>
      <c r="C11" s="136"/>
      <c r="D11" s="136"/>
      <c r="E11" s="136"/>
      <c r="F11" s="136"/>
    </row>
    <row r="12" spans="1:6" x14ac:dyDescent="0.25">
      <c r="A12" s="144"/>
      <c r="B12" s="136"/>
      <c r="C12" s="136"/>
      <c r="D12" s="136"/>
      <c r="E12" s="136"/>
      <c r="F12" s="136"/>
    </row>
    <row r="13" spans="1:6" x14ac:dyDescent="0.25">
      <c r="A13" s="144"/>
      <c r="B13" s="136"/>
      <c r="C13" s="136"/>
      <c r="D13" s="136"/>
      <c r="E13" s="136"/>
      <c r="F13" s="136"/>
    </row>
    <row r="14" spans="1:6" x14ac:dyDescent="0.25">
      <c r="A14" s="144"/>
      <c r="B14" s="136"/>
      <c r="C14" s="136"/>
      <c r="D14" s="136"/>
      <c r="E14" s="136"/>
      <c r="F14" s="136"/>
    </row>
    <row r="15" spans="1:6" x14ac:dyDescent="0.25">
      <c r="A15" s="144"/>
      <c r="B15" s="136"/>
      <c r="C15" s="136"/>
      <c r="D15" s="136"/>
      <c r="E15" s="136"/>
      <c r="F15" s="136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10"/>
  <sheetViews>
    <sheetView workbookViewId="0">
      <selection activeCell="F16" sqref="F16"/>
    </sheetView>
  </sheetViews>
  <sheetFormatPr defaultRowHeight="15" x14ac:dyDescent="0.25"/>
  <cols>
    <col min="1" max="1" width="11.140625" style="29" customWidth="1"/>
    <col min="2" max="2" width="29" style="29" customWidth="1"/>
    <col min="3" max="4" width="9.140625" style="29"/>
    <col min="5" max="5" width="12.140625" style="29" customWidth="1"/>
    <col min="6" max="6" width="17" style="29" customWidth="1"/>
    <col min="7" max="7" width="9.140625" style="29"/>
  </cols>
  <sheetData>
    <row r="2" spans="1:6" x14ac:dyDescent="0.25">
      <c r="A2" s="58" t="s">
        <v>99</v>
      </c>
      <c r="B2" s="58"/>
      <c r="C2" s="58"/>
      <c r="D2" s="58"/>
      <c r="E2" s="58"/>
    </row>
    <row r="3" spans="1:6" x14ac:dyDescent="0.25">
      <c r="A3" s="58"/>
      <c r="B3" s="58"/>
      <c r="C3" s="58"/>
      <c r="D3" s="58"/>
      <c r="E3" s="58"/>
    </row>
    <row r="4" spans="1:6" x14ac:dyDescent="0.25">
      <c r="A4" s="61" t="s">
        <v>2</v>
      </c>
      <c r="B4" s="61" t="s">
        <v>7</v>
      </c>
      <c r="C4" s="61" t="s">
        <v>4</v>
      </c>
      <c r="D4" s="61" t="s">
        <v>5</v>
      </c>
      <c r="E4" s="61" t="s">
        <v>6</v>
      </c>
      <c r="F4" s="61" t="s">
        <v>7</v>
      </c>
    </row>
    <row r="5" spans="1:6" x14ac:dyDescent="0.25">
      <c r="A5" s="36"/>
      <c r="B5" s="36" t="s">
        <v>318</v>
      </c>
      <c r="C5" s="36"/>
      <c r="D5" s="36"/>
      <c r="E5" s="36"/>
      <c r="F5" s="36">
        <v>258</v>
      </c>
    </row>
    <row r="6" spans="1:6" x14ac:dyDescent="0.25">
      <c r="A6" s="123"/>
      <c r="B6" s="123"/>
      <c r="C6" s="123"/>
      <c r="D6" s="123"/>
      <c r="E6" s="123">
        <v>258</v>
      </c>
      <c r="F6" s="123"/>
    </row>
    <row r="7" spans="1:6" x14ac:dyDescent="0.25">
      <c r="A7" s="36"/>
      <c r="B7" s="36"/>
      <c r="C7" s="36"/>
      <c r="D7" s="36"/>
      <c r="E7" s="36"/>
      <c r="F7" s="36"/>
    </row>
    <row r="8" spans="1:6" x14ac:dyDescent="0.25">
      <c r="A8" s="36"/>
      <c r="B8" s="36"/>
      <c r="C8" s="36"/>
      <c r="D8" s="36"/>
      <c r="E8" s="36"/>
      <c r="F8" s="36"/>
    </row>
    <row r="9" spans="1:6" x14ac:dyDescent="0.25">
      <c r="A9" s="36"/>
      <c r="B9" s="36"/>
      <c r="C9" s="36"/>
      <c r="D9" s="36"/>
      <c r="E9" s="36"/>
      <c r="F9" s="36"/>
    </row>
    <row r="10" spans="1:6" x14ac:dyDescent="0.25">
      <c r="A10" s="36"/>
      <c r="B10" s="36"/>
      <c r="C10" s="36"/>
      <c r="D10" s="36"/>
      <c r="E10" s="36"/>
      <c r="F10" s="36"/>
    </row>
  </sheetData>
  <pageMargins left="0.7" right="0.7" top="0.75" bottom="0.75" header="0.3" footer="0.3"/>
  <pageSetup paperSize="9" orientation="portrait" horizontalDpi="0" verticalDpi="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G11"/>
  <sheetViews>
    <sheetView zoomScale="120" zoomScaleNormal="120" workbookViewId="0">
      <selection activeCell="B10" sqref="B10"/>
    </sheetView>
  </sheetViews>
  <sheetFormatPr defaultRowHeight="15" x14ac:dyDescent="0.25"/>
  <cols>
    <col min="1" max="1" width="12.85546875" style="129" customWidth="1"/>
    <col min="2" max="2" width="31.85546875" style="129" customWidth="1"/>
    <col min="3" max="5" width="9.140625" style="129"/>
    <col min="6" max="6" width="14.7109375" style="129" customWidth="1"/>
    <col min="7" max="7" width="22" style="129" customWidth="1"/>
  </cols>
  <sheetData>
    <row r="2" spans="1:7" x14ac:dyDescent="0.25">
      <c r="A2" s="177" t="s">
        <v>82</v>
      </c>
      <c r="B2" s="182"/>
      <c r="C2" s="182"/>
      <c r="D2" s="178"/>
      <c r="E2" s="178"/>
    </row>
    <row r="3" spans="1:7" x14ac:dyDescent="0.25">
      <c r="A3" s="178"/>
      <c r="B3" s="178"/>
      <c r="C3" s="178"/>
      <c r="D3" s="178"/>
      <c r="E3" s="178"/>
    </row>
    <row r="4" spans="1:7" x14ac:dyDescent="0.25">
      <c r="A4" s="134" t="s">
        <v>2</v>
      </c>
      <c r="B4" s="134" t="s">
        <v>3</v>
      </c>
      <c r="C4" s="134" t="s">
        <v>4</v>
      </c>
      <c r="D4" s="134" t="s">
        <v>5</v>
      </c>
      <c r="E4" s="134" t="s">
        <v>6</v>
      </c>
      <c r="F4" s="135" t="s">
        <v>7</v>
      </c>
      <c r="G4" s="136" t="s">
        <v>8</v>
      </c>
    </row>
    <row r="5" spans="1:7" x14ac:dyDescent="0.25">
      <c r="A5" s="136"/>
      <c r="B5" s="136" t="s">
        <v>318</v>
      </c>
      <c r="C5" s="136"/>
      <c r="D5" s="136"/>
      <c r="E5" s="136"/>
      <c r="F5" s="136">
        <v>1737</v>
      </c>
      <c r="G5" s="136"/>
    </row>
    <row r="6" spans="1:7" x14ac:dyDescent="0.25">
      <c r="A6" s="137"/>
      <c r="B6" s="137"/>
      <c r="C6" s="137"/>
      <c r="D6" s="137"/>
      <c r="E6" s="137">
        <v>1737</v>
      </c>
      <c r="F6" s="137"/>
      <c r="G6" s="137"/>
    </row>
    <row r="7" spans="1:7" x14ac:dyDescent="0.25">
      <c r="A7" s="136"/>
      <c r="B7" s="136"/>
      <c r="C7" s="136"/>
      <c r="D7" s="136"/>
      <c r="E7" s="136"/>
      <c r="F7" s="136"/>
      <c r="G7" s="136"/>
    </row>
    <row r="8" spans="1:7" x14ac:dyDescent="0.25">
      <c r="A8" s="136"/>
      <c r="B8" s="136"/>
      <c r="C8" s="136"/>
      <c r="D8" s="136"/>
      <c r="E8" s="136"/>
      <c r="F8" s="136"/>
      <c r="G8" s="136"/>
    </row>
    <row r="9" spans="1:7" x14ac:dyDescent="0.25">
      <c r="A9" s="136"/>
      <c r="B9" s="136"/>
      <c r="C9" s="136"/>
      <c r="D9" s="136"/>
      <c r="E9" s="136"/>
      <c r="F9" s="136"/>
      <c r="G9" s="136"/>
    </row>
    <row r="10" spans="1:7" x14ac:dyDescent="0.25">
      <c r="A10" s="136"/>
      <c r="B10" s="136"/>
      <c r="C10" s="136"/>
      <c r="D10" s="136"/>
      <c r="E10" s="136"/>
      <c r="F10" s="136"/>
      <c r="G10" s="136"/>
    </row>
    <row r="11" spans="1:7" x14ac:dyDescent="0.25">
      <c r="A11" s="136"/>
      <c r="B11" s="136"/>
      <c r="C11" s="136"/>
      <c r="D11" s="136"/>
      <c r="E11" s="136"/>
      <c r="F11" s="136"/>
      <c r="G11" s="136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J5"/>
  <sheetViews>
    <sheetView workbookViewId="0">
      <selection activeCell="G9" sqref="G9"/>
    </sheetView>
  </sheetViews>
  <sheetFormatPr defaultRowHeight="15" x14ac:dyDescent="0.25"/>
  <cols>
    <col min="1" max="1" width="9.140625" style="29"/>
    <col min="2" max="2" width="21.85546875" style="29" customWidth="1"/>
    <col min="3" max="6" width="9.140625" style="29"/>
    <col min="7" max="7" width="25" style="29" customWidth="1"/>
    <col min="8" max="10" width="9.140625" style="29"/>
  </cols>
  <sheetData>
    <row r="2" spans="1:7" ht="15.75" x14ac:dyDescent="0.25">
      <c r="A2" s="70" t="s">
        <v>100</v>
      </c>
      <c r="B2" s="71"/>
      <c r="C2" s="71"/>
      <c r="D2" s="72"/>
      <c r="E2" s="72"/>
    </row>
    <row r="3" spans="1:7" x14ac:dyDescent="0.25">
      <c r="A3" s="72"/>
      <c r="B3" s="72"/>
      <c r="C3" s="72"/>
      <c r="D3" s="72"/>
      <c r="E3" s="72"/>
    </row>
    <row r="4" spans="1:7" x14ac:dyDescent="0.25">
      <c r="A4" s="34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5" t="s">
        <v>7</v>
      </c>
      <c r="G4" s="36" t="s">
        <v>8</v>
      </c>
    </row>
    <row r="5" spans="1:7" x14ac:dyDescent="0.25">
      <c r="A5" s="36"/>
      <c r="B5" s="36" t="s">
        <v>243</v>
      </c>
      <c r="C5" s="36"/>
      <c r="D5" s="36"/>
      <c r="E5" s="198">
        <v>969</v>
      </c>
      <c r="F5" s="36"/>
      <c r="G5" s="36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topLeftCell="A4" zoomScaleNormal="100" workbookViewId="0">
      <selection activeCell="E24" sqref="E24"/>
    </sheetView>
  </sheetViews>
  <sheetFormatPr defaultRowHeight="15" x14ac:dyDescent="0.25"/>
  <cols>
    <col min="1" max="1" width="12.85546875" style="129" customWidth="1"/>
    <col min="2" max="2" width="30" style="129" customWidth="1"/>
    <col min="3" max="5" width="9.140625" style="129"/>
    <col min="6" max="6" width="27.42578125" style="129" customWidth="1"/>
  </cols>
  <sheetData>
    <row r="2" spans="1:7" x14ac:dyDescent="0.25">
      <c r="A2" s="209" t="s">
        <v>86</v>
      </c>
      <c r="B2" s="209"/>
      <c r="C2" s="209"/>
      <c r="D2" s="209"/>
      <c r="E2" s="209"/>
      <c r="F2" s="209"/>
      <c r="G2" s="28"/>
    </row>
    <row r="3" spans="1:7" x14ac:dyDescent="0.25">
      <c r="A3" s="209"/>
      <c r="B3" s="209"/>
      <c r="C3" s="209"/>
      <c r="D3" s="209"/>
      <c r="E3" s="209"/>
      <c r="F3" s="209"/>
      <c r="G3" s="28"/>
    </row>
    <row r="4" spans="1:7" ht="29.25" customHeight="1" x14ac:dyDescent="0.25">
      <c r="A4" s="210" t="s">
        <v>2</v>
      </c>
      <c r="B4" s="210" t="s">
        <v>3</v>
      </c>
      <c r="C4" s="210" t="s">
        <v>4</v>
      </c>
      <c r="D4" s="210" t="s">
        <v>5</v>
      </c>
      <c r="E4" s="210" t="s">
        <v>6</v>
      </c>
      <c r="F4" s="210" t="s">
        <v>7</v>
      </c>
      <c r="G4" s="28"/>
    </row>
    <row r="5" spans="1:7" x14ac:dyDescent="0.25">
      <c r="A5" s="136"/>
      <c r="B5" s="136" t="s">
        <v>318</v>
      </c>
      <c r="C5" s="136"/>
      <c r="D5" s="136"/>
      <c r="E5" s="136"/>
      <c r="F5" s="136">
        <v>2622</v>
      </c>
    </row>
    <row r="6" spans="1:7" x14ac:dyDescent="0.25">
      <c r="A6" s="137"/>
      <c r="B6" s="137"/>
      <c r="C6" s="137"/>
      <c r="D6" s="137"/>
      <c r="E6" s="137">
        <v>2622</v>
      </c>
      <c r="F6" s="137"/>
    </row>
    <row r="7" spans="1:7" x14ac:dyDescent="0.25">
      <c r="A7" s="152" t="s">
        <v>397</v>
      </c>
      <c r="B7" s="189" t="s">
        <v>433</v>
      </c>
      <c r="C7" s="136">
        <v>200</v>
      </c>
      <c r="D7" s="136"/>
      <c r="E7" s="136">
        <f>E6+C7-D7</f>
        <v>2822</v>
      </c>
      <c r="F7" s="136"/>
    </row>
    <row r="8" spans="1:7" x14ac:dyDescent="0.25">
      <c r="A8" s="152" t="s">
        <v>397</v>
      </c>
      <c r="B8" s="189" t="s">
        <v>431</v>
      </c>
      <c r="C8" s="136"/>
      <c r="D8" s="136">
        <v>100</v>
      </c>
      <c r="E8" s="136">
        <f>E7+C8-D8</f>
        <v>2722</v>
      </c>
      <c r="F8" s="136" t="s">
        <v>17</v>
      </c>
    </row>
    <row r="9" spans="1:7" x14ac:dyDescent="0.25">
      <c r="A9" s="152" t="s">
        <v>397</v>
      </c>
      <c r="B9" s="189" t="s">
        <v>431</v>
      </c>
      <c r="C9" s="136"/>
      <c r="D9" s="136">
        <v>100</v>
      </c>
      <c r="E9" s="136">
        <f t="shared" ref="E9:E23" si="0">E8+C9-D9</f>
        <v>2622</v>
      </c>
      <c r="F9" s="136"/>
    </row>
    <row r="10" spans="1:7" x14ac:dyDescent="0.25">
      <c r="A10" s="265" t="s">
        <v>430</v>
      </c>
      <c r="B10" s="189" t="s">
        <v>431</v>
      </c>
      <c r="C10" s="189"/>
      <c r="D10" s="189">
        <v>600</v>
      </c>
      <c r="E10" s="136">
        <f t="shared" si="0"/>
        <v>2022</v>
      </c>
      <c r="F10" s="189" t="s">
        <v>432</v>
      </c>
    </row>
    <row r="11" spans="1:7" x14ac:dyDescent="0.25">
      <c r="A11" s="265" t="s">
        <v>430</v>
      </c>
      <c r="B11" s="189" t="s">
        <v>433</v>
      </c>
      <c r="C11" s="189">
        <v>100</v>
      </c>
      <c r="D11" s="136"/>
      <c r="E11" s="136">
        <f t="shared" si="0"/>
        <v>2122</v>
      </c>
      <c r="F11" s="136"/>
    </row>
    <row r="12" spans="1:7" x14ac:dyDescent="0.25">
      <c r="A12" s="152" t="s">
        <v>554</v>
      </c>
      <c r="B12" s="136" t="s">
        <v>527</v>
      </c>
      <c r="C12" s="136">
        <v>160</v>
      </c>
      <c r="D12" s="136"/>
      <c r="E12" s="136">
        <f t="shared" si="0"/>
        <v>2282</v>
      </c>
      <c r="F12" s="136"/>
    </row>
    <row r="13" spans="1:7" x14ac:dyDescent="0.25">
      <c r="A13" s="152" t="s">
        <v>554</v>
      </c>
      <c r="B13" s="136" t="s">
        <v>557</v>
      </c>
      <c r="C13" s="189"/>
      <c r="D13" s="189">
        <v>160</v>
      </c>
      <c r="E13" s="136">
        <f t="shared" si="0"/>
        <v>2122</v>
      </c>
      <c r="F13" s="189" t="s">
        <v>17</v>
      </c>
    </row>
    <row r="14" spans="1:7" x14ac:dyDescent="0.25">
      <c r="A14" s="152" t="s">
        <v>604</v>
      </c>
      <c r="B14" s="136" t="s">
        <v>362</v>
      </c>
      <c r="C14" s="136"/>
      <c r="D14" s="136">
        <v>500</v>
      </c>
      <c r="E14" s="136">
        <f t="shared" si="0"/>
        <v>1622</v>
      </c>
      <c r="F14" s="136" t="s">
        <v>605</v>
      </c>
    </row>
    <row r="15" spans="1:7" x14ac:dyDescent="0.25">
      <c r="A15" s="152" t="s">
        <v>629</v>
      </c>
      <c r="B15" s="136" t="s">
        <v>630</v>
      </c>
      <c r="C15" s="136"/>
      <c r="D15" s="136">
        <v>79</v>
      </c>
      <c r="E15" s="136">
        <f t="shared" si="0"/>
        <v>1543</v>
      </c>
      <c r="F15" s="136" t="s">
        <v>631</v>
      </c>
    </row>
    <row r="16" spans="1:7" x14ac:dyDescent="0.25">
      <c r="A16" s="152" t="s">
        <v>637</v>
      </c>
      <c r="B16" s="136" t="s">
        <v>638</v>
      </c>
      <c r="C16" s="136"/>
      <c r="D16" s="136">
        <v>100</v>
      </c>
      <c r="E16" s="136">
        <f t="shared" si="0"/>
        <v>1443</v>
      </c>
      <c r="F16" s="136" t="s">
        <v>641</v>
      </c>
    </row>
    <row r="17" spans="1:7" x14ac:dyDescent="0.25">
      <c r="A17" s="238" t="s">
        <v>666</v>
      </c>
      <c r="B17" s="136" t="s">
        <v>638</v>
      </c>
      <c r="C17" s="136"/>
      <c r="D17" s="136">
        <v>200</v>
      </c>
      <c r="E17" s="136">
        <f t="shared" si="0"/>
        <v>1243</v>
      </c>
      <c r="F17" s="136" t="s">
        <v>667</v>
      </c>
    </row>
    <row r="18" spans="1:7" x14ac:dyDescent="0.25">
      <c r="A18" s="152" t="s">
        <v>602</v>
      </c>
      <c r="B18" s="136" t="s">
        <v>745</v>
      </c>
      <c r="C18" s="136"/>
      <c r="D18" s="136">
        <v>320</v>
      </c>
      <c r="E18" s="136">
        <f t="shared" si="0"/>
        <v>923</v>
      </c>
      <c r="F18" s="136" t="s">
        <v>751</v>
      </c>
    </row>
    <row r="19" spans="1:7" x14ac:dyDescent="0.25">
      <c r="A19" s="152" t="s">
        <v>756</v>
      </c>
      <c r="B19" s="136" t="s">
        <v>508</v>
      </c>
      <c r="C19" s="136">
        <v>4</v>
      </c>
      <c r="D19" s="136"/>
      <c r="E19" s="136">
        <f t="shared" si="0"/>
        <v>927</v>
      </c>
      <c r="F19" s="136"/>
    </row>
    <row r="20" spans="1:7" x14ac:dyDescent="0.25">
      <c r="A20" s="152" t="s">
        <v>773</v>
      </c>
      <c r="B20" s="136" t="s">
        <v>638</v>
      </c>
      <c r="C20" s="136"/>
      <c r="D20" s="136">
        <v>200</v>
      </c>
      <c r="E20" s="136">
        <f t="shared" si="0"/>
        <v>727</v>
      </c>
      <c r="F20" s="136" t="s">
        <v>774</v>
      </c>
    </row>
    <row r="21" spans="1:7" x14ac:dyDescent="0.25">
      <c r="A21" s="152" t="s">
        <v>804</v>
      </c>
      <c r="B21" s="136" t="s">
        <v>635</v>
      </c>
      <c r="C21" s="136"/>
      <c r="D21" s="136">
        <v>500</v>
      </c>
      <c r="E21" s="136">
        <f t="shared" si="0"/>
        <v>227</v>
      </c>
      <c r="F21" s="136" t="s">
        <v>805</v>
      </c>
      <c r="G21" s="309"/>
    </row>
    <row r="22" spans="1:7" x14ac:dyDescent="0.25">
      <c r="A22" s="152" t="s">
        <v>811</v>
      </c>
      <c r="B22" s="136" t="s">
        <v>812</v>
      </c>
      <c r="C22" s="136"/>
      <c r="D22" s="136">
        <v>550</v>
      </c>
      <c r="E22" s="136">
        <v>0</v>
      </c>
      <c r="F22" s="136" t="s">
        <v>813</v>
      </c>
    </row>
    <row r="23" spans="1:7" x14ac:dyDescent="0.25">
      <c r="A23" s="121" t="s">
        <v>880</v>
      </c>
      <c r="B23" s="88" t="s">
        <v>632</v>
      </c>
      <c r="C23" s="88">
        <v>500</v>
      </c>
      <c r="D23" s="136"/>
      <c r="E23" s="136">
        <f t="shared" si="0"/>
        <v>500</v>
      </c>
      <c r="F23" s="136"/>
    </row>
    <row r="24" spans="1:7" x14ac:dyDescent="0.25">
      <c r="A24" s="136"/>
      <c r="B24" s="136"/>
      <c r="C24" s="136"/>
      <c r="D24" s="136"/>
      <c r="E24" s="136"/>
      <c r="F24" s="136"/>
    </row>
    <row r="25" spans="1:7" x14ac:dyDescent="0.25">
      <c r="A25" s="136"/>
      <c r="B25" s="136"/>
      <c r="C25" s="136"/>
      <c r="D25" s="136"/>
      <c r="E25" s="136"/>
      <c r="F25" s="136"/>
    </row>
    <row r="26" spans="1:7" x14ac:dyDescent="0.25">
      <c r="A26" s="136"/>
      <c r="B26" s="136"/>
      <c r="C26" s="136"/>
      <c r="D26" s="136"/>
      <c r="E26" s="136"/>
      <c r="F26" s="136"/>
    </row>
    <row r="27" spans="1:7" x14ac:dyDescent="0.25">
      <c r="A27" s="136"/>
      <c r="B27" s="136"/>
      <c r="C27" s="136"/>
      <c r="D27" s="136"/>
      <c r="E27" s="136"/>
      <c r="F27" s="136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>
      <selection activeCell="C13" sqref="C13"/>
    </sheetView>
  </sheetViews>
  <sheetFormatPr defaultRowHeight="15" x14ac:dyDescent="0.25"/>
  <cols>
    <col min="1" max="1" width="11.140625" style="129" customWidth="1"/>
    <col min="2" max="2" width="22.140625" style="129" customWidth="1"/>
    <col min="3" max="3" width="9.140625" style="129"/>
    <col min="4" max="4" width="8.7109375" style="129" customWidth="1"/>
    <col min="5" max="6" width="9.140625" style="129"/>
  </cols>
  <sheetData>
    <row r="2" spans="1:6" ht="15.75" x14ac:dyDescent="0.25">
      <c r="A2" s="175" t="s">
        <v>166</v>
      </c>
      <c r="B2" s="175"/>
      <c r="C2" s="175"/>
      <c r="D2" s="175"/>
      <c r="E2" s="175"/>
    </row>
    <row r="3" spans="1:6" ht="15.75" x14ac:dyDescent="0.25">
      <c r="A3" s="175"/>
      <c r="B3" s="211"/>
      <c r="C3" s="175"/>
      <c r="D3" s="175"/>
      <c r="E3" s="175"/>
    </row>
    <row r="4" spans="1:6" ht="15.75" x14ac:dyDescent="0.25">
      <c r="A4" s="212" t="s">
        <v>2</v>
      </c>
      <c r="B4" s="212" t="s">
        <v>7</v>
      </c>
      <c r="C4" s="212" t="s">
        <v>4</v>
      </c>
      <c r="D4" s="212" t="s">
        <v>5</v>
      </c>
      <c r="E4" s="212" t="s">
        <v>6</v>
      </c>
    </row>
    <row r="5" spans="1:6" ht="15.75" hidden="1" x14ac:dyDescent="0.25">
      <c r="A5" s="213"/>
      <c r="B5" s="213" t="s">
        <v>167</v>
      </c>
      <c r="C5" s="213"/>
      <c r="D5" s="213"/>
      <c r="E5" s="213">
        <v>413</v>
      </c>
      <c r="F5" s="239"/>
    </row>
    <row r="6" spans="1:6" hidden="1" x14ac:dyDescent="0.25">
      <c r="A6" s="136" t="s">
        <v>168</v>
      </c>
      <c r="B6" s="136" t="s">
        <v>169</v>
      </c>
      <c r="C6" s="136"/>
      <c r="D6" s="136">
        <v>20</v>
      </c>
      <c r="E6" s="136">
        <f>E5+C6-D6</f>
        <v>393</v>
      </c>
      <c r="F6" s="129" t="s">
        <v>170</v>
      </c>
    </row>
    <row r="7" spans="1:6" hidden="1" x14ac:dyDescent="0.25">
      <c r="A7" s="136" t="s">
        <v>171</v>
      </c>
      <c r="B7" s="136" t="s">
        <v>169</v>
      </c>
      <c r="C7" s="136"/>
      <c r="D7" s="136">
        <v>14</v>
      </c>
      <c r="E7" s="136">
        <f>E6+C7-D7</f>
        <v>379</v>
      </c>
      <c r="F7" s="129" t="s">
        <v>172</v>
      </c>
    </row>
    <row r="8" spans="1:6" hidden="1" x14ac:dyDescent="0.25">
      <c r="A8" s="167">
        <v>44446</v>
      </c>
      <c r="B8" s="136" t="s">
        <v>164</v>
      </c>
      <c r="C8" s="136"/>
      <c r="D8" s="136">
        <v>169</v>
      </c>
      <c r="E8" s="136">
        <f>E7+C8-D8</f>
        <v>210</v>
      </c>
      <c r="F8" s="136" t="s">
        <v>165</v>
      </c>
    </row>
    <row r="9" spans="1:6" x14ac:dyDescent="0.25">
      <c r="A9" s="136"/>
      <c r="B9" s="136" t="s">
        <v>318</v>
      </c>
      <c r="C9" s="136"/>
      <c r="D9" s="136"/>
      <c r="E9" s="137">
        <v>210</v>
      </c>
    </row>
    <row r="10" spans="1:6" x14ac:dyDescent="0.25">
      <c r="A10" s="152" t="s">
        <v>343</v>
      </c>
      <c r="B10" s="136" t="s">
        <v>349</v>
      </c>
      <c r="C10" s="136">
        <v>8</v>
      </c>
      <c r="D10" s="136"/>
      <c r="E10" s="136">
        <f>E9+C10-D10</f>
        <v>218</v>
      </c>
    </row>
    <row r="11" spans="1:6" x14ac:dyDescent="0.25">
      <c r="A11" s="152" t="s">
        <v>496</v>
      </c>
      <c r="B11" s="1" t="s">
        <v>349</v>
      </c>
      <c r="C11" s="136">
        <v>4</v>
      </c>
      <c r="D11" s="136"/>
      <c r="E11" s="136"/>
    </row>
    <row r="12" spans="1:6" x14ac:dyDescent="0.25">
      <c r="A12" s="121" t="s">
        <v>573</v>
      </c>
      <c r="B12" s="36" t="s">
        <v>576</v>
      </c>
      <c r="C12" s="136">
        <v>1</v>
      </c>
      <c r="D12" s="136"/>
      <c r="E12" s="136"/>
    </row>
    <row r="13" spans="1:6" x14ac:dyDescent="0.25">
      <c r="A13" s="136"/>
      <c r="B13" s="136"/>
      <c r="C13" s="136"/>
      <c r="D13" s="136"/>
      <c r="E13" s="136"/>
    </row>
    <row r="14" spans="1:6" x14ac:dyDescent="0.25">
      <c r="A14" s="136"/>
      <c r="B14" s="136"/>
      <c r="C14" s="136"/>
      <c r="D14" s="136"/>
      <c r="E14" s="136"/>
    </row>
    <row r="15" spans="1:6" x14ac:dyDescent="0.25">
      <c r="A15" s="136"/>
      <c r="B15" s="136"/>
      <c r="C15" s="136"/>
      <c r="D15" s="136"/>
      <c r="E15" s="136"/>
    </row>
    <row r="16" spans="1:6" x14ac:dyDescent="0.25">
      <c r="A16" s="136"/>
      <c r="B16" s="136"/>
      <c r="C16" s="136"/>
      <c r="D16" s="136"/>
      <c r="E16" s="136"/>
    </row>
    <row r="17" spans="1:5" x14ac:dyDescent="0.25">
      <c r="A17" s="136"/>
      <c r="B17" s="136"/>
      <c r="C17" s="136"/>
      <c r="D17" s="136"/>
      <c r="E17" s="136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workbookViewId="0">
      <selection activeCell="E12" sqref="E12:E13"/>
    </sheetView>
  </sheetViews>
  <sheetFormatPr defaultRowHeight="15" x14ac:dyDescent="0.25"/>
  <cols>
    <col min="1" max="1" width="12.5703125" style="129" customWidth="1"/>
    <col min="2" max="2" width="18.140625" style="129" customWidth="1"/>
    <col min="3" max="3" width="8.28515625" style="129" customWidth="1"/>
    <col min="4" max="4" width="9" style="129" customWidth="1"/>
    <col min="5" max="5" width="9.140625" style="129"/>
  </cols>
  <sheetData>
    <row r="2" spans="1:6" ht="15.75" x14ac:dyDescent="0.25">
      <c r="A2" s="175" t="s">
        <v>173</v>
      </c>
      <c r="B2" s="175"/>
      <c r="C2" s="175"/>
      <c r="D2" s="175"/>
      <c r="E2" s="175"/>
    </row>
    <row r="3" spans="1:6" ht="15.75" x14ac:dyDescent="0.25">
      <c r="A3" s="175"/>
      <c r="B3" s="211"/>
      <c r="C3" s="175"/>
      <c r="D3" s="175"/>
      <c r="E3" s="175"/>
    </row>
    <row r="4" spans="1:6" ht="15.75" x14ac:dyDescent="0.25">
      <c r="A4" s="212" t="s">
        <v>2</v>
      </c>
      <c r="B4" s="212" t="s">
        <v>7</v>
      </c>
      <c r="C4" s="212" t="s">
        <v>4</v>
      </c>
      <c r="D4" s="212" t="s">
        <v>5</v>
      </c>
      <c r="E4" s="212" t="s">
        <v>6</v>
      </c>
    </row>
    <row r="5" spans="1:6" ht="15.75" hidden="1" x14ac:dyDescent="0.25">
      <c r="A5" s="161"/>
      <c r="B5" s="213" t="s">
        <v>167</v>
      </c>
      <c r="C5" s="161"/>
      <c r="D5" s="161"/>
      <c r="E5" s="161">
        <v>672</v>
      </c>
    </row>
    <row r="6" spans="1:6" hidden="1" x14ac:dyDescent="0.25">
      <c r="A6" s="136" t="s">
        <v>168</v>
      </c>
      <c r="B6" s="136" t="s">
        <v>169</v>
      </c>
      <c r="C6" s="136"/>
      <c r="D6" s="136">
        <v>40</v>
      </c>
      <c r="E6" s="136">
        <f>E5+C6-D6</f>
        <v>632</v>
      </c>
      <c r="F6" t="s">
        <v>170</v>
      </c>
    </row>
    <row r="7" spans="1:6" hidden="1" x14ac:dyDescent="0.25">
      <c r="A7" s="136" t="s">
        <v>171</v>
      </c>
      <c r="B7" s="136" t="s">
        <v>169</v>
      </c>
      <c r="C7" s="136"/>
      <c r="D7" s="136">
        <v>40</v>
      </c>
      <c r="E7" s="136">
        <f>E6+C7-D7</f>
        <v>592</v>
      </c>
      <c r="F7" t="s">
        <v>172</v>
      </c>
    </row>
    <row r="8" spans="1:6" hidden="1" x14ac:dyDescent="0.25">
      <c r="A8" s="136" t="s">
        <v>174</v>
      </c>
      <c r="B8" s="136" t="s">
        <v>169</v>
      </c>
      <c r="C8" s="136"/>
      <c r="D8" s="136">
        <v>144</v>
      </c>
      <c r="E8" s="136">
        <f t="shared" ref="E8:E9" si="0">E7+C8-D8</f>
        <v>448</v>
      </c>
      <c r="F8" t="s">
        <v>175</v>
      </c>
    </row>
    <row r="9" spans="1:6" hidden="1" x14ac:dyDescent="0.25">
      <c r="A9" s="167">
        <v>44446</v>
      </c>
      <c r="B9" s="136" t="s">
        <v>164</v>
      </c>
      <c r="C9" s="136"/>
      <c r="D9" s="136">
        <v>397</v>
      </c>
      <c r="E9" s="136">
        <f t="shared" si="0"/>
        <v>51</v>
      </c>
      <c r="F9" s="36" t="s">
        <v>165</v>
      </c>
    </row>
    <row r="10" spans="1:6" x14ac:dyDescent="0.25">
      <c r="A10" s="136"/>
      <c r="B10" s="136" t="s">
        <v>333</v>
      </c>
      <c r="C10" s="136"/>
      <c r="D10" s="136"/>
      <c r="E10" s="137">
        <v>51</v>
      </c>
    </row>
    <row r="11" spans="1:6" x14ac:dyDescent="0.25">
      <c r="A11" s="114" t="s">
        <v>343</v>
      </c>
      <c r="B11" s="1" t="s">
        <v>349</v>
      </c>
      <c r="C11" s="1">
        <v>32</v>
      </c>
      <c r="D11" s="136"/>
      <c r="E11" s="136">
        <f>E10+C11-D11</f>
        <v>83</v>
      </c>
    </row>
    <row r="12" spans="1:6" x14ac:dyDescent="0.25">
      <c r="A12" s="152" t="s">
        <v>496</v>
      </c>
      <c r="B12" s="1" t="s">
        <v>349</v>
      </c>
      <c r="C12" s="136">
        <v>4</v>
      </c>
      <c r="D12" s="136"/>
      <c r="E12" s="136">
        <f>E11+C12-D12</f>
        <v>87</v>
      </c>
    </row>
    <row r="13" spans="1:6" x14ac:dyDescent="0.25">
      <c r="A13" s="152" t="s">
        <v>573</v>
      </c>
      <c r="B13" s="136" t="s">
        <v>575</v>
      </c>
      <c r="C13" s="136">
        <v>8</v>
      </c>
      <c r="D13" s="136"/>
      <c r="E13" s="136">
        <f>E12+C13-D13</f>
        <v>95</v>
      </c>
    </row>
    <row r="14" spans="1:6" x14ac:dyDescent="0.25">
      <c r="A14" s="136"/>
      <c r="B14" s="136"/>
      <c r="C14" s="136"/>
      <c r="D14" s="136"/>
      <c r="E14" s="136"/>
    </row>
    <row r="15" spans="1:6" x14ac:dyDescent="0.25">
      <c r="A15" s="136"/>
      <c r="B15" s="136"/>
      <c r="C15" s="136"/>
      <c r="D15" s="136"/>
      <c r="E15" s="136"/>
    </row>
    <row r="16" spans="1:6" x14ac:dyDescent="0.25">
      <c r="A16" s="136"/>
      <c r="B16" s="136"/>
      <c r="C16" s="136"/>
      <c r="D16" s="136"/>
      <c r="E16" s="136"/>
    </row>
    <row r="17" spans="1:5" x14ac:dyDescent="0.25">
      <c r="A17" s="136"/>
      <c r="B17" s="136"/>
      <c r="C17" s="136"/>
      <c r="D17" s="136"/>
      <c r="E17" s="136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2"/>
  <sheetViews>
    <sheetView workbookViewId="0">
      <selection activeCell="C11" sqref="A11:C11"/>
    </sheetView>
  </sheetViews>
  <sheetFormatPr defaultRowHeight="15" x14ac:dyDescent="0.25"/>
  <cols>
    <col min="1" max="1" width="12.85546875" style="129" customWidth="1"/>
    <col min="2" max="2" width="22.85546875" style="129" customWidth="1"/>
    <col min="3" max="5" width="9.140625" style="129"/>
  </cols>
  <sheetData>
    <row r="2" spans="1:6" ht="15.75" x14ac:dyDescent="0.25">
      <c r="A2" s="178" t="s">
        <v>176</v>
      </c>
      <c r="B2" s="178"/>
      <c r="C2" s="178"/>
      <c r="D2" s="178"/>
      <c r="E2" s="178"/>
      <c r="F2" s="6"/>
    </row>
    <row r="3" spans="1:6" ht="15.75" x14ac:dyDescent="0.25">
      <c r="A3" s="178"/>
      <c r="B3" s="214"/>
      <c r="C3" s="178"/>
      <c r="D3" s="178"/>
      <c r="E3" s="178"/>
      <c r="F3" s="6"/>
    </row>
    <row r="4" spans="1:6" ht="15.75" x14ac:dyDescent="0.25">
      <c r="A4" s="215" t="s">
        <v>2</v>
      </c>
      <c r="B4" s="215" t="s">
        <v>7</v>
      </c>
      <c r="C4" s="215" t="s">
        <v>4</v>
      </c>
      <c r="D4" s="215" t="s">
        <v>5</v>
      </c>
      <c r="E4" s="215" t="s">
        <v>6</v>
      </c>
      <c r="F4" s="6"/>
    </row>
    <row r="5" spans="1:6" ht="15.75" hidden="1" x14ac:dyDescent="0.25">
      <c r="A5" s="136"/>
      <c r="B5" s="163" t="s">
        <v>167</v>
      </c>
      <c r="C5" s="136"/>
      <c r="D5" s="136"/>
      <c r="E5" s="136">
        <v>188</v>
      </c>
      <c r="F5" s="6"/>
    </row>
    <row r="6" spans="1:6" hidden="1" x14ac:dyDescent="0.25">
      <c r="A6" s="136" t="s">
        <v>168</v>
      </c>
      <c r="B6" s="136" t="s">
        <v>169</v>
      </c>
      <c r="C6" s="136"/>
      <c r="D6" s="136">
        <v>20</v>
      </c>
      <c r="E6" s="136">
        <f>E5+C6-D6</f>
        <v>168</v>
      </c>
      <c r="F6" t="s">
        <v>170</v>
      </c>
    </row>
    <row r="7" spans="1:6" hidden="1" x14ac:dyDescent="0.25">
      <c r="A7" s="136" t="s">
        <v>171</v>
      </c>
      <c r="B7" s="136" t="s">
        <v>169</v>
      </c>
      <c r="C7" s="136"/>
      <c r="D7" s="136">
        <v>14</v>
      </c>
      <c r="E7" s="136">
        <f>E6+C7-D7</f>
        <v>154</v>
      </c>
      <c r="F7" t="s">
        <v>172</v>
      </c>
    </row>
    <row r="8" spans="1:6" hidden="1" x14ac:dyDescent="0.25">
      <c r="A8" s="167">
        <v>44537</v>
      </c>
      <c r="B8" s="136" t="s">
        <v>169</v>
      </c>
      <c r="C8" s="136"/>
      <c r="D8" s="136">
        <v>169</v>
      </c>
      <c r="E8" s="136">
        <v>0</v>
      </c>
      <c r="F8" t="s">
        <v>177</v>
      </c>
    </row>
    <row r="9" spans="1:6" x14ac:dyDescent="0.25">
      <c r="A9" s="136"/>
      <c r="B9" s="136" t="s">
        <v>318</v>
      </c>
      <c r="C9" s="136"/>
      <c r="D9" s="136"/>
      <c r="E9" s="137">
        <v>0</v>
      </c>
    </row>
    <row r="10" spans="1:6" x14ac:dyDescent="0.25">
      <c r="A10" s="152" t="s">
        <v>343</v>
      </c>
      <c r="B10" s="136" t="s">
        <v>349</v>
      </c>
      <c r="C10" s="136">
        <v>2</v>
      </c>
      <c r="D10" s="136"/>
      <c r="E10" s="136">
        <v>2</v>
      </c>
    </row>
    <row r="11" spans="1:6" x14ac:dyDescent="0.25">
      <c r="A11" s="152" t="s">
        <v>496</v>
      </c>
      <c r="B11" s="1" t="s">
        <v>349</v>
      </c>
      <c r="C11" s="136">
        <v>2</v>
      </c>
      <c r="D11" s="136"/>
      <c r="E11" s="136"/>
    </row>
    <row r="12" spans="1:6" x14ac:dyDescent="0.25">
      <c r="A12" s="136"/>
      <c r="B12" s="136"/>
      <c r="C12" s="136"/>
      <c r="D12" s="136"/>
      <c r="E12" s="136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workbookViewId="0">
      <selection activeCell="G6" sqref="G6"/>
    </sheetView>
  </sheetViews>
  <sheetFormatPr defaultRowHeight="15" x14ac:dyDescent="0.25"/>
  <cols>
    <col min="1" max="1" width="9.140625" style="129"/>
    <col min="2" max="2" width="19.7109375" style="129" customWidth="1"/>
    <col min="3" max="5" width="9.140625" style="129"/>
  </cols>
  <sheetData>
    <row r="2" spans="1:5" x14ac:dyDescent="0.25">
      <c r="A2" s="207" t="s">
        <v>115</v>
      </c>
      <c r="B2" s="207"/>
      <c r="C2" s="207"/>
      <c r="D2" s="207"/>
      <c r="E2" s="207"/>
    </row>
    <row r="3" spans="1:5" x14ac:dyDescent="0.25">
      <c r="A3" s="207"/>
      <c r="B3" s="208"/>
      <c r="C3" s="207"/>
      <c r="D3" s="207"/>
      <c r="E3" s="207"/>
    </row>
    <row r="4" spans="1:5" x14ac:dyDescent="0.25">
      <c r="A4" s="197" t="s">
        <v>2</v>
      </c>
      <c r="B4" s="197" t="s">
        <v>7</v>
      </c>
      <c r="C4" s="197" t="s">
        <v>4</v>
      </c>
      <c r="D4" s="197" t="s">
        <v>5</v>
      </c>
      <c r="E4" s="197" t="s">
        <v>6</v>
      </c>
    </row>
    <row r="5" spans="1:5" x14ac:dyDescent="0.25">
      <c r="A5" s="136"/>
      <c r="B5" s="136" t="s">
        <v>243</v>
      </c>
      <c r="C5" s="136"/>
      <c r="D5" s="136"/>
      <c r="E5" s="145">
        <v>0</v>
      </c>
    </row>
    <row r="6" spans="1:5" x14ac:dyDescent="0.25">
      <c r="A6" s="136"/>
      <c r="B6" s="136"/>
      <c r="C6" s="136"/>
      <c r="D6" s="136"/>
      <c r="E6" s="136"/>
    </row>
    <row r="7" spans="1:5" x14ac:dyDescent="0.25">
      <c r="A7" s="136"/>
      <c r="B7" s="136"/>
      <c r="C7" s="136"/>
      <c r="D7" s="136"/>
      <c r="E7" s="136"/>
    </row>
    <row r="8" spans="1:5" x14ac:dyDescent="0.25">
      <c r="A8" s="136"/>
      <c r="B8" s="136"/>
      <c r="C8" s="136"/>
      <c r="D8" s="136"/>
      <c r="E8" s="136"/>
    </row>
    <row r="9" spans="1:5" x14ac:dyDescent="0.25">
      <c r="A9" s="136"/>
      <c r="B9" s="136"/>
      <c r="C9" s="136"/>
      <c r="D9" s="136"/>
      <c r="E9" s="136"/>
    </row>
    <row r="10" spans="1:5" x14ac:dyDescent="0.25">
      <c r="A10" s="136"/>
      <c r="B10" s="136"/>
      <c r="C10" s="136"/>
      <c r="D10" s="136"/>
      <c r="E10" s="136"/>
    </row>
    <row r="11" spans="1:5" x14ac:dyDescent="0.25">
      <c r="A11" s="136"/>
      <c r="B11" s="136"/>
      <c r="C11" s="136"/>
      <c r="D11" s="136"/>
      <c r="E11" s="136"/>
    </row>
    <row r="12" spans="1:5" x14ac:dyDescent="0.25">
      <c r="A12" s="136"/>
      <c r="B12" s="136"/>
      <c r="C12" s="136"/>
      <c r="D12" s="136"/>
      <c r="E12" s="136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"/>
  <sheetViews>
    <sheetView workbookViewId="0">
      <selection activeCell="A11" sqref="A11:C11"/>
    </sheetView>
  </sheetViews>
  <sheetFormatPr defaultRowHeight="15" x14ac:dyDescent="0.25"/>
  <cols>
    <col min="1" max="1" width="11.85546875" style="129" customWidth="1"/>
    <col min="2" max="2" width="20.28515625" style="129" customWidth="1"/>
    <col min="3" max="6" width="9.140625" style="129"/>
  </cols>
  <sheetData>
    <row r="2" spans="1:6" x14ac:dyDescent="0.25">
      <c r="A2" s="207" t="s">
        <v>110</v>
      </c>
      <c r="B2" s="207"/>
      <c r="C2" s="207"/>
      <c r="D2" s="207"/>
      <c r="E2" s="207"/>
    </row>
    <row r="3" spans="1:6" x14ac:dyDescent="0.25">
      <c r="A3" s="207"/>
      <c r="B3" s="208"/>
      <c r="C3" s="207"/>
      <c r="D3" s="207"/>
      <c r="E3" s="207"/>
    </row>
    <row r="4" spans="1:6" x14ac:dyDescent="0.25">
      <c r="A4" s="197" t="s">
        <v>2</v>
      </c>
      <c r="B4" s="197" t="s">
        <v>7</v>
      </c>
      <c r="C4" s="197" t="s">
        <v>4</v>
      </c>
      <c r="D4" s="197" t="s">
        <v>5</v>
      </c>
      <c r="E4" s="197" t="s">
        <v>6</v>
      </c>
    </row>
    <row r="5" spans="1:6" hidden="1" x14ac:dyDescent="0.25">
      <c r="A5" s="136"/>
      <c r="B5" s="136" t="s">
        <v>20</v>
      </c>
      <c r="C5" s="136"/>
      <c r="D5" s="136"/>
      <c r="E5" s="163">
        <v>63</v>
      </c>
    </row>
    <row r="6" spans="1:6" hidden="1" x14ac:dyDescent="0.25">
      <c r="A6" s="136" t="s">
        <v>109</v>
      </c>
      <c r="B6" s="136" t="s">
        <v>81</v>
      </c>
      <c r="C6" s="136">
        <v>191</v>
      </c>
      <c r="D6" s="136"/>
      <c r="E6" s="136">
        <f>E5+C6-D6</f>
        <v>254</v>
      </c>
      <c r="F6" s="136" t="s">
        <v>85</v>
      </c>
    </row>
    <row r="7" spans="1:6" hidden="1" x14ac:dyDescent="0.25">
      <c r="A7" s="136" t="s">
        <v>119</v>
      </c>
      <c r="B7" s="136" t="s">
        <v>120</v>
      </c>
      <c r="C7" s="136">
        <v>2</v>
      </c>
      <c r="D7" s="136"/>
      <c r="E7" s="136">
        <f>E6+C7-D7</f>
        <v>256</v>
      </c>
      <c r="F7" s="136" t="s">
        <v>85</v>
      </c>
    </row>
    <row r="8" spans="1:6" hidden="1" x14ac:dyDescent="0.25">
      <c r="A8" s="167">
        <v>44320</v>
      </c>
      <c r="B8" s="136" t="s">
        <v>120</v>
      </c>
      <c r="C8" s="136">
        <v>155</v>
      </c>
      <c r="D8" s="136"/>
      <c r="E8" s="136">
        <f t="shared" ref="E8:E9" si="0">E7+C8-D8</f>
        <v>411</v>
      </c>
    </row>
    <row r="9" spans="1:6" hidden="1" x14ac:dyDescent="0.25">
      <c r="A9" s="136" t="s">
        <v>179</v>
      </c>
      <c r="B9" s="136" t="s">
        <v>180</v>
      </c>
      <c r="C9" s="136"/>
      <c r="D9" s="136">
        <v>400</v>
      </c>
      <c r="E9" s="136">
        <f t="shared" si="0"/>
        <v>11</v>
      </c>
      <c r="F9" s="129" t="s">
        <v>181</v>
      </c>
    </row>
    <row r="10" spans="1:6" x14ac:dyDescent="0.25">
      <c r="A10" s="136"/>
      <c r="B10" s="136" t="s">
        <v>318</v>
      </c>
      <c r="C10" s="136"/>
      <c r="D10" s="136"/>
      <c r="E10" s="137">
        <v>11</v>
      </c>
    </row>
    <row r="11" spans="1:6" x14ac:dyDescent="0.25">
      <c r="A11" s="152" t="s">
        <v>869</v>
      </c>
      <c r="B11" s="136" t="s">
        <v>180</v>
      </c>
      <c r="C11" s="136">
        <v>262</v>
      </c>
      <c r="D11" s="136"/>
      <c r="E11" s="136"/>
    </row>
    <row r="12" spans="1:6" x14ac:dyDescent="0.25">
      <c r="A12" s="136"/>
      <c r="B12" s="136"/>
      <c r="C12" s="136"/>
      <c r="D12" s="136"/>
      <c r="E12" s="136"/>
    </row>
    <row r="13" spans="1:6" x14ac:dyDescent="0.25">
      <c r="A13" s="136"/>
      <c r="B13" s="136"/>
      <c r="C13" s="136"/>
      <c r="D13" s="136"/>
      <c r="E13" s="136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48576"/>
  <sheetViews>
    <sheetView workbookViewId="0">
      <selection activeCell="E13" sqref="E13"/>
    </sheetView>
  </sheetViews>
  <sheetFormatPr defaultRowHeight="15" x14ac:dyDescent="0.25"/>
  <cols>
    <col min="1" max="1" width="11" style="129" customWidth="1"/>
    <col min="2" max="2" width="21.7109375" style="129" customWidth="1"/>
    <col min="3" max="5" width="9.140625" style="129"/>
    <col min="6" max="6" width="9.140625" style="29"/>
  </cols>
  <sheetData>
    <row r="2" spans="1:5" x14ac:dyDescent="0.25">
      <c r="A2" s="207" t="s">
        <v>113</v>
      </c>
      <c r="B2" s="207"/>
      <c r="C2" s="207"/>
      <c r="D2" s="207"/>
      <c r="E2" s="207"/>
    </row>
    <row r="3" spans="1:5" x14ac:dyDescent="0.25">
      <c r="A3" s="207"/>
      <c r="B3" s="208"/>
      <c r="C3" s="207"/>
      <c r="D3" s="207"/>
      <c r="E3" s="207"/>
    </row>
    <row r="4" spans="1:5" hidden="1" x14ac:dyDescent="0.25">
      <c r="A4" s="199" t="s">
        <v>2</v>
      </c>
      <c r="B4" s="199" t="s">
        <v>7</v>
      </c>
      <c r="C4" s="199" t="s">
        <v>4</v>
      </c>
      <c r="D4" s="199" t="s">
        <v>5</v>
      </c>
      <c r="E4" s="199" t="s">
        <v>6</v>
      </c>
    </row>
    <row r="5" spans="1:5" hidden="1" x14ac:dyDescent="0.25">
      <c r="A5" s="136"/>
      <c r="B5" s="136" t="s">
        <v>20</v>
      </c>
      <c r="C5" s="136"/>
      <c r="D5" s="136"/>
      <c r="E5" s="216">
        <v>32</v>
      </c>
    </row>
    <row r="6" spans="1:5" hidden="1" x14ac:dyDescent="0.25">
      <c r="A6" s="136" t="s">
        <v>109</v>
      </c>
      <c r="B6" s="136" t="s">
        <v>81</v>
      </c>
      <c r="C6" s="136">
        <v>29</v>
      </c>
      <c r="D6" s="136"/>
      <c r="E6" s="136">
        <f>E5+C6-D6</f>
        <v>61</v>
      </c>
    </row>
    <row r="7" spans="1:5" hidden="1" x14ac:dyDescent="0.25">
      <c r="A7" s="136" t="s">
        <v>119</v>
      </c>
      <c r="B7" s="136" t="s">
        <v>120</v>
      </c>
      <c r="C7" s="136">
        <v>1</v>
      </c>
      <c r="D7" s="136"/>
      <c r="E7" s="136">
        <f>E6+C7-D7</f>
        <v>62</v>
      </c>
    </row>
    <row r="8" spans="1:5" hidden="1" x14ac:dyDescent="0.25">
      <c r="A8" s="167">
        <v>44320</v>
      </c>
      <c r="B8" s="136" t="s">
        <v>120</v>
      </c>
      <c r="C8" s="136">
        <v>36</v>
      </c>
      <c r="D8" s="136"/>
      <c r="E8" s="136">
        <f t="shared" ref="E8:E9" si="0">E7+C8-D8</f>
        <v>98</v>
      </c>
    </row>
    <row r="9" spans="1:5" x14ac:dyDescent="0.25">
      <c r="A9" s="167">
        <v>44504</v>
      </c>
      <c r="B9" s="136" t="s">
        <v>220</v>
      </c>
      <c r="C9" s="136">
        <v>98</v>
      </c>
      <c r="D9" s="136"/>
      <c r="E9" s="136">
        <f t="shared" si="0"/>
        <v>196</v>
      </c>
    </row>
    <row r="10" spans="1:5" x14ac:dyDescent="0.25">
      <c r="A10" s="136"/>
      <c r="B10" s="136"/>
      <c r="C10" s="136"/>
      <c r="D10" s="136"/>
      <c r="E10" s="136"/>
    </row>
    <row r="11" spans="1:5" x14ac:dyDescent="0.25">
      <c r="A11" s="137"/>
      <c r="B11" s="137" t="s">
        <v>318</v>
      </c>
      <c r="C11" s="137"/>
      <c r="D11" s="137"/>
      <c r="E11" s="137">
        <v>196</v>
      </c>
    </row>
    <row r="12" spans="1:5" x14ac:dyDescent="0.25">
      <c r="A12" s="152" t="s">
        <v>775</v>
      </c>
      <c r="B12" s="136" t="s">
        <v>220</v>
      </c>
      <c r="C12" s="136">
        <v>96</v>
      </c>
      <c r="D12" s="136"/>
      <c r="E12" s="136">
        <f>E11+C12-D12</f>
        <v>292</v>
      </c>
    </row>
    <row r="13" spans="1:5" x14ac:dyDescent="0.25">
      <c r="A13" s="152" t="s">
        <v>914</v>
      </c>
      <c r="B13" s="136" t="s">
        <v>220</v>
      </c>
      <c r="C13" s="136">
        <v>2</v>
      </c>
      <c r="D13" s="136"/>
      <c r="E13" s="136">
        <f>E12+C13-D13</f>
        <v>294</v>
      </c>
    </row>
    <row r="14" spans="1:5" x14ac:dyDescent="0.25">
      <c r="A14" s="136"/>
      <c r="B14" s="136"/>
      <c r="C14" s="136"/>
      <c r="D14" s="136"/>
      <c r="E14" s="136"/>
    </row>
    <row r="15" spans="1:5" x14ac:dyDescent="0.25">
      <c r="A15" s="136"/>
      <c r="B15" s="136"/>
      <c r="C15" s="136"/>
      <c r="D15" s="136"/>
      <c r="E15" s="136"/>
    </row>
    <row r="1048576" spans="5:5" x14ac:dyDescent="0.25">
      <c r="E1048576" s="136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workbookViewId="0">
      <selection activeCell="G8" sqref="G8"/>
    </sheetView>
  </sheetViews>
  <sheetFormatPr defaultRowHeight="15" x14ac:dyDescent="0.25"/>
  <cols>
    <col min="1" max="1" width="11.7109375" style="129" customWidth="1"/>
    <col min="2" max="2" width="28.42578125" style="129" customWidth="1"/>
    <col min="3" max="3" width="9.140625" style="129"/>
    <col min="4" max="4" width="12.28515625" style="129" customWidth="1"/>
    <col min="5" max="5" width="9.140625" style="129"/>
    <col min="6" max="6" width="17.85546875" style="129" customWidth="1"/>
  </cols>
  <sheetData>
    <row r="2" spans="1:7" ht="15.75" x14ac:dyDescent="0.25">
      <c r="A2" s="217" t="s">
        <v>102</v>
      </c>
      <c r="B2" s="217"/>
      <c r="C2" s="217"/>
      <c r="D2" s="217"/>
      <c r="E2" s="217"/>
      <c r="F2" s="217"/>
      <c r="G2" s="28"/>
    </row>
    <row r="3" spans="1:7" ht="15.75" x14ac:dyDescent="0.25">
      <c r="A3" s="217"/>
      <c r="B3" s="217"/>
      <c r="C3" s="217"/>
      <c r="D3" s="217"/>
      <c r="E3" s="217"/>
      <c r="F3" s="217"/>
      <c r="G3" s="28"/>
    </row>
    <row r="4" spans="1:7" ht="29.25" customHeight="1" x14ac:dyDescent="0.25">
      <c r="A4" s="159" t="s">
        <v>2</v>
      </c>
      <c r="B4" s="159" t="s">
        <v>3</v>
      </c>
      <c r="C4" s="159" t="s">
        <v>4</v>
      </c>
      <c r="D4" s="159" t="s">
        <v>5</v>
      </c>
      <c r="E4" s="159" t="s">
        <v>6</v>
      </c>
      <c r="F4" s="218" t="s">
        <v>7</v>
      </c>
      <c r="G4" s="28"/>
    </row>
    <row r="5" spans="1:7" x14ac:dyDescent="0.25">
      <c r="A5" s="136"/>
      <c r="B5" s="136" t="s">
        <v>20</v>
      </c>
      <c r="C5" s="136"/>
      <c r="D5" s="136"/>
      <c r="E5" s="176">
        <v>1401</v>
      </c>
      <c r="F5" s="136"/>
    </row>
    <row r="6" spans="1:7" x14ac:dyDescent="0.25">
      <c r="A6" s="136" t="s">
        <v>101</v>
      </c>
      <c r="B6" s="136" t="s">
        <v>103</v>
      </c>
      <c r="C6" s="136"/>
      <c r="D6" s="136">
        <v>101</v>
      </c>
      <c r="E6" s="136">
        <f>E5+C6-D6</f>
        <v>1300</v>
      </c>
      <c r="F6" s="136" t="s">
        <v>104</v>
      </c>
    </row>
    <row r="7" spans="1:7" x14ac:dyDescent="0.25">
      <c r="A7" s="136" t="s">
        <v>121</v>
      </c>
      <c r="B7" s="136" t="s">
        <v>103</v>
      </c>
      <c r="C7" s="136">
        <v>101</v>
      </c>
      <c r="D7" s="136"/>
      <c r="E7" s="136">
        <f>E6+C7-D7</f>
        <v>1401</v>
      </c>
      <c r="F7" s="136" t="s">
        <v>85</v>
      </c>
    </row>
    <row r="8" spans="1:7" x14ac:dyDescent="0.25">
      <c r="A8" s="167">
        <v>44294</v>
      </c>
      <c r="B8" s="136" t="s">
        <v>76</v>
      </c>
      <c r="C8" s="136">
        <v>2</v>
      </c>
      <c r="D8" s="136"/>
      <c r="E8" s="136">
        <f>E7+C8-D8</f>
        <v>1403</v>
      </c>
      <c r="F8" s="136"/>
    </row>
    <row r="9" spans="1:7" x14ac:dyDescent="0.25">
      <c r="A9" s="136"/>
      <c r="B9" s="136" t="s">
        <v>318</v>
      </c>
      <c r="C9" s="136"/>
      <c r="D9" s="136"/>
      <c r="E9" s="136"/>
      <c r="F9" s="136">
        <v>1403</v>
      </c>
    </row>
    <row r="10" spans="1:7" x14ac:dyDescent="0.25">
      <c r="A10" s="137"/>
      <c r="B10" s="137"/>
      <c r="C10" s="137"/>
      <c r="D10" s="137"/>
      <c r="E10" s="137">
        <v>1403</v>
      </c>
      <c r="F10" s="137"/>
    </row>
    <row r="11" spans="1:7" x14ac:dyDescent="0.25">
      <c r="A11" s="136"/>
      <c r="B11" s="136"/>
      <c r="C11" s="136"/>
      <c r="D11" s="136"/>
      <c r="E11" s="136"/>
      <c r="F11" s="136"/>
    </row>
    <row r="12" spans="1:7" x14ac:dyDescent="0.25">
      <c r="A12" s="136"/>
      <c r="B12" s="136"/>
      <c r="C12" s="136"/>
      <c r="D12" s="136"/>
      <c r="E12" s="136"/>
      <c r="F12" s="136"/>
    </row>
    <row r="13" spans="1:7" x14ac:dyDescent="0.25">
      <c r="A13" s="136"/>
      <c r="B13" s="136"/>
      <c r="C13" s="136"/>
      <c r="D13" s="136"/>
      <c r="E13" s="136"/>
      <c r="F13" s="136"/>
    </row>
    <row r="14" spans="1:7" x14ac:dyDescent="0.25">
      <c r="A14" s="136"/>
      <c r="B14" s="136"/>
      <c r="C14" s="136"/>
      <c r="D14" s="136"/>
      <c r="E14" s="136"/>
      <c r="F14" s="136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>
      <selection activeCell="E14" sqref="E14:E15"/>
    </sheetView>
  </sheetViews>
  <sheetFormatPr defaultRowHeight="15" x14ac:dyDescent="0.25"/>
  <cols>
    <col min="1" max="1" width="12.85546875" style="129" customWidth="1"/>
    <col min="2" max="2" width="24.140625" style="129" customWidth="1"/>
    <col min="3" max="5" width="9.140625" style="129"/>
    <col min="6" max="6" width="14.28515625" style="129" customWidth="1"/>
  </cols>
  <sheetData>
    <row r="2" spans="1:7" ht="15.75" x14ac:dyDescent="0.25">
      <c r="A2" s="221" t="s">
        <v>125</v>
      </c>
      <c r="B2" s="221"/>
      <c r="C2" s="209"/>
      <c r="D2" s="209"/>
      <c r="E2" s="209"/>
      <c r="F2" s="209"/>
      <c r="G2" s="6"/>
    </row>
    <row r="3" spans="1:7" ht="16.5" thickBot="1" x14ac:dyDescent="0.3">
      <c r="A3" s="209"/>
      <c r="B3" s="209"/>
      <c r="C3" s="209"/>
      <c r="D3" s="209"/>
      <c r="E3" s="209"/>
      <c r="F3" s="209"/>
      <c r="G3" s="6"/>
    </row>
    <row r="4" spans="1:7" ht="16.5" thickBot="1" x14ac:dyDescent="0.3">
      <c r="A4" s="222" t="s">
        <v>126</v>
      </c>
      <c r="B4" s="223" t="s">
        <v>127</v>
      </c>
      <c r="C4" s="223" t="s">
        <v>128</v>
      </c>
      <c r="D4" s="224" t="s">
        <v>129</v>
      </c>
      <c r="E4" s="225" t="s">
        <v>130</v>
      </c>
      <c r="F4" s="226" t="s">
        <v>131</v>
      </c>
      <c r="G4" s="6"/>
    </row>
    <row r="5" spans="1:7" hidden="1" x14ac:dyDescent="0.25">
      <c r="A5" s="220"/>
      <c r="B5" s="220" t="s">
        <v>20</v>
      </c>
      <c r="C5" s="220"/>
      <c r="D5" s="220"/>
      <c r="E5" s="220">
        <v>47</v>
      </c>
      <c r="F5" s="220"/>
    </row>
    <row r="6" spans="1:7" hidden="1" x14ac:dyDescent="0.25">
      <c r="A6" s="167">
        <v>44258</v>
      </c>
      <c r="B6" s="136" t="s">
        <v>124</v>
      </c>
      <c r="C6" s="136"/>
      <c r="D6" s="136">
        <v>20</v>
      </c>
      <c r="E6" s="136">
        <f>E5+C6-D6</f>
        <v>27</v>
      </c>
      <c r="F6" s="136" t="s">
        <v>132</v>
      </c>
    </row>
    <row r="7" spans="1:7" hidden="1" x14ac:dyDescent="0.25">
      <c r="A7" s="136" t="s">
        <v>136</v>
      </c>
      <c r="B7" s="136" t="s">
        <v>124</v>
      </c>
      <c r="C7" s="136">
        <v>20</v>
      </c>
      <c r="D7" s="136"/>
      <c r="E7" s="136">
        <f>E6+C7-D7</f>
        <v>47</v>
      </c>
      <c r="F7" s="136"/>
    </row>
    <row r="8" spans="1:7" hidden="1" x14ac:dyDescent="0.25">
      <c r="A8" s="167">
        <v>44487</v>
      </c>
      <c r="B8" s="136" t="s">
        <v>76</v>
      </c>
      <c r="C8" s="136">
        <v>17</v>
      </c>
      <c r="D8" s="136"/>
      <c r="E8" s="136">
        <f t="shared" ref="E8:E11" si="0">E7+C8-D8</f>
        <v>64</v>
      </c>
      <c r="F8" s="136"/>
    </row>
    <row r="9" spans="1:7" hidden="1" x14ac:dyDescent="0.25">
      <c r="A9" s="167">
        <v>44522</v>
      </c>
      <c r="B9" s="136" t="s">
        <v>76</v>
      </c>
      <c r="C9" s="136">
        <v>3</v>
      </c>
      <c r="D9" s="136"/>
      <c r="E9" s="136">
        <f t="shared" si="0"/>
        <v>67</v>
      </c>
      <c r="F9" s="136"/>
    </row>
    <row r="10" spans="1:7" hidden="1" x14ac:dyDescent="0.25">
      <c r="A10" s="152" t="s">
        <v>239</v>
      </c>
      <c r="B10" s="136" t="s">
        <v>76</v>
      </c>
      <c r="C10" s="136">
        <v>1</v>
      </c>
      <c r="D10" s="136"/>
      <c r="E10" s="136">
        <f t="shared" si="0"/>
        <v>68</v>
      </c>
      <c r="F10" s="136"/>
    </row>
    <row r="11" spans="1:7" hidden="1" x14ac:dyDescent="0.25">
      <c r="A11" s="152" t="s">
        <v>241</v>
      </c>
      <c r="B11" s="136" t="s">
        <v>76</v>
      </c>
      <c r="C11" s="136">
        <v>26</v>
      </c>
      <c r="D11" s="136"/>
      <c r="E11" s="136">
        <f t="shared" si="0"/>
        <v>94</v>
      </c>
      <c r="F11" s="136"/>
    </row>
    <row r="12" spans="1:7" x14ac:dyDescent="0.25">
      <c r="A12" s="136"/>
      <c r="B12" s="136" t="s">
        <v>318</v>
      </c>
      <c r="C12" s="136"/>
      <c r="D12" s="136"/>
      <c r="E12" s="136"/>
      <c r="F12" s="136">
        <v>94</v>
      </c>
    </row>
    <row r="13" spans="1:7" x14ac:dyDescent="0.25">
      <c r="A13" s="172"/>
      <c r="B13" s="172"/>
      <c r="C13" s="172"/>
      <c r="D13" s="172"/>
      <c r="E13" s="172">
        <v>94</v>
      </c>
      <c r="F13" s="172"/>
    </row>
    <row r="14" spans="1:7" x14ac:dyDescent="0.25">
      <c r="A14" s="152" t="s">
        <v>496</v>
      </c>
      <c r="B14" s="1" t="s">
        <v>349</v>
      </c>
      <c r="C14" s="136">
        <v>4</v>
      </c>
      <c r="D14" s="136"/>
      <c r="E14" s="136">
        <f>E13+C14-D14</f>
        <v>98</v>
      </c>
      <c r="F14" s="136"/>
    </row>
    <row r="15" spans="1:7" x14ac:dyDescent="0.25">
      <c r="A15" s="152" t="s">
        <v>517</v>
      </c>
      <c r="B15" s="136" t="s">
        <v>518</v>
      </c>
      <c r="C15" s="136">
        <v>15</v>
      </c>
      <c r="D15" s="136"/>
      <c r="E15" s="136">
        <f>E14+C15-D15</f>
        <v>113</v>
      </c>
      <c r="F15" s="136"/>
    </row>
    <row r="16" spans="1:7" x14ac:dyDescent="0.25">
      <c r="A16" s="136"/>
      <c r="B16" s="136"/>
      <c r="C16" s="136"/>
      <c r="D16" s="136"/>
      <c r="E16" s="136"/>
      <c r="F16" s="136"/>
    </row>
    <row r="17" spans="1:6" x14ac:dyDescent="0.25">
      <c r="A17" s="136"/>
      <c r="B17" s="136"/>
      <c r="C17" s="136"/>
      <c r="D17" s="136"/>
      <c r="E17" s="136"/>
      <c r="F17" s="136"/>
    </row>
    <row r="18" spans="1:6" x14ac:dyDescent="0.25">
      <c r="A18" s="136"/>
      <c r="B18" s="136"/>
      <c r="C18" s="136"/>
      <c r="D18" s="136"/>
      <c r="E18" s="136"/>
      <c r="F18" s="136"/>
    </row>
    <row r="19" spans="1:6" x14ac:dyDescent="0.25">
      <c r="A19" s="136"/>
      <c r="B19" s="136"/>
      <c r="C19" s="136"/>
      <c r="D19" s="136"/>
      <c r="E19" s="136"/>
      <c r="F19" s="136"/>
    </row>
    <row r="20" spans="1:6" x14ac:dyDescent="0.25">
      <c r="A20" s="136"/>
      <c r="B20" s="136"/>
      <c r="C20" s="136"/>
      <c r="D20" s="136"/>
      <c r="E20" s="136"/>
      <c r="F20" s="136"/>
    </row>
    <row r="21" spans="1:6" x14ac:dyDescent="0.25">
      <c r="A21" s="136"/>
      <c r="B21" s="136"/>
      <c r="C21" s="136"/>
      <c r="D21" s="136"/>
      <c r="E21" s="136"/>
      <c r="F21" s="136"/>
    </row>
    <row r="22" spans="1:6" x14ac:dyDescent="0.25">
      <c r="A22" s="136"/>
      <c r="B22" s="136"/>
      <c r="C22" s="136"/>
      <c r="D22" s="136"/>
      <c r="E22" s="136"/>
      <c r="F22" s="136"/>
    </row>
    <row r="23" spans="1:6" x14ac:dyDescent="0.25">
      <c r="A23" s="136"/>
      <c r="B23" s="136"/>
      <c r="C23" s="136"/>
      <c r="D23" s="136"/>
      <c r="E23" s="136"/>
      <c r="F23" s="136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A6" sqref="A6"/>
    </sheetView>
  </sheetViews>
  <sheetFormatPr defaultRowHeight="15" x14ac:dyDescent="0.25"/>
  <cols>
    <col min="1" max="1" width="11.5703125" customWidth="1"/>
    <col min="2" max="2" width="25.28515625" customWidth="1"/>
    <col min="6" max="6" width="17.140625" customWidth="1"/>
  </cols>
  <sheetData>
    <row r="1" spans="1:6" ht="15.75" x14ac:dyDescent="0.25">
      <c r="A1" s="80" t="s">
        <v>153</v>
      </c>
      <c r="B1" s="80"/>
      <c r="C1" s="81"/>
      <c r="D1" s="81"/>
      <c r="E1" s="81"/>
      <c r="F1" s="81"/>
    </row>
    <row r="2" spans="1:6" ht="16.5" thickBot="1" x14ac:dyDescent="0.3">
      <c r="A2" s="81"/>
      <c r="B2" s="81"/>
      <c r="C2" s="81"/>
      <c r="D2" s="81"/>
      <c r="E2" s="81"/>
      <c r="F2" s="81"/>
    </row>
    <row r="3" spans="1:6" ht="15.75" thickBot="1" x14ac:dyDescent="0.3">
      <c r="A3" s="82" t="s">
        <v>126</v>
      </c>
      <c r="B3" s="83" t="s">
        <v>127</v>
      </c>
      <c r="C3" s="83" t="s">
        <v>128</v>
      </c>
      <c r="D3" s="84" t="s">
        <v>129</v>
      </c>
      <c r="E3" s="85" t="s">
        <v>130</v>
      </c>
      <c r="F3" s="86" t="s">
        <v>131</v>
      </c>
    </row>
    <row r="4" spans="1:6" hidden="1" x14ac:dyDescent="0.25">
      <c r="A4" s="96"/>
      <c r="B4" s="96"/>
      <c r="C4" s="96"/>
      <c r="D4" s="96"/>
      <c r="E4" s="96"/>
      <c r="F4" s="96"/>
    </row>
    <row r="5" spans="1:6" hidden="1" x14ac:dyDescent="0.25">
      <c r="A5" s="36" t="s">
        <v>148</v>
      </c>
      <c r="B5" s="36" t="s">
        <v>150</v>
      </c>
      <c r="C5" s="36"/>
      <c r="D5" s="36">
        <v>1</v>
      </c>
      <c r="E5" s="36">
        <v>0</v>
      </c>
      <c r="F5" s="36" t="s">
        <v>149</v>
      </c>
    </row>
    <row r="6" spans="1:6" x14ac:dyDescent="0.25">
      <c r="A6" s="136"/>
      <c r="B6" s="136" t="s">
        <v>318</v>
      </c>
      <c r="C6" s="136"/>
      <c r="D6" s="136"/>
      <c r="E6" s="136"/>
      <c r="F6" s="136">
        <v>0</v>
      </c>
    </row>
    <row r="7" spans="1:6" x14ac:dyDescent="0.25">
      <c r="A7" s="172"/>
      <c r="B7" s="172"/>
      <c r="C7" s="172"/>
      <c r="D7" s="172"/>
      <c r="E7" s="172">
        <v>0</v>
      </c>
      <c r="F7" s="172"/>
    </row>
    <row r="8" spans="1:6" x14ac:dyDescent="0.25">
      <c r="A8" s="136"/>
      <c r="B8" s="136"/>
      <c r="C8" s="136"/>
      <c r="D8" s="136"/>
      <c r="E8" s="136"/>
      <c r="F8" s="136"/>
    </row>
    <row r="9" spans="1:6" x14ac:dyDescent="0.25">
      <c r="A9" s="136"/>
      <c r="B9" s="136"/>
      <c r="C9" s="136"/>
      <c r="D9" s="136"/>
      <c r="E9" s="136"/>
      <c r="F9" s="136"/>
    </row>
    <row r="10" spans="1:6" x14ac:dyDescent="0.25">
      <c r="A10" s="136"/>
      <c r="B10" s="136"/>
      <c r="C10" s="136"/>
      <c r="D10" s="136"/>
      <c r="E10" s="136"/>
      <c r="F10" s="136"/>
    </row>
    <row r="11" spans="1:6" x14ac:dyDescent="0.25">
      <c r="A11" s="136"/>
      <c r="B11" s="136"/>
      <c r="C11" s="136"/>
      <c r="D11" s="136"/>
      <c r="E11" s="136"/>
      <c r="F11" s="136"/>
    </row>
    <row r="12" spans="1:6" x14ac:dyDescent="0.25">
      <c r="A12" s="136"/>
      <c r="B12" s="136"/>
      <c r="C12" s="136"/>
      <c r="D12" s="136"/>
      <c r="E12" s="136"/>
      <c r="F12" s="136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8"/>
  <sheetViews>
    <sheetView workbookViewId="0">
      <selection activeCell="J14" sqref="J14"/>
    </sheetView>
  </sheetViews>
  <sheetFormatPr defaultRowHeight="15" x14ac:dyDescent="0.25"/>
  <cols>
    <col min="1" max="1" width="14.28515625" style="129" customWidth="1"/>
    <col min="2" max="2" width="28.42578125" style="129" customWidth="1"/>
    <col min="3" max="5" width="9.140625" style="129"/>
    <col min="6" max="6" width="15.7109375" style="129" customWidth="1"/>
  </cols>
  <sheetData>
    <row r="3" spans="1:6" s="29" customFormat="1" ht="14.25" x14ac:dyDescent="0.2">
      <c r="A3" s="195" t="s">
        <v>91</v>
      </c>
      <c r="B3" s="195" t="s">
        <v>133</v>
      </c>
      <c r="C3" s="129"/>
      <c r="D3" s="195"/>
      <c r="E3" s="195"/>
      <c r="F3" s="129"/>
    </row>
    <row r="4" spans="1:6" s="29" customFormat="1" ht="14.25" x14ac:dyDescent="0.2">
      <c r="A4" s="196"/>
      <c r="B4" s="196"/>
      <c r="C4" s="196"/>
      <c r="D4" s="196"/>
      <c r="E4" s="196"/>
      <c r="F4" s="129"/>
    </row>
    <row r="5" spans="1:6" s="29" customFormat="1" ht="14.25" x14ac:dyDescent="0.2">
      <c r="A5" s="228" t="s">
        <v>2</v>
      </c>
      <c r="B5" s="228" t="s">
        <v>7</v>
      </c>
      <c r="C5" s="228" t="s">
        <v>4</v>
      </c>
      <c r="D5" s="228" t="s">
        <v>5</v>
      </c>
      <c r="E5" s="228" t="s">
        <v>6</v>
      </c>
      <c r="F5" s="129"/>
    </row>
    <row r="6" spans="1:6" hidden="1" x14ac:dyDescent="0.25">
      <c r="A6" s="136"/>
      <c r="B6" s="136" t="s">
        <v>20</v>
      </c>
      <c r="C6" s="136"/>
      <c r="D6" s="136"/>
      <c r="E6" s="136">
        <v>0</v>
      </c>
    </row>
    <row r="7" spans="1:6" hidden="1" x14ac:dyDescent="0.25">
      <c r="A7" s="167">
        <v>44319</v>
      </c>
      <c r="B7" s="136" t="s">
        <v>124</v>
      </c>
      <c r="C7" s="136"/>
      <c r="D7" s="136">
        <v>20</v>
      </c>
      <c r="E7" s="136">
        <v>0</v>
      </c>
      <c r="F7" s="129" t="s">
        <v>134</v>
      </c>
    </row>
    <row r="8" spans="1:6" hidden="1" x14ac:dyDescent="0.25">
      <c r="A8" s="206">
        <v>44522</v>
      </c>
      <c r="B8" s="205" t="s">
        <v>76</v>
      </c>
      <c r="C8" s="205">
        <v>1</v>
      </c>
      <c r="D8" s="136"/>
      <c r="E8" s="136">
        <v>1</v>
      </c>
    </row>
    <row r="9" spans="1:6" hidden="1" x14ac:dyDescent="0.25">
      <c r="A9" s="152" t="s">
        <v>239</v>
      </c>
      <c r="B9" s="136" t="s">
        <v>76</v>
      </c>
      <c r="C9" s="136">
        <v>4</v>
      </c>
      <c r="D9" s="136"/>
      <c r="E9" s="136">
        <f>E8+C9-D9</f>
        <v>5</v>
      </c>
    </row>
    <row r="10" spans="1:6" x14ac:dyDescent="0.25">
      <c r="A10" s="172"/>
      <c r="B10" s="172" t="s">
        <v>246</v>
      </c>
      <c r="C10" s="172"/>
      <c r="D10" s="172"/>
      <c r="E10" s="172">
        <v>5</v>
      </c>
    </row>
    <row r="11" spans="1:6" x14ac:dyDescent="0.25">
      <c r="A11" s="136"/>
      <c r="B11" s="136"/>
      <c r="C11" s="136"/>
      <c r="D11" s="136"/>
      <c r="E11" s="136"/>
    </row>
    <row r="12" spans="1:6" ht="15.75" x14ac:dyDescent="0.25">
      <c r="A12" s="246" t="s">
        <v>416</v>
      </c>
      <c r="B12" s="161" t="s">
        <v>422</v>
      </c>
      <c r="C12" s="161">
        <v>1</v>
      </c>
      <c r="D12" s="136"/>
      <c r="E12" s="136"/>
    </row>
    <row r="13" spans="1:6" x14ac:dyDescent="0.25">
      <c r="A13" s="136"/>
      <c r="B13" s="136"/>
      <c r="C13" s="136"/>
      <c r="D13" s="136"/>
      <c r="E13" s="136"/>
    </row>
    <row r="14" spans="1:6" x14ac:dyDescent="0.25">
      <c r="A14" s="136"/>
      <c r="B14" s="136"/>
      <c r="C14" s="136"/>
      <c r="D14" s="136"/>
      <c r="E14" s="136"/>
    </row>
    <row r="15" spans="1:6" x14ac:dyDescent="0.25">
      <c r="A15" s="136"/>
      <c r="B15" s="136"/>
      <c r="C15" s="136"/>
      <c r="D15" s="136"/>
      <c r="E15" s="136"/>
    </row>
    <row r="16" spans="1:6" x14ac:dyDescent="0.25">
      <c r="A16" s="136"/>
      <c r="B16" s="136"/>
      <c r="C16" s="136"/>
      <c r="D16" s="136"/>
      <c r="E16" s="136"/>
    </row>
    <row r="17" spans="1:5" x14ac:dyDescent="0.25">
      <c r="A17" s="136"/>
      <c r="B17" s="136"/>
      <c r="C17" s="136"/>
      <c r="D17" s="136"/>
      <c r="E17" s="136"/>
    </row>
    <row r="18" spans="1:5" x14ac:dyDescent="0.25">
      <c r="A18" s="136"/>
      <c r="B18" s="136"/>
      <c r="C18" s="136"/>
      <c r="D18" s="136"/>
      <c r="E18" s="136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>
      <selection activeCell="K7" sqref="K7:K8"/>
    </sheetView>
  </sheetViews>
  <sheetFormatPr defaultRowHeight="15" x14ac:dyDescent="0.25"/>
  <cols>
    <col min="1" max="1" width="9.7109375" customWidth="1"/>
    <col min="2" max="2" width="19.85546875" customWidth="1"/>
  </cols>
  <sheetData>
    <row r="2" spans="1:5" ht="16.5" x14ac:dyDescent="0.35">
      <c r="A2" s="99" t="s">
        <v>222</v>
      </c>
      <c r="B2" s="99"/>
      <c r="C2" s="99"/>
      <c r="D2" s="99"/>
      <c r="E2" s="99"/>
    </row>
    <row r="3" spans="1:5" ht="15.75" x14ac:dyDescent="0.3">
      <c r="A3" s="100"/>
      <c r="B3" s="100"/>
      <c r="C3" s="100"/>
      <c r="D3" s="100"/>
      <c r="E3" s="100"/>
    </row>
    <row r="4" spans="1:5" ht="16.5" x14ac:dyDescent="0.25">
      <c r="A4" s="115" t="s">
        <v>2</v>
      </c>
      <c r="B4" s="115" t="s">
        <v>7</v>
      </c>
      <c r="C4" s="115" t="s">
        <v>4</v>
      </c>
      <c r="D4" s="115" t="s">
        <v>5</v>
      </c>
      <c r="E4" s="115" t="s">
        <v>6</v>
      </c>
    </row>
    <row r="5" spans="1:5" hidden="1" x14ac:dyDescent="0.25">
      <c r="A5" s="1"/>
      <c r="B5" s="25" t="s">
        <v>25</v>
      </c>
      <c r="C5" s="1"/>
      <c r="D5" s="1"/>
      <c r="E5" s="1">
        <v>1</v>
      </c>
    </row>
    <row r="6" spans="1:5" hidden="1" x14ac:dyDescent="0.25">
      <c r="A6" s="19">
        <v>44519</v>
      </c>
      <c r="B6" s="1" t="s">
        <v>223</v>
      </c>
      <c r="C6" s="1">
        <v>8</v>
      </c>
      <c r="D6" s="1"/>
      <c r="E6" s="1">
        <f>E5+C6-D6</f>
        <v>9</v>
      </c>
    </row>
    <row r="7" spans="1:5" x14ac:dyDescent="0.25">
      <c r="A7" s="168"/>
      <c r="B7" s="168" t="s">
        <v>318</v>
      </c>
      <c r="C7" s="168"/>
      <c r="D7" s="168"/>
      <c r="E7" s="168">
        <v>9</v>
      </c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J18" sqref="J18"/>
    </sheetView>
  </sheetViews>
  <sheetFormatPr defaultRowHeight="15" x14ac:dyDescent="0.25"/>
  <cols>
    <col min="1" max="1" width="13.85546875" customWidth="1"/>
    <col min="2" max="2" width="20.5703125" customWidth="1"/>
  </cols>
  <sheetData>
    <row r="1" spans="1:5" ht="16.5" x14ac:dyDescent="0.35">
      <c r="A1" s="81" t="s">
        <v>240</v>
      </c>
      <c r="B1" s="81"/>
      <c r="C1" s="81"/>
      <c r="D1" s="99"/>
      <c r="E1" s="99"/>
    </row>
    <row r="2" spans="1:5" ht="15.75" x14ac:dyDescent="0.3">
      <c r="A2" s="100"/>
      <c r="B2" s="100"/>
      <c r="C2" s="100"/>
      <c r="D2" s="100"/>
      <c r="E2" s="100"/>
    </row>
    <row r="3" spans="1:5" ht="16.5" x14ac:dyDescent="0.25">
      <c r="A3" s="115" t="s">
        <v>2</v>
      </c>
      <c r="B3" s="115" t="s">
        <v>7</v>
      </c>
      <c r="C3" s="115" t="s">
        <v>4</v>
      </c>
      <c r="D3" s="115" t="s">
        <v>5</v>
      </c>
      <c r="E3" s="115" t="s">
        <v>6</v>
      </c>
    </row>
    <row r="4" spans="1:5" hidden="1" x14ac:dyDescent="0.25">
      <c r="A4" s="1"/>
      <c r="B4" s="25" t="s">
        <v>25</v>
      </c>
      <c r="C4" s="1"/>
      <c r="D4" s="1"/>
      <c r="E4" s="1">
        <v>12</v>
      </c>
    </row>
    <row r="5" spans="1:5" hidden="1" x14ac:dyDescent="0.25">
      <c r="A5" s="120" t="s">
        <v>239</v>
      </c>
      <c r="B5" s="1" t="s">
        <v>223</v>
      </c>
      <c r="C5" s="1">
        <v>4</v>
      </c>
      <c r="D5" s="1"/>
      <c r="E5" s="1">
        <f>E4+C5-D5</f>
        <v>16</v>
      </c>
    </row>
    <row r="6" spans="1:5" x14ac:dyDescent="0.25">
      <c r="A6" s="168"/>
      <c r="B6" s="168" t="s">
        <v>334</v>
      </c>
      <c r="C6" s="168"/>
      <c r="D6" s="168"/>
      <c r="E6" s="168">
        <v>16</v>
      </c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6"/>
  <sheetViews>
    <sheetView workbookViewId="0">
      <selection activeCell="C16" sqref="C16"/>
    </sheetView>
  </sheetViews>
  <sheetFormatPr defaultRowHeight="15" x14ac:dyDescent="0.25"/>
  <cols>
    <col min="1" max="1" width="13.7109375" style="29" customWidth="1"/>
    <col min="2" max="2" width="27.42578125" style="29" customWidth="1"/>
    <col min="3" max="5" width="9.140625" style="29"/>
    <col min="6" max="6" width="14.5703125" style="29" customWidth="1"/>
  </cols>
  <sheetData>
    <row r="2" spans="1:6" s="29" customFormat="1" x14ac:dyDescent="0.25">
      <c r="A2" s="89" t="s">
        <v>151</v>
      </c>
      <c r="B2" s="89"/>
      <c r="C2" s="89"/>
      <c r="D2" s="89"/>
      <c r="E2" s="89"/>
    </row>
    <row r="3" spans="1:6" s="29" customFormat="1" thickBot="1" x14ac:dyDescent="0.25">
      <c r="A3" s="90"/>
      <c r="B3" s="90"/>
      <c r="C3" s="90"/>
      <c r="D3" s="90"/>
      <c r="E3" s="90"/>
    </row>
    <row r="4" spans="1:6" s="29" customFormat="1" thickBot="1" x14ac:dyDescent="0.25">
      <c r="A4" s="91" t="s">
        <v>126</v>
      </c>
      <c r="B4" s="92" t="s">
        <v>127</v>
      </c>
      <c r="C4" s="92" t="s">
        <v>128</v>
      </c>
      <c r="D4" s="93" t="s">
        <v>129</v>
      </c>
      <c r="E4" s="94" t="s">
        <v>130</v>
      </c>
      <c r="F4" s="95" t="s">
        <v>131</v>
      </c>
    </row>
    <row r="5" spans="1:6" hidden="1" x14ac:dyDescent="0.25">
      <c r="A5" s="36"/>
      <c r="B5" s="36"/>
      <c r="C5" s="36"/>
      <c r="D5" s="36"/>
      <c r="E5" s="36">
        <v>103</v>
      </c>
      <c r="F5" s="36"/>
    </row>
    <row r="6" spans="1:6" hidden="1" x14ac:dyDescent="0.25">
      <c r="A6" s="36" t="s">
        <v>148</v>
      </c>
      <c r="B6" s="36" t="s">
        <v>124</v>
      </c>
      <c r="C6" s="36"/>
      <c r="D6" s="36">
        <v>10</v>
      </c>
      <c r="E6" s="36">
        <f>E5+C6-D6</f>
        <v>93</v>
      </c>
      <c r="F6" s="36" t="s">
        <v>149</v>
      </c>
    </row>
    <row r="7" spans="1:6" hidden="1" x14ac:dyDescent="0.25">
      <c r="A7" s="102">
        <v>44522</v>
      </c>
      <c r="B7" s="88" t="s">
        <v>76</v>
      </c>
      <c r="C7" s="88">
        <v>8</v>
      </c>
      <c r="D7" s="36"/>
      <c r="E7" s="36">
        <f>E6+C7-D7</f>
        <v>101</v>
      </c>
      <c r="F7" s="36"/>
    </row>
    <row r="8" spans="1:6" hidden="1" x14ac:dyDescent="0.25">
      <c r="A8" s="121" t="s">
        <v>239</v>
      </c>
      <c r="B8" s="36" t="s">
        <v>76</v>
      </c>
      <c r="C8" s="36">
        <v>4</v>
      </c>
      <c r="D8" s="36"/>
      <c r="E8" s="36">
        <f t="shared" ref="E8:E10" si="0">E7+C8-D8</f>
        <v>105</v>
      </c>
      <c r="F8" s="36"/>
    </row>
    <row r="9" spans="1:6" hidden="1" x14ac:dyDescent="0.25">
      <c r="A9" s="121" t="s">
        <v>241</v>
      </c>
      <c r="B9" s="36" t="s">
        <v>76</v>
      </c>
      <c r="C9" s="36">
        <v>2</v>
      </c>
      <c r="D9" s="36"/>
      <c r="E9" s="36">
        <f t="shared" si="0"/>
        <v>107</v>
      </c>
      <c r="F9" s="36"/>
    </row>
    <row r="10" spans="1:6" hidden="1" x14ac:dyDescent="0.25">
      <c r="A10" s="117" t="s">
        <v>242</v>
      </c>
      <c r="B10" s="36" t="s">
        <v>76</v>
      </c>
      <c r="C10" s="36">
        <v>1</v>
      </c>
      <c r="D10" s="36"/>
      <c r="E10" s="36">
        <f t="shared" si="0"/>
        <v>108</v>
      </c>
      <c r="F10" s="36"/>
    </row>
    <row r="11" spans="1:6" x14ac:dyDescent="0.25">
      <c r="A11" s="36"/>
      <c r="B11" s="36" t="s">
        <v>318</v>
      </c>
      <c r="C11" s="36"/>
      <c r="D11" s="36"/>
      <c r="E11" s="36"/>
      <c r="F11" s="36">
        <v>108</v>
      </c>
    </row>
    <row r="12" spans="1:6" x14ac:dyDescent="0.25">
      <c r="A12" s="164"/>
      <c r="B12" s="164"/>
      <c r="C12" s="164"/>
      <c r="D12" s="164"/>
      <c r="E12" s="164">
        <v>108</v>
      </c>
      <c r="F12" s="164"/>
    </row>
    <row r="13" spans="1:6" ht="15.75" x14ac:dyDescent="0.25">
      <c r="A13" s="246" t="s">
        <v>416</v>
      </c>
      <c r="B13" s="161" t="s">
        <v>422</v>
      </c>
      <c r="C13" s="161">
        <v>3</v>
      </c>
      <c r="D13" s="36"/>
      <c r="E13" s="36">
        <f>E12+C13-D13</f>
        <v>111</v>
      </c>
      <c r="F13" s="36"/>
    </row>
    <row r="14" spans="1:6" x14ac:dyDescent="0.25">
      <c r="A14" s="152" t="s">
        <v>496</v>
      </c>
      <c r="B14" s="1" t="s">
        <v>349</v>
      </c>
      <c r="C14" s="136">
        <v>6</v>
      </c>
      <c r="D14" s="36"/>
      <c r="E14" s="36">
        <f>E13+C14-D14</f>
        <v>117</v>
      </c>
      <c r="F14" s="36"/>
    </row>
    <row r="15" spans="1:6" x14ac:dyDescent="0.25">
      <c r="A15" s="152" t="s">
        <v>517</v>
      </c>
      <c r="B15" s="136" t="s">
        <v>518</v>
      </c>
      <c r="C15" s="136">
        <v>2</v>
      </c>
      <c r="D15" s="36"/>
      <c r="E15" s="36">
        <f t="shared" ref="E15:E16" si="1">E14+C15-D15</f>
        <v>119</v>
      </c>
      <c r="F15" s="36"/>
    </row>
    <row r="16" spans="1:6" x14ac:dyDescent="0.25">
      <c r="A16" s="152" t="s">
        <v>573</v>
      </c>
      <c r="B16" s="136" t="s">
        <v>575</v>
      </c>
      <c r="C16" s="136">
        <v>1</v>
      </c>
      <c r="D16" s="36"/>
      <c r="E16" s="36">
        <f t="shared" si="1"/>
        <v>120</v>
      </c>
      <c r="F16" s="36"/>
    </row>
    <row r="17" spans="1:6" x14ac:dyDescent="0.25">
      <c r="A17" s="36"/>
      <c r="B17" s="36"/>
      <c r="C17" s="36"/>
      <c r="D17" s="36"/>
      <c r="E17" s="36"/>
      <c r="F17" s="36"/>
    </row>
    <row r="18" spans="1:6" x14ac:dyDescent="0.25">
      <c r="A18" s="36"/>
      <c r="B18" s="36"/>
      <c r="C18" s="36"/>
      <c r="D18" s="36"/>
      <c r="E18" s="36"/>
      <c r="F18" s="36"/>
    </row>
    <row r="19" spans="1:6" x14ac:dyDescent="0.25">
      <c r="A19" s="36"/>
      <c r="B19" s="36"/>
      <c r="C19" s="36"/>
      <c r="D19" s="36"/>
      <c r="E19" s="36"/>
      <c r="F19" s="36"/>
    </row>
    <row r="20" spans="1:6" x14ac:dyDescent="0.25">
      <c r="A20" s="36"/>
      <c r="B20" s="36"/>
      <c r="C20" s="36"/>
      <c r="D20" s="36"/>
      <c r="E20" s="36"/>
      <c r="F20" s="36"/>
    </row>
    <row r="21" spans="1:6" x14ac:dyDescent="0.25">
      <c r="A21" s="36"/>
      <c r="B21" s="36"/>
      <c r="C21" s="36"/>
      <c r="D21" s="36"/>
      <c r="E21" s="36"/>
      <c r="F21" s="36"/>
    </row>
    <row r="22" spans="1:6" x14ac:dyDescent="0.25">
      <c r="A22" s="36"/>
      <c r="B22" s="36"/>
      <c r="C22" s="36"/>
      <c r="D22" s="36"/>
      <c r="E22" s="36"/>
      <c r="F22" s="36"/>
    </row>
    <row r="23" spans="1:6" x14ac:dyDescent="0.25">
      <c r="A23" s="36"/>
      <c r="B23" s="36"/>
      <c r="C23" s="36"/>
      <c r="D23" s="36"/>
      <c r="E23" s="36"/>
      <c r="F23" s="36"/>
    </row>
    <row r="24" spans="1:6" x14ac:dyDescent="0.25">
      <c r="A24" s="36"/>
      <c r="B24" s="36"/>
      <c r="C24" s="36"/>
      <c r="D24" s="36"/>
      <c r="E24" s="36"/>
      <c r="F24" s="36"/>
    </row>
    <row r="25" spans="1:6" x14ac:dyDescent="0.25">
      <c r="A25" s="36"/>
      <c r="B25" s="36"/>
      <c r="C25" s="36"/>
      <c r="D25" s="36"/>
      <c r="E25" s="36"/>
      <c r="F25" s="36"/>
    </row>
    <row r="26" spans="1:6" x14ac:dyDescent="0.25">
      <c r="A26" s="36"/>
      <c r="B26" s="36"/>
      <c r="C26" s="36"/>
      <c r="D26" s="36"/>
      <c r="E26" s="36"/>
      <c r="F26" s="36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E10" sqref="E10"/>
    </sheetView>
  </sheetViews>
  <sheetFormatPr defaultRowHeight="15" x14ac:dyDescent="0.25"/>
  <cols>
    <col min="1" max="1" width="12.140625" style="29" customWidth="1"/>
    <col min="2" max="2" width="31.85546875" style="29" customWidth="1"/>
    <col min="3" max="5" width="9.140625" style="29"/>
    <col min="6" max="6" width="15.7109375" style="29" customWidth="1"/>
  </cols>
  <sheetData>
    <row r="2" spans="1:6" x14ac:dyDescent="0.25">
      <c r="A2" s="89" t="s">
        <v>152</v>
      </c>
      <c r="B2" s="89"/>
      <c r="C2" s="89"/>
      <c r="D2" s="89"/>
      <c r="E2" s="89"/>
    </row>
    <row r="3" spans="1:6" ht="15.75" thickBot="1" x14ac:dyDescent="0.3">
      <c r="A3" s="90"/>
      <c r="B3" s="90"/>
      <c r="C3" s="90"/>
      <c r="D3" s="90"/>
      <c r="E3" s="90"/>
    </row>
    <row r="4" spans="1:6" ht="15.75" thickBot="1" x14ac:dyDescent="0.3">
      <c r="A4" s="91" t="s">
        <v>126</v>
      </c>
      <c r="B4" s="92" t="s">
        <v>127</v>
      </c>
      <c r="C4" s="92" t="s">
        <v>128</v>
      </c>
      <c r="D4" s="93" t="s">
        <v>129</v>
      </c>
      <c r="E4" s="94" t="s">
        <v>130</v>
      </c>
      <c r="F4" s="95" t="s">
        <v>131</v>
      </c>
    </row>
    <row r="5" spans="1:6" hidden="1" x14ac:dyDescent="0.25">
      <c r="A5" s="97"/>
      <c r="B5" s="97"/>
      <c r="C5" s="97"/>
      <c r="D5" s="97"/>
      <c r="E5" s="36">
        <v>50</v>
      </c>
      <c r="F5" s="97"/>
    </row>
    <row r="6" spans="1:6" hidden="1" x14ac:dyDescent="0.25">
      <c r="A6" s="36" t="s">
        <v>148</v>
      </c>
      <c r="B6" s="36" t="s">
        <v>124</v>
      </c>
      <c r="C6" s="36"/>
      <c r="D6" s="36">
        <v>10</v>
      </c>
      <c r="E6" s="36">
        <f>E5+C6-D6</f>
        <v>40</v>
      </c>
      <c r="F6" s="36" t="s">
        <v>149</v>
      </c>
    </row>
    <row r="7" spans="1:6" x14ac:dyDescent="0.25">
      <c r="A7" s="36"/>
      <c r="B7" s="36" t="s">
        <v>318</v>
      </c>
      <c r="C7" s="36"/>
      <c r="D7" s="36"/>
      <c r="E7" s="36"/>
      <c r="F7" s="36">
        <v>40</v>
      </c>
    </row>
    <row r="8" spans="1:6" x14ac:dyDescent="0.25">
      <c r="A8" s="164"/>
      <c r="B8" s="164"/>
      <c r="C8" s="164"/>
      <c r="D8" s="164"/>
      <c r="E8" s="164">
        <v>40</v>
      </c>
      <c r="F8" s="164"/>
    </row>
    <row r="9" spans="1:6" x14ac:dyDescent="0.25">
      <c r="A9" s="152" t="s">
        <v>517</v>
      </c>
      <c r="B9" s="136" t="s">
        <v>518</v>
      </c>
      <c r="C9" s="136">
        <v>3</v>
      </c>
      <c r="D9" s="36"/>
      <c r="E9" s="36">
        <f>E8+C9-D9</f>
        <v>43</v>
      </c>
      <c r="F9" s="36"/>
    </row>
    <row r="10" spans="1:6" x14ac:dyDescent="0.25">
      <c r="A10" s="36"/>
      <c r="B10" s="36"/>
      <c r="C10" s="36"/>
      <c r="D10" s="36"/>
      <c r="E10" s="36"/>
      <c r="F10" s="36"/>
    </row>
    <row r="11" spans="1:6" x14ac:dyDescent="0.25">
      <c r="A11" s="36"/>
      <c r="B11" s="36"/>
      <c r="C11" s="36"/>
      <c r="D11" s="36"/>
      <c r="E11" s="36"/>
      <c r="F11" s="36"/>
    </row>
    <row r="12" spans="1:6" x14ac:dyDescent="0.25">
      <c r="A12" s="36"/>
      <c r="B12" s="36"/>
      <c r="C12" s="36"/>
      <c r="D12" s="36"/>
      <c r="E12" s="36"/>
      <c r="F12" s="36"/>
    </row>
    <row r="13" spans="1:6" x14ac:dyDescent="0.25">
      <c r="A13" s="36"/>
      <c r="B13" s="36"/>
      <c r="C13" s="36"/>
      <c r="D13" s="36"/>
      <c r="E13" s="36"/>
      <c r="F13" s="36"/>
    </row>
    <row r="14" spans="1:6" x14ac:dyDescent="0.25">
      <c r="A14" s="36"/>
      <c r="B14" s="36"/>
      <c r="C14" s="36"/>
      <c r="D14" s="36"/>
      <c r="E14" s="36"/>
      <c r="F14" s="36"/>
    </row>
    <row r="15" spans="1:6" x14ac:dyDescent="0.25">
      <c r="A15" s="36"/>
      <c r="B15" s="36"/>
      <c r="C15" s="36"/>
      <c r="D15" s="36"/>
      <c r="E15" s="36"/>
      <c r="F15" s="36"/>
    </row>
    <row r="16" spans="1:6" x14ac:dyDescent="0.25">
      <c r="A16" s="36"/>
      <c r="B16" s="36"/>
      <c r="C16" s="36"/>
      <c r="D16" s="36"/>
      <c r="E16" s="36"/>
      <c r="F16" s="36"/>
    </row>
    <row r="17" spans="1:6" x14ac:dyDescent="0.25">
      <c r="A17" s="36"/>
      <c r="B17" s="36"/>
      <c r="C17" s="36"/>
      <c r="D17" s="36"/>
      <c r="E17" s="36"/>
      <c r="F17" s="36"/>
    </row>
    <row r="18" spans="1:6" x14ac:dyDescent="0.25">
      <c r="A18" s="36"/>
      <c r="B18" s="36"/>
      <c r="C18" s="36"/>
      <c r="D18" s="36"/>
      <c r="E18" s="36"/>
      <c r="F18" s="36"/>
    </row>
    <row r="19" spans="1:6" x14ac:dyDescent="0.25">
      <c r="A19" s="36"/>
      <c r="B19" s="36"/>
      <c r="C19" s="36"/>
      <c r="D19" s="36"/>
      <c r="E19" s="36"/>
      <c r="F19" s="36"/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workbookViewId="0">
      <selection activeCell="C19" sqref="A19:C19"/>
    </sheetView>
  </sheetViews>
  <sheetFormatPr defaultRowHeight="15.75" x14ac:dyDescent="0.25"/>
  <cols>
    <col min="1" max="1" width="13.7109375" style="130" customWidth="1"/>
    <col min="2" max="2" width="20.28515625" style="130" customWidth="1"/>
    <col min="3" max="3" width="8.7109375" style="130" customWidth="1"/>
    <col min="4" max="5" width="9.140625" style="130"/>
    <col min="6" max="6" width="11.42578125" style="130" customWidth="1"/>
    <col min="7" max="7" width="9.140625" style="130"/>
  </cols>
  <sheetData>
    <row r="2" spans="1:6" x14ac:dyDescent="0.25">
      <c r="A2" s="130" t="s">
        <v>203</v>
      </c>
    </row>
    <row r="4" spans="1:6" x14ac:dyDescent="0.25">
      <c r="A4" s="161" t="s">
        <v>2</v>
      </c>
      <c r="B4" s="161" t="s">
        <v>7</v>
      </c>
      <c r="C4" s="161" t="s">
        <v>4</v>
      </c>
      <c r="D4" s="161" t="s">
        <v>5</v>
      </c>
      <c r="E4" s="161" t="s">
        <v>6</v>
      </c>
      <c r="F4" s="161" t="s">
        <v>131</v>
      </c>
    </row>
    <row r="5" spans="1:6" hidden="1" x14ac:dyDescent="0.25">
      <c r="A5" s="161"/>
      <c r="B5" s="161" t="s">
        <v>167</v>
      </c>
      <c r="C5" s="161"/>
      <c r="D5" s="161"/>
      <c r="E5" s="161">
        <v>110</v>
      </c>
      <c r="F5" s="161"/>
    </row>
    <row r="6" spans="1:6" hidden="1" x14ac:dyDescent="0.25">
      <c r="A6" s="161" t="s">
        <v>204</v>
      </c>
      <c r="B6" s="161" t="s">
        <v>140</v>
      </c>
      <c r="C6" s="161">
        <v>2</v>
      </c>
      <c r="D6" s="161"/>
      <c r="E6" s="161">
        <v>112</v>
      </c>
      <c r="F6" s="161" t="s">
        <v>85</v>
      </c>
    </row>
    <row r="7" spans="1:6" hidden="1" x14ac:dyDescent="0.25">
      <c r="A7" s="161" t="s">
        <v>168</v>
      </c>
      <c r="B7" s="161" t="s">
        <v>169</v>
      </c>
      <c r="C7" s="161"/>
      <c r="D7" s="161">
        <v>10</v>
      </c>
      <c r="E7" s="161">
        <v>102</v>
      </c>
      <c r="F7" s="161" t="s">
        <v>170</v>
      </c>
    </row>
    <row r="8" spans="1:6" hidden="1" x14ac:dyDescent="0.25">
      <c r="A8" s="161" t="s">
        <v>171</v>
      </c>
      <c r="B8" s="161" t="s">
        <v>169</v>
      </c>
      <c r="C8" s="161"/>
      <c r="D8" s="161">
        <v>10</v>
      </c>
      <c r="E8" s="161">
        <v>92</v>
      </c>
      <c r="F8" s="161" t="s">
        <v>172</v>
      </c>
    </row>
    <row r="9" spans="1:6" hidden="1" x14ac:dyDescent="0.25">
      <c r="A9" s="161" t="s">
        <v>171</v>
      </c>
      <c r="B9" s="161" t="s">
        <v>169</v>
      </c>
      <c r="C9" s="161"/>
      <c r="D9" s="161">
        <v>14</v>
      </c>
      <c r="E9" s="161">
        <v>78</v>
      </c>
      <c r="F9" s="161" t="s">
        <v>205</v>
      </c>
    </row>
    <row r="10" spans="1:6" hidden="1" x14ac:dyDescent="0.25">
      <c r="A10" s="161" t="s">
        <v>206</v>
      </c>
      <c r="B10" s="161" t="s">
        <v>140</v>
      </c>
      <c r="C10" s="161">
        <v>10</v>
      </c>
      <c r="D10" s="161"/>
      <c r="E10" s="161">
        <v>88</v>
      </c>
      <c r="F10" s="161" t="s">
        <v>85</v>
      </c>
    </row>
    <row r="11" spans="1:6" hidden="1" x14ac:dyDescent="0.25">
      <c r="A11" s="161" t="s">
        <v>207</v>
      </c>
      <c r="B11" s="161" t="s">
        <v>208</v>
      </c>
      <c r="C11" s="161">
        <v>56</v>
      </c>
      <c r="D11" s="161"/>
      <c r="E11" s="161">
        <v>144</v>
      </c>
      <c r="F11" s="161" t="s">
        <v>85</v>
      </c>
    </row>
    <row r="12" spans="1:6" hidden="1" x14ac:dyDescent="0.25">
      <c r="A12" s="161"/>
      <c r="B12" s="161" t="s">
        <v>20</v>
      </c>
      <c r="C12" s="161"/>
      <c r="D12" s="161"/>
      <c r="E12" s="161">
        <v>144</v>
      </c>
      <c r="F12" s="161"/>
    </row>
    <row r="13" spans="1:6" hidden="1" x14ac:dyDescent="0.25">
      <c r="A13" s="242">
        <v>44450</v>
      </c>
      <c r="B13" s="161" t="s">
        <v>169</v>
      </c>
      <c r="C13" s="161">
        <v>13</v>
      </c>
      <c r="D13" s="161"/>
      <c r="E13" s="161">
        <f>E12+C13-D13</f>
        <v>157</v>
      </c>
      <c r="F13" s="161"/>
    </row>
    <row r="14" spans="1:6" hidden="1" x14ac:dyDescent="0.25">
      <c r="A14" s="152" t="s">
        <v>239</v>
      </c>
      <c r="B14" s="136" t="s">
        <v>76</v>
      </c>
      <c r="C14" s="136">
        <v>6</v>
      </c>
      <c r="D14" s="161"/>
      <c r="E14" s="161">
        <f>E13+C14-D14</f>
        <v>163</v>
      </c>
      <c r="F14" s="161"/>
    </row>
    <row r="15" spans="1:6" x14ac:dyDescent="0.25">
      <c r="A15" s="161"/>
      <c r="B15" s="161" t="s">
        <v>318</v>
      </c>
      <c r="C15" s="161"/>
      <c r="D15" s="161"/>
      <c r="E15" s="161"/>
      <c r="F15" s="161">
        <v>163</v>
      </c>
    </row>
    <row r="16" spans="1:6" x14ac:dyDescent="0.25">
      <c r="A16" s="243"/>
      <c r="B16" s="243"/>
      <c r="C16" s="243"/>
      <c r="D16" s="243"/>
      <c r="E16" s="243">
        <v>163</v>
      </c>
      <c r="F16" s="243"/>
    </row>
    <row r="17" spans="1:6" x14ac:dyDescent="0.25">
      <c r="A17" s="152" t="s">
        <v>343</v>
      </c>
      <c r="B17" s="136" t="s">
        <v>349</v>
      </c>
      <c r="C17" s="136">
        <v>6</v>
      </c>
      <c r="D17" s="161"/>
      <c r="E17" s="161">
        <f>E16+C17-D17</f>
        <v>169</v>
      </c>
      <c r="F17" s="161"/>
    </row>
    <row r="18" spans="1:6" x14ac:dyDescent="0.25">
      <c r="A18" s="246" t="s">
        <v>416</v>
      </c>
      <c r="B18" s="161" t="s">
        <v>422</v>
      </c>
      <c r="C18" s="161">
        <v>2</v>
      </c>
      <c r="D18" s="161"/>
      <c r="E18" s="161">
        <f>E17+C18-D18</f>
        <v>171</v>
      </c>
      <c r="F18" s="161"/>
    </row>
    <row r="19" spans="1:6" x14ac:dyDescent="0.25">
      <c r="A19" s="152" t="s">
        <v>496</v>
      </c>
      <c r="B19" s="1" t="s">
        <v>349</v>
      </c>
      <c r="C19" s="136">
        <v>2</v>
      </c>
      <c r="D19" s="161"/>
      <c r="E19" s="161"/>
      <c r="F19" s="161"/>
    </row>
    <row r="20" spans="1:6" x14ac:dyDescent="0.25">
      <c r="A20" s="161"/>
      <c r="B20" s="161"/>
      <c r="C20" s="161"/>
      <c r="D20" s="161"/>
      <c r="E20" s="161"/>
      <c r="F20" s="161"/>
    </row>
    <row r="21" spans="1:6" x14ac:dyDescent="0.25">
      <c r="A21" s="161"/>
      <c r="B21" s="161"/>
      <c r="C21" s="161"/>
      <c r="D21" s="161"/>
      <c r="E21" s="161"/>
      <c r="F21" s="161"/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A17" sqref="A17:B17"/>
    </sheetView>
  </sheetViews>
  <sheetFormatPr defaultRowHeight="15" x14ac:dyDescent="0.25"/>
  <cols>
    <col min="1" max="1" width="11" style="29" customWidth="1"/>
    <col min="2" max="2" width="28" style="29" customWidth="1"/>
    <col min="3" max="3" width="8.5703125" style="29" customWidth="1"/>
    <col min="4" max="4" width="10.140625" style="29" customWidth="1"/>
    <col min="5" max="5" width="9.140625" style="29"/>
  </cols>
  <sheetData>
    <row r="1" spans="1:6" x14ac:dyDescent="0.25">
      <c r="A1" s="43" t="s">
        <v>160</v>
      </c>
      <c r="B1" s="43"/>
      <c r="C1" s="43"/>
      <c r="D1" s="43"/>
      <c r="E1" s="43"/>
    </row>
    <row r="2" spans="1:6" x14ac:dyDescent="0.25">
      <c r="A2" s="43"/>
      <c r="B2" s="45"/>
      <c r="C2" s="43"/>
      <c r="D2" s="43"/>
      <c r="E2" s="43"/>
    </row>
    <row r="3" spans="1:6" x14ac:dyDescent="0.25">
      <c r="A3" s="53" t="s">
        <v>2</v>
      </c>
      <c r="B3" s="53" t="s">
        <v>7</v>
      </c>
      <c r="C3" s="53" t="s">
        <v>4</v>
      </c>
      <c r="D3" s="53" t="s">
        <v>5</v>
      </c>
      <c r="E3" s="34" t="s">
        <v>6</v>
      </c>
      <c r="F3" s="1"/>
    </row>
    <row r="4" spans="1:6" hidden="1" x14ac:dyDescent="0.25">
      <c r="A4" s="36"/>
      <c r="B4" s="36" t="s">
        <v>20</v>
      </c>
      <c r="C4" s="36"/>
      <c r="D4" s="36"/>
      <c r="E4" s="36">
        <v>105</v>
      </c>
      <c r="F4" s="1"/>
    </row>
    <row r="5" spans="1:6" hidden="1" x14ac:dyDescent="0.25">
      <c r="A5" s="36" t="s">
        <v>154</v>
      </c>
      <c r="B5" s="36" t="s">
        <v>79</v>
      </c>
      <c r="C5" s="36">
        <v>16</v>
      </c>
      <c r="D5" s="36"/>
      <c r="E5" s="36">
        <f>E4+C5-D5</f>
        <v>121</v>
      </c>
      <c r="F5" s="1"/>
    </row>
    <row r="6" spans="1:6" hidden="1" x14ac:dyDescent="0.25">
      <c r="A6" s="36" t="s">
        <v>154</v>
      </c>
      <c r="B6" s="36" t="s">
        <v>79</v>
      </c>
      <c r="C6" s="36">
        <v>80</v>
      </c>
      <c r="D6" s="36"/>
      <c r="E6" s="36">
        <f t="shared" ref="E6:E14" si="0">E5+C6-D6</f>
        <v>201</v>
      </c>
      <c r="F6" s="1"/>
    </row>
    <row r="7" spans="1:6" hidden="1" x14ac:dyDescent="0.25">
      <c r="A7" s="37">
        <v>44295</v>
      </c>
      <c r="B7" s="36" t="s">
        <v>79</v>
      </c>
      <c r="C7" s="36">
        <v>40</v>
      </c>
      <c r="D7" s="36"/>
      <c r="E7" s="36">
        <f t="shared" si="0"/>
        <v>241</v>
      </c>
      <c r="F7" s="1"/>
    </row>
    <row r="8" spans="1:6" hidden="1" x14ac:dyDescent="0.25">
      <c r="A8" s="37">
        <v>44356</v>
      </c>
      <c r="B8" s="36" t="s">
        <v>76</v>
      </c>
      <c r="C8" s="36">
        <v>40</v>
      </c>
      <c r="D8" s="36"/>
      <c r="E8" s="36">
        <f t="shared" si="0"/>
        <v>281</v>
      </c>
      <c r="F8" s="1"/>
    </row>
    <row r="9" spans="1:6" hidden="1" x14ac:dyDescent="0.25">
      <c r="A9" s="37">
        <v>44417</v>
      </c>
      <c r="B9" s="36" t="s">
        <v>76</v>
      </c>
      <c r="C9" s="36">
        <v>20</v>
      </c>
      <c r="D9" s="36"/>
      <c r="E9" s="36">
        <f t="shared" si="0"/>
        <v>301</v>
      </c>
      <c r="F9" s="1"/>
    </row>
    <row r="10" spans="1:6" hidden="1" x14ac:dyDescent="0.25">
      <c r="A10" s="37">
        <v>44468</v>
      </c>
      <c r="B10" s="36" t="s">
        <v>76</v>
      </c>
      <c r="C10" s="36">
        <v>63</v>
      </c>
      <c r="D10" s="36"/>
      <c r="E10" s="36">
        <f t="shared" si="0"/>
        <v>364</v>
      </c>
      <c r="F10" s="1"/>
    </row>
    <row r="11" spans="1:6" hidden="1" x14ac:dyDescent="0.25">
      <c r="A11" s="37">
        <v>44522</v>
      </c>
      <c r="B11" s="36" t="s">
        <v>76</v>
      </c>
      <c r="C11" s="36">
        <v>6</v>
      </c>
      <c r="D11" s="36"/>
      <c r="E11" s="36">
        <f t="shared" si="0"/>
        <v>370</v>
      </c>
      <c r="F11" s="1"/>
    </row>
    <row r="12" spans="1:6" hidden="1" x14ac:dyDescent="0.25">
      <c r="A12" s="36" t="s">
        <v>235</v>
      </c>
      <c r="B12" s="36" t="s">
        <v>202</v>
      </c>
      <c r="C12" s="36">
        <v>3</v>
      </c>
      <c r="D12" s="36"/>
      <c r="E12" s="36">
        <f t="shared" si="0"/>
        <v>373</v>
      </c>
      <c r="F12" s="1"/>
    </row>
    <row r="13" spans="1:6" hidden="1" x14ac:dyDescent="0.25">
      <c r="A13" s="122" t="s">
        <v>238</v>
      </c>
      <c r="B13" s="36" t="s">
        <v>202</v>
      </c>
      <c r="C13" s="36">
        <v>1</v>
      </c>
      <c r="D13" s="36"/>
      <c r="E13" s="36">
        <f t="shared" si="0"/>
        <v>374</v>
      </c>
      <c r="F13" s="1"/>
    </row>
    <row r="14" spans="1:6" hidden="1" x14ac:dyDescent="0.25">
      <c r="A14" s="117" t="s">
        <v>242</v>
      </c>
      <c r="B14" s="36" t="s">
        <v>76</v>
      </c>
      <c r="C14" s="36">
        <v>1</v>
      </c>
      <c r="D14" s="36"/>
      <c r="E14" s="36">
        <f t="shared" si="0"/>
        <v>375</v>
      </c>
      <c r="F14" s="1"/>
    </row>
    <row r="15" spans="1:6" x14ac:dyDescent="0.25">
      <c r="A15" s="36"/>
      <c r="B15" s="36" t="s">
        <v>340</v>
      </c>
      <c r="C15" s="36"/>
      <c r="D15" s="36"/>
      <c r="F15" s="36">
        <v>375</v>
      </c>
    </row>
    <row r="16" spans="1:6" x14ac:dyDescent="0.25">
      <c r="A16" s="164"/>
      <c r="B16" s="164"/>
      <c r="C16" s="164"/>
      <c r="D16" s="164"/>
      <c r="E16" s="164">
        <v>375</v>
      </c>
      <c r="F16" s="1"/>
    </row>
    <row r="17" spans="1:6" x14ac:dyDescent="0.25">
      <c r="A17" s="121" t="s">
        <v>573</v>
      </c>
      <c r="B17" s="36" t="s">
        <v>576</v>
      </c>
      <c r="C17" s="36">
        <v>1</v>
      </c>
      <c r="D17" s="36"/>
      <c r="E17" s="36"/>
      <c r="F17" s="1"/>
    </row>
    <row r="18" spans="1:6" x14ac:dyDescent="0.25">
      <c r="A18" s="36"/>
      <c r="B18" s="36"/>
      <c r="C18" s="36"/>
      <c r="D18" s="36"/>
      <c r="E18" s="36"/>
      <c r="F18" s="1"/>
    </row>
    <row r="19" spans="1:6" x14ac:dyDescent="0.25">
      <c r="A19" s="36"/>
      <c r="B19" s="36"/>
      <c r="C19" s="36"/>
      <c r="D19" s="36"/>
      <c r="E19" s="36"/>
      <c r="F19" s="1"/>
    </row>
    <row r="20" spans="1:6" x14ac:dyDescent="0.25">
      <c r="A20" s="36"/>
      <c r="B20" s="36"/>
      <c r="C20" s="36"/>
      <c r="D20" s="36"/>
      <c r="E20" s="36"/>
      <c r="F20" s="1"/>
    </row>
    <row r="21" spans="1:6" x14ac:dyDescent="0.25">
      <c r="A21" s="36"/>
      <c r="B21" s="36"/>
      <c r="C21" s="36"/>
      <c r="D21" s="36"/>
      <c r="E21" s="36"/>
      <c r="F21" s="1"/>
    </row>
    <row r="22" spans="1:6" x14ac:dyDescent="0.25">
      <c r="A22" s="36"/>
      <c r="B22" s="36"/>
      <c r="C22" s="36"/>
      <c r="D22" s="36"/>
      <c r="E22" s="36"/>
      <c r="F22" s="1"/>
    </row>
    <row r="23" spans="1:6" x14ac:dyDescent="0.25">
      <c r="A23" s="36"/>
      <c r="B23" s="36"/>
      <c r="C23" s="36"/>
      <c r="D23" s="36"/>
      <c r="E23" s="36"/>
      <c r="F23" s="1"/>
    </row>
  </sheetData>
  <pageMargins left="0.7" right="0.7" top="0.75" bottom="0.75" header="0.3" footer="0.3"/>
  <pageSetup paperSize="9" orientation="portrait" horizontalDpi="0" verticalDpi="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I17" sqref="I17"/>
    </sheetView>
  </sheetViews>
  <sheetFormatPr defaultRowHeight="15" x14ac:dyDescent="0.25"/>
  <cols>
    <col min="1" max="1" width="12.42578125" style="129" customWidth="1"/>
    <col min="2" max="2" width="23.42578125" style="129" customWidth="1"/>
    <col min="3" max="5" width="9.140625" style="129"/>
  </cols>
  <sheetData>
    <row r="2" spans="1:6" x14ac:dyDescent="0.25">
      <c r="A2" s="195" t="s">
        <v>209</v>
      </c>
      <c r="B2" s="195"/>
      <c r="C2" s="195"/>
      <c r="D2" s="195"/>
      <c r="E2" s="195"/>
    </row>
    <row r="3" spans="1:6" x14ac:dyDescent="0.25">
      <c r="A3" s="196"/>
      <c r="B3" s="196"/>
      <c r="C3" s="196"/>
      <c r="D3" s="196"/>
      <c r="E3" s="196"/>
    </row>
    <row r="4" spans="1:6" x14ac:dyDescent="0.25">
      <c r="A4" s="235" t="s">
        <v>2</v>
      </c>
      <c r="B4" s="235" t="s">
        <v>7</v>
      </c>
      <c r="C4" s="235" t="s">
        <v>4</v>
      </c>
      <c r="D4" s="235" t="s">
        <v>5</v>
      </c>
      <c r="E4" s="235" t="s">
        <v>6</v>
      </c>
    </row>
    <row r="5" spans="1:6" hidden="1" x14ac:dyDescent="0.25">
      <c r="A5" s="136"/>
      <c r="B5" s="136" t="s">
        <v>112</v>
      </c>
      <c r="C5" s="136"/>
      <c r="D5" s="136"/>
      <c r="E5" s="136">
        <v>0</v>
      </c>
    </row>
    <row r="6" spans="1:6" hidden="1" x14ac:dyDescent="0.25">
      <c r="A6" s="136" t="s">
        <v>210</v>
      </c>
      <c r="B6" s="136" t="s">
        <v>208</v>
      </c>
      <c r="C6" s="136">
        <v>19</v>
      </c>
      <c r="D6" s="136"/>
      <c r="E6" s="136">
        <v>19</v>
      </c>
      <c r="F6" t="s">
        <v>85</v>
      </c>
    </row>
    <row r="7" spans="1:6" ht="15.75" hidden="1" x14ac:dyDescent="0.25">
      <c r="A7" s="236"/>
      <c r="B7" s="236" t="s">
        <v>167</v>
      </c>
      <c r="C7" s="236"/>
      <c r="D7" s="236"/>
      <c r="E7" s="236">
        <v>23</v>
      </c>
    </row>
    <row r="8" spans="1:6" hidden="1" x14ac:dyDescent="0.25">
      <c r="A8" s="136" t="s">
        <v>211</v>
      </c>
      <c r="B8" s="136" t="s">
        <v>169</v>
      </c>
      <c r="C8" s="136"/>
      <c r="D8" s="136">
        <v>4</v>
      </c>
      <c r="E8" s="136">
        <f>E7+C8-D8</f>
        <v>19</v>
      </c>
      <c r="F8" t="s">
        <v>212</v>
      </c>
    </row>
    <row r="9" spans="1:6" hidden="1" x14ac:dyDescent="0.25">
      <c r="A9" s="167">
        <v>44450</v>
      </c>
      <c r="B9" s="136" t="s">
        <v>20</v>
      </c>
      <c r="C9" s="136"/>
      <c r="D9" s="136"/>
      <c r="E9" s="136">
        <v>19</v>
      </c>
    </row>
    <row r="10" spans="1:6" hidden="1" x14ac:dyDescent="0.25">
      <c r="A10" s="167">
        <v>44450</v>
      </c>
      <c r="B10" s="136" t="s">
        <v>169</v>
      </c>
      <c r="C10" s="136">
        <v>4</v>
      </c>
      <c r="D10" s="136"/>
      <c r="E10" s="136">
        <f>E9+C10-D10</f>
        <v>23</v>
      </c>
    </row>
    <row r="11" spans="1:6" x14ac:dyDescent="0.25">
      <c r="A11" s="172"/>
      <c r="B11" s="172" t="s">
        <v>318</v>
      </c>
      <c r="C11" s="172"/>
      <c r="D11" s="172"/>
      <c r="E11" s="172">
        <v>23</v>
      </c>
    </row>
    <row r="12" spans="1:6" x14ac:dyDescent="0.25">
      <c r="A12" s="136"/>
      <c r="B12" s="136"/>
      <c r="C12" s="136"/>
      <c r="D12" s="136"/>
      <c r="E12" s="136"/>
    </row>
    <row r="13" spans="1:6" x14ac:dyDescent="0.25">
      <c r="A13" s="136"/>
      <c r="B13" s="136"/>
      <c r="C13" s="136"/>
      <c r="D13" s="136"/>
      <c r="E13" s="136"/>
    </row>
    <row r="14" spans="1:6" x14ac:dyDescent="0.25">
      <c r="A14" s="136"/>
      <c r="B14" s="136"/>
      <c r="C14" s="136"/>
      <c r="D14" s="136"/>
      <c r="E14" s="136"/>
    </row>
    <row r="15" spans="1:6" x14ac:dyDescent="0.25">
      <c r="A15" s="136"/>
      <c r="B15" s="136"/>
      <c r="C15" s="136"/>
      <c r="D15" s="136"/>
      <c r="E15" s="136"/>
    </row>
    <row r="16" spans="1:6" x14ac:dyDescent="0.25">
      <c r="A16" s="136"/>
      <c r="B16" s="136"/>
      <c r="C16" s="136"/>
      <c r="D16" s="136"/>
      <c r="E16" s="136"/>
    </row>
    <row r="17" spans="1:5" x14ac:dyDescent="0.25">
      <c r="A17" s="136"/>
      <c r="B17" s="136"/>
      <c r="C17" s="136"/>
      <c r="D17" s="136"/>
      <c r="E17" s="136"/>
    </row>
    <row r="18" spans="1:5" x14ac:dyDescent="0.25">
      <c r="A18" s="136"/>
      <c r="B18" s="136"/>
      <c r="C18" s="136"/>
      <c r="D18" s="136"/>
      <c r="E18" s="136"/>
    </row>
    <row r="19" spans="1:5" x14ac:dyDescent="0.25">
      <c r="A19" s="136"/>
      <c r="B19" s="136"/>
      <c r="C19" s="136"/>
      <c r="D19" s="136"/>
      <c r="E19" s="136"/>
    </row>
    <row r="20" spans="1:5" x14ac:dyDescent="0.25">
      <c r="A20" s="136"/>
      <c r="B20" s="136"/>
      <c r="C20" s="136"/>
      <c r="D20" s="136"/>
      <c r="E20" s="136"/>
    </row>
    <row r="21" spans="1:5" x14ac:dyDescent="0.25">
      <c r="A21" s="136"/>
      <c r="B21" s="136"/>
      <c r="C21" s="136"/>
      <c r="D21" s="136"/>
      <c r="E21" s="136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workbookViewId="0">
      <selection activeCell="E14" sqref="E14"/>
    </sheetView>
  </sheetViews>
  <sheetFormatPr defaultRowHeight="15" x14ac:dyDescent="0.25"/>
  <cols>
    <col min="1" max="1" width="11.42578125" style="129" customWidth="1"/>
    <col min="2" max="2" width="20.42578125" style="129" customWidth="1"/>
    <col min="3" max="3" width="9.85546875" style="129" customWidth="1"/>
    <col min="4" max="4" width="10.5703125" style="129" customWidth="1"/>
    <col min="5" max="5" width="10.28515625" style="129" customWidth="1"/>
  </cols>
  <sheetData>
    <row r="2" spans="1:6" x14ac:dyDescent="0.25">
      <c r="A2" s="200" t="s">
        <v>213</v>
      </c>
      <c r="B2" s="200"/>
      <c r="C2" s="200"/>
      <c r="D2" s="200"/>
      <c r="E2" s="200"/>
    </row>
    <row r="3" spans="1:6" x14ac:dyDescent="0.25">
      <c r="A3" s="201"/>
      <c r="B3" s="201"/>
      <c r="C3" s="201"/>
      <c r="D3" s="201"/>
      <c r="E3" s="201"/>
    </row>
    <row r="4" spans="1:6" x14ac:dyDescent="0.25">
      <c r="A4" s="234" t="s">
        <v>2</v>
      </c>
      <c r="B4" s="234" t="s">
        <v>7</v>
      </c>
      <c r="C4" s="234" t="s">
        <v>4</v>
      </c>
      <c r="D4" s="234" t="s">
        <v>5</v>
      </c>
      <c r="E4" s="234" t="s">
        <v>6</v>
      </c>
    </row>
    <row r="5" spans="1:6" ht="15.75" hidden="1" x14ac:dyDescent="0.25">
      <c r="A5" s="163"/>
      <c r="B5" s="163" t="s">
        <v>167</v>
      </c>
      <c r="C5" s="163"/>
      <c r="D5" s="163"/>
      <c r="E5" s="163">
        <v>35</v>
      </c>
      <c r="F5" s="109"/>
    </row>
    <row r="6" spans="1:6" hidden="1" x14ac:dyDescent="0.25">
      <c r="A6" s="136" t="s">
        <v>211</v>
      </c>
      <c r="B6" s="136" t="s">
        <v>169</v>
      </c>
      <c r="C6" s="136"/>
      <c r="D6" s="136">
        <v>4</v>
      </c>
      <c r="E6" s="136">
        <f>E5+C6-D6</f>
        <v>31</v>
      </c>
      <c r="F6" t="s">
        <v>214</v>
      </c>
    </row>
    <row r="7" spans="1:6" hidden="1" x14ac:dyDescent="0.25">
      <c r="A7" s="136" t="s">
        <v>168</v>
      </c>
      <c r="B7" s="136" t="s">
        <v>169</v>
      </c>
      <c r="C7" s="136"/>
      <c r="D7" s="136">
        <v>4</v>
      </c>
      <c r="E7" s="136">
        <f>E6+C7-D7</f>
        <v>27</v>
      </c>
      <c r="F7" t="s">
        <v>215</v>
      </c>
    </row>
    <row r="8" spans="1:6" hidden="1" x14ac:dyDescent="0.25">
      <c r="A8" s="167">
        <v>44450</v>
      </c>
      <c r="B8" s="136" t="s">
        <v>216</v>
      </c>
      <c r="C8" s="136"/>
      <c r="D8" s="136"/>
      <c r="E8" s="136">
        <v>27</v>
      </c>
    </row>
    <row r="9" spans="1:6" hidden="1" x14ac:dyDescent="0.25">
      <c r="A9" s="167">
        <v>44450</v>
      </c>
      <c r="B9" s="136" t="s">
        <v>169</v>
      </c>
      <c r="C9" s="136">
        <v>8</v>
      </c>
      <c r="D9" s="136"/>
      <c r="E9" s="136">
        <f>E8+C9-D9</f>
        <v>35</v>
      </c>
    </row>
    <row r="10" spans="1:6" x14ac:dyDescent="0.25">
      <c r="A10" s="172"/>
      <c r="B10" s="172" t="s">
        <v>318</v>
      </c>
      <c r="C10" s="172"/>
      <c r="D10" s="172"/>
      <c r="E10" s="172">
        <v>35</v>
      </c>
    </row>
    <row r="11" spans="1:6" x14ac:dyDescent="0.25">
      <c r="A11" s="136"/>
      <c r="B11" s="136"/>
      <c r="C11" s="136"/>
      <c r="D11" s="136"/>
      <c r="E11" s="136"/>
    </row>
    <row r="12" spans="1:6" x14ac:dyDescent="0.25">
      <c r="A12" s="136"/>
      <c r="B12" s="136"/>
      <c r="C12" s="136"/>
      <c r="D12" s="136"/>
      <c r="E12" s="136"/>
    </row>
    <row r="13" spans="1:6" x14ac:dyDescent="0.25">
      <c r="A13" s="136"/>
      <c r="B13" s="136"/>
      <c r="C13" s="136"/>
      <c r="D13" s="136"/>
      <c r="E13" s="136"/>
    </row>
    <row r="14" spans="1:6" x14ac:dyDescent="0.25">
      <c r="A14" s="136"/>
      <c r="B14" s="136"/>
      <c r="C14" s="136"/>
      <c r="D14" s="136"/>
      <c r="E14" s="136"/>
    </row>
    <row r="15" spans="1:6" x14ac:dyDescent="0.25">
      <c r="A15" s="136"/>
      <c r="B15" s="136"/>
      <c r="C15" s="136"/>
      <c r="D15" s="136"/>
      <c r="E15" s="136"/>
    </row>
    <row r="16" spans="1:6" x14ac:dyDescent="0.25">
      <c r="A16" s="136"/>
      <c r="B16" s="136"/>
      <c r="C16" s="136"/>
      <c r="D16" s="136"/>
      <c r="E16" s="136"/>
    </row>
    <row r="17" spans="1:5" x14ac:dyDescent="0.25">
      <c r="A17" s="136"/>
      <c r="B17" s="136"/>
      <c r="C17" s="136"/>
      <c r="D17" s="136"/>
      <c r="E17" s="136"/>
    </row>
    <row r="18" spans="1:5" x14ac:dyDescent="0.25">
      <c r="A18" s="136"/>
      <c r="B18" s="136"/>
      <c r="C18" s="136"/>
      <c r="D18" s="136"/>
      <c r="E18" s="136"/>
    </row>
    <row r="19" spans="1:5" x14ac:dyDescent="0.25">
      <c r="A19" s="136"/>
      <c r="B19" s="136"/>
      <c r="C19" s="136"/>
      <c r="D19" s="136"/>
      <c r="E19" s="136"/>
    </row>
    <row r="20" spans="1:5" x14ac:dyDescent="0.25">
      <c r="A20" s="136"/>
      <c r="B20" s="136"/>
      <c r="C20" s="136"/>
      <c r="D20" s="136"/>
      <c r="E20" s="136"/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workbookViewId="0">
      <selection activeCell="H19" sqref="H19"/>
    </sheetView>
  </sheetViews>
  <sheetFormatPr defaultRowHeight="15" x14ac:dyDescent="0.25"/>
  <cols>
    <col min="1" max="1" width="11.85546875" style="129" customWidth="1"/>
    <col min="2" max="2" width="24.28515625" style="129" customWidth="1"/>
    <col min="3" max="5" width="9.140625" style="129"/>
  </cols>
  <sheetData>
    <row r="2" spans="1:5" x14ac:dyDescent="0.25">
      <c r="A2" s="195" t="s">
        <v>217</v>
      </c>
      <c r="B2" s="195"/>
      <c r="C2" s="195"/>
      <c r="D2" s="195"/>
      <c r="E2" s="195"/>
    </row>
    <row r="3" spans="1:5" x14ac:dyDescent="0.25">
      <c r="A3" s="196"/>
      <c r="B3" s="196"/>
      <c r="C3" s="196"/>
      <c r="D3" s="196"/>
      <c r="E3" s="196"/>
    </row>
    <row r="4" spans="1:5" x14ac:dyDescent="0.25">
      <c r="A4" s="228" t="s">
        <v>2</v>
      </c>
      <c r="B4" s="228" t="s">
        <v>7</v>
      </c>
      <c r="C4" s="228" t="s">
        <v>4</v>
      </c>
      <c r="D4" s="228" t="s">
        <v>5</v>
      </c>
      <c r="E4" s="228" t="s">
        <v>6</v>
      </c>
    </row>
    <row r="5" spans="1:5" hidden="1" x14ac:dyDescent="0.25">
      <c r="A5" s="233">
        <v>44450</v>
      </c>
      <c r="B5" s="136" t="s">
        <v>157</v>
      </c>
      <c r="C5" s="136">
        <v>7</v>
      </c>
      <c r="D5" s="136"/>
      <c r="E5" s="136">
        <v>7</v>
      </c>
    </row>
    <row r="6" spans="1:5" x14ac:dyDescent="0.25">
      <c r="A6" s="172"/>
      <c r="B6" s="172" t="s">
        <v>318</v>
      </c>
      <c r="C6" s="172"/>
      <c r="D6" s="172"/>
      <c r="E6" s="172">
        <v>7</v>
      </c>
    </row>
    <row r="7" spans="1:5" x14ac:dyDescent="0.25">
      <c r="A7" s="136"/>
      <c r="B7" s="136"/>
      <c r="C7" s="136"/>
      <c r="D7" s="136"/>
      <c r="E7" s="136"/>
    </row>
    <row r="8" spans="1:5" x14ac:dyDescent="0.25">
      <c r="A8" s="136"/>
      <c r="B8" s="136"/>
      <c r="C8" s="136"/>
      <c r="D8" s="136"/>
      <c r="E8" s="136"/>
    </row>
    <row r="9" spans="1:5" x14ac:dyDescent="0.25">
      <c r="A9" s="136"/>
      <c r="B9" s="136"/>
      <c r="C9" s="136"/>
      <c r="D9" s="136"/>
      <c r="E9" s="136"/>
    </row>
    <row r="10" spans="1:5" x14ac:dyDescent="0.25">
      <c r="A10" s="136"/>
      <c r="B10" s="136"/>
      <c r="C10" s="136"/>
      <c r="D10" s="136"/>
      <c r="E10" s="136"/>
    </row>
    <row r="11" spans="1:5" x14ac:dyDescent="0.25">
      <c r="A11" s="136"/>
      <c r="B11" s="136"/>
      <c r="C11" s="136"/>
      <c r="D11" s="136"/>
      <c r="E11" s="136"/>
    </row>
    <row r="12" spans="1:5" x14ac:dyDescent="0.25">
      <c r="A12" s="136"/>
      <c r="B12" s="136"/>
      <c r="C12" s="136"/>
      <c r="D12" s="136"/>
      <c r="E12" s="136"/>
    </row>
    <row r="13" spans="1:5" x14ac:dyDescent="0.25">
      <c r="A13" s="136"/>
      <c r="B13" s="136"/>
      <c r="C13" s="136"/>
      <c r="D13" s="136"/>
      <c r="E13" s="136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Views>
    <sheetView workbookViewId="0">
      <selection activeCell="F14" sqref="F14"/>
    </sheetView>
  </sheetViews>
  <sheetFormatPr defaultRowHeight="15" x14ac:dyDescent="0.25"/>
  <cols>
    <col min="1" max="1" width="10.140625" customWidth="1"/>
    <col min="2" max="2" width="22.140625" customWidth="1"/>
    <col min="3" max="3" width="9" customWidth="1"/>
    <col min="4" max="4" width="10" customWidth="1"/>
    <col min="5" max="5" width="9.85546875" customWidth="1"/>
    <col min="6" max="6" width="16.7109375" customWidth="1"/>
  </cols>
  <sheetData>
    <row r="2" spans="1:5" s="191" customFormat="1" ht="14.25" x14ac:dyDescent="0.2">
      <c r="A2" s="193" t="s">
        <v>155</v>
      </c>
      <c r="B2" s="193"/>
      <c r="C2" s="193"/>
      <c r="D2" s="193"/>
      <c r="E2" s="193"/>
    </row>
    <row r="3" spans="1:5" s="191" customFormat="1" ht="14.25" x14ac:dyDescent="0.2">
      <c r="A3" s="194"/>
      <c r="B3" s="194"/>
      <c r="C3" s="194"/>
      <c r="D3" s="194"/>
      <c r="E3" s="194"/>
    </row>
    <row r="4" spans="1:5" s="191" customFormat="1" ht="14.25" x14ac:dyDescent="0.2">
      <c r="A4" s="227" t="s">
        <v>2</v>
      </c>
      <c r="B4" s="227" t="s">
        <v>7</v>
      </c>
      <c r="C4" s="227" t="s">
        <v>4</v>
      </c>
      <c r="D4" s="227" t="s">
        <v>5</v>
      </c>
      <c r="E4" s="227" t="s">
        <v>6</v>
      </c>
    </row>
    <row r="5" spans="1:5" s="191" customFormat="1" ht="14.25" hidden="1" x14ac:dyDescent="0.2">
      <c r="A5" s="189"/>
      <c r="B5" s="189" t="s">
        <v>25</v>
      </c>
      <c r="C5" s="189"/>
      <c r="D5" s="189"/>
      <c r="E5" s="189">
        <v>12</v>
      </c>
    </row>
    <row r="6" spans="1:5" s="191" customFormat="1" ht="14.25" hidden="1" x14ac:dyDescent="0.2">
      <c r="A6" s="189" t="s">
        <v>156</v>
      </c>
      <c r="B6" s="189" t="s">
        <v>157</v>
      </c>
      <c r="C6" s="189">
        <v>4</v>
      </c>
      <c r="D6" s="189"/>
      <c r="E6" s="189">
        <f>E5+C6-D6</f>
        <v>16</v>
      </c>
    </row>
    <row r="7" spans="1:5" s="191" customFormat="1" ht="14.25" x14ac:dyDescent="0.2">
      <c r="A7" s="219"/>
      <c r="B7" s="219" t="s">
        <v>318</v>
      </c>
      <c r="C7" s="219"/>
      <c r="D7" s="219"/>
      <c r="E7" s="219">
        <v>16</v>
      </c>
    </row>
    <row r="8" spans="1:5" s="191" customFormat="1" ht="14.25" x14ac:dyDescent="0.2">
      <c r="A8" s="189"/>
      <c r="B8" s="189"/>
      <c r="C8" s="189"/>
      <c r="D8" s="189"/>
      <c r="E8" s="189"/>
    </row>
    <row r="9" spans="1:5" s="191" customFormat="1" ht="14.25" x14ac:dyDescent="0.2">
      <c r="A9" s="189"/>
      <c r="B9" s="189"/>
      <c r="C9" s="189"/>
      <c r="D9" s="189"/>
      <c r="E9" s="189"/>
    </row>
    <row r="10" spans="1:5" s="191" customFormat="1" ht="14.25" x14ac:dyDescent="0.2">
      <c r="A10" s="189"/>
      <c r="B10" s="189"/>
      <c r="C10" s="189"/>
      <c r="D10" s="189"/>
      <c r="E10" s="189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G21" sqref="G21"/>
    </sheetView>
  </sheetViews>
  <sheetFormatPr defaultRowHeight="15" x14ac:dyDescent="0.25"/>
  <cols>
    <col min="1" max="1" width="11.28515625" style="50" customWidth="1"/>
    <col min="2" max="2" width="28" style="29" customWidth="1"/>
    <col min="3" max="3" width="9" style="29" customWidth="1"/>
    <col min="4" max="4" width="9.5703125" style="29" customWidth="1"/>
    <col min="5" max="5" width="8" style="29" customWidth="1"/>
  </cols>
  <sheetData>
    <row r="1" spans="1:5" x14ac:dyDescent="0.25">
      <c r="A1" s="65" t="s">
        <v>158</v>
      </c>
      <c r="B1" s="66"/>
      <c r="C1" s="66"/>
      <c r="D1" s="66"/>
      <c r="E1" s="66"/>
    </row>
    <row r="2" spans="1:5" x14ac:dyDescent="0.25">
      <c r="A2" s="67"/>
      <c r="B2" s="68"/>
      <c r="C2" s="68"/>
      <c r="D2" s="68"/>
      <c r="E2" s="68"/>
    </row>
    <row r="3" spans="1:5" x14ac:dyDescent="0.25">
      <c r="A3" s="101" t="s">
        <v>2</v>
      </c>
      <c r="B3" s="87" t="s">
        <v>7</v>
      </c>
      <c r="C3" s="87" t="s">
        <v>4</v>
      </c>
      <c r="D3" s="87" t="s">
        <v>5</v>
      </c>
      <c r="E3" s="87" t="s">
        <v>6</v>
      </c>
    </row>
    <row r="4" spans="1:5" hidden="1" x14ac:dyDescent="0.25">
      <c r="A4" s="39"/>
      <c r="B4" s="36" t="s">
        <v>25</v>
      </c>
      <c r="C4" s="36"/>
      <c r="D4" s="36"/>
      <c r="E4" s="36">
        <v>8</v>
      </c>
    </row>
    <row r="5" spans="1:5" hidden="1" x14ac:dyDescent="0.25">
      <c r="A5" s="39" t="s">
        <v>154</v>
      </c>
      <c r="B5" s="36" t="s">
        <v>157</v>
      </c>
      <c r="C5" s="36">
        <v>3</v>
      </c>
      <c r="D5" s="36"/>
      <c r="E5" s="36">
        <f>E4+C5-D5</f>
        <v>11</v>
      </c>
    </row>
    <row r="6" spans="1:5" hidden="1" x14ac:dyDescent="0.25">
      <c r="A6" s="41">
        <v>44233</v>
      </c>
      <c r="B6" s="36" t="s">
        <v>157</v>
      </c>
      <c r="C6" s="36">
        <v>5</v>
      </c>
      <c r="D6" s="36"/>
      <c r="E6" s="36">
        <f>E5+C6-D6</f>
        <v>16</v>
      </c>
    </row>
    <row r="7" spans="1:5" hidden="1" x14ac:dyDescent="0.25">
      <c r="A7" s="41">
        <v>44383</v>
      </c>
      <c r="B7" s="36" t="s">
        <v>157</v>
      </c>
      <c r="C7" s="36">
        <v>8</v>
      </c>
      <c r="D7" s="36"/>
      <c r="E7" s="36">
        <f t="shared" ref="E7:E8" si="0">E6+C7-D7</f>
        <v>24</v>
      </c>
    </row>
    <row r="8" spans="1:5" ht="15.75" hidden="1" x14ac:dyDescent="0.25">
      <c r="A8" s="116">
        <v>44450</v>
      </c>
      <c r="B8" s="98" t="s">
        <v>169</v>
      </c>
      <c r="C8" s="98">
        <v>4</v>
      </c>
      <c r="D8" s="36"/>
      <c r="E8" s="36">
        <f t="shared" si="0"/>
        <v>28</v>
      </c>
    </row>
    <row r="9" spans="1:5" x14ac:dyDescent="0.25">
      <c r="A9" s="173"/>
      <c r="B9" s="164" t="s">
        <v>334</v>
      </c>
      <c r="C9" s="164"/>
      <c r="D9" s="164"/>
      <c r="E9" s="164">
        <v>28</v>
      </c>
    </row>
    <row r="10" spans="1:5" x14ac:dyDescent="0.25">
      <c r="A10" s="39"/>
      <c r="B10" s="36"/>
      <c r="C10" s="36"/>
      <c r="D10" s="36"/>
      <c r="E10" s="36"/>
    </row>
    <row r="11" spans="1:5" x14ac:dyDescent="0.25">
      <c r="A11" s="39"/>
      <c r="B11" s="36"/>
      <c r="C11" s="36"/>
      <c r="D11" s="36"/>
      <c r="E11" s="36"/>
    </row>
    <row r="12" spans="1:5" x14ac:dyDescent="0.25">
      <c r="A12" s="39"/>
      <c r="B12" s="36"/>
      <c r="C12" s="36"/>
      <c r="D12" s="36"/>
      <c r="E12" s="36"/>
    </row>
    <row r="13" spans="1:5" x14ac:dyDescent="0.25">
      <c r="A13" s="39"/>
      <c r="B13" s="36"/>
      <c r="C13" s="36"/>
      <c r="D13" s="36"/>
      <c r="E13" s="36"/>
    </row>
    <row r="14" spans="1:5" x14ac:dyDescent="0.25">
      <c r="A14" s="39"/>
      <c r="B14" s="36"/>
      <c r="C14" s="36"/>
      <c r="D14" s="36"/>
      <c r="E14" s="36"/>
    </row>
    <row r="15" spans="1:5" x14ac:dyDescent="0.25">
      <c r="A15" s="39"/>
      <c r="B15" s="36"/>
      <c r="C15" s="36"/>
      <c r="D15" s="36"/>
      <c r="E15" s="36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H19" sqref="H19"/>
    </sheetView>
  </sheetViews>
  <sheetFormatPr defaultRowHeight="15" x14ac:dyDescent="0.25"/>
  <cols>
    <col min="1" max="1" width="10.85546875" style="129" customWidth="1"/>
    <col min="2" max="2" width="26" style="129" customWidth="1"/>
    <col min="3" max="5" width="9.140625" style="129"/>
  </cols>
  <sheetData>
    <row r="2" spans="1:5" x14ac:dyDescent="0.25">
      <c r="A2" s="229" t="s">
        <v>159</v>
      </c>
      <c r="B2" s="200"/>
      <c r="C2" s="200"/>
      <c r="D2" s="200"/>
      <c r="E2" s="200"/>
    </row>
    <row r="3" spans="1:5" x14ac:dyDescent="0.25">
      <c r="A3" s="230"/>
      <c r="B3" s="201"/>
      <c r="C3" s="201"/>
      <c r="D3" s="201"/>
      <c r="E3" s="201"/>
    </row>
    <row r="4" spans="1:5" x14ac:dyDescent="0.25">
      <c r="A4" s="231" t="s">
        <v>2</v>
      </c>
      <c r="B4" s="232" t="s">
        <v>7</v>
      </c>
      <c r="C4" s="232" t="s">
        <v>4</v>
      </c>
      <c r="D4" s="232" t="s">
        <v>5</v>
      </c>
      <c r="E4" s="232" t="s">
        <v>6</v>
      </c>
    </row>
    <row r="5" spans="1:5" hidden="1" x14ac:dyDescent="0.25">
      <c r="A5" s="136"/>
      <c r="B5" s="136" t="s">
        <v>25</v>
      </c>
      <c r="C5" s="136"/>
      <c r="D5" s="136"/>
      <c r="E5" s="136">
        <v>2</v>
      </c>
    </row>
    <row r="6" spans="1:5" hidden="1" x14ac:dyDescent="0.25">
      <c r="A6" s="136" t="s">
        <v>154</v>
      </c>
      <c r="B6" s="136" t="s">
        <v>157</v>
      </c>
      <c r="C6" s="136">
        <v>3</v>
      </c>
      <c r="D6" s="136"/>
      <c r="E6" s="136">
        <f>E5+C6-D6</f>
        <v>5</v>
      </c>
    </row>
    <row r="7" spans="1:5" hidden="1" x14ac:dyDescent="0.25">
      <c r="A7" s="167">
        <v>44233</v>
      </c>
      <c r="B7" s="136" t="s">
        <v>157</v>
      </c>
      <c r="C7" s="136">
        <v>1</v>
      </c>
      <c r="D7" s="136"/>
      <c r="E7" s="136">
        <f>E6+C7-D7</f>
        <v>6</v>
      </c>
    </row>
    <row r="8" spans="1:5" hidden="1" x14ac:dyDescent="0.25">
      <c r="A8" s="167">
        <v>44450</v>
      </c>
      <c r="B8" s="136" t="s">
        <v>169</v>
      </c>
      <c r="C8" s="136">
        <v>9</v>
      </c>
      <c r="D8" s="136"/>
      <c r="E8" s="136">
        <f t="shared" ref="E8:E10" si="0">E7+C8-D8</f>
        <v>15</v>
      </c>
    </row>
    <row r="9" spans="1:5" hidden="1" x14ac:dyDescent="0.25">
      <c r="A9" s="167">
        <v>44468</v>
      </c>
      <c r="B9" s="136" t="s">
        <v>76</v>
      </c>
      <c r="C9" s="136">
        <v>10</v>
      </c>
      <c r="D9" s="136"/>
      <c r="E9" s="136">
        <f t="shared" si="0"/>
        <v>25</v>
      </c>
    </row>
    <row r="10" spans="1:5" hidden="1" x14ac:dyDescent="0.25">
      <c r="A10" s="138" t="s">
        <v>238</v>
      </c>
      <c r="B10" s="136" t="s">
        <v>202</v>
      </c>
      <c r="C10" s="136">
        <v>1</v>
      </c>
      <c r="D10" s="136"/>
      <c r="E10" s="136">
        <f t="shared" si="0"/>
        <v>26</v>
      </c>
    </row>
    <row r="11" spans="1:5" x14ac:dyDescent="0.25">
      <c r="A11" s="172"/>
      <c r="B11" s="172" t="s">
        <v>318</v>
      </c>
      <c r="C11" s="172"/>
      <c r="D11" s="172"/>
      <c r="E11" s="172">
        <v>26</v>
      </c>
    </row>
    <row r="12" spans="1:5" x14ac:dyDescent="0.25">
      <c r="A12" s="136"/>
      <c r="B12" s="136"/>
      <c r="C12" s="136"/>
      <c r="D12" s="136"/>
      <c r="E12" s="136"/>
    </row>
    <row r="13" spans="1:5" x14ac:dyDescent="0.25">
      <c r="A13" s="136"/>
      <c r="B13" s="136"/>
      <c r="C13" s="136"/>
      <c r="D13" s="136"/>
      <c r="E13" s="136"/>
    </row>
    <row r="14" spans="1:5" x14ac:dyDescent="0.25">
      <c r="A14" s="136"/>
      <c r="B14" s="136"/>
      <c r="C14" s="136"/>
      <c r="D14" s="136"/>
      <c r="E14" s="136"/>
    </row>
    <row r="15" spans="1:5" x14ac:dyDescent="0.25">
      <c r="A15" s="136"/>
      <c r="B15" s="136"/>
      <c r="C15" s="136"/>
      <c r="D15" s="136"/>
      <c r="E15" s="136"/>
    </row>
    <row r="16" spans="1:5" x14ac:dyDescent="0.25">
      <c r="A16" s="136"/>
      <c r="B16" s="136"/>
      <c r="C16" s="136"/>
      <c r="D16" s="136"/>
      <c r="E16" s="136"/>
    </row>
    <row r="17" spans="1:5" x14ac:dyDescent="0.25">
      <c r="A17" s="136"/>
      <c r="B17" s="136"/>
      <c r="C17" s="136"/>
      <c r="D17" s="136"/>
      <c r="E17" s="136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8"/>
  <sheetViews>
    <sheetView workbookViewId="0">
      <selection activeCell="F12" sqref="F12"/>
    </sheetView>
  </sheetViews>
  <sheetFormatPr defaultRowHeight="15" x14ac:dyDescent="0.25"/>
  <cols>
    <col min="1" max="1" width="11" customWidth="1"/>
    <col min="2" max="2" width="23.140625" customWidth="1"/>
    <col min="6" max="6" width="35.140625" customWidth="1"/>
    <col min="7" max="7" width="21.140625" customWidth="1"/>
  </cols>
  <sheetData>
    <row r="2" spans="1:7" ht="15.75" x14ac:dyDescent="0.25">
      <c r="A2" s="24" t="s">
        <v>123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 t="s">
        <v>121</v>
      </c>
      <c r="B6" s="1" t="s">
        <v>122</v>
      </c>
      <c r="C6" s="1"/>
      <c r="D6" s="1">
        <v>300</v>
      </c>
      <c r="E6" s="1"/>
      <c r="F6" s="1"/>
      <c r="G6" s="1"/>
    </row>
    <row r="7" spans="1:7" x14ac:dyDescent="0.25">
      <c r="A7" s="37">
        <v>44263</v>
      </c>
      <c r="B7" s="36" t="s">
        <v>187</v>
      </c>
      <c r="C7" s="36"/>
      <c r="D7" s="36">
        <v>70</v>
      </c>
      <c r="E7" s="36"/>
      <c r="F7" s="36" t="s">
        <v>17</v>
      </c>
    </row>
    <row r="8" spans="1:7" x14ac:dyDescent="0.25">
      <c r="A8" s="21">
        <v>44448</v>
      </c>
      <c r="B8" s="1" t="s">
        <v>200</v>
      </c>
      <c r="C8" s="1"/>
      <c r="D8" s="1">
        <v>200</v>
      </c>
      <c r="E8" s="1"/>
      <c r="F8" s="114" t="s">
        <v>201</v>
      </c>
      <c r="G8" s="1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A26" sqref="A26:C26"/>
    </sheetView>
  </sheetViews>
  <sheetFormatPr defaultRowHeight="15" x14ac:dyDescent="0.25"/>
  <cols>
    <col min="1" max="1" width="11.7109375" style="129" customWidth="1"/>
    <col min="2" max="2" width="24.5703125" style="129" customWidth="1"/>
    <col min="3" max="5" width="9.140625" style="129"/>
    <col min="6" max="6" width="16.140625" style="129" customWidth="1"/>
  </cols>
  <sheetData>
    <row r="2" spans="1:6" x14ac:dyDescent="0.25">
      <c r="A2" s="200" t="s">
        <v>227</v>
      </c>
      <c r="B2" s="200"/>
      <c r="C2" s="200"/>
      <c r="D2" s="200"/>
      <c r="E2" s="200"/>
    </row>
    <row r="3" spans="1:6" x14ac:dyDescent="0.25">
      <c r="A3" s="201"/>
      <c r="B3" s="201"/>
      <c r="C3" s="201"/>
      <c r="D3" s="201"/>
      <c r="E3" s="201"/>
    </row>
    <row r="4" spans="1:6" x14ac:dyDescent="0.25">
      <c r="A4" s="215" t="s">
        <v>2</v>
      </c>
      <c r="B4" s="215" t="s">
        <v>7</v>
      </c>
      <c r="C4" s="215" t="s">
        <v>4</v>
      </c>
      <c r="D4" s="215" t="s">
        <v>5</v>
      </c>
      <c r="E4" s="215" t="s">
        <v>6</v>
      </c>
    </row>
    <row r="5" spans="1:6" hidden="1" x14ac:dyDescent="0.25">
      <c r="A5" s="136"/>
      <c r="B5" s="136" t="s">
        <v>184</v>
      </c>
      <c r="C5" s="136"/>
      <c r="D5" s="136"/>
      <c r="E5" s="136">
        <v>0</v>
      </c>
    </row>
    <row r="6" spans="1:6" hidden="1" x14ac:dyDescent="0.25">
      <c r="A6" s="163" t="s">
        <v>228</v>
      </c>
      <c r="B6" s="163" t="s">
        <v>185</v>
      </c>
      <c r="C6" s="163">
        <v>1100</v>
      </c>
      <c r="D6" s="136"/>
      <c r="E6" s="244">
        <v>1100</v>
      </c>
    </row>
    <row r="7" spans="1:6" hidden="1" x14ac:dyDescent="0.25">
      <c r="A7" s="152" t="s">
        <v>168</v>
      </c>
      <c r="B7" s="136" t="s">
        <v>169</v>
      </c>
      <c r="C7" s="136"/>
      <c r="D7" s="136">
        <v>400</v>
      </c>
      <c r="E7" s="136"/>
      <c r="F7" s="245"/>
    </row>
    <row r="8" spans="1:6" hidden="1" x14ac:dyDescent="0.25">
      <c r="A8" s="152" t="s">
        <v>168</v>
      </c>
      <c r="B8" s="136" t="s">
        <v>169</v>
      </c>
      <c r="C8" s="136"/>
      <c r="D8" s="136">
        <v>120</v>
      </c>
      <c r="E8" s="136"/>
    </row>
    <row r="9" spans="1:6" hidden="1" x14ac:dyDescent="0.25">
      <c r="A9" s="136" t="s">
        <v>229</v>
      </c>
      <c r="B9" s="136" t="s">
        <v>169</v>
      </c>
      <c r="C9" s="136"/>
      <c r="D9" s="136">
        <v>150</v>
      </c>
      <c r="E9" s="136"/>
    </row>
    <row r="10" spans="1:6" hidden="1" x14ac:dyDescent="0.25">
      <c r="A10" s="136" t="s">
        <v>171</v>
      </c>
      <c r="B10" s="136" t="s">
        <v>169</v>
      </c>
      <c r="C10" s="136"/>
      <c r="D10" s="136">
        <v>150</v>
      </c>
      <c r="E10" s="136"/>
    </row>
    <row r="11" spans="1:6" hidden="1" x14ac:dyDescent="0.25">
      <c r="A11" s="136" t="s">
        <v>171</v>
      </c>
      <c r="B11" s="136" t="s">
        <v>169</v>
      </c>
      <c r="C11" s="136"/>
      <c r="D11" s="136">
        <v>400</v>
      </c>
      <c r="E11" s="136"/>
    </row>
    <row r="12" spans="1:6" hidden="1" x14ac:dyDescent="0.25">
      <c r="A12" s="136" t="s">
        <v>174</v>
      </c>
      <c r="B12" s="136" t="s">
        <v>169</v>
      </c>
      <c r="C12" s="136"/>
      <c r="D12" s="136">
        <v>250</v>
      </c>
      <c r="E12" s="136"/>
    </row>
    <row r="13" spans="1:6" hidden="1" x14ac:dyDescent="0.25">
      <c r="A13" s="136" t="s">
        <v>174</v>
      </c>
      <c r="B13" s="136" t="s">
        <v>169</v>
      </c>
      <c r="C13" s="136"/>
      <c r="D13" s="136">
        <v>200</v>
      </c>
      <c r="E13" s="136"/>
    </row>
    <row r="14" spans="1:6" hidden="1" x14ac:dyDescent="0.25">
      <c r="A14" s="136" t="s">
        <v>230</v>
      </c>
      <c r="B14" s="136" t="s">
        <v>169</v>
      </c>
      <c r="C14" s="136"/>
      <c r="D14" s="136">
        <v>300</v>
      </c>
      <c r="E14" s="136"/>
    </row>
    <row r="15" spans="1:6" hidden="1" x14ac:dyDescent="0.25">
      <c r="A15" s="136" t="s">
        <v>231</v>
      </c>
      <c r="B15" s="136" t="s">
        <v>169</v>
      </c>
      <c r="C15" s="136"/>
      <c r="D15" s="136">
        <v>113</v>
      </c>
      <c r="E15" s="136"/>
    </row>
    <row r="16" spans="1:6" hidden="1" x14ac:dyDescent="0.25">
      <c r="A16" s="136" t="s">
        <v>232</v>
      </c>
      <c r="B16" s="136" t="s">
        <v>105</v>
      </c>
      <c r="C16" s="136">
        <v>900</v>
      </c>
      <c r="D16" s="136"/>
      <c r="E16" s="136">
        <v>900</v>
      </c>
    </row>
    <row r="17" spans="1:6" hidden="1" x14ac:dyDescent="0.25">
      <c r="A17" s="136" t="s">
        <v>232</v>
      </c>
      <c r="B17" s="136" t="s">
        <v>233</v>
      </c>
      <c r="C17" s="136"/>
      <c r="D17" s="136">
        <v>450</v>
      </c>
      <c r="E17" s="136">
        <f>E16+C17-D17</f>
        <v>450</v>
      </c>
      <c r="F17" s="129" t="s">
        <v>234</v>
      </c>
    </row>
    <row r="18" spans="1:6" hidden="1" x14ac:dyDescent="0.25">
      <c r="A18" s="167">
        <v>44020</v>
      </c>
      <c r="B18" s="136" t="s">
        <v>105</v>
      </c>
      <c r="C18" s="136"/>
      <c r="D18" s="136">
        <v>450</v>
      </c>
      <c r="E18" s="136">
        <v>0</v>
      </c>
      <c r="F18" s="129" t="s">
        <v>144</v>
      </c>
    </row>
    <row r="19" spans="1:6" hidden="1" x14ac:dyDescent="0.25">
      <c r="A19" s="167">
        <v>44143</v>
      </c>
      <c r="B19" s="136" t="s">
        <v>233</v>
      </c>
      <c r="C19" s="136">
        <v>100</v>
      </c>
      <c r="D19" s="136"/>
      <c r="E19" s="136">
        <f>C19</f>
        <v>100</v>
      </c>
    </row>
    <row r="20" spans="1:6" hidden="1" x14ac:dyDescent="0.25">
      <c r="A20" s="167">
        <v>44143</v>
      </c>
      <c r="B20" s="136" t="s">
        <v>233</v>
      </c>
      <c r="C20" s="136">
        <v>350</v>
      </c>
      <c r="D20" s="136"/>
      <c r="E20" s="136">
        <f>E19+C20-D20</f>
        <v>450</v>
      </c>
    </row>
    <row r="21" spans="1:6" hidden="1" x14ac:dyDescent="0.25">
      <c r="A21" s="167">
        <v>44173</v>
      </c>
      <c r="B21" s="136" t="s">
        <v>105</v>
      </c>
      <c r="C21" s="136"/>
      <c r="D21" s="136">
        <v>350</v>
      </c>
      <c r="E21" s="136">
        <f t="shared" ref="E21:E22" si="0">E20+C21-D21</f>
        <v>100</v>
      </c>
    </row>
    <row r="22" spans="1:6" hidden="1" x14ac:dyDescent="0.25">
      <c r="A22" s="136" t="s">
        <v>226</v>
      </c>
      <c r="B22" s="136" t="s">
        <v>76</v>
      </c>
      <c r="C22" s="136">
        <v>434</v>
      </c>
      <c r="D22" s="136"/>
      <c r="E22" s="136">
        <f t="shared" si="0"/>
        <v>534</v>
      </c>
    </row>
    <row r="23" spans="1:6" x14ac:dyDescent="0.25">
      <c r="A23" s="136"/>
      <c r="B23" s="136" t="s">
        <v>245</v>
      </c>
      <c r="C23" s="136"/>
      <c r="D23" s="136"/>
      <c r="E23" s="136">
        <v>534</v>
      </c>
    </row>
    <row r="24" spans="1:6" x14ac:dyDescent="0.25">
      <c r="A24" s="152" t="s">
        <v>343</v>
      </c>
      <c r="B24" s="136" t="s">
        <v>76</v>
      </c>
      <c r="C24" s="136">
        <v>120</v>
      </c>
      <c r="D24" s="136"/>
      <c r="E24" s="136">
        <f>E23+C24-D24</f>
        <v>654</v>
      </c>
    </row>
    <row r="25" spans="1:6" x14ac:dyDescent="0.25">
      <c r="A25" s="152" t="s">
        <v>496</v>
      </c>
      <c r="B25" s="1" t="s">
        <v>349</v>
      </c>
      <c r="C25" s="136">
        <v>243</v>
      </c>
      <c r="D25" s="136"/>
      <c r="E25" s="136"/>
    </row>
    <row r="26" spans="1:6" x14ac:dyDescent="0.25">
      <c r="A26" s="152" t="s">
        <v>573</v>
      </c>
      <c r="B26" s="136" t="s">
        <v>575</v>
      </c>
      <c r="C26" s="136">
        <v>80</v>
      </c>
      <c r="D26" s="136"/>
      <c r="E26" s="136"/>
    </row>
    <row r="27" spans="1:6" x14ac:dyDescent="0.25">
      <c r="A27" s="136"/>
      <c r="B27" s="136"/>
      <c r="C27" s="136"/>
      <c r="D27" s="136"/>
      <c r="E27" s="136"/>
    </row>
    <row r="28" spans="1:6" x14ac:dyDescent="0.25">
      <c r="A28" s="136"/>
      <c r="B28" s="136"/>
      <c r="C28" s="136"/>
      <c r="D28" s="136"/>
      <c r="E28" s="136"/>
    </row>
    <row r="29" spans="1:6" x14ac:dyDescent="0.25">
      <c r="A29" s="136"/>
      <c r="B29" s="136"/>
      <c r="C29" s="136"/>
      <c r="D29" s="136"/>
      <c r="E29" s="136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3"/>
  <sheetViews>
    <sheetView workbookViewId="0">
      <selection activeCell="A2" sqref="A2:G4"/>
    </sheetView>
  </sheetViews>
  <sheetFormatPr defaultRowHeight="15" x14ac:dyDescent="0.25"/>
  <cols>
    <col min="2" max="2" width="30.140625" customWidth="1"/>
    <col min="6" max="6" width="13.5703125" customWidth="1"/>
    <col min="7" max="7" width="20.7109375" customWidth="1"/>
  </cols>
  <sheetData>
    <row r="2" spans="1:7" ht="15.75" x14ac:dyDescent="0.25">
      <c r="A2" s="24" t="s">
        <v>80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/>
      <c r="B5" s="1" t="s">
        <v>20</v>
      </c>
      <c r="C5" s="1"/>
      <c r="D5" s="1"/>
      <c r="E5" s="1"/>
      <c r="F5" s="1"/>
      <c r="G5" s="1"/>
    </row>
    <row r="6" spans="1:7" x14ac:dyDescent="0.25">
      <c r="A6" s="21">
        <v>44440</v>
      </c>
      <c r="B6" s="1" t="s">
        <v>77</v>
      </c>
      <c r="C6" s="1">
        <v>2</v>
      </c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>
      <selection activeCell="A2" sqref="A2:G10"/>
    </sheetView>
  </sheetViews>
  <sheetFormatPr defaultRowHeight="15" x14ac:dyDescent="0.25"/>
  <cols>
    <col min="1" max="1" width="13.140625" customWidth="1"/>
    <col min="2" max="2" width="19" customWidth="1"/>
    <col min="7" max="7" width="22.140625" customWidth="1"/>
  </cols>
  <sheetData>
    <row r="2" spans="1:7" ht="15.75" x14ac:dyDescent="0.25">
      <c r="A2" s="24" t="s">
        <v>142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" t="s">
        <v>137</v>
      </c>
      <c r="B5" s="1" t="s">
        <v>145</v>
      </c>
      <c r="C5" s="1">
        <v>200</v>
      </c>
      <c r="D5" s="1"/>
      <c r="E5" s="1"/>
      <c r="F5" s="1">
        <f>C5</f>
        <v>200</v>
      </c>
      <c r="G5" s="1"/>
    </row>
    <row r="6" spans="1:7" x14ac:dyDescent="0.25">
      <c r="A6" s="1" t="s">
        <v>138</v>
      </c>
      <c r="B6" s="1" t="s">
        <v>146</v>
      </c>
      <c r="C6" s="1"/>
      <c r="D6" s="1">
        <v>200</v>
      </c>
      <c r="E6" s="1"/>
      <c r="F6" s="1">
        <f>F5+C6-D6</f>
        <v>0</v>
      </c>
      <c r="G6" s="1"/>
    </row>
    <row r="7" spans="1:7" x14ac:dyDescent="0.25">
      <c r="A7" s="21" t="s">
        <v>139</v>
      </c>
      <c r="B7" s="1" t="s">
        <v>105</v>
      </c>
      <c r="C7" s="1">
        <v>421</v>
      </c>
      <c r="D7" s="1"/>
      <c r="E7" s="1">
        <v>421</v>
      </c>
      <c r="F7" s="1">
        <f t="shared" ref="F7:F10" si="0">F6+C7-D7</f>
        <v>421</v>
      </c>
      <c r="G7" s="1"/>
    </row>
    <row r="8" spans="1:7" x14ac:dyDescent="0.25">
      <c r="A8" s="21" t="s">
        <v>139</v>
      </c>
      <c r="B8" s="1" t="s">
        <v>146</v>
      </c>
      <c r="C8" s="1"/>
      <c r="D8" s="1">
        <v>421</v>
      </c>
      <c r="E8" s="1">
        <v>0</v>
      </c>
      <c r="F8" s="1">
        <f t="shared" si="0"/>
        <v>0</v>
      </c>
      <c r="G8" s="1"/>
    </row>
    <row r="9" spans="1:7" x14ac:dyDescent="0.25">
      <c r="A9" s="1" t="s">
        <v>141</v>
      </c>
      <c r="B9" s="1" t="s">
        <v>146</v>
      </c>
      <c r="C9" s="1">
        <v>421</v>
      </c>
      <c r="D9" s="1"/>
      <c r="E9" s="1">
        <v>421</v>
      </c>
      <c r="F9" s="1">
        <f t="shared" si="0"/>
        <v>421</v>
      </c>
      <c r="G9" s="1"/>
    </row>
    <row r="10" spans="1:7" x14ac:dyDescent="0.25">
      <c r="A10" s="1" t="s">
        <v>143</v>
      </c>
      <c r="B10" s="1" t="s">
        <v>105</v>
      </c>
      <c r="C10" s="1"/>
      <c r="D10" s="1">
        <v>421</v>
      </c>
      <c r="E10" s="1">
        <v>0</v>
      </c>
      <c r="F10" s="1">
        <f t="shared" si="0"/>
        <v>0</v>
      </c>
      <c r="G10" s="1" t="s">
        <v>144</v>
      </c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workbookViewId="0">
      <selection activeCell="A3" sqref="A3:G10"/>
    </sheetView>
  </sheetViews>
  <sheetFormatPr defaultRowHeight="15" x14ac:dyDescent="0.25"/>
  <cols>
    <col min="1" max="1" width="11.42578125" customWidth="1"/>
    <col min="2" max="2" width="27.85546875" customWidth="1"/>
    <col min="6" max="6" width="14.140625" customWidth="1"/>
    <col min="7" max="7" width="24.42578125" customWidth="1"/>
  </cols>
  <sheetData>
    <row r="3" spans="1:7" ht="15.75" x14ac:dyDescent="0.25">
      <c r="A3" s="24" t="s">
        <v>392</v>
      </c>
      <c r="B3" s="22"/>
      <c r="C3" s="22"/>
      <c r="D3" s="23"/>
      <c r="E3" s="23"/>
    </row>
    <row r="4" spans="1:7" ht="15.75" x14ac:dyDescent="0.25">
      <c r="A4" s="23"/>
      <c r="B4" s="23"/>
      <c r="C4" s="23"/>
      <c r="D4" s="23"/>
      <c r="E4" s="23"/>
    </row>
    <row r="5" spans="1:7" x14ac:dyDescent="0.25">
      <c r="A5" s="13" t="s">
        <v>2</v>
      </c>
      <c r="B5" s="13" t="s">
        <v>3</v>
      </c>
      <c r="C5" s="13" t="s">
        <v>4</v>
      </c>
      <c r="D5" s="13" t="s">
        <v>5</v>
      </c>
      <c r="E5" s="13" t="s">
        <v>6</v>
      </c>
      <c r="F5" s="14" t="s">
        <v>7</v>
      </c>
      <c r="G5" s="15" t="s">
        <v>8</v>
      </c>
    </row>
    <row r="6" spans="1:7" x14ac:dyDescent="0.25">
      <c r="A6" s="114" t="s">
        <v>384</v>
      </c>
      <c r="B6" s="1" t="s">
        <v>391</v>
      </c>
      <c r="C6" s="1"/>
      <c r="D6" s="1">
        <v>1</v>
      </c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"/>
  <sheetViews>
    <sheetView workbookViewId="0">
      <selection activeCell="L10" sqref="L10"/>
    </sheetView>
  </sheetViews>
  <sheetFormatPr defaultRowHeight="15" x14ac:dyDescent="0.25"/>
  <cols>
    <col min="1" max="1" width="11" customWidth="1"/>
    <col min="2" max="2" width="26.42578125" customWidth="1"/>
    <col min="6" max="6" width="16.7109375" customWidth="1"/>
    <col min="7" max="7" width="22.140625" customWidth="1"/>
  </cols>
  <sheetData>
    <row r="2" spans="1:7" ht="15.75" x14ac:dyDescent="0.25">
      <c r="A2" s="24" t="s">
        <v>393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114" t="s">
        <v>384</v>
      </c>
      <c r="B5" s="1" t="s">
        <v>391</v>
      </c>
      <c r="C5" s="1"/>
      <c r="D5" s="1">
        <v>1</v>
      </c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"/>
  <sheetViews>
    <sheetView workbookViewId="0">
      <selection activeCell="A2" sqref="A2:G4"/>
    </sheetView>
  </sheetViews>
  <sheetFormatPr defaultRowHeight="15" x14ac:dyDescent="0.25"/>
  <cols>
    <col min="1" max="1" width="13.28515625" customWidth="1"/>
    <col min="2" max="2" width="25.7109375" customWidth="1"/>
    <col min="6" max="6" width="12.7109375" customWidth="1"/>
    <col min="7" max="7" width="22.140625" customWidth="1"/>
  </cols>
  <sheetData>
    <row r="2" spans="1:7" ht="15.75" x14ac:dyDescent="0.25">
      <c r="A2" s="24" t="s">
        <v>643</v>
      </c>
      <c r="B2" s="22"/>
      <c r="C2" s="22"/>
      <c r="D2" s="23"/>
      <c r="E2" s="23"/>
    </row>
    <row r="3" spans="1:7" ht="15.75" x14ac:dyDescent="0.25">
      <c r="A3" s="23"/>
      <c r="B3" s="23"/>
      <c r="C3" s="23"/>
      <c r="D3" s="23"/>
      <c r="E3" s="23"/>
    </row>
    <row r="4" spans="1:7" x14ac:dyDescent="0.2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4" t="s">
        <v>7</v>
      </c>
      <c r="G4" s="15" t="s">
        <v>8</v>
      </c>
    </row>
    <row r="5" spans="1:7" x14ac:dyDescent="0.25">
      <c r="A5" s="252" t="s">
        <v>644</v>
      </c>
      <c r="B5" s="1" t="s">
        <v>606</v>
      </c>
      <c r="C5" s="1"/>
      <c r="D5" s="1">
        <v>250</v>
      </c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21"/>
      <c r="B7" s="1"/>
      <c r="C7" s="1"/>
      <c r="D7" s="1"/>
      <c r="E7" s="1"/>
      <c r="F7" s="1"/>
      <c r="G7" s="1"/>
    </row>
    <row r="8" spans="1:7" x14ac:dyDescent="0.25">
      <c r="A8" s="2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H15" sqref="H15"/>
    </sheetView>
  </sheetViews>
  <sheetFormatPr defaultRowHeight="15" x14ac:dyDescent="0.25"/>
  <cols>
    <col min="2" max="2" width="21.42578125" customWidth="1"/>
    <col min="6" max="6" width="15.28515625" customWidth="1"/>
    <col min="7" max="7" width="25.28515625" customWidth="1"/>
  </cols>
  <sheetData>
    <row r="1" spans="1:7" ht="15.75" x14ac:dyDescent="0.25">
      <c r="A1" s="24" t="s">
        <v>807</v>
      </c>
      <c r="B1" s="22"/>
      <c r="C1" s="22"/>
      <c r="D1" s="23"/>
      <c r="E1" s="23"/>
    </row>
    <row r="2" spans="1:7" ht="15.75" x14ac:dyDescent="0.25">
      <c r="A2" s="23"/>
      <c r="B2" s="23"/>
      <c r="C2" s="23"/>
      <c r="D2" s="23"/>
      <c r="E2" s="23"/>
    </row>
    <row r="3" spans="1:7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4" t="s">
        <v>7</v>
      </c>
      <c r="G3" s="15" t="s">
        <v>8</v>
      </c>
    </row>
    <row r="4" spans="1:7" x14ac:dyDescent="0.25">
      <c r="A4" s="114" t="s">
        <v>804</v>
      </c>
      <c r="B4" s="1" t="s">
        <v>808</v>
      </c>
      <c r="C4" s="1">
        <v>6</v>
      </c>
      <c r="D4" s="1"/>
      <c r="E4" s="1">
        <v>6</v>
      </c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E4" sqref="E4"/>
    </sheetView>
  </sheetViews>
  <sheetFormatPr defaultRowHeight="15" x14ac:dyDescent="0.25"/>
  <cols>
    <col min="2" max="2" width="18.28515625" customWidth="1"/>
    <col min="6" max="6" width="15.5703125" customWidth="1"/>
    <col min="7" max="7" width="23.85546875" customWidth="1"/>
  </cols>
  <sheetData>
    <row r="1" spans="1:7" ht="15.75" x14ac:dyDescent="0.25">
      <c r="A1" s="24" t="s">
        <v>807</v>
      </c>
      <c r="B1" s="22"/>
      <c r="C1" s="22"/>
      <c r="D1" s="23"/>
      <c r="E1" s="23"/>
    </row>
    <row r="2" spans="1:7" ht="15.75" x14ac:dyDescent="0.25">
      <c r="A2" s="23"/>
      <c r="B2" s="23"/>
      <c r="C2" s="23"/>
      <c r="D2" s="23"/>
      <c r="E2" s="23"/>
    </row>
    <row r="3" spans="1:7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4" t="s">
        <v>7</v>
      </c>
      <c r="G3" s="15" t="s">
        <v>8</v>
      </c>
    </row>
    <row r="4" spans="1:7" x14ac:dyDescent="0.25">
      <c r="A4" s="114" t="s">
        <v>811</v>
      </c>
      <c r="B4" s="1" t="s">
        <v>122</v>
      </c>
      <c r="C4" s="1"/>
      <c r="D4" s="1">
        <v>150</v>
      </c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133</vt:i4>
      </vt:variant>
      <vt:variant>
        <vt:lpstr>Named Ranges</vt:lpstr>
      </vt:variant>
      <vt:variant>
        <vt:i4>1</vt:i4>
      </vt:variant>
    </vt:vector>
  </HeadingPairs>
  <TitlesOfParts>
    <vt:vector size="134" baseType="lpstr">
      <vt:lpstr>MF 170 (DTF101)</vt:lpstr>
      <vt:lpstr>MF 190 (DTF101A)</vt:lpstr>
      <vt:lpstr>MF 150</vt:lpstr>
      <vt:lpstr>CB 220</vt:lpstr>
      <vt:lpstr>CB 193</vt:lpstr>
      <vt:lpstr>CB 205</vt:lpstr>
      <vt:lpstr>CB 136</vt:lpstr>
      <vt:lpstr>CB 185</vt:lpstr>
      <vt:lpstr>CB 172(173)</vt:lpstr>
      <vt:lpstr>LD.90</vt:lpstr>
      <vt:lpstr>LD 50</vt:lpstr>
      <vt:lpstr>LD 120</vt:lpstr>
      <vt:lpstr>JOIN PIN</vt:lpstr>
      <vt:lpstr>JB 60</vt:lpstr>
      <vt:lpstr>UH 60</vt:lpstr>
      <vt:lpstr>JB 40</vt:lpstr>
      <vt:lpstr>UH 40</vt:lpstr>
      <vt:lpstr>TANGGA 170</vt:lpstr>
      <vt:lpstr>TANGGA 190</vt:lpstr>
      <vt:lpstr>CATWALK</vt:lpstr>
      <vt:lpstr>CATWALK-PCH</vt:lpstr>
      <vt:lpstr>TANGGA-PCH</vt:lpstr>
      <vt:lpstr>CATWALK-CONEL</vt:lpstr>
      <vt:lpstr>PIPA SUPORT</vt:lpstr>
      <vt:lpstr>SWIVELCLAMP</vt:lpstr>
      <vt:lpstr>FIXED CLAMP</vt:lpstr>
      <vt:lpstr>BEAM CLAMP</vt:lpstr>
      <vt:lpstr>DOUBLE SWIVEL</vt:lpstr>
      <vt:lpstr>HB</vt:lpstr>
      <vt:lpstr>RODA</vt:lpstr>
      <vt:lpstr>PIPA 1M</vt:lpstr>
      <vt:lpstr>PIPA 1.5M</vt:lpstr>
      <vt:lpstr>PIPA 2M</vt:lpstr>
      <vt:lpstr>PIPA 2.5 M</vt:lpstr>
      <vt:lpstr>PIPA 3M</vt:lpstr>
      <vt:lpstr>PIPA 4M</vt:lpstr>
      <vt:lpstr>PIPA 5M</vt:lpstr>
      <vt:lpstr>PIPA 6 M</vt:lpstr>
      <vt:lpstr>UH 85</vt:lpstr>
      <vt:lpstr>JB 85</vt:lpstr>
      <vt:lpstr>UH 55</vt:lpstr>
      <vt:lpstr>JB 55</vt:lpstr>
      <vt:lpstr>JB 60 PCH</vt:lpstr>
      <vt:lpstr>UH 60 PCH</vt:lpstr>
      <vt:lpstr>TANGGA KOLOM</vt:lpstr>
      <vt:lpstr>HOLLOW.4X6X1</vt:lpstr>
      <vt:lpstr>HOLLOW.4X6X1.2</vt:lpstr>
      <vt:lpstr>HOLLOW.4X6X1.5</vt:lpstr>
      <vt:lpstr>HOLLOW.4X6X2</vt:lpstr>
      <vt:lpstr>HOLLOW.4X6X2.5</vt:lpstr>
      <vt:lpstr>HOLLOW.4X6X3</vt:lpstr>
      <vt:lpstr>HOLLOW.4X6X3.5</vt:lpstr>
      <vt:lpstr>HOLLOW.4X6X4</vt:lpstr>
      <vt:lpstr>HOLLOW.4X6X6</vt:lpstr>
      <vt:lpstr>HOLLOW.5X10X1,5</vt:lpstr>
      <vt:lpstr>HOLLOW.5X10X2</vt:lpstr>
      <vt:lpstr>HOLLOW.5X10X2.5</vt:lpstr>
      <vt:lpstr>HOLLOW.5X10X3</vt:lpstr>
      <vt:lpstr>HOLLOW.5X10X4</vt:lpstr>
      <vt:lpstr>HOLLOW.5X10X6</vt:lpstr>
      <vt:lpstr>HOLLOW 5X5X2</vt:lpstr>
      <vt:lpstr>HOLLOW. 5X5X2.5</vt:lpstr>
      <vt:lpstr>HOLLOW.5X5X3</vt:lpstr>
      <vt:lpstr>VERTICAL 0.5</vt:lpstr>
      <vt:lpstr>VERTICAL 1 M</vt:lpstr>
      <vt:lpstr>VERTICAL 1.5</vt:lpstr>
      <vt:lpstr>VERTICAL 2</vt:lpstr>
      <vt:lpstr>LEDGER 0.6</vt:lpstr>
      <vt:lpstr>LEDGER 0.9</vt:lpstr>
      <vt:lpstr>LEDGER 1.2</vt:lpstr>
      <vt:lpstr>LEDGER 1.5</vt:lpstr>
      <vt:lpstr>LEDGER 1,8PCH</vt:lpstr>
      <vt:lpstr>TRIGGER BRACE 2.75</vt:lpstr>
      <vt:lpstr>TIE ROD 50</vt:lpstr>
      <vt:lpstr>TIEROD 40</vt:lpstr>
      <vt:lpstr>TIEROD-16</vt:lpstr>
      <vt:lpstr>TIEROD 0.6 M</vt:lpstr>
      <vt:lpstr>TIEROD 0.7 M</vt:lpstr>
      <vt:lpstr>TIEROD 0.8 M</vt:lpstr>
      <vt:lpstr>TIEROD 1 M</vt:lpstr>
      <vt:lpstr>TIEROD 1.2 M </vt:lpstr>
      <vt:lpstr>TIEROD 1.5 M</vt:lpstr>
      <vt:lpstr>TIEROD 2 M</vt:lpstr>
      <vt:lpstr>TIE BAR 1 M</vt:lpstr>
      <vt:lpstr>TIE BAR 40</vt:lpstr>
      <vt:lpstr>BASE PLAT</vt:lpstr>
      <vt:lpstr>TIEBAR 60</vt:lpstr>
      <vt:lpstr>TIE-YORK</vt:lpstr>
      <vt:lpstr>SBB.30X35</vt:lpstr>
      <vt:lpstr>SBB.40X35</vt:lpstr>
      <vt:lpstr>SBB.40X50</vt:lpstr>
      <vt:lpstr>SBB.40X45</vt:lpstr>
      <vt:lpstr>SBB.45X45</vt:lpstr>
      <vt:lpstr>SBB.40X40</vt:lpstr>
      <vt:lpstr>SBB 50X50</vt:lpstr>
      <vt:lpstr>SBB 50X45</vt:lpstr>
      <vt:lpstr>SURI" 4X6X1</vt:lpstr>
      <vt:lpstr>SURI"4X6X1.5</vt:lpstr>
      <vt:lpstr>SURI"4X6X2</vt:lpstr>
      <vt:lpstr>SURI"5X10X1.5</vt:lpstr>
      <vt:lpstr>SURI"5X10X2</vt:lpstr>
      <vt:lpstr>WING NUT</vt:lpstr>
      <vt:lpstr>WADGE HP</vt:lpstr>
      <vt:lpstr>WADGE KZ</vt:lpstr>
      <vt:lpstr>WADGE K</vt:lpstr>
      <vt:lpstr>METAL PLANK 4 M</vt:lpstr>
      <vt:lpstr>METALPLANK 2M</vt:lpstr>
      <vt:lpstr>METALPLANK-1.6</vt:lpstr>
      <vt:lpstr>CANTILEVER </vt:lpstr>
      <vt:lpstr>COUPLING 1M</vt:lpstr>
      <vt:lpstr>COUPLING 1.5M</vt:lpstr>
      <vt:lpstr>C.COUPLING.760X760</vt:lpstr>
      <vt:lpstr>C.WELLER.500X700</vt:lpstr>
      <vt:lpstr>C.WELLER.650X700</vt:lpstr>
      <vt:lpstr>PUSHPULL.1M</vt:lpstr>
      <vt:lpstr>PUSHPULL.2M</vt:lpstr>
      <vt:lpstr>PUSHPULL.3M</vt:lpstr>
      <vt:lpstr>CNP 420</vt:lpstr>
      <vt:lpstr>S.WELLER 117</vt:lpstr>
      <vt:lpstr>S.WELLER 173</vt:lpstr>
      <vt:lpstr>S.WELLER 224</vt:lpstr>
      <vt:lpstr>S.WELLER 234</vt:lpstr>
      <vt:lpstr>S.WELLER 4780</vt:lpstr>
      <vt:lpstr>S.WELLER 356</vt:lpstr>
      <vt:lpstr>MUR JB-UH60</vt:lpstr>
      <vt:lpstr>MUR+BAUT.19M</vt:lpstr>
      <vt:lpstr>SIKU L</vt:lpstr>
      <vt:lpstr>RING LOK</vt:lpstr>
      <vt:lpstr>DIAGONAL BRACE 2M</vt:lpstr>
      <vt:lpstr>DIAGONAL BRACE 2.5</vt:lpstr>
      <vt:lpstr>PIN CB</vt:lpstr>
      <vt:lpstr>BEHEL 19 MM</vt:lpstr>
      <vt:lpstr>TNUT</vt:lpstr>
      <vt:lpstr>CATWALK!Print_Area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2019-12-02T08:33:53Z</dcterms:created>
  <dcterms:modified xsi:type="dcterms:W3CDTF">2022-06-14T10:52:26Z</dcterms:modified>
</cp:coreProperties>
</file>